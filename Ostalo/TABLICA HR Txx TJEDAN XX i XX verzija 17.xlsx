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08297AFA-DF93-4D85-959C-57314BB202C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N182" i="36" l="1"/>
  <c r="N181" i="36"/>
  <c r="N180" i="36"/>
  <c r="N179" i="36"/>
  <c r="N178" i="36"/>
  <c r="N177" i="36"/>
  <c r="N176" i="36"/>
  <c r="N175" i="36"/>
  <c r="N174" i="36"/>
  <c r="N173" i="36"/>
  <c r="N172" i="36"/>
  <c r="H182" i="36"/>
  <c r="H181" i="36"/>
  <c r="H180" i="36"/>
  <c r="H179" i="36"/>
  <c r="H178" i="36"/>
  <c r="H177" i="36"/>
  <c r="H176" i="36"/>
  <c r="H175" i="36"/>
  <c r="H174" i="36"/>
  <c r="H173" i="36"/>
  <c r="H172" i="36"/>
  <c r="Z141" i="36"/>
  <c r="Y141" i="36"/>
  <c r="Z140" i="36"/>
  <c r="Y140" i="36"/>
  <c r="Z139" i="36"/>
  <c r="Y139" i="36"/>
  <c r="Z138" i="36"/>
  <c r="Y138" i="36"/>
  <c r="Z137" i="36"/>
  <c r="Y137" i="36"/>
  <c r="Z136" i="36"/>
  <c r="Y136" i="36"/>
  <c r="Z135" i="36"/>
  <c r="Y135" i="36"/>
  <c r="Z134" i="36"/>
  <c r="Y134" i="36"/>
  <c r="Z133" i="36"/>
  <c r="Y133" i="36"/>
  <c r="Z132" i="36"/>
  <c r="Z131" i="36"/>
  <c r="Z142" i="36" s="1"/>
  <c r="M148" i="36" s="1"/>
  <c r="Z121" i="36"/>
  <c r="Y121" i="36"/>
  <c r="Z120" i="36"/>
  <c r="Y120" i="36"/>
  <c r="Z119" i="36"/>
  <c r="Y119" i="36"/>
  <c r="Z118" i="36"/>
  <c r="Y118" i="36"/>
  <c r="Z117" i="36"/>
  <c r="Y117" i="36"/>
  <c r="Z116" i="36"/>
  <c r="Y116" i="36"/>
  <c r="Z115" i="36"/>
  <c r="Y115" i="36"/>
  <c r="Z114" i="36"/>
  <c r="Y114" i="36"/>
  <c r="Z113" i="36"/>
  <c r="Y113" i="36"/>
  <c r="Z112" i="36"/>
  <c r="Y112" i="36"/>
  <c r="Z111" i="36"/>
  <c r="Y111" i="36"/>
  <c r="Z110" i="36"/>
  <c r="Y110" i="36"/>
  <c r="Z109" i="36"/>
  <c r="Y109" i="36"/>
  <c r="Z108" i="36"/>
  <c r="Y108" i="36"/>
  <c r="Z107" i="36"/>
  <c r="Y107" i="36"/>
  <c r="Z106" i="36"/>
  <c r="Y106" i="36"/>
  <c r="Z105" i="36"/>
  <c r="Z104" i="36"/>
  <c r="Y104" i="36"/>
  <c r="Z93" i="36"/>
  <c r="Y93" i="36"/>
  <c r="Z92" i="36"/>
  <c r="Y92" i="36"/>
  <c r="Z91" i="36"/>
  <c r="Y91" i="36"/>
  <c r="Z90" i="36"/>
  <c r="Y90" i="36"/>
  <c r="Z89" i="36"/>
  <c r="Y89" i="36"/>
  <c r="Z88" i="36"/>
  <c r="Y88" i="36"/>
  <c r="Z87" i="36"/>
  <c r="Y87" i="36"/>
  <c r="Z86" i="36"/>
  <c r="Y86" i="36"/>
  <c r="Z85" i="36"/>
  <c r="Y85" i="36"/>
  <c r="Z84" i="36"/>
  <c r="Y84" i="36"/>
  <c r="Z83" i="36"/>
  <c r="Y83" i="36"/>
  <c r="Z82" i="36"/>
  <c r="Y82" i="36"/>
  <c r="Z81" i="36"/>
  <c r="Y81" i="36"/>
  <c r="Z80" i="36"/>
  <c r="Y80" i="36"/>
  <c r="Z79" i="36"/>
  <c r="Y79" i="36"/>
  <c r="Z78" i="36"/>
  <c r="Y78" i="36"/>
  <c r="Z77" i="36"/>
  <c r="Y77" i="36"/>
  <c r="Z76" i="36"/>
  <c r="Y76" i="36"/>
  <c r="Z75" i="36"/>
  <c r="Y75" i="36"/>
  <c r="Z74" i="36"/>
  <c r="Y74" i="36"/>
  <c r="Z73" i="36"/>
  <c r="Y73" i="36"/>
  <c r="Z72" i="36"/>
  <c r="Y72" i="36"/>
  <c r="Z71" i="36"/>
  <c r="Y71" i="36"/>
  <c r="Z70" i="36"/>
  <c r="Y70" i="36"/>
  <c r="Z69" i="36"/>
  <c r="Y69" i="36"/>
  <c r="Z68" i="36"/>
  <c r="Y68" i="36"/>
  <c r="Z67" i="36"/>
  <c r="Y67" i="36"/>
  <c r="Z66" i="36"/>
  <c r="Y66" i="36"/>
  <c r="Z65" i="36"/>
  <c r="Y65" i="36"/>
  <c r="Z64" i="36"/>
  <c r="Y64" i="36"/>
  <c r="Z63" i="36"/>
  <c r="Y63" i="36"/>
  <c r="Z62" i="36"/>
  <c r="Y62" i="36"/>
  <c r="Z61" i="36"/>
  <c r="Y61" i="36"/>
  <c r="Z60" i="36"/>
  <c r="Y60" i="36"/>
  <c r="Z59" i="36"/>
  <c r="Y59" i="36"/>
  <c r="Z58" i="36"/>
  <c r="Z57" i="36"/>
  <c r="A152" i="36"/>
  <c r="A202" i="36"/>
  <c r="E141" i="36"/>
  <c r="D141" i="36"/>
  <c r="C141" i="36"/>
  <c r="E140" i="36"/>
  <c r="D140" i="36"/>
  <c r="C140" i="36"/>
  <c r="E139" i="36"/>
  <c r="D139" i="36"/>
  <c r="C139" i="36"/>
  <c r="E138" i="36"/>
  <c r="D138" i="36"/>
  <c r="C138" i="36"/>
  <c r="E137" i="36"/>
  <c r="D137" i="36"/>
  <c r="C137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Y105" i="36" s="1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E8" i="36"/>
  <c r="D8" i="36"/>
  <c r="C8" i="36"/>
  <c r="F236" i="36"/>
  <c r="G53" i="36"/>
  <c r="G2" i="36" s="1"/>
  <c r="B198" i="36"/>
  <c r="A223" i="36"/>
  <c r="A189" i="36"/>
  <c r="T202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9" i="36"/>
  <c r="Y8" i="36"/>
  <c r="Y6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C41" i="37"/>
  <c r="C43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Y7" i="36" s="1"/>
  <c r="G43" i="36"/>
  <c r="H43" i="36"/>
  <c r="I43" i="36"/>
  <c r="J43" i="36"/>
  <c r="K43" i="36"/>
  <c r="L43" i="36"/>
  <c r="M43" i="36"/>
  <c r="V43" i="36"/>
  <c r="W43" i="36"/>
  <c r="X43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9" i="36" s="1"/>
  <c r="V198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N183" i="36" l="1"/>
  <c r="I193" i="36" s="1"/>
  <c r="H183" i="36"/>
  <c r="Z94" i="36"/>
  <c r="M100" i="36" s="1"/>
  <c r="Z122" i="36"/>
  <c r="M128" i="36" s="1"/>
  <c r="Y122" i="36"/>
  <c r="M127" i="36" s="1"/>
  <c r="Z43" i="36"/>
  <c r="M49" i="36" s="1"/>
  <c r="F240" i="36"/>
  <c r="F239" i="36"/>
  <c r="F238" i="36"/>
  <c r="F237" i="36"/>
  <c r="Y43" i="36"/>
  <c r="M48" i="36" s="1"/>
  <c r="C57" i="36"/>
  <c r="F8" i="37"/>
  <c r="F12" i="37"/>
  <c r="F14" i="37"/>
  <c r="C47" i="37"/>
  <c r="B193" i="36" l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Y58" i="36" s="1"/>
  <c r="Y57" i="36"/>
  <c r="L2" i="36"/>
  <c r="E6" i="36"/>
  <c r="E7" i="36"/>
  <c r="D6" i="36"/>
  <c r="D7" i="36"/>
  <c r="C48" i="37"/>
  <c r="C45" i="37"/>
  <c r="C46" i="37" s="1"/>
  <c r="C44" i="37"/>
  <c r="C42" i="37"/>
  <c r="Y94" i="36" l="1"/>
  <c r="C52" i="37"/>
  <c r="C55" i="37"/>
  <c r="C56" i="37" s="1"/>
  <c r="C54" i="37"/>
  <c r="C50" i="37"/>
  <c r="M99" i="36" l="1"/>
  <c r="L53" i="36" s="1"/>
  <c r="F183" i="36"/>
  <c r="L184" i="36"/>
  <c r="F184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2" i="36" l="1"/>
  <c r="J192" i="36" s="1"/>
  <c r="I191" i="36"/>
  <c r="J191" i="36" s="1"/>
  <c r="I190" i="36"/>
  <c r="J190" i="36" s="1"/>
  <c r="L183" i="36"/>
  <c r="L185" i="36"/>
  <c r="I53" i="36"/>
  <c r="I2" i="36"/>
  <c r="G4" i="36" s="1"/>
  <c r="D184" i="21" l="1"/>
  <c r="D183" i="21"/>
  <c r="A226" i="36"/>
  <c r="G226" i="36" s="1"/>
  <c r="A225" i="36"/>
  <c r="G225" i="36" s="1"/>
  <c r="A224" i="36"/>
  <c r="G224" i="36" s="1"/>
  <c r="N220" i="36"/>
  <c r="M220" i="36"/>
  <c r="L220" i="36"/>
  <c r="K220" i="36"/>
  <c r="N219" i="36"/>
  <c r="N221" i="36" s="1"/>
  <c r="M219" i="36"/>
  <c r="M221" i="36" s="1"/>
  <c r="L219" i="36"/>
  <c r="K219" i="36"/>
  <c r="A217" i="36"/>
  <c r="F215" i="36"/>
  <c r="F220" i="36" s="1"/>
  <c r="F214" i="36"/>
  <c r="F219" i="36" s="1"/>
  <c r="N210" i="36"/>
  <c r="M152" i="36" s="1"/>
  <c r="M210" i="36"/>
  <c r="L210" i="36"/>
  <c r="K152" i="36" s="1"/>
  <c r="K210" i="36"/>
  <c r="J152" i="36" s="1"/>
  <c r="J210" i="36"/>
  <c r="I152" i="36" s="1"/>
  <c r="I210" i="36"/>
  <c r="H210" i="36"/>
  <c r="G152" i="36" s="1"/>
  <c r="M201" i="36"/>
  <c r="L151" i="36" s="1"/>
  <c r="W152" i="36" s="1"/>
  <c r="W174" i="36" s="1"/>
  <c r="L201" i="36"/>
  <c r="K151" i="36" s="1"/>
  <c r="V152" i="36" s="1"/>
  <c r="V174" i="36" s="1"/>
  <c r="K201" i="36"/>
  <c r="J151" i="36" s="1"/>
  <c r="U152" i="36" s="1"/>
  <c r="U174" i="36" s="1"/>
  <c r="I151" i="36"/>
  <c r="I198" i="36"/>
  <c r="J198" i="36" s="1"/>
  <c r="A215" i="36" s="1"/>
  <c r="A220" i="36" s="1"/>
  <c r="M257" i="36"/>
  <c r="A192" i="36"/>
  <c r="B192" i="36" s="1"/>
  <c r="K256" i="36"/>
  <c r="M256" i="36" s="1"/>
  <c r="A191" i="36"/>
  <c r="B191" i="36" s="1"/>
  <c r="K255" i="36"/>
  <c r="M255" i="36" s="1"/>
  <c r="A190" i="36"/>
  <c r="B190" i="36" s="1"/>
  <c r="X187" i="36"/>
  <c r="M155" i="36" s="1"/>
  <c r="N215" i="36" s="1"/>
  <c r="W187" i="36"/>
  <c r="L155" i="36" s="1"/>
  <c r="M215" i="36" s="1"/>
  <c r="V187" i="36"/>
  <c r="K155" i="36" s="1"/>
  <c r="L215" i="36" s="1"/>
  <c r="U187" i="36"/>
  <c r="J155" i="36" s="1"/>
  <c r="K215" i="36" s="1"/>
  <c r="T187" i="36"/>
  <c r="S187" i="36"/>
  <c r="R187" i="36"/>
  <c r="F185" i="36"/>
  <c r="S174" i="36"/>
  <c r="R174" i="36"/>
  <c r="Q173" i="36"/>
  <c r="O173" i="36"/>
  <c r="T205" i="36"/>
  <c r="J53" i="36" s="1"/>
  <c r="Q169" i="36"/>
  <c r="W191" i="36" s="1"/>
  <c r="Q168" i="36"/>
  <c r="U168" i="36" s="1"/>
  <c r="Q167" i="36"/>
  <c r="Q189" i="36" s="1"/>
  <c r="X189" i="36" s="1"/>
  <c r="X165" i="36"/>
  <c r="M154" i="36" s="1"/>
  <c r="N214" i="36" s="1"/>
  <c r="W165" i="36"/>
  <c r="L154" i="36" s="1"/>
  <c r="M214" i="36" s="1"/>
  <c r="V165" i="36"/>
  <c r="K154" i="36" s="1"/>
  <c r="L214" i="36" s="1"/>
  <c r="U165" i="36"/>
  <c r="J154" i="36" s="1"/>
  <c r="T165" i="36"/>
  <c r="S165" i="36"/>
  <c r="R165" i="36"/>
  <c r="A154" i="36"/>
  <c r="X152" i="36"/>
  <c r="X174" i="36" s="1"/>
  <c r="M151" i="36"/>
  <c r="H151" i="36"/>
  <c r="G151" i="36"/>
  <c r="X142" i="36"/>
  <c r="J220" i="36" s="1"/>
  <c r="W142" i="36"/>
  <c r="I220" i="36" s="1"/>
  <c r="V142" i="36"/>
  <c r="H220" i="36" s="1"/>
  <c r="M142" i="36"/>
  <c r="L142" i="36"/>
  <c r="K142" i="36"/>
  <c r="J142" i="36"/>
  <c r="I142" i="36"/>
  <c r="H142" i="36"/>
  <c r="G142" i="36"/>
  <c r="A132" i="36"/>
  <c r="A133" i="36" s="1"/>
  <c r="A134" i="36" s="1"/>
  <c r="A135" i="36" s="1"/>
  <c r="A136" i="36" s="1"/>
  <c r="A137" i="36" s="1"/>
  <c r="A138" i="36" s="1"/>
  <c r="L130" i="36"/>
  <c r="K130" i="36"/>
  <c r="J130" i="36"/>
  <c r="I130" i="36"/>
  <c r="H130" i="36"/>
  <c r="F126" i="36"/>
  <c r="F125" i="36"/>
  <c r="F124" i="36"/>
  <c r="X122" i="36"/>
  <c r="J219" i="36" s="1"/>
  <c r="W122" i="36"/>
  <c r="I219" i="36" s="1"/>
  <c r="V122" i="36"/>
  <c r="H219" i="36" s="1"/>
  <c r="M122" i="36"/>
  <c r="L122" i="36"/>
  <c r="K122" i="36"/>
  <c r="J122" i="36"/>
  <c r="I122" i="36"/>
  <c r="H122" i="36"/>
  <c r="G122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X94" i="36"/>
  <c r="W94" i="36"/>
  <c r="H155" i="36" s="1"/>
  <c r="I215" i="36" s="1"/>
  <c r="V94" i="36"/>
  <c r="G155" i="36" s="1"/>
  <c r="H215" i="36" s="1"/>
  <c r="M94" i="36"/>
  <c r="L94" i="36"/>
  <c r="K94" i="36"/>
  <c r="J94" i="36"/>
  <c r="I94" i="36"/>
  <c r="H94" i="36"/>
  <c r="G94" i="36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9" i="36" s="1"/>
  <c r="A211" i="36" s="1"/>
  <c r="I154" i="36"/>
  <c r="H154" i="36"/>
  <c r="I214" i="36" s="1"/>
  <c r="G154" i="36"/>
  <c r="H214" i="36" s="1"/>
  <c r="B154" i="36"/>
  <c r="B214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K221" i="36" l="1"/>
  <c r="C130" i="36"/>
  <c r="C131" i="36"/>
  <c r="L221" i="36"/>
  <c r="B99" i="36"/>
  <c r="G229" i="36" s="1"/>
  <c r="X98" i="36"/>
  <c r="F47" i="36"/>
  <c r="A163" i="36"/>
  <c r="F46" i="36"/>
  <c r="W45" i="36"/>
  <c r="M45" i="36"/>
  <c r="L45" i="36"/>
  <c r="J45" i="36"/>
  <c r="I45" i="36"/>
  <c r="H45" i="36"/>
  <c r="X45" i="36"/>
  <c r="V45" i="36"/>
  <c r="K45" i="36"/>
  <c r="G45" i="36"/>
  <c r="I221" i="36"/>
  <c r="I216" i="36"/>
  <c r="M216" i="36"/>
  <c r="M222" i="36" s="1"/>
  <c r="M227" i="36" s="1"/>
  <c r="C220" i="36"/>
  <c r="L169" i="36"/>
  <c r="S167" i="36"/>
  <c r="L152" i="36"/>
  <c r="L156" i="36" s="1"/>
  <c r="F144" i="36"/>
  <c r="X124" i="36"/>
  <c r="V124" i="36"/>
  <c r="W124" i="36"/>
  <c r="F145" i="36"/>
  <c r="X125" i="36"/>
  <c r="W125" i="36"/>
  <c r="V125" i="36"/>
  <c r="I155" i="36"/>
  <c r="C219" i="36"/>
  <c r="L168" i="36"/>
  <c r="F146" i="36"/>
  <c r="X126" i="36"/>
  <c r="W126" i="36"/>
  <c r="V126" i="36"/>
  <c r="B220" i="36"/>
  <c r="B148" i="36"/>
  <c r="G55" i="36"/>
  <c r="G129" i="36"/>
  <c r="J101" i="36" s="1"/>
  <c r="B219" i="36"/>
  <c r="B128" i="36"/>
  <c r="H152" i="36"/>
  <c r="H156" i="36" s="1"/>
  <c r="G98" i="36"/>
  <c r="I96" i="36"/>
  <c r="W98" i="36"/>
  <c r="M96" i="36"/>
  <c r="H98" i="36"/>
  <c r="V167" i="36"/>
  <c r="I98" i="36"/>
  <c r="H221" i="36"/>
  <c r="L98" i="36"/>
  <c r="M98" i="36"/>
  <c r="V191" i="36"/>
  <c r="W167" i="36"/>
  <c r="T169" i="36"/>
  <c r="K98" i="36"/>
  <c r="G124" i="36"/>
  <c r="R167" i="36"/>
  <c r="X169" i="36"/>
  <c r="K156" i="36"/>
  <c r="K214" i="36"/>
  <c r="K216" i="36" s="1"/>
  <c r="J156" i="36"/>
  <c r="B155" i="36"/>
  <c r="F168" i="36"/>
  <c r="C154" i="36"/>
  <c r="C214" i="36" s="1"/>
  <c r="B48" i="36"/>
  <c r="J214" i="36"/>
  <c r="H96" i="36"/>
  <c r="L96" i="36"/>
  <c r="X96" i="36"/>
  <c r="I97" i="36"/>
  <c r="M97" i="36"/>
  <c r="K126" i="36"/>
  <c r="J126" i="36"/>
  <c r="J98" i="36"/>
  <c r="V98" i="36"/>
  <c r="J221" i="36"/>
  <c r="J124" i="36"/>
  <c r="G125" i="36"/>
  <c r="I126" i="36"/>
  <c r="A162" i="36"/>
  <c r="A164" i="36"/>
  <c r="V168" i="36"/>
  <c r="R168" i="36"/>
  <c r="X168" i="36"/>
  <c r="T168" i="36"/>
  <c r="Q190" i="36"/>
  <c r="W168" i="36"/>
  <c r="S168" i="36"/>
  <c r="T189" i="36"/>
  <c r="J125" i="36"/>
  <c r="M125" i="36"/>
  <c r="I125" i="36"/>
  <c r="J97" i="36"/>
  <c r="V97" i="36"/>
  <c r="K124" i="36"/>
  <c r="H125" i="36"/>
  <c r="L126" i="36"/>
  <c r="G156" i="36"/>
  <c r="N216" i="36"/>
  <c r="N222" i="36" s="1"/>
  <c r="N227" i="36" s="1"/>
  <c r="C222" i="36"/>
  <c r="C156" i="36" s="1"/>
  <c r="J96" i="36"/>
  <c r="V96" i="36"/>
  <c r="G97" i="36"/>
  <c r="K97" i="36"/>
  <c r="W97" i="36"/>
  <c r="H124" i="36"/>
  <c r="L124" i="36"/>
  <c r="K125" i="36"/>
  <c r="M126" i="36"/>
  <c r="C155" i="36"/>
  <c r="C215" i="36" s="1"/>
  <c r="F169" i="36"/>
  <c r="H216" i="36"/>
  <c r="G96" i="36"/>
  <c r="K96" i="36"/>
  <c r="W96" i="36"/>
  <c r="H97" i="36"/>
  <c r="L97" i="36"/>
  <c r="X97" i="36"/>
  <c r="I124" i="36"/>
  <c r="M124" i="36"/>
  <c r="L125" i="36"/>
  <c r="H126" i="36"/>
  <c r="S150" i="36"/>
  <c r="A155" i="36"/>
  <c r="S172" i="36" s="1"/>
  <c r="M156" i="36"/>
  <c r="L216" i="36"/>
  <c r="U189" i="36"/>
  <c r="W189" i="36"/>
  <c r="S189" i="36"/>
  <c r="V189" i="36"/>
  <c r="R189" i="36"/>
  <c r="T167" i="36"/>
  <c r="X167" i="36"/>
  <c r="N224" i="36" s="1"/>
  <c r="R169" i="36"/>
  <c r="V169" i="36"/>
  <c r="X191" i="36"/>
  <c r="A214" i="36"/>
  <c r="A219" i="36" s="1"/>
  <c r="G126" i="36"/>
  <c r="U167" i="36"/>
  <c r="S169" i="36"/>
  <c r="W169" i="36"/>
  <c r="M226" i="36" s="1"/>
  <c r="Q191" i="36"/>
  <c r="U169" i="36"/>
  <c r="K222" i="36" l="1"/>
  <c r="K227" i="36" s="1"/>
  <c r="C132" i="36"/>
  <c r="Y132" i="36" s="1"/>
  <c r="Y131" i="36"/>
  <c r="B229" i="36"/>
  <c r="I222" i="36"/>
  <c r="I227" i="36" s="1"/>
  <c r="X47" i="36"/>
  <c r="V47" i="36"/>
  <c r="M47" i="36"/>
  <c r="J164" i="36" s="1"/>
  <c r="L47" i="36"/>
  <c r="I164" i="36" s="1"/>
  <c r="K47" i="36"/>
  <c r="H164" i="36" s="1"/>
  <c r="J47" i="36"/>
  <c r="G164" i="36" s="1"/>
  <c r="I47" i="36"/>
  <c r="F164" i="36" s="1"/>
  <c r="H47" i="36"/>
  <c r="G47" i="36"/>
  <c r="W47" i="36"/>
  <c r="G46" i="36"/>
  <c r="B163" i="36" s="1"/>
  <c r="H46" i="36"/>
  <c r="C163" i="36" s="1"/>
  <c r="X46" i="36"/>
  <c r="V46" i="36"/>
  <c r="L46" i="36"/>
  <c r="I163" i="36" s="1"/>
  <c r="K46" i="36"/>
  <c r="H163" i="36" s="1"/>
  <c r="J46" i="36"/>
  <c r="G163" i="36" s="1"/>
  <c r="I46" i="36"/>
  <c r="F163" i="36" s="1"/>
  <c r="W46" i="36"/>
  <c r="M46" i="36"/>
  <c r="J163" i="36" s="1"/>
  <c r="C221" i="36"/>
  <c r="L144" i="36"/>
  <c r="H144" i="36"/>
  <c r="L190" i="36" s="1"/>
  <c r="K144" i="36"/>
  <c r="G144" i="36"/>
  <c r="M144" i="36"/>
  <c r="J144" i="36"/>
  <c r="I144" i="36"/>
  <c r="M145" i="36"/>
  <c r="I145" i="36"/>
  <c r="L145" i="36"/>
  <c r="H145" i="36"/>
  <c r="L191" i="36" s="1"/>
  <c r="J145" i="36"/>
  <c r="G145" i="36"/>
  <c r="K145" i="36"/>
  <c r="J215" i="36"/>
  <c r="J216" i="36" s="1"/>
  <c r="J222" i="36" s="1"/>
  <c r="J227" i="36" s="1"/>
  <c r="I156" i="36"/>
  <c r="I162" i="36"/>
  <c r="H162" i="36"/>
  <c r="J162" i="36"/>
  <c r="F162" i="36"/>
  <c r="M224" i="36"/>
  <c r="L226" i="36"/>
  <c r="B221" i="36"/>
  <c r="C216" i="36"/>
  <c r="G146" i="36"/>
  <c r="H146" i="36"/>
  <c r="L192" i="36" s="1"/>
  <c r="M146" i="36"/>
  <c r="J146" i="36"/>
  <c r="I146" i="36"/>
  <c r="L146" i="36"/>
  <c r="L170" i="36"/>
  <c r="L186" i="36" s="1"/>
  <c r="L224" i="36"/>
  <c r="N226" i="36"/>
  <c r="G162" i="36"/>
  <c r="W144" i="36"/>
  <c r="X144" i="36"/>
  <c r="V144" i="36"/>
  <c r="K146" i="36"/>
  <c r="W146" i="36"/>
  <c r="V146" i="36"/>
  <c r="X146" i="36"/>
  <c r="X145" i="36"/>
  <c r="W145" i="36"/>
  <c r="V145" i="36"/>
  <c r="H222" i="36"/>
  <c r="H227" i="36" s="1"/>
  <c r="K224" i="36"/>
  <c r="X190" i="36"/>
  <c r="N225" i="36" s="1"/>
  <c r="T190" i="36"/>
  <c r="V190" i="36"/>
  <c r="L225" i="36" s="1"/>
  <c r="R190" i="36"/>
  <c r="U190" i="36"/>
  <c r="K225" i="36" s="1"/>
  <c r="W190" i="36"/>
  <c r="M225" i="36" s="1"/>
  <c r="S190" i="36"/>
  <c r="B222" i="36"/>
  <c r="B156" i="36" s="1"/>
  <c r="B215" i="36"/>
  <c r="B216" i="36" s="1"/>
  <c r="S191" i="36"/>
  <c r="U191" i="36"/>
  <c r="K226" i="36" s="1"/>
  <c r="T191" i="36"/>
  <c r="R191" i="36"/>
  <c r="L222" i="36"/>
  <c r="L227" i="36" s="1"/>
  <c r="F170" i="36"/>
  <c r="F186" i="36" s="1"/>
  <c r="Y142" i="36" l="1"/>
  <c r="M147" i="36" s="1"/>
  <c r="B164" i="36"/>
  <c r="B226" i="36"/>
  <c r="F190" i="36"/>
  <c r="C162" i="36"/>
  <c r="C224" i="36"/>
  <c r="B224" i="36"/>
  <c r="B162" i="36"/>
  <c r="F192" i="36"/>
  <c r="C164" i="36"/>
  <c r="C226" i="36"/>
  <c r="F191" i="36"/>
  <c r="C225" i="36"/>
  <c r="B225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9" i="36"/>
  <c r="J189" i="36" s="1"/>
  <c r="Q166" i="36"/>
  <c r="Q188" i="36" s="1"/>
  <c r="F123" i="36"/>
  <c r="F95" i="36"/>
  <c r="G101" i="36" l="1"/>
  <c r="G223" i="36"/>
  <c r="B189" i="36"/>
  <c r="U166" i="36"/>
  <c r="V166" i="36"/>
  <c r="W166" i="36"/>
  <c r="S166" i="36"/>
  <c r="R166" i="36"/>
  <c r="T166" i="36"/>
  <c r="X166" i="36"/>
  <c r="G123" i="36"/>
  <c r="F143" i="36"/>
  <c r="W123" i="36"/>
  <c r="X123" i="36"/>
  <c r="V123" i="36"/>
  <c r="F44" i="36"/>
  <c r="A161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8" i="36" l="1"/>
  <c r="W188" i="36"/>
  <c r="M223" i="36" s="1"/>
  <c r="U188" i="36"/>
  <c r="K223" i="36" s="1"/>
  <c r="R188" i="36"/>
  <c r="V188" i="36"/>
  <c r="L223" i="36" s="1"/>
  <c r="T188" i="36"/>
  <c r="X188" i="36"/>
  <c r="N223" i="36" s="1"/>
  <c r="V143" i="36"/>
  <c r="W143" i="36"/>
  <c r="X143" i="36"/>
  <c r="I143" i="36"/>
  <c r="H143" i="36"/>
  <c r="L189" i="36" s="1"/>
  <c r="L143" i="36"/>
  <c r="J143" i="36"/>
  <c r="G143" i="36"/>
  <c r="K143" i="36"/>
  <c r="M143" i="36"/>
  <c r="G44" i="36"/>
  <c r="I44" i="36"/>
  <c r="F161" i="36" s="1"/>
  <c r="F165" i="36" s="1"/>
  <c r="J44" i="36"/>
  <c r="G161" i="36" s="1"/>
  <c r="G165" i="36" s="1"/>
  <c r="L44" i="36"/>
  <c r="I161" i="36" s="1"/>
  <c r="I165" i="36" s="1"/>
  <c r="V44" i="36"/>
  <c r="X44" i="36"/>
  <c r="H44" i="36"/>
  <c r="K44" i="36"/>
  <c r="H161" i="36" s="1"/>
  <c r="H165" i="36" s="1"/>
  <c r="M44" i="36"/>
  <c r="J161" i="36" s="1"/>
  <c r="J165" i="36" s="1"/>
  <c r="W44" i="36"/>
  <c r="C161" i="36" l="1"/>
  <c r="C165" i="36" s="1"/>
  <c r="F189" i="36"/>
  <c r="C223" i="36"/>
  <c r="B223" i="36"/>
  <c r="B161" i="36"/>
  <c r="B165" i="36" s="1"/>
</calcChain>
</file>

<file path=xl/sharedStrings.xml><?xml version="1.0" encoding="utf-8"?>
<sst xmlns="http://schemas.openxmlformats.org/spreadsheetml/2006/main" count="744" uniqueCount="346">
  <si>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</si>
  <si>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</si>
  <si>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</si>
  <si>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</si>
  <si>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</si>
  <si>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</si>
  <si>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</si>
  <si>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</si>
  <si>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</si>
  <si>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</si>
  <si>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</si>
  <si>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</si>
  <si>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</si>
  <si>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</si>
  <si>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</si>
  <si>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</si>
  <si>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</si>
  <si>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</si>
  <si>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</si>
  <si>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</si>
  <si>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</si>
  <si>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</si>
  <si>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</si>
  <si>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</si>
  <si>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</si>
  <si>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</si>
  <si>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</si>
  <si>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</si>
  <si>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</si>
  <si>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</si>
  <si>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</si>
  <si>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</si>
  <si>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</si>
  <si>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</si>
  <si>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</si>
  <si>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</si>
  <si>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</si>
  <si>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</si>
  <si>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</si>
  <si>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</si>
  <si>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</si>
  <si>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</si>
  <si>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</si>
  <si>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</si>
  <si>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</si>
  <si>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</si>
  <si>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</si>
  <si>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</si>
  <si>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</si>
  <si>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</si>
  <si>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</si>
  <si>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</si>
  <si>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</si>
  <si>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</si>
  <si>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</si>
  <si>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</si>
  <si>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</si>
  <si>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</si>
  <si>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</si>
  <si>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</si>
  <si>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</si>
  <si>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</si>
  <si>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</si>
  <si>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</si>
  <si>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</si>
  <si>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</si>
  <si>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</si>
  <si>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</si>
  <si>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</si>
  <si>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</si>
  <si>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</si>
  <si>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</si>
  <si>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</si>
  <si>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</si>
  <si>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</si>
  <si>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</si>
  <si>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</si>
  <si>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</si>
  <si>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</si>
  <si>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</si>
  <si>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</si>
  <si>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</si>
  <si>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</si>
  <si>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</si>
  <si>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</si>
  <si>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</si>
  <si>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</si>
  <si>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</si>
  <si>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</si>
  <si>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</si>
  <si>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</si>
  <si>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</si>
  <si>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</si>
  <si>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</si>
  <si>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</si>
  <si>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</si>
  <si>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</si>
  <si>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</si>
  <si>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</si>
  <si>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</si>
  <si>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</si>
  <si>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</si>
  <si>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</si>
  <si>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</si>
  <si>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</si>
  <si>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</si>
  <si>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</si>
  <si>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</si>
  <si>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</si>
  <si>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</si>
  <si>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</si>
  <si>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</si>
  <si>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</si>
  <si>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</si>
  <si>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</si>
  <si>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</si>
  <si>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</si>
  <si>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</si>
  <si>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</si>
  <si>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</si>
  <si>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</si>
  <si>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</si>
  <si>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</si>
  <si>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</si>
  <si>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</si>
  <si>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</si>
  <si>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</si>
  <si>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</si>
  <si>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</si>
  <si>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</si>
  <si>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</si>
  <si>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</si>
  <si>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</si>
  <si>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</si>
  <si>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</si>
  <si>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</si>
  <si>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</si>
  <si>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</si>
  <si>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</si>
  <si>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</si>
  <si>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</si>
  <si>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</si>
  <si>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</si>
  <si>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</si>
  <si>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</si>
  <si>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</si>
  <si>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</si>
  <si>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</si>
  <si>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</si>
  <si>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</si>
  <si>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</si>
  <si>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</si>
  <si>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</si>
  <si>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</si>
  <si>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</si>
  <si>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</si>
  <si>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</si>
  <si>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</si>
  <si>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</si>
  <si>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</si>
  <si>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</si>
  <si>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</si>
  <si>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</si>
  <si>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</si>
  <si>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</si>
  <si>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</si>
  <si>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</si>
  <si>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</si>
  <si>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</si>
  <si>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</si>
  <si>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</si>
  <si>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</si>
  <si>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</si>
  <si>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</si>
  <si>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</si>
  <si>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</si>
  <si>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</si>
  <si>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</si>
  <si>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</si>
  <si>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</si>
  <si>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</si>
  <si>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</si>
  <si>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</si>
  <si>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</si>
  <si>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</si>
  <si>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</si>
  <si>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</si>
  <si>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</si>
  <si>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</si>
  <si>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</si>
  <si>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</si>
  <si>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</si>
  <si>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</si>
  <si>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</si>
  <si>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</si>
  <si>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</si>
  <si>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</si>
  <si>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</si>
  <si>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</si>
  <si>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</si>
  <si>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</si>
  <si>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</si>
  <si>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</si>
  <si>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</si>
  <si>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</si>
  <si>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</si>
  <si>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</si>
  <si>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</si>
  <si>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</si>
  <si>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</si>
  <si>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</si>
  <si>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</si>
  <si>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</si>
  <si>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</si>
  <si>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</si>
  <si>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</si>
  <si>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</si>
  <si>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</si>
  <si>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</si>
  <si>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</si>
  <si>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</si>
  <si>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</si>
  <si>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</si>
  <si>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</si>
  <si>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</si>
  <si>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</si>
  <si>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</si>
  <si>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</si>
  <si>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</si>
  <si>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</si>
  <si>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</si>
  <si>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</si>
  <si>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</si>
  <si>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</si>
  <si>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</si>
  <si>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</si>
  <si>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</si>
  <si>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</si>
  <si>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</si>
  <si>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</si>
  <si>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</si>
  <si>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</si>
  <si>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</si>
  <si>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</si>
  <si>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</si>
  <si>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</si>
  <si>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</si>
  <si>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</si>
  <si>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</si>
  <si>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</si>
  <si>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</si>
  <si>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</si>
  <si>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</si>
  <si>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</si>
  <si>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</si>
  <si>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</si>
  <si>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</si>
  <si>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</si>
  <si>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</si>
  <si>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</si>
  <si>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</si>
  <si>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</si>
  <si>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</si>
  <si>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</si>
  <si>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</si>
  <si>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</si>
  <si>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</si>
  <si>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</si>
  <si>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</si>
  <si>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</si>
  <si>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</si>
  <si>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</si>
  <si>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</si>
  <si>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</si>
  <si>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</si>
  <si>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</si>
  <si>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</si>
  <si>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</si>
  <si>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</si>
  <si>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</si>
  <si>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</si>
  <si>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</si>
  <si>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</si>
  <si>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</si>
  <si>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</si>
  <si>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</si>
  <si>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</si>
  <si>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</si>
  <si>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</si>
  <si>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</si>
  <si>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</si>
  <si>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</si>
  <si>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</si>
  <si>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</si>
  <si>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</si>
  <si>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</si>
  <si>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</si>
  <si>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</si>
  <si>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</si>
  <si>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</si>
  <si>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</si>
  <si>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</si>
  <si>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</si>
  <si>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</si>
  <si>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</si>
  <si>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>mateo</t>
  </si>
  <si>
    <t>fran</t>
  </si>
  <si>
    <t>suko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</si>
  <si>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</si>
  <si>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</si>
  <si>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</si>
  <si>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</si>
  <si>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</si>
  <si>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</si>
  <si>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</si>
  <si>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</si>
  <si>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</si>
  <si>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</si>
  <si>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</si>
  <si>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</si>
  <si>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</si>
  <si>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</si>
  <si>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</si>
  <si>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</si>
  <si>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</si>
  <si>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</si>
  <si>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</si>
  <si>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</si>
  <si>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sdfd</t>
  </si>
  <si>
    <t>000456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</si>
  <si>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</si>
  <si>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</si>
  <si>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</si>
  <si>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</si>
  <si>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</si>
  <si>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</si>
  <si>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</si>
  <si>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</si>
  <si>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</si>
  <si>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</si>
  <si>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</si>
  <si>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</si>
  <si>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Polo ženo u</t>
  </si>
  <si>
    <t>TABLICA POLOZI / UTROŠKA MEDEM D.O.O.</t>
  </si>
  <si>
    <t>TABLICA POLOZI / UTROŠKA HOME PLUS D.O.O.</t>
  </si>
  <si>
    <t>datum se unosi na nači 15/6 za 15.06.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</si>
</sst>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3" formatCode="#,##0.00\ [$€-1];[Red]\-#,##0.00\ [$€-1]"/>
    <numFmt numFmtId="174" formatCode="#,##0.00\ &quot;€&quot;"/>
    <numFmt numFmtId="178" formatCode="#,##0.00\ [$€-41A]"/>
  </numFmts>
  <fonts count="41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0"/>
      <color rgb="FFED0000"/>
      <name val="Arial"/>
      <family val="2"/>
    </font>
    <font>
      <b/>
      <sz val="11"/>
      <color rgb="FFED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411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shrinkToFit="1"/>
    </xf>
    <xf numFmtId="0" fontId="1" fillId="0" borderId="10" xfId="0" applyFont="1" applyBorder="1" applyAlignment="1" applyProtection="1">
      <alignment horizontal="center" vertical="center" shrinkToFit="1"/>
      <protection locked="0"/>
    </xf>
    <xf numFmtId="0" fontId="1" fillId="5" borderId="40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64" xfId="0" applyFont="1" applyFill="1" applyBorder="1" applyAlignment="1">
      <alignment horizontal="center" vertical="center"/>
    </xf>
    <xf numFmtId="3" fontId="1" fillId="5" borderId="40" xfId="0" applyNumberFormat="1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14" fontId="0" fillId="0" borderId="10" xfId="0" applyNumberFormat="1" applyBorder="1" applyAlignment="1" applyProtection="1">
      <alignment vertical="center" shrinkToFit="1"/>
      <protection locked="0"/>
    </xf>
    <xf numFmtId="0" fontId="1" fillId="0" borderId="21" xfId="0" applyFont="1" applyBorder="1" applyAlignment="1" applyProtection="1">
      <alignment horizontal="center" vertical="center" shrinkToFit="1"/>
      <protection locked="0"/>
    </xf>
    <xf numFmtId="0" fontId="0" fillId="7" borderId="18" xfId="0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3" fontId="1" fillId="7" borderId="10" xfId="0" applyNumberFormat="1" applyFont="1" applyFill="1" applyBorder="1" applyAlignment="1">
      <alignment horizontal="center" vertical="center" shrinkToFit="1"/>
    </xf>
    <xf numFmtId="0" fontId="1" fillId="7" borderId="10" xfId="0" applyFont="1" applyFill="1" applyBorder="1" applyAlignment="1">
      <alignment horizontal="center" vertical="center" shrinkToFit="1"/>
    </xf>
    <xf numFmtId="0" fontId="3" fillId="8" borderId="18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 shrinkToFit="1"/>
    </xf>
    <xf numFmtId="3" fontId="1" fillId="7" borderId="21" xfId="0" applyNumberFormat="1" applyFont="1" applyFill="1" applyBorder="1" applyAlignment="1">
      <alignment horizontal="center" vertical="center" shrinkToFit="1"/>
    </xf>
    <xf numFmtId="0" fontId="1" fillId="7" borderId="65" xfId="0" applyFont="1" applyFill="1" applyBorder="1" applyAlignment="1">
      <alignment horizontal="center" vertical="center" shrinkToFit="1"/>
    </xf>
    <xf numFmtId="166" fontId="3" fillId="6" borderId="5" xfId="0" applyNumberFormat="1" applyFont="1" applyFill="1" applyBorder="1" applyAlignment="1">
      <alignment horizontal="center" vertical="center" shrinkToFit="1"/>
    </xf>
    <xf numFmtId="3" fontId="3" fillId="6" borderId="5" xfId="0" applyNumberFormat="1" applyFont="1" applyFill="1" applyBorder="1" applyAlignment="1">
      <alignment horizontal="center" vertical="center" shrinkToFit="1"/>
    </xf>
    <xf numFmtId="3" fontId="3" fillId="6" borderId="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1" xfId="0" applyBorder="1" applyAlignment="1" applyProtection="1">
      <alignment horizontal="center" vertical="center" shrinkToFit="1"/>
      <protection locked="0"/>
    </xf>
    <xf numFmtId="0" fontId="6" fillId="5" borderId="65" xfId="0" applyFont="1" applyFill="1" applyBorder="1" applyAlignment="1">
      <alignment horizontal="center" vertical="center" shrinkToFit="1"/>
    </xf>
    <xf numFmtId="3" fontId="6" fillId="7" borderId="40" xfId="0" applyNumberFormat="1" applyFont="1" applyFill="1" applyBorder="1" applyAlignment="1">
      <alignment horizontal="center" vertical="center" shrinkToFit="1"/>
    </xf>
    <xf numFmtId="0" fontId="0" fillId="7" borderId="10" xfId="0" applyFill="1" applyBorder="1" applyAlignment="1">
      <alignment horizontal="center" vertical="center" shrinkToFit="1"/>
    </xf>
    <xf numFmtId="0" fontId="0" fillId="7" borderId="18" xfId="0" applyFill="1" applyBorder="1" applyAlignment="1">
      <alignment horizontal="center" vertical="center" shrinkToFit="1"/>
    </xf>
    <xf numFmtId="0" fontId="0" fillId="7" borderId="11" xfId="0" applyFill="1" applyBorder="1" applyAlignment="1">
      <alignment horizontal="center" vertical="center" shrinkToFit="1"/>
    </xf>
    <xf numFmtId="0" fontId="0" fillId="7" borderId="20" xfId="0" applyFill="1" applyBorder="1" applyAlignment="1">
      <alignment horizontal="center" vertical="center" shrinkToFit="1"/>
    </xf>
    <xf numFmtId="0" fontId="0" fillId="7" borderId="21" xfId="0" applyFill="1" applyBorder="1" applyAlignment="1">
      <alignment horizontal="center" vertical="center" shrinkToFit="1"/>
    </xf>
    <xf numFmtId="0" fontId="0" fillId="7" borderId="22" xfId="0" applyFill="1" applyBorder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  <xf numFmtId="0" fontId="0" fillId="7" borderId="37" xfId="0" applyFill="1" applyBorder="1" applyAlignment="1">
      <alignment horizontal="center" vertical="center" shrinkToFit="1"/>
    </xf>
    <xf numFmtId="0" fontId="0" fillId="7" borderId="38" xfId="0" applyFill="1" applyBorder="1" applyAlignment="1">
      <alignment horizontal="center" vertical="center" shrinkToFit="1"/>
    </xf>
    <xf numFmtId="0" fontId="9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 shrinkToFit="1"/>
    </xf>
    <xf numFmtId="49" fontId="1" fillId="6" borderId="30" xfId="0" applyNumberFormat="1" applyFont="1" applyFill="1" applyBorder="1" applyAlignment="1">
      <alignment vertical="center" shrinkToFit="1"/>
    </xf>
    <xf numFmtId="49" fontId="1" fillId="6" borderId="28" xfId="0" applyNumberFormat="1" applyFont="1" applyFill="1" applyBorder="1" applyAlignment="1">
      <alignment vertical="center" shrinkToFit="1"/>
    </xf>
    <xf numFmtId="49" fontId="1" fillId="6" borderId="31" xfId="0" applyNumberFormat="1" applyFont="1" applyFill="1" applyBorder="1" applyAlignment="1">
      <alignment vertical="center" shrinkToFit="1"/>
    </xf>
    <xf numFmtId="14" fontId="1" fillId="2" borderId="0" xfId="0" applyNumberFormat="1" applyFont="1" applyFill="1" applyAlignment="1">
      <alignment horizontal="center" vertical="center" shrinkToFit="1"/>
    </xf>
    <xf numFmtId="49" fontId="1" fillId="2" borderId="0" xfId="0" applyNumberFormat="1" applyFont="1" applyFill="1" applyAlignment="1">
      <alignment horizontal="center" vertical="center" shrinkToFit="1"/>
    </xf>
    <xf numFmtId="0" fontId="1" fillId="8" borderId="27" xfId="0" applyFont="1" applyFill="1" applyBorder="1" applyAlignment="1">
      <alignment horizontal="center" vertical="center" shrinkToFit="1"/>
    </xf>
    <xf numFmtId="166" fontId="1" fillId="8" borderId="28" xfId="0" applyNumberFormat="1" applyFont="1" applyFill="1" applyBorder="1" applyAlignment="1">
      <alignment horizontal="center" vertical="center" shrinkToFit="1"/>
    </xf>
    <xf numFmtId="0" fontId="1" fillId="8" borderId="28" xfId="0" applyFont="1" applyFill="1" applyBorder="1" applyAlignment="1">
      <alignment horizontal="center" vertical="center" shrinkToFit="1"/>
    </xf>
    <xf numFmtId="0" fontId="1" fillId="8" borderId="29" xfId="0" applyFont="1" applyFill="1" applyBorder="1" applyAlignment="1">
      <alignment horizontal="center" vertical="center" shrinkToFit="1"/>
    </xf>
    <xf numFmtId="0" fontId="1" fillId="8" borderId="74" xfId="0" applyFont="1" applyFill="1" applyBorder="1" applyAlignment="1">
      <alignment horizontal="center" vertical="center" shrinkToFit="1"/>
    </xf>
    <xf numFmtId="166" fontId="1" fillId="8" borderId="0" xfId="0" applyNumberFormat="1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8" borderId="15" xfId="0" applyFont="1" applyFill="1" applyBorder="1" applyAlignment="1">
      <alignment horizontal="center" vertical="center" shrinkToFit="1"/>
    </xf>
    <xf numFmtId="0" fontId="1" fillId="8" borderId="56" xfId="0" applyFont="1" applyFill="1" applyBorder="1" applyAlignment="1">
      <alignment horizontal="center" vertical="center" shrinkToFit="1"/>
    </xf>
    <xf numFmtId="166" fontId="1" fillId="8" borderId="24" xfId="0" applyNumberFormat="1" applyFont="1" applyFill="1" applyBorder="1" applyAlignment="1">
      <alignment horizontal="center" vertical="center" shrinkToFit="1"/>
    </xf>
    <xf numFmtId="0" fontId="1" fillId="8" borderId="24" xfId="0" applyFont="1" applyFill="1" applyBorder="1" applyAlignment="1">
      <alignment horizontal="center" vertical="center" shrinkToFit="1"/>
    </xf>
    <xf numFmtId="0" fontId="1" fillId="8" borderId="58" xfId="0" applyFont="1" applyFill="1" applyBorder="1" applyAlignment="1">
      <alignment horizontal="center" vertical="center" shrinkToFit="1"/>
    </xf>
    <xf numFmtId="0" fontId="1" fillId="8" borderId="4" xfId="0" applyFont="1" applyFill="1" applyBorder="1" applyAlignment="1">
      <alignment horizontal="center" vertical="center" shrinkToFit="1"/>
    </xf>
    <xf numFmtId="166" fontId="1" fillId="8" borderId="5" xfId="0" applyNumberFormat="1" applyFont="1" applyFill="1" applyBorder="1" applyAlignment="1">
      <alignment horizontal="center" vertical="center" shrinkToFit="1"/>
    </xf>
    <xf numFmtId="0" fontId="1" fillId="8" borderId="5" xfId="0" applyFont="1" applyFill="1" applyBorder="1" applyAlignment="1">
      <alignment horizontal="center" vertical="center" shrinkToFit="1"/>
    </xf>
    <xf numFmtId="0" fontId="1" fillId="8" borderId="6" xfId="0" applyFont="1" applyFill="1" applyBorder="1" applyAlignment="1">
      <alignment horizontal="center" vertical="center" shrinkToFit="1"/>
    </xf>
    <xf numFmtId="0" fontId="1" fillId="8" borderId="71" xfId="0" applyFont="1" applyFill="1" applyBorder="1" applyAlignment="1">
      <alignment horizontal="center" vertical="center" shrinkToFit="1"/>
    </xf>
    <xf numFmtId="166" fontId="1" fillId="8" borderId="65" xfId="0" applyNumberFormat="1" applyFont="1" applyFill="1" applyBorder="1" applyAlignment="1">
      <alignment horizontal="center" vertical="center" shrinkToFit="1"/>
    </xf>
    <xf numFmtId="0" fontId="1" fillId="8" borderId="65" xfId="0" applyFont="1" applyFill="1" applyBorder="1" applyAlignment="1">
      <alignment horizontal="center" vertical="center" shrinkToFit="1"/>
    </xf>
    <xf numFmtId="0" fontId="1" fillId="8" borderId="72" xfId="0" applyFont="1" applyFill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shrinkToFit="1"/>
    </xf>
    <xf numFmtId="166" fontId="1" fillId="8" borderId="54" xfId="0" applyNumberFormat="1" applyFont="1" applyFill="1" applyBorder="1" applyAlignment="1">
      <alignment horizontal="center" vertical="center" shrinkToFit="1"/>
    </xf>
    <xf numFmtId="0" fontId="1" fillId="8" borderId="54" xfId="0" applyFont="1" applyFill="1" applyBorder="1" applyAlignment="1">
      <alignment horizontal="center" vertical="center" shrinkToFit="1"/>
    </xf>
    <xf numFmtId="0" fontId="1" fillId="8" borderId="57" xfId="0" applyFont="1" applyFill="1" applyBorder="1" applyAlignment="1">
      <alignment horizontal="center" vertical="center" shrinkToFit="1"/>
    </xf>
    <xf numFmtId="0" fontId="0" fillId="0" borderId="11" xfId="0" applyBorder="1" applyAlignment="1" applyProtection="1">
      <alignment horizontal="center" vertical="center" shrinkToFit="1"/>
      <protection locked="0"/>
    </xf>
    <xf numFmtId="0" fontId="0" fillId="0" borderId="22" xfId="0" applyBorder="1" applyAlignment="1" applyProtection="1">
      <alignment horizontal="center" vertical="center" shrinkToFit="1"/>
      <protection locked="0"/>
    </xf>
    <xf numFmtId="166" fontId="1" fillId="7" borderId="21" xfId="0" applyNumberFormat="1" applyFont="1" applyFill="1" applyBorder="1" applyAlignment="1">
      <alignment horizontal="center" vertical="center" shrinkToFit="1"/>
    </xf>
    <xf numFmtId="0" fontId="1" fillId="5" borderId="39" xfId="0" applyFont="1" applyFill="1" applyBorder="1" applyAlignment="1">
      <alignment horizontal="center" vertical="center" shrinkToFit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0" fillId="0" borderId="21" xfId="0" applyNumberFormat="1" applyBorder="1" applyAlignment="1" applyProtection="1">
      <alignment vertical="center" shrinkToFit="1"/>
      <protection locked="0"/>
    </xf>
    <xf numFmtId="0" fontId="0" fillId="9" borderId="12" xfId="0" applyFill="1" applyBorder="1" applyAlignment="1">
      <alignment horizontal="center" vertical="center" shrinkToFit="1"/>
    </xf>
    <xf numFmtId="167" fontId="1" fillId="2" borderId="8" xfId="0" applyNumberFormat="1" applyFont="1" applyFill="1" applyBorder="1" applyAlignment="1">
      <alignment horizontal="center" vertical="center" shrinkToFit="1"/>
    </xf>
    <xf numFmtId="49" fontId="1" fillId="2" borderId="10" xfId="0" applyNumberFormat="1" applyFont="1" applyFill="1" applyBorder="1" applyAlignment="1">
      <alignment horizontal="center" vertical="center" shrinkToFit="1"/>
    </xf>
    <xf numFmtId="166" fontId="1" fillId="2" borderId="17" xfId="0" applyNumberFormat="1" applyFont="1" applyFill="1" applyBorder="1" applyAlignment="1">
      <alignment horizontal="center" vertical="center" shrinkToFit="1"/>
    </xf>
    <xf numFmtId="166" fontId="1" fillId="2" borderId="10" xfId="0" applyNumberFormat="1" applyFont="1" applyFill="1" applyBorder="1" applyAlignment="1">
      <alignment horizontal="center" vertical="center" shrinkToFit="1"/>
    </xf>
    <xf numFmtId="166" fontId="1" fillId="0" borderId="17" xfId="0" applyNumberFormat="1" applyFont="1" applyBorder="1" applyAlignment="1">
      <alignment horizontal="center"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166" fontId="1" fillId="0" borderId="10" xfId="0" applyNumberFormat="1" applyFont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66" fontId="2" fillId="0" borderId="10" xfId="0" applyNumberFormat="1" applyFont="1" applyBorder="1" applyAlignment="1">
      <alignment vertical="center" shrinkToFit="1"/>
    </xf>
    <xf numFmtId="166" fontId="0" fillId="0" borderId="10" xfId="0" applyNumberFormat="1" applyBorder="1" applyAlignment="1">
      <alignment vertical="center" shrinkToFit="1"/>
    </xf>
    <xf numFmtId="167" fontId="0" fillId="2" borderId="8" xfId="0" applyNumberFormat="1" applyFill="1" applyBorder="1" applyAlignment="1">
      <alignment horizontal="center" vertical="center" shrinkToFit="1"/>
    </xf>
    <xf numFmtId="166" fontId="0" fillId="2" borderId="10" xfId="0" applyNumberFormat="1" applyFill="1" applyBorder="1" applyAlignment="1">
      <alignment horizontal="center" vertical="center" shrinkToFit="1"/>
    </xf>
    <xf numFmtId="49" fontId="1" fillId="2" borderId="17" xfId="0" applyNumberFormat="1" applyFont="1" applyFill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49" fontId="1" fillId="2" borderId="21" xfId="0" applyNumberFormat="1" applyFont="1" applyFill="1" applyBorder="1" applyAlignment="1">
      <alignment horizontal="center" vertical="center" shrinkToFit="1"/>
    </xf>
    <xf numFmtId="166" fontId="1" fillId="2" borderId="21" xfId="0" applyNumberFormat="1" applyFont="1" applyFill="1" applyBorder="1" applyAlignment="1">
      <alignment horizontal="center" vertical="center" shrinkToFit="1"/>
    </xf>
    <xf numFmtId="166" fontId="1" fillId="0" borderId="21" xfId="0" applyNumberFormat="1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shrinkToFit="1"/>
    </xf>
    <xf numFmtId="0" fontId="0" fillId="8" borderId="28" xfId="0" applyFill="1" applyBorder="1" applyAlignment="1">
      <alignment horizontal="center" vertical="center"/>
    </xf>
    <xf numFmtId="49" fontId="1" fillId="8" borderId="28" xfId="0" applyNumberFormat="1" applyFont="1" applyFill="1" applyBorder="1" applyAlignment="1">
      <alignment horizontal="left" vertical="center" shrinkToFit="1"/>
    </xf>
    <xf numFmtId="49" fontId="1" fillId="8" borderId="28" xfId="0" applyNumberFormat="1" applyFont="1" applyFill="1" applyBorder="1" applyAlignment="1">
      <alignment horizontal="center" vertical="center" shrinkToFit="1"/>
    </xf>
    <xf numFmtId="0" fontId="0" fillId="8" borderId="0" xfId="0" applyFill="1" applyAlignment="1">
      <alignment horizontal="center" vertical="center"/>
    </xf>
    <xf numFmtId="49" fontId="1" fillId="8" borderId="0" xfId="0" applyNumberFormat="1" applyFont="1" applyFill="1" applyAlignment="1">
      <alignment horizontal="left" vertical="center" shrinkToFit="1"/>
    </xf>
    <xf numFmtId="49" fontId="1" fillId="8" borderId="0" xfId="0" applyNumberFormat="1" applyFont="1" applyFill="1" applyAlignment="1">
      <alignment horizontal="center" vertical="center" shrinkToFit="1"/>
    </xf>
    <xf numFmtId="0" fontId="0" fillId="8" borderId="24" xfId="0" applyFill="1" applyBorder="1" applyAlignment="1">
      <alignment horizontal="center" vertical="center"/>
    </xf>
    <xf numFmtId="49" fontId="1" fillId="8" borderId="24" xfId="0" applyNumberFormat="1" applyFont="1" applyFill="1" applyBorder="1" applyAlignment="1">
      <alignment horizontal="left" vertical="center" shrinkToFit="1"/>
    </xf>
    <xf numFmtId="49" fontId="1" fillId="8" borderId="24" xfId="0" applyNumberFormat="1" applyFon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 shrinkToFit="1"/>
    </xf>
    <xf numFmtId="14" fontId="1" fillId="2" borderId="23" xfId="0" applyNumberFormat="1" applyFont="1" applyFill="1" applyBorder="1" applyAlignment="1">
      <alignment horizontal="center" vertical="center" shrinkToFit="1"/>
    </xf>
    <xf numFmtId="14" fontId="1" fillId="2" borderId="8" xfId="0" applyNumberFormat="1" applyFont="1" applyFill="1" applyBorder="1" applyAlignment="1">
      <alignment horizontal="center" vertical="center" shrinkToFit="1"/>
    </xf>
    <xf numFmtId="14" fontId="0" fillId="2" borderId="8" xfId="0" applyNumberFormat="1" applyFill="1" applyBorder="1" applyAlignment="1">
      <alignment horizontal="center" vertical="center" shrinkToFit="1"/>
    </xf>
    <xf numFmtId="167" fontId="1" fillId="2" borderId="13" xfId="0" applyNumberFormat="1" applyFont="1" applyFill="1" applyBorder="1" applyAlignment="1">
      <alignment horizontal="center" vertical="center" shrinkToFit="1"/>
    </xf>
    <xf numFmtId="0" fontId="0" fillId="8" borderId="30" xfId="0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 shrinkToFit="1"/>
    </xf>
    <xf numFmtId="0" fontId="0" fillId="8" borderId="66" xfId="0" applyFill="1" applyBorder="1" applyAlignment="1">
      <alignment horizontal="center" vertical="center"/>
    </xf>
    <xf numFmtId="49" fontId="1" fillId="8" borderId="61" xfId="0" applyNumberFormat="1" applyFont="1" applyFill="1" applyBorder="1" applyAlignment="1">
      <alignment horizontal="center" vertical="center" shrinkToFit="1"/>
    </xf>
    <xf numFmtId="0" fontId="0" fillId="8" borderId="68" xfId="0" applyFill="1" applyBorder="1" applyAlignment="1">
      <alignment horizontal="center" vertical="center"/>
    </xf>
    <xf numFmtId="49" fontId="1" fillId="8" borderId="69" xfId="0" applyNumberFormat="1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14" fontId="0" fillId="0" borderId="18" xfId="0" applyNumberFormat="1" applyBorder="1" applyAlignment="1">
      <alignment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5" borderId="53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67" fontId="1" fillId="2" borderId="23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166" fontId="1" fillId="0" borderId="0" xfId="0" applyNumberFormat="1" applyFont="1" applyAlignment="1">
      <alignment horizontal="center" vertical="center" shrinkToFit="1"/>
    </xf>
    <xf numFmtId="49" fontId="1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shrinkToFit="1"/>
    </xf>
    <xf numFmtId="0" fontId="0" fillId="7" borderId="6" xfId="0" applyFill="1" applyBorder="1" applyAlignment="1">
      <alignment horizontal="center" vertical="center" shrinkToFit="1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 shrinkToFit="1"/>
      <protection locked="0"/>
    </xf>
    <xf numFmtId="49" fontId="1" fillId="0" borderId="9" xfId="0" applyNumberFormat="1" applyFont="1" applyBorder="1" applyAlignment="1">
      <alignment horizontal="center" vertical="center" shrinkToFit="1"/>
    </xf>
    <xf numFmtId="49" fontId="1" fillId="0" borderId="34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14" fontId="0" fillId="0" borderId="16" xfId="0" applyNumberFormat="1" applyBorder="1" applyAlignment="1" applyProtection="1">
      <alignment vertical="center" shrinkToFit="1"/>
      <protection locked="0"/>
    </xf>
    <xf numFmtId="14" fontId="0" fillId="0" borderId="17" xfId="0" applyNumberFormat="1" applyBorder="1" applyAlignment="1" applyProtection="1">
      <alignment vertical="center" shrinkToFi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14" fontId="0" fillId="0" borderId="18" xfId="0" applyNumberFormat="1" applyBorder="1" applyAlignment="1" applyProtection="1">
      <alignment vertical="center" shrinkToFit="1"/>
      <protection locked="0"/>
    </xf>
    <xf numFmtId="0" fontId="0" fillId="0" borderId="7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 shrinkToFit="1"/>
    </xf>
    <xf numFmtId="166" fontId="1" fillId="7" borderId="37" xfId="0" applyNumberFormat="1" applyFont="1" applyFill="1" applyBorder="1" applyAlignment="1">
      <alignment horizontal="center" vertical="center" shrinkToFit="1"/>
    </xf>
    <xf numFmtId="0" fontId="1" fillId="7" borderId="21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6" fillId="5" borderId="72" xfId="0" applyFont="1" applyFill="1" applyBorder="1" applyAlignment="1">
      <alignment horizontal="center" vertical="center" shrinkToFit="1"/>
    </xf>
    <xf numFmtId="0" fontId="1" fillId="0" borderId="11" xfId="0" applyFont="1" applyBorder="1" applyAlignment="1" applyProtection="1">
      <alignment horizontal="center" vertical="center" shrinkToFit="1"/>
      <protection locked="0"/>
    </xf>
    <xf numFmtId="0" fontId="1" fillId="7" borderId="18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1" fillId="5" borderId="40" xfId="0" applyFont="1" applyFill="1" applyBorder="1" applyAlignment="1">
      <alignment horizontal="center" vertical="center" shrinkToFit="1"/>
    </xf>
    <xf numFmtId="165" fontId="17" fillId="0" borderId="0" xfId="0" applyNumberFormat="1" applyFont="1" applyAlignment="1">
      <alignment horizontal="center" vertical="center" shrinkToFit="1"/>
    </xf>
    <xf numFmtId="0" fontId="1" fillId="7" borderId="13" xfId="0" applyFont="1" applyFill="1" applyBorder="1" applyAlignment="1">
      <alignment horizontal="center" vertical="center" shrinkToFit="1"/>
    </xf>
    <xf numFmtId="166" fontId="1" fillId="7" borderId="10" xfId="0" applyNumberFormat="1" applyFont="1" applyFill="1" applyBorder="1" applyAlignment="1">
      <alignment horizontal="center" vertical="center" shrinkToFit="1"/>
    </xf>
    <xf numFmtId="0" fontId="1" fillId="4" borderId="28" xfId="0" applyFont="1" applyFill="1" applyBorder="1" applyAlignment="1">
      <alignment horizontal="right" vertical="center"/>
    </xf>
    <xf numFmtId="44" fontId="6" fillId="7" borderId="40" xfId="1" applyFont="1" applyFill="1" applyBorder="1" applyAlignment="1" applyProtection="1">
      <alignment horizontal="center" vertical="center" shrinkToFit="1"/>
    </xf>
    <xf numFmtId="3" fontId="6" fillId="0" borderId="0" xfId="0" applyNumberFormat="1" applyFont="1" applyAlignment="1">
      <alignment horizontal="center" vertical="center" shrinkToFit="1"/>
    </xf>
    <xf numFmtId="0" fontId="1" fillId="0" borderId="0" xfId="0" applyFont="1" applyAlignment="1" applyProtection="1">
      <alignment horizontal="center" vertical="center" shrinkToFit="1"/>
      <protection locked="0"/>
    </xf>
    <xf numFmtId="0" fontId="6" fillId="5" borderId="5" xfId="0" applyFont="1" applyFill="1" applyBorder="1" applyAlignment="1">
      <alignment horizontal="center" vertical="center" shrinkToFit="1"/>
    </xf>
    <xf numFmtId="0" fontId="6" fillId="5" borderId="6" xfId="0" applyFont="1" applyFill="1" applyBorder="1" applyAlignment="1">
      <alignment horizontal="center" vertical="center" shrinkToFit="1"/>
    </xf>
    <xf numFmtId="0" fontId="6" fillId="7" borderId="39" xfId="0" applyFont="1" applyFill="1" applyBorder="1" applyAlignment="1">
      <alignment vertical="center" shrinkToFit="1"/>
    </xf>
    <xf numFmtId="166" fontId="1" fillId="7" borderId="40" xfId="0" applyNumberFormat="1" applyFont="1" applyFill="1" applyBorder="1" applyAlignment="1">
      <alignment horizontal="center" vertical="center" shrinkToFit="1"/>
    </xf>
    <xf numFmtId="166" fontId="0" fillId="9" borderId="10" xfId="0" applyNumberFormat="1" applyFill="1" applyBorder="1" applyAlignment="1">
      <alignment horizontal="center" vertical="center" shrinkToFit="1"/>
    </xf>
    <xf numFmtId="0" fontId="1" fillId="9" borderId="18" xfId="0" applyFont="1" applyFill="1" applyBorder="1" applyAlignment="1">
      <alignment horizontal="center" vertical="center" shrinkToFit="1"/>
    </xf>
    <xf numFmtId="166" fontId="0" fillId="9" borderId="11" xfId="0" applyNumberFormat="1" applyFill="1" applyBorder="1" applyAlignment="1">
      <alignment horizontal="center" vertical="center" shrinkToFit="1"/>
    </xf>
    <xf numFmtId="0" fontId="1" fillId="9" borderId="16" xfId="0" applyFont="1" applyFill="1" applyBorder="1" applyAlignment="1">
      <alignment horizontal="center" vertical="center" shrinkToFit="1"/>
    </xf>
    <xf numFmtId="166" fontId="0" fillId="9" borderId="17" xfId="0" applyNumberFormat="1" applyFill="1" applyBorder="1" applyAlignment="1">
      <alignment horizontal="center" vertical="center" shrinkToFit="1"/>
    </xf>
    <xf numFmtId="166" fontId="0" fillId="9" borderId="19" xfId="0" applyNumberFormat="1" applyFill="1" applyBorder="1" applyAlignment="1">
      <alignment horizontal="center" vertical="center" shrinkToFit="1"/>
    </xf>
    <xf numFmtId="0" fontId="1" fillId="9" borderId="78" xfId="0" applyFont="1" applyFill="1" applyBorder="1" applyAlignment="1">
      <alignment horizontal="center" vertical="center" shrinkToFit="1"/>
    </xf>
    <xf numFmtId="166" fontId="0" fillId="9" borderId="52" xfId="0" applyNumberFormat="1" applyFill="1" applyBorder="1" applyAlignment="1">
      <alignment horizontal="center" vertical="center" shrinkToFit="1"/>
    </xf>
    <xf numFmtId="166" fontId="0" fillId="9" borderId="26" xfId="0" applyNumberFormat="1" applyFill="1" applyBorder="1" applyAlignment="1">
      <alignment horizontal="center" vertical="center" shrinkToFit="1"/>
    </xf>
    <xf numFmtId="0" fontId="1" fillId="9" borderId="39" xfId="0" applyFont="1" applyFill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168" fontId="0" fillId="9" borderId="40" xfId="0" applyNumberFormat="1" applyFill="1" applyBorder="1" applyAlignment="1">
      <alignment horizontal="center" vertical="center" shrinkToFit="1"/>
    </xf>
    <xf numFmtId="168" fontId="0" fillId="9" borderId="41" xfId="0" applyNumberForma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6" fillId="10" borderId="65" xfId="0" applyFont="1" applyFill="1" applyBorder="1" applyAlignment="1" applyProtection="1">
      <alignment horizontal="center" vertical="center" shrinkToFit="1"/>
      <protection locked="0"/>
    </xf>
    <xf numFmtId="0" fontId="1" fillId="7" borderId="40" xfId="0" applyFont="1" applyFill="1" applyBorder="1" applyAlignment="1">
      <alignment horizontal="center" vertical="center" shrinkToFit="1"/>
    </xf>
    <xf numFmtId="0" fontId="1" fillId="7" borderId="41" xfId="0" applyFont="1" applyFill="1" applyBorder="1" applyAlignment="1">
      <alignment horizontal="center" vertical="center" shrinkToFit="1"/>
    </xf>
    <xf numFmtId="0" fontId="1" fillId="7" borderId="66" xfId="0" applyFont="1" applyFill="1" applyBorder="1" applyAlignment="1">
      <alignment horizontal="center" vertical="center" shrinkToFit="1"/>
    </xf>
    <xf numFmtId="0" fontId="1" fillId="7" borderId="42" xfId="0" applyFont="1" applyFill="1" applyBorder="1" applyAlignment="1">
      <alignment horizontal="center" vertical="center" shrinkToFit="1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8" xfId="0" applyFill="1" applyBorder="1" applyAlignment="1">
      <alignment vertical="center" shrinkToFit="1"/>
    </xf>
    <xf numFmtId="0" fontId="0" fillId="4" borderId="29" xfId="0" applyFill="1" applyBorder="1" applyAlignment="1">
      <alignment vertical="center" shrinkToFit="1"/>
    </xf>
    <xf numFmtId="0" fontId="0" fillId="7" borderId="42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 shrinkToFit="1"/>
    </xf>
    <xf numFmtId="166" fontId="1" fillId="8" borderId="31" xfId="0" applyNumberFormat="1" applyFont="1" applyFill="1" applyBorder="1" applyAlignment="1">
      <alignment horizontal="center" vertical="center" shrinkToFit="1"/>
    </xf>
    <xf numFmtId="166" fontId="1" fillId="8" borderId="61" xfId="0" applyNumberFormat="1" applyFont="1" applyFill="1" applyBorder="1" applyAlignment="1">
      <alignment horizontal="center" vertical="center" shrinkToFit="1"/>
    </xf>
    <xf numFmtId="166" fontId="1" fillId="8" borderId="69" xfId="0" applyNumberFormat="1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0" fontId="1" fillId="7" borderId="52" xfId="0" applyFont="1" applyFill="1" applyBorder="1" applyAlignment="1">
      <alignment horizontal="center" vertical="center" shrinkToFit="1"/>
    </xf>
    <xf numFmtId="0" fontId="1" fillId="7" borderId="26" xfId="0" applyFont="1" applyFill="1" applyBorder="1" applyAlignment="1">
      <alignment horizontal="center" vertical="center" shrinkToFit="1"/>
    </xf>
    <xf numFmtId="0" fontId="6" fillId="7" borderId="71" xfId="0" applyFont="1" applyFill="1" applyBorder="1" applyAlignment="1">
      <alignment vertical="center" shrinkToFit="1"/>
    </xf>
    <xf numFmtId="166" fontId="6" fillId="7" borderId="65" xfId="0" applyNumberFormat="1" applyFont="1" applyFill="1" applyBorder="1" applyAlignment="1">
      <alignment horizontal="center" vertical="center" shrinkToFit="1"/>
    </xf>
    <xf numFmtId="166" fontId="1" fillId="7" borderId="65" xfId="0" applyNumberFormat="1" applyFont="1" applyFill="1" applyBorder="1" applyAlignment="1">
      <alignment horizontal="center" vertical="center" shrinkToFit="1"/>
    </xf>
    <xf numFmtId="3" fontId="6" fillId="7" borderId="65" xfId="0" applyNumberFormat="1" applyFont="1" applyFill="1" applyBorder="1" applyAlignment="1">
      <alignment horizontal="center" vertical="center" shrinkToFit="1"/>
    </xf>
    <xf numFmtId="0" fontId="1" fillId="9" borderId="10" xfId="0" applyFont="1" applyFill="1" applyBorder="1" applyAlignment="1">
      <alignment horizontal="center" vertical="center" shrinkToFit="1"/>
    </xf>
    <xf numFmtId="166" fontId="1" fillId="9" borderId="10" xfId="0" applyNumberFormat="1" applyFont="1" applyFill="1" applyBorder="1" applyAlignment="1">
      <alignment horizontal="center" vertical="center" shrinkToFit="1"/>
    </xf>
    <xf numFmtId="0" fontId="1" fillId="9" borderId="11" xfId="0" applyFont="1" applyFill="1" applyBorder="1" applyAlignment="1">
      <alignment horizontal="center" vertical="center" shrinkToFit="1"/>
    </xf>
    <xf numFmtId="0" fontId="1" fillId="9" borderId="81" xfId="0" applyFont="1" applyFill="1" applyBorder="1" applyAlignment="1">
      <alignment horizontal="center" vertical="center" shrinkToFit="1"/>
    </xf>
    <xf numFmtId="166" fontId="1" fillId="9" borderId="80" xfId="0" applyNumberFormat="1" applyFont="1" applyFill="1" applyBorder="1" applyAlignment="1">
      <alignment horizontal="center" vertical="center" shrinkToFit="1"/>
    </xf>
    <xf numFmtId="0" fontId="1" fillId="9" borderId="80" xfId="0" applyFont="1" applyFill="1" applyBorder="1" applyAlignment="1">
      <alignment horizontal="center" vertical="center" shrinkToFit="1"/>
    </xf>
    <xf numFmtId="0" fontId="1" fillId="9" borderId="79" xfId="0" applyFont="1" applyFill="1" applyBorder="1" applyAlignment="1">
      <alignment horizontal="center" vertical="center" shrinkToFit="1"/>
    </xf>
    <xf numFmtId="0" fontId="0" fillId="11" borderId="18" xfId="0" applyFill="1" applyBorder="1" applyAlignment="1">
      <alignment horizontal="center" vertical="center"/>
    </xf>
    <xf numFmtId="166" fontId="0" fillId="11" borderId="10" xfId="0" applyNumberFormat="1" applyFill="1" applyBorder="1" applyAlignment="1">
      <alignment horizontal="center" vertical="center"/>
    </xf>
    <xf numFmtId="3" fontId="0" fillId="11" borderId="10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66" fontId="0" fillId="11" borderId="80" xfId="0" applyNumberFormat="1" applyFill="1" applyBorder="1" applyAlignment="1">
      <alignment horizontal="center" vertical="center"/>
    </xf>
    <xf numFmtId="3" fontId="0" fillId="11" borderId="80" xfId="0" applyNumberFormat="1" applyFill="1" applyBorder="1" applyAlignment="1">
      <alignment horizontal="center" vertical="center"/>
    </xf>
    <xf numFmtId="0" fontId="0" fillId="11" borderId="80" xfId="0" applyFill="1" applyBorder="1" applyAlignment="1">
      <alignment horizontal="center" vertical="center"/>
    </xf>
    <xf numFmtId="0" fontId="6" fillId="9" borderId="56" xfId="0" applyFont="1" applyFill="1" applyBorder="1" applyAlignment="1">
      <alignment vertical="center" shrinkToFit="1"/>
    </xf>
    <xf numFmtId="166" fontId="6" fillId="9" borderId="54" xfId="0" applyNumberFormat="1" applyFont="1" applyFill="1" applyBorder="1" applyAlignment="1">
      <alignment vertical="center" shrinkToFit="1"/>
    </xf>
    <xf numFmtId="0" fontId="6" fillId="9" borderId="54" xfId="0" applyFont="1" applyFill="1" applyBorder="1" applyAlignment="1">
      <alignment horizontal="center" vertical="center" shrinkToFit="1"/>
    </xf>
    <xf numFmtId="0" fontId="6" fillId="11" borderId="77" xfId="0" applyFont="1" applyFill="1" applyBorder="1" applyAlignment="1">
      <alignment vertical="center" shrinkToFit="1"/>
    </xf>
    <xf numFmtId="166" fontId="6" fillId="11" borderId="54" xfId="0" applyNumberFormat="1" applyFont="1" applyFill="1" applyBorder="1" applyAlignment="1">
      <alignment vertical="center" shrinkToFit="1"/>
    </xf>
    <xf numFmtId="3" fontId="6" fillId="11" borderId="54" xfId="0" applyNumberFormat="1" applyFont="1" applyFill="1" applyBorder="1" applyAlignment="1">
      <alignment horizontal="center" vertical="center" shrinkToFit="1"/>
    </xf>
    <xf numFmtId="166" fontId="1" fillId="0" borderId="10" xfId="0" applyNumberFormat="1" applyFont="1" applyBorder="1" applyAlignment="1">
      <alignment vertical="center" shrinkToFit="1"/>
    </xf>
    <xf numFmtId="170" fontId="0" fillId="0" borderId="10" xfId="0" applyNumberForma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171" fontId="0" fillId="0" borderId="10" xfId="0" applyNumberFormat="1" applyBorder="1"/>
    <xf numFmtId="171" fontId="0" fillId="0" borderId="21" xfId="0" applyNumberFormat="1" applyBorder="1"/>
    <xf numFmtId="171" fontId="0" fillId="0" borderId="11" xfId="0" applyNumberFormat="1" applyBorder="1"/>
    <xf numFmtId="171" fontId="0" fillId="0" borderId="22" xfId="0" applyNumberFormat="1" applyBorder="1"/>
    <xf numFmtId="170" fontId="0" fillId="0" borderId="8" xfId="0" applyNumberFormat="1" applyBorder="1" applyAlignment="1">
      <alignment horizontal="center"/>
    </xf>
    <xf numFmtId="171" fontId="0" fillId="0" borderId="8" xfId="0" applyNumberFormat="1" applyBorder="1"/>
    <xf numFmtId="171" fontId="0" fillId="0" borderId="13" xfId="0" applyNumberFormat="1" applyBorder="1"/>
    <xf numFmtId="170" fontId="0" fillId="9" borderId="18" xfId="0" applyNumberFormat="1" applyFill="1" applyBorder="1" applyAlignment="1">
      <alignment horizontal="center"/>
    </xf>
    <xf numFmtId="171" fontId="0" fillId="9" borderId="18" xfId="0" applyNumberFormat="1" applyFill="1" applyBorder="1"/>
    <xf numFmtId="171" fontId="0" fillId="9" borderId="20" xfId="0" applyNumberFormat="1" applyFill="1" applyBorder="1"/>
    <xf numFmtId="170" fontId="0" fillId="0" borderId="18" xfId="0" applyNumberFormat="1" applyBorder="1" applyAlignment="1">
      <alignment horizontal="center"/>
    </xf>
    <xf numFmtId="171" fontId="0" fillId="0" borderId="18" xfId="0" applyNumberFormat="1" applyBorder="1"/>
    <xf numFmtId="171" fontId="0" fillId="0" borderId="20" xfId="0" applyNumberFormat="1" applyBorder="1"/>
    <xf numFmtId="170" fontId="1" fillId="0" borderId="37" xfId="0" applyNumberFormat="1" applyFont="1" applyBorder="1" applyAlignment="1">
      <alignment horizontal="center" vertical="center" wrapText="1"/>
    </xf>
    <xf numFmtId="170" fontId="1" fillId="0" borderId="38" xfId="0" applyNumberFormat="1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73" fontId="0" fillId="0" borderId="8" xfId="0" applyNumberForma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73" fontId="0" fillId="0" borderId="21" xfId="0" applyNumberFormat="1" applyBorder="1" applyAlignment="1">
      <alignment horizontal="center"/>
    </xf>
    <xf numFmtId="173" fontId="0" fillId="0" borderId="2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0" fontId="0" fillId="0" borderId="59" xfId="0" applyNumberFormat="1" applyBorder="1"/>
    <xf numFmtId="170" fontId="0" fillId="0" borderId="76" xfId="0" applyNumberFormat="1" applyBorder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1" fillId="0" borderId="60" xfId="0" applyFont="1" applyBorder="1"/>
    <xf numFmtId="0" fontId="0" fillId="0" borderId="0" xfId="0" applyAlignment="1">
      <alignment wrapText="1"/>
    </xf>
    <xf numFmtId="0" fontId="1" fillId="9" borderId="0" xfId="0" applyFont="1" applyFill="1" applyAlignment="1">
      <alignment horizontal="center" wrapText="1"/>
    </xf>
    <xf numFmtId="170" fontId="1" fillId="4" borderId="3" xfId="0" applyNumberFormat="1" applyFont="1" applyFill="1" applyBorder="1" applyAlignment="1">
      <alignment horizontal="center" vertical="center" wrapText="1"/>
    </xf>
    <xf numFmtId="173" fontId="0" fillId="4" borderId="9" xfId="0" applyNumberFormat="1" applyFill="1" applyBorder="1" applyAlignment="1">
      <alignment horizontal="center"/>
    </xf>
    <xf numFmtId="170" fontId="0" fillId="0" borderId="38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49" fontId="1" fillId="0" borderId="9" xfId="0" applyNumberFormat="1" applyFont="1" applyBorder="1" applyAlignment="1" applyProtection="1">
      <alignment horizontal="center" vertical="center" shrinkToFit="1"/>
      <protection locked="0"/>
    </xf>
    <xf numFmtId="49" fontId="1" fillId="0" borderId="34" xfId="0" applyNumberFormat="1" applyFont="1" applyBorder="1" applyAlignment="1" applyProtection="1">
      <alignment horizontal="center" vertical="center" shrinkToFit="1"/>
      <protection locked="0"/>
    </xf>
    <xf numFmtId="49" fontId="1" fillId="0" borderId="8" xfId="0" applyNumberFormat="1" applyFont="1" applyBorder="1" applyAlignment="1" applyProtection="1">
      <alignment horizontal="center" vertical="center" shrinkToFit="1"/>
      <protection locked="0"/>
    </xf>
    <xf numFmtId="0" fontId="7" fillId="5" borderId="42" xfId="0" applyFont="1" applyFill="1" applyBorder="1" applyAlignment="1">
      <alignment horizontal="center" vertical="center" wrapText="1" shrinkToFit="1"/>
    </xf>
    <xf numFmtId="0" fontId="7" fillId="5" borderId="33" xfId="0" applyFont="1" applyFill="1" applyBorder="1" applyAlignment="1">
      <alignment horizontal="center" vertical="center" wrapText="1" shrinkToFit="1"/>
    </xf>
    <xf numFmtId="0" fontId="1" fillId="4" borderId="30" xfId="0" applyFont="1" applyFill="1" applyBorder="1" applyAlignment="1">
      <alignment horizontal="right" vertical="center"/>
    </xf>
    <xf numFmtId="0" fontId="1" fillId="4" borderId="28" xfId="0" applyFont="1" applyFill="1" applyBorder="1" applyAlignment="1">
      <alignment horizontal="right" vertical="center"/>
    </xf>
    <xf numFmtId="0" fontId="1" fillId="4" borderId="29" xfId="0" applyFont="1" applyFill="1" applyBorder="1" applyAlignment="1">
      <alignment horizontal="right" vertical="center"/>
    </xf>
    <xf numFmtId="3" fontId="1" fillId="5" borderId="46" xfId="0" applyNumberFormat="1" applyFont="1" applyFill="1" applyBorder="1" applyAlignment="1">
      <alignment horizontal="center" vertical="center" wrapText="1"/>
    </xf>
    <xf numFmtId="3" fontId="1" fillId="5" borderId="51" xfId="0" applyNumberFormat="1" applyFont="1" applyFill="1" applyBorder="1" applyAlignment="1">
      <alignment horizontal="center" vertical="center" wrapText="1"/>
    </xf>
    <xf numFmtId="3" fontId="1" fillId="5" borderId="49" xfId="0" applyNumberFormat="1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shrinkToFit="1"/>
    </xf>
    <xf numFmtId="0" fontId="9" fillId="6" borderId="51" xfId="0" applyFont="1" applyFill="1" applyBorder="1" applyAlignment="1">
      <alignment horizontal="center" vertical="center" shrinkToFit="1"/>
    </xf>
    <xf numFmtId="0" fontId="9" fillId="6" borderId="31" xfId="0" applyFont="1" applyFill="1" applyBorder="1" applyAlignment="1">
      <alignment horizontal="center" vertical="center" shrinkToFit="1"/>
    </xf>
    <xf numFmtId="165" fontId="17" fillId="0" borderId="0" xfId="0" applyNumberFormat="1" applyFont="1" applyAlignment="1">
      <alignment horizontal="center" vertical="center" shrinkToFit="1"/>
    </xf>
    <xf numFmtId="165" fontId="23" fillId="0" borderId="0" xfId="0" applyNumberFormat="1" applyFont="1" applyAlignment="1">
      <alignment horizontal="center" vertical="center" shrinkToFit="1"/>
    </xf>
    <xf numFmtId="14" fontId="0" fillId="7" borderId="53" xfId="0" applyNumberFormat="1" applyFill="1" applyBorder="1" applyAlignment="1">
      <alignment horizontal="center" vertical="center"/>
    </xf>
    <xf numFmtId="14" fontId="0" fillId="7" borderId="50" xfId="0" applyNumberForma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shrinkToFit="1"/>
    </xf>
    <xf numFmtId="0" fontId="1" fillId="7" borderId="49" xfId="0" applyFont="1" applyFill="1" applyBorder="1" applyAlignment="1">
      <alignment horizontal="center" vertical="center" shrinkToFit="1"/>
    </xf>
    <xf numFmtId="0" fontId="1" fillId="7" borderId="66" xfId="0" applyFont="1" applyFill="1" applyBorder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 shrinkToFit="1"/>
    </xf>
    <xf numFmtId="0" fontId="1" fillId="7" borderId="35" xfId="0" applyFont="1" applyFill="1" applyBorder="1" applyAlignment="1">
      <alignment horizontal="left" vertical="center"/>
    </xf>
    <xf numFmtId="0" fontId="1" fillId="7" borderId="36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left" vertical="center"/>
    </xf>
    <xf numFmtId="0" fontId="1" fillId="7" borderId="34" xfId="0" applyFont="1" applyFill="1" applyBorder="1" applyAlignment="1">
      <alignment horizontal="left" vertical="center"/>
    </xf>
    <xf numFmtId="0" fontId="1" fillId="4" borderId="53" xfId="0" applyFont="1" applyFill="1" applyBorder="1" applyAlignment="1">
      <alignment horizontal="center" vertical="center" shrinkToFit="1"/>
    </xf>
    <xf numFmtId="0" fontId="1" fillId="4" borderId="51" xfId="0" applyFont="1" applyFill="1" applyBorder="1" applyAlignment="1">
      <alignment horizontal="center" vertical="center" shrinkToFit="1"/>
    </xf>
    <xf numFmtId="0" fontId="1" fillId="4" borderId="50" xfId="0" applyFont="1" applyFill="1" applyBorder="1" applyAlignment="1">
      <alignment horizontal="center" vertical="center" shrinkToFit="1"/>
    </xf>
    <xf numFmtId="0" fontId="5" fillId="5" borderId="53" xfId="0" applyFont="1" applyFill="1" applyBorder="1" applyAlignment="1">
      <alignment horizontal="center" vertical="center" shrinkToFit="1"/>
    </xf>
    <xf numFmtId="0" fontId="5" fillId="5" borderId="49" xfId="0" applyFont="1" applyFill="1" applyBorder="1" applyAlignment="1">
      <alignment horizontal="center" vertical="center" shrinkToFit="1"/>
    </xf>
    <xf numFmtId="0" fontId="2" fillId="5" borderId="46" xfId="0" applyFont="1" applyFill="1" applyBorder="1" applyAlignment="1">
      <alignment horizontal="center" vertical="center" shrinkToFit="1"/>
    </xf>
    <xf numFmtId="0" fontId="2" fillId="5" borderId="49" xfId="0" applyFont="1" applyFill="1" applyBorder="1" applyAlignment="1">
      <alignment horizontal="center" vertical="center" shrinkToFit="1"/>
    </xf>
    <xf numFmtId="0" fontId="1" fillId="7" borderId="2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shrinkToFit="1"/>
    </xf>
    <xf numFmtId="0" fontId="1" fillId="7" borderId="54" xfId="0" applyFont="1" applyFill="1" applyBorder="1" applyAlignment="1">
      <alignment horizontal="center" vertical="center" shrinkToFit="1"/>
    </xf>
    <xf numFmtId="0" fontId="1" fillId="7" borderId="3" xfId="0" applyFont="1" applyFill="1" applyBorder="1" applyAlignment="1">
      <alignment horizontal="center" vertical="center"/>
    </xf>
    <xf numFmtId="0" fontId="1" fillId="7" borderId="5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shrinkToFit="1"/>
    </xf>
    <xf numFmtId="0" fontId="1" fillId="4" borderId="37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9" borderId="18" xfId="0" applyFont="1" applyFill="1" applyBorder="1" applyAlignment="1">
      <alignment horizontal="center" vertical="center" shrinkToFit="1"/>
    </xf>
    <xf numFmtId="0" fontId="1" fillId="9" borderId="20" xfId="0" applyFont="1" applyFill="1" applyBorder="1" applyAlignment="1">
      <alignment horizontal="center" vertical="center" shrinkToFit="1"/>
    </xf>
    <xf numFmtId="0" fontId="1" fillId="5" borderId="33" xfId="0" applyFont="1" applyFill="1" applyBorder="1" applyAlignment="1">
      <alignment horizontal="right" vertical="center" shrinkToFit="1"/>
    </xf>
    <xf numFmtId="0" fontId="1" fillId="5" borderId="34" xfId="0" applyFont="1" applyFill="1" applyBorder="1" applyAlignment="1">
      <alignment horizontal="right" vertical="center" shrinkToFit="1"/>
    </xf>
    <xf numFmtId="0" fontId="1" fillId="5" borderId="8" xfId="0" applyFont="1" applyFill="1" applyBorder="1" applyAlignment="1">
      <alignment horizontal="right" vertical="center" shrinkToFit="1"/>
    </xf>
    <xf numFmtId="0" fontId="1" fillId="5" borderId="62" xfId="0" applyFont="1" applyFill="1" applyBorder="1" applyAlignment="1">
      <alignment horizontal="right" vertical="center" shrinkToFit="1"/>
    </xf>
    <xf numFmtId="0" fontId="1" fillId="5" borderId="25" xfId="0" applyFont="1" applyFill="1" applyBorder="1" applyAlignment="1">
      <alignment horizontal="right" vertical="center" shrinkToFit="1"/>
    </xf>
    <xf numFmtId="0" fontId="1" fillId="5" borderId="47" xfId="0" applyFont="1" applyFill="1" applyBorder="1" applyAlignment="1">
      <alignment horizontal="right" vertical="center" shrinkToFit="1"/>
    </xf>
    <xf numFmtId="0" fontId="1" fillId="4" borderId="43" xfId="0" applyFont="1" applyFill="1" applyBorder="1" applyAlignment="1">
      <alignment horizontal="center" vertical="center" wrapText="1" shrinkToFit="1"/>
    </xf>
    <xf numFmtId="0" fontId="1" fillId="4" borderId="44" xfId="0" applyFont="1" applyFill="1" applyBorder="1" applyAlignment="1">
      <alignment horizontal="center" vertical="center" wrapText="1" shrinkToFit="1"/>
    </xf>
    <xf numFmtId="0" fontId="1" fillId="7" borderId="20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right" vertical="center"/>
    </xf>
    <xf numFmtId="0" fontId="1" fillId="7" borderId="51" xfId="0" applyFont="1" applyFill="1" applyBorder="1" applyAlignment="1">
      <alignment horizontal="right" vertical="center"/>
    </xf>
    <xf numFmtId="0" fontId="1" fillId="7" borderId="31" xfId="0" applyFont="1" applyFill="1" applyBorder="1" applyAlignment="1">
      <alignment horizontal="right" vertical="center"/>
    </xf>
    <xf numFmtId="0" fontId="2" fillId="4" borderId="64" xfId="0" applyFont="1" applyFill="1" applyBorder="1" applyAlignment="1">
      <alignment horizontal="center" vertical="center" wrapText="1" shrinkToFit="1"/>
    </xf>
    <xf numFmtId="0" fontId="2" fillId="4" borderId="70" xfId="0" applyFont="1" applyFill="1" applyBorder="1" applyAlignment="1">
      <alignment horizontal="center" vertical="center" wrapText="1" shrinkToFit="1"/>
    </xf>
    <xf numFmtId="0" fontId="2" fillId="4" borderId="44" xfId="0" applyFont="1" applyFill="1" applyBorder="1" applyAlignment="1">
      <alignment horizontal="center" vertical="center" wrapText="1" shrinkToFit="1"/>
    </xf>
    <xf numFmtId="0" fontId="1" fillId="4" borderId="64" xfId="0" applyFont="1" applyFill="1" applyBorder="1" applyAlignment="1">
      <alignment horizontal="center" vertical="center" wrapText="1"/>
    </xf>
    <xf numFmtId="0" fontId="1" fillId="4" borderId="7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 shrinkToFit="1"/>
    </xf>
    <xf numFmtId="0" fontId="1" fillId="5" borderId="45" xfId="0" applyFont="1" applyFill="1" applyBorder="1" applyAlignment="1">
      <alignment horizontal="right" vertical="center" shrinkToFit="1"/>
    </xf>
    <xf numFmtId="0" fontId="1" fillId="5" borderId="55" xfId="0" applyFont="1" applyFill="1" applyBorder="1" applyAlignment="1">
      <alignment horizontal="right" vertical="center" shrinkToFit="1"/>
    </xf>
    <xf numFmtId="0" fontId="1" fillId="5" borderId="2" xfId="0" applyFont="1" applyFill="1" applyBorder="1" applyAlignment="1">
      <alignment horizontal="right" vertical="center" shrinkToFit="1"/>
    </xf>
    <xf numFmtId="0" fontId="1" fillId="4" borderId="27" xfId="0" applyFont="1" applyFill="1" applyBorder="1" applyAlignment="1">
      <alignment horizontal="right" vertical="center"/>
    </xf>
    <xf numFmtId="0" fontId="0" fillId="7" borderId="42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shrinkToFit="1"/>
    </xf>
    <xf numFmtId="0" fontId="1" fillId="7" borderId="13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14" fontId="2" fillId="7" borderId="73" xfId="0" applyNumberFormat="1" applyFont="1" applyFill="1" applyBorder="1" applyAlignment="1">
      <alignment horizontal="center" vertical="center" shrinkToFit="1"/>
    </xf>
    <xf numFmtId="0" fontId="1" fillId="7" borderId="68" xfId="0" applyFont="1" applyFill="1" applyBorder="1" applyAlignment="1">
      <alignment horizontal="center" vertical="center" shrinkToFit="1"/>
    </xf>
    <xf numFmtId="0" fontId="1" fillId="7" borderId="69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right" vertical="center"/>
    </xf>
    <xf numFmtId="0" fontId="1" fillId="4" borderId="21" xfId="0" applyFont="1" applyFill="1" applyBorder="1" applyAlignment="1">
      <alignment horizontal="right" vertical="center"/>
    </xf>
    <xf numFmtId="0" fontId="1" fillId="5" borderId="37" xfId="0" applyFont="1" applyFill="1" applyBorder="1" applyAlignment="1">
      <alignment horizontal="center" vertical="center"/>
    </xf>
    <xf numFmtId="4" fontId="0" fillId="7" borderId="10" xfId="0" applyNumberFormat="1" applyFill="1" applyBorder="1" applyAlignment="1">
      <alignment horizontal="center" vertical="center" shrinkToFit="1"/>
    </xf>
    <xf numFmtId="0" fontId="1" fillId="5" borderId="71" xfId="0" applyFont="1" applyFill="1" applyBorder="1" applyAlignment="1">
      <alignment horizontal="right" vertical="center" shrinkToFit="1"/>
    </xf>
    <xf numFmtId="0" fontId="1" fillId="5" borderId="65" xfId="0" applyFont="1" applyFill="1" applyBorder="1" applyAlignment="1">
      <alignment horizontal="right" vertical="center" shrinkToFi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shrinkToFit="1"/>
    </xf>
    <xf numFmtId="0" fontId="1" fillId="5" borderId="41" xfId="0" applyFont="1" applyFill="1" applyBorder="1" applyAlignment="1">
      <alignment horizontal="center" vertical="center" shrinkToFit="1"/>
    </xf>
    <xf numFmtId="4" fontId="0" fillId="7" borderId="21" xfId="0" applyNumberFormat="1" applyFill="1" applyBorder="1" applyAlignment="1">
      <alignment horizontal="center" vertical="center" shrinkToFit="1"/>
    </xf>
    <xf numFmtId="0" fontId="1" fillId="5" borderId="73" xfId="0" applyFont="1" applyFill="1" applyBorder="1" applyAlignment="1">
      <alignment horizontal="right" vertical="center"/>
    </xf>
    <xf numFmtId="0" fontId="1" fillId="5" borderId="5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shrinkToFit="1"/>
    </xf>
    <xf numFmtId="14" fontId="1" fillId="7" borderId="42" xfId="0" applyNumberFormat="1" applyFont="1" applyFill="1" applyBorder="1" applyAlignment="1">
      <alignment horizontal="center" vertical="center" shrinkToFit="1"/>
    </xf>
    <xf numFmtId="14" fontId="0" fillId="7" borderId="20" xfId="0" applyNumberFormat="1" applyFill="1" applyBorder="1" applyAlignment="1">
      <alignment horizontal="center" vertical="center" shrinkToFit="1"/>
    </xf>
    <xf numFmtId="14" fontId="0" fillId="7" borderId="37" xfId="0" applyNumberFormat="1" applyFill="1" applyBorder="1" applyAlignment="1">
      <alignment horizontal="center" vertical="center" shrinkToFit="1"/>
    </xf>
    <xf numFmtId="14" fontId="0" fillId="7" borderId="21" xfId="0" applyNumberFormat="1" applyFill="1" applyBorder="1" applyAlignment="1">
      <alignment horizontal="center" vertical="center" shrinkToFit="1"/>
    </xf>
    <xf numFmtId="49" fontId="0" fillId="0" borderId="34" xfId="0" applyNumberFormat="1" applyBorder="1" applyAlignment="1" applyProtection="1">
      <alignment horizontal="center" vertical="center" shrinkToFit="1"/>
      <protection locked="0"/>
    </xf>
    <xf numFmtId="49" fontId="0" fillId="0" borderId="8" xfId="0" applyNumberFormat="1" applyBorder="1" applyAlignment="1" applyProtection="1">
      <alignment horizontal="center" vertical="center" shrinkToFit="1"/>
      <protection locked="0"/>
    </xf>
    <xf numFmtId="49" fontId="0" fillId="0" borderId="9" xfId="0" applyNumberFormat="1" applyBorder="1" applyAlignment="1" applyProtection="1">
      <alignment horizontal="center" vertical="center" shrinkToFit="1"/>
      <protection locked="0"/>
    </xf>
    <xf numFmtId="0" fontId="2" fillId="5" borderId="51" xfId="0" applyFont="1" applyFill="1" applyBorder="1" applyAlignment="1">
      <alignment horizontal="center" vertical="center" shrinkToFit="1"/>
    </xf>
    <xf numFmtId="0" fontId="9" fillId="7" borderId="3" xfId="0" applyFont="1" applyFill="1" applyBorder="1" applyAlignment="1">
      <alignment horizontal="center" vertical="center" shrinkToFit="1"/>
    </xf>
    <xf numFmtId="0" fontId="9" fillId="7" borderId="55" xfId="0" applyFont="1" applyFill="1" applyBorder="1" applyAlignment="1">
      <alignment horizontal="center" vertical="center" shrinkToFit="1"/>
    </xf>
    <xf numFmtId="0" fontId="9" fillId="7" borderId="2" xfId="0" applyFont="1" applyFill="1" applyBorder="1" applyAlignment="1">
      <alignment horizontal="center" vertical="center" shrinkToFit="1"/>
    </xf>
    <xf numFmtId="14" fontId="0" fillId="0" borderId="33" xfId="0" applyNumberFormat="1" applyBorder="1" applyAlignment="1" applyProtection="1">
      <alignment horizontal="center" vertical="center" shrinkToFit="1"/>
      <protection locked="0"/>
    </xf>
    <xf numFmtId="14" fontId="0" fillId="0" borderId="8" xfId="0" applyNumberFormat="1" applyBorder="1" applyAlignment="1" applyProtection="1">
      <alignment horizontal="center" vertical="center" shrinkToFit="1"/>
      <protection locked="0"/>
    </xf>
    <xf numFmtId="0" fontId="1" fillId="7" borderId="9" xfId="0" applyFont="1" applyFill="1" applyBorder="1" applyAlignment="1">
      <alignment horizontal="center" vertical="center" shrinkToFit="1"/>
    </xf>
    <xf numFmtId="0" fontId="1" fillId="7" borderId="34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5" borderId="53" xfId="0" applyFont="1" applyFill="1" applyBorder="1" applyAlignment="1">
      <alignment horizontal="center" vertical="center" shrinkToFit="1"/>
    </xf>
    <xf numFmtId="0" fontId="1" fillId="5" borderId="51" xfId="0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horizontal="center" vertical="center" shrinkToFit="1"/>
    </xf>
    <xf numFmtId="0" fontId="6" fillId="9" borderId="84" xfId="0" applyFont="1" applyFill="1" applyBorder="1" applyAlignment="1">
      <alignment horizontal="center" vertical="center" shrinkToFit="1"/>
    </xf>
    <xf numFmtId="0" fontId="6" fillId="9" borderId="85" xfId="0" applyFont="1" applyFill="1" applyBorder="1" applyAlignment="1">
      <alignment horizontal="center" vertical="center" shrinkToFit="1"/>
    </xf>
    <xf numFmtId="166" fontId="0" fillId="11" borderId="9" xfId="0" applyNumberFormat="1" applyFill="1" applyBorder="1" applyAlignment="1">
      <alignment horizontal="center" vertical="center"/>
    </xf>
    <xf numFmtId="166" fontId="0" fillId="11" borderId="8" xfId="0" applyNumberFormat="1" applyFill="1" applyBorder="1" applyAlignment="1">
      <alignment horizontal="center" vertical="center"/>
    </xf>
    <xf numFmtId="166" fontId="0" fillId="11" borderId="82" xfId="0" applyNumberFormat="1" applyFill="1" applyBorder="1" applyAlignment="1">
      <alignment horizontal="center" vertical="center"/>
    </xf>
    <xf numFmtId="166" fontId="0" fillId="11" borderId="83" xfId="0" applyNumberFormat="1" applyFill="1" applyBorder="1" applyAlignment="1">
      <alignment horizontal="center" vertical="center"/>
    </xf>
    <xf numFmtId="0" fontId="6" fillId="11" borderId="84" xfId="0" applyFont="1" applyFill="1" applyBorder="1" applyAlignment="1">
      <alignment horizontal="center" vertical="center" shrinkToFit="1"/>
    </xf>
    <xf numFmtId="0" fontId="6" fillId="11" borderId="85" xfId="0" applyFont="1" applyFill="1" applyBorder="1" applyAlignment="1">
      <alignment horizontal="center" vertical="center" shrinkToFit="1"/>
    </xf>
    <xf numFmtId="166" fontId="1" fillId="9" borderId="9" xfId="0" applyNumberFormat="1" applyFont="1" applyFill="1" applyBorder="1" applyAlignment="1">
      <alignment horizontal="center" vertical="center" shrinkToFit="1"/>
    </xf>
    <xf numFmtId="166" fontId="1" fillId="9" borderId="8" xfId="0" applyNumberFormat="1" applyFont="1" applyFill="1" applyBorder="1" applyAlignment="1">
      <alignment horizontal="center" vertical="center" shrinkToFit="1"/>
    </xf>
    <xf numFmtId="166" fontId="1" fillId="9" borderId="82" xfId="0" applyNumberFormat="1" applyFont="1" applyFill="1" applyBorder="1" applyAlignment="1">
      <alignment horizontal="center" vertical="center" shrinkToFit="1"/>
    </xf>
    <xf numFmtId="166" fontId="1" fillId="9" borderId="83" xfId="0" applyNumberFormat="1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 shrinkToFit="1"/>
    </xf>
    <xf numFmtId="0" fontId="1" fillId="7" borderId="67" xfId="0" applyFont="1" applyFill="1" applyBorder="1" applyAlignment="1">
      <alignment horizontal="center" vertical="center" shrinkToFit="1"/>
    </xf>
    <xf numFmtId="0" fontId="1" fillId="9" borderId="9" xfId="0" applyFont="1" applyFill="1" applyBorder="1" applyAlignment="1">
      <alignment horizontal="center" vertical="center" shrinkToFit="1"/>
    </xf>
    <xf numFmtId="0" fontId="1" fillId="9" borderId="8" xfId="0" applyFont="1" applyFill="1" applyBorder="1" applyAlignment="1">
      <alignment horizontal="center" vertical="center" shrinkToFit="1"/>
    </xf>
    <xf numFmtId="0" fontId="1" fillId="9" borderId="34" xfId="0" applyFont="1" applyFill="1" applyBorder="1" applyAlignment="1">
      <alignment horizontal="center" vertical="center" shrinkToFit="1"/>
    </xf>
    <xf numFmtId="0" fontId="1" fillId="9" borderId="59" xfId="0" applyFont="1" applyFill="1" applyBorder="1" applyAlignment="1">
      <alignment horizontal="center" vertical="center" shrinkToFit="1"/>
    </xf>
    <xf numFmtId="166" fontId="0" fillId="7" borderId="37" xfId="0" applyNumberFormat="1" applyFill="1" applyBorder="1" applyAlignment="1">
      <alignment horizontal="center" vertical="center" shrinkToFit="1"/>
    </xf>
    <xf numFmtId="166" fontId="0" fillId="7" borderId="38" xfId="0" applyNumberFormat="1" applyFill="1" applyBorder="1" applyAlignment="1">
      <alignment horizontal="center" vertical="center" shrinkToFit="1"/>
    </xf>
    <xf numFmtId="166" fontId="0" fillId="7" borderId="21" xfId="0" applyNumberFormat="1" applyFill="1" applyBorder="1" applyAlignment="1">
      <alignment horizontal="center" vertical="center" shrinkToFit="1"/>
    </xf>
    <xf numFmtId="166" fontId="0" fillId="7" borderId="22" xfId="0" applyNumberFormat="1" applyFill="1" applyBorder="1" applyAlignment="1">
      <alignment horizontal="center" vertical="center" shrinkToFit="1"/>
    </xf>
    <xf numFmtId="166" fontId="0" fillId="0" borderId="21" xfId="0" applyNumberFormat="1" applyBorder="1" applyAlignment="1" applyProtection="1">
      <alignment horizontal="center" vertical="center" shrinkToFit="1"/>
      <protection locked="0"/>
    </xf>
    <xf numFmtId="166" fontId="0" fillId="0" borderId="22" xfId="0" applyNumberFormat="1" applyBorder="1" applyAlignment="1" applyProtection="1">
      <alignment horizontal="center" vertical="center" shrinkToFit="1"/>
      <protection locked="0"/>
    </xf>
    <xf numFmtId="0" fontId="1" fillId="4" borderId="42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6" fontId="0" fillId="0" borderId="9" xfId="0" applyNumberFormat="1" applyBorder="1" applyAlignment="1" applyProtection="1">
      <alignment horizontal="center" vertical="center" shrinkToFit="1"/>
      <protection locked="0"/>
    </xf>
    <xf numFmtId="166" fontId="0" fillId="0" borderId="59" xfId="0" applyNumberFormat="1" applyBorder="1" applyAlignment="1" applyProtection="1">
      <alignment horizontal="center" vertical="center" shrinkToFit="1"/>
      <protection locked="0"/>
    </xf>
    <xf numFmtId="166" fontId="0" fillId="0" borderId="10" xfId="0" applyNumberFormat="1" applyBorder="1" applyAlignment="1" applyProtection="1">
      <alignment horizontal="center" vertical="center" shrinkToFit="1"/>
      <protection locked="0"/>
    </xf>
    <xf numFmtId="166" fontId="0" fillId="0" borderId="11" xfId="0" applyNumberFormat="1" applyBorder="1" applyAlignment="1" applyProtection="1">
      <alignment horizontal="center" vertical="center" shrinkToFit="1"/>
      <protection locked="0"/>
    </xf>
    <xf numFmtId="166" fontId="19" fillId="7" borderId="37" xfId="0" applyNumberFormat="1" applyFont="1" applyFill="1" applyBorder="1" applyAlignment="1">
      <alignment horizontal="center" vertical="center" shrinkToFit="1"/>
    </xf>
    <xf numFmtId="166" fontId="19" fillId="7" borderId="38" xfId="0" applyNumberFormat="1" applyFont="1" applyFill="1" applyBorder="1" applyAlignment="1">
      <alignment horizontal="center" vertical="center" shrinkToFit="1"/>
    </xf>
    <xf numFmtId="166" fontId="19" fillId="7" borderId="21" xfId="0" applyNumberFormat="1" applyFont="1" applyFill="1" applyBorder="1" applyAlignment="1">
      <alignment horizontal="center" vertical="center" shrinkToFit="1"/>
    </xf>
    <xf numFmtId="166" fontId="19" fillId="7" borderId="22" xfId="0" applyNumberFormat="1" applyFont="1" applyFill="1" applyBorder="1" applyAlignment="1">
      <alignment horizontal="center" vertical="center" shrinkToFit="1"/>
    </xf>
    <xf numFmtId="166" fontId="0" fillId="0" borderId="17" xfId="0" applyNumberFormat="1" applyBorder="1" applyAlignment="1" applyProtection="1">
      <alignment horizontal="center" vertical="center" shrinkToFit="1"/>
      <protection locked="0"/>
    </xf>
    <xf numFmtId="166" fontId="0" fillId="0" borderId="19" xfId="0" applyNumberFormat="1" applyBorder="1" applyAlignment="1" applyProtection="1">
      <alignment horizontal="center" vertical="center" shrinkToFit="1"/>
      <protection locked="0"/>
    </xf>
    <xf numFmtId="0" fontId="1" fillId="5" borderId="38" xfId="0" applyFont="1" applyFill="1" applyBorder="1" applyAlignment="1">
      <alignment horizontal="center" vertical="center"/>
    </xf>
    <xf numFmtId="4" fontId="0" fillId="7" borderId="11" xfId="0" applyNumberFormat="1" applyFill="1" applyBorder="1" applyAlignment="1">
      <alignment horizontal="center" vertical="center" shrinkToFit="1"/>
    </xf>
    <xf numFmtId="14" fontId="2" fillId="7" borderId="4" xfId="0" applyNumberFormat="1" applyFont="1" applyFill="1" applyBorder="1" applyAlignment="1">
      <alignment horizontal="center" vertical="center" shrinkToFit="1"/>
    </xf>
    <xf numFmtId="0" fontId="1" fillId="7" borderId="3" xfId="0" applyFont="1" applyFill="1" applyBorder="1" applyAlignment="1">
      <alignment horizontal="center" vertical="center" shrinkToFit="1"/>
    </xf>
    <xf numFmtId="166" fontId="0" fillId="5" borderId="65" xfId="0" applyNumberFormat="1" applyFill="1" applyBorder="1" applyAlignment="1">
      <alignment horizontal="center" vertical="center" shrinkToFit="1"/>
    </xf>
    <xf numFmtId="166" fontId="0" fillId="5" borderId="72" xfId="0" applyNumberFormat="1" applyFill="1" applyBorder="1" applyAlignment="1">
      <alignment horizontal="center" vertical="center" shrinkToFit="1"/>
    </xf>
    <xf numFmtId="14" fontId="0" fillId="0" borderId="45" xfId="0" applyNumberFormat="1" applyBorder="1" applyAlignment="1">
      <alignment horizontal="center" vertical="center" shrinkToFit="1"/>
    </xf>
    <xf numFmtId="14" fontId="0" fillId="0" borderId="2" xfId="0" applyNumberFormat="1" applyBorder="1" applyAlignment="1">
      <alignment horizontal="center" vertical="center" shrinkToFit="1"/>
    </xf>
    <xf numFmtId="166" fontId="0" fillId="5" borderId="54" xfId="0" applyNumberFormat="1" applyFill="1" applyBorder="1" applyAlignment="1">
      <alignment horizontal="center" vertical="center" shrinkToFit="1"/>
    </xf>
    <xf numFmtId="166" fontId="0" fillId="5" borderId="57" xfId="0" applyNumberFormat="1" applyFill="1" applyBorder="1" applyAlignment="1">
      <alignment horizontal="center" vertical="center" shrinkToFit="1"/>
    </xf>
    <xf numFmtId="4" fontId="0" fillId="7" borderId="22" xfId="0" applyNumberFormat="1" applyFill="1" applyBorder="1" applyAlignment="1">
      <alignment horizontal="center" vertical="center" shrinkToFit="1"/>
    </xf>
    <xf numFmtId="0" fontId="0" fillId="7" borderId="3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 shrinkToFit="1"/>
    </xf>
    <xf numFmtId="166" fontId="0" fillId="0" borderId="59" xfId="0" applyNumberFormat="1" applyBorder="1" applyAlignment="1">
      <alignment horizontal="center" vertical="center" shrinkToFit="1"/>
    </xf>
    <xf numFmtId="166" fontId="21" fillId="7" borderId="48" xfId="0" applyNumberFormat="1" applyFont="1" applyFill="1" applyBorder="1" applyAlignment="1">
      <alignment horizontal="center" vertical="center" shrinkToFit="1"/>
    </xf>
    <xf numFmtId="166" fontId="21" fillId="7" borderId="63" xfId="0" applyNumberFormat="1" applyFont="1" applyFill="1" applyBorder="1" applyAlignment="1">
      <alignment horizontal="center" vertical="center" shrinkToFit="1"/>
    </xf>
    <xf numFmtId="166" fontId="0" fillId="0" borderId="3" xfId="0" applyNumberFormat="1" applyBorder="1" applyAlignment="1">
      <alignment horizontal="center" vertical="center" shrinkToFit="1"/>
    </xf>
    <xf numFmtId="166" fontId="0" fillId="0" borderId="60" xfId="0" applyNumberFormat="1" applyBorder="1" applyAlignment="1">
      <alignment horizontal="center" vertical="center" shrinkToFit="1"/>
    </xf>
    <xf numFmtId="166" fontId="1" fillId="7" borderId="3" xfId="0" applyNumberFormat="1" applyFont="1" applyFill="1" applyBorder="1" applyAlignment="1">
      <alignment horizontal="center" vertical="center" shrinkToFit="1"/>
    </xf>
    <xf numFmtId="166" fontId="1" fillId="7" borderId="60" xfId="0" applyNumberFormat="1" applyFont="1" applyFill="1" applyBorder="1" applyAlignment="1">
      <alignment horizontal="center" vertical="center" shrinkToFit="1"/>
    </xf>
    <xf numFmtId="166" fontId="1" fillId="7" borderId="10" xfId="0" applyNumberFormat="1" applyFont="1" applyFill="1" applyBorder="1" applyAlignment="1">
      <alignment horizontal="center" vertical="center" shrinkToFit="1"/>
    </xf>
    <xf numFmtId="166" fontId="1" fillId="7" borderId="11" xfId="0" applyNumberFormat="1" applyFont="1" applyFill="1" applyBorder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shrinkToFit="1"/>
    </xf>
    <xf numFmtId="49" fontId="1" fillId="0" borderId="34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67" xfId="0" applyNumberFormat="1" applyFont="1" applyBorder="1" applyAlignment="1">
      <alignment horizontal="center" vertical="center" shrinkToFit="1"/>
    </xf>
    <xf numFmtId="49" fontId="1" fillId="0" borderId="13" xfId="0" applyNumberFormat="1" applyFont="1" applyBorder="1" applyAlignment="1">
      <alignment horizontal="center" vertical="center" shrinkToFit="1"/>
    </xf>
    <xf numFmtId="44" fontId="6" fillId="7" borderId="46" xfId="1" applyFont="1" applyFill="1" applyBorder="1" applyAlignment="1" applyProtection="1">
      <alignment horizontal="center" vertical="center" shrinkToFit="1"/>
    </xf>
    <xf numFmtId="44" fontId="6" fillId="7" borderId="49" xfId="1" applyFont="1" applyFill="1" applyBorder="1" applyAlignment="1" applyProtection="1">
      <alignment horizontal="center" vertical="center" shrinkToFit="1"/>
    </xf>
    <xf numFmtId="14" fontId="0" fillId="0" borderId="33" xfId="0" applyNumberFormat="1" applyBorder="1" applyAlignment="1">
      <alignment horizontal="center" vertical="center" shrinkToFit="1"/>
    </xf>
    <xf numFmtId="14" fontId="0" fillId="0" borderId="8" xfId="0" applyNumberFormat="1" applyBorder="1" applyAlignment="1">
      <alignment horizontal="center" vertical="center" shrinkToFit="1"/>
    </xf>
    <xf numFmtId="0" fontId="23" fillId="9" borderId="45" xfId="0" applyFont="1" applyFill="1" applyBorder="1" applyAlignment="1">
      <alignment horizontal="center" vertical="center" shrinkToFit="1"/>
    </xf>
    <xf numFmtId="0" fontId="23" fillId="9" borderId="55" xfId="0" applyFont="1" applyFill="1" applyBorder="1" applyAlignment="1">
      <alignment horizontal="center" vertical="center" shrinkToFit="1"/>
    </xf>
    <xf numFmtId="0" fontId="23" fillId="9" borderId="60" xfId="0" applyFont="1" applyFill="1" applyBorder="1" applyAlignment="1">
      <alignment horizontal="center" vertical="center" shrinkToFit="1"/>
    </xf>
    <xf numFmtId="165" fontId="23" fillId="11" borderId="45" xfId="0" applyNumberFormat="1" applyFont="1" applyFill="1" applyBorder="1" applyAlignment="1">
      <alignment horizontal="center" vertical="center" shrinkToFit="1"/>
    </xf>
    <xf numFmtId="165" fontId="23" fillId="11" borderId="55" xfId="0" applyNumberFormat="1" applyFont="1" applyFill="1" applyBorder="1" applyAlignment="1">
      <alignment horizontal="center" vertical="center" shrinkToFit="1"/>
    </xf>
    <xf numFmtId="165" fontId="23" fillId="11" borderId="60" xfId="0" applyNumberFormat="1" applyFont="1" applyFill="1" applyBorder="1" applyAlignment="1">
      <alignment horizontal="center" vertical="center" shrinkToFit="1"/>
    </xf>
    <xf numFmtId="49" fontId="1" fillId="0" borderId="32" xfId="0" applyNumberFormat="1" applyFont="1" applyBorder="1" applyAlignment="1">
      <alignment horizontal="center" vertical="center" shrinkToFit="1"/>
    </xf>
    <xf numFmtId="49" fontId="1" fillId="0" borderId="36" xfId="0" applyNumberFormat="1" applyFont="1" applyBorder="1" applyAlignment="1">
      <alignment horizontal="center" vertical="center" shrinkToFit="1"/>
    </xf>
    <xf numFmtId="49" fontId="1" fillId="0" borderId="23" xfId="0" applyNumberFormat="1" applyFont="1" applyBorder="1" applyAlignment="1">
      <alignment horizontal="center" vertical="center" shrinkToFit="1"/>
    </xf>
    <xf numFmtId="0" fontId="0" fillId="0" borderId="64" xfId="0" applyBorder="1" applyAlignment="1">
      <alignment horizontal="center" wrapText="1" shrinkToFit="1"/>
    </xf>
    <xf numFmtId="0" fontId="0" fillId="0" borderId="44" xfId="0" applyBorder="1" applyAlignment="1">
      <alignment horizont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 shrinkToFit="1"/>
    </xf>
    <xf numFmtId="165" fontId="30" fillId="0" borderId="0" xfId="0" applyNumberFormat="1" applyFont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 shrinkToFit="1"/>
    </xf>
    <xf numFmtId="165" fontId="32" fillId="0" borderId="0" xfId="0" applyNumberFormat="1" applyFont="1" applyAlignment="1">
      <alignment horizontal="center" vertical="center" shrinkToFit="1"/>
    </xf>
    <xf numFmtId="3" fontId="31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/>
    </xf>
    <xf numFmtId="0" fontId="31" fillId="4" borderId="28" xfId="0" applyFont="1" applyFill="1" applyBorder="1" applyAlignment="1">
      <alignment horizontal="right" vertical="center"/>
    </xf>
    <xf numFmtId="0" fontId="31" fillId="4" borderId="29" xfId="0" applyFont="1" applyFill="1" applyBorder="1" applyAlignment="1">
      <alignment horizontal="right" vertical="center"/>
    </xf>
    <xf numFmtId="0" fontId="31" fillId="4" borderId="6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vertical="center"/>
    </xf>
    <xf numFmtId="0" fontId="31" fillId="4" borderId="29" xfId="0" applyFont="1" applyFill="1" applyBorder="1" applyAlignment="1">
      <alignment vertical="center"/>
    </xf>
    <xf numFmtId="0" fontId="31" fillId="3" borderId="39" xfId="0" applyFon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center" vertical="center" wrapText="1"/>
    </xf>
    <xf numFmtId="0" fontId="31" fillId="3" borderId="49" xfId="0" applyFont="1" applyFill="1" applyBorder="1" applyAlignment="1">
      <alignment horizontal="center" vertical="center" wrapText="1"/>
    </xf>
    <xf numFmtId="0" fontId="31" fillId="3" borderId="40" xfId="0" applyFont="1" applyFill="1" applyBorder="1" applyAlignment="1">
      <alignment horizontal="center" vertical="center" wrapText="1"/>
    </xf>
    <xf numFmtId="3" fontId="31" fillId="5" borderId="40" xfId="0" applyNumberFormat="1" applyFont="1" applyFill="1" applyBorder="1" applyAlignment="1">
      <alignment horizontal="center" vertical="center" wrapText="1" shrinkToFit="1"/>
    </xf>
    <xf numFmtId="3" fontId="31" fillId="5" borderId="46" xfId="0" applyNumberFormat="1" applyFont="1" applyFill="1" applyBorder="1" applyAlignment="1">
      <alignment horizontal="center" vertical="center" wrapText="1"/>
    </xf>
    <xf numFmtId="3" fontId="31" fillId="5" borderId="51" xfId="0" applyNumberFormat="1" applyFont="1" applyFill="1" applyBorder="1" applyAlignment="1">
      <alignment horizontal="center" vertical="center" wrapText="1"/>
    </xf>
    <xf numFmtId="3" fontId="31" fillId="5" borderId="49" xfId="0" applyNumberFormat="1" applyFont="1" applyFill="1" applyBorder="1" applyAlignment="1">
      <alignment horizontal="center" vertical="center" wrapText="1"/>
    </xf>
    <xf numFmtId="0" fontId="32" fillId="5" borderId="40" xfId="0" applyFont="1" applyFill="1" applyBorder="1" applyAlignment="1">
      <alignment horizontal="center" vertical="center" wrapText="1"/>
    </xf>
    <xf numFmtId="0" fontId="32" fillId="5" borderId="41" xfId="0" applyFont="1" applyFill="1" applyBorder="1" applyAlignment="1">
      <alignment horizontal="center" vertical="center" wrapText="1"/>
    </xf>
    <xf numFmtId="0" fontId="32" fillId="8" borderId="18" xfId="0" applyFont="1" applyFill="1" applyBorder="1" applyAlignment="1">
      <alignment horizontal="center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31" fillId="2" borderId="32" xfId="0" applyNumberFormat="1" applyFont="1" applyFill="1" applyBorder="1" applyAlignment="1" applyProtection="1">
      <alignment horizontal="right" vertical="center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0" fontId="32" fillId="2" borderId="0" xfId="0" applyFont="1" applyFill="1" applyAlignment="1">
      <alignment horizontal="center" vertical="center"/>
    </xf>
    <xf numFmtId="0" fontId="33" fillId="6" borderId="53" xfId="0" applyFont="1" applyFill="1" applyBorder="1" applyAlignment="1">
      <alignment horizontal="center" vertical="center" shrinkToFit="1"/>
    </xf>
    <xf numFmtId="0" fontId="33" fillId="6" borderId="51" xfId="0" applyFont="1" applyFill="1" applyBorder="1" applyAlignment="1">
      <alignment horizontal="center" vertical="center" shrinkToFit="1"/>
    </xf>
    <xf numFmtId="0" fontId="33" fillId="6" borderId="49" xfId="0" applyFont="1" applyFill="1" applyBorder="1" applyAlignment="1">
      <alignment horizontal="center" vertical="center" shrinkToFit="1"/>
    </xf>
    <xf numFmtId="166" fontId="32" fillId="6" borderId="5" xfId="0" applyNumberFormat="1" applyFont="1" applyFill="1" applyBorder="1" applyAlignment="1">
      <alignment horizontal="center" vertical="center" shrinkToFit="1"/>
    </xf>
    <xf numFmtId="49" fontId="31" fillId="6" borderId="30" xfId="0" applyNumberFormat="1" applyFont="1" applyFill="1" applyBorder="1" applyAlignment="1">
      <alignment vertical="center" shrinkToFit="1"/>
    </xf>
    <xf numFmtId="49" fontId="31" fillId="6" borderId="28" xfId="0" applyNumberFormat="1" applyFont="1" applyFill="1" applyBorder="1" applyAlignment="1">
      <alignment vertical="center" shrinkToFit="1"/>
    </xf>
    <xf numFmtId="49" fontId="31" fillId="6" borderId="31" xfId="0" applyNumberFormat="1" applyFont="1" applyFill="1" applyBorder="1" applyAlignment="1">
      <alignment vertical="center" shrinkToFit="1"/>
    </xf>
    <xf numFmtId="3" fontId="32" fillId="6" borderId="5" xfId="0" applyNumberFormat="1" applyFont="1" applyFill="1" applyBorder="1" applyAlignment="1">
      <alignment horizontal="center" vertical="center" shrinkToFit="1"/>
    </xf>
    <xf numFmtId="3" fontId="32" fillId="6" borderId="6" xfId="0" applyNumberFormat="1" applyFont="1" applyFill="1" applyBorder="1" applyAlignment="1">
      <alignment horizontal="center" vertical="center" shrinkToFit="1"/>
    </xf>
    <xf numFmtId="14" fontId="31" fillId="2" borderId="0" xfId="0" applyNumberFormat="1" applyFont="1" applyFill="1" applyAlignment="1">
      <alignment horizontal="center" vertical="center" shrinkToFit="1"/>
    </xf>
    <xf numFmtId="0" fontId="31" fillId="8" borderId="4" xfId="0" applyFont="1" applyFill="1" applyBorder="1" applyAlignment="1">
      <alignment horizontal="center" vertical="center" shrinkToFit="1"/>
    </xf>
    <xf numFmtId="166" fontId="31" fillId="8" borderId="28" xfId="0" applyNumberFormat="1" applyFont="1" applyFill="1" applyBorder="1" applyAlignment="1">
      <alignment horizontal="center" vertical="center" shrinkToFit="1"/>
    </xf>
    <xf numFmtId="0" fontId="31" fillId="8" borderId="28" xfId="0" applyFont="1" applyFill="1" applyBorder="1" applyAlignment="1">
      <alignment horizontal="center" vertical="center"/>
    </xf>
    <xf numFmtId="49" fontId="31" fillId="8" borderId="28" xfId="0" applyNumberFormat="1" applyFont="1" applyFill="1" applyBorder="1" applyAlignment="1">
      <alignment horizontal="left" vertical="center" shrinkToFit="1"/>
    </xf>
    <xf numFmtId="49" fontId="31" fillId="8" borderId="28" xfId="0" applyNumberFormat="1" applyFont="1" applyFill="1" applyBorder="1" applyAlignment="1">
      <alignment horizontal="center" vertical="center" shrinkToFit="1"/>
    </xf>
    <xf numFmtId="0" fontId="31" fillId="8" borderId="28" xfId="0" applyFont="1" applyFill="1" applyBorder="1" applyAlignment="1">
      <alignment horizontal="center" vertical="center" shrinkToFit="1"/>
    </xf>
    <xf numFmtId="0" fontId="31" fillId="8" borderId="29" xfId="0" applyFont="1" applyFill="1" applyBorder="1" applyAlignment="1">
      <alignment horizontal="center" vertical="center" shrinkToFit="1"/>
    </xf>
    <xf numFmtId="0" fontId="31" fillId="8" borderId="71" xfId="0" applyFont="1" applyFill="1" applyBorder="1" applyAlignment="1">
      <alignment horizontal="center" vertical="center" shrinkToFit="1"/>
    </xf>
    <xf numFmtId="166" fontId="31" fillId="8" borderId="0" xfId="0" applyNumberFormat="1" applyFont="1" applyFill="1" applyAlignment="1">
      <alignment horizontal="center" vertical="center" shrinkToFit="1"/>
    </xf>
    <xf numFmtId="0" fontId="31" fillId="8" borderId="0" xfId="0" applyFont="1" applyFill="1" applyAlignment="1">
      <alignment horizontal="center" vertical="center"/>
    </xf>
    <xf numFmtId="49" fontId="31" fillId="8" borderId="0" xfId="0" applyNumberFormat="1" applyFont="1" applyFill="1" applyAlignment="1">
      <alignment horizontal="left" vertical="center" shrinkToFit="1"/>
    </xf>
    <xf numFmtId="49" fontId="31" fillId="8" borderId="0" xfId="0" applyNumberFormat="1" applyFont="1" applyFill="1" applyAlignment="1">
      <alignment horizontal="center" vertical="center" shrinkToFit="1"/>
    </xf>
    <xf numFmtId="0" fontId="31" fillId="8" borderId="0" xfId="0" applyFont="1" applyFill="1" applyAlignment="1">
      <alignment horizontal="center" vertical="center" shrinkToFit="1"/>
    </xf>
    <xf numFmtId="0" fontId="31" fillId="8" borderId="15" xfId="0" applyFont="1" applyFill="1" applyBorder="1" applyAlignment="1">
      <alignment horizontal="center" vertical="center" shrinkToFit="1"/>
    </xf>
    <xf numFmtId="0" fontId="31" fillId="8" borderId="73" xfId="0" applyFont="1" applyFill="1" applyBorder="1" applyAlignment="1">
      <alignment horizontal="center" vertical="center" shrinkToFit="1"/>
    </xf>
    <xf numFmtId="166" fontId="31" fillId="8" borderId="24" xfId="0" applyNumberFormat="1" applyFont="1" applyFill="1" applyBorder="1" applyAlignment="1">
      <alignment horizontal="center" vertical="center" shrinkToFit="1"/>
    </xf>
    <xf numFmtId="0" fontId="31" fillId="8" borderId="24" xfId="0" applyFont="1" applyFill="1" applyBorder="1" applyAlignment="1">
      <alignment horizontal="center" vertical="center"/>
    </xf>
    <xf numFmtId="49" fontId="31" fillId="8" borderId="24" xfId="0" applyNumberFormat="1" applyFont="1" applyFill="1" applyBorder="1" applyAlignment="1">
      <alignment horizontal="left" vertical="center" shrinkToFit="1"/>
    </xf>
    <xf numFmtId="49" fontId="31" fillId="8" borderId="24" xfId="0" applyNumberFormat="1" applyFont="1" applyFill="1" applyBorder="1" applyAlignment="1">
      <alignment horizontal="center" vertical="center" shrinkToFit="1"/>
    </xf>
    <xf numFmtId="0" fontId="31" fillId="8" borderId="24" xfId="0" applyFont="1" applyFill="1" applyBorder="1" applyAlignment="1">
      <alignment horizontal="center" vertical="center" shrinkToFit="1"/>
    </xf>
    <xf numFmtId="0" fontId="31" fillId="8" borderId="58" xfId="0" applyFont="1" applyFill="1" applyBorder="1" applyAlignment="1">
      <alignment horizontal="center" vertical="center" shrinkToFit="1"/>
    </xf>
    <xf numFmtId="165" fontId="34" fillId="0" borderId="0" xfId="0" applyNumberFormat="1" applyFont="1" applyAlignment="1">
      <alignment horizontal="center" vertical="center" shrinkToFit="1"/>
    </xf>
    <xf numFmtId="166" fontId="31" fillId="0" borderId="0" xfId="0" applyNumberFormat="1" applyFont="1" applyAlignment="1">
      <alignment horizontal="center" vertical="center" shrinkToFit="1"/>
    </xf>
    <xf numFmtId="49" fontId="31" fillId="0" borderId="0" xfId="0" applyNumberFormat="1" applyFont="1" applyAlignment="1">
      <alignment horizontal="left" vertical="center" shrinkToFit="1"/>
    </xf>
    <xf numFmtId="49" fontId="31" fillId="0" borderId="0" xfId="0" applyNumberFormat="1" applyFont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165" fontId="34" fillId="0" borderId="0" xfId="0" applyNumberFormat="1" applyFont="1" applyAlignment="1">
      <alignment horizontal="center" vertical="center" shrinkToFit="1"/>
    </xf>
    <xf numFmtId="165" fontId="34" fillId="0" borderId="0" xfId="0" applyNumberFormat="1" applyFont="1" applyAlignment="1">
      <alignment vertical="center" shrinkToFit="1"/>
    </xf>
    <xf numFmtId="3" fontId="32" fillId="0" borderId="0" xfId="0" applyNumberFormat="1" applyFont="1" applyAlignment="1">
      <alignment horizontal="center" vertical="center" shrinkToFit="1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3" fillId="6" borderId="31" xfId="0" applyFont="1" applyFill="1" applyBorder="1" applyAlignment="1">
      <alignment horizontal="center" vertical="center" shrinkToFit="1"/>
    </xf>
    <xf numFmtId="0" fontId="31" fillId="8" borderId="27" xfId="0" applyFont="1" applyFill="1" applyBorder="1" applyAlignment="1">
      <alignment horizontal="center" vertical="center" shrinkToFit="1"/>
    </xf>
    <xf numFmtId="0" fontId="31" fillId="8" borderId="74" xfId="0" applyFont="1" applyFill="1" applyBorder="1" applyAlignment="1">
      <alignment horizontal="center" vertical="center" shrinkToFit="1"/>
    </xf>
    <xf numFmtId="166" fontId="31" fillId="8" borderId="0" xfId="0" applyNumberFormat="1" applyFont="1" applyFill="1" applyBorder="1" applyAlignment="1">
      <alignment horizontal="center" vertical="center" shrinkToFit="1"/>
    </xf>
    <xf numFmtId="0" fontId="31" fillId="8" borderId="0" xfId="0" applyFont="1" applyFill="1" applyBorder="1" applyAlignment="1">
      <alignment horizontal="center" vertical="center"/>
    </xf>
    <xf numFmtId="49" fontId="31" fillId="8" borderId="0" xfId="0" applyNumberFormat="1" applyFont="1" applyFill="1" applyBorder="1" applyAlignment="1">
      <alignment horizontal="left" vertical="center" shrinkToFit="1"/>
    </xf>
    <xf numFmtId="49" fontId="31" fillId="8" borderId="0" xfId="0" applyNumberFormat="1" applyFont="1" applyFill="1" applyBorder="1" applyAlignment="1">
      <alignment horizontal="center" vertical="center" shrinkToFit="1"/>
    </xf>
    <xf numFmtId="0" fontId="31" fillId="8" borderId="0" xfId="0" applyFont="1" applyFill="1" applyBorder="1" applyAlignment="1">
      <alignment horizontal="center" vertical="center" shrinkToFit="1"/>
    </xf>
    <xf numFmtId="0" fontId="31" fillId="8" borderId="56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left" vertical="center" shrinkToFit="1"/>
    </xf>
    <xf numFmtId="0" fontId="32" fillId="5" borderId="45" xfId="0" applyFont="1" applyFill="1" applyBorder="1" applyAlignment="1">
      <alignment horizontal="center" vertical="center" wrapText="1" shrinkToFit="1"/>
    </xf>
    <xf numFmtId="0" fontId="31" fillId="4" borderId="51" xfId="0" applyFont="1" applyFill="1" applyBorder="1" applyAlignment="1">
      <alignment horizontal="right" vertical="center"/>
    </xf>
    <xf numFmtId="0" fontId="31" fillId="4" borderId="50" xfId="0" applyFont="1" applyFill="1" applyBorder="1" applyAlignment="1">
      <alignment horizontal="right" vertical="center"/>
    </xf>
    <xf numFmtId="0" fontId="31" fillId="4" borderId="75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vertical="center"/>
    </xf>
    <xf numFmtId="0" fontId="31" fillId="4" borderId="50" xfId="0" applyFont="1" applyFill="1" applyBorder="1" applyAlignment="1">
      <alignment vertical="center"/>
    </xf>
    <xf numFmtId="0" fontId="32" fillId="5" borderId="77" xfId="0" applyFont="1" applyFill="1" applyBorder="1" applyAlignment="1">
      <alignment horizontal="center" vertical="center" wrapText="1" shrinkToFit="1"/>
    </xf>
    <xf numFmtId="0" fontId="32" fillId="8" borderId="16" xfId="0" applyFont="1" applyFill="1" applyBorder="1" applyAlignment="1">
      <alignment horizontal="center" vertical="center"/>
    </xf>
    <xf numFmtId="14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32" fillId="5" borderId="1" xfId="0" applyFont="1" applyFill="1" applyBorder="1" applyAlignment="1">
      <alignment horizontal="center" vertical="center" wrapText="1" shrinkToFit="1"/>
    </xf>
    <xf numFmtId="0" fontId="32" fillId="5" borderId="12" xfId="0" applyFont="1" applyFill="1" applyBorder="1" applyAlignment="1">
      <alignment horizontal="center" vertical="center" wrapText="1" shrinkToFit="1"/>
    </xf>
    <xf numFmtId="0" fontId="31" fillId="3" borderId="69" xfId="0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center" vertical="center" wrapText="1"/>
    </xf>
    <xf numFmtId="3" fontId="31" fillId="5" borderId="54" xfId="0" applyNumberFormat="1" applyFont="1" applyFill="1" applyBorder="1" applyAlignment="1">
      <alignment horizontal="center" vertical="center" wrapText="1" shrinkToFit="1"/>
    </xf>
    <xf numFmtId="3" fontId="31" fillId="5" borderId="54" xfId="0" applyNumberFormat="1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center" vertical="center" wrapText="1"/>
    </xf>
    <xf numFmtId="0" fontId="32" fillId="5" borderId="57" xfId="0" applyFont="1" applyFill="1" applyBorder="1" applyAlignment="1">
      <alignment horizontal="center" vertical="center" wrapText="1"/>
    </xf>
    <xf numFmtId="0" fontId="32" fillId="8" borderId="44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166" fontId="32" fillId="6" borderId="40" xfId="0" applyNumberFormat="1" applyFont="1" applyFill="1" applyBorder="1" applyAlignment="1">
      <alignment horizontal="center" vertical="center" shrinkToFit="1"/>
    </xf>
    <xf numFmtId="49" fontId="31" fillId="6" borderId="46" xfId="0" applyNumberFormat="1" applyFont="1" applyFill="1" applyBorder="1" applyAlignment="1">
      <alignment vertical="center" shrinkToFit="1"/>
    </xf>
    <xf numFmtId="49" fontId="31" fillId="6" borderId="51" xfId="0" applyNumberFormat="1" applyFont="1" applyFill="1" applyBorder="1" applyAlignment="1">
      <alignment vertical="center" shrinkToFit="1"/>
    </xf>
    <xf numFmtId="49" fontId="31" fillId="6" borderId="49" xfId="0" applyNumberFormat="1" applyFont="1" applyFill="1" applyBorder="1" applyAlignment="1">
      <alignment vertical="center" shrinkToFit="1"/>
    </xf>
    <xf numFmtId="3" fontId="32" fillId="6" borderId="40" xfId="0" applyNumberFormat="1" applyFont="1" applyFill="1" applyBorder="1" applyAlignment="1">
      <alignment horizontal="center" vertical="center" shrinkToFit="1"/>
    </xf>
    <xf numFmtId="3" fontId="32" fillId="6" borderId="41" xfId="0" applyNumberFormat="1" applyFont="1" applyFill="1" applyBorder="1" applyAlignment="1">
      <alignment horizontal="center" vertical="center" shrinkToFit="1"/>
    </xf>
    <xf numFmtId="0" fontId="31" fillId="4" borderId="53" xfId="0" applyFont="1" applyFill="1" applyBorder="1" applyAlignment="1">
      <alignment horizontal="center" vertical="center" shrinkToFit="1"/>
    </xf>
    <xf numFmtId="0" fontId="31" fillId="4" borderId="51" xfId="0" applyFont="1" applyFill="1" applyBorder="1" applyAlignment="1">
      <alignment horizontal="center" vertical="center" shrinkToFit="1"/>
    </xf>
    <xf numFmtId="0" fontId="31" fillId="4" borderId="50" xfId="0" applyFont="1" applyFill="1" applyBorder="1" applyAlignment="1">
      <alignment horizontal="center" vertical="center" shrinkToFit="1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right" vertical="center"/>
    </xf>
    <xf numFmtId="0" fontId="31" fillId="4" borderId="28" xfId="0" applyFont="1" applyFill="1" applyBorder="1" applyAlignment="1">
      <alignment vertical="center" shrinkToFit="1"/>
    </xf>
    <xf numFmtId="0" fontId="31" fillId="4" borderId="29" xfId="0" applyFont="1" applyFill="1" applyBorder="1" applyAlignment="1">
      <alignment vertical="center" shrinkToFit="1"/>
    </xf>
    <xf numFmtId="0" fontId="31" fillId="5" borderId="53" xfId="0" applyFont="1" applyFill="1" applyBorder="1" applyAlignment="1">
      <alignment horizontal="center" vertical="center" shrinkToFit="1"/>
    </xf>
    <xf numFmtId="0" fontId="31" fillId="5" borderId="49" xfId="0" applyFont="1" applyFill="1" applyBorder="1" applyAlignment="1">
      <alignment horizontal="center" vertical="center" shrinkToFit="1"/>
    </xf>
    <xf numFmtId="0" fontId="31" fillId="5" borderId="46" xfId="0" applyFont="1" applyFill="1" applyBorder="1" applyAlignment="1">
      <alignment horizontal="center" vertical="center" shrinkToFit="1"/>
    </xf>
    <xf numFmtId="0" fontId="31" fillId="5" borderId="51" xfId="0" applyFont="1" applyFill="1" applyBorder="1" applyAlignment="1">
      <alignment horizontal="center" vertical="center" shrinkToFit="1"/>
    </xf>
    <xf numFmtId="0" fontId="32" fillId="5" borderId="5" xfId="0" applyFont="1" applyFill="1" applyBorder="1" applyAlignment="1">
      <alignment horizontal="center" vertical="center" shrinkToFit="1"/>
    </xf>
    <xf numFmtId="0" fontId="32" fillId="5" borderId="6" xfId="0" applyFont="1" applyFill="1" applyBorder="1" applyAlignment="1">
      <alignment horizontal="center" vertical="center" shrinkToFit="1"/>
    </xf>
    <xf numFmtId="0" fontId="31" fillId="7" borderId="27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 shrinkToFit="1"/>
    </xf>
    <xf numFmtId="0" fontId="31" fillId="7" borderId="3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14" fontId="31" fillId="7" borderId="53" xfId="0" applyNumberFormat="1" applyFont="1" applyFill="1" applyBorder="1" applyAlignment="1">
      <alignment horizontal="center" vertical="center"/>
    </xf>
    <xf numFmtId="14" fontId="31" fillId="7" borderId="50" xfId="0" applyNumberFormat="1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 shrinkToFit="1"/>
    </xf>
    <xf numFmtId="0" fontId="31" fillId="7" borderId="51" xfId="0" applyFont="1" applyFill="1" applyBorder="1" applyAlignment="1">
      <alignment horizontal="center" vertical="center" shrinkToFit="1"/>
    </xf>
    <xf numFmtId="0" fontId="31" fillId="7" borderId="49" xfId="0" applyFont="1" applyFill="1" applyBorder="1" applyAlignment="1">
      <alignment horizontal="center" vertical="center" shrinkToFit="1"/>
    </xf>
    <xf numFmtId="0" fontId="31" fillId="7" borderId="40" xfId="0" applyFont="1" applyFill="1" applyBorder="1" applyAlignment="1">
      <alignment horizontal="center" vertical="center" shrinkToFit="1"/>
    </xf>
    <xf numFmtId="0" fontId="31" fillId="7" borderId="41" xfId="0" applyFont="1" applyFill="1" applyBorder="1" applyAlignment="1">
      <alignment horizontal="center" vertical="center" shrinkToFit="1"/>
    </xf>
    <xf numFmtId="0" fontId="31" fillId="7" borderId="56" xfId="0" applyFont="1" applyFill="1" applyBorder="1" applyAlignment="1">
      <alignment horizontal="center" vertical="center"/>
    </xf>
    <xf numFmtId="0" fontId="31" fillId="7" borderId="69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shrinkToFit="1"/>
    </xf>
    <xf numFmtId="0" fontId="31" fillId="7" borderId="21" xfId="0" applyFont="1" applyFill="1" applyBorder="1" applyAlignment="1">
      <alignment horizontal="center" vertical="center" shrinkToFit="1"/>
    </xf>
    <xf numFmtId="0" fontId="31" fillId="7" borderId="21" xfId="0" applyFont="1" applyFill="1" applyBorder="1" applyAlignment="1">
      <alignment horizontal="left" vertical="center" shrinkToFit="1"/>
    </xf>
    <xf numFmtId="0" fontId="31" fillId="7" borderId="22" xfId="0" applyFont="1" applyFill="1" applyBorder="1" applyAlignment="1">
      <alignment horizontal="center" vertical="center" shrinkToFit="1"/>
    </xf>
    <xf numFmtId="0" fontId="31" fillId="7" borderId="71" xfId="0" applyFont="1" applyFill="1" applyBorder="1" applyAlignment="1">
      <alignment horizontal="center" vertical="center" shrinkToFit="1"/>
    </xf>
    <xf numFmtId="0" fontId="31" fillId="7" borderId="65" xfId="0" applyFont="1" applyFill="1" applyBorder="1" applyAlignment="1">
      <alignment horizontal="center" vertical="center" shrinkToFit="1"/>
    </xf>
    <xf numFmtId="0" fontId="31" fillId="7" borderId="3" xfId="0" applyFont="1" applyFill="1" applyBorder="1" applyAlignment="1">
      <alignment horizontal="center" vertical="center" shrinkToFit="1"/>
    </xf>
    <xf numFmtId="0" fontId="31" fillId="7" borderId="55" xfId="0" applyFont="1" applyFill="1" applyBorder="1" applyAlignment="1">
      <alignment horizontal="center" vertical="center" shrinkToFit="1"/>
    </xf>
    <xf numFmtId="0" fontId="31" fillId="7" borderId="2" xfId="0" applyFont="1" applyFill="1" applyBorder="1" applyAlignment="1">
      <alignment horizontal="center" vertical="center" shrinkToFit="1"/>
    </xf>
    <xf numFmtId="0" fontId="31" fillId="7" borderId="66" xfId="0" applyFont="1" applyFill="1" applyBorder="1" applyAlignment="1">
      <alignment horizontal="center" vertical="center" shrinkToFit="1"/>
    </xf>
    <xf numFmtId="0" fontId="31" fillId="7" borderId="66" xfId="0" applyFont="1" applyFill="1" applyBorder="1" applyAlignment="1">
      <alignment horizontal="center" vertical="center" shrinkToFit="1"/>
    </xf>
    <xf numFmtId="0" fontId="31" fillId="7" borderId="0" xfId="0" applyFont="1" applyFill="1" applyAlignment="1">
      <alignment horizontal="center" vertical="center" shrinkToFit="1"/>
    </xf>
    <xf numFmtId="0" fontId="31" fillId="7" borderId="15" xfId="0" applyFont="1" applyFill="1" applyBorder="1" applyAlignment="1">
      <alignment horizontal="center" vertical="center" shrinkToFit="1"/>
    </xf>
    <xf numFmtId="0" fontId="31" fillId="7" borderId="35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left" vertical="center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7" borderId="18" xfId="0" applyFont="1" applyFill="1" applyBorder="1" applyAlignment="1">
      <alignment horizontal="center" vertical="center" shrinkToFit="1"/>
    </xf>
    <xf numFmtId="166" fontId="31" fillId="7" borderId="10" xfId="0" applyNumberFormat="1" applyFont="1" applyFill="1" applyBorder="1" applyAlignment="1">
      <alignment horizontal="center" vertical="center" shrinkToFit="1"/>
    </xf>
    <xf numFmtId="166" fontId="31" fillId="7" borderId="9" xfId="0" applyNumberFormat="1" applyFont="1" applyFill="1" applyBorder="1" applyAlignment="1">
      <alignment horizontal="center" vertical="center" shrinkToFit="1"/>
    </xf>
    <xf numFmtId="166" fontId="31" fillId="7" borderId="34" xfId="0" applyNumberFormat="1" applyFont="1" applyFill="1" applyBorder="1" applyAlignment="1">
      <alignment horizontal="center" vertical="center" shrinkToFit="1"/>
    </xf>
    <xf numFmtId="166" fontId="31" fillId="7" borderId="8" xfId="0" applyNumberFormat="1" applyFont="1" applyFill="1" applyBorder="1" applyAlignment="1">
      <alignment horizontal="center" vertical="center" shrinkToFit="1"/>
    </xf>
    <xf numFmtId="0" fontId="31" fillId="7" borderId="10" xfId="0" applyFont="1" applyFill="1" applyBorder="1" applyAlignment="1">
      <alignment horizontal="center" vertical="center" shrinkToFit="1"/>
    </xf>
    <xf numFmtId="3" fontId="31" fillId="7" borderId="10" xfId="0" applyNumberFormat="1" applyFont="1" applyFill="1" applyBorder="1" applyAlignment="1">
      <alignment horizontal="center" vertical="center" shrinkToFit="1"/>
    </xf>
    <xf numFmtId="0" fontId="31" fillId="7" borderId="11" xfId="0" applyFont="1" applyFill="1" applyBorder="1" applyAlignment="1">
      <alignment horizontal="center" vertical="center" shrinkToFit="1"/>
    </xf>
    <xf numFmtId="0" fontId="31" fillId="7" borderId="1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7" borderId="20" xfId="0" applyFont="1" applyFill="1" applyBorder="1" applyAlignment="1">
      <alignment horizontal="center" vertical="center" shrinkToFit="1"/>
    </xf>
    <xf numFmtId="166" fontId="31" fillId="7" borderId="21" xfId="0" applyNumberFormat="1" applyFont="1" applyFill="1" applyBorder="1" applyAlignment="1">
      <alignment horizontal="center" vertical="center" shrinkToFit="1"/>
    </xf>
    <xf numFmtId="166" fontId="31" fillId="7" borderId="14" xfId="0" applyNumberFormat="1" applyFont="1" applyFill="1" applyBorder="1" applyAlignment="1">
      <alignment horizontal="center" vertical="center" shrinkToFit="1"/>
    </xf>
    <xf numFmtId="166" fontId="31" fillId="7" borderId="67" xfId="0" applyNumberFormat="1" applyFont="1" applyFill="1" applyBorder="1" applyAlignment="1">
      <alignment horizontal="center" vertical="center" shrinkToFit="1"/>
    </xf>
    <xf numFmtId="166" fontId="31" fillId="7" borderId="13" xfId="0" applyNumberFormat="1" applyFont="1" applyFill="1" applyBorder="1" applyAlignment="1">
      <alignment horizontal="center" vertical="center" shrinkToFit="1"/>
    </xf>
    <xf numFmtId="3" fontId="31" fillId="7" borderId="21" xfId="0" applyNumberFormat="1" applyFont="1" applyFill="1" applyBorder="1" applyAlignment="1">
      <alignment horizontal="center" vertical="center" shrinkToFit="1"/>
    </xf>
    <xf numFmtId="0" fontId="31" fillId="7" borderId="33" xfId="0" applyFont="1" applyFill="1" applyBorder="1" applyAlignment="1">
      <alignment horizontal="left" vertical="center"/>
    </xf>
    <xf numFmtId="0" fontId="31" fillId="7" borderId="34" xfId="0" applyFont="1" applyFill="1" applyBorder="1" applyAlignment="1">
      <alignment horizontal="left" vertical="center"/>
    </xf>
    <xf numFmtId="0" fontId="32" fillId="7" borderId="39" xfId="0" applyFont="1" applyFill="1" applyBorder="1" applyAlignment="1">
      <alignment vertical="center" shrinkToFit="1"/>
    </xf>
    <xf numFmtId="166" fontId="31" fillId="7" borderId="40" xfId="0" applyNumberFormat="1" applyFont="1" applyFill="1" applyBorder="1" applyAlignment="1">
      <alignment horizontal="center" vertical="center" shrinkToFit="1"/>
    </xf>
    <xf numFmtId="166" fontId="31" fillId="7" borderId="46" xfId="0" applyNumberFormat="1" applyFont="1" applyFill="1" applyBorder="1" applyAlignment="1">
      <alignment horizontal="center" vertical="center" shrinkToFit="1"/>
    </xf>
    <xf numFmtId="166" fontId="31" fillId="7" borderId="51" xfId="0" applyNumberFormat="1" applyFont="1" applyFill="1" applyBorder="1" applyAlignment="1">
      <alignment horizontal="center" vertical="center" shrinkToFit="1"/>
    </xf>
    <xf numFmtId="166" fontId="31" fillId="7" borderId="49" xfId="0" applyNumberFormat="1" applyFont="1" applyFill="1" applyBorder="1" applyAlignment="1">
      <alignment horizontal="center" vertical="center" shrinkToFit="1"/>
    </xf>
    <xf numFmtId="44" fontId="32" fillId="7" borderId="40" xfId="1" applyFont="1" applyFill="1" applyBorder="1" applyAlignment="1" applyProtection="1">
      <alignment horizontal="center" vertical="center" shrinkToFit="1"/>
    </xf>
    <xf numFmtId="3" fontId="32" fillId="7" borderId="40" xfId="0" applyNumberFormat="1" applyFont="1" applyFill="1" applyBorder="1" applyAlignment="1">
      <alignment horizontal="center" vertical="center" shrinkToFit="1"/>
    </xf>
    <xf numFmtId="0" fontId="31" fillId="4" borderId="4" xfId="0" applyFont="1" applyFill="1" applyBorder="1" applyAlignment="1">
      <alignment horizontal="center" vertical="center" shrinkToFit="1"/>
    </xf>
    <xf numFmtId="0" fontId="31" fillId="4" borderId="5" xfId="0" applyFont="1" applyFill="1" applyBorder="1" applyAlignment="1">
      <alignment horizontal="center" vertical="center" shrinkToFit="1"/>
    </xf>
    <xf numFmtId="0" fontId="31" fillId="4" borderId="6" xfId="0" applyFont="1" applyFill="1" applyBorder="1" applyAlignment="1">
      <alignment horizontal="center" vertical="center" shrinkToFit="1"/>
    </xf>
    <xf numFmtId="0" fontId="31" fillId="9" borderId="42" xfId="0" applyFont="1" applyFill="1" applyBorder="1" applyAlignment="1">
      <alignment horizontal="center" vertical="center" shrinkToFit="1"/>
    </xf>
    <xf numFmtId="0" fontId="31" fillId="9" borderId="37" xfId="0" applyFont="1" applyFill="1" applyBorder="1" applyAlignment="1">
      <alignment horizontal="center" vertical="center" wrapText="1"/>
    </xf>
    <xf numFmtId="0" fontId="31" fillId="9" borderId="30" xfId="0" applyFont="1" applyFill="1" applyBorder="1" applyAlignment="1">
      <alignment horizontal="center" vertical="center" wrapText="1"/>
    </xf>
    <xf numFmtId="0" fontId="31" fillId="9" borderId="28" xfId="0" applyFont="1" applyFill="1" applyBorder="1" applyAlignment="1">
      <alignment horizontal="center" vertical="center" wrapText="1"/>
    </xf>
    <xf numFmtId="0" fontId="31" fillId="9" borderId="31" xfId="0" applyFont="1" applyFill="1" applyBorder="1" applyAlignment="1">
      <alignment horizontal="center" vertical="center" wrapText="1"/>
    </xf>
    <xf numFmtId="0" fontId="31" fillId="9" borderId="3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31" fillId="9" borderId="20" xfId="0" applyFont="1" applyFill="1" applyBorder="1" applyAlignment="1">
      <alignment horizontal="center" vertical="center" shrinkToFit="1"/>
    </xf>
    <xf numFmtId="0" fontId="31" fillId="9" borderId="21" xfId="0" applyFont="1" applyFill="1" applyBorder="1" applyAlignment="1">
      <alignment horizontal="center" vertical="center" wrapText="1"/>
    </xf>
    <xf numFmtId="0" fontId="31" fillId="9" borderId="68" xfId="0" applyFont="1" applyFill="1" applyBorder="1" applyAlignment="1">
      <alignment horizontal="center" vertical="center" wrapText="1"/>
    </xf>
    <xf numFmtId="0" fontId="31" fillId="9" borderId="24" xfId="0" applyFont="1" applyFill="1" applyBorder="1" applyAlignment="1">
      <alignment horizontal="center" vertical="center" wrapText="1"/>
    </xf>
    <xf numFmtId="0" fontId="31" fillId="9" borderId="69" xfId="0" applyFont="1" applyFill="1" applyBorder="1" applyAlignment="1">
      <alignment horizontal="center" vertical="center" wrapText="1"/>
    </xf>
    <xf numFmtId="0" fontId="31" fillId="9" borderId="22" xfId="0" applyFont="1" applyFill="1" applyBorder="1" applyAlignment="1">
      <alignment horizontal="center" vertical="center" wrapText="1"/>
    </xf>
    <xf numFmtId="0" fontId="31" fillId="9" borderId="16" xfId="0" applyFont="1" applyFill="1" applyBorder="1" applyAlignment="1">
      <alignment horizontal="center" vertical="center" shrinkToFit="1"/>
    </xf>
    <xf numFmtId="166" fontId="31" fillId="9" borderId="17" xfId="0" applyNumberFormat="1" applyFont="1" applyFill="1" applyBorder="1" applyAlignment="1">
      <alignment horizontal="center" vertical="center" shrinkToFit="1"/>
    </xf>
    <xf numFmtId="166" fontId="31" fillId="9" borderId="3" xfId="0" applyNumberFormat="1" applyFont="1" applyFill="1" applyBorder="1" applyAlignment="1">
      <alignment horizontal="center" vertical="center" shrinkToFit="1"/>
    </xf>
    <xf numFmtId="166" fontId="31" fillId="9" borderId="55" xfId="0" applyNumberFormat="1" applyFont="1" applyFill="1" applyBorder="1" applyAlignment="1">
      <alignment horizontal="center" vertical="center" shrinkToFit="1"/>
    </xf>
    <xf numFmtId="166" fontId="31" fillId="9" borderId="2" xfId="0" applyNumberFormat="1" applyFont="1" applyFill="1" applyBorder="1" applyAlignment="1">
      <alignment horizontal="center" vertical="center" shrinkToFit="1"/>
    </xf>
    <xf numFmtId="166" fontId="31" fillId="9" borderId="19" xfId="0" applyNumberFormat="1" applyFont="1" applyFill="1" applyBorder="1" applyAlignment="1">
      <alignment horizontal="center" vertical="center" shrinkToFit="1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>
      <alignment horizontal="center" vertical="center" shrinkToFit="1"/>
    </xf>
    <xf numFmtId="166" fontId="31" fillId="9" borderId="10" xfId="0" applyNumberFormat="1" applyFont="1" applyFill="1" applyBorder="1" applyAlignment="1">
      <alignment horizontal="center" vertical="center" shrinkToFit="1"/>
    </xf>
    <xf numFmtId="166" fontId="31" fillId="9" borderId="9" xfId="0" applyNumberFormat="1" applyFont="1" applyFill="1" applyBorder="1" applyAlignment="1">
      <alignment horizontal="center" vertical="center" shrinkToFit="1"/>
    </xf>
    <xf numFmtId="166" fontId="31" fillId="9" borderId="34" xfId="0" applyNumberFormat="1" applyFont="1" applyFill="1" applyBorder="1" applyAlignment="1">
      <alignment horizontal="center" vertical="center" shrinkToFit="1"/>
    </xf>
    <xf numFmtId="166" fontId="31" fillId="9" borderId="8" xfId="0" applyNumberFormat="1" applyFont="1" applyFill="1" applyBorder="1" applyAlignment="1">
      <alignment horizontal="center" vertical="center" shrinkToFit="1"/>
    </xf>
    <xf numFmtId="166" fontId="31" fillId="9" borderId="11" xfId="0" applyNumberFormat="1" applyFont="1" applyFill="1" applyBorder="1" applyAlignment="1">
      <alignment horizontal="center" vertical="center" shrinkToFit="1"/>
    </xf>
    <xf numFmtId="0" fontId="31" fillId="9" borderId="78" xfId="0" applyFont="1" applyFill="1" applyBorder="1" applyAlignment="1">
      <alignment horizontal="center" vertical="center" shrinkToFit="1"/>
    </xf>
    <xf numFmtId="166" fontId="31" fillId="9" borderId="52" xfId="0" applyNumberFormat="1" applyFont="1" applyFill="1" applyBorder="1" applyAlignment="1">
      <alignment horizontal="center" vertical="center" shrinkToFit="1"/>
    </xf>
    <xf numFmtId="166" fontId="31" fillId="9" borderId="14" xfId="0" applyNumberFormat="1" applyFont="1" applyFill="1" applyBorder="1" applyAlignment="1">
      <alignment horizontal="center" vertical="center" shrinkToFit="1"/>
    </xf>
    <xf numFmtId="166" fontId="31" fillId="9" borderId="67" xfId="0" applyNumberFormat="1" applyFont="1" applyFill="1" applyBorder="1" applyAlignment="1">
      <alignment horizontal="center" vertical="center" shrinkToFit="1"/>
    </xf>
    <xf numFmtId="166" fontId="31" fillId="9" borderId="13" xfId="0" applyNumberFormat="1" applyFont="1" applyFill="1" applyBorder="1" applyAlignment="1">
      <alignment horizontal="center" vertical="center" shrinkToFit="1"/>
    </xf>
    <xf numFmtId="166" fontId="31" fillId="9" borderId="26" xfId="0" applyNumberFormat="1" applyFont="1" applyFill="1" applyBorder="1" applyAlignment="1">
      <alignment horizontal="center" vertical="center" shrinkToFit="1"/>
    </xf>
    <xf numFmtId="0" fontId="31" fillId="7" borderId="20" xfId="0" applyFont="1" applyFill="1" applyBorder="1" applyAlignment="1">
      <alignment horizontal="center" vertical="center"/>
    </xf>
    <xf numFmtId="0" fontId="31" fillId="7" borderId="14" xfId="0" applyFont="1" applyFill="1" applyBorder="1" applyAlignment="1">
      <alignment horizontal="center" vertical="center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9" borderId="39" xfId="0" applyFont="1" applyFill="1" applyBorder="1" applyAlignment="1">
      <alignment horizontal="center" vertical="center" shrinkToFit="1"/>
    </xf>
    <xf numFmtId="168" fontId="31" fillId="9" borderId="40" xfId="0" applyNumberFormat="1" applyFont="1" applyFill="1" applyBorder="1" applyAlignment="1">
      <alignment horizontal="center" vertical="center" shrinkToFit="1"/>
    </xf>
    <xf numFmtId="168" fontId="31" fillId="9" borderId="46" xfId="0" applyNumberFormat="1" applyFont="1" applyFill="1" applyBorder="1" applyAlignment="1">
      <alignment horizontal="center" vertical="center" shrinkToFit="1"/>
    </xf>
    <xf numFmtId="168" fontId="31" fillId="9" borderId="51" xfId="0" applyNumberFormat="1" applyFont="1" applyFill="1" applyBorder="1" applyAlignment="1">
      <alignment horizontal="center" vertical="center" shrinkToFit="1"/>
    </xf>
    <xf numFmtId="168" fontId="31" fillId="9" borderId="49" xfId="0" applyNumberFormat="1" applyFont="1" applyFill="1" applyBorder="1" applyAlignment="1">
      <alignment horizontal="center" vertical="center" shrinkToFit="1"/>
    </xf>
    <xf numFmtId="168" fontId="31" fillId="9" borderId="41" xfId="0" applyNumberFormat="1" applyFont="1" applyFill="1" applyBorder="1" applyAlignment="1">
      <alignment horizontal="center" vertical="center" shrinkToFit="1"/>
    </xf>
    <xf numFmtId="0" fontId="31" fillId="7" borderId="53" xfId="0" applyFont="1" applyFill="1" applyBorder="1" applyAlignment="1">
      <alignment horizontal="right" vertical="center"/>
    </xf>
    <xf numFmtId="0" fontId="31" fillId="7" borderId="51" xfId="0" applyFont="1" applyFill="1" applyBorder="1" applyAlignment="1">
      <alignment horizontal="right" vertical="center"/>
    </xf>
    <xf numFmtId="0" fontId="31" fillId="7" borderId="31" xfId="0" applyFont="1" applyFill="1" applyBorder="1" applyAlignment="1">
      <alignment horizontal="right" vertical="center"/>
    </xf>
    <xf numFmtId="0" fontId="31" fillId="7" borderId="5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 shrinkToFit="1"/>
    </xf>
    <xf numFmtId="0" fontId="31" fillId="7" borderId="6" xfId="0" applyFont="1" applyFill="1" applyBorder="1" applyAlignment="1">
      <alignment horizontal="center" vertical="center" shrinkToFit="1"/>
    </xf>
    <xf numFmtId="0" fontId="31" fillId="7" borderId="42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 shrinkToFit="1"/>
    </xf>
    <xf numFmtId="0" fontId="31" fillId="7" borderId="38" xfId="0" applyFont="1" applyFill="1" applyBorder="1" applyAlignment="1">
      <alignment horizontal="center" vertical="center" shrinkToFit="1"/>
    </xf>
    <xf numFmtId="0" fontId="31" fillId="4" borderId="64" xfId="0" applyFont="1" applyFill="1" applyBorder="1" applyAlignment="1">
      <alignment horizontal="center" vertical="center" wrapText="1" shrinkToFit="1"/>
    </xf>
    <xf numFmtId="0" fontId="31" fillId="4" borderId="64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/>
    </xf>
    <xf numFmtId="0" fontId="31" fillId="5" borderId="45" xfId="0" applyFont="1" applyFill="1" applyBorder="1" applyAlignment="1">
      <alignment horizontal="right" vertical="center" shrinkToFit="1"/>
    </xf>
    <xf numFmtId="0" fontId="31" fillId="5" borderId="55" xfId="0" applyFont="1" applyFill="1" applyBorder="1" applyAlignment="1">
      <alignment horizontal="right" vertical="center" shrinkToFit="1"/>
    </xf>
    <xf numFmtId="0" fontId="31" fillId="5" borderId="2" xfId="0" applyFont="1" applyFill="1" applyBorder="1" applyAlignment="1">
      <alignment horizontal="right" vertical="center" shrinkToFit="1"/>
    </xf>
    <xf numFmtId="164" fontId="31" fillId="7" borderId="3" xfId="0" applyNumberFormat="1" applyFont="1" applyFill="1" applyBorder="1" applyAlignment="1">
      <alignment horizontal="center" vertical="center" shrinkToFit="1"/>
    </xf>
    <xf numFmtId="164" fontId="31" fillId="7" borderId="60" xfId="0" applyNumberFormat="1" applyFont="1" applyFill="1" applyBorder="1" applyAlignment="1">
      <alignment horizontal="center" vertical="center" shrinkToFit="1"/>
    </xf>
    <xf numFmtId="0" fontId="31" fillId="4" borderId="70" xfId="0" applyFont="1" applyFill="1" applyBorder="1" applyAlignment="1">
      <alignment horizontal="center" vertical="center" wrapText="1" shrinkToFit="1"/>
    </xf>
    <xf numFmtId="0" fontId="31" fillId="4" borderId="70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vertical="center" wrapText="1" shrinkToFit="1"/>
    </xf>
    <xf numFmtId="0" fontId="31" fillId="5" borderId="33" xfId="0" applyFont="1" applyFill="1" applyBorder="1" applyAlignment="1">
      <alignment horizontal="right" vertical="center" shrinkToFit="1"/>
    </xf>
    <xf numFmtId="0" fontId="31" fillId="5" borderId="34" xfId="0" applyFont="1" applyFill="1" applyBorder="1" applyAlignment="1">
      <alignment horizontal="right" vertical="center" shrinkToFit="1"/>
    </xf>
    <xf numFmtId="0" fontId="31" fillId="5" borderId="8" xfId="0" applyFont="1" applyFill="1" applyBorder="1" applyAlignment="1">
      <alignment horizontal="right" vertical="center" shrinkToFit="1"/>
    </xf>
    <xf numFmtId="164" fontId="31" fillId="7" borderId="10" xfId="0" applyNumberFormat="1" applyFont="1" applyFill="1" applyBorder="1" applyAlignment="1">
      <alignment horizontal="center" vertical="center" shrinkToFit="1"/>
    </xf>
    <xf numFmtId="164" fontId="31" fillId="7" borderId="11" xfId="0" applyNumberFormat="1" applyFont="1" applyFill="1" applyBorder="1" applyAlignment="1">
      <alignment horizontal="center" vertical="center" shrinkToFit="1"/>
    </xf>
    <xf numFmtId="0" fontId="31" fillId="4" borderId="89" xfId="0" applyFont="1" applyFill="1" applyBorder="1" applyAlignment="1">
      <alignment horizontal="center" vertical="center" wrapText="1" shrinkToFit="1"/>
    </xf>
    <xf numFmtId="0" fontId="31" fillId="4" borderId="89" xfId="0" applyFont="1" applyFill="1" applyBorder="1" applyAlignment="1">
      <alignment horizontal="center" vertical="center" wrapText="1"/>
    </xf>
    <xf numFmtId="0" fontId="31" fillId="7" borderId="20" xfId="0" applyFont="1" applyFill="1" applyBorder="1" applyAlignment="1">
      <alignment horizontal="center" vertical="center"/>
    </xf>
    <xf numFmtId="0" fontId="31" fillId="5" borderId="62" xfId="0" applyFont="1" applyFill="1" applyBorder="1" applyAlignment="1">
      <alignment horizontal="right" vertical="center" shrinkToFit="1"/>
    </xf>
    <xf numFmtId="0" fontId="31" fillId="5" borderId="25" xfId="0" applyFont="1" applyFill="1" applyBorder="1" applyAlignment="1">
      <alignment horizontal="right" vertical="center" shrinkToFit="1"/>
    </xf>
    <xf numFmtId="0" fontId="31" fillId="5" borderId="47" xfId="0" applyFont="1" applyFill="1" applyBorder="1" applyAlignment="1">
      <alignment horizontal="right" vertical="center" shrinkToFit="1"/>
    </xf>
    <xf numFmtId="164" fontId="32" fillId="7" borderId="48" xfId="0" applyNumberFormat="1" applyFont="1" applyFill="1" applyBorder="1" applyAlignment="1">
      <alignment horizontal="center" vertical="center" shrinkToFit="1"/>
    </xf>
    <xf numFmtId="164" fontId="32" fillId="7" borderId="63" xfId="0" applyNumberFormat="1" applyFont="1" applyFill="1" applyBorder="1" applyAlignment="1">
      <alignment horizontal="center" vertical="center" shrinkToFit="1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5" borderId="4" xfId="0" applyFont="1" applyFill="1" applyBorder="1" applyAlignment="1">
      <alignment horizontal="center" vertical="center" shrinkToFit="1"/>
    </xf>
    <xf numFmtId="0" fontId="31" fillId="5" borderId="5" xfId="0" applyFont="1" applyFill="1" applyBorder="1" applyAlignment="1">
      <alignment horizontal="center" vertical="center" shrinkToFit="1"/>
    </xf>
    <xf numFmtId="164" fontId="31" fillId="5" borderId="5" xfId="0" applyNumberFormat="1" applyFont="1" applyFill="1" applyBorder="1" applyAlignment="1">
      <alignment horizontal="center" vertical="center" shrinkToFit="1"/>
    </xf>
    <xf numFmtId="164" fontId="31" fillId="5" borderId="6" xfId="0" applyNumberFormat="1" applyFont="1" applyFill="1" applyBorder="1" applyAlignment="1">
      <alignment horizontal="center" vertical="center" shrinkToFit="1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1" fillId="9" borderId="12" xfId="0" applyFont="1" applyFill="1" applyBorder="1" applyAlignment="1">
      <alignment horizontal="center" vertical="center" shrinkToFit="1"/>
    </xf>
    <xf numFmtId="0" fontId="31" fillId="4" borderId="27" xfId="0" applyFont="1" applyFill="1" applyBorder="1" applyAlignment="1">
      <alignment horizontal="right" vertical="center"/>
    </xf>
    <xf numFmtId="0" fontId="31" fillId="4" borderId="29" xfId="0" applyFont="1" applyFill="1" applyBorder="1" applyAlignment="1">
      <alignment horizontal="center" vertical="center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7" borderId="42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/>
    </xf>
    <xf numFmtId="0" fontId="31" fillId="7" borderId="21" xfId="0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center" vertical="center" shrinkToFit="1"/>
    </xf>
    <xf numFmtId="0" fontId="31" fillId="7" borderId="13" xfId="0" applyFont="1" applyFill="1" applyBorder="1" applyAlignment="1">
      <alignment horizontal="center" vertical="center" shrinkToFit="1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31" fillId="4" borderId="27" xfId="0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44" fontId="31" fillId="4" borderId="5" xfId="1" applyFont="1" applyFill="1" applyBorder="1" applyAlignment="1" applyProtection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31" fillId="4" borderId="74" xfId="0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center" vertical="center"/>
    </xf>
    <xf numFmtId="44" fontId="31" fillId="4" borderId="65" xfId="1" applyFont="1" applyFill="1" applyBorder="1" applyAlignment="1" applyProtection="1">
      <alignment horizontal="center" vertical="center" wrapText="1"/>
    </xf>
    <xf numFmtId="0" fontId="31" fillId="4" borderId="72" xfId="0" applyFont="1" applyFill="1" applyBorder="1" applyAlignment="1">
      <alignment horizontal="center" vertical="center" wrapText="1"/>
    </xf>
    <xf numFmtId="0" fontId="31" fillId="4" borderId="35" xfId="0" applyFont="1" applyFill="1" applyBorder="1" applyAlignment="1">
      <alignment horizontal="center" vertical="center"/>
    </xf>
    <xf numFmtId="0" fontId="31" fillId="4" borderId="23" xfId="0" applyFont="1" applyFill="1" applyBorder="1" applyAlignment="1">
      <alignment horizontal="center" vertical="center"/>
    </xf>
    <xf numFmtId="44" fontId="31" fillId="4" borderId="17" xfId="1" applyFont="1" applyFill="1" applyBorder="1" applyAlignment="1" applyProtection="1">
      <alignment horizontal="center" vertical="center" wrapText="1"/>
    </xf>
    <xf numFmtId="0" fontId="31" fillId="4" borderId="19" xfId="0" applyFont="1" applyFill="1" applyBorder="1" applyAlignment="1">
      <alignment horizontal="center" vertical="center" wrapText="1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0" fontId="31" fillId="4" borderId="18" xfId="0" applyFont="1" applyFill="1" applyBorder="1" applyAlignment="1">
      <alignment horizontal="right" vertical="center"/>
    </xf>
    <xf numFmtId="0" fontId="31" fillId="4" borderId="10" xfId="0" applyFont="1" applyFill="1" applyBorder="1" applyAlignment="1">
      <alignment horizontal="right" vertical="center"/>
    </xf>
    <xf numFmtId="14" fontId="31" fillId="7" borderId="71" xfId="0" applyNumberFormat="1" applyFont="1" applyFill="1" applyBorder="1" applyAlignment="1">
      <alignment horizontal="center" vertical="center" wrapText="1" shrinkToFit="1"/>
    </xf>
    <xf numFmtId="0" fontId="31" fillId="7" borderId="32" xfId="0" applyFont="1" applyFill="1" applyBorder="1" applyAlignment="1">
      <alignment horizontal="center" vertical="center" shrinkToFit="1"/>
    </xf>
    <xf numFmtId="0" fontId="31" fillId="7" borderId="36" xfId="0" applyFont="1" applyFill="1" applyBorder="1" applyAlignment="1">
      <alignment horizontal="center" vertical="center" shrinkToFit="1"/>
    </xf>
    <xf numFmtId="0" fontId="31" fillId="7" borderId="23" xfId="0" applyFont="1" applyFill="1" applyBorder="1" applyAlignment="1">
      <alignment horizontal="center" vertical="center" shrinkToFit="1"/>
    </xf>
    <xf numFmtId="164" fontId="31" fillId="7" borderId="17" xfId="0" applyNumberFormat="1" applyFont="1" applyFill="1" applyBorder="1" applyAlignment="1">
      <alignment horizontal="center" vertical="center" shrinkToFit="1"/>
    </xf>
    <xf numFmtId="164" fontId="31" fillId="7" borderId="19" xfId="0" applyNumberFormat="1" applyFont="1" applyFill="1" applyBorder="1" applyAlignment="1">
      <alignment horizontal="center" vertical="center" shrinkToFit="1"/>
    </xf>
    <xf numFmtId="14" fontId="31" fillId="7" borderId="73" xfId="0" applyNumberFormat="1" applyFont="1" applyFill="1" applyBorder="1" applyAlignment="1">
      <alignment horizontal="center" vertical="center" wrapText="1" shrinkToFit="1"/>
    </xf>
    <xf numFmtId="0" fontId="31" fillId="7" borderId="68" xfId="0" applyFont="1" applyFill="1" applyBorder="1" applyAlignment="1">
      <alignment horizontal="center" vertical="center" shrinkToFit="1"/>
    </xf>
    <xf numFmtId="0" fontId="31" fillId="7" borderId="24" xfId="0" applyFont="1" applyFill="1" applyBorder="1" applyAlignment="1">
      <alignment horizontal="center" vertical="center" shrinkToFit="1"/>
    </xf>
    <xf numFmtId="0" fontId="31" fillId="7" borderId="69" xfId="0" applyFont="1" applyFill="1" applyBorder="1" applyAlignment="1">
      <alignment horizontal="center" vertical="center" shrinkToFit="1"/>
    </xf>
    <xf numFmtId="164" fontId="31" fillId="7" borderId="21" xfId="0" applyNumberFormat="1" applyFont="1" applyFill="1" applyBorder="1" applyAlignment="1">
      <alignment horizontal="center" vertical="center" shrinkToFit="1"/>
    </xf>
    <xf numFmtId="164" fontId="31" fillId="7" borderId="22" xfId="0" applyNumberFormat="1" applyFont="1" applyFill="1" applyBorder="1" applyAlignment="1">
      <alignment horizontal="center" vertical="center" shrinkToFit="1"/>
    </xf>
    <xf numFmtId="0" fontId="31" fillId="4" borderId="20" xfId="0" applyFont="1" applyFill="1" applyBorder="1" applyAlignment="1">
      <alignment horizontal="right" vertical="center"/>
    </xf>
    <xf numFmtId="0" fontId="31" fillId="4" borderId="21" xfId="0" applyFont="1" applyFill="1" applyBorder="1" applyAlignment="1">
      <alignment horizontal="right" vertical="center"/>
    </xf>
    <xf numFmtId="0" fontId="31" fillId="0" borderId="22" xfId="0" applyFont="1" applyBorder="1" applyAlignment="1" applyProtection="1">
      <alignment horizontal="center" vertical="center"/>
      <protection locked="0"/>
    </xf>
    <xf numFmtId="0" fontId="31" fillId="5" borderId="71" xfId="0" applyFont="1" applyFill="1" applyBorder="1" applyAlignment="1">
      <alignment horizontal="right" vertical="center" shrinkToFit="1"/>
    </xf>
    <xf numFmtId="0" fontId="31" fillId="5" borderId="65" xfId="0" applyFont="1" applyFill="1" applyBorder="1" applyAlignment="1">
      <alignment horizontal="right" vertical="center" shrinkToFit="1"/>
    </xf>
    <xf numFmtId="164" fontId="31" fillId="5" borderId="65" xfId="0" applyNumberFormat="1" applyFont="1" applyFill="1" applyBorder="1" applyAlignment="1">
      <alignment horizontal="center" vertical="center" shrinkToFit="1"/>
    </xf>
    <xf numFmtId="164" fontId="31" fillId="5" borderId="72" xfId="0" applyNumberFormat="1" applyFont="1" applyFill="1" applyBorder="1" applyAlignment="1">
      <alignment horizontal="center" vertical="center" shrinkToFit="1"/>
    </xf>
    <xf numFmtId="0" fontId="32" fillId="5" borderId="42" xfId="0" applyFont="1" applyFill="1" applyBorder="1" applyAlignment="1">
      <alignment horizontal="center" vertical="center" wrapText="1"/>
    </xf>
    <xf numFmtId="0" fontId="32" fillId="5" borderId="37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21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vertical="center"/>
    </xf>
    <xf numFmtId="0" fontId="31" fillId="5" borderId="49" xfId="0" applyFont="1" applyFill="1" applyBorder="1" applyAlignment="1">
      <alignment vertical="center"/>
    </xf>
    <xf numFmtId="0" fontId="31" fillId="5" borderId="40" xfId="0" applyFont="1" applyFill="1" applyBorder="1" applyAlignment="1">
      <alignment horizontal="center" vertical="center"/>
    </xf>
    <xf numFmtId="0" fontId="31" fillId="5" borderId="40" xfId="0" applyFont="1" applyFill="1" applyBorder="1" applyAlignment="1">
      <alignment horizontal="center" vertical="center" shrinkToFit="1"/>
    </xf>
    <xf numFmtId="0" fontId="31" fillId="5" borderId="41" xfId="0" applyFont="1" applyFill="1" applyBorder="1" applyAlignment="1">
      <alignment horizontal="center" vertical="center" shrinkToFit="1"/>
    </xf>
    <xf numFmtId="0" fontId="35" fillId="0" borderId="0" xfId="0" applyFont="1" applyAlignment="1">
      <alignment horizontal="left" vertical="center"/>
    </xf>
    <xf numFmtId="0" fontId="31" fillId="5" borderId="42" xfId="0" applyFont="1" applyFill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/>
    </xf>
    <xf numFmtId="164" fontId="31" fillId="5" borderId="37" xfId="0" applyNumberFormat="1" applyFont="1" applyFill="1" applyBorder="1" applyAlignment="1">
      <alignment horizontal="center" vertical="center" shrinkToFit="1"/>
    </xf>
    <xf numFmtId="164" fontId="31" fillId="5" borderId="38" xfId="0" applyNumberFormat="1" applyFont="1" applyFill="1" applyBorder="1" applyAlignment="1">
      <alignment horizontal="center" vertical="center" shrinkToFit="1"/>
    </xf>
    <xf numFmtId="14" fontId="31" fillId="0" borderId="16" xfId="0" applyNumberFormat="1" applyFont="1" applyBorder="1" applyAlignment="1" applyProtection="1">
      <alignment vertical="center" shrinkToFit="1"/>
      <protection locked="0"/>
    </xf>
    <xf numFmtId="14" fontId="31" fillId="0" borderId="17" xfId="0" applyNumberFormat="1" applyFont="1" applyBorder="1" applyAlignment="1" applyProtection="1">
      <alignment vertical="center" shrinkToFit="1"/>
      <protection locked="0"/>
    </xf>
    <xf numFmtId="0" fontId="31" fillId="0" borderId="17" xfId="0" applyFont="1" applyBorder="1" applyAlignment="1" applyProtection="1">
      <alignment horizontal="center" vertical="center"/>
      <protection locked="0"/>
    </xf>
    <xf numFmtId="164" fontId="31" fillId="0" borderId="17" xfId="0" applyNumberFormat="1" applyFont="1" applyBorder="1" applyAlignment="1" applyProtection="1">
      <alignment horizontal="center" vertical="center" shrinkToFit="1"/>
      <protection locked="0"/>
    </xf>
    <xf numFmtId="164" fontId="31" fillId="0" borderId="19" xfId="0" applyNumberFormat="1" applyFont="1" applyBorder="1" applyAlignment="1" applyProtection="1">
      <alignment horizontal="center" vertical="center" shrinkToFit="1"/>
      <protection locked="0"/>
    </xf>
    <xf numFmtId="4" fontId="31" fillId="7" borderId="10" xfId="0" applyNumberFormat="1" applyFont="1" applyFill="1" applyBorder="1" applyAlignment="1">
      <alignment horizontal="center" vertical="center" shrinkToFit="1"/>
    </xf>
    <xf numFmtId="14" fontId="31" fillId="0" borderId="18" xfId="0" applyNumberFormat="1" applyFont="1" applyBorder="1" applyAlignment="1" applyProtection="1">
      <alignment vertical="center" shrinkToFit="1"/>
      <protection locked="0"/>
    </xf>
    <xf numFmtId="14" fontId="31" fillId="7" borderId="42" xfId="0" applyNumberFormat="1" applyFont="1" applyFill="1" applyBorder="1" applyAlignment="1">
      <alignment horizontal="center" vertical="center" shrinkToFit="1"/>
    </xf>
    <xf numFmtId="14" fontId="31" fillId="7" borderId="37" xfId="0" applyNumberFormat="1" applyFont="1" applyFill="1" applyBorder="1" applyAlignment="1">
      <alignment horizontal="center" vertical="center" shrinkToFit="1"/>
    </xf>
    <xf numFmtId="164" fontId="31" fillId="7" borderId="37" xfId="0" applyNumberFormat="1" applyFont="1" applyFill="1" applyBorder="1" applyAlignment="1">
      <alignment horizontal="center" vertical="center" shrinkToFit="1"/>
    </xf>
    <xf numFmtId="164" fontId="31" fillId="7" borderId="38" xfId="0" applyNumberFormat="1" applyFont="1" applyFill="1" applyBorder="1" applyAlignment="1">
      <alignment horizontal="center" vertical="center" shrinkToFit="1"/>
    </xf>
    <xf numFmtId="14" fontId="31" fillId="7" borderId="20" xfId="0" applyNumberFormat="1" applyFont="1" applyFill="1" applyBorder="1" applyAlignment="1">
      <alignment horizontal="center" vertical="center" shrinkToFit="1"/>
    </xf>
    <xf numFmtId="14" fontId="31" fillId="7" borderId="21" xfId="0" applyNumberFormat="1" applyFont="1" applyFill="1" applyBorder="1" applyAlignment="1">
      <alignment horizontal="center" vertical="center" shrinkToFit="1"/>
    </xf>
    <xf numFmtId="4" fontId="31" fillId="7" borderId="21" xfId="0" applyNumberFormat="1" applyFont="1" applyFill="1" applyBorder="1" applyAlignment="1">
      <alignment horizontal="center" vertical="center" shrinkToFit="1"/>
    </xf>
    <xf numFmtId="0" fontId="31" fillId="5" borderId="73" xfId="0" applyFont="1" applyFill="1" applyBorder="1" applyAlignment="1">
      <alignment horizontal="right" vertical="center"/>
    </xf>
    <xf numFmtId="0" fontId="31" fillId="5" borderId="54" xfId="0" applyFont="1" applyFill="1" applyBorder="1" applyAlignment="1">
      <alignment horizontal="right" vertical="center"/>
    </xf>
    <xf numFmtId="164" fontId="31" fillId="5" borderId="54" xfId="0" applyNumberFormat="1" applyFont="1" applyFill="1" applyBorder="1" applyAlignment="1">
      <alignment horizontal="center" vertical="center" shrinkToFit="1"/>
    </xf>
    <xf numFmtId="164" fontId="31" fillId="5" borderId="57" xfId="0" applyNumberFormat="1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 shrinkToFit="1"/>
    </xf>
    <xf numFmtId="0" fontId="31" fillId="4" borderId="39" xfId="0" applyFont="1" applyFill="1" applyBorder="1" applyAlignment="1">
      <alignment horizontal="center" vertical="center" shrinkToFit="1"/>
    </xf>
    <xf numFmtId="0" fontId="31" fillId="4" borderId="40" xfId="0" applyFont="1" applyFill="1" applyBorder="1" applyAlignment="1">
      <alignment horizontal="center" vertical="center" shrinkToFit="1"/>
    </xf>
    <xf numFmtId="0" fontId="31" fillId="4" borderId="41" xfId="0" applyFont="1" applyFill="1" applyBorder="1" applyAlignment="1">
      <alignment horizontal="center" vertical="center" shrinkToFit="1"/>
    </xf>
    <xf numFmtId="0" fontId="31" fillId="5" borderId="71" xfId="0" applyFont="1" applyFill="1" applyBorder="1" applyAlignment="1">
      <alignment horizontal="center" vertical="center" shrinkToFit="1"/>
    </xf>
    <xf numFmtId="0" fontId="31" fillId="5" borderId="65" xfId="0" applyFont="1" applyFill="1" applyBorder="1" applyAlignment="1">
      <alignment horizontal="center" vertical="center" shrinkToFit="1"/>
    </xf>
    <xf numFmtId="0" fontId="32" fillId="5" borderId="65" xfId="0" applyFont="1" applyFill="1" applyBorder="1" applyAlignment="1">
      <alignment horizontal="center" vertical="center" shrinkToFit="1"/>
    </xf>
    <xf numFmtId="0" fontId="32" fillId="5" borderId="72" xfId="0" applyFont="1" applyFill="1" applyBorder="1" applyAlignment="1">
      <alignment horizontal="center" vertical="center" shrinkToFit="1"/>
    </xf>
    <xf numFmtId="174" fontId="31" fillId="7" borderId="3" xfId="0" applyNumberFormat="1" applyFont="1" applyFill="1" applyBorder="1" applyAlignment="1">
      <alignment horizontal="center" vertical="center" shrinkToFit="1"/>
    </xf>
    <xf numFmtId="174" fontId="31" fillId="7" borderId="60" xfId="0" applyNumberFormat="1" applyFont="1" applyFill="1" applyBorder="1" applyAlignment="1">
      <alignment horizontal="center" vertical="center" shrinkToFit="1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0" fontId="33" fillId="7" borderId="3" xfId="0" applyFont="1" applyFill="1" applyBorder="1" applyAlignment="1">
      <alignment horizontal="center" vertical="center" shrinkToFit="1"/>
    </xf>
    <xf numFmtId="0" fontId="33" fillId="7" borderId="55" xfId="0" applyFont="1" applyFill="1" applyBorder="1" applyAlignment="1">
      <alignment horizontal="center" vertical="center" shrinkToFit="1"/>
    </xf>
    <xf numFmtId="0" fontId="33" fillId="7" borderId="2" xfId="0" applyFont="1" applyFill="1" applyBorder="1" applyAlignment="1">
      <alignment horizontal="center" vertical="center" shrinkToFit="1"/>
    </xf>
    <xf numFmtId="174" fontId="31" fillId="7" borderId="10" xfId="0" applyNumberFormat="1" applyFont="1" applyFill="1" applyBorder="1" applyAlignment="1">
      <alignment horizontal="center" vertical="center" shrinkToFit="1"/>
    </xf>
    <xf numFmtId="174" fontId="31" fillId="7" borderId="11" xfId="0" applyNumberFormat="1" applyFont="1" applyFill="1" applyBorder="1" applyAlignment="1">
      <alignment horizontal="center" vertical="center" shrinkToFit="1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1" fillId="7" borderId="9" xfId="0" applyFont="1" applyFill="1" applyBorder="1" applyAlignment="1">
      <alignment horizontal="center" vertical="center" shrinkToFit="1"/>
    </xf>
    <xf numFmtId="0" fontId="31" fillId="7" borderId="34" xfId="0" applyFont="1" applyFill="1" applyBorder="1" applyAlignment="1">
      <alignment horizontal="center" vertical="center" shrinkToFit="1"/>
    </xf>
    <xf numFmtId="0" fontId="31" fillId="7" borderId="8" xfId="0" applyFont="1" applyFill="1" applyBorder="1" applyAlignment="1">
      <alignment horizontal="center" vertical="center" shrinkToFit="1"/>
    </xf>
    <xf numFmtId="174" fontId="32" fillId="7" borderId="48" xfId="0" applyNumberFormat="1" applyFont="1" applyFill="1" applyBorder="1" applyAlignment="1">
      <alignment horizontal="center" vertical="center" shrinkToFit="1"/>
    </xf>
    <xf numFmtId="174" fontId="32" fillId="7" borderId="63" xfId="0" applyNumberFormat="1" applyFont="1" applyFill="1" applyBorder="1" applyAlignment="1">
      <alignment horizontal="center" vertical="center" shrinkToFit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174" fontId="31" fillId="5" borderId="5" xfId="0" applyNumberFormat="1" applyFont="1" applyFill="1" applyBorder="1" applyAlignment="1">
      <alignment horizontal="center" vertical="center" shrinkToFit="1"/>
    </xf>
    <xf numFmtId="174" fontId="31" fillId="5" borderId="6" xfId="0" applyNumberFormat="1" applyFont="1" applyFill="1" applyBorder="1" applyAlignment="1">
      <alignment horizontal="center" vertical="center" shrinkToFit="1"/>
    </xf>
    <xf numFmtId="0" fontId="31" fillId="7" borderId="62" xfId="0" applyFont="1" applyFill="1" applyBorder="1" applyAlignment="1">
      <alignment horizontal="center" vertical="center" shrinkToFit="1"/>
    </xf>
    <xf numFmtId="0" fontId="31" fillId="7" borderId="25" xfId="0" applyFont="1" applyFill="1" applyBorder="1" applyAlignment="1">
      <alignment horizontal="center" vertical="center" shrinkToFit="1"/>
    </xf>
    <xf numFmtId="0" fontId="31" fillId="7" borderId="47" xfId="0" applyFont="1" applyFill="1" applyBorder="1" applyAlignment="1">
      <alignment horizontal="center" vertical="center" shrinkToFit="1"/>
    </xf>
    <xf numFmtId="0" fontId="31" fillId="7" borderId="52" xfId="0" applyFont="1" applyFill="1" applyBorder="1" applyAlignment="1">
      <alignment horizontal="center" vertical="center" shrinkToFit="1"/>
    </xf>
    <xf numFmtId="0" fontId="31" fillId="7" borderId="26" xfId="0" applyFont="1" applyFill="1" applyBorder="1" applyAlignment="1">
      <alignment horizontal="center" vertical="center" shrinkToFit="1"/>
    </xf>
    <xf numFmtId="0" fontId="32" fillId="9" borderId="27" xfId="0" applyFont="1" applyFill="1" applyBorder="1" applyAlignment="1">
      <alignment horizontal="center" vertical="center" shrinkToFit="1"/>
    </xf>
    <xf numFmtId="0" fontId="32" fillId="9" borderId="28" xfId="0" applyFont="1" applyFill="1" applyBorder="1" applyAlignment="1">
      <alignment horizontal="center" vertical="center" shrinkToFit="1"/>
    </xf>
    <xf numFmtId="0" fontId="32" fillId="9" borderId="29" xfId="0" applyFont="1" applyFill="1" applyBorder="1" applyAlignment="1">
      <alignment horizontal="center" vertical="center" shrinkToFit="1"/>
    </xf>
    <xf numFmtId="0" fontId="32" fillId="9" borderId="35" xfId="0" applyFont="1" applyFill="1" applyBorder="1" applyAlignment="1">
      <alignment horizontal="center" vertical="center" shrinkToFit="1"/>
    </xf>
    <xf numFmtId="0" fontId="32" fillId="9" borderId="36" xfId="0" applyFont="1" applyFill="1" applyBorder="1" applyAlignment="1">
      <alignment horizontal="center" vertical="center" shrinkToFit="1"/>
    </xf>
    <xf numFmtId="0" fontId="32" fillId="9" borderId="86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 shrinkToFit="1"/>
    </xf>
    <xf numFmtId="0" fontId="31" fillId="9" borderId="9" xfId="0" applyFont="1" applyFill="1" applyBorder="1" applyAlignment="1">
      <alignment horizontal="center" vertical="center" shrinkToFit="1"/>
    </xf>
    <xf numFmtId="0" fontId="31" fillId="9" borderId="34" xfId="0" applyFont="1" applyFill="1" applyBorder="1" applyAlignment="1">
      <alignment horizontal="center" vertical="center" shrinkToFit="1"/>
    </xf>
    <xf numFmtId="0" fontId="31" fillId="9" borderId="8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 shrinkToFit="1"/>
    </xf>
    <xf numFmtId="0" fontId="31" fillId="9" borderId="11" xfId="0" applyFont="1" applyFill="1" applyBorder="1" applyAlignment="1">
      <alignment horizontal="center" vertical="center" shrinkToFit="1"/>
    </xf>
    <xf numFmtId="0" fontId="31" fillId="9" borderId="11" xfId="0" applyFont="1" applyFill="1" applyBorder="1" applyAlignment="1">
      <alignment horizontal="center" vertical="center" shrinkToFit="1"/>
    </xf>
    <xf numFmtId="0" fontId="31" fillId="9" borderId="81" xfId="0" applyFont="1" applyFill="1" applyBorder="1" applyAlignment="1">
      <alignment horizontal="center" vertical="center" shrinkToFit="1"/>
    </xf>
    <xf numFmtId="166" fontId="31" fillId="9" borderId="80" xfId="0" applyNumberFormat="1" applyFont="1" applyFill="1" applyBorder="1" applyAlignment="1">
      <alignment horizontal="center" vertical="center" shrinkToFit="1"/>
    </xf>
    <xf numFmtId="166" fontId="31" fillId="9" borderId="82" xfId="0" applyNumberFormat="1" applyFont="1" applyFill="1" applyBorder="1" applyAlignment="1">
      <alignment horizontal="center" vertical="center" shrinkToFit="1"/>
    </xf>
    <xf numFmtId="166" fontId="31" fillId="9" borderId="87" xfId="0" applyNumberFormat="1" applyFont="1" applyFill="1" applyBorder="1" applyAlignment="1">
      <alignment horizontal="center" vertical="center" shrinkToFit="1"/>
    </xf>
    <xf numFmtId="166" fontId="31" fillId="9" borderId="83" xfId="0" applyNumberFormat="1" applyFont="1" applyFill="1" applyBorder="1" applyAlignment="1">
      <alignment horizontal="center" vertical="center" shrinkToFit="1"/>
    </xf>
    <xf numFmtId="0" fontId="31" fillId="9" borderId="80" xfId="0" applyFont="1" applyFill="1" applyBorder="1" applyAlignment="1">
      <alignment horizontal="center" vertical="center" shrinkToFit="1"/>
    </xf>
    <xf numFmtId="0" fontId="31" fillId="9" borderId="79" xfId="0" applyFont="1" applyFill="1" applyBorder="1" applyAlignment="1">
      <alignment horizontal="center" vertical="center" shrinkToFit="1"/>
    </xf>
    <xf numFmtId="166" fontId="32" fillId="9" borderId="54" xfId="0" applyNumberFormat="1" applyFont="1" applyFill="1" applyBorder="1" applyAlignment="1">
      <alignment horizontal="center" vertical="center" shrinkToFit="1"/>
    </xf>
    <xf numFmtId="166" fontId="32" fillId="9" borderId="84" xfId="0" applyNumberFormat="1" applyFont="1" applyFill="1" applyBorder="1" applyAlignment="1">
      <alignment horizontal="center" vertical="center" shrinkToFit="1"/>
    </xf>
    <xf numFmtId="166" fontId="32" fillId="9" borderId="88" xfId="0" applyNumberFormat="1" applyFont="1" applyFill="1" applyBorder="1" applyAlignment="1">
      <alignment horizontal="center" vertical="center" shrinkToFit="1"/>
    </xf>
    <xf numFmtId="166" fontId="32" fillId="9" borderId="85" xfId="0" applyNumberFormat="1" applyFont="1" applyFill="1" applyBorder="1" applyAlignment="1">
      <alignment horizontal="center" vertical="center" shrinkToFit="1"/>
    </xf>
    <xf numFmtId="0" fontId="32" fillId="9" borderId="85" xfId="0" applyFont="1" applyFill="1" applyBorder="1" applyAlignment="1">
      <alignment horizontal="center" vertical="center" shrinkToFit="1"/>
    </xf>
    <xf numFmtId="0" fontId="32" fillId="9" borderId="54" xfId="0" applyFont="1" applyFill="1" applyBorder="1" applyAlignment="1">
      <alignment horizontal="center" vertical="center" shrinkToFit="1"/>
    </xf>
    <xf numFmtId="0" fontId="32" fillId="9" borderId="57" xfId="0" applyFont="1" applyFill="1" applyBorder="1" applyAlignment="1">
      <alignment horizontal="center" vertical="center" shrinkToFit="1"/>
    </xf>
    <xf numFmtId="165" fontId="32" fillId="11" borderId="27" xfId="0" applyNumberFormat="1" applyFont="1" applyFill="1" applyBorder="1" applyAlignment="1">
      <alignment horizontal="center" vertical="center" shrinkToFit="1"/>
    </xf>
    <xf numFmtId="165" fontId="32" fillId="11" borderId="28" xfId="0" applyNumberFormat="1" applyFont="1" applyFill="1" applyBorder="1" applyAlignment="1">
      <alignment horizontal="center" vertical="center" shrinkToFit="1"/>
    </xf>
    <xf numFmtId="165" fontId="32" fillId="11" borderId="29" xfId="0" applyNumberFormat="1" applyFont="1" applyFill="1" applyBorder="1" applyAlignment="1">
      <alignment horizontal="center" vertical="center" shrinkToFit="1"/>
    </xf>
    <xf numFmtId="165" fontId="32" fillId="11" borderId="35" xfId="0" applyNumberFormat="1" applyFont="1" applyFill="1" applyBorder="1" applyAlignment="1">
      <alignment horizontal="center" vertical="center" shrinkToFit="1"/>
    </xf>
    <xf numFmtId="165" fontId="32" fillId="11" borderId="36" xfId="0" applyNumberFormat="1" applyFont="1" applyFill="1" applyBorder="1" applyAlignment="1">
      <alignment horizontal="center" vertical="center" shrinkToFit="1"/>
    </xf>
    <xf numFmtId="165" fontId="32" fillId="11" borderId="86" xfId="0" applyNumberFormat="1" applyFont="1" applyFill="1" applyBorder="1" applyAlignment="1">
      <alignment horizontal="center" vertical="center" shrinkToFit="1"/>
    </xf>
    <xf numFmtId="14" fontId="31" fillId="7" borderId="73" xfId="0" applyNumberFormat="1" applyFont="1" applyFill="1" applyBorder="1" applyAlignment="1">
      <alignment horizontal="center" vertical="center" shrinkToFit="1"/>
    </xf>
    <xf numFmtId="0" fontId="31" fillId="7" borderId="14" xfId="0" applyFont="1" applyFill="1" applyBorder="1" applyAlignment="1">
      <alignment horizontal="center" vertical="center" shrinkToFit="1"/>
    </xf>
    <xf numFmtId="174" fontId="31" fillId="7" borderId="14" xfId="0" applyNumberFormat="1" applyFont="1" applyFill="1" applyBorder="1" applyAlignment="1">
      <alignment horizontal="center" vertical="center" shrinkToFit="1"/>
    </xf>
    <xf numFmtId="174" fontId="31" fillId="7" borderId="76" xfId="0" applyNumberFormat="1" applyFont="1" applyFill="1" applyBorder="1" applyAlignment="1">
      <alignment horizontal="center" vertical="center" shrinkToFit="1"/>
    </xf>
    <xf numFmtId="0" fontId="31" fillId="11" borderId="18" xfId="0" applyFont="1" applyFill="1" applyBorder="1" applyAlignment="1">
      <alignment horizontal="center" vertical="center"/>
    </xf>
    <xf numFmtId="166" fontId="31" fillId="11" borderId="10" xfId="0" applyNumberFormat="1" applyFont="1" applyFill="1" applyBorder="1" applyAlignment="1">
      <alignment horizontal="center" vertical="center"/>
    </xf>
    <xf numFmtId="166" fontId="31" fillId="11" borderId="9" xfId="0" applyNumberFormat="1" applyFont="1" applyFill="1" applyBorder="1" applyAlignment="1">
      <alignment horizontal="center" vertical="center"/>
    </xf>
    <xf numFmtId="166" fontId="31" fillId="11" borderId="34" xfId="0" applyNumberFormat="1" applyFont="1" applyFill="1" applyBorder="1" applyAlignment="1">
      <alignment horizontal="center" vertical="center"/>
    </xf>
    <xf numFmtId="166" fontId="31" fillId="11" borderId="8" xfId="0" applyNumberFormat="1" applyFont="1" applyFill="1" applyBorder="1" applyAlignment="1">
      <alignment horizontal="center" vertical="center"/>
    </xf>
    <xf numFmtId="3" fontId="31" fillId="11" borderId="10" xfId="0" applyNumberFormat="1" applyFont="1" applyFill="1" applyBorder="1" applyAlignment="1">
      <alignment horizontal="center" vertical="center"/>
    </xf>
    <xf numFmtId="0" fontId="31" fillId="11" borderId="10" xfId="0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31" fillId="5" borderId="53" xfId="0" applyFont="1" applyFill="1" applyBorder="1" applyAlignment="1">
      <alignment horizontal="right" vertical="center" shrinkToFit="1"/>
    </xf>
    <xf numFmtId="0" fontId="31" fillId="5" borderId="51" xfId="0" applyFont="1" applyFill="1" applyBorder="1" applyAlignment="1">
      <alignment horizontal="right" vertical="center" shrinkToFit="1"/>
    </xf>
    <xf numFmtId="0" fontId="31" fillId="5" borderId="49" xfId="0" applyFont="1" applyFill="1" applyBorder="1" applyAlignment="1">
      <alignment horizontal="right" vertical="center" shrinkToFit="1"/>
    </xf>
    <xf numFmtId="174" fontId="31" fillId="5" borderId="46" xfId="0" applyNumberFormat="1" applyFont="1" applyFill="1" applyBorder="1" applyAlignment="1">
      <alignment horizontal="center" vertical="center" shrinkToFit="1"/>
    </xf>
    <xf numFmtId="174" fontId="31" fillId="5" borderId="50" xfId="0" applyNumberFormat="1" applyFont="1" applyFill="1" applyBorder="1" applyAlignment="1">
      <alignment horizontal="center" vertical="center" shrinkToFit="1"/>
    </xf>
    <xf numFmtId="166" fontId="31" fillId="11" borderId="80" xfId="0" applyNumberFormat="1" applyFont="1" applyFill="1" applyBorder="1" applyAlignment="1">
      <alignment horizontal="center" vertical="center"/>
    </xf>
    <xf numFmtId="166" fontId="31" fillId="11" borderId="82" xfId="0" applyNumberFormat="1" applyFont="1" applyFill="1" applyBorder="1" applyAlignment="1">
      <alignment horizontal="center" vertical="center"/>
    </xf>
    <xf numFmtId="166" fontId="31" fillId="11" borderId="87" xfId="0" applyNumberFormat="1" applyFont="1" applyFill="1" applyBorder="1" applyAlignment="1">
      <alignment horizontal="center" vertical="center"/>
    </xf>
    <xf numFmtId="166" fontId="31" fillId="11" borderId="83" xfId="0" applyNumberFormat="1" applyFont="1" applyFill="1" applyBorder="1" applyAlignment="1">
      <alignment horizontal="center" vertical="center"/>
    </xf>
    <xf numFmtId="3" fontId="31" fillId="11" borderId="80" xfId="0" applyNumberFormat="1" applyFont="1" applyFill="1" applyBorder="1" applyAlignment="1">
      <alignment horizontal="center" vertical="center"/>
    </xf>
    <xf numFmtId="0" fontId="31" fillId="11" borderId="80" xfId="0" applyFont="1" applyFill="1" applyBorder="1" applyAlignment="1">
      <alignment horizontal="center" vertical="center"/>
    </xf>
    <xf numFmtId="0" fontId="31" fillId="11" borderId="79" xfId="0" applyFont="1" applyFill="1" applyBorder="1" applyAlignment="1">
      <alignment horizontal="center" vertical="center"/>
    </xf>
    <xf numFmtId="0" fontId="32" fillId="5" borderId="27" xfId="0" applyFont="1" applyFill="1" applyBorder="1" applyAlignment="1">
      <alignment horizontal="center" vertical="center" wrapText="1"/>
    </xf>
    <xf numFmtId="0" fontId="32" fillId="5" borderId="28" xfId="0" applyFont="1" applyFill="1" applyBorder="1" applyAlignment="1">
      <alignment horizontal="center" vertical="center" wrapText="1"/>
    </xf>
    <xf numFmtId="0" fontId="32" fillId="5" borderId="31" xfId="0" applyFont="1" applyFill="1" applyBorder="1" applyAlignment="1">
      <alignment horizontal="center" vertical="center" wrapText="1"/>
    </xf>
    <xf numFmtId="174" fontId="34" fillId="7" borderId="30" xfId="0" applyNumberFormat="1" applyFont="1" applyFill="1" applyBorder="1" applyAlignment="1">
      <alignment horizontal="center" vertical="center" shrinkToFit="1"/>
    </xf>
    <xf numFmtId="174" fontId="34" fillId="7" borderId="29" xfId="0" applyNumberFormat="1" applyFont="1" applyFill="1" applyBorder="1" applyAlignment="1">
      <alignment horizontal="center" vertical="center" shrinkToFit="1"/>
    </xf>
    <xf numFmtId="0" fontId="32" fillId="11" borderId="77" xfId="0" applyFont="1" applyFill="1" applyBorder="1" applyAlignment="1">
      <alignment vertical="center" shrinkToFit="1"/>
    </xf>
    <xf numFmtId="166" fontId="32" fillId="11" borderId="54" xfId="0" applyNumberFormat="1" applyFont="1" applyFill="1" applyBorder="1" applyAlignment="1">
      <alignment horizontal="center" vertical="center" shrinkToFit="1"/>
    </xf>
    <xf numFmtId="166" fontId="32" fillId="11" borderId="84" xfId="0" applyNumberFormat="1" applyFont="1" applyFill="1" applyBorder="1" applyAlignment="1">
      <alignment horizontal="center" vertical="center" shrinkToFit="1"/>
    </xf>
    <xf numFmtId="166" fontId="32" fillId="11" borderId="88" xfId="0" applyNumberFormat="1" applyFont="1" applyFill="1" applyBorder="1" applyAlignment="1">
      <alignment horizontal="center" vertical="center" shrinkToFit="1"/>
    </xf>
    <xf numFmtId="166" fontId="32" fillId="11" borderId="85" xfId="0" applyNumberFormat="1" applyFont="1" applyFill="1" applyBorder="1" applyAlignment="1">
      <alignment horizontal="center" vertical="center" shrinkToFit="1"/>
    </xf>
    <xf numFmtId="0" fontId="32" fillId="11" borderId="84" xfId="0" applyFont="1" applyFill="1" applyBorder="1" applyAlignment="1">
      <alignment horizontal="center" vertical="center" shrinkToFit="1"/>
    </xf>
    <xf numFmtId="0" fontId="32" fillId="11" borderId="85" xfId="0" applyFont="1" applyFill="1" applyBorder="1" applyAlignment="1">
      <alignment horizontal="center" vertical="center" shrinkToFit="1"/>
    </xf>
    <xf numFmtId="3" fontId="32" fillId="11" borderId="54" xfId="0" applyNumberFormat="1" applyFont="1" applyFill="1" applyBorder="1" applyAlignment="1">
      <alignment horizontal="center" vertical="center" shrinkToFit="1"/>
    </xf>
    <xf numFmtId="3" fontId="32" fillId="11" borderId="57" xfId="0" applyNumberFormat="1" applyFont="1" applyFill="1" applyBorder="1" applyAlignment="1">
      <alignment horizontal="center" vertical="center" shrinkToFit="1"/>
    </xf>
    <xf numFmtId="0" fontId="32" fillId="5" borderId="56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center" vertical="center" wrapText="1"/>
    </xf>
    <xf numFmtId="0" fontId="32" fillId="5" borderId="69" xfId="0" applyFont="1" applyFill="1" applyBorder="1" applyAlignment="1">
      <alignment horizontal="center" vertical="center" wrapText="1"/>
    </xf>
    <xf numFmtId="174" fontId="34" fillId="7" borderId="68" xfId="0" applyNumberFormat="1" applyFont="1" applyFill="1" applyBorder="1" applyAlignment="1">
      <alignment horizontal="center" vertical="center" shrinkToFit="1"/>
    </xf>
    <xf numFmtId="174" fontId="34" fillId="7" borderId="58" xfId="0" applyNumberFormat="1" applyFont="1" applyFill="1" applyBorder="1" applyAlignment="1">
      <alignment horizontal="center" vertical="center" shrinkToFit="1"/>
    </xf>
    <xf numFmtId="0" fontId="32" fillId="7" borderId="73" xfId="0" applyFont="1" applyFill="1" applyBorder="1" applyAlignment="1">
      <alignment vertical="center" shrinkToFit="1"/>
    </xf>
    <xf numFmtId="166" fontId="32" fillId="7" borderId="54" xfId="0" applyNumberFormat="1" applyFont="1" applyFill="1" applyBorder="1" applyAlignment="1">
      <alignment horizontal="center" vertical="center" shrinkToFit="1"/>
    </xf>
    <xf numFmtId="44" fontId="32" fillId="7" borderId="54" xfId="1" applyFont="1" applyFill="1" applyBorder="1" applyAlignment="1" applyProtection="1">
      <alignment horizontal="center" vertical="center" shrinkToFit="1"/>
    </xf>
    <xf numFmtId="3" fontId="32" fillId="7" borderId="54" xfId="0" applyNumberFormat="1" applyFont="1" applyFill="1" applyBorder="1" applyAlignment="1">
      <alignment horizontal="center" vertical="center" shrinkToFit="1"/>
    </xf>
    <xf numFmtId="3" fontId="32" fillId="7" borderId="57" xfId="0" applyNumberFormat="1" applyFont="1" applyFill="1" applyBorder="1" applyAlignment="1">
      <alignment horizontal="center" vertical="center" shrinkToFit="1"/>
    </xf>
    <xf numFmtId="0" fontId="31" fillId="5" borderId="3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174" fontId="31" fillId="5" borderId="3" xfId="0" applyNumberFormat="1" applyFont="1" applyFill="1" applyBorder="1" applyAlignment="1">
      <alignment horizontal="center" vertical="center" shrinkToFit="1"/>
    </xf>
    <xf numFmtId="174" fontId="31" fillId="5" borderId="60" xfId="0" applyNumberFormat="1" applyFont="1" applyFill="1" applyBorder="1" applyAlignment="1">
      <alignment horizontal="center" vertical="center" shrinkToFit="1"/>
    </xf>
    <xf numFmtId="0" fontId="31" fillId="7" borderId="42" xfId="0" applyFont="1" applyFill="1" applyBorder="1" applyAlignment="1">
      <alignment horizontal="center" vertical="center" shrinkToFit="1"/>
    </xf>
    <xf numFmtId="166" fontId="31" fillId="7" borderId="37" xfId="0" applyNumberFormat="1" applyFont="1" applyFill="1" applyBorder="1" applyAlignment="1">
      <alignment horizontal="center" vertical="center" shrinkToFit="1"/>
    </xf>
    <xf numFmtId="166" fontId="31" fillId="7" borderId="3" xfId="0" applyNumberFormat="1" applyFont="1" applyFill="1" applyBorder="1" applyAlignment="1">
      <alignment horizontal="center" vertical="center" shrinkToFit="1"/>
    </xf>
    <xf numFmtId="166" fontId="31" fillId="7" borderId="55" xfId="0" applyNumberFormat="1" applyFont="1" applyFill="1" applyBorder="1" applyAlignment="1">
      <alignment horizontal="center" vertical="center" shrinkToFit="1"/>
    </xf>
    <xf numFmtId="166" fontId="31" fillId="7" borderId="2" xfId="0" applyNumberFormat="1" applyFont="1" applyFill="1" applyBorder="1" applyAlignment="1">
      <alignment horizontal="center" vertical="center" shrinkToFit="1"/>
    </xf>
    <xf numFmtId="4" fontId="31" fillId="7" borderId="9" xfId="0" applyNumberFormat="1" applyFont="1" applyFill="1" applyBorder="1" applyAlignment="1">
      <alignment horizontal="center" vertical="center" shrinkToFit="1"/>
    </xf>
    <xf numFmtId="4" fontId="31" fillId="7" borderId="8" xfId="0" applyNumberFormat="1" applyFont="1" applyFill="1" applyBorder="1" applyAlignment="1">
      <alignment horizontal="center" vertical="center" shrinkToFit="1"/>
    </xf>
    <xf numFmtId="174" fontId="31" fillId="7" borderId="9" xfId="0" applyNumberFormat="1" applyFont="1" applyFill="1" applyBorder="1" applyAlignment="1">
      <alignment horizontal="center" vertical="center" shrinkToFit="1"/>
    </xf>
    <xf numFmtId="174" fontId="31" fillId="7" borderId="59" xfId="0" applyNumberFormat="1" applyFont="1" applyFill="1" applyBorder="1" applyAlignment="1">
      <alignment horizontal="center" vertical="center" shrinkToFit="1"/>
    </xf>
    <xf numFmtId="4" fontId="31" fillId="7" borderId="14" xfId="0" applyNumberFormat="1" applyFont="1" applyFill="1" applyBorder="1" applyAlignment="1">
      <alignment horizontal="center" vertical="center" shrinkToFit="1"/>
    </xf>
    <xf numFmtId="4" fontId="31" fillId="7" borderId="13" xfId="0" applyNumberFormat="1" applyFont="1" applyFill="1" applyBorder="1" applyAlignment="1">
      <alignment horizontal="center" vertical="center" shrinkToFit="1"/>
    </xf>
    <xf numFmtId="3" fontId="32" fillId="7" borderId="41" xfId="0" applyNumberFormat="1" applyFont="1" applyFill="1" applyBorder="1" applyAlignment="1">
      <alignment horizontal="center" vertical="center" shrinkToFit="1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1" fillId="2" borderId="0" xfId="0" applyNumberFormat="1" applyFont="1" applyFill="1" applyAlignment="1">
      <alignment vertical="center" shrinkToFit="1"/>
    </xf>
    <xf numFmtId="14" fontId="31" fillId="2" borderId="0" xfId="0" applyNumberFormat="1" applyFont="1" applyFill="1" applyAlignment="1">
      <alignment horizontal="right" vertical="center" shrinkToFit="1"/>
    </xf>
    <xf numFmtId="165" fontId="34" fillId="0" borderId="0" xfId="0" applyNumberFormat="1" applyFont="1" applyAlignment="1">
      <alignment horizontal="right" vertical="center" shrinkToFit="1"/>
    </xf>
    <xf numFmtId="165" fontId="32" fillId="0" borderId="0" xfId="0" applyNumberFormat="1" applyFont="1" applyAlignment="1">
      <alignment horizontal="right" vertical="center" shrinkToFit="1"/>
    </xf>
    <xf numFmtId="0" fontId="31" fillId="0" borderId="0" xfId="0" applyFont="1" applyAlignment="1">
      <alignment horizontal="right" vertical="center" shrinkToFit="1"/>
    </xf>
    <xf numFmtId="0" fontId="35" fillId="0" borderId="0" xfId="0" applyFont="1" applyAlignment="1">
      <alignment horizontal="right" vertical="center"/>
    </xf>
    <xf numFmtId="0" fontId="31" fillId="10" borderId="0" xfId="0" applyFont="1" applyFill="1" applyBorder="1" applyAlignment="1">
      <alignment horizontal="center" vertical="center" shrinkToFit="1"/>
    </xf>
    <xf numFmtId="166" fontId="31" fillId="10" borderId="0" xfId="0" applyNumberFormat="1" applyFont="1" applyFill="1" applyBorder="1" applyAlignment="1">
      <alignment horizontal="center" vertical="center" shrinkToFit="1"/>
    </xf>
    <xf numFmtId="165" fontId="28" fillId="0" borderId="0" xfId="0" applyNumberFormat="1" applyFont="1" applyAlignment="1">
      <alignment horizontal="center" vertical="center" shrinkToFit="1"/>
    </xf>
    <xf numFmtId="170" fontId="0" fillId="0" borderId="45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1" fillId="0" borderId="45" xfId="0" applyNumberFormat="1" applyFont="1" applyBorder="1" applyAlignment="1">
      <alignment horizontal="center"/>
    </xf>
    <xf numFmtId="170" fontId="1" fillId="0" borderId="55" xfId="0" applyNumberFormat="1" applyFont="1" applyBorder="1" applyAlignment="1">
      <alignment horizontal="center"/>
    </xf>
    <xf numFmtId="170" fontId="1" fillId="0" borderId="60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173" fontId="0" fillId="4" borderId="14" xfId="0" applyNumberFormat="1" applyFill="1" applyBorder="1" applyAlignment="1">
      <alignment horizontal="center"/>
    </xf>
    <xf numFmtId="0" fontId="0" fillId="0" borderId="75" xfId="0" applyBorder="1" applyAlignment="1">
      <alignment horizontal="center" vertical="center" wrapText="1" shrinkToFit="1"/>
    </xf>
    <xf numFmtId="170" fontId="1" fillId="0" borderId="75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73" fontId="0" fillId="0" borderId="86" xfId="0" applyNumberFormat="1" applyBorder="1" applyAlignment="1">
      <alignment horizontal="center"/>
    </xf>
    <xf numFmtId="173" fontId="0" fillId="0" borderId="59" xfId="0" applyNumberFormat="1" applyBorder="1" applyAlignment="1">
      <alignment horizontal="center"/>
    </xf>
    <xf numFmtId="173" fontId="0" fillId="0" borderId="76" xfId="0" applyNumberFormat="1" applyBorder="1" applyAlignment="1">
      <alignment horizontal="center"/>
    </xf>
    <xf numFmtId="170" fontId="0" fillId="0" borderId="27" xfId="0" applyNumberFormat="1" applyBorder="1" applyAlignment="1">
      <alignment horizontal="center" vertical="center"/>
    </xf>
    <xf numFmtId="170" fontId="0" fillId="0" borderId="28" xfId="0" applyNumberFormat="1" applyBorder="1" applyAlignment="1">
      <alignment horizontal="center" vertical="center"/>
    </xf>
    <xf numFmtId="170" fontId="0" fillId="0" borderId="29" xfId="0" applyNumberFormat="1" applyBorder="1" applyAlignment="1">
      <alignment horizontal="center" vertical="center"/>
    </xf>
    <xf numFmtId="0" fontId="24" fillId="0" borderId="10" xfId="0" applyFont="1" applyBorder="1" applyAlignment="1"/>
    <xf numFmtId="170" fontId="0" fillId="0" borderId="42" xfId="0" applyNumberFormat="1" applyBorder="1"/>
    <xf numFmtId="0" fontId="24" fillId="0" borderId="37" xfId="0" applyFont="1" applyBorder="1" applyAlignment="1"/>
    <xf numFmtId="0" fontId="0" fillId="0" borderId="37" xfId="0" applyBorder="1" applyAlignment="1"/>
    <xf numFmtId="0" fontId="0" fillId="0" borderId="38" xfId="0" applyBorder="1" applyAlignment="1"/>
    <xf numFmtId="170" fontId="24" fillId="0" borderId="18" xfId="0" applyNumberFormat="1" applyFont="1" applyBorder="1"/>
    <xf numFmtId="0" fontId="24" fillId="0" borderId="11" xfId="0" applyFont="1" applyBorder="1" applyAlignment="1"/>
    <xf numFmtId="170" fontId="0" fillId="0" borderId="18" xfId="0" applyNumberFormat="1" applyBorder="1"/>
    <xf numFmtId="170" fontId="1" fillId="0" borderId="20" xfId="0" applyNumberFormat="1" applyFon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170" fontId="0" fillId="0" borderId="42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71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7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4" fillId="0" borderId="70" xfId="0" applyFont="1" applyBorder="1"/>
    <xf numFmtId="0" fontId="0" fillId="0" borderId="0" xfId="0" applyBorder="1"/>
    <xf numFmtId="170" fontId="0" fillId="0" borderId="29" xfId="0" applyNumberFormat="1" applyBorder="1" applyAlignment="1">
      <alignment horizontal="center" vertical="center" wrapText="1"/>
    </xf>
    <xf numFmtId="170" fontId="0" fillId="0" borderId="1" xfId="0" applyNumberFormat="1" applyBorder="1"/>
    <xf numFmtId="170" fontId="0" fillId="0" borderId="7" xfId="0" applyNumberFormat="1" applyBorder="1"/>
    <xf numFmtId="170" fontId="0" fillId="0" borderId="12" xfId="0" applyNumberFormat="1" applyBorder="1"/>
    <xf numFmtId="0" fontId="31" fillId="3" borderId="49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center" vertical="center" wrapText="1" shrinkToFit="1"/>
    </xf>
    <xf numFmtId="0" fontId="3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 shrinkToFit="1"/>
    </xf>
    <xf numFmtId="166" fontId="36" fillId="0" borderId="28" xfId="0" applyNumberFormat="1" applyFont="1" applyBorder="1" applyAlignment="1">
      <alignment horizontal="center" vertical="center" shrinkToFit="1"/>
    </xf>
    <xf numFmtId="166" fontId="36" fillId="0" borderId="0" xfId="0" applyNumberFormat="1" applyFont="1" applyBorder="1" applyAlignment="1">
      <alignment horizontal="center" vertical="center" shrinkToFit="1"/>
    </xf>
    <xf numFmtId="165" fontId="37" fillId="0" borderId="0" xfId="0" applyNumberFormat="1" applyFont="1" applyAlignment="1">
      <alignment horizontal="center" vertical="center" shrinkToFit="1"/>
    </xf>
    <xf numFmtId="0" fontId="32" fillId="0" borderId="0" xfId="0" applyFont="1" applyBorder="1" applyAlignment="1">
      <alignment horizontal="left" vertical="center" shrinkToFit="1"/>
    </xf>
    <xf numFmtId="0" fontId="31" fillId="7" borderId="43" xfId="0" applyFont="1" applyFill="1" applyBorder="1" applyAlignment="1" applyProtection="1">
      <alignment horizontal="center" vertical="center" shrinkToFit="1"/>
      <protection hidden="1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1" fillId="0" borderId="9" xfId="0" applyFont="1" applyBorder="1" applyAlignment="1" applyProtection="1">
      <alignment horizontal="center" vertical="center" shrinkToFit="1"/>
      <protection hidden="1"/>
    </xf>
    <xf numFmtId="0" fontId="31" fillId="0" borderId="34" xfId="0" applyFont="1" applyBorder="1" applyAlignment="1" applyProtection="1">
      <alignment horizontal="center" vertical="center" shrinkToFit="1"/>
      <protection hidden="1"/>
    </xf>
    <xf numFmtId="0" fontId="31" fillId="0" borderId="8" xfId="0" applyFont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1" fontId="31" fillId="2" borderId="32" xfId="0" applyNumberFormat="1" applyFont="1" applyFill="1" applyBorder="1" applyAlignment="1" applyProtection="1">
      <alignment horizontal="right" vertical="center"/>
      <protection locked="0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NumberFormat="1" applyFont="1" applyFill="1" applyBorder="1" applyAlignment="1" applyProtection="1">
      <alignment horizontal="right" vertical="center"/>
      <protection hidden="1"/>
    </xf>
    <xf numFmtId="1" fontId="31" fillId="6" borderId="32" xfId="0" applyNumberFormat="1" applyFont="1" applyFill="1" applyBorder="1" applyAlignment="1" applyProtection="1">
      <alignment horizontal="right" vertical="center"/>
      <protection locked="0"/>
    </xf>
    <xf numFmtId="0" fontId="31" fillId="6" borderId="36" xfId="0" applyFont="1" applyFill="1" applyBorder="1" applyAlignment="1">
      <alignment horizontal="center" vertical="center"/>
    </xf>
    <xf numFmtId="167" fontId="31" fillId="6" borderId="36" xfId="0" applyNumberFormat="1" applyFont="1" applyFill="1" applyBorder="1" applyAlignment="1" applyProtection="1">
      <alignment vertical="center"/>
    </xf>
    <xf numFmtId="0" fontId="31" fillId="6" borderId="32" xfId="0" applyNumberFormat="1" applyFont="1" applyFill="1" applyBorder="1" applyAlignment="1" applyProtection="1">
      <alignment horizontal="right" vertical="center"/>
      <protection locked="0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>
      <alignment horizontal="center" vertical="center" wrapText="1"/>
    </xf>
    <xf numFmtId="3" fontId="31" fillId="5" borderId="40" xfId="0" applyNumberFormat="1" applyFont="1" applyFill="1" applyBorder="1" applyAlignment="1">
      <alignment horizontal="center" vertical="center" wrapText="1"/>
    </xf>
    <xf numFmtId="164" fontId="40" fillId="7" borderId="37" xfId="0" applyNumberFormat="1" applyFont="1" applyFill="1" applyBorder="1" applyAlignment="1">
      <alignment horizontal="center" vertical="center" shrinkToFit="1"/>
    </xf>
    <xf numFmtId="164" fontId="40" fillId="7" borderId="38" xfId="0" applyNumberFormat="1" applyFont="1" applyFill="1" applyBorder="1" applyAlignment="1">
      <alignment horizontal="center" vertical="center" shrinkToFit="1"/>
    </xf>
    <xf numFmtId="164" fontId="40" fillId="7" borderId="21" xfId="0" applyNumberFormat="1" applyFont="1" applyFill="1" applyBorder="1" applyAlignment="1">
      <alignment horizontal="center" vertical="center" shrinkToFit="1"/>
    </xf>
    <xf numFmtId="164" fontId="40" fillId="7" borderId="22" xfId="0" applyNumberFormat="1" applyFont="1" applyFill="1" applyBorder="1" applyAlignment="1">
      <alignment horizontal="center" vertical="center" shrinkToFit="1"/>
    </xf>
    <xf numFmtId="14" fontId="31" fillId="7" borderId="4" xfId="0" applyNumberFormat="1" applyFont="1" applyFill="1" applyBorder="1" applyAlignment="1">
      <alignment horizontal="center" vertical="center" shrinkToFit="1"/>
    </xf>
    <xf numFmtId="0" fontId="32" fillId="9" borderId="90" xfId="0" applyFont="1" applyFill="1" applyBorder="1" applyAlignment="1">
      <alignment horizontal="center" vertical="center" shrinkToFit="1"/>
    </xf>
    <xf numFmtId="0" fontId="31" fillId="9" borderId="0" xfId="0" applyFont="1" applyFill="1" applyAlignment="1">
      <alignment horizontal="center" vertical="center"/>
    </xf>
    <xf numFmtId="14" fontId="31" fillId="10" borderId="0" xfId="0" applyNumberFormat="1" applyFont="1" applyFill="1" applyAlignment="1">
      <alignment horizontal="center" vertical="center" shrinkToFit="1"/>
    </xf>
    <xf numFmtId="14" fontId="31" fillId="10" borderId="0" xfId="0" applyNumberFormat="1" applyFont="1" applyFill="1" applyAlignment="1">
      <alignment horizontal="right" vertical="center" shrinkToFit="1"/>
    </xf>
    <xf numFmtId="49" fontId="31" fillId="10" borderId="0" xfId="0" applyNumberFormat="1" applyFont="1" applyFill="1" applyAlignment="1">
      <alignment vertical="center" shrinkToFit="1"/>
    </xf>
    <xf numFmtId="166" fontId="36" fillId="10" borderId="28" xfId="0" applyNumberFormat="1" applyFont="1" applyFill="1" applyBorder="1" applyAlignment="1">
      <alignment horizontal="center" vertical="center" shrinkToFit="1"/>
    </xf>
    <xf numFmtId="165" fontId="32" fillId="10" borderId="0" xfId="0" applyNumberFormat="1" applyFont="1" applyFill="1" applyAlignment="1">
      <alignment horizontal="center" vertical="center" shrinkToFit="1"/>
    </xf>
    <xf numFmtId="166" fontId="36" fillId="10" borderId="0" xfId="0" applyNumberFormat="1" applyFont="1" applyFill="1" applyBorder="1" applyAlignment="1">
      <alignment horizontal="center" vertical="center" shrinkToFit="1"/>
    </xf>
    <xf numFmtId="0" fontId="31" fillId="10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178" fontId="31" fillId="0" borderId="37" xfId="1" applyNumberFormat="1" applyFont="1" applyBorder="1" applyAlignment="1" applyProtection="1">
      <alignment horizontal="center" vertical="center" shrinkToFit="1"/>
      <protection locked="0"/>
    </xf>
    <xf numFmtId="178" fontId="31" fillId="0" borderId="38" xfId="1" applyNumberFormat="1" applyFont="1" applyBorder="1" applyAlignment="1" applyProtection="1">
      <alignment horizontal="center" vertical="center" shrinkToFit="1"/>
      <protection locked="0"/>
    </xf>
    <xf numFmtId="178" fontId="31" fillId="0" borderId="10" xfId="1" applyNumberFormat="1" applyFont="1" applyBorder="1" applyAlignment="1" applyProtection="1">
      <alignment horizontal="center" vertical="center" shrinkToFit="1"/>
      <protection locked="0"/>
    </xf>
    <xf numFmtId="178" fontId="31" fillId="0" borderId="11" xfId="1" applyNumberFormat="1" applyFont="1" applyBorder="1" applyAlignment="1" applyProtection="1">
      <alignment horizontal="center" vertical="center" shrinkToFit="1"/>
      <protection locked="0"/>
    </xf>
    <xf numFmtId="178" fontId="31" fillId="0" borderId="21" xfId="1" applyNumberFormat="1" applyFont="1" applyBorder="1" applyAlignment="1" applyProtection="1">
      <alignment horizontal="center" vertical="center" shrinkToFit="1"/>
      <protection locked="0"/>
    </xf>
    <xf numFmtId="178" fontId="31" fillId="0" borderId="22" xfId="1" applyNumberFormat="1" applyFont="1" applyBorder="1" applyAlignment="1" applyProtection="1">
      <alignment horizontal="center" vertical="center" shrinkToFit="1"/>
      <protection locked="0"/>
    </xf>
    <xf numFmtId="178" fontId="31" fillId="0" borderId="37" xfId="0" applyNumberFormat="1" applyFont="1" applyBorder="1" applyAlignment="1" applyProtection="1">
      <alignment horizontal="center" vertical="center" shrinkToFit="1"/>
      <protection locked="0"/>
    </xf>
    <xf numFmtId="178" fontId="31" fillId="0" borderId="38" xfId="0" applyNumberFormat="1" applyFont="1" applyBorder="1" applyAlignment="1" applyProtection="1">
      <alignment horizontal="center" vertical="center" shrinkToFit="1"/>
      <protection locked="0"/>
    </xf>
    <xf numFmtId="178" fontId="31" fillId="0" borderId="10" xfId="0" applyNumberFormat="1" applyFont="1" applyBorder="1" applyAlignment="1" applyProtection="1">
      <alignment horizontal="center" vertical="center" shrinkToFit="1"/>
      <protection locked="0"/>
    </xf>
    <xf numFmtId="178" fontId="31" fillId="0" borderId="11" xfId="0" applyNumberFormat="1" applyFont="1" applyBorder="1" applyAlignment="1" applyProtection="1">
      <alignment horizontal="center" vertical="center" shrinkToFit="1"/>
      <protection locked="0"/>
    </xf>
    <xf numFmtId="178" fontId="31" fillId="0" borderId="9" xfId="0" applyNumberFormat="1" applyFont="1" applyBorder="1" applyAlignment="1" applyProtection="1">
      <alignment horizontal="center" vertical="center" shrinkToFit="1"/>
      <protection locked="0"/>
    </xf>
    <xf numFmtId="178" fontId="31" fillId="0" borderId="59" xfId="0" applyNumberFormat="1" applyFont="1" applyBorder="1" applyAlignment="1" applyProtection="1">
      <alignment horizontal="center" vertical="center" shrinkToFit="1"/>
      <protection locked="0"/>
    </xf>
    <xf numFmtId="178" fontId="31" fillId="0" borderId="14" xfId="0" applyNumberFormat="1" applyFont="1" applyBorder="1" applyAlignment="1" applyProtection="1">
      <alignment horizontal="center" vertical="center" shrinkToFit="1"/>
      <protection locked="0"/>
    </xf>
    <xf numFmtId="178" fontId="31" fillId="0" borderId="76" xfId="0" applyNumberFormat="1" applyFont="1" applyBorder="1" applyAlignment="1" applyProtection="1">
      <alignment horizontal="center" vertical="center" shrinkToFit="1"/>
      <protection locked="0"/>
    </xf>
    <xf numFmtId="178" fontId="31" fillId="0" borderId="9" xfId="1" applyNumberFormat="1" applyFont="1" applyBorder="1" applyAlignment="1" applyProtection="1">
      <alignment horizontal="center" vertical="center" shrinkToFit="1"/>
      <protection locked="0"/>
    </xf>
    <xf numFmtId="178" fontId="31" fillId="0" borderId="59" xfId="1" applyNumberFormat="1" applyFont="1" applyBorder="1" applyAlignment="1" applyProtection="1">
      <alignment horizontal="center" vertical="center" shrinkToFit="1"/>
      <protection locked="0"/>
    </xf>
    <xf numFmtId="0" fontId="38" fillId="0" borderId="0" xfId="0" applyFont="1" applyBorder="1" applyAlignment="1">
      <alignment horizontal="center" vertical="center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595"/>
      <c r="S4" s="595"/>
      <c r="T4" s="595"/>
      <c r="U4" s="595"/>
      <c r="V4" s="595"/>
    </row>
    <row r="5" spans="1:23" s="3" customFormat="1" ht="13.5" thickBot="1" x14ac:dyDescent="0.25">
      <c r="A5" s="596"/>
      <c r="B5" s="596"/>
      <c r="C5" s="596"/>
      <c r="D5" s="596"/>
      <c r="E5" s="596"/>
      <c r="F5" s="596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664"/>
      <c r="F1" s="664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659"/>
      <c r="AF1" s="659"/>
      <c r="AG1" s="659"/>
      <c r="AH1" s="1"/>
    </row>
    <row r="2" spans="1:36" s="3" customFormat="1" ht="15" customHeight="1" x14ac:dyDescent="0.2">
      <c r="A2" s="1"/>
      <c r="B2" s="1"/>
      <c r="C2" s="1"/>
      <c r="D2" s="660" t="s">
        <v>36</v>
      </c>
      <c r="E2" s="660"/>
      <c r="F2" s="660"/>
      <c r="G2" s="660"/>
      <c r="H2" s="660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659"/>
      <c r="AF2" s="659"/>
      <c r="AG2" s="659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659"/>
      <c r="AF3" s="659"/>
      <c r="AG3" s="659"/>
      <c r="AH3" s="1"/>
    </row>
    <row r="4" spans="1:36" s="3" customFormat="1" ht="13.5" thickBot="1" x14ac:dyDescent="0.25">
      <c r="A4" s="5"/>
      <c r="B4" s="52" t="s">
        <v>0</v>
      </c>
      <c r="C4" s="660"/>
      <c r="D4" s="661"/>
      <c r="E4" s="661"/>
      <c r="F4" s="661"/>
      <c r="G4" s="596" t="s">
        <v>5</v>
      </c>
      <c r="H4" s="596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595"/>
      <c r="AE4" s="595"/>
      <c r="AF4" s="595"/>
      <c r="AG4" s="595"/>
      <c r="AH4" s="595"/>
    </row>
    <row r="5" spans="1:36" s="3" customFormat="1" ht="13.5" thickBot="1" x14ac:dyDescent="0.25">
      <c r="A5" s="596"/>
      <c r="B5" s="596"/>
      <c r="C5" s="596"/>
      <c r="D5" s="596"/>
      <c r="E5" s="596"/>
      <c r="F5" s="596"/>
      <c r="G5" s="596"/>
      <c r="H5" s="596"/>
      <c r="I5" s="596"/>
      <c r="J5" s="669" t="s">
        <v>9</v>
      </c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  <c r="W5" s="670"/>
      <c r="X5" s="670"/>
      <c r="Y5" s="670"/>
      <c r="Z5" s="670"/>
      <c r="AA5" s="670"/>
      <c r="AB5" s="671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672" t="s">
        <v>3</v>
      </c>
      <c r="C6" s="673"/>
      <c r="D6" s="673"/>
      <c r="E6" s="673"/>
      <c r="F6" s="673" t="s">
        <v>4</v>
      </c>
      <c r="G6" s="673"/>
      <c r="H6" s="674" t="s">
        <v>6</v>
      </c>
      <c r="I6" s="675"/>
      <c r="J6" s="11" t="s">
        <v>24</v>
      </c>
      <c r="K6" s="12" t="s">
        <v>17</v>
      </c>
      <c r="L6" s="12" t="s">
        <v>28</v>
      </c>
      <c r="M6" s="662" t="s">
        <v>25</v>
      </c>
      <c r="N6" s="663"/>
      <c r="O6" s="12" t="s">
        <v>18</v>
      </c>
      <c r="P6" s="662" t="s">
        <v>27</v>
      </c>
      <c r="Q6" s="663"/>
      <c r="R6" s="12"/>
      <c r="S6" s="662" t="s">
        <v>30</v>
      </c>
      <c r="T6" s="663"/>
      <c r="U6" s="12" t="s">
        <v>34</v>
      </c>
      <c r="V6" s="662" t="s">
        <v>29</v>
      </c>
      <c r="W6" s="663"/>
      <c r="X6" s="12" t="s">
        <v>33</v>
      </c>
      <c r="Y6" s="662" t="s">
        <v>19</v>
      </c>
      <c r="Z6" s="663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655"/>
      <c r="C7" s="630"/>
      <c r="D7" s="630"/>
      <c r="E7" s="630"/>
      <c r="F7" s="647"/>
      <c r="G7" s="631"/>
      <c r="H7" s="648"/>
      <c r="I7" s="633"/>
      <c r="J7" s="20"/>
      <c r="K7" s="21"/>
      <c r="L7" s="21"/>
      <c r="M7" s="650"/>
      <c r="N7" s="650"/>
      <c r="O7" s="21"/>
      <c r="P7" s="650"/>
      <c r="Q7" s="650"/>
      <c r="R7" s="21"/>
      <c r="S7" s="650"/>
      <c r="T7" s="650"/>
      <c r="U7" s="21"/>
      <c r="V7" s="650"/>
      <c r="W7" s="650"/>
      <c r="X7" s="21"/>
      <c r="Y7" s="650"/>
      <c r="Z7" s="650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655"/>
      <c r="C8" s="630"/>
      <c r="D8" s="630"/>
      <c r="E8" s="630"/>
      <c r="F8" s="631"/>
      <c r="G8" s="631"/>
      <c r="H8" s="632"/>
      <c r="I8" s="633"/>
      <c r="J8" s="20"/>
      <c r="K8" s="21"/>
      <c r="L8" s="21"/>
      <c r="M8" s="650"/>
      <c r="N8" s="650"/>
      <c r="O8" s="21"/>
      <c r="P8" s="650"/>
      <c r="Q8" s="650"/>
      <c r="R8" s="21"/>
      <c r="S8" s="650"/>
      <c r="T8" s="650"/>
      <c r="U8" s="21"/>
      <c r="V8" s="650"/>
      <c r="W8" s="650"/>
      <c r="X8" s="21"/>
      <c r="Y8" s="650"/>
      <c r="Z8" s="650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665"/>
      <c r="C9" s="630"/>
      <c r="D9" s="630"/>
      <c r="E9" s="630"/>
      <c r="F9" s="666"/>
      <c r="G9" s="631"/>
      <c r="H9" s="667"/>
      <c r="I9" s="633"/>
      <c r="J9" s="20"/>
      <c r="K9" s="21"/>
      <c r="L9" s="21"/>
      <c r="M9" s="650"/>
      <c r="N9" s="650"/>
      <c r="O9" s="21"/>
      <c r="P9" s="650"/>
      <c r="Q9" s="650"/>
      <c r="R9" s="21"/>
      <c r="S9" s="650"/>
      <c r="T9" s="650"/>
      <c r="U9" s="21"/>
      <c r="V9" s="650"/>
      <c r="W9" s="650"/>
      <c r="X9" s="21"/>
      <c r="Y9" s="650"/>
      <c r="Z9" s="650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658"/>
      <c r="C10" s="635"/>
      <c r="D10" s="635"/>
      <c r="E10" s="635"/>
      <c r="F10" s="668"/>
      <c r="G10" s="636"/>
      <c r="H10" s="637"/>
      <c r="I10" s="638"/>
      <c r="J10" s="61"/>
      <c r="K10" s="36"/>
      <c r="L10" s="36"/>
      <c r="M10" s="653"/>
      <c r="N10" s="653"/>
      <c r="O10" s="36"/>
      <c r="P10" s="653"/>
      <c r="Q10" s="653"/>
      <c r="R10" s="36"/>
      <c r="S10" s="653"/>
      <c r="T10" s="653"/>
      <c r="U10" s="36"/>
      <c r="V10" s="653"/>
      <c r="W10" s="653"/>
      <c r="X10" s="36"/>
      <c r="Y10" s="653"/>
      <c r="Z10" s="653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634"/>
      <c r="C11" s="635"/>
      <c r="D11" s="635"/>
      <c r="E11" s="635"/>
      <c r="F11" s="636"/>
      <c r="G11" s="636"/>
      <c r="H11" s="637"/>
      <c r="I11" s="638"/>
      <c r="J11" s="61"/>
      <c r="K11" s="36"/>
      <c r="L11" s="36"/>
      <c r="M11" s="653"/>
      <c r="N11" s="653"/>
      <c r="O11" s="36"/>
      <c r="P11" s="653"/>
      <c r="Q11" s="653"/>
      <c r="R11" s="36"/>
      <c r="S11" s="653"/>
      <c r="T11" s="653"/>
      <c r="U11" s="36"/>
      <c r="V11" s="653"/>
      <c r="W11" s="653"/>
      <c r="X11" s="36"/>
      <c r="Y11" s="653"/>
      <c r="Z11" s="653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655"/>
      <c r="C12" s="630"/>
      <c r="D12" s="630"/>
      <c r="E12" s="630"/>
      <c r="F12" s="631"/>
      <c r="G12" s="631"/>
      <c r="H12" s="632"/>
      <c r="I12" s="633"/>
      <c r="J12" s="20"/>
      <c r="K12" s="21"/>
      <c r="L12" s="21"/>
      <c r="M12" s="650"/>
      <c r="N12" s="650"/>
      <c r="O12" s="21"/>
      <c r="P12" s="650"/>
      <c r="Q12" s="650"/>
      <c r="R12" s="21"/>
      <c r="S12" s="650"/>
      <c r="T12" s="650"/>
      <c r="U12" s="21"/>
      <c r="V12" s="650"/>
      <c r="W12" s="650"/>
      <c r="X12" s="21"/>
      <c r="Y12" s="650"/>
      <c r="Z12" s="650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658"/>
      <c r="C13" s="635"/>
      <c r="D13" s="635"/>
      <c r="E13" s="635"/>
      <c r="F13" s="636"/>
      <c r="G13" s="636"/>
      <c r="H13" s="637"/>
      <c r="I13" s="638"/>
      <c r="J13" s="61"/>
      <c r="K13" s="36"/>
      <c r="L13" s="36"/>
      <c r="M13" s="653"/>
      <c r="N13" s="653"/>
      <c r="O13" s="36"/>
      <c r="P13" s="653"/>
      <c r="Q13" s="653"/>
      <c r="R13" s="36"/>
      <c r="S13" s="653"/>
      <c r="T13" s="653"/>
      <c r="U13" s="36"/>
      <c r="V13" s="653"/>
      <c r="W13" s="653"/>
      <c r="X13" s="36"/>
      <c r="Y13" s="653"/>
      <c r="Z13" s="653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629"/>
      <c r="C14" s="630"/>
      <c r="D14" s="630"/>
      <c r="E14" s="630"/>
      <c r="F14" s="631"/>
      <c r="G14" s="631"/>
      <c r="H14" s="632"/>
      <c r="I14" s="633"/>
      <c r="J14" s="20"/>
      <c r="K14" s="21"/>
      <c r="L14" s="21"/>
      <c r="M14" s="650"/>
      <c r="N14" s="650"/>
      <c r="O14" s="36"/>
      <c r="P14" s="653"/>
      <c r="Q14" s="653"/>
      <c r="R14" s="36"/>
      <c r="S14" s="650"/>
      <c r="T14" s="650"/>
      <c r="U14" s="21"/>
      <c r="V14" s="650"/>
      <c r="W14" s="650"/>
      <c r="X14" s="21"/>
      <c r="Y14" s="650"/>
      <c r="Z14" s="650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655"/>
      <c r="C15" s="630"/>
      <c r="D15" s="630"/>
      <c r="E15" s="630"/>
      <c r="F15" s="631"/>
      <c r="G15" s="631"/>
      <c r="H15" s="632"/>
      <c r="I15" s="633"/>
      <c r="J15" s="20"/>
      <c r="K15" s="21"/>
      <c r="L15" s="21"/>
      <c r="M15" s="650"/>
      <c r="N15" s="650"/>
      <c r="O15" s="21"/>
      <c r="P15" s="650"/>
      <c r="Q15" s="650"/>
      <c r="R15" s="21"/>
      <c r="S15" s="650"/>
      <c r="T15" s="650"/>
      <c r="U15" s="21"/>
      <c r="V15" s="650"/>
      <c r="W15" s="650"/>
      <c r="X15" s="21"/>
      <c r="Y15" s="650"/>
      <c r="Z15" s="650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655"/>
      <c r="C16" s="630"/>
      <c r="D16" s="630"/>
      <c r="E16" s="630"/>
      <c r="F16" s="631"/>
      <c r="G16" s="631"/>
      <c r="H16" s="632"/>
      <c r="I16" s="633"/>
      <c r="J16" s="21"/>
      <c r="K16" s="21"/>
      <c r="L16" s="21"/>
      <c r="M16" s="650"/>
      <c r="N16" s="650"/>
      <c r="O16" s="21"/>
      <c r="P16" s="650"/>
      <c r="Q16" s="650"/>
      <c r="R16" s="21"/>
      <c r="S16" s="650"/>
      <c r="T16" s="650"/>
      <c r="U16" s="21"/>
      <c r="V16" s="650"/>
      <c r="W16" s="650"/>
      <c r="X16" s="21"/>
      <c r="Y16" s="650"/>
      <c r="Z16" s="650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656"/>
      <c r="C17" s="635"/>
      <c r="D17" s="635"/>
      <c r="E17" s="635"/>
      <c r="F17" s="636"/>
      <c r="G17" s="636"/>
      <c r="H17" s="637"/>
      <c r="I17" s="657"/>
      <c r="J17" s="35"/>
      <c r="K17" s="36"/>
      <c r="L17" s="36"/>
      <c r="M17" s="653"/>
      <c r="N17" s="653"/>
      <c r="O17" s="36"/>
      <c r="P17" s="653"/>
      <c r="Q17" s="653"/>
      <c r="R17" s="36"/>
      <c r="S17" s="653"/>
      <c r="T17" s="653"/>
      <c r="U17" s="36"/>
      <c r="V17" s="653"/>
      <c r="W17" s="653"/>
      <c r="X17" s="36"/>
      <c r="Y17" s="653"/>
      <c r="Z17" s="653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652"/>
      <c r="C18" s="635"/>
      <c r="D18" s="635"/>
      <c r="E18" s="635"/>
      <c r="F18" s="636"/>
      <c r="G18" s="636"/>
      <c r="H18" s="637"/>
      <c r="I18" s="638"/>
      <c r="J18" s="62"/>
      <c r="K18" s="36"/>
      <c r="L18" s="36"/>
      <c r="M18" s="653"/>
      <c r="N18" s="653"/>
      <c r="O18" s="62"/>
      <c r="P18" s="653"/>
      <c r="Q18" s="653"/>
      <c r="R18" s="36"/>
      <c r="S18" s="653"/>
      <c r="T18" s="653"/>
      <c r="U18" s="36"/>
      <c r="V18" s="653"/>
      <c r="W18" s="653"/>
      <c r="X18" s="36"/>
      <c r="Y18" s="653"/>
      <c r="Z18" s="653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654"/>
      <c r="C19" s="630"/>
      <c r="D19" s="630"/>
      <c r="E19" s="630"/>
      <c r="F19" s="631"/>
      <c r="G19" s="631"/>
      <c r="H19" s="632"/>
      <c r="I19" s="633"/>
      <c r="J19" s="21"/>
      <c r="K19" s="21"/>
      <c r="L19" s="21"/>
      <c r="M19" s="650"/>
      <c r="N19" s="650"/>
      <c r="O19" s="65"/>
      <c r="P19" s="650"/>
      <c r="Q19" s="650"/>
      <c r="R19" s="21"/>
      <c r="S19" s="650"/>
      <c r="T19" s="650"/>
      <c r="U19" s="21"/>
      <c r="V19" s="650"/>
      <c r="W19" s="650"/>
      <c r="X19" s="21"/>
      <c r="Y19" s="650"/>
      <c r="Z19" s="650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649"/>
      <c r="C20" s="642"/>
      <c r="D20" s="642"/>
      <c r="E20" s="643"/>
      <c r="F20" s="631"/>
      <c r="G20" s="631"/>
      <c r="H20" s="632"/>
      <c r="I20" s="633"/>
      <c r="J20" s="37"/>
      <c r="K20" s="21"/>
      <c r="L20" s="21"/>
      <c r="M20" s="620"/>
      <c r="N20" s="621"/>
      <c r="O20" s="21"/>
      <c r="P20" s="620"/>
      <c r="Q20" s="621"/>
      <c r="R20" s="21"/>
      <c r="S20" s="650"/>
      <c r="T20" s="650"/>
      <c r="U20" s="21"/>
      <c r="V20" s="650"/>
      <c r="W20" s="650"/>
      <c r="X20" s="21"/>
      <c r="Y20" s="620"/>
      <c r="Z20" s="621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651"/>
      <c r="C21" s="645"/>
      <c r="D21" s="645"/>
      <c r="E21" s="646"/>
      <c r="F21" s="636"/>
      <c r="G21" s="636"/>
      <c r="H21" s="637"/>
      <c r="I21" s="638"/>
      <c r="J21" s="35"/>
      <c r="K21" s="36"/>
      <c r="L21" s="36"/>
      <c r="M21" s="639"/>
      <c r="N21" s="640"/>
      <c r="O21" s="36"/>
      <c r="P21" s="639"/>
      <c r="Q21" s="640"/>
      <c r="R21" s="36"/>
      <c r="S21" s="639"/>
      <c r="T21" s="640"/>
      <c r="U21" s="36"/>
      <c r="V21" s="639"/>
      <c r="W21" s="640"/>
      <c r="X21" s="36"/>
      <c r="Y21" s="639"/>
      <c r="Z21" s="640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641"/>
      <c r="C22" s="642"/>
      <c r="D22" s="642"/>
      <c r="E22" s="643"/>
      <c r="F22" s="631"/>
      <c r="G22" s="631"/>
      <c r="H22" s="632"/>
      <c r="I22" s="633"/>
      <c r="J22" s="37"/>
      <c r="K22" s="21"/>
      <c r="L22" s="21"/>
      <c r="M22" s="620"/>
      <c r="N22" s="621"/>
      <c r="O22" s="21"/>
      <c r="P22" s="620"/>
      <c r="Q22" s="621"/>
      <c r="R22" s="21"/>
      <c r="S22" s="620"/>
      <c r="T22" s="621"/>
      <c r="U22" s="21"/>
      <c r="V22" s="620"/>
      <c r="W22" s="621"/>
      <c r="X22" s="21"/>
      <c r="Y22" s="620"/>
      <c r="Z22" s="621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641"/>
      <c r="C23" s="642"/>
      <c r="D23" s="642"/>
      <c r="E23" s="643"/>
      <c r="F23" s="647"/>
      <c r="G23" s="631"/>
      <c r="H23" s="648"/>
      <c r="I23" s="633"/>
      <c r="J23" s="37"/>
      <c r="K23" s="21"/>
      <c r="L23" s="21"/>
      <c r="M23" s="620"/>
      <c r="N23" s="621"/>
      <c r="O23" s="21"/>
      <c r="P23" s="620"/>
      <c r="Q23" s="621"/>
      <c r="R23" s="21"/>
      <c r="S23" s="620"/>
      <c r="T23" s="621"/>
      <c r="U23" s="21"/>
      <c r="V23" s="620"/>
      <c r="W23" s="621"/>
      <c r="X23" s="21"/>
      <c r="Y23" s="620"/>
      <c r="Z23" s="621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644"/>
      <c r="C24" s="645"/>
      <c r="D24" s="645"/>
      <c r="E24" s="646"/>
      <c r="F24" s="636"/>
      <c r="G24" s="636"/>
      <c r="H24" s="637"/>
      <c r="I24" s="638"/>
      <c r="J24" s="35"/>
      <c r="K24" s="36"/>
      <c r="L24" s="36"/>
      <c r="M24" s="639"/>
      <c r="N24" s="640"/>
      <c r="O24" s="36"/>
      <c r="P24" s="639"/>
      <c r="Q24" s="640"/>
      <c r="R24" s="36"/>
      <c r="S24" s="639"/>
      <c r="T24" s="640"/>
      <c r="U24" s="36"/>
      <c r="V24" s="639"/>
      <c r="W24" s="640"/>
      <c r="X24" s="36"/>
      <c r="Y24" s="639"/>
      <c r="Z24" s="640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644"/>
      <c r="C25" s="645"/>
      <c r="D25" s="645"/>
      <c r="E25" s="646"/>
      <c r="F25" s="636"/>
      <c r="G25" s="636"/>
      <c r="H25" s="637"/>
      <c r="I25" s="638"/>
      <c r="J25" s="35"/>
      <c r="K25" s="36"/>
      <c r="L25" s="36"/>
      <c r="M25" s="639"/>
      <c r="N25" s="640"/>
      <c r="O25" s="36"/>
      <c r="P25" s="639"/>
      <c r="Q25" s="640"/>
      <c r="R25" s="36"/>
      <c r="S25" s="639"/>
      <c r="T25" s="640"/>
      <c r="U25" s="36"/>
      <c r="V25" s="639"/>
      <c r="W25" s="640"/>
      <c r="X25" s="36"/>
      <c r="Y25" s="639"/>
      <c r="Z25" s="640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641"/>
      <c r="C26" s="642"/>
      <c r="D26" s="642"/>
      <c r="E26" s="643"/>
      <c r="F26" s="631"/>
      <c r="G26" s="631"/>
      <c r="H26" s="632"/>
      <c r="I26" s="633"/>
      <c r="J26" s="37"/>
      <c r="K26" s="21"/>
      <c r="L26" s="21"/>
      <c r="M26" s="620"/>
      <c r="N26" s="621"/>
      <c r="O26" s="21"/>
      <c r="P26" s="620"/>
      <c r="Q26" s="621"/>
      <c r="R26" s="21"/>
      <c r="S26" s="620"/>
      <c r="T26" s="621"/>
      <c r="U26" s="21"/>
      <c r="V26" s="620"/>
      <c r="W26" s="621"/>
      <c r="X26" s="21"/>
      <c r="Y26" s="620"/>
      <c r="Z26" s="621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644"/>
      <c r="C27" s="645"/>
      <c r="D27" s="645"/>
      <c r="E27" s="646"/>
      <c r="F27" s="636"/>
      <c r="G27" s="636"/>
      <c r="H27" s="637"/>
      <c r="I27" s="638"/>
      <c r="J27" s="35"/>
      <c r="K27" s="36"/>
      <c r="L27" s="36"/>
      <c r="M27" s="639"/>
      <c r="N27" s="640"/>
      <c r="O27" s="36"/>
      <c r="P27" s="639"/>
      <c r="Q27" s="640"/>
      <c r="R27" s="36"/>
      <c r="S27" s="639"/>
      <c r="T27" s="640"/>
      <c r="U27" s="36"/>
      <c r="V27" s="639"/>
      <c r="W27" s="640"/>
      <c r="X27" s="36"/>
      <c r="Y27" s="639"/>
      <c r="Z27" s="640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634"/>
      <c r="C28" s="635"/>
      <c r="D28" s="635"/>
      <c r="E28" s="635"/>
      <c r="F28" s="636"/>
      <c r="G28" s="636"/>
      <c r="H28" s="637"/>
      <c r="I28" s="638"/>
      <c r="J28" s="35"/>
      <c r="K28" s="36"/>
      <c r="L28" s="36"/>
      <c r="M28" s="639"/>
      <c r="N28" s="640"/>
      <c r="O28" s="36"/>
      <c r="P28" s="639"/>
      <c r="Q28" s="640"/>
      <c r="R28" s="36"/>
      <c r="S28" s="639"/>
      <c r="T28" s="640"/>
      <c r="U28" s="36"/>
      <c r="V28" s="639"/>
      <c r="W28" s="640"/>
      <c r="X28" s="36"/>
      <c r="Y28" s="639"/>
      <c r="Z28" s="640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629"/>
      <c r="C29" s="630"/>
      <c r="D29" s="630"/>
      <c r="E29" s="630"/>
      <c r="F29" s="631"/>
      <c r="G29" s="631"/>
      <c r="H29" s="632"/>
      <c r="I29" s="633"/>
      <c r="J29" s="37"/>
      <c r="K29" s="21"/>
      <c r="L29" s="21"/>
      <c r="M29" s="620"/>
      <c r="N29" s="621"/>
      <c r="O29" s="21"/>
      <c r="P29" s="620"/>
      <c r="Q29" s="621"/>
      <c r="R29" s="21"/>
      <c r="S29" s="620"/>
      <c r="T29" s="621"/>
      <c r="U29" s="21"/>
      <c r="V29" s="620"/>
      <c r="W29" s="621"/>
      <c r="X29" s="21"/>
      <c r="Y29" s="620"/>
      <c r="Z29" s="621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629"/>
      <c r="C30" s="630"/>
      <c r="D30" s="630"/>
      <c r="E30" s="630"/>
      <c r="F30" s="631"/>
      <c r="G30" s="631"/>
      <c r="H30" s="632"/>
      <c r="I30" s="633"/>
      <c r="J30" s="37"/>
      <c r="K30" s="21"/>
      <c r="L30" s="21"/>
      <c r="M30" s="620"/>
      <c r="N30" s="621"/>
      <c r="O30" s="21"/>
      <c r="P30" s="620"/>
      <c r="Q30" s="621"/>
      <c r="R30" s="21"/>
      <c r="S30" s="620"/>
      <c r="T30" s="621"/>
      <c r="U30" s="21"/>
      <c r="V30" s="620"/>
      <c r="W30" s="621"/>
      <c r="X30" s="21"/>
      <c r="Y30" s="620"/>
      <c r="Z30" s="621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634"/>
      <c r="C31" s="635"/>
      <c r="D31" s="635"/>
      <c r="E31" s="635"/>
      <c r="F31" s="636"/>
      <c r="G31" s="636"/>
      <c r="H31" s="637"/>
      <c r="I31" s="638"/>
      <c r="J31" s="35"/>
      <c r="K31" s="36"/>
      <c r="L31" s="36"/>
      <c r="M31" s="639"/>
      <c r="N31" s="640"/>
      <c r="O31" s="36"/>
      <c r="P31" s="639"/>
      <c r="Q31" s="640"/>
      <c r="R31" s="36"/>
      <c r="S31" s="639"/>
      <c r="T31" s="640"/>
      <c r="U31" s="36"/>
      <c r="V31" s="639"/>
      <c r="W31" s="640"/>
      <c r="X31" s="36"/>
      <c r="Y31" s="639"/>
      <c r="Z31" s="640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629"/>
      <c r="C32" s="630"/>
      <c r="D32" s="630"/>
      <c r="E32" s="630"/>
      <c r="F32" s="631"/>
      <c r="G32" s="631"/>
      <c r="H32" s="632"/>
      <c r="I32" s="633"/>
      <c r="J32" s="37"/>
      <c r="K32" s="21"/>
      <c r="L32" s="21"/>
      <c r="M32" s="620"/>
      <c r="N32" s="621"/>
      <c r="O32" s="21"/>
      <c r="P32" s="620"/>
      <c r="Q32" s="621"/>
      <c r="R32" s="21"/>
      <c r="S32" s="620"/>
      <c r="T32" s="621"/>
      <c r="U32" s="21"/>
      <c r="V32" s="620"/>
      <c r="W32" s="621"/>
      <c r="X32" s="21"/>
      <c r="Y32" s="620"/>
      <c r="Z32" s="621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629"/>
      <c r="C33" s="630"/>
      <c r="D33" s="630"/>
      <c r="E33" s="630"/>
      <c r="F33" s="631"/>
      <c r="G33" s="631"/>
      <c r="H33" s="632"/>
      <c r="I33" s="633"/>
      <c r="J33" s="37"/>
      <c r="K33" s="21"/>
      <c r="L33" s="21"/>
      <c r="M33" s="620"/>
      <c r="N33" s="621"/>
      <c r="O33" s="21"/>
      <c r="P33" s="620"/>
      <c r="Q33" s="621"/>
      <c r="R33" s="21"/>
      <c r="S33" s="620"/>
      <c r="T33" s="621"/>
      <c r="U33" s="21"/>
      <c r="V33" s="620"/>
      <c r="W33" s="621"/>
      <c r="X33" s="21"/>
      <c r="Y33" s="620"/>
      <c r="Z33" s="621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622"/>
      <c r="C34" s="623"/>
      <c r="D34" s="623"/>
      <c r="E34" s="623"/>
      <c r="F34" s="624"/>
      <c r="G34" s="624"/>
      <c r="H34" s="625"/>
      <c r="I34" s="626"/>
      <c r="J34" s="42"/>
      <c r="K34" s="43"/>
      <c r="L34" s="43"/>
      <c r="M34" s="627"/>
      <c r="N34" s="628"/>
      <c r="O34" s="43"/>
      <c r="P34" s="627"/>
      <c r="Q34" s="628"/>
      <c r="R34" s="43"/>
      <c r="S34" s="627"/>
      <c r="T34" s="628"/>
      <c r="U34" s="43"/>
      <c r="V34" s="627"/>
      <c r="W34" s="628"/>
      <c r="X34" s="43"/>
      <c r="Y34" s="627"/>
      <c r="Z34" s="628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607" t="s">
        <v>1</v>
      </c>
      <c r="C35" s="608"/>
      <c r="D35" s="608"/>
      <c r="E35" s="608"/>
      <c r="F35" s="609">
        <f>SUM(F7:G34)</f>
        <v>0</v>
      </c>
      <c r="G35" s="609"/>
      <c r="H35" s="610">
        <f>SUM(H7:I34)</f>
        <v>0</v>
      </c>
      <c r="I35" s="611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612" t="s">
        <v>1</v>
      </c>
      <c r="C37" s="613"/>
      <c r="D37" s="613"/>
      <c r="E37" s="613"/>
      <c r="F37" s="614">
        <f>F35</f>
        <v>0</v>
      </c>
      <c r="G37" s="614"/>
      <c r="H37" s="618">
        <f>H35</f>
        <v>0</v>
      </c>
      <c r="I37" s="619"/>
      <c r="J37" s="14"/>
      <c r="K37" s="14"/>
      <c r="L37" s="14"/>
      <c r="M37" s="14"/>
      <c r="N37" s="615"/>
      <c r="O37" s="615"/>
      <c r="P37" s="615"/>
      <c r="Q37" s="615"/>
      <c r="R37" s="615"/>
      <c r="S37" s="615"/>
      <c r="T37" s="615"/>
      <c r="U37" s="615"/>
      <c r="V37" s="615"/>
      <c r="W37" s="615"/>
      <c r="X37" s="615"/>
      <c r="Y37" s="615"/>
      <c r="Z37" s="615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616" t="s">
        <v>8</v>
      </c>
      <c r="C38" s="617"/>
      <c r="D38" s="617"/>
      <c r="E38" s="617"/>
      <c r="F38" s="604"/>
      <c r="G38" s="604"/>
      <c r="H38" s="605"/>
      <c r="I38" s="606"/>
      <c r="J38" s="14"/>
      <c r="K38" s="14"/>
      <c r="L38" s="14"/>
      <c r="M38" s="14"/>
      <c r="N38" s="603"/>
      <c r="O38" s="603"/>
      <c r="P38" s="603"/>
      <c r="Q38" s="603"/>
      <c r="R38" s="603"/>
      <c r="S38" s="603"/>
      <c r="T38" s="597"/>
      <c r="U38" s="597"/>
      <c r="V38" s="597"/>
      <c r="W38" s="597"/>
      <c r="X38" s="597"/>
      <c r="Y38" s="597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598" t="s">
        <v>1</v>
      </c>
      <c r="C39" s="599"/>
      <c r="D39" s="599"/>
      <c r="E39" s="599"/>
      <c r="F39" s="600">
        <f>F37-F38</f>
        <v>0</v>
      </c>
      <c r="G39" s="600"/>
      <c r="H39" s="601">
        <f>H37-H38</f>
        <v>0</v>
      </c>
      <c r="I39" s="602"/>
      <c r="J39" s="1"/>
      <c r="K39" s="1"/>
      <c r="L39" s="1"/>
      <c r="M39" s="1"/>
      <c r="N39" s="603"/>
      <c r="O39" s="603"/>
      <c r="P39" s="603"/>
      <c r="Q39" s="603"/>
      <c r="R39" s="603"/>
      <c r="S39" s="603"/>
      <c r="T39" s="597"/>
      <c r="U39" s="597"/>
      <c r="V39" s="597"/>
      <c r="W39" s="597"/>
      <c r="X39" s="597"/>
      <c r="Y39" s="597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7"/>
  <sheetViews>
    <sheetView tabSelected="1" topLeftCell="A112" zoomScale="140" zoomScaleNormal="140" workbookViewId="0">
      <selection activeCell="V143" sqref="V143"/>
    </sheetView>
  </sheetViews>
  <sheetFormatPr defaultColWidth="9.140625" defaultRowHeight="9.75" x14ac:dyDescent="0.2"/>
  <cols>
    <col min="1" max="1" width="4.42578125" style="757" customWidth="1"/>
    <col min="2" max="2" width="6.5703125" style="757" customWidth="1"/>
    <col min="3" max="3" width="3" style="994" customWidth="1"/>
    <col min="4" max="4" width="3.28515625" style="757" customWidth="1"/>
    <col min="5" max="5" width="2.7109375" style="758" customWidth="1"/>
    <col min="6" max="8" width="7.85546875" style="757" customWidth="1"/>
    <col min="9" max="9" width="6.85546875" style="757" customWidth="1"/>
    <col min="10" max="10" width="7.28515625" style="757" customWidth="1"/>
    <col min="11" max="11" width="7.140625" style="757" customWidth="1"/>
    <col min="12" max="12" width="6.85546875" style="757" customWidth="1"/>
    <col min="13" max="13" width="6.7109375" style="757" customWidth="1"/>
    <col min="14" max="15" width="5.140625" style="757" customWidth="1"/>
    <col min="16" max="16" width="5.42578125" style="757" customWidth="1"/>
    <col min="17" max="17" width="4.85546875" style="757" customWidth="1"/>
    <col min="18" max="18" width="4.140625" style="757" customWidth="1"/>
    <col min="19" max="19" width="5" style="757" customWidth="1"/>
    <col min="20" max="20" width="5.85546875" style="757" customWidth="1"/>
    <col min="21" max="21" width="5.140625" style="757" customWidth="1"/>
    <col min="22" max="22" width="3.5703125" style="757" customWidth="1"/>
    <col min="23" max="23" width="3" style="757" customWidth="1"/>
    <col min="24" max="24" width="3.140625" style="757" customWidth="1"/>
    <col min="25" max="26" width="2.28515625" style="757" customWidth="1"/>
    <col min="27" max="16384" width="9.140625" style="757"/>
  </cols>
  <sheetData>
    <row r="1" spans="1:26" x14ac:dyDescent="0.2">
      <c r="U1" s="1349"/>
    </row>
    <row r="2" spans="1:26" ht="12.75" customHeight="1" x14ac:dyDescent="0.2">
      <c r="A2" s="1350" t="s">
        <v>292</v>
      </c>
      <c r="B2" s="1350"/>
      <c r="C2" s="1350"/>
      <c r="D2" s="1350"/>
      <c r="E2" s="1350"/>
      <c r="F2" s="760" t="s">
        <v>327</v>
      </c>
      <c r="G2" s="881" t="str">
        <f>G53</f>
        <v>T13</v>
      </c>
      <c r="H2" s="1351" t="s">
        <v>244</v>
      </c>
      <c r="I2" s="761">
        <f>T202</f>
        <v>28</v>
      </c>
      <c r="J2" s="762"/>
      <c r="K2" s="762"/>
      <c r="L2" s="1354" t="str">
        <f>IF(OR(M48&lt;&gt;"",M49&lt;&gt;""),"!!! NEISPRAVNA / NEDOVRŠENA TABLICA","")</f>
        <v>!!! NEISPRAVNA / NEDOVRŠENA TABLICA</v>
      </c>
      <c r="M2" s="1354"/>
      <c r="N2" s="1354"/>
      <c r="O2" s="1354"/>
      <c r="P2" s="1354"/>
      <c r="Q2" s="1354"/>
      <c r="R2" s="1354"/>
      <c r="S2" s="1354"/>
      <c r="T2" s="763"/>
      <c r="U2" s="763"/>
      <c r="V2" s="757" t="s">
        <v>293</v>
      </c>
      <c r="W2" s="764"/>
      <c r="X2" s="764"/>
    </row>
    <row r="3" spans="1:26" s="763" customFormat="1" ht="10.5" thickBot="1" x14ac:dyDescent="0.25">
      <c r="A3" s="757"/>
      <c r="B3" s="760"/>
      <c r="C3" s="760"/>
      <c r="D3" s="1290"/>
      <c r="E3" s="765"/>
      <c r="F3" s="760"/>
      <c r="G3" s="762"/>
      <c r="H3" s="762"/>
      <c r="I3" s="762"/>
      <c r="J3" s="762"/>
      <c r="K3" s="762"/>
      <c r="L3" s="762"/>
      <c r="V3" s="764"/>
      <c r="W3" s="764"/>
      <c r="X3" s="764"/>
    </row>
    <row r="4" spans="1:26" s="763" customFormat="1" ht="10.5" thickBot="1" x14ac:dyDescent="0.25">
      <c r="A4" s="892" t="s">
        <v>74</v>
      </c>
      <c r="B4" s="766" t="s">
        <v>78</v>
      </c>
      <c r="C4" s="766"/>
      <c r="D4" s="766"/>
      <c r="E4" s="766"/>
      <c r="F4" s="767"/>
      <c r="G4" s="768">
        <f>I2</f>
        <v>28</v>
      </c>
      <c r="H4" s="769"/>
      <c r="I4" s="769"/>
      <c r="J4" s="769"/>
      <c r="K4" s="769"/>
      <c r="L4" s="769"/>
      <c r="M4" s="769"/>
      <c r="N4" s="769"/>
      <c r="O4" s="769"/>
      <c r="P4" s="769"/>
      <c r="Q4" s="769"/>
      <c r="R4" s="769"/>
      <c r="S4" s="769"/>
      <c r="T4" s="769"/>
      <c r="U4" s="769"/>
      <c r="V4" s="769"/>
      <c r="W4" s="769"/>
      <c r="X4" s="770"/>
    </row>
    <row r="5" spans="1:26" s="763" customFormat="1" ht="28.5" customHeight="1" thickBot="1" x14ac:dyDescent="0.25">
      <c r="A5" s="1348"/>
      <c r="B5" s="1347" t="s">
        <v>57</v>
      </c>
      <c r="C5" s="772" t="s">
        <v>63</v>
      </c>
      <c r="D5" s="773"/>
      <c r="E5" s="774"/>
      <c r="F5" s="775" t="s">
        <v>61</v>
      </c>
      <c r="G5" s="775" t="str">
        <f>B159</f>
        <v>PRODAJNA CIJENA</v>
      </c>
      <c r="H5" s="775" t="str">
        <f>C159</f>
        <v>GOTOVINA / KEŠ</v>
      </c>
      <c r="I5" s="775" t="str">
        <f>F159</f>
        <v>POS TEYA kartica</v>
      </c>
      <c r="J5" s="775" t="str">
        <f t="shared" ref="J5:M5" si="0">G159</f>
        <v>POS PBZ kartica</v>
      </c>
      <c r="K5" s="775" t="str">
        <f t="shared" si="0"/>
        <v>Žiralno STORNO</v>
      </c>
      <c r="L5" s="775" t="str">
        <f t="shared" si="0"/>
        <v>Žiralno / Ostalo</v>
      </c>
      <c r="M5" s="775" t="str">
        <f t="shared" si="0"/>
        <v>Vrsta Kartice</v>
      </c>
      <c r="N5" s="776" t="s">
        <v>80</v>
      </c>
      <c r="O5" s="776" t="s">
        <v>207</v>
      </c>
      <c r="P5" s="776" t="s">
        <v>98</v>
      </c>
      <c r="Q5" s="777" t="s">
        <v>82</v>
      </c>
      <c r="R5" s="778"/>
      <c r="S5" s="778"/>
      <c r="T5" s="778"/>
      <c r="U5" s="779"/>
      <c r="V5" s="780" t="str">
        <f>H201</f>
        <v>LMS</v>
      </c>
      <c r="W5" s="780" t="str">
        <f t="shared" ref="W5:X5" si="1">I201</f>
        <v>TO</v>
      </c>
      <c r="X5" s="781" t="str">
        <f t="shared" si="1"/>
        <v>IP</v>
      </c>
    </row>
    <row r="6" spans="1:26" s="763" customFormat="1" ht="9" customHeight="1" x14ac:dyDescent="0.2">
      <c r="A6" s="901">
        <v>1</v>
      </c>
      <c r="B6" s="783">
        <v>46210</v>
      </c>
      <c r="C6" s="1367">
        <v>158</v>
      </c>
      <c r="D6" s="1368" t="str">
        <f>IF(B6&lt;&gt;"",$F$237,"")</f>
        <v>/T13</v>
      </c>
      <c r="E6" s="1369" t="str">
        <f>IF(B6&lt;&gt;"",$F$238,"")</f>
        <v>/1</v>
      </c>
      <c r="F6" s="785" t="s">
        <v>329</v>
      </c>
      <c r="G6" s="786">
        <v>25000</v>
      </c>
      <c r="H6" s="786">
        <v>12000</v>
      </c>
      <c r="I6" s="787">
        <v>13000</v>
      </c>
      <c r="J6" s="787"/>
      <c r="K6" s="787"/>
      <c r="L6" s="787"/>
      <c r="M6" s="787"/>
      <c r="N6" s="788" t="s">
        <v>331</v>
      </c>
      <c r="O6" s="789" t="s">
        <v>305</v>
      </c>
      <c r="P6" s="789" t="s">
        <v>307</v>
      </c>
      <c r="Q6" s="790" t="s">
        <v>328</v>
      </c>
      <c r="R6" s="791"/>
      <c r="S6" s="791"/>
      <c r="T6" s="791"/>
      <c r="U6" s="792"/>
      <c r="V6" s="793"/>
      <c r="W6" s="794"/>
      <c r="X6" s="795"/>
      <c r="Y6" s="763">
        <f>IF(B6="",0,IF(AND(C6&lt;&gt;"",F6&lt;&gt;"",G6&lt;&gt;"",N6&lt;&gt;"",O6&lt;&gt;"",P6&lt;&gt;"",Q6&lt;&gt;""),0,1))</f>
        <v>0</v>
      </c>
      <c r="Z6" s="763">
        <f>IF(G6=SUM(H6:L6),0,1)</f>
        <v>0</v>
      </c>
    </row>
    <row r="7" spans="1:26" s="763" customFormat="1" ht="9" customHeight="1" x14ac:dyDescent="0.2">
      <c r="A7" s="901">
        <f>A6+1</f>
        <v>2</v>
      </c>
      <c r="B7" s="796">
        <v>46211</v>
      </c>
      <c r="C7" s="1370">
        <f>IF(B7&lt;&gt;"",C6+1,"")</f>
        <v>159</v>
      </c>
      <c r="D7" s="1368" t="str">
        <f>IF(B7&lt;&gt;"",$F$237,"")</f>
        <v>/T13</v>
      </c>
      <c r="E7" s="1369" t="str">
        <f>IF(B7&lt;&gt;"",$F$238,"")</f>
        <v>/1</v>
      </c>
      <c r="F7" s="797"/>
      <c r="G7" s="798"/>
      <c r="H7" s="798"/>
      <c r="I7" s="799"/>
      <c r="J7" s="799"/>
      <c r="K7" s="799"/>
      <c r="L7" s="799"/>
      <c r="M7" s="787"/>
      <c r="N7" s="788"/>
      <c r="O7" s="789"/>
      <c r="P7" s="789"/>
      <c r="Q7" s="800"/>
      <c r="R7" s="801"/>
      <c r="S7" s="801"/>
      <c r="T7" s="801"/>
      <c r="U7" s="802"/>
      <c r="V7" s="788"/>
      <c r="W7" s="803"/>
      <c r="X7" s="804"/>
      <c r="Y7" s="763">
        <f t="shared" ref="Y7:Y42" si="2">IF(B7="",0,IF(AND(C7&lt;&gt;"",F7&lt;&gt;"",G7&lt;&gt;"",N7&lt;&gt;"",O7&lt;&gt;"",P7&lt;&gt;"",Q7&lt;&gt;""),0,1))</f>
        <v>1</v>
      </c>
      <c r="Z7" s="763">
        <f t="shared" ref="Z7:Z42" si="3">IF(G7=SUM(H7:L7),0,1)</f>
        <v>0</v>
      </c>
    </row>
    <row r="8" spans="1:26" s="763" customFormat="1" ht="9" customHeight="1" x14ac:dyDescent="0.2">
      <c r="A8" s="901">
        <f t="shared" ref="A8:A42" si="4">A7+1</f>
        <v>3</v>
      </c>
      <c r="B8" s="796"/>
      <c r="C8" s="1370" t="str">
        <f t="shared" ref="C8:C42" si="5">IF(B8&lt;&gt;"",C7+1,"")</f>
        <v/>
      </c>
      <c r="D8" s="1368" t="str">
        <f>IF(B8&lt;&gt;"",$F$237,"")</f>
        <v/>
      </c>
      <c r="E8" s="1369" t="str">
        <f>IF(B8&lt;&gt;"",$F$238,"")</f>
        <v/>
      </c>
      <c r="F8" s="797"/>
      <c r="G8" s="798"/>
      <c r="H8" s="798"/>
      <c r="I8" s="805"/>
      <c r="J8" s="805"/>
      <c r="K8" s="805"/>
      <c r="L8" s="805"/>
      <c r="M8" s="787"/>
      <c r="N8" s="788"/>
      <c r="O8" s="789"/>
      <c r="P8" s="789"/>
      <c r="Q8" s="800"/>
      <c r="R8" s="801"/>
      <c r="S8" s="801"/>
      <c r="T8" s="801"/>
      <c r="U8" s="802"/>
      <c r="V8" s="788"/>
      <c r="W8" s="803"/>
      <c r="X8" s="804"/>
      <c r="Y8" s="763">
        <f t="shared" si="2"/>
        <v>0</v>
      </c>
      <c r="Z8" s="763">
        <f t="shared" si="3"/>
        <v>0</v>
      </c>
    </row>
    <row r="9" spans="1:26" s="763" customFormat="1" ht="9" customHeight="1" x14ac:dyDescent="0.2">
      <c r="A9" s="901">
        <f t="shared" si="4"/>
        <v>4</v>
      </c>
      <c r="B9" s="796"/>
      <c r="C9" s="1370" t="str">
        <f t="shared" si="5"/>
        <v/>
      </c>
      <c r="D9" s="1368" t="str">
        <f>IF(B9&lt;&gt;"",$F$237,"")</f>
        <v/>
      </c>
      <c r="E9" s="1369" t="str">
        <f>IF(B9&lt;&gt;"",$F$238,"")</f>
        <v/>
      </c>
      <c r="F9" s="797"/>
      <c r="G9" s="798"/>
      <c r="H9" s="798"/>
      <c r="I9" s="805"/>
      <c r="J9" s="805"/>
      <c r="K9" s="805"/>
      <c r="L9" s="805"/>
      <c r="M9" s="787"/>
      <c r="N9" s="788"/>
      <c r="O9" s="789"/>
      <c r="P9" s="789"/>
      <c r="Q9" s="800"/>
      <c r="R9" s="801"/>
      <c r="S9" s="801"/>
      <c r="T9" s="801"/>
      <c r="U9" s="802"/>
      <c r="V9" s="788"/>
      <c r="W9" s="803"/>
      <c r="X9" s="804"/>
      <c r="Y9" s="763">
        <f t="shared" si="2"/>
        <v>0</v>
      </c>
      <c r="Z9" s="763">
        <f t="shared" si="3"/>
        <v>0</v>
      </c>
    </row>
    <row r="10" spans="1:26" s="763" customFormat="1" ht="9" customHeight="1" x14ac:dyDescent="0.2">
      <c r="A10" s="901">
        <f t="shared" si="4"/>
        <v>5</v>
      </c>
      <c r="B10" s="796"/>
      <c r="C10" s="1370" t="str">
        <f t="shared" si="5"/>
        <v/>
      </c>
      <c r="D10" s="1368" t="str">
        <f>IF(B10&lt;&gt;"",$F$237,"")</f>
        <v/>
      </c>
      <c r="E10" s="1369" t="str">
        <f>IF(B10&lt;&gt;"",$F$238,"")</f>
        <v/>
      </c>
      <c r="F10" s="797"/>
      <c r="G10" s="798"/>
      <c r="H10" s="798"/>
      <c r="I10" s="799"/>
      <c r="J10" s="799"/>
      <c r="K10" s="799"/>
      <c r="L10" s="799"/>
      <c r="M10" s="787"/>
      <c r="N10" s="788"/>
      <c r="O10" s="789"/>
      <c r="P10" s="789"/>
      <c r="Q10" s="800"/>
      <c r="R10" s="801"/>
      <c r="S10" s="801"/>
      <c r="T10" s="801"/>
      <c r="U10" s="802"/>
      <c r="V10" s="788"/>
      <c r="W10" s="803"/>
      <c r="X10" s="804"/>
      <c r="Y10" s="763">
        <f t="shared" si="2"/>
        <v>0</v>
      </c>
      <c r="Z10" s="763">
        <f t="shared" si="3"/>
        <v>0</v>
      </c>
    </row>
    <row r="11" spans="1:26" s="763" customFormat="1" ht="9" customHeight="1" x14ac:dyDescent="0.2">
      <c r="A11" s="901">
        <f t="shared" si="4"/>
        <v>6</v>
      </c>
      <c r="B11" s="796"/>
      <c r="C11" s="1370" t="str">
        <f t="shared" si="5"/>
        <v/>
      </c>
      <c r="D11" s="1368" t="str">
        <f>IF(B11&lt;&gt;"",$F$237,"")</f>
        <v/>
      </c>
      <c r="E11" s="1369" t="str">
        <f>IF(B11&lt;&gt;"",$F$238,"")</f>
        <v/>
      </c>
      <c r="F11" s="797"/>
      <c r="G11" s="798"/>
      <c r="H11" s="798"/>
      <c r="I11" s="799"/>
      <c r="J11" s="799"/>
      <c r="K11" s="799"/>
      <c r="L11" s="799"/>
      <c r="M11" s="787"/>
      <c r="N11" s="788"/>
      <c r="O11" s="789"/>
      <c r="P11" s="789"/>
      <c r="Q11" s="800"/>
      <c r="R11" s="801"/>
      <c r="S11" s="801"/>
      <c r="T11" s="801"/>
      <c r="U11" s="802"/>
      <c r="V11" s="788"/>
      <c r="W11" s="803"/>
      <c r="X11" s="804"/>
      <c r="Y11" s="763">
        <f t="shared" si="2"/>
        <v>0</v>
      </c>
      <c r="Z11" s="763">
        <f t="shared" si="3"/>
        <v>0</v>
      </c>
    </row>
    <row r="12" spans="1:26" s="763" customFormat="1" ht="9" customHeight="1" x14ac:dyDescent="0.2">
      <c r="A12" s="901">
        <f t="shared" si="4"/>
        <v>7</v>
      </c>
      <c r="B12" s="796"/>
      <c r="C12" s="1370" t="str">
        <f t="shared" si="5"/>
        <v/>
      </c>
      <c r="D12" s="1368" t="str">
        <f>IF(B12&lt;&gt;"",$F$237,"")</f>
        <v/>
      </c>
      <c r="E12" s="1369" t="str">
        <f>IF(B12&lt;&gt;"",$F$238,"")</f>
        <v/>
      </c>
      <c r="F12" s="797"/>
      <c r="G12" s="798"/>
      <c r="H12" s="798"/>
      <c r="I12" s="799"/>
      <c r="J12" s="799"/>
      <c r="K12" s="799"/>
      <c r="L12" s="799"/>
      <c r="M12" s="787"/>
      <c r="N12" s="788"/>
      <c r="O12" s="789"/>
      <c r="P12" s="789"/>
      <c r="Q12" s="800"/>
      <c r="R12" s="801"/>
      <c r="S12" s="801"/>
      <c r="T12" s="801"/>
      <c r="U12" s="802"/>
      <c r="V12" s="788"/>
      <c r="W12" s="803"/>
      <c r="X12" s="804"/>
      <c r="Y12" s="763">
        <f t="shared" si="2"/>
        <v>0</v>
      </c>
      <c r="Z12" s="763">
        <f t="shared" si="3"/>
        <v>0</v>
      </c>
    </row>
    <row r="13" spans="1:26" s="763" customFormat="1" ht="9" customHeight="1" x14ac:dyDescent="0.2">
      <c r="A13" s="901">
        <f t="shared" si="4"/>
        <v>8</v>
      </c>
      <c r="B13" s="796"/>
      <c r="C13" s="1370" t="str">
        <f t="shared" si="5"/>
        <v/>
      </c>
      <c r="D13" s="1368" t="str">
        <f>IF(B13&lt;&gt;"",$F$237,"")</f>
        <v/>
      </c>
      <c r="E13" s="1369" t="str">
        <f>IF(B13&lt;&gt;"",$F$238,"")</f>
        <v/>
      </c>
      <c r="F13" s="797"/>
      <c r="G13" s="798"/>
      <c r="H13" s="798"/>
      <c r="I13" s="799"/>
      <c r="J13" s="799"/>
      <c r="K13" s="799"/>
      <c r="L13" s="799"/>
      <c r="M13" s="787"/>
      <c r="N13" s="788"/>
      <c r="O13" s="789"/>
      <c r="P13" s="789"/>
      <c r="Q13" s="800"/>
      <c r="R13" s="801"/>
      <c r="S13" s="801"/>
      <c r="T13" s="801"/>
      <c r="U13" s="802"/>
      <c r="V13" s="788"/>
      <c r="W13" s="803"/>
      <c r="X13" s="804"/>
      <c r="Y13" s="763">
        <f t="shared" si="2"/>
        <v>0</v>
      </c>
      <c r="Z13" s="763">
        <f t="shared" si="3"/>
        <v>0</v>
      </c>
    </row>
    <row r="14" spans="1:26" ht="9" customHeight="1" x14ac:dyDescent="0.2">
      <c r="A14" s="901">
        <f t="shared" si="4"/>
        <v>9</v>
      </c>
      <c r="B14" s="796"/>
      <c r="C14" s="1370" t="str">
        <f t="shared" si="5"/>
        <v/>
      </c>
      <c r="D14" s="1368" t="str">
        <f>IF(B14&lt;&gt;"",$F$237,"")</f>
        <v/>
      </c>
      <c r="E14" s="1369" t="str">
        <f>IF(B14&lt;&gt;"",$F$238,"")</f>
        <v/>
      </c>
      <c r="F14" s="797"/>
      <c r="G14" s="798"/>
      <c r="H14" s="798"/>
      <c r="I14" s="799"/>
      <c r="J14" s="799"/>
      <c r="K14" s="799"/>
      <c r="L14" s="799"/>
      <c r="M14" s="787"/>
      <c r="N14" s="788"/>
      <c r="O14" s="789"/>
      <c r="P14" s="789"/>
      <c r="Q14" s="800"/>
      <c r="R14" s="801"/>
      <c r="S14" s="801"/>
      <c r="T14" s="801"/>
      <c r="U14" s="802"/>
      <c r="V14" s="788"/>
      <c r="W14" s="803"/>
      <c r="X14" s="804"/>
      <c r="Y14" s="763">
        <f t="shared" si="2"/>
        <v>0</v>
      </c>
      <c r="Z14" s="763">
        <f t="shared" si="3"/>
        <v>0</v>
      </c>
    </row>
    <row r="15" spans="1:26" ht="9" customHeight="1" x14ac:dyDescent="0.2">
      <c r="A15" s="901">
        <f t="shared" si="4"/>
        <v>10</v>
      </c>
      <c r="B15" s="796"/>
      <c r="C15" s="1370" t="str">
        <f t="shared" si="5"/>
        <v/>
      </c>
      <c r="D15" s="1368" t="str">
        <f>IF(B15&lt;&gt;"",$F$237,"")</f>
        <v/>
      </c>
      <c r="E15" s="1369" t="str">
        <f>IF(B15&lt;&gt;"",$F$238,"")</f>
        <v/>
      </c>
      <c r="F15" s="797"/>
      <c r="G15" s="798"/>
      <c r="H15" s="798"/>
      <c r="I15" s="799"/>
      <c r="J15" s="799"/>
      <c r="K15" s="799"/>
      <c r="L15" s="799"/>
      <c r="M15" s="787"/>
      <c r="N15" s="788"/>
      <c r="O15" s="789"/>
      <c r="P15" s="789"/>
      <c r="Q15" s="800"/>
      <c r="R15" s="801"/>
      <c r="S15" s="801"/>
      <c r="T15" s="801"/>
      <c r="U15" s="802"/>
      <c r="V15" s="788"/>
      <c r="W15" s="803"/>
      <c r="X15" s="804"/>
      <c r="Y15" s="763">
        <f t="shared" si="2"/>
        <v>0</v>
      </c>
      <c r="Z15" s="763">
        <f t="shared" si="3"/>
        <v>0</v>
      </c>
    </row>
    <row r="16" spans="1:26" ht="9" customHeight="1" x14ac:dyDescent="0.2">
      <c r="A16" s="901">
        <f t="shared" si="4"/>
        <v>11</v>
      </c>
      <c r="B16" s="796"/>
      <c r="C16" s="1370" t="str">
        <f t="shared" si="5"/>
        <v/>
      </c>
      <c r="D16" s="1368" t="str">
        <f>IF(B16&lt;&gt;"",$F$237,"")</f>
        <v/>
      </c>
      <c r="E16" s="1369" t="str">
        <f>IF(B16&lt;&gt;"",$F$238,"")</f>
        <v/>
      </c>
      <c r="F16" s="797"/>
      <c r="G16" s="798"/>
      <c r="H16" s="798"/>
      <c r="I16" s="799"/>
      <c r="J16" s="799"/>
      <c r="K16" s="799"/>
      <c r="L16" s="799"/>
      <c r="M16" s="787"/>
      <c r="N16" s="788"/>
      <c r="O16" s="789"/>
      <c r="P16" s="789"/>
      <c r="Q16" s="800"/>
      <c r="R16" s="801"/>
      <c r="S16" s="801"/>
      <c r="T16" s="801"/>
      <c r="U16" s="802"/>
      <c r="V16" s="788"/>
      <c r="W16" s="803"/>
      <c r="X16" s="804"/>
      <c r="Y16" s="763">
        <f t="shared" si="2"/>
        <v>0</v>
      </c>
      <c r="Z16" s="763">
        <f t="shared" si="3"/>
        <v>0</v>
      </c>
    </row>
    <row r="17" spans="1:26" ht="9" customHeight="1" x14ac:dyDescent="0.2">
      <c r="A17" s="901">
        <f t="shared" si="4"/>
        <v>12</v>
      </c>
      <c r="B17" s="796"/>
      <c r="C17" s="1370" t="str">
        <f t="shared" si="5"/>
        <v/>
      </c>
      <c r="D17" s="1368" t="str">
        <f>IF(B17&lt;&gt;"",$F$237,"")</f>
        <v/>
      </c>
      <c r="E17" s="1369" t="str">
        <f>IF(B17&lt;&gt;"",$F$238,"")</f>
        <v/>
      </c>
      <c r="F17" s="785"/>
      <c r="G17" s="786"/>
      <c r="H17" s="786"/>
      <c r="I17" s="787"/>
      <c r="J17" s="787"/>
      <c r="K17" s="787"/>
      <c r="L17" s="787"/>
      <c r="M17" s="787"/>
      <c r="N17" s="788"/>
      <c r="O17" s="789"/>
      <c r="P17" s="789"/>
      <c r="Q17" s="800"/>
      <c r="R17" s="801"/>
      <c r="S17" s="801"/>
      <c r="T17" s="801"/>
      <c r="U17" s="802"/>
      <c r="V17" s="793"/>
      <c r="W17" s="794"/>
      <c r="X17" s="804"/>
      <c r="Y17" s="763">
        <f t="shared" si="2"/>
        <v>0</v>
      </c>
      <c r="Z17" s="763">
        <f t="shared" si="3"/>
        <v>0</v>
      </c>
    </row>
    <row r="18" spans="1:26" ht="9" customHeight="1" x14ac:dyDescent="0.2">
      <c r="A18" s="901">
        <f t="shared" si="4"/>
        <v>13</v>
      </c>
      <c r="B18" s="796"/>
      <c r="C18" s="1370" t="str">
        <f t="shared" si="5"/>
        <v/>
      </c>
      <c r="D18" s="1368" t="str">
        <f>IF(B18&lt;&gt;"",$F$237,"")</f>
        <v/>
      </c>
      <c r="E18" s="1369" t="str">
        <f>IF(B18&lt;&gt;"",$F$238,"")</f>
        <v/>
      </c>
      <c r="F18" s="797"/>
      <c r="G18" s="798"/>
      <c r="H18" s="798"/>
      <c r="I18" s="799"/>
      <c r="J18" s="799"/>
      <c r="K18" s="799"/>
      <c r="L18" s="799"/>
      <c r="M18" s="787"/>
      <c r="N18" s="788"/>
      <c r="O18" s="789"/>
      <c r="P18" s="789"/>
      <c r="Q18" s="800"/>
      <c r="R18" s="801"/>
      <c r="S18" s="801"/>
      <c r="T18" s="801"/>
      <c r="U18" s="802"/>
      <c r="V18" s="788"/>
      <c r="W18" s="803"/>
      <c r="X18" s="804"/>
      <c r="Y18" s="763">
        <f t="shared" si="2"/>
        <v>0</v>
      </c>
      <c r="Z18" s="763">
        <f t="shared" si="3"/>
        <v>0</v>
      </c>
    </row>
    <row r="19" spans="1:26" ht="9" customHeight="1" x14ac:dyDescent="0.2">
      <c r="A19" s="901">
        <f t="shared" si="4"/>
        <v>14</v>
      </c>
      <c r="B19" s="796"/>
      <c r="C19" s="1370" t="str">
        <f t="shared" si="5"/>
        <v/>
      </c>
      <c r="D19" s="1368" t="str">
        <f>IF(B19&lt;&gt;"",$F$237,"")</f>
        <v/>
      </c>
      <c r="E19" s="1369" t="str">
        <f>IF(B19&lt;&gt;"",$F$238,"")</f>
        <v/>
      </c>
      <c r="F19" s="797"/>
      <c r="G19" s="798"/>
      <c r="H19" s="798"/>
      <c r="I19" s="805"/>
      <c r="J19" s="805"/>
      <c r="K19" s="805"/>
      <c r="L19" s="805"/>
      <c r="M19" s="787"/>
      <c r="N19" s="788"/>
      <c r="O19" s="789"/>
      <c r="P19" s="789"/>
      <c r="Q19" s="800"/>
      <c r="R19" s="801"/>
      <c r="S19" s="801"/>
      <c r="T19" s="801"/>
      <c r="U19" s="802"/>
      <c r="V19" s="788"/>
      <c r="W19" s="803"/>
      <c r="X19" s="804"/>
      <c r="Y19" s="763">
        <f t="shared" si="2"/>
        <v>0</v>
      </c>
      <c r="Z19" s="763">
        <f t="shared" si="3"/>
        <v>0</v>
      </c>
    </row>
    <row r="20" spans="1:26" ht="9" customHeight="1" x14ac:dyDescent="0.2">
      <c r="A20" s="901">
        <f t="shared" si="4"/>
        <v>15</v>
      </c>
      <c r="B20" s="796"/>
      <c r="C20" s="1370" t="str">
        <f t="shared" si="5"/>
        <v/>
      </c>
      <c r="D20" s="1368" t="str">
        <f>IF(B20&lt;&gt;"",$F$237,"")</f>
        <v/>
      </c>
      <c r="E20" s="1369" t="str">
        <f>IF(B20&lt;&gt;"",$F$238,"")</f>
        <v/>
      </c>
      <c r="F20" s="797"/>
      <c r="G20" s="798"/>
      <c r="H20" s="798"/>
      <c r="I20" s="805"/>
      <c r="J20" s="805"/>
      <c r="K20" s="805"/>
      <c r="L20" s="805"/>
      <c r="M20" s="787"/>
      <c r="N20" s="788"/>
      <c r="O20" s="789"/>
      <c r="P20" s="789"/>
      <c r="Q20" s="800"/>
      <c r="R20" s="801"/>
      <c r="S20" s="801"/>
      <c r="T20" s="801"/>
      <c r="U20" s="802"/>
      <c r="V20" s="788"/>
      <c r="W20" s="803"/>
      <c r="X20" s="804"/>
      <c r="Y20" s="763">
        <f t="shared" si="2"/>
        <v>0</v>
      </c>
      <c r="Z20" s="763">
        <f t="shared" si="3"/>
        <v>0</v>
      </c>
    </row>
    <row r="21" spans="1:26" ht="9" customHeight="1" x14ac:dyDescent="0.2">
      <c r="A21" s="901">
        <f t="shared" si="4"/>
        <v>16</v>
      </c>
      <c r="B21" s="796"/>
      <c r="C21" s="1370" t="str">
        <f t="shared" si="5"/>
        <v/>
      </c>
      <c r="D21" s="1368" t="str">
        <f>IF(B21&lt;&gt;"",$F$237,"")</f>
        <v/>
      </c>
      <c r="E21" s="1369" t="str">
        <f>IF(B21&lt;&gt;"",$F$238,"")</f>
        <v/>
      </c>
      <c r="F21" s="797"/>
      <c r="G21" s="798"/>
      <c r="H21" s="798"/>
      <c r="I21" s="799"/>
      <c r="J21" s="799"/>
      <c r="K21" s="799"/>
      <c r="L21" s="799"/>
      <c r="M21" s="787"/>
      <c r="N21" s="788"/>
      <c r="O21" s="789"/>
      <c r="P21" s="789"/>
      <c r="Q21" s="800"/>
      <c r="R21" s="801"/>
      <c r="S21" s="801"/>
      <c r="T21" s="801"/>
      <c r="U21" s="802"/>
      <c r="V21" s="788"/>
      <c r="W21" s="803"/>
      <c r="X21" s="804"/>
      <c r="Y21" s="763">
        <f t="shared" si="2"/>
        <v>0</v>
      </c>
      <c r="Z21" s="763">
        <f t="shared" si="3"/>
        <v>0</v>
      </c>
    </row>
    <row r="22" spans="1:26" ht="9" customHeight="1" x14ac:dyDescent="0.2">
      <c r="A22" s="901">
        <f t="shared" si="4"/>
        <v>17</v>
      </c>
      <c r="B22" s="796"/>
      <c r="C22" s="1370" t="str">
        <f t="shared" si="5"/>
        <v/>
      </c>
      <c r="D22" s="1368" t="str">
        <f>IF(B22&lt;&gt;"",$F$237,"")</f>
        <v/>
      </c>
      <c r="E22" s="1369" t="str">
        <f>IF(B22&lt;&gt;"",$F$238,"")</f>
        <v/>
      </c>
      <c r="F22" s="797"/>
      <c r="G22" s="798"/>
      <c r="H22" s="798"/>
      <c r="I22" s="799"/>
      <c r="J22" s="799"/>
      <c r="K22" s="799"/>
      <c r="L22" s="799"/>
      <c r="M22" s="787"/>
      <c r="N22" s="788"/>
      <c r="O22" s="789"/>
      <c r="P22" s="789"/>
      <c r="Q22" s="800"/>
      <c r="R22" s="801"/>
      <c r="S22" s="801"/>
      <c r="T22" s="801"/>
      <c r="U22" s="802"/>
      <c r="V22" s="788"/>
      <c r="W22" s="803"/>
      <c r="X22" s="804"/>
      <c r="Y22" s="763">
        <f t="shared" si="2"/>
        <v>0</v>
      </c>
      <c r="Z22" s="763">
        <f t="shared" si="3"/>
        <v>0</v>
      </c>
    </row>
    <row r="23" spans="1:26" ht="9" customHeight="1" x14ac:dyDescent="0.2">
      <c r="A23" s="901">
        <f t="shared" si="4"/>
        <v>18</v>
      </c>
      <c r="B23" s="796"/>
      <c r="C23" s="1370" t="str">
        <f t="shared" si="5"/>
        <v/>
      </c>
      <c r="D23" s="1368" t="str">
        <f>IF(B23&lt;&gt;"",$F$237,"")</f>
        <v/>
      </c>
      <c r="E23" s="1369" t="str">
        <f>IF(B23&lt;&gt;"",$F$238,"")</f>
        <v/>
      </c>
      <c r="F23" s="797"/>
      <c r="G23" s="798"/>
      <c r="H23" s="798"/>
      <c r="I23" s="799"/>
      <c r="J23" s="799"/>
      <c r="K23" s="799"/>
      <c r="L23" s="799"/>
      <c r="M23" s="787"/>
      <c r="N23" s="788"/>
      <c r="O23" s="789"/>
      <c r="P23" s="789"/>
      <c r="Q23" s="800"/>
      <c r="R23" s="801"/>
      <c r="S23" s="801"/>
      <c r="T23" s="801"/>
      <c r="U23" s="802"/>
      <c r="V23" s="788"/>
      <c r="W23" s="803"/>
      <c r="X23" s="804"/>
      <c r="Y23" s="763">
        <f t="shared" si="2"/>
        <v>0</v>
      </c>
      <c r="Z23" s="763">
        <f t="shared" si="3"/>
        <v>0</v>
      </c>
    </row>
    <row r="24" spans="1:26" ht="9" customHeight="1" x14ac:dyDescent="0.2">
      <c r="A24" s="901">
        <f t="shared" si="4"/>
        <v>19</v>
      </c>
      <c r="B24" s="796"/>
      <c r="C24" s="1370" t="str">
        <f t="shared" si="5"/>
        <v/>
      </c>
      <c r="D24" s="1368" t="str">
        <f>IF(B24&lt;&gt;"",$F$237,"")</f>
        <v/>
      </c>
      <c r="E24" s="1369" t="str">
        <f>IF(B24&lt;&gt;"",$F$238,"")</f>
        <v/>
      </c>
      <c r="F24" s="797"/>
      <c r="G24" s="798"/>
      <c r="H24" s="798"/>
      <c r="I24" s="799"/>
      <c r="J24" s="799"/>
      <c r="K24" s="799"/>
      <c r="L24" s="799"/>
      <c r="M24" s="787"/>
      <c r="N24" s="788"/>
      <c r="O24" s="789"/>
      <c r="P24" s="789"/>
      <c r="Q24" s="800"/>
      <c r="R24" s="801"/>
      <c r="S24" s="801"/>
      <c r="T24" s="801"/>
      <c r="U24" s="802"/>
      <c r="V24" s="788"/>
      <c r="W24" s="803"/>
      <c r="X24" s="804"/>
      <c r="Y24" s="763">
        <f t="shared" si="2"/>
        <v>0</v>
      </c>
      <c r="Z24" s="763">
        <f t="shared" si="3"/>
        <v>0</v>
      </c>
    </row>
    <row r="25" spans="1:26" ht="9" customHeight="1" x14ac:dyDescent="0.2">
      <c r="A25" s="901">
        <f t="shared" si="4"/>
        <v>20</v>
      </c>
      <c r="B25" s="796"/>
      <c r="C25" s="1370" t="str">
        <f t="shared" si="5"/>
        <v/>
      </c>
      <c r="D25" s="1368" t="str">
        <f>IF(B25&lt;&gt;"",$F$237,"")</f>
        <v/>
      </c>
      <c r="E25" s="1369" t="str">
        <f>IF(B25&lt;&gt;"",$F$238,"")</f>
        <v/>
      </c>
      <c r="F25" s="797"/>
      <c r="G25" s="798"/>
      <c r="H25" s="798"/>
      <c r="I25" s="799"/>
      <c r="J25" s="799"/>
      <c r="K25" s="799"/>
      <c r="L25" s="799"/>
      <c r="M25" s="787"/>
      <c r="N25" s="788"/>
      <c r="O25" s="789"/>
      <c r="P25" s="789"/>
      <c r="Q25" s="800"/>
      <c r="R25" s="801"/>
      <c r="S25" s="801"/>
      <c r="T25" s="801"/>
      <c r="U25" s="802"/>
      <c r="V25" s="788"/>
      <c r="W25" s="803"/>
      <c r="X25" s="804"/>
      <c r="Y25" s="763">
        <f t="shared" si="2"/>
        <v>0</v>
      </c>
      <c r="Z25" s="763">
        <f t="shared" si="3"/>
        <v>0</v>
      </c>
    </row>
    <row r="26" spans="1:26" ht="9" customHeight="1" x14ac:dyDescent="0.2">
      <c r="A26" s="901">
        <f t="shared" si="4"/>
        <v>21</v>
      </c>
      <c r="B26" s="796"/>
      <c r="C26" s="1370" t="str">
        <f t="shared" si="5"/>
        <v/>
      </c>
      <c r="D26" s="1368" t="str">
        <f>IF(B26&lt;&gt;"",$F$237,"")</f>
        <v/>
      </c>
      <c r="E26" s="1369" t="str">
        <f>IF(B26&lt;&gt;"",$F$238,"")</f>
        <v/>
      </c>
      <c r="F26" s="797"/>
      <c r="G26" s="798"/>
      <c r="H26" s="798"/>
      <c r="I26" s="799"/>
      <c r="J26" s="799"/>
      <c r="K26" s="799"/>
      <c r="L26" s="799"/>
      <c r="M26" s="787"/>
      <c r="N26" s="788"/>
      <c r="O26" s="789"/>
      <c r="P26" s="789"/>
      <c r="Q26" s="800"/>
      <c r="R26" s="801"/>
      <c r="S26" s="801"/>
      <c r="T26" s="801"/>
      <c r="U26" s="802"/>
      <c r="V26" s="788"/>
      <c r="W26" s="803"/>
      <c r="X26" s="804"/>
      <c r="Y26" s="763">
        <f t="shared" si="2"/>
        <v>0</v>
      </c>
      <c r="Z26" s="763">
        <f t="shared" si="3"/>
        <v>0</v>
      </c>
    </row>
    <row r="27" spans="1:26" ht="9" customHeight="1" x14ac:dyDescent="0.2">
      <c r="A27" s="901">
        <f t="shared" si="4"/>
        <v>22</v>
      </c>
      <c r="B27" s="796"/>
      <c r="C27" s="1370" t="str">
        <f t="shared" si="5"/>
        <v/>
      </c>
      <c r="D27" s="1368" t="str">
        <f>IF(B27&lt;&gt;"",$F$237,"")</f>
        <v/>
      </c>
      <c r="E27" s="1369" t="str">
        <f>IF(B27&lt;&gt;"",$F$238,"")</f>
        <v/>
      </c>
      <c r="F27" s="797"/>
      <c r="G27" s="798"/>
      <c r="H27" s="798"/>
      <c r="I27" s="799"/>
      <c r="J27" s="799"/>
      <c r="K27" s="799"/>
      <c r="L27" s="799"/>
      <c r="M27" s="787"/>
      <c r="N27" s="788"/>
      <c r="O27" s="789"/>
      <c r="P27" s="789"/>
      <c r="Q27" s="800"/>
      <c r="R27" s="801"/>
      <c r="S27" s="801"/>
      <c r="T27" s="801"/>
      <c r="U27" s="802"/>
      <c r="V27" s="788"/>
      <c r="W27" s="803"/>
      <c r="X27" s="804"/>
      <c r="Y27" s="763">
        <f t="shared" si="2"/>
        <v>0</v>
      </c>
      <c r="Z27" s="763">
        <f t="shared" si="3"/>
        <v>0</v>
      </c>
    </row>
    <row r="28" spans="1:26" ht="9" customHeight="1" x14ac:dyDescent="0.2">
      <c r="A28" s="901">
        <f t="shared" si="4"/>
        <v>23</v>
      </c>
      <c r="B28" s="796"/>
      <c r="C28" s="1370" t="str">
        <f t="shared" si="5"/>
        <v/>
      </c>
      <c r="D28" s="1368" t="str">
        <f>IF(B28&lt;&gt;"",$F$237,"")</f>
        <v/>
      </c>
      <c r="E28" s="1369" t="str">
        <f>IF(B28&lt;&gt;"",$F$238,"")</f>
        <v/>
      </c>
      <c r="F28" s="797"/>
      <c r="G28" s="798"/>
      <c r="H28" s="798"/>
      <c r="I28" s="799"/>
      <c r="J28" s="799"/>
      <c r="K28" s="799"/>
      <c r="L28" s="799"/>
      <c r="M28" s="787"/>
      <c r="N28" s="788"/>
      <c r="O28" s="789"/>
      <c r="P28" s="789"/>
      <c r="Q28" s="800"/>
      <c r="R28" s="801"/>
      <c r="S28" s="801"/>
      <c r="T28" s="801"/>
      <c r="U28" s="802"/>
      <c r="V28" s="788"/>
      <c r="W28" s="803"/>
      <c r="X28" s="804"/>
      <c r="Y28" s="763">
        <f t="shared" si="2"/>
        <v>0</v>
      </c>
      <c r="Z28" s="763">
        <f t="shared" si="3"/>
        <v>0</v>
      </c>
    </row>
    <row r="29" spans="1:26" ht="9" customHeight="1" x14ac:dyDescent="0.2">
      <c r="A29" s="901">
        <f t="shared" si="4"/>
        <v>24</v>
      </c>
      <c r="B29" s="796"/>
      <c r="C29" s="1370" t="str">
        <f t="shared" si="5"/>
        <v/>
      </c>
      <c r="D29" s="1368" t="str">
        <f>IF(B29&lt;&gt;"",$F$237,"")</f>
        <v/>
      </c>
      <c r="E29" s="1369" t="str">
        <f>IF(B29&lt;&gt;"",$F$238,"")</f>
        <v/>
      </c>
      <c r="F29" s="797"/>
      <c r="G29" s="798"/>
      <c r="H29" s="798"/>
      <c r="I29" s="799"/>
      <c r="J29" s="799"/>
      <c r="K29" s="799"/>
      <c r="L29" s="799"/>
      <c r="M29" s="787"/>
      <c r="N29" s="788"/>
      <c r="O29" s="789"/>
      <c r="P29" s="789"/>
      <c r="Q29" s="800"/>
      <c r="R29" s="801"/>
      <c r="S29" s="801"/>
      <c r="T29" s="801"/>
      <c r="U29" s="802"/>
      <c r="V29" s="788"/>
      <c r="W29" s="803"/>
      <c r="X29" s="804"/>
      <c r="Y29" s="763">
        <f t="shared" si="2"/>
        <v>0</v>
      </c>
      <c r="Z29" s="763">
        <f t="shared" si="3"/>
        <v>0</v>
      </c>
    </row>
    <row r="30" spans="1:26" ht="9" customHeight="1" x14ac:dyDescent="0.2">
      <c r="A30" s="901">
        <f t="shared" si="4"/>
        <v>25</v>
      </c>
      <c r="B30" s="796"/>
      <c r="C30" s="1370" t="str">
        <f t="shared" si="5"/>
        <v/>
      </c>
      <c r="D30" s="1368" t="str">
        <f>IF(B30&lt;&gt;"",$F$237,"")</f>
        <v/>
      </c>
      <c r="E30" s="1369" t="str">
        <f>IF(B30&lt;&gt;"",$F$238,"")</f>
        <v/>
      </c>
      <c r="F30" s="797"/>
      <c r="G30" s="798"/>
      <c r="H30" s="798"/>
      <c r="I30" s="799"/>
      <c r="J30" s="799"/>
      <c r="K30" s="799"/>
      <c r="L30" s="799"/>
      <c r="M30" s="787"/>
      <c r="N30" s="788"/>
      <c r="O30" s="789"/>
      <c r="P30" s="789"/>
      <c r="Q30" s="800"/>
      <c r="R30" s="801"/>
      <c r="S30" s="801"/>
      <c r="T30" s="801"/>
      <c r="U30" s="802"/>
      <c r="V30" s="788"/>
      <c r="W30" s="803"/>
      <c r="X30" s="804"/>
      <c r="Y30" s="763">
        <f t="shared" si="2"/>
        <v>0</v>
      </c>
      <c r="Z30" s="763">
        <f t="shared" si="3"/>
        <v>0</v>
      </c>
    </row>
    <row r="31" spans="1:26" ht="9" customHeight="1" x14ac:dyDescent="0.2">
      <c r="A31" s="901">
        <f t="shared" si="4"/>
        <v>26</v>
      </c>
      <c r="B31" s="796"/>
      <c r="C31" s="1370" t="str">
        <f t="shared" si="5"/>
        <v/>
      </c>
      <c r="D31" s="1368" t="str">
        <f>IF(B31&lt;&gt;"",$F$237,"")</f>
        <v/>
      </c>
      <c r="E31" s="1369" t="str">
        <f>IF(B31&lt;&gt;"",$F$238,"")</f>
        <v/>
      </c>
      <c r="F31" s="797"/>
      <c r="G31" s="798"/>
      <c r="H31" s="798"/>
      <c r="I31" s="799"/>
      <c r="J31" s="799"/>
      <c r="K31" s="799"/>
      <c r="L31" s="799"/>
      <c r="M31" s="787"/>
      <c r="N31" s="788"/>
      <c r="O31" s="789"/>
      <c r="P31" s="789"/>
      <c r="Q31" s="800"/>
      <c r="R31" s="801"/>
      <c r="S31" s="801"/>
      <c r="T31" s="801"/>
      <c r="U31" s="802"/>
      <c r="V31" s="788"/>
      <c r="W31" s="803"/>
      <c r="X31" s="804"/>
      <c r="Y31" s="763">
        <f t="shared" si="2"/>
        <v>0</v>
      </c>
      <c r="Z31" s="763">
        <f t="shared" si="3"/>
        <v>0</v>
      </c>
    </row>
    <row r="32" spans="1:26" ht="9" customHeight="1" x14ac:dyDescent="0.2">
      <c r="A32" s="901">
        <f t="shared" si="4"/>
        <v>27</v>
      </c>
      <c r="B32" s="796"/>
      <c r="C32" s="1370" t="str">
        <f t="shared" si="5"/>
        <v/>
      </c>
      <c r="D32" s="1368" t="str">
        <f>IF(B32&lt;&gt;"",$F$237,"")</f>
        <v/>
      </c>
      <c r="E32" s="1369" t="str">
        <f>IF(B32&lt;&gt;"",$F$238,"")</f>
        <v/>
      </c>
      <c r="F32" s="797"/>
      <c r="G32" s="798"/>
      <c r="H32" s="798"/>
      <c r="I32" s="799"/>
      <c r="J32" s="799"/>
      <c r="K32" s="799"/>
      <c r="L32" s="799"/>
      <c r="M32" s="787"/>
      <c r="N32" s="788"/>
      <c r="O32" s="789"/>
      <c r="P32" s="789"/>
      <c r="Q32" s="800"/>
      <c r="R32" s="801"/>
      <c r="S32" s="801"/>
      <c r="T32" s="801"/>
      <c r="U32" s="802"/>
      <c r="V32" s="788"/>
      <c r="W32" s="803"/>
      <c r="X32" s="804"/>
      <c r="Y32" s="763">
        <f t="shared" si="2"/>
        <v>0</v>
      </c>
      <c r="Z32" s="763">
        <f t="shared" si="3"/>
        <v>0</v>
      </c>
    </row>
    <row r="33" spans="1:26" ht="9" customHeight="1" x14ac:dyDescent="0.2">
      <c r="A33" s="901">
        <f t="shared" si="4"/>
        <v>28</v>
      </c>
      <c r="B33" s="796"/>
      <c r="C33" s="1370" t="str">
        <f t="shared" si="5"/>
        <v/>
      </c>
      <c r="D33" s="1368" t="str">
        <f>IF(B33&lt;&gt;"",$F$237,"")</f>
        <v/>
      </c>
      <c r="E33" s="1369" t="str">
        <f>IF(B33&lt;&gt;"",$F$238,"")</f>
        <v/>
      </c>
      <c r="F33" s="797"/>
      <c r="G33" s="798"/>
      <c r="H33" s="798"/>
      <c r="I33" s="799"/>
      <c r="J33" s="799"/>
      <c r="K33" s="799"/>
      <c r="L33" s="799"/>
      <c r="M33" s="787"/>
      <c r="N33" s="788"/>
      <c r="O33" s="789"/>
      <c r="P33" s="789"/>
      <c r="Q33" s="800"/>
      <c r="R33" s="801"/>
      <c r="S33" s="801"/>
      <c r="T33" s="801"/>
      <c r="U33" s="802"/>
      <c r="V33" s="788"/>
      <c r="W33" s="803"/>
      <c r="X33" s="804"/>
      <c r="Y33" s="763">
        <f t="shared" si="2"/>
        <v>0</v>
      </c>
      <c r="Z33" s="763">
        <f t="shared" si="3"/>
        <v>0</v>
      </c>
    </row>
    <row r="34" spans="1:26" ht="9" customHeight="1" x14ac:dyDescent="0.2">
      <c r="A34" s="901">
        <f t="shared" si="4"/>
        <v>29</v>
      </c>
      <c r="B34" s="796"/>
      <c r="C34" s="1370" t="str">
        <f t="shared" si="5"/>
        <v/>
      </c>
      <c r="D34" s="1368" t="str">
        <f>IF(B34&lt;&gt;"",$F$237,"")</f>
        <v/>
      </c>
      <c r="E34" s="1369" t="str">
        <f>IF(B34&lt;&gt;"",$F$238,"")</f>
        <v/>
      </c>
      <c r="F34" s="797"/>
      <c r="G34" s="798"/>
      <c r="H34" s="798"/>
      <c r="I34" s="799"/>
      <c r="J34" s="799"/>
      <c r="K34" s="799"/>
      <c r="L34" s="799"/>
      <c r="M34" s="787"/>
      <c r="N34" s="788"/>
      <c r="O34" s="789"/>
      <c r="P34" s="789"/>
      <c r="Q34" s="800"/>
      <c r="R34" s="801"/>
      <c r="S34" s="801"/>
      <c r="T34" s="801"/>
      <c r="U34" s="802"/>
      <c r="V34" s="788"/>
      <c r="W34" s="803"/>
      <c r="X34" s="804"/>
      <c r="Y34" s="763">
        <f t="shared" si="2"/>
        <v>0</v>
      </c>
      <c r="Z34" s="763">
        <f t="shared" si="3"/>
        <v>0</v>
      </c>
    </row>
    <row r="35" spans="1:26" ht="9" customHeight="1" x14ac:dyDescent="0.2">
      <c r="A35" s="901">
        <f t="shared" si="4"/>
        <v>30</v>
      </c>
      <c r="B35" s="796"/>
      <c r="C35" s="1370" t="str">
        <f t="shared" si="5"/>
        <v/>
      </c>
      <c r="D35" s="1368" t="str">
        <f>IF(B35&lt;&gt;"",$F$237,"")</f>
        <v/>
      </c>
      <c r="E35" s="1369" t="str">
        <f>IF(B35&lt;&gt;"",$F$238,"")</f>
        <v/>
      </c>
      <c r="F35" s="797"/>
      <c r="G35" s="798"/>
      <c r="H35" s="798"/>
      <c r="I35" s="799"/>
      <c r="J35" s="799"/>
      <c r="K35" s="799"/>
      <c r="L35" s="799"/>
      <c r="M35" s="787"/>
      <c r="N35" s="788"/>
      <c r="O35" s="789"/>
      <c r="P35" s="789"/>
      <c r="Q35" s="800"/>
      <c r="R35" s="801"/>
      <c r="S35" s="801"/>
      <c r="T35" s="801"/>
      <c r="U35" s="802"/>
      <c r="V35" s="788"/>
      <c r="W35" s="803"/>
      <c r="X35" s="804"/>
      <c r="Y35" s="763">
        <f t="shared" si="2"/>
        <v>0</v>
      </c>
      <c r="Z35" s="763">
        <f t="shared" si="3"/>
        <v>0</v>
      </c>
    </row>
    <row r="36" spans="1:26" ht="9" customHeight="1" x14ac:dyDescent="0.2">
      <c r="A36" s="901">
        <f t="shared" si="4"/>
        <v>31</v>
      </c>
      <c r="B36" s="796"/>
      <c r="C36" s="1370" t="str">
        <f t="shared" si="5"/>
        <v/>
      </c>
      <c r="D36" s="1368" t="str">
        <f>IF(B36&lt;&gt;"",$F$237,"")</f>
        <v/>
      </c>
      <c r="E36" s="1369" t="str">
        <f>IF(B36&lt;&gt;"",$F$238,"")</f>
        <v/>
      </c>
      <c r="F36" s="797"/>
      <c r="G36" s="798"/>
      <c r="H36" s="798"/>
      <c r="I36" s="799"/>
      <c r="J36" s="799"/>
      <c r="K36" s="799"/>
      <c r="L36" s="799"/>
      <c r="M36" s="787"/>
      <c r="N36" s="788"/>
      <c r="O36" s="789"/>
      <c r="P36" s="789"/>
      <c r="Q36" s="800"/>
      <c r="R36" s="801"/>
      <c r="S36" s="801"/>
      <c r="T36" s="801"/>
      <c r="U36" s="802"/>
      <c r="V36" s="788"/>
      <c r="W36" s="803"/>
      <c r="X36" s="804"/>
      <c r="Y36" s="763">
        <f t="shared" si="2"/>
        <v>0</v>
      </c>
      <c r="Z36" s="763">
        <f t="shared" si="3"/>
        <v>0</v>
      </c>
    </row>
    <row r="37" spans="1:26" ht="9" customHeight="1" x14ac:dyDescent="0.2">
      <c r="A37" s="901">
        <f t="shared" si="4"/>
        <v>32</v>
      </c>
      <c r="B37" s="796"/>
      <c r="C37" s="1370" t="str">
        <f t="shared" si="5"/>
        <v/>
      </c>
      <c r="D37" s="1368" t="str">
        <f>IF(B37&lt;&gt;"",$F$237,"")</f>
        <v/>
      </c>
      <c r="E37" s="1369" t="str">
        <f>IF(B37&lt;&gt;"",$F$238,"")</f>
        <v/>
      </c>
      <c r="F37" s="797"/>
      <c r="G37" s="798"/>
      <c r="H37" s="798"/>
      <c r="I37" s="799"/>
      <c r="J37" s="799"/>
      <c r="K37" s="799"/>
      <c r="L37" s="799"/>
      <c r="M37" s="787"/>
      <c r="N37" s="788"/>
      <c r="O37" s="789"/>
      <c r="P37" s="789"/>
      <c r="Q37" s="800"/>
      <c r="R37" s="801"/>
      <c r="S37" s="801"/>
      <c r="T37" s="801"/>
      <c r="U37" s="802"/>
      <c r="V37" s="788"/>
      <c r="W37" s="803"/>
      <c r="X37" s="804"/>
      <c r="Y37" s="763">
        <f t="shared" si="2"/>
        <v>0</v>
      </c>
      <c r="Z37" s="763">
        <f t="shared" si="3"/>
        <v>0</v>
      </c>
    </row>
    <row r="38" spans="1:26" ht="9" customHeight="1" x14ac:dyDescent="0.2">
      <c r="A38" s="901">
        <f t="shared" si="4"/>
        <v>33</v>
      </c>
      <c r="B38" s="796"/>
      <c r="C38" s="1370" t="str">
        <f t="shared" si="5"/>
        <v/>
      </c>
      <c r="D38" s="1368" t="str">
        <f>IF(B38&lt;&gt;"",$F$237,"")</f>
        <v/>
      </c>
      <c r="E38" s="1369" t="str">
        <f>IF(B38&lt;&gt;"",$F$238,"")</f>
        <v/>
      </c>
      <c r="F38" s="797"/>
      <c r="G38" s="798"/>
      <c r="H38" s="798"/>
      <c r="I38" s="799"/>
      <c r="J38" s="799"/>
      <c r="K38" s="799"/>
      <c r="L38" s="799"/>
      <c r="M38" s="787"/>
      <c r="N38" s="788"/>
      <c r="O38" s="789"/>
      <c r="P38" s="789"/>
      <c r="Q38" s="800"/>
      <c r="R38" s="801"/>
      <c r="S38" s="801"/>
      <c r="T38" s="801"/>
      <c r="U38" s="802"/>
      <c r="V38" s="788"/>
      <c r="W38" s="803"/>
      <c r="X38" s="804"/>
      <c r="Y38" s="763">
        <f t="shared" si="2"/>
        <v>0</v>
      </c>
      <c r="Z38" s="763">
        <f t="shared" si="3"/>
        <v>0</v>
      </c>
    </row>
    <row r="39" spans="1:26" ht="9" customHeight="1" x14ac:dyDescent="0.2">
      <c r="A39" s="901">
        <f t="shared" si="4"/>
        <v>34</v>
      </c>
      <c r="B39" s="796"/>
      <c r="C39" s="1370" t="str">
        <f t="shared" si="5"/>
        <v/>
      </c>
      <c r="D39" s="1368" t="str">
        <f>IF(B39&lt;&gt;"",$F$237,"")</f>
        <v/>
      </c>
      <c r="E39" s="1369" t="str">
        <f>IF(B39&lt;&gt;"",$F$238,"")</f>
        <v/>
      </c>
      <c r="F39" s="797"/>
      <c r="G39" s="798"/>
      <c r="H39" s="798"/>
      <c r="I39" s="799"/>
      <c r="J39" s="799"/>
      <c r="K39" s="799"/>
      <c r="L39" s="799"/>
      <c r="M39" s="787"/>
      <c r="N39" s="788"/>
      <c r="O39" s="789"/>
      <c r="P39" s="789"/>
      <c r="Q39" s="800"/>
      <c r="R39" s="801"/>
      <c r="S39" s="801"/>
      <c r="T39" s="801"/>
      <c r="U39" s="802"/>
      <c r="V39" s="788"/>
      <c r="W39" s="803"/>
      <c r="X39" s="804"/>
      <c r="Y39" s="763">
        <f t="shared" si="2"/>
        <v>0</v>
      </c>
      <c r="Z39" s="763">
        <f t="shared" si="3"/>
        <v>0</v>
      </c>
    </row>
    <row r="40" spans="1:26" ht="9" customHeight="1" x14ac:dyDescent="0.2">
      <c r="A40" s="901">
        <f t="shared" si="4"/>
        <v>35</v>
      </c>
      <c r="B40" s="796"/>
      <c r="C40" s="1370" t="str">
        <f t="shared" si="5"/>
        <v/>
      </c>
      <c r="D40" s="1368" t="str">
        <f>IF(B40&lt;&gt;"",$F$237,"")</f>
        <v/>
      </c>
      <c r="E40" s="1369" t="str">
        <f>IF(B40&lt;&gt;"",$F$238,"")</f>
        <v/>
      </c>
      <c r="F40" s="797"/>
      <c r="G40" s="798"/>
      <c r="H40" s="798"/>
      <c r="I40" s="799"/>
      <c r="J40" s="799"/>
      <c r="K40" s="799"/>
      <c r="L40" s="799"/>
      <c r="M40" s="787"/>
      <c r="N40" s="788"/>
      <c r="O40" s="789"/>
      <c r="P40" s="789"/>
      <c r="Q40" s="800"/>
      <c r="R40" s="801"/>
      <c r="S40" s="801"/>
      <c r="T40" s="801"/>
      <c r="U40" s="802"/>
      <c r="V40" s="788"/>
      <c r="W40" s="803"/>
      <c r="X40" s="804"/>
      <c r="Y40" s="763">
        <f t="shared" si="2"/>
        <v>0</v>
      </c>
      <c r="Z40" s="763">
        <f t="shared" si="3"/>
        <v>0</v>
      </c>
    </row>
    <row r="41" spans="1:26" ht="9" customHeight="1" x14ac:dyDescent="0.2">
      <c r="A41" s="901">
        <f t="shared" si="4"/>
        <v>36</v>
      </c>
      <c r="B41" s="796"/>
      <c r="C41" s="1370" t="str">
        <f t="shared" si="5"/>
        <v/>
      </c>
      <c r="D41" s="1368" t="str">
        <f>IF(B41&lt;&gt;"",$F$237,"")</f>
        <v/>
      </c>
      <c r="E41" s="1369" t="str">
        <f>IF(B41&lt;&gt;"",$F$238,"")</f>
        <v/>
      </c>
      <c r="F41" s="797"/>
      <c r="G41" s="798"/>
      <c r="H41" s="798"/>
      <c r="I41" s="799"/>
      <c r="J41" s="799"/>
      <c r="K41" s="799"/>
      <c r="L41" s="799"/>
      <c r="M41" s="787"/>
      <c r="N41" s="788"/>
      <c r="O41" s="789"/>
      <c r="P41" s="789"/>
      <c r="Q41" s="800"/>
      <c r="R41" s="801"/>
      <c r="S41" s="801"/>
      <c r="T41" s="801"/>
      <c r="U41" s="802"/>
      <c r="V41" s="788"/>
      <c r="W41" s="803"/>
      <c r="X41" s="804"/>
      <c r="Y41" s="763">
        <f t="shared" si="2"/>
        <v>0</v>
      </c>
      <c r="Z41" s="763">
        <f t="shared" si="3"/>
        <v>0</v>
      </c>
    </row>
    <row r="42" spans="1:26" ht="9" customHeight="1" thickBot="1" x14ac:dyDescent="0.25">
      <c r="A42" s="902">
        <f t="shared" si="4"/>
        <v>37</v>
      </c>
      <c r="B42" s="806"/>
      <c r="C42" s="1370" t="str">
        <f t="shared" si="5"/>
        <v/>
      </c>
      <c r="D42" s="1368" t="str">
        <f>IF(B42&lt;&gt;"",$F$237,"")</f>
        <v/>
      </c>
      <c r="E42" s="1369" t="str">
        <f>IF(B42&lt;&gt;"",$F$238,"")</f>
        <v/>
      </c>
      <c r="F42" s="807"/>
      <c r="G42" s="808"/>
      <c r="H42" s="808"/>
      <c r="I42" s="809"/>
      <c r="J42" s="809"/>
      <c r="K42" s="809"/>
      <c r="L42" s="809"/>
      <c r="M42" s="787"/>
      <c r="N42" s="788"/>
      <c r="O42" s="789"/>
      <c r="P42" s="789"/>
      <c r="Q42" s="810"/>
      <c r="R42" s="811"/>
      <c r="S42" s="811"/>
      <c r="T42" s="811"/>
      <c r="U42" s="812"/>
      <c r="V42" s="813"/>
      <c r="W42" s="813"/>
      <c r="X42" s="814"/>
      <c r="Y42" s="763">
        <f t="shared" si="2"/>
        <v>0</v>
      </c>
      <c r="Z42" s="763">
        <f t="shared" si="3"/>
        <v>0</v>
      </c>
    </row>
    <row r="43" spans="1:26" ht="9" customHeight="1" thickBot="1" x14ac:dyDescent="0.25">
      <c r="A43" s="815"/>
      <c r="B43" s="816" t="s">
        <v>65</v>
      </c>
      <c r="C43" s="817"/>
      <c r="D43" s="817"/>
      <c r="E43" s="817"/>
      <c r="F43" s="818"/>
      <c r="G43" s="819">
        <f t="shared" ref="G43:M43" si="6">SUM(G6:G42)</f>
        <v>25000</v>
      </c>
      <c r="H43" s="819">
        <f t="shared" si="6"/>
        <v>12000</v>
      </c>
      <c r="I43" s="819">
        <f t="shared" si="6"/>
        <v>13000</v>
      </c>
      <c r="J43" s="819">
        <f t="shared" si="6"/>
        <v>0</v>
      </c>
      <c r="K43" s="819">
        <f t="shared" si="6"/>
        <v>0</v>
      </c>
      <c r="L43" s="819">
        <f t="shared" si="6"/>
        <v>0</v>
      </c>
      <c r="M43" s="819">
        <f t="shared" si="6"/>
        <v>0</v>
      </c>
      <c r="N43" s="820"/>
      <c r="O43" s="821"/>
      <c r="P43" s="821"/>
      <c r="Q43" s="821"/>
      <c r="R43" s="821"/>
      <c r="S43" s="821"/>
      <c r="T43" s="821"/>
      <c r="U43" s="822"/>
      <c r="V43" s="823">
        <f>SUM(V6:V42)</f>
        <v>0</v>
      </c>
      <c r="W43" s="823">
        <f>SUM(W6:W42)</f>
        <v>0</v>
      </c>
      <c r="X43" s="824">
        <f>SUM(X6:X42)</f>
        <v>0</v>
      </c>
      <c r="Y43" s="763">
        <f>SUM(Y6:Y42)</f>
        <v>1</v>
      </c>
      <c r="Z43" s="763">
        <f>SUM(Z6:Z42)</f>
        <v>0</v>
      </c>
    </row>
    <row r="44" spans="1:26" ht="9" customHeight="1" x14ac:dyDescent="0.2">
      <c r="A44" s="815"/>
      <c r="B44" s="825"/>
      <c r="C44" s="1293"/>
      <c r="D44" s="825"/>
      <c r="E44" s="1292"/>
      <c r="F44" s="826" t="str">
        <f>F95</f>
        <v>T13</v>
      </c>
      <c r="G44" s="827">
        <f>SUMIF($N$6:$N$42,$F$44,G$6:G$42)</f>
        <v>25000</v>
      </c>
      <c r="H44" s="827">
        <f>SUMIF($N$6:$N$42,$F$44,H$6:H$42)</f>
        <v>12000</v>
      </c>
      <c r="I44" s="827">
        <f>SUMIF($N$6:$N$42,$F$44,I$6:I$42)</f>
        <v>13000</v>
      </c>
      <c r="J44" s="827">
        <f>SUMIF($N$6:$N$42,$F$44,J$6:J$42)</f>
        <v>0</v>
      </c>
      <c r="K44" s="827">
        <f>SUMIF($N$6:$N$42,$F$44,K$6:K$42)</f>
        <v>0</v>
      </c>
      <c r="L44" s="827">
        <f>SUMIF($N$6:$N$42,$F$44,L$6:L$42)</f>
        <v>0</v>
      </c>
      <c r="M44" s="827">
        <f>SUMIF($N$6:$N$42,$F$44,M$6:M$42)</f>
        <v>0</v>
      </c>
      <c r="N44" s="828"/>
      <c r="O44" s="829"/>
      <c r="P44" s="829"/>
      <c r="Q44" s="830"/>
      <c r="R44" s="830"/>
      <c r="S44" s="830"/>
      <c r="T44" s="830"/>
      <c r="U44" s="830"/>
      <c r="V44" s="831">
        <f>SUMIF($N$6:$N$42,$F$44,V$6:V$42)</f>
        <v>0</v>
      </c>
      <c r="W44" s="831">
        <f>SUMIF($N$6:$N$42,$F$44,W$6:W$42)</f>
        <v>0</v>
      </c>
      <c r="X44" s="832">
        <f>SUMIF($N$6:$N$42,$F$44,X$6:X$42)</f>
        <v>0</v>
      </c>
    </row>
    <row r="45" spans="1:26" ht="9" customHeight="1" x14ac:dyDescent="0.2">
      <c r="A45" s="815"/>
      <c r="B45" s="825"/>
      <c r="C45" s="1293"/>
      <c r="D45" s="825"/>
      <c r="E45" s="1292"/>
      <c r="F45" s="833" t="str">
        <f t="shared" ref="F45:F47" si="7">F96</f>
        <v>T24</v>
      </c>
      <c r="G45" s="834">
        <f>SUMIF($N$6:$N$42,$F$45,G$6:G$42)</f>
        <v>0</v>
      </c>
      <c r="H45" s="834">
        <f>SUMIF($N$6:$N$42,$F$45,H$6:H$42)</f>
        <v>0</v>
      </c>
      <c r="I45" s="834">
        <f>SUMIF($N$6:$N$42,$F$45,I$6:I$42)</f>
        <v>0</v>
      </c>
      <c r="J45" s="834">
        <f>SUMIF($N$6:$N$42,$F$45,J$6:J$42)</f>
        <v>0</v>
      </c>
      <c r="K45" s="834">
        <f>SUMIF($N$6:$N$42,$F$45,K$6:K$42)</f>
        <v>0</v>
      </c>
      <c r="L45" s="834">
        <f>SUMIF($N$6:$N$42,$F$45,L$6:L$42)</f>
        <v>0</v>
      </c>
      <c r="M45" s="834">
        <f>SUMIF($N$6:$N$42,$F$45,M$6:M$42)</f>
        <v>0</v>
      </c>
      <c r="N45" s="835"/>
      <c r="O45" s="836"/>
      <c r="P45" s="836"/>
      <c r="Q45" s="837"/>
      <c r="R45" s="837"/>
      <c r="S45" s="837"/>
      <c r="T45" s="837"/>
      <c r="U45" s="837"/>
      <c r="V45" s="838">
        <f>SUMIF($N$6:$N$42,$F$45,V$6:V$42)</f>
        <v>0</v>
      </c>
      <c r="W45" s="838">
        <f>SUMIF($N$6:$N$42,$F$45,W$6:W$42)</f>
        <v>0</v>
      </c>
      <c r="X45" s="839">
        <f>SUMIF($N$6:$N$42,$F$45,X$6:X$42)</f>
        <v>0</v>
      </c>
    </row>
    <row r="46" spans="1:26" ht="9" customHeight="1" x14ac:dyDescent="0.2">
      <c r="A46" s="815"/>
      <c r="B46" s="825"/>
      <c r="C46" s="1293"/>
      <c r="D46" s="825"/>
      <c r="E46" s="1292"/>
      <c r="F46" s="833">
        <f t="shared" si="7"/>
        <v>0</v>
      </c>
      <c r="G46" s="834">
        <f>SUMIF($N$6:$N$42,$F$46,G$6:G$42)</f>
        <v>0</v>
      </c>
      <c r="H46" s="834">
        <f>SUMIF($N$6:$N$42,$F$46,H$6:H$42)</f>
        <v>0</v>
      </c>
      <c r="I46" s="834">
        <f>SUMIF($N$6:$N$42,$F$46,I$6:I$42)</f>
        <v>0</v>
      </c>
      <c r="J46" s="834">
        <f>SUMIF($N$6:$N$42,$F$46,J$6:J$42)</f>
        <v>0</v>
      </c>
      <c r="K46" s="834">
        <f>SUMIF($N$6:$N$42,$F$46,K$6:K$42)</f>
        <v>0</v>
      </c>
      <c r="L46" s="834">
        <f>SUMIF($N$6:$N$42,$F$46,L$6:L$42)</f>
        <v>0</v>
      </c>
      <c r="M46" s="834">
        <f>SUMIF($N$6:$N$42,$F$46,M$6:M$42)</f>
        <v>0</v>
      </c>
      <c r="N46" s="835"/>
      <c r="O46" s="836"/>
      <c r="P46" s="836"/>
      <c r="Q46" s="837"/>
      <c r="R46" s="837"/>
      <c r="S46" s="837"/>
      <c r="T46" s="837"/>
      <c r="U46" s="837"/>
      <c r="V46" s="838">
        <f>SUMIF($N$6:$N$42,$F$46,V$6:V$42)</f>
        <v>0</v>
      </c>
      <c r="W46" s="838">
        <f>SUMIF($N$6:$N$42,$F$46,W$6:W$42)</f>
        <v>0</v>
      </c>
      <c r="X46" s="839">
        <f>SUMIF($N$6:$N$42,$F$46,X$6:X$42)</f>
        <v>0</v>
      </c>
    </row>
    <row r="47" spans="1:26" ht="9" customHeight="1" thickBot="1" x14ac:dyDescent="0.25">
      <c r="A47" s="815"/>
      <c r="B47" s="825"/>
      <c r="C47" s="1293"/>
      <c r="D47" s="825"/>
      <c r="E47" s="1292"/>
      <c r="F47" s="840">
        <f t="shared" si="7"/>
        <v>0</v>
      </c>
      <c r="G47" s="841">
        <f>SUMIF($N$6:$N$42,$F$47,G$6:G$42)</f>
        <v>0</v>
      </c>
      <c r="H47" s="841">
        <f>SUMIF($N$6:$N$42,$F$47,H$6:H$42)</f>
        <v>0</v>
      </c>
      <c r="I47" s="841">
        <f>SUMIF($N$6:$N$42,$F$47,I$6:I$42)</f>
        <v>0</v>
      </c>
      <c r="J47" s="841">
        <f>SUMIF($N$6:$N$42,$F$47,J$6:J$42)</f>
        <v>0</v>
      </c>
      <c r="K47" s="841">
        <f>SUMIF($N$6:$N$42,$F$47,K$6:K$42)</f>
        <v>0</v>
      </c>
      <c r="L47" s="841">
        <f>SUMIF($N$6:$N$42,$F$47,L$6:L$42)</f>
        <v>0</v>
      </c>
      <c r="M47" s="841">
        <f>SUMIF($N$6:$N$42,$F$47,M$6:M$42)</f>
        <v>0</v>
      </c>
      <c r="N47" s="842"/>
      <c r="O47" s="843"/>
      <c r="P47" s="843"/>
      <c r="Q47" s="844"/>
      <c r="R47" s="844"/>
      <c r="S47" s="844"/>
      <c r="T47" s="844"/>
      <c r="U47" s="844"/>
      <c r="V47" s="845">
        <f>SUMIF($N$6:$N$42,$F$47,V$6:V$42)</f>
        <v>0</v>
      </c>
      <c r="W47" s="845">
        <f>SUMIF($N$6:$N$42,$F$47,W$6:W$42)</f>
        <v>0</v>
      </c>
      <c r="X47" s="846">
        <f>SUMIF($N$6:$N$42,$F$47,X$6:X$42)</f>
        <v>0</v>
      </c>
    </row>
    <row r="48" spans="1:26" ht="12" x14ac:dyDescent="0.2">
      <c r="A48" s="815"/>
      <c r="B48" s="756" t="str">
        <f>IF(G43&lt;&gt;SUM(H43:M43),"NEISPRAVAN UNOS, POSTOJI RAZLIKA","")</f>
        <v/>
      </c>
      <c r="C48" s="756"/>
      <c r="D48" s="756"/>
      <c r="E48" s="756"/>
      <c r="F48" s="756"/>
      <c r="G48" s="756"/>
      <c r="H48" s="756"/>
      <c r="I48" s="756"/>
      <c r="J48" s="756"/>
      <c r="K48" s="756"/>
      <c r="L48" s="756"/>
      <c r="M48" s="1352" t="str">
        <f>IF(Y43&gt;0,"Nepotpun unos podataka pod rednim brojem "&amp;MATCH(MAX(Y6:Y42),Y6:Y42,0),"")</f>
        <v>Nepotpun unos podataka pod rednim brojem 2</v>
      </c>
      <c r="N48" s="1352"/>
      <c r="O48" s="1352"/>
      <c r="P48" s="1352"/>
      <c r="Q48" s="1352"/>
      <c r="R48" s="1352"/>
      <c r="S48" s="1352"/>
      <c r="T48" s="1352"/>
      <c r="U48" s="1352"/>
      <c r="V48" s="851"/>
      <c r="W48" s="851"/>
      <c r="X48" s="851"/>
    </row>
    <row r="49" spans="1:26" ht="12.75" customHeight="1" x14ac:dyDescent="0.2">
      <c r="A49" s="815"/>
      <c r="B49" s="852"/>
      <c r="C49" s="1294"/>
      <c r="D49" s="852"/>
      <c r="E49" s="853"/>
      <c r="F49" s="852"/>
      <c r="G49" s="852"/>
      <c r="H49" s="852"/>
      <c r="I49" s="852"/>
      <c r="J49" s="852"/>
      <c r="K49" s="852"/>
      <c r="L49" s="852"/>
      <c r="M49" s="1353" t="str">
        <f>IF(Z43&gt;0,"Neispravni iznosi u € ili zbroj pod rednim brojem "&amp;MATCH(MAX(Z6:Z42),Z6:Z42,0),"")</f>
        <v/>
      </c>
      <c r="N49" s="1353"/>
      <c r="O49" s="1353"/>
      <c r="P49" s="1353"/>
      <c r="Q49" s="1353"/>
      <c r="R49" s="1353"/>
      <c r="S49" s="1353"/>
      <c r="T49" s="1353"/>
      <c r="U49" s="1353"/>
      <c r="V49" s="851"/>
      <c r="W49" s="851"/>
      <c r="X49" s="851"/>
    </row>
    <row r="50" spans="1:26" ht="12.75" customHeight="1" x14ac:dyDescent="0.2">
      <c r="A50" s="815"/>
      <c r="B50" s="852"/>
      <c r="C50" s="1294"/>
      <c r="D50" s="852"/>
      <c r="E50" s="853"/>
      <c r="F50" s="852"/>
      <c r="G50" s="852"/>
      <c r="H50" s="852"/>
      <c r="I50" s="852"/>
      <c r="J50" s="852"/>
      <c r="K50" s="852"/>
      <c r="L50" s="852"/>
      <c r="M50" s="848"/>
      <c r="O50" s="849"/>
      <c r="P50" s="849"/>
      <c r="Q50" s="850"/>
      <c r="R50" s="850"/>
      <c r="S50" s="850"/>
      <c r="T50" s="850"/>
      <c r="U50" s="850"/>
      <c r="V50" s="851"/>
      <c r="W50" s="851"/>
      <c r="X50" s="851"/>
    </row>
    <row r="51" spans="1:26" ht="12.75" customHeight="1" x14ac:dyDescent="0.2">
      <c r="A51" s="815"/>
      <c r="B51" s="852"/>
      <c r="C51" s="1294"/>
      <c r="D51" s="852"/>
      <c r="E51" s="853"/>
      <c r="F51" s="852"/>
      <c r="G51" s="852"/>
      <c r="H51" s="852"/>
      <c r="I51" s="852"/>
      <c r="J51" s="852"/>
      <c r="K51" s="852"/>
      <c r="L51" s="852"/>
      <c r="M51" s="848"/>
      <c r="O51" s="849"/>
      <c r="P51" s="849"/>
      <c r="Q51" s="850"/>
      <c r="R51" s="850"/>
      <c r="S51" s="850"/>
      <c r="T51" s="850"/>
      <c r="U51" s="850"/>
      <c r="V51" s="851"/>
      <c r="W51" s="851"/>
      <c r="X51" s="851"/>
    </row>
    <row r="52" spans="1:26" ht="9" customHeight="1" x14ac:dyDescent="0.2">
      <c r="A52" s="815"/>
      <c r="B52" s="852"/>
      <c r="C52" s="1294"/>
      <c r="D52" s="852"/>
      <c r="E52" s="853"/>
      <c r="F52" s="852"/>
      <c r="G52" s="852"/>
      <c r="H52" s="852"/>
      <c r="I52" s="852"/>
      <c r="J52" s="852"/>
      <c r="K52" s="852"/>
      <c r="L52" s="852"/>
      <c r="M52" s="848"/>
      <c r="O52" s="849"/>
      <c r="P52" s="849"/>
      <c r="Q52" s="850"/>
      <c r="R52" s="850"/>
      <c r="S52" s="850"/>
      <c r="T52" s="850"/>
      <c r="U52" s="850"/>
      <c r="V52" s="851"/>
      <c r="W52" s="851"/>
      <c r="X52" s="851"/>
    </row>
    <row r="53" spans="1:26" ht="12.75" customHeight="1" x14ac:dyDescent="0.2">
      <c r="B53" s="753" t="str">
        <f>A2</f>
        <v>Medem d.o.o.</v>
      </c>
      <c r="F53" s="760" t="s">
        <v>216</v>
      </c>
      <c r="G53" s="761" t="str">
        <f>S203</f>
        <v>T13</v>
      </c>
      <c r="H53" s="762"/>
      <c r="I53" s="1351" t="str">
        <f>H2</f>
        <v>tjedan</v>
      </c>
      <c r="J53" s="761">
        <f>T205</f>
        <v>29</v>
      </c>
      <c r="K53" s="762"/>
      <c r="L53" s="1354" t="str">
        <f>IF(OR(M99&lt;&gt;"",M100&lt;&gt;""),"!!! NEISPRAVNA / NEDOVRŠENA TABLICA","")</f>
        <v>!!! NEISPRAVNA / NEDOVRŠENA TABLICA</v>
      </c>
      <c r="M53" s="1354"/>
      <c r="N53" s="1354"/>
      <c r="O53" s="1354"/>
      <c r="P53" s="1354"/>
      <c r="Q53" s="1354"/>
      <c r="R53" s="1354"/>
      <c r="S53" s="1354"/>
      <c r="T53" s="763"/>
      <c r="U53" s="854" t="str">
        <f>V2</f>
        <v>verzija 7/2026</v>
      </c>
      <c r="V53" s="854"/>
      <c r="W53" s="854"/>
      <c r="X53" s="764"/>
    </row>
    <row r="54" spans="1:26" ht="10.5" thickBot="1" x14ac:dyDescent="0.25">
      <c r="B54" s="760"/>
      <c r="C54" s="760"/>
      <c r="D54" s="1290"/>
      <c r="E54" s="765"/>
      <c r="F54" s="760"/>
      <c r="G54" s="762"/>
      <c r="H54" s="762"/>
      <c r="I54" s="762"/>
      <c r="J54" s="762"/>
      <c r="K54" s="762"/>
      <c r="L54" s="762"/>
      <c r="M54" s="763"/>
      <c r="N54" s="763"/>
      <c r="O54" s="763"/>
      <c r="P54" s="763"/>
      <c r="Q54" s="763"/>
      <c r="R54" s="763"/>
      <c r="S54" s="763"/>
      <c r="T54" s="763"/>
      <c r="U54" s="763"/>
      <c r="V54" s="764"/>
      <c r="W54" s="764"/>
      <c r="X54" s="764"/>
    </row>
    <row r="55" spans="1:26" ht="10.5" thickBot="1" x14ac:dyDescent="0.25">
      <c r="A55" s="892" t="s">
        <v>74</v>
      </c>
      <c r="B55" s="883" t="s">
        <v>78</v>
      </c>
      <c r="C55" s="883"/>
      <c r="D55" s="883"/>
      <c r="E55" s="883"/>
      <c r="F55" s="884"/>
      <c r="G55" s="768">
        <f>T205</f>
        <v>29</v>
      </c>
      <c r="H55" s="769"/>
      <c r="I55" s="769"/>
      <c r="J55" s="769"/>
      <c r="K55" s="769"/>
      <c r="L55" s="769"/>
      <c r="M55" s="769"/>
      <c r="N55" s="769"/>
      <c r="O55" s="769"/>
      <c r="P55" s="769"/>
      <c r="Q55" s="769"/>
      <c r="R55" s="769"/>
      <c r="S55" s="769"/>
      <c r="T55" s="769"/>
      <c r="U55" s="769"/>
      <c r="V55" s="769"/>
      <c r="W55" s="769"/>
      <c r="X55" s="770"/>
    </row>
    <row r="56" spans="1:26" ht="28.5" customHeight="1" thickBot="1" x14ac:dyDescent="0.25">
      <c r="A56" s="1348"/>
      <c r="B56" s="1347" t="str">
        <f>B5</f>
        <v>DATUM</v>
      </c>
      <c r="C56" s="772" t="str">
        <f>C5</f>
        <v>Broj računa FISKALNOG</v>
      </c>
      <c r="D56" s="773"/>
      <c r="E56" s="774"/>
      <c r="F56" s="775" t="str">
        <f>F5</f>
        <v>Broj ugovora</v>
      </c>
      <c r="G56" s="775" t="str">
        <f>G5</f>
        <v>PRODAJNA CIJENA</v>
      </c>
      <c r="H56" s="775" t="str">
        <f>H5</f>
        <v>GOTOVINA / KEŠ</v>
      </c>
      <c r="I56" s="775" t="str">
        <f>I5</f>
        <v>POS TEYA kartica</v>
      </c>
      <c r="J56" s="775" t="str">
        <f>J5</f>
        <v>POS PBZ kartica</v>
      </c>
      <c r="K56" s="775" t="str">
        <f>K5</f>
        <v>Žiralno STORNO</v>
      </c>
      <c r="L56" s="775" t="str">
        <f>L5</f>
        <v>Žiralno / Ostalo</v>
      </c>
      <c r="M56" s="775" t="str">
        <f>M5</f>
        <v>Vrsta Kartice</v>
      </c>
      <c r="N56" s="775" t="str">
        <f>N5</f>
        <v>Team</v>
      </c>
      <c r="O56" s="775" t="str">
        <f>O5</f>
        <v>Vozač</v>
      </c>
      <c r="P56" s="775" t="str">
        <f>P5</f>
        <v>Prodao</v>
      </c>
      <c r="Q56" s="777" t="s">
        <v>82</v>
      </c>
      <c r="R56" s="778"/>
      <c r="S56" s="778"/>
      <c r="T56" s="778"/>
      <c r="U56" s="779"/>
      <c r="V56" s="780" t="str">
        <f>V5</f>
        <v>LMS</v>
      </c>
      <c r="W56" s="780" t="str">
        <f>W5</f>
        <v>TO</v>
      </c>
      <c r="X56" s="781" t="str">
        <f>X5</f>
        <v>IP</v>
      </c>
    </row>
    <row r="57" spans="1:26" x14ac:dyDescent="0.2">
      <c r="A57" s="901">
        <v>1</v>
      </c>
      <c r="B57" s="783">
        <v>46210</v>
      </c>
      <c r="C57" s="1371">
        <f>IF(B57&lt;&gt;"",MAX(C6:C42)+1,"")</f>
        <v>160</v>
      </c>
      <c r="D57" s="1368" t="str">
        <f>IF(B57&lt;&gt;"",$F$237,"")</f>
        <v>/T13</v>
      </c>
      <c r="E57" s="1369" t="str">
        <f>IF(B57&lt;&gt;"",$F$238,"")</f>
        <v>/1</v>
      </c>
      <c r="F57" s="785"/>
      <c r="G57" s="786"/>
      <c r="H57" s="786"/>
      <c r="I57" s="787"/>
      <c r="J57" s="787"/>
      <c r="K57" s="787"/>
      <c r="L57" s="787"/>
      <c r="M57" s="787"/>
      <c r="N57" s="793"/>
      <c r="O57" s="855"/>
      <c r="P57" s="855"/>
      <c r="Q57" s="856"/>
      <c r="R57" s="857"/>
      <c r="S57" s="857"/>
      <c r="T57" s="857"/>
      <c r="U57" s="858"/>
      <c r="V57" s="793"/>
      <c r="W57" s="794"/>
      <c r="X57" s="795"/>
      <c r="Y57" s="763">
        <f>IF(B57="",0,IF(AND(C57&lt;&gt;"",F57&lt;&gt;"",G57&lt;&gt;"",N57&lt;&gt;"",O57&lt;&gt;"",P57&lt;&gt;"",Q57&lt;&gt;""),0,1))</f>
        <v>1</v>
      </c>
      <c r="Z57" s="763">
        <f>IF(G57=SUM(H57:L57),0,1)</f>
        <v>0</v>
      </c>
    </row>
    <row r="58" spans="1:26" x14ac:dyDescent="0.2">
      <c r="A58" s="901">
        <f>A57+1</f>
        <v>2</v>
      </c>
      <c r="B58" s="796">
        <v>46211</v>
      </c>
      <c r="C58" s="1370">
        <f>IF(B58&lt;&gt;"",C57+1,"")</f>
        <v>161</v>
      </c>
      <c r="D58" s="1368" t="str">
        <f>IF(B58&lt;&gt;"",$F$237,"")</f>
        <v>/T13</v>
      </c>
      <c r="E58" s="1369" t="str">
        <f>IF(B58&lt;&gt;"",$F$238,"")</f>
        <v>/1</v>
      </c>
      <c r="F58" s="797"/>
      <c r="G58" s="798"/>
      <c r="H58" s="798"/>
      <c r="I58" s="799"/>
      <c r="J58" s="799"/>
      <c r="K58" s="799"/>
      <c r="L58" s="799"/>
      <c r="M58" s="787"/>
      <c r="N58" s="788"/>
      <c r="O58" s="789"/>
      <c r="P58" s="789"/>
      <c r="Q58" s="800"/>
      <c r="R58" s="801"/>
      <c r="S58" s="801"/>
      <c r="T58" s="801"/>
      <c r="U58" s="802"/>
      <c r="V58" s="788"/>
      <c r="W58" s="803"/>
      <c r="X58" s="804"/>
      <c r="Y58" s="763">
        <f t="shared" ref="Y58:Y93" si="8">IF(B58="",0,IF(AND(C58&lt;&gt;"",F58&lt;&gt;"",G58&lt;&gt;"",N58&lt;&gt;"",O58&lt;&gt;"",P58&lt;&gt;"",Q58&lt;&gt;""),0,1))</f>
        <v>1</v>
      </c>
      <c r="Z58" s="763">
        <f t="shared" ref="Z58:Z93" si="9">IF(G58=SUM(H58:L58),0,1)</f>
        <v>0</v>
      </c>
    </row>
    <row r="59" spans="1:26" x14ac:dyDescent="0.2">
      <c r="A59" s="901">
        <f t="shared" ref="A59:A93" si="10">A58+1</f>
        <v>3</v>
      </c>
      <c r="B59" s="859"/>
      <c r="C59" s="1370" t="str">
        <f t="shared" ref="C59:C93" si="11">IF(B59&lt;&gt;"",C58+1,"")</f>
        <v/>
      </c>
      <c r="D59" s="1368" t="str">
        <f>IF(B59&lt;&gt;"",$F$237,"")</f>
        <v/>
      </c>
      <c r="E59" s="1369" t="str">
        <f>IF(B59&lt;&gt;"",$F$238,"")</f>
        <v/>
      </c>
      <c r="F59" s="797"/>
      <c r="G59" s="798"/>
      <c r="H59" s="798"/>
      <c r="I59" s="805"/>
      <c r="J59" s="805"/>
      <c r="K59" s="805"/>
      <c r="L59" s="805"/>
      <c r="M59" s="787"/>
      <c r="N59" s="788"/>
      <c r="O59" s="789"/>
      <c r="P59" s="789"/>
      <c r="Q59" s="800"/>
      <c r="R59" s="801"/>
      <c r="S59" s="801"/>
      <c r="T59" s="801"/>
      <c r="U59" s="802"/>
      <c r="V59" s="788"/>
      <c r="W59" s="803"/>
      <c r="X59" s="804"/>
      <c r="Y59" s="763">
        <f t="shared" si="8"/>
        <v>0</v>
      </c>
      <c r="Z59" s="763">
        <f t="shared" si="9"/>
        <v>0</v>
      </c>
    </row>
    <row r="60" spans="1:26" x14ac:dyDescent="0.2">
      <c r="A60" s="901">
        <f t="shared" si="10"/>
        <v>4</v>
      </c>
      <c r="B60" s="859"/>
      <c r="C60" s="1370" t="str">
        <f t="shared" si="11"/>
        <v/>
      </c>
      <c r="D60" s="1368" t="str">
        <f>IF(B60&lt;&gt;"",$F$237,"")</f>
        <v/>
      </c>
      <c r="E60" s="1369" t="str">
        <f>IF(B60&lt;&gt;"",$F$238,"")</f>
        <v/>
      </c>
      <c r="F60" s="797"/>
      <c r="G60" s="798"/>
      <c r="H60" s="798"/>
      <c r="I60" s="805"/>
      <c r="J60" s="805"/>
      <c r="K60" s="805"/>
      <c r="L60" s="805"/>
      <c r="M60" s="787"/>
      <c r="N60" s="788"/>
      <c r="O60" s="789"/>
      <c r="P60" s="789"/>
      <c r="Q60" s="800"/>
      <c r="R60" s="801"/>
      <c r="S60" s="801"/>
      <c r="T60" s="801"/>
      <c r="U60" s="802"/>
      <c r="V60" s="788"/>
      <c r="W60" s="803"/>
      <c r="X60" s="804"/>
      <c r="Y60" s="763">
        <f t="shared" si="8"/>
        <v>0</v>
      </c>
      <c r="Z60" s="763">
        <f t="shared" si="9"/>
        <v>0</v>
      </c>
    </row>
    <row r="61" spans="1:26" x14ac:dyDescent="0.2">
      <c r="A61" s="901">
        <f t="shared" si="10"/>
        <v>5</v>
      </c>
      <c r="B61" s="859"/>
      <c r="C61" s="1370" t="str">
        <f t="shared" si="11"/>
        <v/>
      </c>
      <c r="D61" s="1368" t="str">
        <f>IF(B61&lt;&gt;"",$F$237,"")</f>
        <v/>
      </c>
      <c r="E61" s="1369" t="str">
        <f>IF(B61&lt;&gt;"",$F$238,"")</f>
        <v/>
      </c>
      <c r="F61" s="797"/>
      <c r="G61" s="798"/>
      <c r="H61" s="798"/>
      <c r="I61" s="799"/>
      <c r="J61" s="799"/>
      <c r="K61" s="799"/>
      <c r="L61" s="799"/>
      <c r="M61" s="787"/>
      <c r="N61" s="788"/>
      <c r="O61" s="789"/>
      <c r="P61" s="789"/>
      <c r="Q61" s="800"/>
      <c r="R61" s="801"/>
      <c r="S61" s="801"/>
      <c r="T61" s="801"/>
      <c r="U61" s="802"/>
      <c r="V61" s="788"/>
      <c r="W61" s="803"/>
      <c r="X61" s="804"/>
      <c r="Y61" s="763">
        <f t="shared" si="8"/>
        <v>0</v>
      </c>
      <c r="Z61" s="763">
        <f t="shared" si="9"/>
        <v>0</v>
      </c>
    </row>
    <row r="62" spans="1:26" x14ac:dyDescent="0.2">
      <c r="A62" s="901">
        <f t="shared" si="10"/>
        <v>6</v>
      </c>
      <c r="B62" s="859"/>
      <c r="C62" s="1370" t="str">
        <f t="shared" si="11"/>
        <v/>
      </c>
      <c r="D62" s="1368" t="str">
        <f>IF(B62&lt;&gt;"",$F$237,"")</f>
        <v/>
      </c>
      <c r="E62" s="1369" t="str">
        <f>IF(B62&lt;&gt;"",$F$238,"")</f>
        <v/>
      </c>
      <c r="F62" s="797"/>
      <c r="G62" s="798"/>
      <c r="H62" s="798"/>
      <c r="I62" s="799"/>
      <c r="J62" s="799"/>
      <c r="K62" s="799"/>
      <c r="L62" s="799"/>
      <c r="M62" s="787"/>
      <c r="N62" s="788"/>
      <c r="O62" s="789"/>
      <c r="P62" s="789"/>
      <c r="Q62" s="800"/>
      <c r="R62" s="801"/>
      <c r="S62" s="801"/>
      <c r="T62" s="801"/>
      <c r="U62" s="802"/>
      <c r="V62" s="788"/>
      <c r="W62" s="803"/>
      <c r="X62" s="804"/>
      <c r="Y62" s="763">
        <f t="shared" si="8"/>
        <v>0</v>
      </c>
      <c r="Z62" s="763">
        <f t="shared" si="9"/>
        <v>0</v>
      </c>
    </row>
    <row r="63" spans="1:26" x14ac:dyDescent="0.2">
      <c r="A63" s="901">
        <f t="shared" si="10"/>
        <v>7</v>
      </c>
      <c r="B63" s="859"/>
      <c r="C63" s="1370" t="str">
        <f t="shared" si="11"/>
        <v/>
      </c>
      <c r="D63" s="1368" t="str">
        <f>IF(B63&lt;&gt;"",$F$237,"")</f>
        <v/>
      </c>
      <c r="E63" s="1369" t="str">
        <f>IF(B63&lt;&gt;"",$F$238,"")</f>
        <v/>
      </c>
      <c r="F63" s="797"/>
      <c r="G63" s="798"/>
      <c r="H63" s="798"/>
      <c r="I63" s="799"/>
      <c r="J63" s="799"/>
      <c r="K63" s="799"/>
      <c r="L63" s="799"/>
      <c r="M63" s="787"/>
      <c r="N63" s="788"/>
      <c r="O63" s="789"/>
      <c r="P63" s="789"/>
      <c r="Q63" s="800"/>
      <c r="R63" s="801"/>
      <c r="S63" s="801"/>
      <c r="T63" s="801"/>
      <c r="U63" s="802"/>
      <c r="V63" s="788"/>
      <c r="W63" s="803"/>
      <c r="X63" s="804"/>
      <c r="Y63" s="763">
        <f t="shared" si="8"/>
        <v>0</v>
      </c>
      <c r="Z63" s="763">
        <f t="shared" si="9"/>
        <v>0</v>
      </c>
    </row>
    <row r="64" spans="1:26" x14ac:dyDescent="0.2">
      <c r="A64" s="901">
        <f t="shared" si="10"/>
        <v>8</v>
      </c>
      <c r="B64" s="859"/>
      <c r="C64" s="1370" t="str">
        <f t="shared" si="11"/>
        <v/>
      </c>
      <c r="D64" s="1368" t="str">
        <f>IF(B64&lt;&gt;"",$F$237,"")</f>
        <v/>
      </c>
      <c r="E64" s="1369" t="str">
        <f>IF(B64&lt;&gt;"",$F$238,"")</f>
        <v/>
      </c>
      <c r="F64" s="797"/>
      <c r="G64" s="798"/>
      <c r="H64" s="798"/>
      <c r="I64" s="799"/>
      <c r="J64" s="799"/>
      <c r="K64" s="799"/>
      <c r="L64" s="799"/>
      <c r="M64" s="787"/>
      <c r="N64" s="788"/>
      <c r="O64" s="789"/>
      <c r="P64" s="789"/>
      <c r="Q64" s="800"/>
      <c r="R64" s="801"/>
      <c r="S64" s="801"/>
      <c r="T64" s="801"/>
      <c r="U64" s="802"/>
      <c r="V64" s="788"/>
      <c r="W64" s="803"/>
      <c r="X64" s="804"/>
      <c r="Y64" s="763">
        <f t="shared" si="8"/>
        <v>0</v>
      </c>
      <c r="Z64" s="763">
        <f t="shared" si="9"/>
        <v>0</v>
      </c>
    </row>
    <row r="65" spans="1:26" x14ac:dyDescent="0.2">
      <c r="A65" s="901">
        <f t="shared" si="10"/>
        <v>9</v>
      </c>
      <c r="B65" s="859"/>
      <c r="C65" s="1370" t="str">
        <f t="shared" si="11"/>
        <v/>
      </c>
      <c r="D65" s="1368" t="str">
        <f>IF(B65&lt;&gt;"",$F$237,"")</f>
        <v/>
      </c>
      <c r="E65" s="1369" t="str">
        <f>IF(B65&lt;&gt;"",$F$238,"")</f>
        <v/>
      </c>
      <c r="F65" s="797"/>
      <c r="G65" s="798"/>
      <c r="H65" s="798"/>
      <c r="I65" s="799"/>
      <c r="J65" s="799"/>
      <c r="K65" s="799"/>
      <c r="L65" s="799"/>
      <c r="M65" s="787"/>
      <c r="N65" s="788"/>
      <c r="O65" s="789"/>
      <c r="P65" s="789"/>
      <c r="Q65" s="800"/>
      <c r="R65" s="801"/>
      <c r="S65" s="801"/>
      <c r="T65" s="801"/>
      <c r="U65" s="802"/>
      <c r="V65" s="788"/>
      <c r="W65" s="803"/>
      <c r="X65" s="804"/>
      <c r="Y65" s="763">
        <f t="shared" si="8"/>
        <v>0</v>
      </c>
      <c r="Z65" s="763">
        <f t="shared" si="9"/>
        <v>0</v>
      </c>
    </row>
    <row r="66" spans="1:26" x14ac:dyDescent="0.2">
      <c r="A66" s="901">
        <f t="shared" si="10"/>
        <v>10</v>
      </c>
      <c r="B66" s="859"/>
      <c r="C66" s="1370" t="str">
        <f t="shared" si="11"/>
        <v/>
      </c>
      <c r="D66" s="1368" t="str">
        <f>IF(B66&lt;&gt;"",$F$237,"")</f>
        <v/>
      </c>
      <c r="E66" s="1369" t="str">
        <f>IF(B66&lt;&gt;"",$F$238,"")</f>
        <v/>
      </c>
      <c r="F66" s="797"/>
      <c r="G66" s="798"/>
      <c r="H66" s="798"/>
      <c r="I66" s="799"/>
      <c r="J66" s="799"/>
      <c r="K66" s="799"/>
      <c r="L66" s="799"/>
      <c r="M66" s="787"/>
      <c r="N66" s="788"/>
      <c r="O66" s="789"/>
      <c r="P66" s="789"/>
      <c r="Q66" s="800"/>
      <c r="R66" s="801"/>
      <c r="S66" s="801"/>
      <c r="T66" s="801"/>
      <c r="U66" s="802"/>
      <c r="V66" s="788"/>
      <c r="W66" s="803"/>
      <c r="X66" s="804"/>
      <c r="Y66" s="763">
        <f t="shared" si="8"/>
        <v>0</v>
      </c>
      <c r="Z66" s="763">
        <f t="shared" si="9"/>
        <v>0</v>
      </c>
    </row>
    <row r="67" spans="1:26" x14ac:dyDescent="0.2">
      <c r="A67" s="901">
        <f t="shared" si="10"/>
        <v>11</v>
      </c>
      <c r="B67" s="859"/>
      <c r="C67" s="1370" t="str">
        <f t="shared" si="11"/>
        <v/>
      </c>
      <c r="D67" s="1368" t="str">
        <f>IF(B67&lt;&gt;"",$F$237,"")</f>
        <v/>
      </c>
      <c r="E67" s="1369" t="str">
        <f>IF(B67&lt;&gt;"",$F$238,"")</f>
        <v/>
      </c>
      <c r="F67" s="797"/>
      <c r="G67" s="798"/>
      <c r="H67" s="798"/>
      <c r="I67" s="799"/>
      <c r="J67" s="799"/>
      <c r="K67" s="799"/>
      <c r="L67" s="799"/>
      <c r="M67" s="787"/>
      <c r="N67" s="788"/>
      <c r="O67" s="789"/>
      <c r="P67" s="789"/>
      <c r="Q67" s="800"/>
      <c r="R67" s="801"/>
      <c r="S67" s="801"/>
      <c r="T67" s="801"/>
      <c r="U67" s="802"/>
      <c r="V67" s="788"/>
      <c r="W67" s="803"/>
      <c r="X67" s="804"/>
      <c r="Y67" s="763">
        <f t="shared" si="8"/>
        <v>0</v>
      </c>
      <c r="Z67" s="763">
        <f t="shared" si="9"/>
        <v>0</v>
      </c>
    </row>
    <row r="68" spans="1:26" x14ac:dyDescent="0.2">
      <c r="A68" s="901">
        <f t="shared" si="10"/>
        <v>12</v>
      </c>
      <c r="B68" s="860"/>
      <c r="C68" s="1370" t="str">
        <f t="shared" si="11"/>
        <v/>
      </c>
      <c r="D68" s="1368" t="str">
        <f>IF(B68&lt;&gt;"",$F$237,"")</f>
        <v/>
      </c>
      <c r="E68" s="1369" t="str">
        <f>IF(B68&lt;&gt;"",$F$238,"")</f>
        <v/>
      </c>
      <c r="F68" s="785"/>
      <c r="G68" s="786"/>
      <c r="H68" s="786"/>
      <c r="I68" s="787"/>
      <c r="J68" s="787"/>
      <c r="K68" s="787"/>
      <c r="L68" s="787"/>
      <c r="M68" s="787"/>
      <c r="N68" s="788"/>
      <c r="O68" s="789"/>
      <c r="P68" s="789"/>
      <c r="Q68" s="856"/>
      <c r="R68" s="857"/>
      <c r="S68" s="857"/>
      <c r="T68" s="857"/>
      <c r="U68" s="858"/>
      <c r="V68" s="793"/>
      <c r="W68" s="794"/>
      <c r="X68" s="804"/>
      <c r="Y68" s="763">
        <f t="shared" si="8"/>
        <v>0</v>
      </c>
      <c r="Z68" s="763">
        <f t="shared" si="9"/>
        <v>0</v>
      </c>
    </row>
    <row r="69" spans="1:26" x14ac:dyDescent="0.2">
      <c r="A69" s="901">
        <f t="shared" si="10"/>
        <v>13</v>
      </c>
      <c r="B69" s="861"/>
      <c r="C69" s="1370" t="str">
        <f t="shared" si="11"/>
        <v/>
      </c>
      <c r="D69" s="1368" t="str">
        <f>IF(B69&lt;&gt;"",$F$237,"")</f>
        <v/>
      </c>
      <c r="E69" s="1369" t="str">
        <f>IF(B69&lt;&gt;"",$F$238,"")</f>
        <v/>
      </c>
      <c r="F69" s="797"/>
      <c r="G69" s="798"/>
      <c r="H69" s="798"/>
      <c r="I69" s="799"/>
      <c r="J69" s="799"/>
      <c r="K69" s="799"/>
      <c r="L69" s="799"/>
      <c r="M69" s="787"/>
      <c r="N69" s="788"/>
      <c r="O69" s="789"/>
      <c r="P69" s="789"/>
      <c r="Q69" s="800"/>
      <c r="R69" s="801"/>
      <c r="S69" s="801"/>
      <c r="T69" s="801"/>
      <c r="U69" s="802"/>
      <c r="V69" s="788"/>
      <c r="W69" s="803"/>
      <c r="X69" s="804"/>
      <c r="Y69" s="763">
        <f t="shared" si="8"/>
        <v>0</v>
      </c>
      <c r="Z69" s="763">
        <f t="shared" si="9"/>
        <v>0</v>
      </c>
    </row>
    <row r="70" spans="1:26" x14ac:dyDescent="0.2">
      <c r="A70" s="901">
        <f t="shared" si="10"/>
        <v>14</v>
      </c>
      <c r="B70" s="861"/>
      <c r="C70" s="1370" t="str">
        <f t="shared" si="11"/>
        <v/>
      </c>
      <c r="D70" s="1368" t="str">
        <f>IF(B70&lt;&gt;"",$F$237,"")</f>
        <v/>
      </c>
      <c r="E70" s="1369" t="str">
        <f>IF(B70&lt;&gt;"",$F$238,"")</f>
        <v/>
      </c>
      <c r="F70" s="797"/>
      <c r="G70" s="798"/>
      <c r="H70" s="798"/>
      <c r="I70" s="805"/>
      <c r="J70" s="805"/>
      <c r="K70" s="805"/>
      <c r="L70" s="805"/>
      <c r="M70" s="787"/>
      <c r="N70" s="788"/>
      <c r="O70" s="789"/>
      <c r="P70" s="789"/>
      <c r="Q70" s="800"/>
      <c r="R70" s="801"/>
      <c r="S70" s="801"/>
      <c r="T70" s="801"/>
      <c r="U70" s="802"/>
      <c r="V70" s="788"/>
      <c r="W70" s="803"/>
      <c r="X70" s="804"/>
      <c r="Y70" s="763">
        <f t="shared" si="8"/>
        <v>0</v>
      </c>
      <c r="Z70" s="763">
        <f t="shared" si="9"/>
        <v>0</v>
      </c>
    </row>
    <row r="71" spans="1:26" x14ac:dyDescent="0.2">
      <c r="A71" s="901">
        <f t="shared" si="10"/>
        <v>15</v>
      </c>
      <c r="B71" s="861"/>
      <c r="C71" s="1370" t="str">
        <f t="shared" si="11"/>
        <v/>
      </c>
      <c r="D71" s="1368" t="str">
        <f>IF(B71&lt;&gt;"",$F$237,"")</f>
        <v/>
      </c>
      <c r="E71" s="1369" t="str">
        <f>IF(B71&lt;&gt;"",$F$238,"")</f>
        <v/>
      </c>
      <c r="F71" s="797"/>
      <c r="G71" s="798"/>
      <c r="H71" s="798"/>
      <c r="I71" s="805"/>
      <c r="J71" s="805"/>
      <c r="K71" s="805"/>
      <c r="L71" s="805"/>
      <c r="M71" s="787"/>
      <c r="N71" s="788"/>
      <c r="O71" s="789"/>
      <c r="P71" s="789"/>
      <c r="Q71" s="800"/>
      <c r="R71" s="801"/>
      <c r="S71" s="801"/>
      <c r="T71" s="801"/>
      <c r="U71" s="802"/>
      <c r="V71" s="788"/>
      <c r="W71" s="803"/>
      <c r="X71" s="804"/>
      <c r="Y71" s="763">
        <f t="shared" si="8"/>
        <v>0</v>
      </c>
      <c r="Z71" s="763">
        <f t="shared" si="9"/>
        <v>0</v>
      </c>
    </row>
    <row r="72" spans="1:26" x14ac:dyDescent="0.2">
      <c r="A72" s="901">
        <f t="shared" si="10"/>
        <v>16</v>
      </c>
      <c r="B72" s="861"/>
      <c r="C72" s="1370" t="str">
        <f t="shared" si="11"/>
        <v/>
      </c>
      <c r="D72" s="1368" t="str">
        <f>IF(B72&lt;&gt;"",$F$237,"")</f>
        <v/>
      </c>
      <c r="E72" s="1369" t="str">
        <f>IF(B72&lt;&gt;"",$F$238,"")</f>
        <v/>
      </c>
      <c r="F72" s="797"/>
      <c r="G72" s="798"/>
      <c r="H72" s="798"/>
      <c r="I72" s="799"/>
      <c r="J72" s="799"/>
      <c r="K72" s="799"/>
      <c r="L72" s="799"/>
      <c r="M72" s="787"/>
      <c r="N72" s="788"/>
      <c r="O72" s="789"/>
      <c r="P72" s="789"/>
      <c r="Q72" s="800"/>
      <c r="R72" s="801"/>
      <c r="S72" s="801"/>
      <c r="T72" s="801"/>
      <c r="U72" s="802"/>
      <c r="V72" s="788"/>
      <c r="W72" s="803"/>
      <c r="X72" s="804"/>
      <c r="Y72" s="763">
        <f t="shared" si="8"/>
        <v>0</v>
      </c>
      <c r="Z72" s="763">
        <f t="shared" si="9"/>
        <v>0</v>
      </c>
    </row>
    <row r="73" spans="1:26" x14ac:dyDescent="0.2">
      <c r="A73" s="901">
        <f t="shared" si="10"/>
        <v>17</v>
      </c>
      <c r="B73" s="861"/>
      <c r="C73" s="1370" t="str">
        <f t="shared" si="11"/>
        <v/>
      </c>
      <c r="D73" s="1368" t="str">
        <f>IF(B73&lt;&gt;"",$F$237,"")</f>
        <v/>
      </c>
      <c r="E73" s="1369" t="str">
        <f>IF(B73&lt;&gt;"",$F$238,"")</f>
        <v/>
      </c>
      <c r="F73" s="797"/>
      <c r="G73" s="798"/>
      <c r="H73" s="798"/>
      <c r="I73" s="799"/>
      <c r="J73" s="799"/>
      <c r="K73" s="799"/>
      <c r="L73" s="799"/>
      <c r="M73" s="787"/>
      <c r="N73" s="788"/>
      <c r="O73" s="789"/>
      <c r="P73" s="789"/>
      <c r="Q73" s="800"/>
      <c r="R73" s="801"/>
      <c r="S73" s="801"/>
      <c r="T73" s="801"/>
      <c r="U73" s="802"/>
      <c r="V73" s="788"/>
      <c r="W73" s="803"/>
      <c r="X73" s="804"/>
      <c r="Y73" s="763">
        <f t="shared" si="8"/>
        <v>0</v>
      </c>
      <c r="Z73" s="763">
        <f t="shared" si="9"/>
        <v>0</v>
      </c>
    </row>
    <row r="74" spans="1:26" x14ac:dyDescent="0.2">
      <c r="A74" s="901">
        <f t="shared" si="10"/>
        <v>18</v>
      </c>
      <c r="B74" s="861"/>
      <c r="C74" s="1370" t="str">
        <f t="shared" si="11"/>
        <v/>
      </c>
      <c r="D74" s="1368" t="str">
        <f>IF(B74&lt;&gt;"",$F$237,"")</f>
        <v/>
      </c>
      <c r="E74" s="1369" t="str">
        <f>IF(B74&lt;&gt;"",$F$238,"")</f>
        <v/>
      </c>
      <c r="F74" s="797"/>
      <c r="G74" s="798"/>
      <c r="H74" s="798"/>
      <c r="I74" s="799"/>
      <c r="J74" s="799"/>
      <c r="K74" s="799"/>
      <c r="L74" s="799"/>
      <c r="M74" s="787"/>
      <c r="N74" s="788"/>
      <c r="O74" s="789"/>
      <c r="P74" s="789"/>
      <c r="Q74" s="800"/>
      <c r="R74" s="801"/>
      <c r="S74" s="801"/>
      <c r="T74" s="801"/>
      <c r="U74" s="802"/>
      <c r="V74" s="788"/>
      <c r="W74" s="803"/>
      <c r="X74" s="804"/>
      <c r="Y74" s="763">
        <f t="shared" si="8"/>
        <v>0</v>
      </c>
      <c r="Z74" s="763">
        <f t="shared" si="9"/>
        <v>0</v>
      </c>
    </row>
    <row r="75" spans="1:26" x14ac:dyDescent="0.2">
      <c r="A75" s="901">
        <f t="shared" si="10"/>
        <v>19</v>
      </c>
      <c r="B75" s="861"/>
      <c r="C75" s="1370" t="str">
        <f t="shared" si="11"/>
        <v/>
      </c>
      <c r="D75" s="1368" t="str">
        <f>IF(B75&lt;&gt;"",$F$237,"")</f>
        <v/>
      </c>
      <c r="E75" s="1369" t="str">
        <f>IF(B75&lt;&gt;"",$F$238,"")</f>
        <v/>
      </c>
      <c r="F75" s="797"/>
      <c r="G75" s="798"/>
      <c r="H75" s="798"/>
      <c r="I75" s="799"/>
      <c r="J75" s="799"/>
      <c r="K75" s="799"/>
      <c r="L75" s="799"/>
      <c r="M75" s="787"/>
      <c r="N75" s="788"/>
      <c r="O75" s="789"/>
      <c r="P75" s="789"/>
      <c r="Q75" s="800"/>
      <c r="R75" s="801"/>
      <c r="S75" s="801"/>
      <c r="T75" s="801"/>
      <c r="U75" s="802"/>
      <c r="V75" s="788"/>
      <c r="W75" s="803"/>
      <c r="X75" s="804"/>
      <c r="Y75" s="763">
        <f t="shared" si="8"/>
        <v>0</v>
      </c>
      <c r="Z75" s="763">
        <f t="shared" si="9"/>
        <v>0</v>
      </c>
    </row>
    <row r="76" spans="1:26" x14ac:dyDescent="0.2">
      <c r="A76" s="901">
        <f t="shared" si="10"/>
        <v>20</v>
      </c>
      <c r="B76" s="859"/>
      <c r="C76" s="1370" t="str">
        <f t="shared" si="11"/>
        <v/>
      </c>
      <c r="D76" s="1368" t="str">
        <f>IF(B76&lt;&gt;"",$F$237,"")</f>
        <v/>
      </c>
      <c r="E76" s="1369" t="str">
        <f>IF(B76&lt;&gt;"",$F$238,"")</f>
        <v/>
      </c>
      <c r="F76" s="797"/>
      <c r="G76" s="798"/>
      <c r="H76" s="798"/>
      <c r="I76" s="799"/>
      <c r="J76" s="799"/>
      <c r="K76" s="799"/>
      <c r="L76" s="799"/>
      <c r="M76" s="787"/>
      <c r="N76" s="788"/>
      <c r="O76" s="789"/>
      <c r="P76" s="789"/>
      <c r="Q76" s="800"/>
      <c r="R76" s="801"/>
      <c r="S76" s="801"/>
      <c r="T76" s="801"/>
      <c r="U76" s="802"/>
      <c r="V76" s="788"/>
      <c r="W76" s="803"/>
      <c r="X76" s="804"/>
      <c r="Y76" s="763">
        <f t="shared" si="8"/>
        <v>0</v>
      </c>
      <c r="Z76" s="763">
        <f t="shared" si="9"/>
        <v>0</v>
      </c>
    </row>
    <row r="77" spans="1:26" x14ac:dyDescent="0.2">
      <c r="A77" s="901">
        <f t="shared" si="10"/>
        <v>21</v>
      </c>
      <c r="B77" s="859"/>
      <c r="C77" s="1370" t="str">
        <f t="shared" si="11"/>
        <v/>
      </c>
      <c r="D77" s="1368" t="str">
        <f>IF(B77&lt;&gt;"",$F$237,"")</f>
        <v/>
      </c>
      <c r="E77" s="1369" t="str">
        <f>IF(B77&lt;&gt;"",$F$238,"")</f>
        <v/>
      </c>
      <c r="F77" s="797"/>
      <c r="G77" s="798"/>
      <c r="H77" s="798"/>
      <c r="I77" s="799"/>
      <c r="J77" s="799"/>
      <c r="K77" s="799"/>
      <c r="L77" s="799"/>
      <c r="M77" s="787"/>
      <c r="N77" s="788"/>
      <c r="O77" s="789"/>
      <c r="P77" s="789"/>
      <c r="Q77" s="800"/>
      <c r="R77" s="801"/>
      <c r="S77" s="801"/>
      <c r="T77" s="801"/>
      <c r="U77" s="802"/>
      <c r="V77" s="788"/>
      <c r="W77" s="803"/>
      <c r="X77" s="804"/>
      <c r="Y77" s="763">
        <f t="shared" si="8"/>
        <v>0</v>
      </c>
      <c r="Z77" s="763">
        <f t="shared" si="9"/>
        <v>0</v>
      </c>
    </row>
    <row r="78" spans="1:26" x14ac:dyDescent="0.2">
      <c r="A78" s="901">
        <f t="shared" si="10"/>
        <v>22</v>
      </c>
      <c r="B78" s="859"/>
      <c r="C78" s="1370" t="str">
        <f t="shared" si="11"/>
        <v/>
      </c>
      <c r="D78" s="1368" t="str">
        <f>IF(B78&lt;&gt;"",$F$237,"")</f>
        <v/>
      </c>
      <c r="E78" s="1369" t="str">
        <f>IF(B78&lt;&gt;"",$F$238,"")</f>
        <v/>
      </c>
      <c r="F78" s="797"/>
      <c r="G78" s="798"/>
      <c r="H78" s="798"/>
      <c r="I78" s="799"/>
      <c r="J78" s="799"/>
      <c r="K78" s="799"/>
      <c r="L78" s="799"/>
      <c r="M78" s="787"/>
      <c r="N78" s="788"/>
      <c r="O78" s="789"/>
      <c r="P78" s="789"/>
      <c r="Q78" s="800"/>
      <c r="R78" s="801"/>
      <c r="S78" s="801"/>
      <c r="T78" s="801"/>
      <c r="U78" s="802"/>
      <c r="V78" s="788"/>
      <c r="W78" s="803"/>
      <c r="X78" s="804"/>
      <c r="Y78" s="763">
        <f t="shared" si="8"/>
        <v>0</v>
      </c>
      <c r="Z78" s="763">
        <f t="shared" si="9"/>
        <v>0</v>
      </c>
    </row>
    <row r="79" spans="1:26" x14ac:dyDescent="0.2">
      <c r="A79" s="901">
        <f t="shared" si="10"/>
        <v>23</v>
      </c>
      <c r="B79" s="859"/>
      <c r="C79" s="1370" t="str">
        <f t="shared" si="11"/>
        <v/>
      </c>
      <c r="D79" s="1368" t="str">
        <f>IF(B79&lt;&gt;"",$F$237,"")</f>
        <v/>
      </c>
      <c r="E79" s="1369" t="str">
        <f>IF(B79&lt;&gt;"",$F$238,"")</f>
        <v/>
      </c>
      <c r="F79" s="797"/>
      <c r="G79" s="798"/>
      <c r="H79" s="798"/>
      <c r="I79" s="799"/>
      <c r="J79" s="799"/>
      <c r="K79" s="799"/>
      <c r="L79" s="799"/>
      <c r="M79" s="787"/>
      <c r="N79" s="788"/>
      <c r="O79" s="789"/>
      <c r="P79" s="789"/>
      <c r="Q79" s="800"/>
      <c r="R79" s="801"/>
      <c r="S79" s="801"/>
      <c r="T79" s="801"/>
      <c r="U79" s="802"/>
      <c r="V79" s="788"/>
      <c r="W79" s="803"/>
      <c r="X79" s="804"/>
      <c r="Y79" s="763">
        <f t="shared" si="8"/>
        <v>0</v>
      </c>
      <c r="Z79" s="763">
        <f t="shared" si="9"/>
        <v>0</v>
      </c>
    </row>
    <row r="80" spans="1:26" x14ac:dyDescent="0.2">
      <c r="A80" s="901">
        <f t="shared" si="10"/>
        <v>24</v>
      </c>
      <c r="B80" s="859"/>
      <c r="C80" s="1370" t="str">
        <f t="shared" si="11"/>
        <v/>
      </c>
      <c r="D80" s="1368" t="str">
        <f>IF(B80&lt;&gt;"",$F$237,"")</f>
        <v/>
      </c>
      <c r="E80" s="1369" t="str">
        <f>IF(B80&lt;&gt;"",$F$238,"")</f>
        <v/>
      </c>
      <c r="F80" s="797"/>
      <c r="G80" s="798"/>
      <c r="H80" s="798"/>
      <c r="I80" s="799"/>
      <c r="J80" s="799"/>
      <c r="K80" s="799"/>
      <c r="L80" s="799"/>
      <c r="M80" s="787"/>
      <c r="N80" s="788"/>
      <c r="O80" s="789"/>
      <c r="P80" s="789"/>
      <c r="Q80" s="800"/>
      <c r="R80" s="801"/>
      <c r="S80" s="801"/>
      <c r="T80" s="801"/>
      <c r="U80" s="802"/>
      <c r="V80" s="788"/>
      <c r="W80" s="803"/>
      <c r="X80" s="804"/>
      <c r="Y80" s="763">
        <f t="shared" si="8"/>
        <v>0</v>
      </c>
      <c r="Z80" s="763">
        <f t="shared" si="9"/>
        <v>0</v>
      </c>
    </row>
    <row r="81" spans="1:26" x14ac:dyDescent="0.2">
      <c r="A81" s="901">
        <f t="shared" si="10"/>
        <v>25</v>
      </c>
      <c r="B81" s="859"/>
      <c r="C81" s="1370" t="str">
        <f t="shared" si="11"/>
        <v/>
      </c>
      <c r="D81" s="1368" t="str">
        <f>IF(B81&lt;&gt;"",$F$237,"")</f>
        <v/>
      </c>
      <c r="E81" s="1369" t="str">
        <f>IF(B81&lt;&gt;"",$F$238,"")</f>
        <v/>
      </c>
      <c r="F81" s="797"/>
      <c r="G81" s="798"/>
      <c r="H81" s="798"/>
      <c r="I81" s="799"/>
      <c r="J81" s="799"/>
      <c r="K81" s="799"/>
      <c r="L81" s="799"/>
      <c r="M81" s="787"/>
      <c r="N81" s="788"/>
      <c r="O81" s="789"/>
      <c r="P81" s="789"/>
      <c r="Q81" s="800"/>
      <c r="R81" s="801"/>
      <c r="S81" s="801"/>
      <c r="T81" s="801"/>
      <c r="U81" s="802"/>
      <c r="V81" s="788"/>
      <c r="W81" s="803"/>
      <c r="X81" s="804"/>
      <c r="Y81" s="763">
        <f t="shared" si="8"/>
        <v>0</v>
      </c>
      <c r="Z81" s="763">
        <f t="shared" si="9"/>
        <v>0</v>
      </c>
    </row>
    <row r="82" spans="1:26" x14ac:dyDescent="0.2">
      <c r="A82" s="901">
        <f t="shared" si="10"/>
        <v>26</v>
      </c>
      <c r="B82" s="859"/>
      <c r="C82" s="1370" t="str">
        <f t="shared" si="11"/>
        <v/>
      </c>
      <c r="D82" s="1368" t="str">
        <f>IF(B82&lt;&gt;"",$F$237,"")</f>
        <v/>
      </c>
      <c r="E82" s="1369" t="str">
        <f>IF(B82&lt;&gt;"",$F$238,"")</f>
        <v/>
      </c>
      <c r="F82" s="797"/>
      <c r="G82" s="798"/>
      <c r="H82" s="798"/>
      <c r="I82" s="799"/>
      <c r="J82" s="799"/>
      <c r="K82" s="799"/>
      <c r="L82" s="799"/>
      <c r="M82" s="787"/>
      <c r="N82" s="788"/>
      <c r="O82" s="789"/>
      <c r="P82" s="789"/>
      <c r="Q82" s="800"/>
      <c r="R82" s="801"/>
      <c r="S82" s="801"/>
      <c r="T82" s="801"/>
      <c r="U82" s="802"/>
      <c r="V82" s="788"/>
      <c r="W82" s="803"/>
      <c r="X82" s="804"/>
      <c r="Y82" s="763">
        <f t="shared" si="8"/>
        <v>0</v>
      </c>
      <c r="Z82" s="763">
        <f t="shared" si="9"/>
        <v>0</v>
      </c>
    </row>
    <row r="83" spans="1:26" x14ac:dyDescent="0.2">
      <c r="A83" s="901">
        <f t="shared" si="10"/>
        <v>27</v>
      </c>
      <c r="B83" s="859"/>
      <c r="C83" s="1370" t="str">
        <f t="shared" si="11"/>
        <v/>
      </c>
      <c r="D83" s="1368" t="str">
        <f>IF(B83&lt;&gt;"",$F$237,"")</f>
        <v/>
      </c>
      <c r="E83" s="1369" t="str">
        <f>IF(B83&lt;&gt;"",$F$238,"")</f>
        <v/>
      </c>
      <c r="F83" s="797"/>
      <c r="G83" s="798"/>
      <c r="H83" s="798"/>
      <c r="I83" s="799"/>
      <c r="J83" s="799"/>
      <c r="K83" s="799"/>
      <c r="L83" s="799"/>
      <c r="M83" s="787"/>
      <c r="N83" s="788"/>
      <c r="O83" s="789"/>
      <c r="P83" s="789"/>
      <c r="Q83" s="800"/>
      <c r="R83" s="801"/>
      <c r="S83" s="801"/>
      <c r="T83" s="801"/>
      <c r="U83" s="802"/>
      <c r="V83" s="788"/>
      <c r="W83" s="803"/>
      <c r="X83" s="804"/>
      <c r="Y83" s="763">
        <f t="shared" si="8"/>
        <v>0</v>
      </c>
      <c r="Z83" s="763">
        <f t="shared" si="9"/>
        <v>0</v>
      </c>
    </row>
    <row r="84" spans="1:26" x14ac:dyDescent="0.2">
      <c r="A84" s="901">
        <f t="shared" si="10"/>
        <v>28</v>
      </c>
      <c r="B84" s="859"/>
      <c r="C84" s="1370" t="str">
        <f t="shared" si="11"/>
        <v/>
      </c>
      <c r="D84" s="1368" t="str">
        <f>IF(B84&lt;&gt;"",$F$237,"")</f>
        <v/>
      </c>
      <c r="E84" s="1369" t="str">
        <f>IF(B84&lt;&gt;"",$F$238,"")</f>
        <v/>
      </c>
      <c r="F84" s="797"/>
      <c r="G84" s="798"/>
      <c r="H84" s="798"/>
      <c r="I84" s="799"/>
      <c r="J84" s="799"/>
      <c r="K84" s="799"/>
      <c r="L84" s="799"/>
      <c r="M84" s="787"/>
      <c r="N84" s="788"/>
      <c r="O84" s="789"/>
      <c r="P84" s="789"/>
      <c r="Q84" s="800"/>
      <c r="R84" s="801"/>
      <c r="S84" s="801"/>
      <c r="T84" s="801"/>
      <c r="U84" s="802"/>
      <c r="V84" s="788"/>
      <c r="W84" s="803"/>
      <c r="X84" s="804"/>
      <c r="Y84" s="763">
        <f t="shared" si="8"/>
        <v>0</v>
      </c>
      <c r="Z84" s="763">
        <f t="shared" si="9"/>
        <v>0</v>
      </c>
    </row>
    <row r="85" spans="1:26" x14ac:dyDescent="0.2">
      <c r="A85" s="901">
        <f t="shared" si="10"/>
        <v>29</v>
      </c>
      <c r="B85" s="859"/>
      <c r="C85" s="1370" t="str">
        <f t="shared" si="11"/>
        <v/>
      </c>
      <c r="D85" s="1368" t="str">
        <f>IF(B85&lt;&gt;"",$F$237,"")</f>
        <v/>
      </c>
      <c r="E85" s="1369" t="str">
        <f>IF(B85&lt;&gt;"",$F$238,"")</f>
        <v/>
      </c>
      <c r="F85" s="797"/>
      <c r="G85" s="798"/>
      <c r="H85" s="798"/>
      <c r="I85" s="799"/>
      <c r="J85" s="799"/>
      <c r="K85" s="799"/>
      <c r="L85" s="799"/>
      <c r="M85" s="787"/>
      <c r="N85" s="788"/>
      <c r="O85" s="789"/>
      <c r="P85" s="789"/>
      <c r="Q85" s="800"/>
      <c r="R85" s="801"/>
      <c r="S85" s="801"/>
      <c r="T85" s="801"/>
      <c r="U85" s="802"/>
      <c r="V85" s="788"/>
      <c r="W85" s="803"/>
      <c r="X85" s="804"/>
      <c r="Y85" s="763">
        <f t="shared" si="8"/>
        <v>0</v>
      </c>
      <c r="Z85" s="763">
        <f t="shared" si="9"/>
        <v>0</v>
      </c>
    </row>
    <row r="86" spans="1:26" x14ac:dyDescent="0.2">
      <c r="A86" s="901">
        <f t="shared" si="10"/>
        <v>30</v>
      </c>
      <c r="B86" s="859"/>
      <c r="C86" s="1370" t="str">
        <f t="shared" si="11"/>
        <v/>
      </c>
      <c r="D86" s="1368" t="str">
        <f>IF(B86&lt;&gt;"",$F$237,"")</f>
        <v/>
      </c>
      <c r="E86" s="1369" t="str">
        <f>IF(B86&lt;&gt;"",$F$238,"")</f>
        <v/>
      </c>
      <c r="F86" s="797"/>
      <c r="G86" s="798"/>
      <c r="H86" s="798"/>
      <c r="I86" s="799"/>
      <c r="J86" s="799"/>
      <c r="K86" s="799"/>
      <c r="L86" s="799"/>
      <c r="M86" s="787"/>
      <c r="N86" s="788"/>
      <c r="O86" s="789"/>
      <c r="P86" s="789"/>
      <c r="Q86" s="800"/>
      <c r="R86" s="801"/>
      <c r="S86" s="801"/>
      <c r="T86" s="801"/>
      <c r="U86" s="802"/>
      <c r="V86" s="788"/>
      <c r="W86" s="803"/>
      <c r="X86" s="804"/>
      <c r="Y86" s="763">
        <f t="shared" si="8"/>
        <v>0</v>
      </c>
      <c r="Z86" s="763">
        <f t="shared" si="9"/>
        <v>0</v>
      </c>
    </row>
    <row r="87" spans="1:26" x14ac:dyDescent="0.2">
      <c r="A87" s="901">
        <f t="shared" si="10"/>
        <v>31</v>
      </c>
      <c r="B87" s="859"/>
      <c r="C87" s="1370" t="str">
        <f t="shared" si="11"/>
        <v/>
      </c>
      <c r="D87" s="1368" t="str">
        <f>IF(B87&lt;&gt;"",$F$237,"")</f>
        <v/>
      </c>
      <c r="E87" s="1369" t="str">
        <f>IF(B87&lt;&gt;"",$F$238,"")</f>
        <v/>
      </c>
      <c r="F87" s="797"/>
      <c r="G87" s="798"/>
      <c r="H87" s="798"/>
      <c r="I87" s="799"/>
      <c r="J87" s="799"/>
      <c r="K87" s="799"/>
      <c r="L87" s="799"/>
      <c r="M87" s="787"/>
      <c r="N87" s="788"/>
      <c r="O87" s="789"/>
      <c r="P87" s="789"/>
      <c r="Q87" s="800"/>
      <c r="R87" s="801"/>
      <c r="S87" s="801"/>
      <c r="T87" s="801"/>
      <c r="U87" s="802"/>
      <c r="V87" s="788"/>
      <c r="W87" s="803"/>
      <c r="X87" s="804"/>
      <c r="Y87" s="763">
        <f t="shared" si="8"/>
        <v>0</v>
      </c>
      <c r="Z87" s="763">
        <f t="shared" si="9"/>
        <v>0</v>
      </c>
    </row>
    <row r="88" spans="1:26" x14ac:dyDescent="0.2">
      <c r="A88" s="901">
        <f t="shared" si="10"/>
        <v>32</v>
      </c>
      <c r="B88" s="859"/>
      <c r="C88" s="1370" t="str">
        <f t="shared" si="11"/>
        <v/>
      </c>
      <c r="D88" s="1368" t="str">
        <f>IF(B88&lt;&gt;"",$F$237,"")</f>
        <v/>
      </c>
      <c r="E88" s="1369" t="str">
        <f>IF(B88&lt;&gt;"",$F$238,"")</f>
        <v/>
      </c>
      <c r="F88" s="797"/>
      <c r="G88" s="798"/>
      <c r="H88" s="798"/>
      <c r="I88" s="799"/>
      <c r="J88" s="799"/>
      <c r="K88" s="799"/>
      <c r="L88" s="799"/>
      <c r="M88" s="787"/>
      <c r="N88" s="788"/>
      <c r="O88" s="789"/>
      <c r="P88" s="789"/>
      <c r="Q88" s="800"/>
      <c r="R88" s="801"/>
      <c r="S88" s="801"/>
      <c r="T88" s="801"/>
      <c r="U88" s="802"/>
      <c r="V88" s="788"/>
      <c r="W88" s="803"/>
      <c r="X88" s="804"/>
      <c r="Y88" s="763">
        <f t="shared" si="8"/>
        <v>0</v>
      </c>
      <c r="Z88" s="763">
        <f t="shared" si="9"/>
        <v>0</v>
      </c>
    </row>
    <row r="89" spans="1:26" x14ac:dyDescent="0.2">
      <c r="A89" s="901">
        <f t="shared" si="10"/>
        <v>33</v>
      </c>
      <c r="B89" s="859"/>
      <c r="C89" s="1370" t="str">
        <f t="shared" si="11"/>
        <v/>
      </c>
      <c r="D89" s="1368" t="str">
        <f>IF(B89&lt;&gt;"",$F$237,"")</f>
        <v/>
      </c>
      <c r="E89" s="1369" t="str">
        <f>IF(B89&lt;&gt;"",$F$238,"")</f>
        <v/>
      </c>
      <c r="F89" s="797"/>
      <c r="G89" s="798"/>
      <c r="H89" s="798"/>
      <c r="I89" s="799"/>
      <c r="J89" s="799"/>
      <c r="K89" s="799"/>
      <c r="L89" s="799"/>
      <c r="M89" s="787"/>
      <c r="N89" s="788"/>
      <c r="O89" s="789"/>
      <c r="P89" s="789"/>
      <c r="Q89" s="800"/>
      <c r="R89" s="801"/>
      <c r="S89" s="801"/>
      <c r="T89" s="801"/>
      <c r="U89" s="802"/>
      <c r="V89" s="788"/>
      <c r="W89" s="803"/>
      <c r="X89" s="804"/>
      <c r="Y89" s="763">
        <f t="shared" si="8"/>
        <v>0</v>
      </c>
      <c r="Z89" s="763">
        <f t="shared" si="9"/>
        <v>0</v>
      </c>
    </row>
    <row r="90" spans="1:26" x14ac:dyDescent="0.2">
      <c r="A90" s="901">
        <f t="shared" si="10"/>
        <v>34</v>
      </c>
      <c r="B90" s="859"/>
      <c r="C90" s="1370" t="str">
        <f t="shared" si="11"/>
        <v/>
      </c>
      <c r="D90" s="1368" t="str">
        <f>IF(B90&lt;&gt;"",$F$237,"")</f>
        <v/>
      </c>
      <c r="E90" s="1369" t="str">
        <f>IF(B90&lt;&gt;"",$F$238,"")</f>
        <v/>
      </c>
      <c r="F90" s="797"/>
      <c r="G90" s="798"/>
      <c r="H90" s="798"/>
      <c r="I90" s="799"/>
      <c r="J90" s="799"/>
      <c r="K90" s="799"/>
      <c r="L90" s="799"/>
      <c r="M90" s="787"/>
      <c r="N90" s="788"/>
      <c r="O90" s="789"/>
      <c r="P90" s="789"/>
      <c r="Q90" s="800"/>
      <c r="R90" s="801"/>
      <c r="S90" s="801"/>
      <c r="T90" s="801"/>
      <c r="U90" s="802"/>
      <c r="V90" s="788"/>
      <c r="W90" s="803"/>
      <c r="X90" s="804"/>
      <c r="Y90" s="763">
        <f t="shared" si="8"/>
        <v>0</v>
      </c>
      <c r="Z90" s="763">
        <f t="shared" si="9"/>
        <v>0</v>
      </c>
    </row>
    <row r="91" spans="1:26" x14ac:dyDescent="0.2">
      <c r="A91" s="901">
        <f t="shared" si="10"/>
        <v>35</v>
      </c>
      <c r="B91" s="859"/>
      <c r="C91" s="1370" t="str">
        <f t="shared" si="11"/>
        <v/>
      </c>
      <c r="D91" s="1368" t="str">
        <f>IF(B91&lt;&gt;"",$F$237,"")</f>
        <v/>
      </c>
      <c r="E91" s="1369" t="str">
        <f>IF(B91&lt;&gt;"",$F$238,"")</f>
        <v/>
      </c>
      <c r="F91" s="797"/>
      <c r="G91" s="798"/>
      <c r="H91" s="798"/>
      <c r="I91" s="799"/>
      <c r="J91" s="799"/>
      <c r="K91" s="799"/>
      <c r="L91" s="799"/>
      <c r="M91" s="787"/>
      <c r="N91" s="788"/>
      <c r="O91" s="789"/>
      <c r="P91" s="789"/>
      <c r="Q91" s="800"/>
      <c r="R91" s="801"/>
      <c r="S91" s="801"/>
      <c r="T91" s="801"/>
      <c r="U91" s="802"/>
      <c r="V91" s="788"/>
      <c r="W91" s="803"/>
      <c r="X91" s="804"/>
      <c r="Y91" s="763">
        <f t="shared" si="8"/>
        <v>0</v>
      </c>
      <c r="Z91" s="763">
        <f t="shared" si="9"/>
        <v>0</v>
      </c>
    </row>
    <row r="92" spans="1:26" x14ac:dyDescent="0.2">
      <c r="A92" s="901">
        <f t="shared" si="10"/>
        <v>36</v>
      </c>
      <c r="B92" s="859"/>
      <c r="C92" s="1370" t="str">
        <f t="shared" si="11"/>
        <v/>
      </c>
      <c r="D92" s="1368" t="str">
        <f>IF(B92&lt;&gt;"",$F$237,"")</f>
        <v/>
      </c>
      <c r="E92" s="1369" t="str">
        <f>IF(B92&lt;&gt;"",$F$238,"")</f>
        <v/>
      </c>
      <c r="F92" s="797"/>
      <c r="G92" s="798"/>
      <c r="H92" s="798"/>
      <c r="I92" s="799"/>
      <c r="J92" s="799"/>
      <c r="K92" s="799"/>
      <c r="L92" s="799"/>
      <c r="M92" s="787"/>
      <c r="N92" s="788"/>
      <c r="O92" s="789"/>
      <c r="P92" s="789"/>
      <c r="Q92" s="800"/>
      <c r="R92" s="801"/>
      <c r="S92" s="801"/>
      <c r="T92" s="801"/>
      <c r="U92" s="802"/>
      <c r="V92" s="788"/>
      <c r="W92" s="803"/>
      <c r="X92" s="804"/>
      <c r="Y92" s="763">
        <f t="shared" si="8"/>
        <v>0</v>
      </c>
      <c r="Z92" s="763">
        <f t="shared" si="9"/>
        <v>0</v>
      </c>
    </row>
    <row r="93" spans="1:26" ht="10.5" thickBot="1" x14ac:dyDescent="0.25">
      <c r="A93" s="902">
        <f t="shared" si="10"/>
        <v>37</v>
      </c>
      <c r="B93" s="862"/>
      <c r="C93" s="1370" t="str">
        <f t="shared" si="11"/>
        <v/>
      </c>
      <c r="D93" s="1368" t="str">
        <f>IF(B93&lt;&gt;"",$F$237,"")</f>
        <v/>
      </c>
      <c r="E93" s="1369" t="str">
        <f>IF(B93&lt;&gt;"",$F$238,"")</f>
        <v/>
      </c>
      <c r="F93" s="863"/>
      <c r="G93" s="864"/>
      <c r="H93" s="864"/>
      <c r="I93" s="865"/>
      <c r="J93" s="865"/>
      <c r="K93" s="865"/>
      <c r="L93" s="865"/>
      <c r="M93" s="787"/>
      <c r="N93" s="866"/>
      <c r="O93" s="867"/>
      <c r="P93" s="867"/>
      <c r="Q93" s="868"/>
      <c r="R93" s="869"/>
      <c r="S93" s="869"/>
      <c r="T93" s="869"/>
      <c r="U93" s="870"/>
      <c r="V93" s="866"/>
      <c r="W93" s="866"/>
      <c r="X93" s="871"/>
      <c r="Y93" s="763">
        <f t="shared" si="8"/>
        <v>0</v>
      </c>
      <c r="Z93" s="763">
        <f t="shared" si="9"/>
        <v>0</v>
      </c>
    </row>
    <row r="94" spans="1:26" ht="10.5" thickBot="1" x14ac:dyDescent="0.25">
      <c r="A94" s="815"/>
      <c r="B94" s="816" t="s">
        <v>65</v>
      </c>
      <c r="C94" s="817"/>
      <c r="D94" s="817"/>
      <c r="E94" s="817"/>
      <c r="F94" s="872"/>
      <c r="G94" s="819">
        <f t="shared" ref="G94:M94" si="12">SUM(G57:G93)</f>
        <v>0</v>
      </c>
      <c r="H94" s="819">
        <f t="shared" si="12"/>
        <v>0</v>
      </c>
      <c r="I94" s="819">
        <f t="shared" si="12"/>
        <v>0</v>
      </c>
      <c r="J94" s="819">
        <f t="shared" si="12"/>
        <v>0</v>
      </c>
      <c r="K94" s="819">
        <f t="shared" si="12"/>
        <v>0</v>
      </c>
      <c r="L94" s="819">
        <f t="shared" si="12"/>
        <v>0</v>
      </c>
      <c r="M94" s="819">
        <f t="shared" si="12"/>
        <v>0</v>
      </c>
      <c r="N94" s="820"/>
      <c r="O94" s="821"/>
      <c r="P94" s="821"/>
      <c r="Q94" s="821"/>
      <c r="R94" s="821"/>
      <c r="S94" s="821"/>
      <c r="T94" s="821"/>
      <c r="U94" s="822"/>
      <c r="V94" s="823">
        <f>SUM(V57:V93)</f>
        <v>0</v>
      </c>
      <c r="W94" s="823">
        <f>SUM(W57:W93)</f>
        <v>0</v>
      </c>
      <c r="X94" s="824">
        <f>SUM(X57:X93)</f>
        <v>0</v>
      </c>
      <c r="Y94" s="763">
        <f>SUM(Y57:Y93)</f>
        <v>2</v>
      </c>
      <c r="Z94" s="763">
        <f>SUM(Z57:Z93)</f>
        <v>0</v>
      </c>
    </row>
    <row r="95" spans="1:26" x14ac:dyDescent="0.2">
      <c r="A95" s="815"/>
      <c r="B95" s="825"/>
      <c r="C95" s="1293"/>
      <c r="D95" s="825"/>
      <c r="E95" s="1292"/>
      <c r="F95" s="873" t="str">
        <f>S203</f>
        <v>T13</v>
      </c>
      <c r="G95" s="827">
        <f t="shared" ref="G95:M95" si="13">SUMIF($N$57:$N$93,$F$95,G$57:G$93)</f>
        <v>0</v>
      </c>
      <c r="H95" s="827">
        <f t="shared" si="13"/>
        <v>0</v>
      </c>
      <c r="I95" s="827">
        <f t="shared" si="13"/>
        <v>0</v>
      </c>
      <c r="J95" s="827">
        <f t="shared" si="13"/>
        <v>0</v>
      </c>
      <c r="K95" s="827">
        <f t="shared" si="13"/>
        <v>0</v>
      </c>
      <c r="L95" s="827">
        <f t="shared" si="13"/>
        <v>0</v>
      </c>
      <c r="M95" s="827">
        <f t="shared" si="13"/>
        <v>0</v>
      </c>
      <c r="N95" s="828"/>
      <c r="O95" s="829"/>
      <c r="P95" s="829"/>
      <c r="Q95" s="830"/>
      <c r="R95" s="830"/>
      <c r="S95" s="830"/>
      <c r="T95" s="830"/>
      <c r="U95" s="830"/>
      <c r="V95" s="831">
        <f>SUMIF($N$57:$N$93,$F$95,V$57:V$93)</f>
        <v>0</v>
      </c>
      <c r="W95" s="831">
        <f>SUMIF($N$57:$N$93,$F$95,W$57:W$93)</f>
        <v>0</v>
      </c>
      <c r="X95" s="832">
        <f>SUMIF($N$57:$N$93,$F$95,X$57:X$93)</f>
        <v>0</v>
      </c>
    </row>
    <row r="96" spans="1:26" x14ac:dyDescent="0.2">
      <c r="A96" s="815"/>
      <c r="B96" s="825"/>
      <c r="C96" s="1293"/>
      <c r="D96" s="825"/>
      <c r="E96" s="1292"/>
      <c r="F96" s="874" t="str">
        <f>S204</f>
        <v>T24</v>
      </c>
      <c r="G96" s="875">
        <f t="shared" ref="G96:M96" si="14">SUMIF($N$57:$N$93,$F$96,G$57:G$93)</f>
        <v>0</v>
      </c>
      <c r="H96" s="875">
        <f t="shared" si="14"/>
        <v>0</v>
      </c>
      <c r="I96" s="875">
        <f t="shared" si="14"/>
        <v>0</v>
      </c>
      <c r="J96" s="875">
        <f t="shared" si="14"/>
        <v>0</v>
      </c>
      <c r="K96" s="875">
        <f t="shared" si="14"/>
        <v>0</v>
      </c>
      <c r="L96" s="875">
        <f t="shared" si="14"/>
        <v>0</v>
      </c>
      <c r="M96" s="875">
        <f t="shared" si="14"/>
        <v>0</v>
      </c>
      <c r="N96" s="876"/>
      <c r="O96" s="877"/>
      <c r="P96" s="877"/>
      <c r="Q96" s="878"/>
      <c r="R96" s="878"/>
      <c r="S96" s="878"/>
      <c r="T96" s="878"/>
      <c r="U96" s="878"/>
      <c r="V96" s="879">
        <f>SUMIF($N$57:$N$93,$F$96,V$57:V$93)</f>
        <v>0</v>
      </c>
      <c r="W96" s="879">
        <f>SUMIF($N$57:$N$93,$F$96,W$57:W$93)</f>
        <v>0</v>
      </c>
      <c r="X96" s="839">
        <f>SUMIF($N$57:$N$93,$F$96,X$57:X$93)</f>
        <v>0</v>
      </c>
    </row>
    <row r="97" spans="1:26" x14ac:dyDescent="0.2">
      <c r="A97" s="815"/>
      <c r="B97" s="825"/>
      <c r="C97" s="1293"/>
      <c r="D97" s="825"/>
      <c r="E97" s="1292"/>
      <c r="F97" s="874">
        <f>S205</f>
        <v>0</v>
      </c>
      <c r="G97" s="875">
        <f t="shared" ref="G97:M97" si="15">SUMIF($N$57:$N$93,$F$97,G$57:G$93)</f>
        <v>0</v>
      </c>
      <c r="H97" s="875">
        <f t="shared" si="15"/>
        <v>0</v>
      </c>
      <c r="I97" s="875">
        <f t="shared" si="15"/>
        <v>0</v>
      </c>
      <c r="J97" s="875">
        <f t="shared" si="15"/>
        <v>0</v>
      </c>
      <c r="K97" s="875">
        <f t="shared" si="15"/>
        <v>0</v>
      </c>
      <c r="L97" s="875">
        <f t="shared" si="15"/>
        <v>0</v>
      </c>
      <c r="M97" s="875">
        <f t="shared" si="15"/>
        <v>0</v>
      </c>
      <c r="N97" s="876"/>
      <c r="O97" s="877"/>
      <c r="P97" s="877"/>
      <c r="Q97" s="878"/>
      <c r="R97" s="878"/>
      <c r="S97" s="878"/>
      <c r="T97" s="878"/>
      <c r="U97" s="878"/>
      <c r="V97" s="879">
        <f>SUMIF($N$57:$N$93,$F$97,V$57:V$93)</f>
        <v>0</v>
      </c>
      <c r="W97" s="879">
        <f>SUMIF($N$57:$N$93,$F$97,W$57:W$93)</f>
        <v>0</v>
      </c>
      <c r="X97" s="839">
        <f>SUMIF($N$57:$N$93,$F$97,X$57:X$93)</f>
        <v>0</v>
      </c>
    </row>
    <row r="98" spans="1:26" ht="10.5" thickBot="1" x14ac:dyDescent="0.25">
      <c r="A98" s="815"/>
      <c r="B98" s="825"/>
      <c r="C98" s="1293"/>
      <c r="D98" s="825"/>
      <c r="E98" s="1292"/>
      <c r="F98" s="880">
        <f>S206</f>
        <v>0</v>
      </c>
      <c r="G98" s="841">
        <f t="shared" ref="G98:M98" si="16">SUMIF($N$57:$N$93,$F$98,G$57:G$93)</f>
        <v>0</v>
      </c>
      <c r="H98" s="841">
        <f t="shared" si="16"/>
        <v>0</v>
      </c>
      <c r="I98" s="841">
        <f t="shared" si="16"/>
        <v>0</v>
      </c>
      <c r="J98" s="841">
        <f t="shared" si="16"/>
        <v>0</v>
      </c>
      <c r="K98" s="841">
        <f t="shared" si="16"/>
        <v>0</v>
      </c>
      <c r="L98" s="841">
        <f t="shared" si="16"/>
        <v>0</v>
      </c>
      <c r="M98" s="841">
        <f t="shared" si="16"/>
        <v>0</v>
      </c>
      <c r="N98" s="842"/>
      <c r="O98" s="843"/>
      <c r="P98" s="843"/>
      <c r="Q98" s="844"/>
      <c r="R98" s="844"/>
      <c r="S98" s="844"/>
      <c r="T98" s="844"/>
      <c r="U98" s="844"/>
      <c r="V98" s="845">
        <f>SUMIF($N$57:$N$93,$F$98,V$57:V$93)</f>
        <v>0</v>
      </c>
      <c r="W98" s="845">
        <f>SUMIF($N$57:$N$93,$F$98,W$57:W$93)</f>
        <v>0</v>
      </c>
      <c r="X98" s="846">
        <f>SUMIF($N$57:$N$93,$F$98,X$57:X$93)</f>
        <v>0</v>
      </c>
    </row>
    <row r="99" spans="1:26" ht="12" x14ac:dyDescent="0.2">
      <c r="A99" s="815"/>
      <c r="B99" s="756" t="str">
        <f>IF(G94&lt;&gt;SUM(H94:M94),"NEISPRAVAN UNOS, POSTOJI RAZLIKA","")</f>
        <v/>
      </c>
      <c r="C99" s="756"/>
      <c r="D99" s="756"/>
      <c r="E99" s="756"/>
      <c r="F99" s="756"/>
      <c r="G99" s="756"/>
      <c r="H99" s="756"/>
      <c r="I99" s="756"/>
      <c r="J99" s="756"/>
      <c r="K99" s="756"/>
      <c r="L99" s="756"/>
      <c r="M99" s="1352" t="str">
        <f>IF(Y94&gt;0,"Nepotpun unos podataka pod rednim brojem "&amp;MATCH(MAX(Y57:Y93),Y57:Y93,0),"")</f>
        <v>Nepotpun unos podataka pod rednim brojem 1</v>
      </c>
      <c r="N99" s="1352"/>
      <c r="O99" s="1352"/>
      <c r="P99" s="1352"/>
      <c r="Q99" s="1352"/>
      <c r="R99" s="1352"/>
      <c r="S99" s="1352"/>
      <c r="T99" s="1352"/>
      <c r="U99" s="1352"/>
      <c r="V99" s="1298"/>
      <c r="W99" s="1298"/>
      <c r="X99" s="1298"/>
    </row>
    <row r="100" spans="1:26" x14ac:dyDescent="0.2">
      <c r="A100" s="815"/>
      <c r="B100" s="825"/>
      <c r="C100" s="1293"/>
      <c r="D100" s="825"/>
      <c r="E100" s="1292"/>
      <c r="F100" s="1298"/>
      <c r="H100" s="1299"/>
      <c r="I100" s="1299"/>
      <c r="J100" s="1299"/>
      <c r="K100" s="1299"/>
      <c r="L100" s="1299"/>
      <c r="M100" s="1353" t="str">
        <f>IF(Z94&gt;0,"Neispravni iznosi u € ili zbroj pod rednim brojem "&amp;MATCH(MAX(Z57:Z93),Z57:Z93,0),"")</f>
        <v/>
      </c>
      <c r="N100" s="1353"/>
      <c r="O100" s="1353"/>
      <c r="P100" s="1353"/>
      <c r="Q100" s="1353"/>
      <c r="R100" s="1353"/>
      <c r="S100" s="1353"/>
      <c r="T100" s="1353"/>
      <c r="U100" s="1353"/>
      <c r="V100" s="1298"/>
      <c r="W100" s="1298"/>
      <c r="X100" s="1298"/>
    </row>
    <row r="101" spans="1:26" ht="9.75" customHeight="1" thickBot="1" x14ac:dyDescent="0.25">
      <c r="B101" s="1300" t="s">
        <v>209</v>
      </c>
      <c r="C101" s="1300"/>
      <c r="D101" s="1300"/>
      <c r="E101" s="1300"/>
      <c r="F101" s="1295" t="s">
        <v>216</v>
      </c>
      <c r="G101" s="1355" t="str">
        <f>S203</f>
        <v>T13</v>
      </c>
      <c r="H101" s="755" t="s">
        <v>215</v>
      </c>
      <c r="I101" s="754">
        <f>G102</f>
        <v>28</v>
      </c>
      <c r="J101" s="754">
        <f>G129</f>
        <v>29</v>
      </c>
      <c r="K101" s="852"/>
      <c r="V101" s="763" t="str">
        <f>U53</f>
        <v>verzija 7/2026</v>
      </c>
    </row>
    <row r="102" spans="1:26" ht="10.5" thickBot="1" x14ac:dyDescent="0.25">
      <c r="A102" s="882" t="s">
        <v>74</v>
      </c>
      <c r="B102" s="1073" t="s">
        <v>251</v>
      </c>
      <c r="C102" s="766"/>
      <c r="D102" s="766"/>
      <c r="E102" s="766"/>
      <c r="F102" s="767"/>
      <c r="G102" s="768">
        <f>T202</f>
        <v>28</v>
      </c>
      <c r="H102" s="769"/>
      <c r="I102" s="769"/>
      <c r="J102" s="769"/>
      <c r="K102" s="769"/>
      <c r="L102" s="769"/>
      <c r="M102" s="769"/>
      <c r="N102" s="769"/>
      <c r="O102" s="769"/>
      <c r="P102" s="769"/>
      <c r="Q102" s="769"/>
      <c r="R102" s="769"/>
      <c r="S102" s="769"/>
      <c r="T102" s="769"/>
      <c r="U102" s="769"/>
      <c r="V102" s="769"/>
      <c r="W102" s="769"/>
      <c r="X102" s="770"/>
    </row>
    <row r="103" spans="1:26" ht="24" customHeight="1" thickBot="1" x14ac:dyDescent="0.25">
      <c r="A103" s="888"/>
      <c r="B103" s="771" t="str">
        <f>B56</f>
        <v>DATUM</v>
      </c>
      <c r="C103" s="1377" t="str">
        <f>C56</f>
        <v>Broj računa FISKALNOG</v>
      </c>
      <c r="D103" s="1377"/>
      <c r="E103" s="1377"/>
      <c r="F103" s="775" t="str">
        <f>F56</f>
        <v>Broj ugovora</v>
      </c>
      <c r="G103" s="775" t="str">
        <f>G56</f>
        <v>PRODAJNA CIJENA</v>
      </c>
      <c r="H103" s="775" t="s">
        <v>147</v>
      </c>
      <c r="I103" s="775" t="s">
        <v>204</v>
      </c>
      <c r="J103" s="775" t="s">
        <v>205</v>
      </c>
      <c r="K103" s="775" t="s">
        <v>302</v>
      </c>
      <c r="L103" s="775" t="s">
        <v>81</v>
      </c>
      <c r="M103" s="775" t="str">
        <f>M56</f>
        <v>Vrsta Kartice</v>
      </c>
      <c r="N103" s="776" t="str">
        <f>N56</f>
        <v>Team</v>
      </c>
      <c r="O103" s="776" t="str">
        <f>O56</f>
        <v>Vozač</v>
      </c>
      <c r="P103" s="776" t="str">
        <f>P56</f>
        <v>Prodao</v>
      </c>
      <c r="Q103" s="1378" t="s">
        <v>82</v>
      </c>
      <c r="R103" s="1378"/>
      <c r="S103" s="1378"/>
      <c r="T103" s="1378"/>
      <c r="U103" s="1378"/>
      <c r="V103" s="780" t="str">
        <f>V56</f>
        <v>LMS</v>
      </c>
      <c r="W103" s="780" t="str">
        <f>W56</f>
        <v>TO</v>
      </c>
      <c r="X103" s="781" t="str">
        <f>X56</f>
        <v>IP</v>
      </c>
    </row>
    <row r="104" spans="1:26" x14ac:dyDescent="0.2">
      <c r="A104" s="889">
        <v>1</v>
      </c>
      <c r="B104" s="783">
        <v>46210</v>
      </c>
      <c r="C104" s="784">
        <v>142</v>
      </c>
      <c r="D104" s="1372" t="str">
        <f>IF(B104&lt;&gt;"",$F$239,"")</f>
        <v>/T13</v>
      </c>
      <c r="E104" s="1373" t="str">
        <f>IF(B104&lt;&gt;"",$F$240,"")</f>
        <v>/6</v>
      </c>
      <c r="F104" s="785"/>
      <c r="G104" s="786"/>
      <c r="H104" s="786"/>
      <c r="I104" s="787"/>
      <c r="J104" s="787"/>
      <c r="K104" s="787"/>
      <c r="L104" s="787"/>
      <c r="M104" s="787"/>
      <c r="N104" s="793"/>
      <c r="O104" s="855"/>
      <c r="P104" s="855"/>
      <c r="Q104" s="856"/>
      <c r="R104" s="857"/>
      <c r="S104" s="857"/>
      <c r="T104" s="857"/>
      <c r="U104" s="858"/>
      <c r="V104" s="793"/>
      <c r="W104" s="794"/>
      <c r="X104" s="795"/>
      <c r="Y104" s="763">
        <f t="shared" ref="Y104:Y121" si="17">IF(B104="",0,IF(AND(C104&lt;&gt;"",F104&lt;&gt;"",G104&lt;&gt;"",N104&lt;&gt;"",O104&lt;&gt;"",P104&lt;&gt;"",Q104&lt;&gt;""),0,1))</f>
        <v>1</v>
      </c>
      <c r="Z104" s="763">
        <f t="shared" ref="Z104:Z121" si="18">IF(G104=SUM(H104:L104),0,1)</f>
        <v>0</v>
      </c>
    </row>
    <row r="105" spans="1:26" x14ac:dyDescent="0.2">
      <c r="A105" s="782">
        <f>A104+1</f>
        <v>2</v>
      </c>
      <c r="B105" s="796">
        <v>46211</v>
      </c>
      <c r="C105" s="1374">
        <f>IF(B105&lt;&gt;"",C104+1,"")</f>
        <v>143</v>
      </c>
      <c r="D105" s="1372" t="str">
        <f>IF(B105&lt;&gt;"",$F$239,"")</f>
        <v>/T13</v>
      </c>
      <c r="E105" s="1373" t="str">
        <f>IF(B105&lt;&gt;"",$F$240,"")</f>
        <v>/6</v>
      </c>
      <c r="F105" s="797"/>
      <c r="G105" s="798"/>
      <c r="H105" s="798"/>
      <c r="I105" s="799"/>
      <c r="J105" s="799"/>
      <c r="K105" s="799"/>
      <c r="L105" s="799"/>
      <c r="M105" s="787"/>
      <c r="N105" s="788"/>
      <c r="O105" s="789"/>
      <c r="P105" s="789"/>
      <c r="Q105" s="800"/>
      <c r="R105" s="801"/>
      <c r="S105" s="801"/>
      <c r="T105" s="801"/>
      <c r="U105" s="802"/>
      <c r="V105" s="788"/>
      <c r="W105" s="803"/>
      <c r="X105" s="804"/>
      <c r="Y105" s="763">
        <f t="shared" si="17"/>
        <v>1</v>
      </c>
      <c r="Z105" s="763">
        <f t="shared" si="18"/>
        <v>0</v>
      </c>
    </row>
    <row r="106" spans="1:26" x14ac:dyDescent="0.2">
      <c r="A106" s="782">
        <f t="shared" ref="A106:A115" si="19">A105+1</f>
        <v>3</v>
      </c>
      <c r="B106" s="796"/>
      <c r="C106" s="1374" t="str">
        <f t="shared" ref="C106:C121" si="20">IF(B106&lt;&gt;"",C105+1,"")</f>
        <v/>
      </c>
      <c r="D106" s="1372" t="str">
        <f>IF(B106&lt;&gt;"",$F$239,"")</f>
        <v/>
      </c>
      <c r="E106" s="1373" t="str">
        <f>IF(B106&lt;&gt;"",$F$240,"")</f>
        <v/>
      </c>
      <c r="F106" s="797"/>
      <c r="G106" s="798"/>
      <c r="H106" s="798"/>
      <c r="I106" s="805"/>
      <c r="J106" s="805"/>
      <c r="K106" s="805"/>
      <c r="L106" s="805"/>
      <c r="M106" s="787"/>
      <c r="N106" s="788"/>
      <c r="O106" s="789"/>
      <c r="P106" s="789"/>
      <c r="Q106" s="800"/>
      <c r="R106" s="801"/>
      <c r="S106" s="801"/>
      <c r="T106" s="801"/>
      <c r="U106" s="802"/>
      <c r="V106" s="788"/>
      <c r="W106" s="803"/>
      <c r="X106" s="804"/>
      <c r="Y106" s="763">
        <f t="shared" si="17"/>
        <v>0</v>
      </c>
      <c r="Z106" s="763">
        <f t="shared" si="18"/>
        <v>0</v>
      </c>
    </row>
    <row r="107" spans="1:26" x14ac:dyDescent="0.2">
      <c r="A107" s="782">
        <f t="shared" si="19"/>
        <v>4</v>
      </c>
      <c r="B107" s="796"/>
      <c r="C107" s="1374" t="str">
        <f t="shared" si="20"/>
        <v/>
      </c>
      <c r="D107" s="1372" t="str">
        <f>IF(B107&lt;&gt;"",$F$239,"")</f>
        <v/>
      </c>
      <c r="E107" s="1373" t="str">
        <f>IF(B107&lt;&gt;"",$F$240,"")</f>
        <v/>
      </c>
      <c r="F107" s="797"/>
      <c r="G107" s="798"/>
      <c r="H107" s="798"/>
      <c r="I107" s="805"/>
      <c r="J107" s="805"/>
      <c r="K107" s="805"/>
      <c r="L107" s="805"/>
      <c r="M107" s="787"/>
      <c r="N107" s="788"/>
      <c r="O107" s="789"/>
      <c r="P107" s="789"/>
      <c r="Q107" s="800"/>
      <c r="R107" s="801"/>
      <c r="S107" s="801"/>
      <c r="T107" s="801"/>
      <c r="U107" s="802"/>
      <c r="V107" s="788"/>
      <c r="W107" s="803"/>
      <c r="X107" s="804"/>
      <c r="Y107" s="763">
        <f t="shared" si="17"/>
        <v>0</v>
      </c>
      <c r="Z107" s="763">
        <f t="shared" si="18"/>
        <v>0</v>
      </c>
    </row>
    <row r="108" spans="1:26" x14ac:dyDescent="0.2">
      <c r="A108" s="782">
        <f t="shared" si="19"/>
        <v>5</v>
      </c>
      <c r="B108" s="796"/>
      <c r="C108" s="1374" t="str">
        <f t="shared" si="20"/>
        <v/>
      </c>
      <c r="D108" s="1372" t="str">
        <f>IF(B108&lt;&gt;"",$F$239,"")</f>
        <v/>
      </c>
      <c r="E108" s="1373" t="str">
        <f>IF(B108&lt;&gt;"",$F$240,"")</f>
        <v/>
      </c>
      <c r="F108" s="797"/>
      <c r="G108" s="798"/>
      <c r="H108" s="798"/>
      <c r="I108" s="799"/>
      <c r="J108" s="799"/>
      <c r="K108" s="799"/>
      <c r="L108" s="799"/>
      <c r="M108" s="787"/>
      <c r="N108" s="788"/>
      <c r="O108" s="789"/>
      <c r="P108" s="789"/>
      <c r="Q108" s="800"/>
      <c r="R108" s="801"/>
      <c r="S108" s="801"/>
      <c r="T108" s="801"/>
      <c r="U108" s="802"/>
      <c r="V108" s="788"/>
      <c r="W108" s="803"/>
      <c r="X108" s="804"/>
      <c r="Y108" s="763">
        <f t="shared" si="17"/>
        <v>0</v>
      </c>
      <c r="Z108" s="763">
        <f t="shared" si="18"/>
        <v>0</v>
      </c>
    </row>
    <row r="109" spans="1:26" x14ac:dyDescent="0.2">
      <c r="A109" s="782">
        <f t="shared" si="19"/>
        <v>6</v>
      </c>
      <c r="B109" s="796"/>
      <c r="C109" s="1374" t="str">
        <f t="shared" si="20"/>
        <v/>
      </c>
      <c r="D109" s="1372" t="str">
        <f>IF(B109&lt;&gt;"",$F$239,"")</f>
        <v/>
      </c>
      <c r="E109" s="1373" t="str">
        <f>IF(B109&lt;&gt;"",$F$240,"")</f>
        <v/>
      </c>
      <c r="F109" s="797"/>
      <c r="G109" s="798"/>
      <c r="H109" s="798"/>
      <c r="I109" s="799"/>
      <c r="J109" s="799"/>
      <c r="K109" s="799"/>
      <c r="L109" s="799"/>
      <c r="M109" s="787"/>
      <c r="N109" s="788"/>
      <c r="O109" s="789"/>
      <c r="P109" s="789"/>
      <c r="Q109" s="800"/>
      <c r="R109" s="801"/>
      <c r="S109" s="801"/>
      <c r="T109" s="801"/>
      <c r="U109" s="802"/>
      <c r="V109" s="788"/>
      <c r="W109" s="803"/>
      <c r="X109" s="804"/>
      <c r="Y109" s="763">
        <f t="shared" si="17"/>
        <v>0</v>
      </c>
      <c r="Z109" s="763">
        <f t="shared" si="18"/>
        <v>0</v>
      </c>
    </row>
    <row r="110" spans="1:26" x14ac:dyDescent="0.2">
      <c r="A110" s="782">
        <f t="shared" si="19"/>
        <v>7</v>
      </c>
      <c r="B110" s="796"/>
      <c r="C110" s="1374" t="str">
        <f t="shared" si="20"/>
        <v/>
      </c>
      <c r="D110" s="1372" t="str">
        <f>IF(B110&lt;&gt;"",$F$239,"")</f>
        <v/>
      </c>
      <c r="E110" s="1373" t="str">
        <f>IF(B110&lt;&gt;"",$F$240,"")</f>
        <v/>
      </c>
      <c r="F110" s="797"/>
      <c r="G110" s="798"/>
      <c r="H110" s="798"/>
      <c r="I110" s="799"/>
      <c r="J110" s="799"/>
      <c r="K110" s="799"/>
      <c r="L110" s="799"/>
      <c r="M110" s="787"/>
      <c r="N110" s="788"/>
      <c r="O110" s="789"/>
      <c r="P110" s="789"/>
      <c r="Q110" s="800"/>
      <c r="R110" s="801"/>
      <c r="S110" s="801"/>
      <c r="T110" s="801"/>
      <c r="U110" s="802"/>
      <c r="V110" s="788"/>
      <c r="W110" s="803"/>
      <c r="X110" s="804"/>
      <c r="Y110" s="763">
        <f t="shared" si="17"/>
        <v>0</v>
      </c>
      <c r="Z110" s="763">
        <f t="shared" si="18"/>
        <v>0</v>
      </c>
    </row>
    <row r="111" spans="1:26" x14ac:dyDescent="0.2">
      <c r="A111" s="782">
        <f t="shared" si="19"/>
        <v>8</v>
      </c>
      <c r="B111" s="796"/>
      <c r="C111" s="1374" t="str">
        <f t="shared" si="20"/>
        <v/>
      </c>
      <c r="D111" s="1372" t="str">
        <f>IF(B111&lt;&gt;"",$F$239,"")</f>
        <v/>
      </c>
      <c r="E111" s="1373" t="str">
        <f>IF(B111&lt;&gt;"",$F$240,"")</f>
        <v/>
      </c>
      <c r="F111" s="797"/>
      <c r="G111" s="798"/>
      <c r="H111" s="798"/>
      <c r="I111" s="799"/>
      <c r="J111" s="799"/>
      <c r="K111" s="799"/>
      <c r="L111" s="799"/>
      <c r="M111" s="787"/>
      <c r="N111" s="788"/>
      <c r="O111" s="789"/>
      <c r="P111" s="789"/>
      <c r="Q111" s="800"/>
      <c r="R111" s="801"/>
      <c r="S111" s="801"/>
      <c r="T111" s="801"/>
      <c r="U111" s="802"/>
      <c r="V111" s="788"/>
      <c r="W111" s="803"/>
      <c r="X111" s="804"/>
      <c r="Y111" s="763">
        <f t="shared" si="17"/>
        <v>0</v>
      </c>
      <c r="Z111" s="763">
        <f t="shared" si="18"/>
        <v>0</v>
      </c>
    </row>
    <row r="112" spans="1:26" x14ac:dyDescent="0.2">
      <c r="A112" s="782">
        <f t="shared" si="19"/>
        <v>9</v>
      </c>
      <c r="B112" s="796"/>
      <c r="C112" s="1374" t="str">
        <f t="shared" si="20"/>
        <v/>
      </c>
      <c r="D112" s="1372" t="str">
        <f>IF(B112&lt;&gt;"",$F$239,"")</f>
        <v/>
      </c>
      <c r="E112" s="1373" t="str">
        <f>IF(B112&lt;&gt;"",$F$240,"")</f>
        <v/>
      </c>
      <c r="F112" s="797"/>
      <c r="G112" s="798"/>
      <c r="H112" s="798"/>
      <c r="I112" s="799"/>
      <c r="J112" s="799"/>
      <c r="K112" s="799"/>
      <c r="L112" s="799"/>
      <c r="M112" s="787"/>
      <c r="N112" s="788"/>
      <c r="O112" s="789"/>
      <c r="P112" s="789"/>
      <c r="Q112" s="800"/>
      <c r="R112" s="801"/>
      <c r="S112" s="801"/>
      <c r="T112" s="801"/>
      <c r="U112" s="802"/>
      <c r="V112" s="788"/>
      <c r="W112" s="803"/>
      <c r="X112" s="804"/>
      <c r="Y112" s="763">
        <f t="shared" si="17"/>
        <v>0</v>
      </c>
      <c r="Z112" s="763">
        <f t="shared" si="18"/>
        <v>0</v>
      </c>
    </row>
    <row r="113" spans="1:26" x14ac:dyDescent="0.2">
      <c r="A113" s="782">
        <f t="shared" si="19"/>
        <v>10</v>
      </c>
      <c r="B113" s="796"/>
      <c r="C113" s="1374" t="str">
        <f t="shared" si="20"/>
        <v/>
      </c>
      <c r="D113" s="1372" t="str">
        <f>IF(B113&lt;&gt;"",$F$239,"")</f>
        <v/>
      </c>
      <c r="E113" s="1373" t="str">
        <f>IF(B113&lt;&gt;"",$F$240,"")</f>
        <v/>
      </c>
      <c r="F113" s="797"/>
      <c r="G113" s="798"/>
      <c r="H113" s="798"/>
      <c r="I113" s="799"/>
      <c r="J113" s="799"/>
      <c r="K113" s="799"/>
      <c r="L113" s="799"/>
      <c r="M113" s="787"/>
      <c r="N113" s="788"/>
      <c r="O113" s="789"/>
      <c r="P113" s="789"/>
      <c r="Q113" s="800"/>
      <c r="R113" s="801"/>
      <c r="S113" s="801"/>
      <c r="T113" s="801"/>
      <c r="U113" s="802"/>
      <c r="V113" s="788"/>
      <c r="W113" s="803"/>
      <c r="X113" s="804"/>
      <c r="Y113" s="763">
        <f t="shared" si="17"/>
        <v>0</v>
      </c>
      <c r="Z113" s="763">
        <f t="shared" si="18"/>
        <v>0</v>
      </c>
    </row>
    <row r="114" spans="1:26" x14ac:dyDescent="0.2">
      <c r="A114" s="782">
        <f t="shared" si="19"/>
        <v>11</v>
      </c>
      <c r="B114" s="796"/>
      <c r="C114" s="1374" t="str">
        <f t="shared" si="20"/>
        <v/>
      </c>
      <c r="D114" s="1372" t="str">
        <f>IF(B114&lt;&gt;"",$F$239,"")</f>
        <v/>
      </c>
      <c r="E114" s="1373" t="str">
        <f>IF(B114&lt;&gt;"",$F$240,"")</f>
        <v/>
      </c>
      <c r="F114" s="797"/>
      <c r="G114" s="798"/>
      <c r="H114" s="798"/>
      <c r="I114" s="799"/>
      <c r="J114" s="799"/>
      <c r="K114" s="799"/>
      <c r="L114" s="799"/>
      <c r="M114" s="787"/>
      <c r="N114" s="788"/>
      <c r="O114" s="789"/>
      <c r="P114" s="789"/>
      <c r="Q114" s="800"/>
      <c r="R114" s="801"/>
      <c r="S114" s="801"/>
      <c r="T114" s="801"/>
      <c r="U114" s="802"/>
      <c r="V114" s="788"/>
      <c r="W114" s="803"/>
      <c r="X114" s="804"/>
      <c r="Y114" s="763">
        <f t="shared" si="17"/>
        <v>0</v>
      </c>
      <c r="Z114" s="763">
        <f t="shared" si="18"/>
        <v>0</v>
      </c>
    </row>
    <row r="115" spans="1:26" x14ac:dyDescent="0.2">
      <c r="A115" s="782">
        <f t="shared" si="19"/>
        <v>12</v>
      </c>
      <c r="B115" s="890"/>
      <c r="C115" s="1374" t="str">
        <f t="shared" si="20"/>
        <v/>
      </c>
      <c r="D115" s="1372" t="str">
        <f>IF(B115&lt;&gt;"",$F$239,"")</f>
        <v/>
      </c>
      <c r="E115" s="1373" t="str">
        <f>IF(B115&lt;&gt;"",$F$240,"")</f>
        <v/>
      </c>
      <c r="F115" s="785"/>
      <c r="G115" s="786"/>
      <c r="H115" s="786"/>
      <c r="I115" s="787"/>
      <c r="J115" s="787"/>
      <c r="K115" s="787"/>
      <c r="L115" s="787"/>
      <c r="M115" s="787"/>
      <c r="N115" s="788"/>
      <c r="O115" s="789"/>
      <c r="P115" s="789"/>
      <c r="Q115" s="856"/>
      <c r="R115" s="857"/>
      <c r="S115" s="857"/>
      <c r="T115" s="857"/>
      <c r="U115" s="858"/>
      <c r="V115" s="793"/>
      <c r="W115" s="794"/>
      <c r="X115" s="804"/>
      <c r="Y115" s="763">
        <f t="shared" si="17"/>
        <v>0</v>
      </c>
      <c r="Z115" s="763">
        <f t="shared" si="18"/>
        <v>0</v>
      </c>
    </row>
    <row r="116" spans="1:26" x14ac:dyDescent="0.2">
      <c r="A116" s="782">
        <v>13</v>
      </c>
      <c r="B116" s="890"/>
      <c r="C116" s="1374" t="str">
        <f t="shared" si="20"/>
        <v/>
      </c>
      <c r="D116" s="1372" t="str">
        <f>IF(B116&lt;&gt;"",$F$239,"")</f>
        <v/>
      </c>
      <c r="E116" s="1373" t="str">
        <f>IF(B116&lt;&gt;"",$F$240,"")</f>
        <v/>
      </c>
      <c r="F116" s="785"/>
      <c r="G116" s="786"/>
      <c r="H116" s="786"/>
      <c r="I116" s="787"/>
      <c r="J116" s="787"/>
      <c r="K116" s="787"/>
      <c r="L116" s="787"/>
      <c r="M116" s="787"/>
      <c r="N116" s="788"/>
      <c r="O116" s="789"/>
      <c r="P116" s="789"/>
      <c r="Q116" s="800"/>
      <c r="R116" s="801"/>
      <c r="S116" s="801"/>
      <c r="T116" s="801"/>
      <c r="U116" s="802"/>
      <c r="V116" s="793"/>
      <c r="W116" s="794"/>
      <c r="X116" s="804"/>
      <c r="Y116" s="763">
        <f t="shared" si="17"/>
        <v>0</v>
      </c>
      <c r="Z116" s="763">
        <f t="shared" si="18"/>
        <v>0</v>
      </c>
    </row>
    <row r="117" spans="1:26" x14ac:dyDescent="0.2">
      <c r="A117" s="782">
        <v>14</v>
      </c>
      <c r="B117" s="890"/>
      <c r="C117" s="1374" t="str">
        <f t="shared" si="20"/>
        <v/>
      </c>
      <c r="D117" s="1372" t="str">
        <f>IF(B117&lt;&gt;"",$F$239,"")</f>
        <v/>
      </c>
      <c r="E117" s="1373" t="str">
        <f>IF(B117&lt;&gt;"",$F$240,"")</f>
        <v/>
      </c>
      <c r="F117" s="785"/>
      <c r="G117" s="786"/>
      <c r="H117" s="786"/>
      <c r="I117" s="787"/>
      <c r="J117" s="787"/>
      <c r="K117" s="787"/>
      <c r="L117" s="787"/>
      <c r="M117" s="787"/>
      <c r="N117" s="788"/>
      <c r="O117" s="789"/>
      <c r="P117" s="789"/>
      <c r="Q117" s="800"/>
      <c r="R117" s="801"/>
      <c r="S117" s="801"/>
      <c r="T117" s="801"/>
      <c r="U117" s="802"/>
      <c r="V117" s="793"/>
      <c r="W117" s="794"/>
      <c r="X117" s="804"/>
      <c r="Y117" s="763">
        <f t="shared" si="17"/>
        <v>0</v>
      </c>
      <c r="Z117" s="763">
        <f t="shared" si="18"/>
        <v>0</v>
      </c>
    </row>
    <row r="118" spans="1:26" x14ac:dyDescent="0.2">
      <c r="A118" s="782">
        <v>15</v>
      </c>
      <c r="B118" s="891"/>
      <c r="C118" s="1374" t="str">
        <f t="shared" si="20"/>
        <v/>
      </c>
      <c r="D118" s="1372" t="str">
        <f>IF(B118&lt;&gt;"",$F$239,"")</f>
        <v/>
      </c>
      <c r="E118" s="1373" t="str">
        <f>IF(B118&lt;&gt;"",$F$240,"")</f>
        <v/>
      </c>
      <c r="F118" s="797"/>
      <c r="G118" s="798"/>
      <c r="H118" s="798"/>
      <c r="I118" s="799"/>
      <c r="J118" s="799"/>
      <c r="K118" s="799"/>
      <c r="L118" s="799"/>
      <c r="M118" s="787"/>
      <c r="N118" s="788"/>
      <c r="O118" s="789"/>
      <c r="P118" s="789"/>
      <c r="Q118" s="800"/>
      <c r="R118" s="801"/>
      <c r="S118" s="801"/>
      <c r="T118" s="801"/>
      <c r="U118" s="802"/>
      <c r="V118" s="788"/>
      <c r="W118" s="803"/>
      <c r="X118" s="804"/>
      <c r="Y118" s="763">
        <f t="shared" si="17"/>
        <v>0</v>
      </c>
      <c r="Z118" s="763">
        <f t="shared" si="18"/>
        <v>0</v>
      </c>
    </row>
    <row r="119" spans="1:26" x14ac:dyDescent="0.2">
      <c r="A119" s="782">
        <v>16</v>
      </c>
      <c r="B119" s="891"/>
      <c r="C119" s="1374" t="str">
        <f t="shared" si="20"/>
        <v/>
      </c>
      <c r="D119" s="1372" t="str">
        <f>IF(B119&lt;&gt;"",$F$239,"")</f>
        <v/>
      </c>
      <c r="E119" s="1373" t="str">
        <f>IF(B119&lt;&gt;"",$F$240,"")</f>
        <v/>
      </c>
      <c r="F119" s="797"/>
      <c r="G119" s="798"/>
      <c r="H119" s="798"/>
      <c r="I119" s="805"/>
      <c r="J119" s="805"/>
      <c r="K119" s="805"/>
      <c r="L119" s="805"/>
      <c r="M119" s="787"/>
      <c r="N119" s="788"/>
      <c r="O119" s="789"/>
      <c r="P119" s="789"/>
      <c r="Q119" s="800"/>
      <c r="R119" s="801"/>
      <c r="S119" s="801"/>
      <c r="T119" s="801"/>
      <c r="U119" s="802"/>
      <c r="V119" s="788"/>
      <c r="W119" s="803"/>
      <c r="X119" s="804"/>
      <c r="Y119" s="763">
        <f t="shared" si="17"/>
        <v>0</v>
      </c>
      <c r="Z119" s="763">
        <f t="shared" si="18"/>
        <v>0</v>
      </c>
    </row>
    <row r="120" spans="1:26" x14ac:dyDescent="0.2">
      <c r="A120" s="782">
        <v>17</v>
      </c>
      <c r="B120" s="796"/>
      <c r="C120" s="1374" t="str">
        <f t="shared" si="20"/>
        <v/>
      </c>
      <c r="D120" s="1372" t="str">
        <f>IF(B120&lt;&gt;"",$F$239,"")</f>
        <v/>
      </c>
      <c r="E120" s="1373" t="str">
        <f>IF(B120&lt;&gt;"",$F$240,"")</f>
        <v/>
      </c>
      <c r="F120" s="797"/>
      <c r="G120" s="798"/>
      <c r="H120" s="798"/>
      <c r="I120" s="799"/>
      <c r="J120" s="799"/>
      <c r="K120" s="799"/>
      <c r="L120" s="799"/>
      <c r="M120" s="787"/>
      <c r="N120" s="788"/>
      <c r="O120" s="789"/>
      <c r="P120" s="789"/>
      <c r="Q120" s="800"/>
      <c r="R120" s="801"/>
      <c r="S120" s="801"/>
      <c r="T120" s="801"/>
      <c r="U120" s="802"/>
      <c r="V120" s="788"/>
      <c r="W120" s="803"/>
      <c r="X120" s="804"/>
      <c r="Y120" s="763">
        <f t="shared" si="17"/>
        <v>0</v>
      </c>
      <c r="Z120" s="763">
        <f t="shared" si="18"/>
        <v>0</v>
      </c>
    </row>
    <row r="121" spans="1:26" ht="10.5" thickBot="1" x14ac:dyDescent="0.25">
      <c r="A121" s="782">
        <v>18</v>
      </c>
      <c r="B121" s="806"/>
      <c r="C121" s="1374" t="str">
        <f t="shared" si="20"/>
        <v/>
      </c>
      <c r="D121" s="1372" t="str">
        <f>IF(B121&lt;&gt;"",$F$239,"")</f>
        <v/>
      </c>
      <c r="E121" s="1373" t="str">
        <f>IF(B121&lt;&gt;"",$F$240,"")</f>
        <v/>
      </c>
      <c r="F121" s="807"/>
      <c r="G121" s="808"/>
      <c r="H121" s="808"/>
      <c r="I121" s="809"/>
      <c r="J121" s="809"/>
      <c r="K121" s="809"/>
      <c r="L121" s="809"/>
      <c r="M121" s="787"/>
      <c r="N121" s="788"/>
      <c r="O121" s="789"/>
      <c r="P121" s="789"/>
      <c r="Q121" s="810"/>
      <c r="R121" s="811"/>
      <c r="S121" s="811"/>
      <c r="T121" s="811"/>
      <c r="U121" s="812"/>
      <c r="V121" s="813"/>
      <c r="W121" s="813"/>
      <c r="X121" s="814"/>
      <c r="Y121" s="763">
        <f t="shared" si="17"/>
        <v>0</v>
      </c>
      <c r="Z121" s="763">
        <f t="shared" si="18"/>
        <v>0</v>
      </c>
    </row>
    <row r="122" spans="1:26" ht="10.5" thickBot="1" x14ac:dyDescent="0.25">
      <c r="A122" s="815"/>
      <c r="B122" s="816" t="s">
        <v>65</v>
      </c>
      <c r="C122" s="817"/>
      <c r="D122" s="817"/>
      <c r="E122" s="817"/>
      <c r="F122" s="872"/>
      <c r="G122" s="819">
        <f t="shared" ref="G122:M122" si="21">SUM(G104:G121)</f>
        <v>0</v>
      </c>
      <c r="H122" s="819">
        <f t="shared" si="21"/>
        <v>0</v>
      </c>
      <c r="I122" s="819">
        <f t="shared" si="21"/>
        <v>0</v>
      </c>
      <c r="J122" s="819">
        <f t="shared" si="21"/>
        <v>0</v>
      </c>
      <c r="K122" s="819">
        <f t="shared" si="21"/>
        <v>0</v>
      </c>
      <c r="L122" s="819">
        <f t="shared" si="21"/>
        <v>0</v>
      </c>
      <c r="M122" s="819">
        <f t="shared" si="21"/>
        <v>0</v>
      </c>
      <c r="N122" s="820"/>
      <c r="O122" s="821"/>
      <c r="P122" s="821"/>
      <c r="Q122" s="821"/>
      <c r="R122" s="821"/>
      <c r="S122" s="821"/>
      <c r="T122" s="821"/>
      <c r="U122" s="822"/>
      <c r="V122" s="823">
        <f>SUM(V104:V121)</f>
        <v>0</v>
      </c>
      <c r="W122" s="823">
        <f>SUM(W104:W121)</f>
        <v>0</v>
      </c>
      <c r="X122" s="824">
        <f>SUM(X104:X121)</f>
        <v>0</v>
      </c>
      <c r="Y122" s="763">
        <f>SUM(Y104:Y121)</f>
        <v>2</v>
      </c>
      <c r="Z122" s="763">
        <f>SUM(Z104:Z121)</f>
        <v>0</v>
      </c>
    </row>
    <row r="123" spans="1:26" x14ac:dyDescent="0.2">
      <c r="A123" s="815"/>
      <c r="B123" s="825"/>
      <c r="C123" s="1293"/>
      <c r="D123" s="825"/>
      <c r="E123" s="1292"/>
      <c r="F123" s="873" t="str">
        <f>S203</f>
        <v>T13</v>
      </c>
      <c r="G123" s="827">
        <f>SUMIF($N$104:$N$121,$F$123,G$104:G$121)</f>
        <v>0</v>
      </c>
      <c r="H123" s="827">
        <f>SUMIF($N$104:$N$121,$F$95,H$104:H$121)</f>
        <v>0</v>
      </c>
      <c r="I123" s="827">
        <f>SUMIF($N$104:$N$121,$F$95,I$104:I$121)</f>
        <v>0</v>
      </c>
      <c r="J123" s="827">
        <f>SUMIF($N$104:$N$121,$F$95,J$104:J$121)</f>
        <v>0</v>
      </c>
      <c r="K123" s="827">
        <f>SUMIF($N$104:$N$121,$F$95,K$104:K$121)</f>
        <v>0</v>
      </c>
      <c r="L123" s="827">
        <f>SUMIF($N$104:$N$121,$F$95,L$104:L$121)</f>
        <v>0</v>
      </c>
      <c r="M123" s="827">
        <f>SUMIF($N$104:$N$121,$F$95,M$104:M$121)</f>
        <v>0</v>
      </c>
      <c r="N123" s="828"/>
      <c r="O123" s="829"/>
      <c r="P123" s="829"/>
      <c r="Q123" s="830"/>
      <c r="R123" s="830"/>
      <c r="S123" s="830"/>
      <c r="T123" s="830"/>
      <c r="U123" s="830"/>
      <c r="V123" s="831">
        <f>SUMIF($N$104:$N$121,$F$123,V$104:V$121)</f>
        <v>0</v>
      </c>
      <c r="W123" s="831">
        <f t="shared" ref="W123:X123" si="22">SUMIF($N$104:$N$121,$F$123,W$104:W$121)</f>
        <v>0</v>
      </c>
      <c r="X123" s="832">
        <f t="shared" si="22"/>
        <v>0</v>
      </c>
    </row>
    <row r="124" spans="1:26" x14ac:dyDescent="0.2">
      <c r="A124" s="815"/>
      <c r="B124" s="825"/>
      <c r="C124" s="1293"/>
      <c r="D124" s="825"/>
      <c r="E124" s="1292"/>
      <c r="F124" s="874" t="str">
        <f>S204</f>
        <v>T24</v>
      </c>
      <c r="G124" s="834">
        <f>SUMIF($N$104:$N$121,$F$124,G$104:G$121)</f>
        <v>0</v>
      </c>
      <c r="H124" s="834">
        <f>SUMIF($N$104:$N$121,$F$96,H$104:H$121)</f>
        <v>0</v>
      </c>
      <c r="I124" s="834">
        <f>SUMIF($N$104:$N$121,$F$96,I$104:I$121)</f>
        <v>0</v>
      </c>
      <c r="J124" s="834">
        <f>SUMIF($N$104:$N$121,$F$96,J$104:J$121)</f>
        <v>0</v>
      </c>
      <c r="K124" s="834">
        <f>SUMIF($N$104:$N$121,$F$96,K$104:K$121)</f>
        <v>0</v>
      </c>
      <c r="L124" s="834">
        <f>SUMIF($N$104:$N$121,$F$96,L$104:L$121)</f>
        <v>0</v>
      </c>
      <c r="M124" s="834">
        <f>SUMIF($N$104:$N$121,$F$96,M$104:M$121)</f>
        <v>0</v>
      </c>
      <c r="N124" s="835"/>
      <c r="O124" s="836"/>
      <c r="P124" s="836"/>
      <c r="Q124" s="837"/>
      <c r="R124" s="837"/>
      <c r="S124" s="837"/>
      <c r="T124" s="837"/>
      <c r="U124" s="837"/>
      <c r="V124" s="838">
        <f>SUMIF($N$104:$N$121,$F$124,V$104:V$121)</f>
        <v>0</v>
      </c>
      <c r="W124" s="838">
        <f t="shared" ref="W124:X124" si="23">SUMIF($N$104:$N$121,$F$124,W$104:W$121)</f>
        <v>0</v>
      </c>
      <c r="X124" s="839">
        <f t="shared" si="23"/>
        <v>0</v>
      </c>
    </row>
    <row r="125" spans="1:26" x14ac:dyDescent="0.2">
      <c r="A125" s="815"/>
      <c r="B125" s="825"/>
      <c r="C125" s="1293"/>
      <c r="D125" s="825"/>
      <c r="E125" s="1292"/>
      <c r="F125" s="874">
        <f>S205</f>
        <v>0</v>
      </c>
      <c r="G125" s="834">
        <f>SUMIF($N$104:$N$121,$F$125,G$104:G$121)</f>
        <v>0</v>
      </c>
      <c r="H125" s="834">
        <f>SUMIF($N$104:$N$121,$F$97,H$104:H$121)</f>
        <v>0</v>
      </c>
      <c r="I125" s="834">
        <f>SUMIF($N$104:$N$121,$F$97,I$104:I$121)</f>
        <v>0</v>
      </c>
      <c r="J125" s="834">
        <f>SUMIF($N$104:$N$121,$F$97,J$104:J$121)</f>
        <v>0</v>
      </c>
      <c r="K125" s="834">
        <f>SUMIF($N$104:$N$121,$F$97,K$104:K$121)</f>
        <v>0</v>
      </c>
      <c r="L125" s="834">
        <f>SUMIF($N$104:$N$121,$F$97,L$104:L$121)</f>
        <v>0</v>
      </c>
      <c r="M125" s="834">
        <f>SUMIF($N$104:$N$121,$F$97,M$104:M$121)</f>
        <v>0</v>
      </c>
      <c r="N125" s="835"/>
      <c r="O125" s="836"/>
      <c r="P125" s="836"/>
      <c r="Q125" s="837"/>
      <c r="R125" s="837"/>
      <c r="S125" s="837"/>
      <c r="T125" s="837"/>
      <c r="U125" s="837"/>
      <c r="V125" s="838">
        <f>SUMIF($N$104:$N$121,$F$125,V$104:V$121)</f>
        <v>0</v>
      </c>
      <c r="W125" s="838">
        <f t="shared" ref="W125:X125" si="24">SUMIF($N$104:$N$121,$F$125,W$104:W$121)</f>
        <v>0</v>
      </c>
      <c r="X125" s="839">
        <f t="shared" si="24"/>
        <v>0</v>
      </c>
    </row>
    <row r="126" spans="1:26" ht="10.5" thickBot="1" x14ac:dyDescent="0.25">
      <c r="A126" s="815"/>
      <c r="B126" s="825"/>
      <c r="C126" s="1293"/>
      <c r="D126" s="825"/>
      <c r="E126" s="1292"/>
      <c r="F126" s="880">
        <f>S206</f>
        <v>0</v>
      </c>
      <c r="G126" s="841">
        <f>SUMIF($N$104:$N$121,$F$126,G$104:G$121)</f>
        <v>0</v>
      </c>
      <c r="H126" s="841">
        <f>SUMIF($N$104:$N$121,$F$98,H$104:H$121)</f>
        <v>0</v>
      </c>
      <c r="I126" s="841">
        <f>SUMIF($N$104:$N$121,$F$98,I$104:I$121)</f>
        <v>0</v>
      </c>
      <c r="J126" s="841">
        <f>SUMIF($N$104:$N$121,$F$98,J$104:J$121)</f>
        <v>0</v>
      </c>
      <c r="K126" s="841">
        <f>SUMIF($N$104:$N$121,$F$98,K$104:K$121)</f>
        <v>0</v>
      </c>
      <c r="L126" s="841">
        <f>SUMIF($N$104:$N$121,$F$98,L$104:L$121)</f>
        <v>0</v>
      </c>
      <c r="M126" s="841">
        <f>SUMIF($N$104:$N$121,$F$98,M$104:M$121)</f>
        <v>0</v>
      </c>
      <c r="N126" s="842"/>
      <c r="O126" s="843"/>
      <c r="P126" s="843"/>
      <c r="Q126" s="844"/>
      <c r="R126" s="844"/>
      <c r="S126" s="844"/>
      <c r="T126" s="844"/>
      <c r="U126" s="844"/>
      <c r="V126" s="845">
        <f>SUMIF($N$104:$N$121,$F$126,V$104:V$121)</f>
        <v>0</v>
      </c>
      <c r="W126" s="845">
        <f t="shared" ref="W126:X126" si="25">SUMIF($N$104:$N$121,$F$126,W$104:W$121)</f>
        <v>0</v>
      </c>
      <c r="X126" s="846">
        <f t="shared" si="25"/>
        <v>0</v>
      </c>
    </row>
    <row r="127" spans="1:26" x14ac:dyDescent="0.2">
      <c r="A127" s="815"/>
      <c r="B127" s="825"/>
      <c r="C127" s="1293"/>
      <c r="D127" s="825"/>
      <c r="E127" s="1292"/>
      <c r="F127" s="1298"/>
      <c r="G127" s="1299"/>
      <c r="H127" s="1299"/>
      <c r="I127" s="1299"/>
      <c r="J127" s="1299"/>
      <c r="K127" s="1299"/>
      <c r="L127" s="1299"/>
      <c r="M127" s="1352" t="str">
        <f>IF(Y122&gt;0,"Nepotpun unos podataka pod rednim brojem "&amp;MATCH(MAX(Y104:Y121),Y104:Y121,0),"")</f>
        <v>Nepotpun unos podataka pod rednim brojem 1</v>
      </c>
      <c r="N127" s="1352"/>
      <c r="O127" s="1352"/>
      <c r="P127" s="1352"/>
      <c r="Q127" s="1352"/>
      <c r="R127" s="1352"/>
      <c r="S127" s="1352"/>
      <c r="T127" s="1352"/>
      <c r="U127" s="1352"/>
      <c r="V127" s="1298"/>
      <c r="W127" s="1298"/>
      <c r="X127" s="1298"/>
    </row>
    <row r="128" spans="1:26" ht="9.75" customHeight="1" thickBot="1" x14ac:dyDescent="0.25">
      <c r="B128" s="847" t="str">
        <f>IF(G122&lt;&gt;SUM(H122:M122),"NEISPRAVAN UNOS, POSTOJI RAZLIKA","")</f>
        <v/>
      </c>
      <c r="C128" s="847"/>
      <c r="D128" s="847"/>
      <c r="E128" s="847"/>
      <c r="F128" s="847"/>
      <c r="G128" s="847"/>
      <c r="H128" s="847"/>
      <c r="I128" s="847"/>
      <c r="J128" s="847"/>
      <c r="K128" s="847"/>
      <c r="L128" s="847"/>
      <c r="M128" s="1353" t="str">
        <f>IF(Z122&gt;0,"Neispravni iznosi u € ili zbroj pod rednim brojem "&amp;MATCH(MAX(Z104:Z121),Z104:Z121,0),"")</f>
        <v/>
      </c>
      <c r="N128" s="1353"/>
      <c r="O128" s="1353"/>
      <c r="P128" s="1353"/>
      <c r="Q128" s="1353"/>
      <c r="R128" s="1353"/>
      <c r="S128" s="1353"/>
      <c r="T128" s="1353"/>
      <c r="U128" s="1353"/>
    </row>
    <row r="129" spans="1:26" ht="10.5" thickBot="1" x14ac:dyDescent="0.25">
      <c r="A129" s="892" t="s">
        <v>74</v>
      </c>
      <c r="B129" s="883" t="s">
        <v>78</v>
      </c>
      <c r="C129" s="883"/>
      <c r="D129" s="883"/>
      <c r="E129" s="883"/>
      <c r="F129" s="884"/>
      <c r="G129" s="885">
        <f>T205</f>
        <v>29</v>
      </c>
      <c r="H129" s="886"/>
      <c r="I129" s="886"/>
      <c r="J129" s="886"/>
      <c r="K129" s="886"/>
      <c r="L129" s="886"/>
      <c r="M129" s="886"/>
      <c r="N129" s="886"/>
      <c r="O129" s="886"/>
      <c r="P129" s="886"/>
      <c r="Q129" s="886"/>
      <c r="R129" s="886"/>
      <c r="S129" s="886"/>
      <c r="T129" s="886"/>
      <c r="U129" s="886"/>
      <c r="V129" s="886"/>
      <c r="W129" s="886"/>
      <c r="X129" s="887"/>
    </row>
    <row r="130" spans="1:26" ht="21.75" customHeight="1" thickBot="1" x14ac:dyDescent="0.25">
      <c r="A130" s="893"/>
      <c r="B130" s="894" t="str">
        <f t="shared" ref="B130:M130" si="26">B103</f>
        <v>DATUM</v>
      </c>
      <c r="C130" s="772" t="str">
        <f>C103</f>
        <v>Broj računa FISKALNOG</v>
      </c>
      <c r="D130" s="773"/>
      <c r="E130" s="774"/>
      <c r="F130" s="895" t="str">
        <f t="shared" si="26"/>
        <v>Broj ugovora</v>
      </c>
      <c r="G130" s="895" t="str">
        <f t="shared" si="26"/>
        <v>PRODAJNA CIJENA</v>
      </c>
      <c r="H130" s="895" t="str">
        <f t="shared" si="26"/>
        <v>GOTOVINA</v>
      </c>
      <c r="I130" s="895" t="str">
        <f t="shared" si="26"/>
        <v>POS OTP</v>
      </c>
      <c r="J130" s="895" t="str">
        <f t="shared" si="26"/>
        <v>Žiralno na rate</v>
      </c>
      <c r="K130" s="895" t="str">
        <f t="shared" si="26"/>
        <v>Žiralno storno</v>
      </c>
      <c r="L130" s="895" t="str">
        <f t="shared" si="26"/>
        <v>OSTALO</v>
      </c>
      <c r="M130" s="895" t="str">
        <f t="shared" si="26"/>
        <v>Vrsta Kartice</v>
      </c>
      <c r="N130" s="896" t="s">
        <v>80</v>
      </c>
      <c r="O130" s="896" t="s">
        <v>79</v>
      </c>
      <c r="P130" s="896" t="s">
        <v>98</v>
      </c>
      <c r="Q130" s="897" t="s">
        <v>82</v>
      </c>
      <c r="R130" s="897"/>
      <c r="S130" s="897"/>
      <c r="T130" s="897"/>
      <c r="U130" s="897"/>
      <c r="V130" s="898" t="str">
        <f>V103</f>
        <v>LMS</v>
      </c>
      <c r="W130" s="898" t="str">
        <f>W103</f>
        <v>TO</v>
      </c>
      <c r="X130" s="899" t="str">
        <f>X103</f>
        <v>IP</v>
      </c>
    </row>
    <row r="131" spans="1:26" x14ac:dyDescent="0.2">
      <c r="A131" s="900">
        <v>1</v>
      </c>
      <c r="B131" s="783">
        <v>46210</v>
      </c>
      <c r="C131" s="1374">
        <f>IF(B131&lt;&gt;"",MAX(C80:C115)+1,"")</f>
        <v>144</v>
      </c>
      <c r="D131" s="1368" t="str">
        <f>IF(B131&lt;&gt;"",$F$239,"")</f>
        <v>/T13</v>
      </c>
      <c r="E131" s="1369" t="str">
        <f>IF(B131&lt;&gt;"",$F$240,"")</f>
        <v>/6</v>
      </c>
      <c r="F131" s="785"/>
      <c r="G131" s="786"/>
      <c r="H131" s="786"/>
      <c r="I131" s="787"/>
      <c r="J131" s="787"/>
      <c r="K131" s="787"/>
      <c r="L131" s="787"/>
      <c r="M131" s="787"/>
      <c r="N131" s="793"/>
      <c r="O131" s="855"/>
      <c r="P131" s="855"/>
      <c r="Q131" s="856"/>
      <c r="R131" s="857"/>
      <c r="S131" s="857"/>
      <c r="T131" s="857"/>
      <c r="U131" s="858"/>
      <c r="V131" s="793"/>
      <c r="W131" s="794"/>
      <c r="X131" s="795"/>
      <c r="Y131" s="763">
        <f t="shared" ref="Y131:Y141" si="27">IF(B131="",0,IF(AND(C131&lt;&gt;"",F131&lt;&gt;"",G131&lt;&gt;"",N131&lt;&gt;"",O131&lt;&gt;"",P131&lt;&gt;"",Q131&lt;&gt;""),0,1))</f>
        <v>1</v>
      </c>
      <c r="Z131" s="763">
        <f t="shared" ref="Z131:Z141" si="28">IF(G131=SUM(H131:L131),0,1)</f>
        <v>0</v>
      </c>
    </row>
    <row r="132" spans="1:26" x14ac:dyDescent="0.2">
      <c r="A132" s="901">
        <f>A131+1</f>
        <v>2</v>
      </c>
      <c r="B132" s="796">
        <v>46211</v>
      </c>
      <c r="C132" s="1370">
        <f>IF(B132&lt;&gt;"",C131+1,"")</f>
        <v>145</v>
      </c>
      <c r="D132" s="1368" t="str">
        <f>IF(B132&lt;&gt;"",$F$239,"")</f>
        <v>/T13</v>
      </c>
      <c r="E132" s="1369" t="str">
        <f>IF(B132&lt;&gt;"",$F$240,"")</f>
        <v>/6</v>
      </c>
      <c r="F132" s="797"/>
      <c r="G132" s="798"/>
      <c r="H132" s="798"/>
      <c r="I132" s="799"/>
      <c r="J132" s="799"/>
      <c r="K132" s="799"/>
      <c r="L132" s="799"/>
      <c r="M132" s="787"/>
      <c r="N132" s="788"/>
      <c r="O132" s="789"/>
      <c r="P132" s="789"/>
      <c r="Q132" s="800"/>
      <c r="R132" s="801"/>
      <c r="S132" s="801"/>
      <c r="T132" s="801"/>
      <c r="U132" s="802"/>
      <c r="V132" s="788"/>
      <c r="W132" s="803"/>
      <c r="X132" s="804"/>
      <c r="Y132" s="763">
        <f t="shared" si="27"/>
        <v>1</v>
      </c>
      <c r="Z132" s="763">
        <f t="shared" si="28"/>
        <v>0</v>
      </c>
    </row>
    <row r="133" spans="1:26" x14ac:dyDescent="0.2">
      <c r="A133" s="901">
        <f t="shared" ref="A133:A138" si="29">A132+1</f>
        <v>3</v>
      </c>
      <c r="B133" s="796"/>
      <c r="C133" s="1370" t="str">
        <f t="shared" ref="C133:C141" si="30">IF(B133&lt;&gt;"",C132+1,"")</f>
        <v/>
      </c>
      <c r="D133" s="1368" t="str">
        <f>IF(B133&lt;&gt;"",$F$239,"")</f>
        <v/>
      </c>
      <c r="E133" s="1369" t="str">
        <f>IF(B133&lt;&gt;"",$F$240,"")</f>
        <v/>
      </c>
      <c r="F133" s="797"/>
      <c r="G133" s="798"/>
      <c r="H133" s="798"/>
      <c r="I133" s="805"/>
      <c r="J133" s="805"/>
      <c r="K133" s="805"/>
      <c r="L133" s="805"/>
      <c r="M133" s="787"/>
      <c r="N133" s="788"/>
      <c r="O133" s="789"/>
      <c r="P133" s="789"/>
      <c r="Q133" s="800"/>
      <c r="R133" s="801"/>
      <c r="S133" s="801"/>
      <c r="T133" s="801"/>
      <c r="U133" s="802"/>
      <c r="V133" s="788"/>
      <c r="W133" s="803"/>
      <c r="X133" s="804"/>
      <c r="Y133" s="763">
        <f t="shared" si="27"/>
        <v>0</v>
      </c>
      <c r="Z133" s="763">
        <f t="shared" si="28"/>
        <v>0</v>
      </c>
    </row>
    <row r="134" spans="1:26" x14ac:dyDescent="0.2">
      <c r="A134" s="901">
        <f t="shared" si="29"/>
        <v>4</v>
      </c>
      <c r="B134" s="796"/>
      <c r="C134" s="1370" t="str">
        <f t="shared" si="30"/>
        <v/>
      </c>
      <c r="D134" s="1368" t="str">
        <f>IF(B134&lt;&gt;"",$F$239,"")</f>
        <v/>
      </c>
      <c r="E134" s="1369" t="str">
        <f>IF(B134&lt;&gt;"",$F$240,"")</f>
        <v/>
      </c>
      <c r="F134" s="797"/>
      <c r="G134" s="798"/>
      <c r="H134" s="798"/>
      <c r="I134" s="805"/>
      <c r="J134" s="805"/>
      <c r="K134" s="805"/>
      <c r="L134" s="805"/>
      <c r="M134" s="787"/>
      <c r="N134" s="788"/>
      <c r="O134" s="789"/>
      <c r="P134" s="789"/>
      <c r="Q134" s="800"/>
      <c r="R134" s="801"/>
      <c r="S134" s="801"/>
      <c r="T134" s="801"/>
      <c r="U134" s="802"/>
      <c r="V134" s="788"/>
      <c r="W134" s="803"/>
      <c r="X134" s="804"/>
      <c r="Y134" s="763">
        <f t="shared" si="27"/>
        <v>0</v>
      </c>
      <c r="Z134" s="763">
        <f t="shared" si="28"/>
        <v>0</v>
      </c>
    </row>
    <row r="135" spans="1:26" x14ac:dyDescent="0.2">
      <c r="A135" s="901">
        <f t="shared" si="29"/>
        <v>5</v>
      </c>
      <c r="B135" s="796"/>
      <c r="C135" s="1370" t="str">
        <f t="shared" si="30"/>
        <v/>
      </c>
      <c r="D135" s="1368" t="str">
        <f>IF(B135&lt;&gt;"",$F$239,"")</f>
        <v/>
      </c>
      <c r="E135" s="1369" t="str">
        <f>IF(B135&lt;&gt;"",$F$240,"")</f>
        <v/>
      </c>
      <c r="F135" s="797"/>
      <c r="G135" s="798"/>
      <c r="H135" s="798"/>
      <c r="I135" s="799"/>
      <c r="J135" s="799"/>
      <c r="K135" s="799"/>
      <c r="L135" s="799"/>
      <c r="M135" s="787"/>
      <c r="N135" s="788"/>
      <c r="O135" s="789"/>
      <c r="P135" s="789"/>
      <c r="Q135" s="800"/>
      <c r="R135" s="801"/>
      <c r="S135" s="801"/>
      <c r="T135" s="801"/>
      <c r="U135" s="802"/>
      <c r="V135" s="788"/>
      <c r="W135" s="803"/>
      <c r="X135" s="804"/>
      <c r="Y135" s="763">
        <f t="shared" si="27"/>
        <v>0</v>
      </c>
      <c r="Z135" s="763">
        <f t="shared" si="28"/>
        <v>0</v>
      </c>
    </row>
    <row r="136" spans="1:26" x14ac:dyDescent="0.2">
      <c r="A136" s="901">
        <f t="shared" si="29"/>
        <v>6</v>
      </c>
      <c r="B136" s="796"/>
      <c r="C136" s="1370" t="str">
        <f t="shared" si="30"/>
        <v/>
      </c>
      <c r="D136" s="1368" t="str">
        <f>IF(B136&lt;&gt;"",$F$239,"")</f>
        <v/>
      </c>
      <c r="E136" s="1369" t="str">
        <f>IF(B136&lt;&gt;"",$F$240,"")</f>
        <v/>
      </c>
      <c r="F136" s="797"/>
      <c r="G136" s="798"/>
      <c r="H136" s="798"/>
      <c r="I136" s="799"/>
      <c r="J136" s="799"/>
      <c r="K136" s="799"/>
      <c r="L136" s="799"/>
      <c r="M136" s="787"/>
      <c r="N136" s="788"/>
      <c r="O136" s="789"/>
      <c r="P136" s="789"/>
      <c r="Q136" s="800"/>
      <c r="R136" s="801"/>
      <c r="S136" s="801"/>
      <c r="T136" s="801"/>
      <c r="U136" s="802"/>
      <c r="V136" s="788"/>
      <c r="W136" s="803"/>
      <c r="X136" s="804"/>
      <c r="Y136" s="763">
        <f t="shared" si="27"/>
        <v>0</v>
      </c>
      <c r="Z136" s="763">
        <f t="shared" si="28"/>
        <v>0</v>
      </c>
    </row>
    <row r="137" spans="1:26" x14ac:dyDescent="0.2">
      <c r="A137" s="901">
        <f t="shared" si="29"/>
        <v>7</v>
      </c>
      <c r="B137" s="796"/>
      <c r="C137" s="1370" t="str">
        <f t="shared" si="30"/>
        <v/>
      </c>
      <c r="D137" s="1368" t="str">
        <f>IF(B137&lt;&gt;"",$F$239,"")</f>
        <v/>
      </c>
      <c r="E137" s="1369" t="str">
        <f>IF(B137&lt;&gt;"",$F$240,"")</f>
        <v/>
      </c>
      <c r="F137" s="797"/>
      <c r="G137" s="798"/>
      <c r="H137" s="798"/>
      <c r="I137" s="799"/>
      <c r="J137" s="799"/>
      <c r="K137" s="799"/>
      <c r="L137" s="799"/>
      <c r="M137" s="787"/>
      <c r="N137" s="788"/>
      <c r="O137" s="789"/>
      <c r="P137" s="789"/>
      <c r="Q137" s="800"/>
      <c r="R137" s="801"/>
      <c r="S137" s="801"/>
      <c r="T137" s="801"/>
      <c r="U137" s="802"/>
      <c r="V137" s="788"/>
      <c r="W137" s="803"/>
      <c r="X137" s="804"/>
      <c r="Y137" s="763">
        <f t="shared" si="27"/>
        <v>0</v>
      </c>
      <c r="Z137" s="763">
        <f t="shared" si="28"/>
        <v>0</v>
      </c>
    </row>
    <row r="138" spans="1:26" x14ac:dyDescent="0.2">
      <c r="A138" s="901">
        <f t="shared" si="29"/>
        <v>8</v>
      </c>
      <c r="B138" s="796"/>
      <c r="C138" s="1370" t="str">
        <f t="shared" si="30"/>
        <v/>
      </c>
      <c r="D138" s="1368" t="str">
        <f>IF(B138&lt;&gt;"",$F$239,"")</f>
        <v/>
      </c>
      <c r="E138" s="1369" t="str">
        <f>IF(B138&lt;&gt;"",$F$240,"")</f>
        <v/>
      </c>
      <c r="F138" s="797"/>
      <c r="G138" s="798"/>
      <c r="H138" s="798"/>
      <c r="I138" s="799"/>
      <c r="J138" s="799"/>
      <c r="K138" s="799"/>
      <c r="L138" s="799"/>
      <c r="M138" s="787"/>
      <c r="N138" s="788"/>
      <c r="O138" s="789"/>
      <c r="P138" s="789"/>
      <c r="Q138" s="800"/>
      <c r="R138" s="801"/>
      <c r="S138" s="801"/>
      <c r="T138" s="801"/>
      <c r="U138" s="802"/>
      <c r="V138" s="788"/>
      <c r="W138" s="803"/>
      <c r="X138" s="804"/>
      <c r="Y138" s="763">
        <f t="shared" si="27"/>
        <v>0</v>
      </c>
      <c r="Z138" s="763">
        <f t="shared" si="28"/>
        <v>0</v>
      </c>
    </row>
    <row r="139" spans="1:26" x14ac:dyDescent="0.2">
      <c r="A139" s="901">
        <v>9</v>
      </c>
      <c r="B139" s="796"/>
      <c r="C139" s="1370" t="str">
        <f>IF(B139&lt;&gt;"",#REF!+1,"")</f>
        <v/>
      </c>
      <c r="D139" s="1368" t="str">
        <f>IF(B139&lt;&gt;"",$F$239,"")</f>
        <v/>
      </c>
      <c r="E139" s="1369" t="str">
        <f>IF(B139&lt;&gt;"",$F$240,"")</f>
        <v/>
      </c>
      <c r="F139" s="797"/>
      <c r="G139" s="798"/>
      <c r="H139" s="798"/>
      <c r="I139" s="799"/>
      <c r="J139" s="799"/>
      <c r="K139" s="799"/>
      <c r="L139" s="799"/>
      <c r="M139" s="787"/>
      <c r="N139" s="788"/>
      <c r="O139" s="789"/>
      <c r="P139" s="789"/>
      <c r="Q139" s="800"/>
      <c r="R139" s="801"/>
      <c r="S139" s="801"/>
      <c r="T139" s="801"/>
      <c r="U139" s="802"/>
      <c r="V139" s="788"/>
      <c r="W139" s="803"/>
      <c r="X139" s="804"/>
      <c r="Y139" s="763">
        <f t="shared" si="27"/>
        <v>0</v>
      </c>
      <c r="Z139" s="763">
        <f t="shared" si="28"/>
        <v>0</v>
      </c>
    </row>
    <row r="140" spans="1:26" x14ac:dyDescent="0.2">
      <c r="A140" s="901">
        <v>10</v>
      </c>
      <c r="B140" s="891"/>
      <c r="C140" s="1370" t="str">
        <f t="shared" si="30"/>
        <v/>
      </c>
      <c r="D140" s="1368" t="str">
        <f>IF(B140&lt;&gt;"",$F$239,"")</f>
        <v/>
      </c>
      <c r="E140" s="1369" t="str">
        <f>IF(B140&lt;&gt;"",$F$240,"")</f>
        <v/>
      </c>
      <c r="F140" s="797"/>
      <c r="G140" s="798"/>
      <c r="H140" s="798"/>
      <c r="I140" s="799"/>
      <c r="J140" s="799"/>
      <c r="K140" s="799"/>
      <c r="L140" s="799"/>
      <c r="M140" s="787"/>
      <c r="N140" s="788"/>
      <c r="O140" s="789"/>
      <c r="P140" s="789"/>
      <c r="Q140" s="800"/>
      <c r="R140" s="801"/>
      <c r="S140" s="801"/>
      <c r="T140" s="801"/>
      <c r="U140" s="802"/>
      <c r="V140" s="788"/>
      <c r="W140" s="803"/>
      <c r="X140" s="804"/>
      <c r="Y140" s="763">
        <f t="shared" si="27"/>
        <v>0</v>
      </c>
      <c r="Z140" s="763">
        <f t="shared" si="28"/>
        <v>0</v>
      </c>
    </row>
    <row r="141" spans="1:26" ht="10.5" thickBot="1" x14ac:dyDescent="0.25">
      <c r="A141" s="902">
        <v>11</v>
      </c>
      <c r="B141" s="806"/>
      <c r="C141" s="1370" t="str">
        <f t="shared" si="30"/>
        <v/>
      </c>
      <c r="D141" s="1368" t="str">
        <f>IF(B141&lt;&gt;"",$F$239,"")</f>
        <v/>
      </c>
      <c r="E141" s="1369" t="str">
        <f>IF(B141&lt;&gt;"",$F$240,"")</f>
        <v/>
      </c>
      <c r="F141" s="807"/>
      <c r="G141" s="808"/>
      <c r="H141" s="808"/>
      <c r="I141" s="809"/>
      <c r="J141" s="809"/>
      <c r="K141" s="809"/>
      <c r="L141" s="809"/>
      <c r="M141" s="787"/>
      <c r="N141" s="788"/>
      <c r="O141" s="789"/>
      <c r="P141" s="789"/>
      <c r="Q141" s="810"/>
      <c r="R141" s="811"/>
      <c r="S141" s="811"/>
      <c r="T141" s="811"/>
      <c r="U141" s="812"/>
      <c r="V141" s="813"/>
      <c r="W141" s="813"/>
      <c r="X141" s="814"/>
      <c r="Y141" s="763">
        <f t="shared" si="27"/>
        <v>0</v>
      </c>
      <c r="Z141" s="763">
        <f t="shared" si="28"/>
        <v>0</v>
      </c>
    </row>
    <row r="142" spans="1:26" ht="10.5" thickBot="1" x14ac:dyDescent="0.25">
      <c r="A142" s="903"/>
      <c r="B142" s="816" t="s">
        <v>65</v>
      </c>
      <c r="C142" s="817"/>
      <c r="D142" s="817"/>
      <c r="E142" s="817"/>
      <c r="F142" s="818"/>
      <c r="G142" s="904">
        <f>SUM(G131:G141)</f>
        <v>0</v>
      </c>
      <c r="H142" s="904">
        <f>SUM(H131:H141)</f>
        <v>0</v>
      </c>
      <c r="I142" s="904">
        <f>SUM(I131:I141)</f>
        <v>0</v>
      </c>
      <c r="J142" s="904">
        <f>SUM(J131:J141)</f>
        <v>0</v>
      </c>
      <c r="K142" s="904">
        <f>SUM(K131:K141)</f>
        <v>0</v>
      </c>
      <c r="L142" s="904">
        <f>SUM(L131:L141)</f>
        <v>0</v>
      </c>
      <c r="M142" s="904">
        <f>SUM(M131:M141)</f>
        <v>0</v>
      </c>
      <c r="N142" s="905"/>
      <c r="O142" s="906"/>
      <c r="P142" s="906"/>
      <c r="Q142" s="906"/>
      <c r="R142" s="906"/>
      <c r="S142" s="906"/>
      <c r="T142" s="906"/>
      <c r="U142" s="907"/>
      <c r="V142" s="908">
        <f>SUM(V131:V141)</f>
        <v>0</v>
      </c>
      <c r="W142" s="908">
        <f>SUM(W131:W141)</f>
        <v>0</v>
      </c>
      <c r="X142" s="909">
        <f>SUM(X131:X141)</f>
        <v>0</v>
      </c>
      <c r="Y142" s="763">
        <f>SUM(Y124:Y141)</f>
        <v>2</v>
      </c>
      <c r="Z142" s="763">
        <f>SUM(Z124:Z141)</f>
        <v>0</v>
      </c>
    </row>
    <row r="143" spans="1:26" x14ac:dyDescent="0.2">
      <c r="A143" s="815"/>
      <c r="B143" s="825"/>
      <c r="C143" s="1293"/>
      <c r="D143" s="825"/>
      <c r="E143" s="1292"/>
      <c r="F143" s="873" t="str">
        <f>F123</f>
        <v>T13</v>
      </c>
      <c r="G143" s="827">
        <f>SUMIF($N$131:$N$141,$F$143,G$131:G$141)</f>
        <v>0</v>
      </c>
      <c r="H143" s="827">
        <f>SUMIF($N$131:$N$141,$F$143,H$131:H$141)</f>
        <v>0</v>
      </c>
      <c r="I143" s="827">
        <f>SUMIF($N$131:$N$141,$F$143,I$131:I$141)</f>
        <v>0</v>
      </c>
      <c r="J143" s="827">
        <f>SUMIF($N$131:$N$141,$F$143,J$131:J$141)</f>
        <v>0</v>
      </c>
      <c r="K143" s="827">
        <f>SUMIF($N$131:$N$141,$F$143,K$131:K$141)</f>
        <v>0</v>
      </c>
      <c r="L143" s="827">
        <f>SUMIF($N$131:$N$141,$F$143,L$131:L$141)</f>
        <v>0</v>
      </c>
      <c r="M143" s="827">
        <f>SUMIF($N$131:$N$141,$F$143,M$131:M$141)</f>
        <v>0</v>
      </c>
      <c r="N143" s="828"/>
      <c r="O143" s="829"/>
      <c r="P143" s="829"/>
      <c r="Q143" s="830"/>
      <c r="R143" s="830"/>
      <c r="S143" s="830"/>
      <c r="T143" s="830"/>
      <c r="U143" s="830"/>
      <c r="V143" s="831">
        <f>SUMIF($N$131:$N$141,$F$143,V$131:V$141)</f>
        <v>0</v>
      </c>
      <c r="W143" s="831">
        <f>SUMIF($N$131:$N$141,$F$143,W$131:W$141)</f>
        <v>0</v>
      </c>
      <c r="X143" s="832">
        <f>SUMIF($N$131:$N$141,$F$143,X$131:X$141)</f>
        <v>0</v>
      </c>
    </row>
    <row r="144" spans="1:26" x14ac:dyDescent="0.2">
      <c r="A144" s="815"/>
      <c r="B144" s="825"/>
      <c r="C144" s="1293"/>
      <c r="D144" s="825"/>
      <c r="E144" s="1292"/>
      <c r="F144" s="874" t="str">
        <f>F124</f>
        <v>T24</v>
      </c>
      <c r="G144" s="834">
        <f>SUMIF($N$131:$N$141,$F$144,G$131:G$141)</f>
        <v>0</v>
      </c>
      <c r="H144" s="834">
        <f>SUMIF($N$131:$N$141,$F$144,H$131:H$141)</f>
        <v>0</v>
      </c>
      <c r="I144" s="834">
        <f>SUMIF($N$131:$N$141,$F$144,I$131:I$141)</f>
        <v>0</v>
      </c>
      <c r="J144" s="834">
        <f>SUMIF($N$131:$N$141,$F$144,J$131:J$141)</f>
        <v>0</v>
      </c>
      <c r="K144" s="834">
        <f>SUMIF($N$131:$N$141,$F$144,K$131:K$141)</f>
        <v>0</v>
      </c>
      <c r="L144" s="834">
        <f>SUMIF($N$131:$N$141,$F$144,L$131:L$141)</f>
        <v>0</v>
      </c>
      <c r="M144" s="834">
        <f>SUMIF($N$131:$N$141,$F$144,M$131:M$141)</f>
        <v>0</v>
      </c>
      <c r="N144" s="835"/>
      <c r="O144" s="836"/>
      <c r="P144" s="836"/>
      <c r="Q144" s="837"/>
      <c r="R144" s="837"/>
      <c r="S144" s="837"/>
      <c r="T144" s="837"/>
      <c r="U144" s="837"/>
      <c r="V144" s="838">
        <f>SUMIF($N$131:$N$141,$F$144,V$131:V$141)</f>
        <v>0</v>
      </c>
      <c r="W144" s="838">
        <f>SUMIF($N$131:$N$141,$F$144,W$131:W$141)</f>
        <v>0</v>
      </c>
      <c r="X144" s="839">
        <f>SUMIF($N$131:$N$141,$F$144,X$131:X$141)</f>
        <v>0</v>
      </c>
    </row>
    <row r="145" spans="1:24" x14ac:dyDescent="0.2">
      <c r="A145" s="815"/>
      <c r="B145" s="825"/>
      <c r="C145" s="1293"/>
      <c r="D145" s="825"/>
      <c r="E145" s="1292"/>
      <c r="F145" s="874">
        <f>F125</f>
        <v>0</v>
      </c>
      <c r="G145" s="834">
        <f>SUMIF($N$131:$N$141,$F$145,G$131:G$141)</f>
        <v>0</v>
      </c>
      <c r="H145" s="834">
        <f>SUMIF($N$131:$N$141,$F$145,H$131:H$141)</f>
        <v>0</v>
      </c>
      <c r="I145" s="834">
        <f>SUMIF($N$131:$N$141,$F$145,I$131:I$141)</f>
        <v>0</v>
      </c>
      <c r="J145" s="834">
        <f>SUMIF($N$131:$N$141,$F$145,J$131:J$141)</f>
        <v>0</v>
      </c>
      <c r="K145" s="834">
        <f>SUMIF($N$131:$N$141,$F$145,K$131:K$141)</f>
        <v>0</v>
      </c>
      <c r="L145" s="834">
        <f>SUMIF($N$131:$N$141,$F$145,L$131:L$141)</f>
        <v>0</v>
      </c>
      <c r="M145" s="834">
        <f>SUMIF($N$131:$N$141,$F$145,M$131:M$141)</f>
        <v>0</v>
      </c>
      <c r="N145" s="835"/>
      <c r="O145" s="836"/>
      <c r="P145" s="836"/>
      <c r="Q145" s="837"/>
      <c r="R145" s="837"/>
      <c r="S145" s="837"/>
      <c r="T145" s="837"/>
      <c r="U145" s="837"/>
      <c r="V145" s="838">
        <f>SUMIF($N$131:$N$141,$F$145,V$131:V$141)</f>
        <v>0</v>
      </c>
      <c r="W145" s="838">
        <f>SUMIF($N$131:$N$141,$F$145,W$131:W$141)</f>
        <v>0</v>
      </c>
      <c r="X145" s="839">
        <f>SUMIF($N$131:$N$141,$F$145,X$131:X$141)</f>
        <v>0</v>
      </c>
    </row>
    <row r="146" spans="1:24" ht="10.5" thickBot="1" x14ac:dyDescent="0.25">
      <c r="A146" s="815"/>
      <c r="B146" s="825"/>
      <c r="C146" s="1293"/>
      <c r="D146" s="825"/>
      <c r="E146" s="1292"/>
      <c r="F146" s="880">
        <f>F126</f>
        <v>0</v>
      </c>
      <c r="G146" s="841">
        <f>SUMIF($N$131:$N$141,$F$146,G$131:G$141)</f>
        <v>0</v>
      </c>
      <c r="H146" s="841">
        <f>SUMIF($N$131:$N$141,$F$146,H$131:H$141)</f>
        <v>0</v>
      </c>
      <c r="I146" s="841">
        <f>SUMIF($N$131:$N$141,$F$146,I$131:I$141)</f>
        <v>0</v>
      </c>
      <c r="J146" s="841">
        <f>SUMIF($N$131:$N$141,$F$146,J$131:J$141)</f>
        <v>0</v>
      </c>
      <c r="K146" s="841">
        <f>SUMIF($N$131:$N$141,$F$146,K$131:K$141)</f>
        <v>0</v>
      </c>
      <c r="L146" s="841">
        <f>SUMIF($N$131:$N$141,$F$146,L$131:L$141)</f>
        <v>0</v>
      </c>
      <c r="M146" s="841">
        <f>SUMIF($N$131:$N$141,$F$146,M$131:M$141)</f>
        <v>0</v>
      </c>
      <c r="N146" s="842"/>
      <c r="O146" s="843"/>
      <c r="P146" s="843"/>
      <c r="Q146" s="844"/>
      <c r="R146" s="844"/>
      <c r="S146" s="844"/>
      <c r="T146" s="844"/>
      <c r="U146" s="844"/>
      <c r="V146" s="845">
        <f>SUMIF($N$131:$N$141,$F$146,V$131:V$141)</f>
        <v>0</v>
      </c>
      <c r="W146" s="845">
        <f>SUMIF($N$131:$N$141,$F$146,W$131:W$141)</f>
        <v>0</v>
      </c>
      <c r="X146" s="846">
        <f>SUMIF($N$131:$N$141,$F$146,X$131:X$141)</f>
        <v>0</v>
      </c>
    </row>
    <row r="147" spans="1:24" x14ac:dyDescent="0.2">
      <c r="A147" s="815"/>
      <c r="B147" s="1386"/>
      <c r="C147" s="1387"/>
      <c r="D147" s="1386"/>
      <c r="E147" s="1388"/>
      <c r="F147" s="1298"/>
      <c r="G147" s="1299"/>
      <c r="H147" s="1299"/>
      <c r="I147" s="1299"/>
      <c r="J147" s="1299"/>
      <c r="K147" s="1299"/>
      <c r="L147" s="1299"/>
      <c r="M147" s="1389" t="str">
        <f>IF(Y142&gt;0,"Nepotpun unos podataka pod rednim brojem "&amp;MATCH(MAX(Y131:Y141),Y105:Y141,0),"")</f>
        <v>Nepotpun unos podataka pod rednim brojem 1</v>
      </c>
      <c r="N147" s="1389"/>
      <c r="O147" s="1389"/>
      <c r="P147" s="1389"/>
      <c r="Q147" s="1389"/>
      <c r="R147" s="1389"/>
      <c r="S147" s="1389"/>
      <c r="T147" s="1389"/>
      <c r="U147" s="1389"/>
      <c r="V147" s="1298"/>
      <c r="W147" s="1298"/>
      <c r="X147" s="1298"/>
    </row>
    <row r="148" spans="1:24" ht="13.5" customHeight="1" x14ac:dyDescent="0.2">
      <c r="B148" s="1390" t="str">
        <f>IF(G142&lt;&gt;SUM(H142:M142),"NEISPRAVAN UNOS, POSTOJI RAZLIKA","")</f>
        <v/>
      </c>
      <c r="C148" s="1390"/>
      <c r="D148" s="1390"/>
      <c r="E148" s="1390"/>
      <c r="F148" s="1390"/>
      <c r="G148" s="1390"/>
      <c r="H148" s="1390"/>
      <c r="I148" s="1390"/>
      <c r="J148" s="1390"/>
      <c r="K148" s="1390"/>
      <c r="L148" s="1390"/>
      <c r="M148" s="1391" t="str">
        <f>IF(Z142&gt;0,"Neispravni iznosi u € ili zbroj pod rednim brojem "&amp;MATCH(MAX(Z131:Z141),Z105:Z141,0),"")</f>
        <v/>
      </c>
      <c r="N148" s="1391"/>
      <c r="O148" s="1391"/>
      <c r="P148" s="1391"/>
      <c r="Q148" s="1391"/>
      <c r="R148" s="1391"/>
      <c r="S148" s="1391"/>
      <c r="T148" s="1391"/>
      <c r="U148" s="1391"/>
      <c r="V148" s="1392"/>
      <c r="W148" s="1392"/>
      <c r="X148" s="1392"/>
    </row>
    <row r="149" spans="1:24" ht="12.75" thickBot="1" x14ac:dyDescent="0.25">
      <c r="B149" s="752" t="str">
        <f>B53</f>
        <v>Medem d.o.o.</v>
      </c>
      <c r="V149" s="763" t="str">
        <f>V101</f>
        <v>verzija 7/2026</v>
      </c>
    </row>
    <row r="150" spans="1:24" ht="10.5" thickBot="1" x14ac:dyDescent="0.25">
      <c r="A150" s="910" t="s">
        <v>187</v>
      </c>
      <c r="B150" s="911"/>
      <c r="C150" s="911"/>
      <c r="D150" s="911"/>
      <c r="E150" s="911"/>
      <c r="F150" s="911"/>
      <c r="G150" s="911"/>
      <c r="H150" s="911"/>
      <c r="I150" s="911"/>
      <c r="J150" s="911"/>
      <c r="K150" s="911"/>
      <c r="L150" s="911"/>
      <c r="M150" s="912"/>
      <c r="O150" s="913"/>
      <c r="P150" s="914"/>
      <c r="Q150" s="914"/>
      <c r="R150" s="915" t="s">
        <v>129</v>
      </c>
      <c r="S150" s="914">
        <f>A154</f>
        <v>28</v>
      </c>
      <c r="T150" s="914"/>
      <c r="U150" s="914"/>
      <c r="V150" s="916"/>
      <c r="W150" s="916"/>
      <c r="X150" s="917"/>
    </row>
    <row r="151" spans="1:24" ht="10.5" thickBot="1" x14ac:dyDescent="0.25">
      <c r="A151" s="918" t="s">
        <v>59</v>
      </c>
      <c r="B151" s="919"/>
      <c r="C151" s="920" t="s">
        <v>66</v>
      </c>
      <c r="D151" s="921"/>
      <c r="E151" s="921"/>
      <c r="F151" s="919"/>
      <c r="G151" s="922" t="str">
        <f t="shared" ref="G151:M151" si="31">H201</f>
        <v>LMS</v>
      </c>
      <c r="H151" s="922" t="str">
        <f t="shared" si="31"/>
        <v>TO</v>
      </c>
      <c r="I151" s="922" t="str">
        <f t="shared" si="31"/>
        <v>IP</v>
      </c>
      <c r="J151" s="922" t="str">
        <f t="shared" si="31"/>
        <v>Test</v>
      </c>
      <c r="K151" s="922" t="str">
        <f t="shared" si="31"/>
        <v>EMS</v>
      </c>
      <c r="L151" s="922" t="str">
        <f t="shared" si="31"/>
        <v>TEL</v>
      </c>
      <c r="M151" s="923" t="str">
        <f t="shared" si="31"/>
        <v>KREMA</v>
      </c>
      <c r="O151" s="924" t="s">
        <v>190</v>
      </c>
      <c r="P151" s="925"/>
      <c r="Q151" s="926" t="s">
        <v>108</v>
      </c>
      <c r="R151" s="927" t="s">
        <v>189</v>
      </c>
      <c r="S151" s="928"/>
      <c r="T151" s="929"/>
      <c r="U151" s="928" t="s">
        <v>254</v>
      </c>
      <c r="V151" s="928"/>
      <c r="W151" s="928"/>
      <c r="X151" s="930"/>
    </row>
    <row r="152" spans="1:24" ht="10.5" thickBot="1" x14ac:dyDescent="0.25">
      <c r="A152" s="931">
        <f>A203</f>
        <v>46204</v>
      </c>
      <c r="B152" s="932"/>
      <c r="C152" s="933" t="s">
        <v>69</v>
      </c>
      <c r="D152" s="934"/>
      <c r="E152" s="934"/>
      <c r="F152" s="935"/>
      <c r="G152" s="936">
        <f t="shared" ref="G152:M152" si="32">H210</f>
        <v>0</v>
      </c>
      <c r="H152" s="936">
        <f t="shared" si="32"/>
        <v>0</v>
      </c>
      <c r="I152" s="936">
        <f t="shared" si="32"/>
        <v>0</v>
      </c>
      <c r="J152" s="936">
        <f t="shared" si="32"/>
        <v>0</v>
      </c>
      <c r="K152" s="936">
        <f t="shared" si="32"/>
        <v>0</v>
      </c>
      <c r="L152" s="936">
        <f t="shared" si="32"/>
        <v>0</v>
      </c>
      <c r="M152" s="937">
        <f t="shared" si="32"/>
        <v>0</v>
      </c>
      <c r="O152" s="938"/>
      <c r="P152" s="939"/>
      <c r="Q152" s="940"/>
      <c r="R152" s="941" t="s">
        <v>110</v>
      </c>
      <c r="S152" s="942" t="s">
        <v>174</v>
      </c>
      <c r="T152" s="941" t="s">
        <v>253</v>
      </c>
      <c r="U152" s="941" t="str">
        <f t="shared" ref="U152:W152" si="33">J151</f>
        <v>Test</v>
      </c>
      <c r="V152" s="941" t="str">
        <f t="shared" si="33"/>
        <v>EMS</v>
      </c>
      <c r="W152" s="941" t="str">
        <f t="shared" si="33"/>
        <v>TEL</v>
      </c>
      <c r="X152" s="943" t="str">
        <f>N201</f>
        <v>KREMA</v>
      </c>
    </row>
    <row r="153" spans="1:24" x14ac:dyDescent="0.2">
      <c r="A153" s="944" t="s">
        <v>151</v>
      </c>
      <c r="B153" s="945" t="s">
        <v>146</v>
      </c>
      <c r="C153" s="946" t="s">
        <v>147</v>
      </c>
      <c r="D153" s="947"/>
      <c r="E153" s="948"/>
      <c r="F153" s="949" t="s">
        <v>151</v>
      </c>
      <c r="G153" s="950" t="s">
        <v>168</v>
      </c>
      <c r="H153" s="951"/>
      <c r="I153" s="951"/>
      <c r="J153" s="951"/>
      <c r="K153" s="951"/>
      <c r="L153" s="951"/>
      <c r="M153" s="952"/>
      <c r="O153" s="953" t="s">
        <v>117</v>
      </c>
      <c r="P153" s="954"/>
      <c r="Q153" s="788"/>
      <c r="R153" s="955"/>
      <c r="S153" s="955"/>
      <c r="T153" s="955"/>
      <c r="U153" s="955"/>
      <c r="V153" s="956"/>
      <c r="W153" s="956"/>
      <c r="X153" s="957"/>
    </row>
    <row r="154" spans="1:24" x14ac:dyDescent="0.2">
      <c r="A154" s="958">
        <f>G4</f>
        <v>28</v>
      </c>
      <c r="B154" s="959">
        <f>G43</f>
        <v>25000</v>
      </c>
      <c r="C154" s="960">
        <f>H43</f>
        <v>12000</v>
      </c>
      <c r="D154" s="961"/>
      <c r="E154" s="962"/>
      <c r="F154" s="963" t="s">
        <v>149</v>
      </c>
      <c r="G154" s="964">
        <f>V43</f>
        <v>0</v>
      </c>
      <c r="H154" s="964">
        <f>W43</f>
        <v>0</v>
      </c>
      <c r="I154" s="964">
        <f>X43</f>
        <v>0</v>
      </c>
      <c r="J154" s="964">
        <f>U165*T215</f>
        <v>0</v>
      </c>
      <c r="K154" s="964">
        <f>V165*T216</f>
        <v>0</v>
      </c>
      <c r="L154" s="964">
        <f>W165*T217</f>
        <v>0</v>
      </c>
      <c r="M154" s="965">
        <f>X165</f>
        <v>0</v>
      </c>
      <c r="O154" s="966" t="s">
        <v>109</v>
      </c>
      <c r="P154" s="967"/>
      <c r="Q154" s="788"/>
      <c r="R154" s="968"/>
      <c r="S154" s="968"/>
      <c r="T154" s="968"/>
      <c r="U154" s="968"/>
      <c r="V154" s="788"/>
      <c r="W154" s="788"/>
      <c r="X154" s="969"/>
    </row>
    <row r="155" spans="1:24" ht="10.5" thickBot="1" x14ac:dyDescent="0.25">
      <c r="A155" s="970">
        <f>A154+1</f>
        <v>29</v>
      </c>
      <c r="B155" s="971">
        <f>G94</f>
        <v>0</v>
      </c>
      <c r="C155" s="972">
        <f>H94</f>
        <v>0</v>
      </c>
      <c r="D155" s="973"/>
      <c r="E155" s="974"/>
      <c r="F155" s="941" t="s">
        <v>150</v>
      </c>
      <c r="G155" s="975">
        <f>V94</f>
        <v>0</v>
      </c>
      <c r="H155" s="975">
        <f>W94</f>
        <v>0</v>
      </c>
      <c r="I155" s="975">
        <f>X94</f>
        <v>0</v>
      </c>
      <c r="J155" s="964">
        <f>U187*T215</f>
        <v>0</v>
      </c>
      <c r="K155" s="964">
        <f>V187*T216</f>
        <v>0</v>
      </c>
      <c r="L155" s="964">
        <f>W187*T217</f>
        <v>0</v>
      </c>
      <c r="M155" s="943">
        <f>X187</f>
        <v>0</v>
      </c>
      <c r="O155" s="976" t="s">
        <v>118</v>
      </c>
      <c r="P155" s="977"/>
      <c r="Q155" s="788"/>
      <c r="R155" s="968"/>
      <c r="S155" s="968"/>
      <c r="T155" s="968"/>
      <c r="U155" s="968"/>
      <c r="V155" s="788"/>
      <c r="W155" s="788"/>
      <c r="X155" s="969"/>
    </row>
    <row r="156" spans="1:24" ht="10.5" thickBot="1" x14ac:dyDescent="0.25">
      <c r="A156" s="978" t="s">
        <v>188</v>
      </c>
      <c r="B156" s="979">
        <f>B222</f>
        <v>25000</v>
      </c>
      <c r="C156" s="980">
        <f>C222</f>
        <v>12000</v>
      </c>
      <c r="D156" s="981"/>
      <c r="E156" s="982"/>
      <c r="F156" s="983" t="s">
        <v>185</v>
      </c>
      <c r="G156" s="984">
        <f>G152-G154-G155</f>
        <v>0</v>
      </c>
      <c r="H156" s="984">
        <f t="shared" ref="H156:M156" si="34">H152-H154-H155</f>
        <v>0</v>
      </c>
      <c r="I156" s="984">
        <f t="shared" si="34"/>
        <v>0</v>
      </c>
      <c r="J156" s="984">
        <f t="shared" si="34"/>
        <v>0</v>
      </c>
      <c r="K156" s="984">
        <f t="shared" si="34"/>
        <v>0</v>
      </c>
      <c r="L156" s="984">
        <f t="shared" si="34"/>
        <v>0</v>
      </c>
      <c r="M156" s="984">
        <f t="shared" si="34"/>
        <v>0</v>
      </c>
      <c r="O156" s="966" t="s">
        <v>111</v>
      </c>
      <c r="P156" s="967"/>
      <c r="Q156" s="788"/>
      <c r="R156" s="968"/>
      <c r="S156" s="968"/>
      <c r="T156" s="968"/>
      <c r="U156" s="968"/>
      <c r="V156" s="788"/>
      <c r="W156" s="788"/>
      <c r="X156" s="969"/>
    </row>
    <row r="157" spans="1:24" ht="10.5" thickBot="1" x14ac:dyDescent="0.25">
      <c r="O157" s="976" t="s">
        <v>112</v>
      </c>
      <c r="P157" s="977"/>
      <c r="Q157" s="788"/>
      <c r="R157" s="968"/>
      <c r="S157" s="968"/>
      <c r="T157" s="968"/>
      <c r="U157" s="968"/>
      <c r="V157" s="788"/>
      <c r="W157" s="788"/>
      <c r="X157" s="969"/>
    </row>
    <row r="158" spans="1:24" ht="10.5" thickBot="1" x14ac:dyDescent="0.25">
      <c r="A158" s="985" t="s">
        <v>184</v>
      </c>
      <c r="B158" s="986"/>
      <c r="C158" s="986"/>
      <c r="D158" s="986"/>
      <c r="E158" s="986"/>
      <c r="F158" s="986"/>
      <c r="G158" s="986"/>
      <c r="H158" s="986"/>
      <c r="I158" s="986"/>
      <c r="J158" s="987"/>
      <c r="K158" s="764"/>
      <c r="N158" s="764"/>
      <c r="O158" s="966" t="s">
        <v>113</v>
      </c>
      <c r="P158" s="967"/>
      <c r="Q158" s="788"/>
      <c r="R158" s="968"/>
      <c r="S158" s="968"/>
      <c r="T158" s="968"/>
      <c r="U158" s="968"/>
      <c r="V158" s="788"/>
      <c r="W158" s="788"/>
      <c r="X158" s="969"/>
    </row>
    <row r="159" spans="1:24" ht="12.75" customHeight="1" x14ac:dyDescent="0.2">
      <c r="A159" s="988" t="s">
        <v>181</v>
      </c>
      <c r="B159" s="1375" t="s">
        <v>64</v>
      </c>
      <c r="C159" s="990" t="s">
        <v>67</v>
      </c>
      <c r="D159" s="991"/>
      <c r="E159" s="992"/>
      <c r="F159" s="989" t="s">
        <v>294</v>
      </c>
      <c r="G159" s="989" t="s">
        <v>198</v>
      </c>
      <c r="H159" s="989" t="s">
        <v>301</v>
      </c>
      <c r="I159" s="989" t="s">
        <v>202</v>
      </c>
      <c r="J159" s="993" t="s">
        <v>203</v>
      </c>
      <c r="N159" s="851"/>
      <c r="O159" s="976" t="s">
        <v>119</v>
      </c>
      <c r="P159" s="977"/>
      <c r="Q159" s="788"/>
      <c r="R159" s="968"/>
      <c r="S159" s="968"/>
      <c r="T159" s="968"/>
      <c r="U159" s="968"/>
      <c r="V159" s="788"/>
      <c r="W159" s="788"/>
      <c r="X159" s="969"/>
    </row>
    <row r="160" spans="1:24" ht="10.5" thickBot="1" x14ac:dyDescent="0.25">
      <c r="A160" s="995"/>
      <c r="B160" s="1376"/>
      <c r="C160" s="997"/>
      <c r="D160" s="998"/>
      <c r="E160" s="999"/>
      <c r="F160" s="996"/>
      <c r="G160" s="996"/>
      <c r="H160" s="996"/>
      <c r="I160" s="996"/>
      <c r="J160" s="1000"/>
      <c r="O160" s="966" t="s">
        <v>114</v>
      </c>
      <c r="P160" s="967"/>
      <c r="Q160" s="788"/>
      <c r="R160" s="968"/>
      <c r="S160" s="968"/>
      <c r="T160" s="968"/>
      <c r="U160" s="968"/>
      <c r="V160" s="788"/>
      <c r="W160" s="788"/>
      <c r="X160" s="969"/>
    </row>
    <row r="161" spans="1:24" x14ac:dyDescent="0.2">
      <c r="A161" s="1001" t="str">
        <f>F95</f>
        <v>T13</v>
      </c>
      <c r="B161" s="1002">
        <f>G44+G95</f>
        <v>25000</v>
      </c>
      <c r="C161" s="1003">
        <f>H44+H95</f>
        <v>12000</v>
      </c>
      <c r="D161" s="1004"/>
      <c r="E161" s="1005"/>
      <c r="F161" s="1002">
        <f>I44+I95</f>
        <v>13000</v>
      </c>
      <c r="G161" s="1002">
        <f>J44+J95</f>
        <v>0</v>
      </c>
      <c r="H161" s="1002">
        <f>K44+K95</f>
        <v>0</v>
      </c>
      <c r="I161" s="1002">
        <f>L44+L95</f>
        <v>0</v>
      </c>
      <c r="J161" s="1006">
        <f>M44+M95</f>
        <v>0</v>
      </c>
      <c r="O161" s="976" t="s">
        <v>120</v>
      </c>
      <c r="P161" s="977"/>
      <c r="Q161" s="788"/>
      <c r="R161" s="968"/>
      <c r="S161" s="968"/>
      <c r="T161" s="968"/>
      <c r="U161" s="968"/>
      <c r="V161" s="788"/>
      <c r="W161" s="788"/>
      <c r="X161" s="1007"/>
    </row>
    <row r="162" spans="1:24" x14ac:dyDescent="0.2">
      <c r="A162" s="1008" t="str">
        <f>F96</f>
        <v>T24</v>
      </c>
      <c r="B162" s="1009">
        <f>G45+G96</f>
        <v>0</v>
      </c>
      <c r="C162" s="1010">
        <f>H45+H96</f>
        <v>0</v>
      </c>
      <c r="D162" s="1011"/>
      <c r="E162" s="1012"/>
      <c r="F162" s="1009">
        <f>I45+I96</f>
        <v>0</v>
      </c>
      <c r="G162" s="1009">
        <f>J45+J96</f>
        <v>0</v>
      </c>
      <c r="H162" s="1009">
        <f>K45+K96</f>
        <v>0</v>
      </c>
      <c r="I162" s="1009">
        <f>L45+L96</f>
        <v>0</v>
      </c>
      <c r="J162" s="1013">
        <f>M45+M96</f>
        <v>0</v>
      </c>
      <c r="O162" s="966" t="s">
        <v>115</v>
      </c>
      <c r="P162" s="967"/>
      <c r="Q162" s="788"/>
      <c r="R162" s="968"/>
      <c r="S162" s="968"/>
      <c r="T162" s="968"/>
      <c r="U162" s="968"/>
      <c r="V162" s="788"/>
      <c r="W162" s="788"/>
      <c r="X162" s="1007"/>
    </row>
    <row r="163" spans="1:24" x14ac:dyDescent="0.2">
      <c r="A163" s="1008">
        <f>F97</f>
        <v>0</v>
      </c>
      <c r="B163" s="1009">
        <f>G46+G97</f>
        <v>0</v>
      </c>
      <c r="C163" s="1010">
        <f>H46+H97</f>
        <v>0</v>
      </c>
      <c r="D163" s="1011"/>
      <c r="E163" s="1012"/>
      <c r="F163" s="1009">
        <f>I46+I97</f>
        <v>0</v>
      </c>
      <c r="G163" s="1009">
        <f>J46+J97</f>
        <v>0</v>
      </c>
      <c r="H163" s="1009">
        <f>K46+K97</f>
        <v>0</v>
      </c>
      <c r="I163" s="1009">
        <f>L46+L97</f>
        <v>0</v>
      </c>
      <c r="J163" s="1013">
        <f>M46+M97</f>
        <v>0</v>
      </c>
      <c r="O163" s="976" t="s">
        <v>116</v>
      </c>
      <c r="P163" s="977"/>
      <c r="Q163" s="788"/>
      <c r="R163" s="968"/>
      <c r="S163" s="968"/>
      <c r="T163" s="968"/>
      <c r="U163" s="968"/>
      <c r="V163" s="788"/>
      <c r="W163" s="788"/>
      <c r="X163" s="1007"/>
    </row>
    <row r="164" spans="1:24" ht="10.5" thickBot="1" x14ac:dyDescent="0.25">
      <c r="A164" s="1014">
        <f>F98</f>
        <v>0</v>
      </c>
      <c r="B164" s="1015">
        <f>G47+G98</f>
        <v>0</v>
      </c>
      <c r="C164" s="1016">
        <f>H47+H98</f>
        <v>0</v>
      </c>
      <c r="D164" s="1017"/>
      <c r="E164" s="1018"/>
      <c r="F164" s="1015">
        <f>I47+I98</f>
        <v>0</v>
      </c>
      <c r="G164" s="1015">
        <f>J47+J98</f>
        <v>0</v>
      </c>
      <c r="H164" s="1015">
        <f>K47+K98</f>
        <v>0</v>
      </c>
      <c r="I164" s="1015">
        <f>L47+L98</f>
        <v>0</v>
      </c>
      <c r="J164" s="1019">
        <f>M47+M98</f>
        <v>0</v>
      </c>
      <c r="O164" s="1020" t="s">
        <v>121</v>
      </c>
      <c r="P164" s="1021"/>
      <c r="Q164" s="813"/>
      <c r="R164" s="1022"/>
      <c r="S164" s="1022"/>
      <c r="T164" s="1022"/>
      <c r="U164" s="1022"/>
      <c r="V164" s="813"/>
      <c r="W164" s="813"/>
      <c r="X164" s="1023"/>
    </row>
    <row r="165" spans="1:24" ht="10.5" thickBot="1" x14ac:dyDescent="0.25">
      <c r="A165" s="1024" t="s">
        <v>182</v>
      </c>
      <c r="B165" s="1025">
        <f>SUM(B161:B164)</f>
        <v>25000</v>
      </c>
      <c r="C165" s="1026">
        <f>SUM(C161:C164)</f>
        <v>12000</v>
      </c>
      <c r="D165" s="1027"/>
      <c r="E165" s="1028"/>
      <c r="F165" s="1025">
        <f t="shared" ref="F165:J165" si="35">SUM(F161:F164)</f>
        <v>13000</v>
      </c>
      <c r="G165" s="1025">
        <f t="shared" si="35"/>
        <v>0</v>
      </c>
      <c r="H165" s="1025">
        <f t="shared" si="35"/>
        <v>0</v>
      </c>
      <c r="I165" s="1025">
        <f t="shared" si="35"/>
        <v>0</v>
      </c>
      <c r="J165" s="1029">
        <f t="shared" si="35"/>
        <v>0</v>
      </c>
      <c r="N165" s="851"/>
      <c r="O165" s="1030" t="s">
        <v>122</v>
      </c>
      <c r="P165" s="1031"/>
      <c r="Q165" s="1032"/>
      <c r="R165" s="1033">
        <f t="shared" ref="R165:X165" si="36">SUM(R153:R164)</f>
        <v>0</v>
      </c>
      <c r="S165" s="1033">
        <f t="shared" si="36"/>
        <v>0</v>
      </c>
      <c r="T165" s="1033">
        <f t="shared" si="36"/>
        <v>0</v>
      </c>
      <c r="U165" s="1033">
        <f t="shared" si="36"/>
        <v>0</v>
      </c>
      <c r="V165" s="1034">
        <f>SUM(V153:V164)</f>
        <v>0</v>
      </c>
      <c r="W165" s="1034">
        <f t="shared" si="36"/>
        <v>0</v>
      </c>
      <c r="X165" s="1035">
        <f t="shared" si="36"/>
        <v>0</v>
      </c>
    </row>
    <row r="166" spans="1:24" ht="10.5" thickBot="1" x14ac:dyDescent="0.25">
      <c r="Q166" s="1036" t="str">
        <f>S203</f>
        <v>T13</v>
      </c>
      <c r="R166" s="1037">
        <f t="shared" ref="R166:X169" si="37">SUMIF($Q$153:$Q$164,$Q166,R$153:R$164)</f>
        <v>0</v>
      </c>
      <c r="S166" s="1037">
        <f t="shared" si="37"/>
        <v>0</v>
      </c>
      <c r="T166" s="1037">
        <f t="shared" si="37"/>
        <v>0</v>
      </c>
      <c r="U166" s="1037">
        <f t="shared" si="37"/>
        <v>0</v>
      </c>
      <c r="V166" s="1037">
        <f t="shared" si="37"/>
        <v>0</v>
      </c>
      <c r="W166" s="1037">
        <f t="shared" si="37"/>
        <v>0</v>
      </c>
      <c r="X166" s="1038">
        <f t="shared" si="37"/>
        <v>0</v>
      </c>
    </row>
    <row r="167" spans="1:24" ht="10.5" customHeight="1" thickBot="1" x14ac:dyDescent="0.25">
      <c r="A167" s="910" t="s">
        <v>343</v>
      </c>
      <c r="B167" s="911"/>
      <c r="C167" s="911"/>
      <c r="D167" s="911"/>
      <c r="E167" s="911"/>
      <c r="F167" s="911"/>
      <c r="G167" s="912"/>
      <c r="H167" s="851"/>
      <c r="I167" s="910" t="s">
        <v>344</v>
      </c>
      <c r="J167" s="911"/>
      <c r="K167" s="911"/>
      <c r="L167" s="911"/>
      <c r="M167" s="912"/>
      <c r="Q167" s="1041" t="str">
        <f>S204</f>
        <v>T24</v>
      </c>
      <c r="R167" s="963">
        <f t="shared" si="37"/>
        <v>0</v>
      </c>
      <c r="S167" s="963">
        <f t="shared" si="37"/>
        <v>0</v>
      </c>
      <c r="T167" s="963">
        <f t="shared" si="37"/>
        <v>0</v>
      </c>
      <c r="U167" s="963">
        <f t="shared" si="37"/>
        <v>0</v>
      </c>
      <c r="V167" s="963">
        <f t="shared" si="37"/>
        <v>0</v>
      </c>
      <c r="W167" s="963">
        <f t="shared" si="37"/>
        <v>0</v>
      </c>
      <c r="X167" s="965">
        <f t="shared" si="37"/>
        <v>0</v>
      </c>
    </row>
    <row r="168" spans="1:24" x14ac:dyDescent="0.2">
      <c r="A168" s="1042" t="s">
        <v>72</v>
      </c>
      <c r="B168" s="1043"/>
      <c r="C168" s="1043"/>
      <c r="D168" s="1043"/>
      <c r="E168" s="1044"/>
      <c r="F168" s="1045">
        <f>H43</f>
        <v>12000</v>
      </c>
      <c r="G168" s="1046"/>
      <c r="I168" s="1042" t="s">
        <v>72</v>
      </c>
      <c r="J168" s="1043"/>
      <c r="K168" s="1044"/>
      <c r="L168" s="1167">
        <f>H122</f>
        <v>0</v>
      </c>
      <c r="M168" s="1168"/>
      <c r="Q168" s="1041">
        <f>S205</f>
        <v>0</v>
      </c>
      <c r="R168" s="963">
        <f t="shared" si="37"/>
        <v>0</v>
      </c>
      <c r="S168" s="963">
        <f t="shared" si="37"/>
        <v>0</v>
      </c>
      <c r="T168" s="963">
        <f t="shared" si="37"/>
        <v>0</v>
      </c>
      <c r="U168" s="963">
        <f t="shared" si="37"/>
        <v>0</v>
      </c>
      <c r="V168" s="963">
        <f t="shared" si="37"/>
        <v>0</v>
      </c>
      <c r="W168" s="963">
        <f t="shared" si="37"/>
        <v>0</v>
      </c>
      <c r="X168" s="965">
        <f t="shared" si="37"/>
        <v>0</v>
      </c>
    </row>
    <row r="169" spans="1:24" ht="10.5" thickBot="1" x14ac:dyDescent="0.25">
      <c r="A169" s="1050" t="s">
        <v>71</v>
      </c>
      <c r="B169" s="1051"/>
      <c r="C169" s="1051"/>
      <c r="D169" s="1051"/>
      <c r="E169" s="1052"/>
      <c r="F169" s="1053">
        <f>H94</f>
        <v>0</v>
      </c>
      <c r="G169" s="1054"/>
      <c r="I169" s="1050" t="s">
        <v>71</v>
      </c>
      <c r="J169" s="1051"/>
      <c r="K169" s="1052"/>
      <c r="L169" s="1173">
        <f>H142</f>
        <v>0</v>
      </c>
      <c r="M169" s="1174"/>
      <c r="Q169" s="1057">
        <f>S206</f>
        <v>0</v>
      </c>
      <c r="R169" s="941">
        <f t="shared" si="37"/>
        <v>0</v>
      </c>
      <c r="S169" s="941">
        <f t="shared" si="37"/>
        <v>0</v>
      </c>
      <c r="T169" s="941">
        <f t="shared" si="37"/>
        <v>0</v>
      </c>
      <c r="U169" s="941">
        <f t="shared" si="37"/>
        <v>0</v>
      </c>
      <c r="V169" s="941">
        <f t="shared" si="37"/>
        <v>0</v>
      </c>
      <c r="W169" s="941">
        <f t="shared" si="37"/>
        <v>0</v>
      </c>
      <c r="X169" s="943">
        <f t="shared" si="37"/>
        <v>0</v>
      </c>
    </row>
    <row r="170" spans="1:24" ht="10.5" thickBot="1" x14ac:dyDescent="0.25">
      <c r="A170" s="1058" t="s">
        <v>76</v>
      </c>
      <c r="B170" s="1059"/>
      <c r="C170" s="1059"/>
      <c r="D170" s="1059"/>
      <c r="E170" s="1060"/>
      <c r="F170" s="1061">
        <f>SUM(F168:G169)</f>
        <v>12000</v>
      </c>
      <c r="G170" s="1062"/>
      <c r="I170" s="1058" t="s">
        <v>76</v>
      </c>
      <c r="J170" s="1059"/>
      <c r="K170" s="1060"/>
      <c r="L170" s="1180">
        <f>SUM(L168:M169)</f>
        <v>0</v>
      </c>
      <c r="M170" s="1181"/>
    </row>
    <row r="171" spans="1:24" ht="10.5" thickBot="1" x14ac:dyDescent="0.25">
      <c r="A171" s="1064" t="s">
        <v>99</v>
      </c>
      <c r="B171" s="1065" t="s">
        <v>100</v>
      </c>
      <c r="C171" s="920" t="s">
        <v>42</v>
      </c>
      <c r="D171" s="921"/>
      <c r="E171" s="919"/>
      <c r="F171" s="1066" t="s">
        <v>60</v>
      </c>
      <c r="G171" s="1067"/>
      <c r="I171" s="1064" t="s">
        <v>99</v>
      </c>
      <c r="J171" s="1065" t="s">
        <v>100</v>
      </c>
      <c r="K171" s="1065" t="s">
        <v>42</v>
      </c>
      <c r="L171" s="1186" t="s">
        <v>60</v>
      </c>
      <c r="M171" s="1187"/>
    </row>
    <row r="172" spans="1:24" ht="10.5" thickBot="1" x14ac:dyDescent="0.25">
      <c r="A172" s="1069">
        <v>46180</v>
      </c>
      <c r="B172" s="1070" t="s">
        <v>249</v>
      </c>
      <c r="C172" s="1361" t="s">
        <v>331</v>
      </c>
      <c r="D172" s="1362"/>
      <c r="E172" s="1363"/>
      <c r="F172" s="1394">
        <v>1200</v>
      </c>
      <c r="G172" s="1395"/>
      <c r="H172" s="757">
        <f>IF(AND(A172&lt;&gt;"",B172&lt;&gt;"",C172&lt;&gt;"",F172&lt;&gt;""),0,IF(OR(A172&lt;&gt;"",B172&lt;&gt;"",C172&lt;&gt;"",F172&lt;&gt;""),1,0))</f>
        <v>0</v>
      </c>
      <c r="I172" s="1069">
        <v>46180</v>
      </c>
      <c r="J172" s="1070" t="s">
        <v>249</v>
      </c>
      <c r="K172" s="956" t="s">
        <v>331</v>
      </c>
      <c r="L172" s="1400">
        <v>15</v>
      </c>
      <c r="M172" s="1401"/>
      <c r="N172" s="757">
        <f>IF(AND(I172&lt;&gt;"",J172&lt;&gt;"",K172&lt;&gt;"",L172&lt;&gt;""),0,IF(OR(I172&lt;&gt;"",J172&lt;&gt;"",K172&lt;&gt;"",L172&lt;&gt;""),1,0))</f>
        <v>0</v>
      </c>
      <c r="O172" s="1073" t="s">
        <v>192</v>
      </c>
      <c r="P172" s="766"/>
      <c r="Q172" s="766"/>
      <c r="R172" s="766"/>
      <c r="S172" s="914">
        <f>A155</f>
        <v>29</v>
      </c>
      <c r="T172" s="914"/>
      <c r="U172" s="914"/>
      <c r="V172" s="914"/>
      <c r="W172" s="914"/>
      <c r="X172" s="1074"/>
    </row>
    <row r="173" spans="1:24" x14ac:dyDescent="0.2">
      <c r="A173" s="1075"/>
      <c r="B173" s="1076"/>
      <c r="C173" s="1077"/>
      <c r="D173" s="1078"/>
      <c r="E173" s="1079"/>
      <c r="F173" s="1408"/>
      <c r="G173" s="1409"/>
      <c r="H173" s="757">
        <f t="shared" ref="H173:H182" si="38">IF(AND(A173&lt;&gt;"",B173&lt;&gt;"",C173&lt;&gt;"",F173&lt;&gt;""),0,IF(OR(A173&lt;&gt;"",B173&lt;&gt;"",C173&lt;&gt;"",F173&lt;&gt;""),1,0))</f>
        <v>0</v>
      </c>
      <c r="I173" s="1075"/>
      <c r="J173" s="1076"/>
      <c r="K173" s="788"/>
      <c r="L173" s="1402"/>
      <c r="M173" s="1403"/>
      <c r="N173" s="757">
        <f t="shared" ref="N173:N182" si="39">IF(AND(I173&lt;&gt;"",J173&lt;&gt;"",K173&lt;&gt;"",L173&lt;&gt;""),0,IF(OR(I173&lt;&gt;"",J173&lt;&gt;"",K173&lt;&gt;"",L173&lt;&gt;""),1,0))</f>
        <v>0</v>
      </c>
      <c r="O173" s="1081" t="str">
        <f>O151</f>
        <v>Prezentacije</v>
      </c>
      <c r="P173" s="1082"/>
      <c r="Q173" s="948" t="str">
        <f>Q151</f>
        <v>Tim</v>
      </c>
      <c r="R173" s="927" t="s">
        <v>189</v>
      </c>
      <c r="S173" s="928"/>
      <c r="T173" s="929"/>
      <c r="U173" s="928" t="s">
        <v>254</v>
      </c>
      <c r="V173" s="928"/>
      <c r="W173" s="928"/>
      <c r="X173" s="930"/>
    </row>
    <row r="174" spans="1:24" ht="10.5" thickBot="1" x14ac:dyDescent="0.25">
      <c r="A174" s="1075"/>
      <c r="B174" s="1076"/>
      <c r="C174" s="1077"/>
      <c r="D174" s="1078"/>
      <c r="E174" s="1079"/>
      <c r="F174" s="1408"/>
      <c r="G174" s="1409"/>
      <c r="H174" s="757">
        <f t="shared" si="38"/>
        <v>0</v>
      </c>
      <c r="I174" s="1075"/>
      <c r="J174" s="1076"/>
      <c r="K174" s="788"/>
      <c r="L174" s="1402"/>
      <c r="M174" s="1403"/>
      <c r="N174" s="757">
        <f t="shared" si="39"/>
        <v>0</v>
      </c>
      <c r="O174" s="1020"/>
      <c r="P174" s="1083"/>
      <c r="Q174" s="1084"/>
      <c r="R174" s="1085" t="str">
        <f>R152</f>
        <v>Gostiju</v>
      </c>
      <c r="S174" s="941" t="str">
        <f>S152</f>
        <v>B.parova</v>
      </c>
      <c r="T174" s="941" t="s">
        <v>253</v>
      </c>
      <c r="U174" s="941" t="str">
        <f t="shared" ref="U174:W174" si="40">U152</f>
        <v>Test</v>
      </c>
      <c r="V174" s="941" t="str">
        <f t="shared" si="40"/>
        <v>EMS</v>
      </c>
      <c r="W174" s="941" t="str">
        <f t="shared" si="40"/>
        <v>TEL</v>
      </c>
      <c r="X174" s="943" t="str">
        <f>X152</f>
        <v>KREMA</v>
      </c>
    </row>
    <row r="175" spans="1:24" x14ac:dyDescent="0.2">
      <c r="A175" s="1075"/>
      <c r="B175" s="1076"/>
      <c r="C175" s="1077"/>
      <c r="D175" s="1078"/>
      <c r="E175" s="1079"/>
      <c r="F175" s="1408"/>
      <c r="G175" s="1409"/>
      <c r="H175" s="757">
        <f t="shared" si="38"/>
        <v>0</v>
      </c>
      <c r="I175" s="1075"/>
      <c r="J175" s="1076"/>
      <c r="K175" s="788"/>
      <c r="L175" s="1402"/>
      <c r="M175" s="1403"/>
      <c r="N175" s="757">
        <f t="shared" si="39"/>
        <v>0</v>
      </c>
      <c r="O175" s="953" t="s">
        <v>117</v>
      </c>
      <c r="P175" s="954"/>
      <c r="Q175" s="788"/>
      <c r="R175" s="955"/>
      <c r="S175" s="955"/>
      <c r="T175" s="955"/>
      <c r="U175" s="956"/>
      <c r="V175" s="956"/>
      <c r="W175" s="956"/>
      <c r="X175" s="1086"/>
    </row>
    <row r="176" spans="1:24" x14ac:dyDescent="0.2">
      <c r="A176" s="1075"/>
      <c r="B176" s="1076"/>
      <c r="C176" s="1077"/>
      <c r="D176" s="1078"/>
      <c r="E176" s="1079"/>
      <c r="F176" s="1408"/>
      <c r="G176" s="1409"/>
      <c r="H176" s="757">
        <f t="shared" si="38"/>
        <v>0</v>
      </c>
      <c r="I176" s="1075"/>
      <c r="J176" s="1076"/>
      <c r="K176" s="788" t="s">
        <v>297</v>
      </c>
      <c r="L176" s="1402"/>
      <c r="M176" s="1403"/>
      <c r="N176" s="757">
        <f t="shared" si="39"/>
        <v>1</v>
      </c>
      <c r="O176" s="966" t="s">
        <v>109</v>
      </c>
      <c r="P176" s="967"/>
      <c r="Q176" s="788"/>
      <c r="R176" s="968"/>
      <c r="S176" s="968"/>
      <c r="T176" s="968"/>
      <c r="U176" s="788"/>
      <c r="V176" s="788"/>
      <c r="W176" s="788"/>
      <c r="X176" s="1007"/>
    </row>
    <row r="177" spans="1:24" x14ac:dyDescent="0.2">
      <c r="A177" s="1087"/>
      <c r="B177" s="1076"/>
      <c r="C177" s="1077"/>
      <c r="D177" s="1078"/>
      <c r="E177" s="1079"/>
      <c r="F177" s="1408"/>
      <c r="G177" s="1409"/>
      <c r="H177" s="757">
        <f t="shared" si="38"/>
        <v>0</v>
      </c>
      <c r="I177" s="1087"/>
      <c r="J177" s="1076"/>
      <c r="K177" s="788"/>
      <c r="L177" s="1402"/>
      <c r="M177" s="1403"/>
      <c r="N177" s="757">
        <f t="shared" si="39"/>
        <v>0</v>
      </c>
      <c r="O177" s="976" t="s">
        <v>118</v>
      </c>
      <c r="P177" s="977"/>
      <c r="Q177" s="788"/>
      <c r="R177" s="968"/>
      <c r="S177" s="968"/>
      <c r="T177" s="968"/>
      <c r="U177" s="788"/>
      <c r="V177" s="788"/>
      <c r="W177" s="788"/>
      <c r="X177" s="1007"/>
    </row>
    <row r="178" spans="1:24" x14ac:dyDescent="0.2">
      <c r="A178" s="1087"/>
      <c r="B178" s="1076"/>
      <c r="C178" s="1077"/>
      <c r="D178" s="1078"/>
      <c r="E178" s="1079"/>
      <c r="F178" s="1396">
        <v>1</v>
      </c>
      <c r="G178" s="1397"/>
      <c r="H178" s="757">
        <f t="shared" si="38"/>
        <v>1</v>
      </c>
      <c r="I178" s="1087"/>
      <c r="J178" s="1076"/>
      <c r="K178" s="788"/>
      <c r="L178" s="1402"/>
      <c r="M178" s="1403"/>
      <c r="N178" s="757">
        <f t="shared" si="39"/>
        <v>0</v>
      </c>
      <c r="O178" s="966" t="s">
        <v>111</v>
      </c>
      <c r="P178" s="967"/>
      <c r="Q178" s="788"/>
      <c r="R178" s="968"/>
      <c r="S178" s="968"/>
      <c r="T178" s="968"/>
      <c r="U178" s="788"/>
      <c r="V178" s="788"/>
      <c r="W178" s="788"/>
      <c r="X178" s="1007"/>
    </row>
    <row r="179" spans="1:24" ht="9.75" customHeight="1" x14ac:dyDescent="0.2">
      <c r="A179" s="1087"/>
      <c r="B179" s="1076"/>
      <c r="C179" s="1077"/>
      <c r="D179" s="1078"/>
      <c r="E179" s="1079"/>
      <c r="F179" s="1396"/>
      <c r="G179" s="1397"/>
      <c r="H179" s="757">
        <f t="shared" si="38"/>
        <v>0</v>
      </c>
      <c r="I179" s="1087"/>
      <c r="J179" s="1076"/>
      <c r="K179" s="788"/>
      <c r="L179" s="1402"/>
      <c r="M179" s="1403"/>
      <c r="N179" s="757">
        <f t="shared" si="39"/>
        <v>0</v>
      </c>
      <c r="O179" s="976" t="s">
        <v>112</v>
      </c>
      <c r="P179" s="977"/>
      <c r="Q179" s="788"/>
      <c r="R179" s="968"/>
      <c r="S179" s="968"/>
      <c r="T179" s="968"/>
      <c r="U179" s="968"/>
      <c r="V179" s="788"/>
      <c r="W179" s="788"/>
      <c r="X179" s="1007"/>
    </row>
    <row r="180" spans="1:24" x14ac:dyDescent="0.2">
      <c r="A180" s="1087"/>
      <c r="B180" s="1076"/>
      <c r="C180" s="1077"/>
      <c r="D180" s="1078"/>
      <c r="E180" s="1079"/>
      <c r="F180" s="1396"/>
      <c r="G180" s="1397"/>
      <c r="H180" s="757">
        <f t="shared" si="38"/>
        <v>0</v>
      </c>
      <c r="I180" s="1087"/>
      <c r="J180" s="1076"/>
      <c r="K180" s="788"/>
      <c r="L180" s="1404"/>
      <c r="M180" s="1405"/>
      <c r="N180" s="757">
        <f t="shared" si="39"/>
        <v>0</v>
      </c>
      <c r="O180" s="966" t="s">
        <v>113</v>
      </c>
      <c r="P180" s="967"/>
      <c r="Q180" s="788"/>
      <c r="R180" s="968"/>
      <c r="S180" s="968"/>
      <c r="T180" s="968"/>
      <c r="U180" s="968"/>
      <c r="V180" s="788"/>
      <c r="W180" s="788"/>
      <c r="X180" s="1007"/>
    </row>
    <row r="181" spans="1:24" x14ac:dyDescent="0.2">
      <c r="A181" s="1087"/>
      <c r="B181" s="1076"/>
      <c r="C181" s="1077"/>
      <c r="D181" s="1078"/>
      <c r="E181" s="1079"/>
      <c r="F181" s="1396"/>
      <c r="G181" s="1397"/>
      <c r="H181" s="757">
        <f t="shared" si="38"/>
        <v>0</v>
      </c>
      <c r="I181" s="1087"/>
      <c r="J181" s="1076"/>
      <c r="K181" s="788"/>
      <c r="L181" s="1404"/>
      <c r="M181" s="1405"/>
      <c r="N181" s="757">
        <f t="shared" si="39"/>
        <v>0</v>
      </c>
      <c r="O181" s="976" t="s">
        <v>119</v>
      </c>
      <c r="P181" s="977"/>
      <c r="Q181" s="788"/>
      <c r="R181" s="968"/>
      <c r="S181" s="968"/>
      <c r="T181" s="968"/>
      <c r="U181" s="968"/>
      <c r="V181" s="788"/>
      <c r="W181" s="788"/>
      <c r="X181" s="1007"/>
    </row>
    <row r="182" spans="1:24" ht="10.5" thickBot="1" x14ac:dyDescent="0.25">
      <c r="A182" s="1100"/>
      <c r="B182" s="1101"/>
      <c r="C182" s="1102"/>
      <c r="D182" s="1103"/>
      <c r="E182" s="1104"/>
      <c r="F182" s="1398"/>
      <c r="G182" s="1399"/>
      <c r="H182" s="757">
        <f t="shared" si="38"/>
        <v>0</v>
      </c>
      <c r="I182" s="1100"/>
      <c r="J182" s="1101"/>
      <c r="K182" s="813"/>
      <c r="L182" s="1406"/>
      <c r="M182" s="1407"/>
      <c r="N182" s="757">
        <f t="shared" si="39"/>
        <v>0</v>
      </c>
      <c r="O182" s="966" t="s">
        <v>114</v>
      </c>
      <c r="P182" s="967"/>
      <c r="Q182" s="788"/>
      <c r="R182" s="968"/>
      <c r="S182" s="968"/>
      <c r="T182" s="968"/>
      <c r="U182" s="968"/>
      <c r="V182" s="788"/>
      <c r="W182" s="788"/>
      <c r="X182" s="1007"/>
    </row>
    <row r="183" spans="1:24" x14ac:dyDescent="0.2">
      <c r="A183" s="1107" t="s">
        <v>342</v>
      </c>
      <c r="B183" s="1108" t="s">
        <v>200</v>
      </c>
      <c r="C183" s="1109"/>
      <c r="D183" s="1109"/>
      <c r="E183" s="1110"/>
      <c r="F183" s="1111">
        <f>SUMIF(B172:B182,B183,F172:G182)</f>
        <v>0</v>
      </c>
      <c r="G183" s="1112"/>
      <c r="H183" s="757">
        <f>SUM(H172:H182)</f>
        <v>1</v>
      </c>
      <c r="I183" s="1383" t="s">
        <v>124</v>
      </c>
      <c r="J183" s="946" t="s">
        <v>200</v>
      </c>
      <c r="K183" s="948"/>
      <c r="L183" s="1167">
        <f>SUMIF(J172:J182,J183,L172:M182)</f>
        <v>0</v>
      </c>
      <c r="M183" s="1168"/>
      <c r="N183" s="757">
        <f>SUM(N172:N182)</f>
        <v>1</v>
      </c>
      <c r="O183" s="976" t="s">
        <v>120</v>
      </c>
      <c r="P183" s="977"/>
      <c r="Q183" s="788"/>
      <c r="R183" s="968"/>
      <c r="S183" s="968"/>
      <c r="T183" s="968"/>
      <c r="U183" s="968"/>
      <c r="V183" s="788"/>
      <c r="W183" s="788"/>
      <c r="X183" s="1007"/>
    </row>
    <row r="184" spans="1:24" ht="10.5" thickBot="1" x14ac:dyDescent="0.25">
      <c r="A184" s="1113"/>
      <c r="B184" s="1114" t="s">
        <v>249</v>
      </c>
      <c r="C184" s="1115"/>
      <c r="D184" s="1115"/>
      <c r="E184" s="1116"/>
      <c r="F184" s="1117">
        <f>SUMIF(B172:B182,B184,F172:G182)</f>
        <v>1200</v>
      </c>
      <c r="G184" s="1118"/>
      <c r="I184" s="1226"/>
      <c r="J184" s="1227" t="s">
        <v>249</v>
      </c>
      <c r="K184" s="1084"/>
      <c r="L184" s="1228">
        <f>SUMIF(J172:J182,J184,L172:M182)</f>
        <v>15</v>
      </c>
      <c r="M184" s="1229"/>
      <c r="O184" s="966" t="s">
        <v>115</v>
      </c>
      <c r="P184" s="967"/>
      <c r="Q184" s="788"/>
      <c r="R184" s="968"/>
      <c r="S184" s="968"/>
      <c r="T184" s="968"/>
      <c r="U184" s="968"/>
      <c r="V184" s="788"/>
      <c r="W184" s="788"/>
      <c r="X184" s="1007"/>
    </row>
    <row r="185" spans="1:24" ht="10.5" thickBot="1" x14ac:dyDescent="0.25">
      <c r="A185" s="1122" t="s">
        <v>73</v>
      </c>
      <c r="B185" s="1123"/>
      <c r="C185" s="1123"/>
      <c r="D185" s="1123"/>
      <c r="E185" s="1123"/>
      <c r="F185" s="1124">
        <f>SUM(F172:G182)</f>
        <v>1201</v>
      </c>
      <c r="G185" s="1125"/>
      <c r="I185" s="1238" t="s">
        <v>73</v>
      </c>
      <c r="J185" s="1239"/>
      <c r="K185" s="1240"/>
      <c r="L185" s="1241">
        <f>SUM(L172:M182)</f>
        <v>15</v>
      </c>
      <c r="M185" s="1242"/>
      <c r="O185" s="976" t="s">
        <v>116</v>
      </c>
      <c r="P185" s="977"/>
      <c r="Q185" s="788"/>
      <c r="R185" s="968"/>
      <c r="S185" s="968"/>
      <c r="T185" s="968"/>
      <c r="U185" s="968"/>
      <c r="V185" s="788"/>
      <c r="W185" s="788"/>
      <c r="X185" s="1007"/>
    </row>
    <row r="186" spans="1:24" ht="10.5" thickBot="1" x14ac:dyDescent="0.25">
      <c r="A186" s="1126" t="s">
        <v>341</v>
      </c>
      <c r="B186" s="1127"/>
      <c r="C186" s="1127"/>
      <c r="D186" s="1127"/>
      <c r="E186" s="1127"/>
      <c r="F186" s="1379">
        <f>F170-F185</f>
        <v>10799</v>
      </c>
      <c r="G186" s="1380"/>
      <c r="I186" s="1250" t="s">
        <v>341</v>
      </c>
      <c r="J186" s="1251"/>
      <c r="K186" s="1252"/>
      <c r="L186" s="1253">
        <f>L170-L185</f>
        <v>-15</v>
      </c>
      <c r="M186" s="1254"/>
      <c r="O186" s="1020" t="s">
        <v>121</v>
      </c>
      <c r="P186" s="1021"/>
      <c r="Q186" s="788"/>
      <c r="R186" s="1022"/>
      <c r="S186" s="1022"/>
      <c r="T186" s="1022"/>
      <c r="U186" s="1022"/>
      <c r="V186" s="813"/>
      <c r="W186" s="813"/>
      <c r="X186" s="1023"/>
    </row>
    <row r="187" spans="1:24" ht="10.5" thickBot="1" x14ac:dyDescent="0.25">
      <c r="A187" s="1128"/>
      <c r="B187" s="1129"/>
      <c r="C187" s="1129"/>
      <c r="D187" s="1129"/>
      <c r="E187" s="1129"/>
      <c r="F187" s="1381"/>
      <c r="G187" s="1382"/>
      <c r="I187" s="1264"/>
      <c r="J187" s="1265"/>
      <c r="K187" s="1266"/>
      <c r="L187" s="1267"/>
      <c r="M187" s="1268"/>
      <c r="O187" s="1030" t="s">
        <v>122</v>
      </c>
      <c r="P187" s="1031"/>
      <c r="Q187" s="1032"/>
      <c r="R187" s="1033">
        <f t="shared" ref="R187:X187" si="41">SUM(R175:R186)</f>
        <v>0</v>
      </c>
      <c r="S187" s="1033">
        <f t="shared" si="41"/>
        <v>0</v>
      </c>
      <c r="T187" s="1033">
        <f t="shared" si="41"/>
        <v>0</v>
      </c>
      <c r="U187" s="1033">
        <f>SUM(U175:U186)</f>
        <v>0</v>
      </c>
      <c r="V187" s="1034">
        <f t="shared" si="41"/>
        <v>0</v>
      </c>
      <c r="W187" s="1034">
        <f t="shared" si="41"/>
        <v>0</v>
      </c>
      <c r="X187" s="1035">
        <f t="shared" si="41"/>
        <v>0</v>
      </c>
    </row>
    <row r="188" spans="1:24" x14ac:dyDescent="0.2">
      <c r="A188" s="1136" t="s">
        <v>162</v>
      </c>
      <c r="B188" s="1137" t="s">
        <v>163</v>
      </c>
      <c r="C188" s="1137"/>
      <c r="D188" s="1137"/>
      <c r="E188" s="1137"/>
      <c r="F188" s="1138" t="s">
        <v>164</v>
      </c>
      <c r="G188" s="1139"/>
      <c r="I188" s="1136" t="s">
        <v>162</v>
      </c>
      <c r="J188" s="1274" t="s">
        <v>163</v>
      </c>
      <c r="K188" s="1275"/>
      <c r="L188" s="1276" t="s">
        <v>164</v>
      </c>
      <c r="M188" s="1277"/>
      <c r="Q188" s="1036" t="str">
        <f>Q166</f>
        <v>T13</v>
      </c>
      <c r="R188" s="1037">
        <f t="shared" ref="R188:X190" si="42">SUMIF($Q$175:$Q$186,$Q188,R$175:R$186)</f>
        <v>0</v>
      </c>
      <c r="S188" s="1037">
        <f t="shared" si="42"/>
        <v>0</v>
      </c>
      <c r="T188" s="1037">
        <f t="shared" si="42"/>
        <v>0</v>
      </c>
      <c r="U188" s="1037">
        <f t="shared" si="42"/>
        <v>0</v>
      </c>
      <c r="V188" s="1037">
        <f t="shared" si="42"/>
        <v>0</v>
      </c>
      <c r="W188" s="1037">
        <f t="shared" si="42"/>
        <v>0</v>
      </c>
      <c r="X188" s="1038">
        <f t="shared" si="42"/>
        <v>0</v>
      </c>
    </row>
    <row r="189" spans="1:24" x14ac:dyDescent="0.2">
      <c r="A189" s="958" t="str">
        <f>S203</f>
        <v>T13</v>
      </c>
      <c r="B189" s="1145">
        <f>SUMIF($E$172:$E$182,A189,$F$172:$G$182)</f>
        <v>0</v>
      </c>
      <c r="C189" s="1145"/>
      <c r="D189" s="1145"/>
      <c r="E189" s="1145"/>
      <c r="F189" s="1053">
        <f>H95+H44-B189</f>
        <v>12000</v>
      </c>
      <c r="G189" s="1054"/>
      <c r="I189" s="958" t="str">
        <f>S203</f>
        <v>T13</v>
      </c>
      <c r="J189" s="1283">
        <f>SUMIF($J$172:$J$182,I189,$L$172:$L$182)</f>
        <v>0</v>
      </c>
      <c r="K189" s="1284"/>
      <c r="L189" s="1285">
        <f>H123+H143-J189</f>
        <v>0</v>
      </c>
      <c r="M189" s="1286"/>
      <c r="Q189" s="1041" t="str">
        <f>Q167</f>
        <v>T24</v>
      </c>
      <c r="R189" s="963">
        <f t="shared" si="42"/>
        <v>0</v>
      </c>
      <c r="S189" s="963">
        <f t="shared" si="42"/>
        <v>0</v>
      </c>
      <c r="T189" s="963">
        <f t="shared" si="42"/>
        <v>0</v>
      </c>
      <c r="U189" s="963">
        <f t="shared" si="42"/>
        <v>0</v>
      </c>
      <c r="V189" s="963">
        <f t="shared" si="42"/>
        <v>0</v>
      </c>
      <c r="W189" s="963">
        <f t="shared" si="42"/>
        <v>0</v>
      </c>
      <c r="X189" s="965">
        <f t="shared" si="42"/>
        <v>0</v>
      </c>
    </row>
    <row r="190" spans="1:24" x14ac:dyDescent="0.2">
      <c r="A190" s="958" t="str">
        <f>S204</f>
        <v>T24</v>
      </c>
      <c r="B190" s="1145">
        <f>SUMIF($E$172:$E$182,A190,$F$172:$G$182)</f>
        <v>0</v>
      </c>
      <c r="C190" s="1145"/>
      <c r="D190" s="1145"/>
      <c r="E190" s="1145"/>
      <c r="F190" s="1053">
        <f>H96+H45-B190</f>
        <v>0</v>
      </c>
      <c r="G190" s="1054"/>
      <c r="I190" s="958" t="str">
        <f>S204</f>
        <v>T24</v>
      </c>
      <c r="J190" s="1283">
        <f>SUMIF($J$172:$J$182,I190,$L$172:$L$182)</f>
        <v>0</v>
      </c>
      <c r="K190" s="1284"/>
      <c r="L190" s="1285">
        <f>H124+H144-J190</f>
        <v>0</v>
      </c>
      <c r="M190" s="1286"/>
      <c r="Q190" s="1041">
        <f>Q168</f>
        <v>0</v>
      </c>
      <c r="R190" s="963">
        <f t="shared" si="42"/>
        <v>0</v>
      </c>
      <c r="S190" s="963">
        <f t="shared" si="42"/>
        <v>0</v>
      </c>
      <c r="T190" s="963">
        <f t="shared" si="42"/>
        <v>0</v>
      </c>
      <c r="U190" s="963">
        <f t="shared" si="42"/>
        <v>0</v>
      </c>
      <c r="V190" s="963">
        <f t="shared" si="42"/>
        <v>0</v>
      </c>
      <c r="W190" s="963">
        <f t="shared" si="42"/>
        <v>0</v>
      </c>
      <c r="X190" s="965">
        <f t="shared" si="42"/>
        <v>0</v>
      </c>
    </row>
    <row r="191" spans="1:24" ht="10.5" thickBot="1" x14ac:dyDescent="0.25">
      <c r="A191" s="958">
        <f>S205</f>
        <v>0</v>
      </c>
      <c r="B191" s="1145">
        <f>SUMIF($E$172:$E$182,A191,$F$172:$G$182)</f>
        <v>0</v>
      </c>
      <c r="C191" s="1145"/>
      <c r="D191" s="1145"/>
      <c r="E191" s="1145"/>
      <c r="F191" s="1053">
        <f>H97+H46-B191</f>
        <v>0</v>
      </c>
      <c r="G191" s="1054"/>
      <c r="I191" s="958">
        <f>S205</f>
        <v>0</v>
      </c>
      <c r="J191" s="1283">
        <f>SUMIF($J$172:$J$182,I191,$L$172:$L$182)</f>
        <v>0</v>
      </c>
      <c r="K191" s="1284"/>
      <c r="L191" s="1285">
        <f>H125+H145-J191</f>
        <v>0</v>
      </c>
      <c r="M191" s="1286"/>
      <c r="Q191" s="1057">
        <f>Q169</f>
        <v>0</v>
      </c>
      <c r="R191" s="941">
        <f>SUMIF($Q$175:$Q$186,$Q191,R$175:R$186)</f>
        <v>0</v>
      </c>
      <c r="S191" s="941">
        <f>SUMIF($Q$175:$Q$186,$Q191,S$175:S$186)</f>
        <v>0</v>
      </c>
      <c r="T191" s="941">
        <f>SUMIF($Q$175:$Q$186,$Q191,T$175:T$186)</f>
        <v>0</v>
      </c>
      <c r="U191" s="941">
        <f>SUMIF($Q$175:$Q$186,$Q191,U$175:U$186)</f>
        <v>0</v>
      </c>
      <c r="V191" s="941">
        <f>SUMIF($Q$153:$Q$164,$Q169,V$175:V$186)</f>
        <v>0</v>
      </c>
      <c r="W191" s="941">
        <f>SUMIF($Q$153:$Q$164,$Q169,W$175:W$186)</f>
        <v>0</v>
      </c>
      <c r="X191" s="943">
        <f>SUMIF($Q$153:$Q$164,$Q169,X$175:X$186)</f>
        <v>0</v>
      </c>
    </row>
    <row r="192" spans="1:24" ht="10.5" thickBot="1" x14ac:dyDescent="0.25">
      <c r="A192" s="970">
        <f>S206</f>
        <v>0</v>
      </c>
      <c r="B192" s="1153">
        <f>SUMIF($E$172:$E$182,A192,$F$172:$G$182)</f>
        <v>0</v>
      </c>
      <c r="C192" s="1153"/>
      <c r="D192" s="1153"/>
      <c r="E192" s="1153"/>
      <c r="F192" s="1117">
        <f>H98+H47-B192</f>
        <v>0</v>
      </c>
      <c r="G192" s="1118"/>
      <c r="I192" s="970">
        <f>S206</f>
        <v>0</v>
      </c>
      <c r="J192" s="1287">
        <f>SUMIF($J$172:$J$182,I192,$L$172:$L$182)</f>
        <v>0</v>
      </c>
      <c r="K192" s="1288"/>
      <c r="L192" s="1228">
        <f>H126+H146-J192</f>
        <v>0</v>
      </c>
      <c r="M192" s="1229"/>
      <c r="O192" s="1158"/>
      <c r="P192" s="1158"/>
      <c r="Q192" s="1158"/>
    </row>
    <row r="193" spans="1:22" ht="12" customHeight="1" x14ac:dyDescent="0.2">
      <c r="B193" s="1360" t="str">
        <f>IF(H183&gt;0,"Nepotpuni podaci u redu "&amp;MATCH(MAX(H172:H182),H172:H182,0),"")</f>
        <v>Nepotpuni podaci u redu 7</v>
      </c>
      <c r="C193" s="1360"/>
      <c r="D193" s="1360"/>
      <c r="E193" s="1360"/>
      <c r="F193" s="1360"/>
      <c r="G193" s="1360"/>
      <c r="I193" s="1360" t="str">
        <f>IF(N183&gt;0,"Nepotpuni podaci u redu "&amp;MATCH(MAX(N172:N182),N172:N182,0),"")</f>
        <v>Nepotpuni podaci u redu 5</v>
      </c>
      <c r="J193" s="1360"/>
      <c r="K193" s="1360"/>
      <c r="L193" s="1360"/>
      <c r="M193" s="1360"/>
    </row>
    <row r="194" spans="1:22" ht="9.75" customHeight="1" x14ac:dyDescent="0.2">
      <c r="B194" s="1358"/>
      <c r="C194" s="1358"/>
      <c r="D194" s="1358"/>
      <c r="E194" s="1358"/>
      <c r="F194" s="1358"/>
      <c r="G194" s="1358"/>
      <c r="I194" s="1410"/>
      <c r="J194" s="1410"/>
      <c r="K194" s="1410"/>
      <c r="L194" s="1410"/>
      <c r="M194" s="1410"/>
    </row>
    <row r="195" spans="1:22" ht="9.75" customHeight="1" x14ac:dyDescent="0.2">
      <c r="B195" s="1393"/>
      <c r="C195" s="1393"/>
      <c r="D195" s="1393"/>
      <c r="E195" s="1393"/>
      <c r="F195" s="1393"/>
      <c r="G195" s="1393"/>
      <c r="I195" s="759"/>
      <c r="J195" s="759" t="s">
        <v>345</v>
      </c>
    </row>
    <row r="196" spans="1:22" ht="9.75" customHeight="1" x14ac:dyDescent="0.2">
      <c r="B196" s="1393"/>
      <c r="C196" s="1393"/>
      <c r="D196" s="1393"/>
      <c r="E196" s="1393"/>
      <c r="F196" s="1393"/>
      <c r="G196" s="1393"/>
    </row>
    <row r="197" spans="1:22" ht="9.75" customHeight="1" x14ac:dyDescent="0.2"/>
    <row r="198" spans="1:22" x14ac:dyDescent="0.2">
      <c r="A198" s="851" t="s">
        <v>180</v>
      </c>
      <c r="B198" s="851" t="str">
        <f>S203</f>
        <v>T13</v>
      </c>
      <c r="C198" s="1296"/>
      <c r="D198" s="851"/>
      <c r="H198" s="851" t="s">
        <v>186</v>
      </c>
      <c r="I198" s="851">
        <f>T202</f>
        <v>28</v>
      </c>
      <c r="J198" s="851">
        <f>I198+1</f>
        <v>29</v>
      </c>
      <c r="V198" s="757" t="str">
        <f>V149</f>
        <v>verzija 7/2026</v>
      </c>
    </row>
    <row r="199" spans="1:22" ht="10.5" thickBot="1" x14ac:dyDescent="0.25"/>
    <row r="200" spans="1:22" ht="10.5" thickBot="1" x14ac:dyDescent="0.25">
      <c r="A200" s="1160" t="s">
        <v>75</v>
      </c>
      <c r="B200" s="1161"/>
      <c r="C200" s="1161"/>
      <c r="D200" s="1161"/>
      <c r="E200" s="1161"/>
      <c r="F200" s="1161"/>
      <c r="G200" s="1161"/>
      <c r="H200" s="1161"/>
      <c r="I200" s="1161"/>
      <c r="J200" s="1161"/>
      <c r="K200" s="1161"/>
      <c r="L200" s="1161"/>
      <c r="M200" s="1161"/>
      <c r="N200" s="1162"/>
      <c r="Q200" s="1039" t="s">
        <v>330</v>
      </c>
      <c r="R200" s="1040" t="s">
        <v>144</v>
      </c>
      <c r="S200" s="1040" t="s">
        <v>108</v>
      </c>
      <c r="T200" s="1039" t="s">
        <v>149</v>
      </c>
    </row>
    <row r="201" spans="1:22" ht="10.5" thickBot="1" x14ac:dyDescent="0.25">
      <c r="A201" s="1163" t="s">
        <v>59</v>
      </c>
      <c r="B201" s="1164"/>
      <c r="C201" s="920" t="s">
        <v>66</v>
      </c>
      <c r="D201" s="921"/>
      <c r="E201" s="921"/>
      <c r="F201" s="921"/>
      <c r="G201" s="919"/>
      <c r="H201" s="1357" t="s">
        <v>41</v>
      </c>
      <c r="I201" s="1357" t="s">
        <v>62</v>
      </c>
      <c r="J201" s="1357" t="s">
        <v>252</v>
      </c>
      <c r="K201" s="1165" t="str">
        <f>S215</f>
        <v>Test</v>
      </c>
      <c r="L201" s="1165" t="str">
        <f>S216</f>
        <v>EMS</v>
      </c>
      <c r="M201" s="1165" t="str">
        <f>S217</f>
        <v>TEL</v>
      </c>
      <c r="N201" s="1166" t="s">
        <v>191</v>
      </c>
      <c r="Q201" s="1047"/>
      <c r="R201" s="1048"/>
      <c r="S201" s="1048"/>
      <c r="T201" s="1049"/>
    </row>
    <row r="202" spans="1:22" ht="10.5" thickBot="1" x14ac:dyDescent="0.25">
      <c r="A202" s="1169">
        <f>A203</f>
        <v>46204</v>
      </c>
      <c r="B202" s="1071"/>
      <c r="C202" s="1170" t="s">
        <v>125</v>
      </c>
      <c r="D202" s="1171"/>
      <c r="E202" s="1171"/>
      <c r="F202" s="1171"/>
      <c r="G202" s="1172"/>
      <c r="H202" s="956"/>
      <c r="I202" s="956"/>
      <c r="J202" s="956"/>
      <c r="K202" s="956"/>
      <c r="L202" s="956"/>
      <c r="M202" s="956"/>
      <c r="N202" s="1086"/>
      <c r="Q202" s="1055"/>
      <c r="R202" s="1056"/>
      <c r="S202" s="1056"/>
      <c r="T202" s="1356">
        <f>WEEKNUM(B57)</f>
        <v>28</v>
      </c>
    </row>
    <row r="203" spans="1:22" x14ac:dyDescent="0.2">
      <c r="A203" s="1175">
        <v>46204</v>
      </c>
      <c r="B203" s="1176"/>
      <c r="C203" s="1177" t="s">
        <v>68</v>
      </c>
      <c r="D203" s="1178"/>
      <c r="E203" s="1178"/>
      <c r="F203" s="1178"/>
      <c r="G203" s="1179"/>
      <c r="H203" s="788"/>
      <c r="I203" s="788"/>
      <c r="J203" s="788"/>
      <c r="K203" s="788"/>
      <c r="L203" s="788"/>
      <c r="M203" s="788"/>
      <c r="N203" s="1007"/>
      <c r="Q203" s="1063" t="s">
        <v>306</v>
      </c>
      <c r="R203" s="1063" t="s">
        <v>305</v>
      </c>
      <c r="S203" s="1366" t="s">
        <v>331</v>
      </c>
      <c r="T203" s="1039" t="s">
        <v>150</v>
      </c>
    </row>
    <row r="204" spans="1:22" x14ac:dyDescent="0.2">
      <c r="A204" s="1182"/>
      <c r="B204" s="1183"/>
      <c r="C204" s="1184"/>
      <c r="D204" s="1185"/>
      <c r="E204" s="1185"/>
      <c r="F204" s="1185"/>
      <c r="G204" s="1176"/>
      <c r="H204" s="788"/>
      <c r="I204" s="788"/>
      <c r="J204" s="788"/>
      <c r="K204" s="788"/>
      <c r="L204" s="788"/>
      <c r="M204" s="788"/>
      <c r="N204" s="1007"/>
      <c r="Q204" s="1068" t="s">
        <v>307</v>
      </c>
      <c r="R204" s="1068"/>
      <c r="S204" s="1364" t="s">
        <v>297</v>
      </c>
      <c r="T204" s="1049"/>
    </row>
    <row r="205" spans="1:22" ht="10.5" thickBot="1" x14ac:dyDescent="0.25">
      <c r="A205" s="1182"/>
      <c r="B205" s="1183"/>
      <c r="C205" s="1184"/>
      <c r="D205" s="1185"/>
      <c r="E205" s="1185"/>
      <c r="F205" s="1185"/>
      <c r="G205" s="1176"/>
      <c r="H205" s="788"/>
      <c r="I205" s="788"/>
      <c r="J205" s="788"/>
      <c r="K205" s="788"/>
      <c r="L205" s="788"/>
      <c r="M205" s="788"/>
      <c r="N205" s="1007"/>
      <c r="Q205" s="1068"/>
      <c r="R205" s="1068"/>
      <c r="S205" s="1364"/>
      <c r="T205" s="1072">
        <f>T202+1</f>
        <v>29</v>
      </c>
    </row>
    <row r="206" spans="1:22" ht="10.5" thickBot="1" x14ac:dyDescent="0.25">
      <c r="A206" s="1182"/>
      <c r="B206" s="1183"/>
      <c r="C206" s="1184"/>
      <c r="D206" s="1185"/>
      <c r="E206" s="1185"/>
      <c r="F206" s="1185"/>
      <c r="G206" s="1176"/>
      <c r="H206" s="788"/>
      <c r="I206" s="788"/>
      <c r="J206" s="788"/>
      <c r="K206" s="788"/>
      <c r="L206" s="788"/>
      <c r="M206" s="788"/>
      <c r="N206" s="1007"/>
      <c r="Q206" s="1068"/>
      <c r="R206" s="1068"/>
      <c r="S206" s="1365"/>
      <c r="T206" s="851"/>
    </row>
    <row r="207" spans="1:22" x14ac:dyDescent="0.2">
      <c r="A207" s="1182"/>
      <c r="B207" s="1183"/>
      <c r="C207" s="1184"/>
      <c r="D207" s="1185"/>
      <c r="E207" s="1185"/>
      <c r="F207" s="1185"/>
      <c r="G207" s="1176"/>
      <c r="H207" s="788"/>
      <c r="I207" s="788"/>
      <c r="J207" s="788"/>
      <c r="K207" s="788"/>
      <c r="L207" s="788"/>
      <c r="M207" s="788"/>
      <c r="N207" s="1007"/>
      <c r="Q207" s="1068"/>
      <c r="R207" s="1068"/>
      <c r="T207" s="851"/>
    </row>
    <row r="208" spans="1:22" ht="10.5" thickBot="1" x14ac:dyDescent="0.25">
      <c r="A208" s="1182"/>
      <c r="B208" s="1183"/>
      <c r="C208" s="1184"/>
      <c r="D208" s="1185"/>
      <c r="E208" s="1185"/>
      <c r="F208" s="1185"/>
      <c r="G208" s="1176"/>
      <c r="H208" s="788"/>
      <c r="I208" s="788"/>
      <c r="J208" s="788"/>
      <c r="K208" s="788"/>
      <c r="L208" s="788"/>
      <c r="M208" s="788"/>
      <c r="N208" s="1007"/>
      <c r="Q208" s="1068"/>
      <c r="R208" s="1080"/>
      <c r="T208" s="1159"/>
    </row>
    <row r="209" spans="1:20" x14ac:dyDescent="0.2">
      <c r="A209" s="1182"/>
      <c r="B209" s="1183"/>
      <c r="C209" s="1184"/>
      <c r="D209" s="1185"/>
      <c r="E209" s="1185"/>
      <c r="F209" s="1185"/>
      <c r="G209" s="1176"/>
      <c r="H209" s="788"/>
      <c r="I209" s="788"/>
      <c r="J209" s="788"/>
      <c r="K209" s="788"/>
      <c r="L209" s="788"/>
      <c r="M209" s="788"/>
      <c r="N209" s="1007"/>
      <c r="Q209" s="1068"/>
      <c r="R209" s="851"/>
      <c r="S209" s="851"/>
      <c r="T209" s="851"/>
    </row>
    <row r="210" spans="1:20" ht="10.5" thickBot="1" x14ac:dyDescent="0.25">
      <c r="A210" s="1188" t="s">
        <v>69</v>
      </c>
      <c r="B210" s="1189"/>
      <c r="C210" s="1189"/>
      <c r="D210" s="1189"/>
      <c r="E210" s="1189"/>
      <c r="F210" s="1189"/>
      <c r="G210" s="1190"/>
      <c r="H210" s="1191">
        <f>SUM(H202:H209)</f>
        <v>0</v>
      </c>
      <c r="I210" s="1191">
        <f>SUM(I202:I209)</f>
        <v>0</v>
      </c>
      <c r="J210" s="1191">
        <f>SUM(J202:J209)</f>
        <v>0</v>
      </c>
      <c r="K210" s="1191">
        <f>SUM(K202:K209)</f>
        <v>0</v>
      </c>
      <c r="L210" s="1191">
        <f t="shared" ref="L210:M210" si="43">SUM(L202:L209)</f>
        <v>0</v>
      </c>
      <c r="M210" s="1191">
        <f t="shared" si="43"/>
        <v>0</v>
      </c>
      <c r="N210" s="1192">
        <f>SUM(N202:N209)</f>
        <v>0</v>
      </c>
      <c r="Q210" s="1080"/>
      <c r="R210" s="851"/>
      <c r="S210" s="851"/>
    </row>
    <row r="211" spans="1:20" ht="10.5" thickBot="1" x14ac:dyDescent="0.25">
      <c r="A211" s="1193" t="str">
        <f>B149</f>
        <v>Medem d.o.o.</v>
      </c>
      <c r="B211" s="1194"/>
      <c r="C211" s="1194"/>
      <c r="D211" s="1194"/>
      <c r="E211" s="1194"/>
      <c r="F211" s="1194"/>
      <c r="G211" s="1194"/>
      <c r="H211" s="1194"/>
      <c r="I211" s="1194"/>
      <c r="J211" s="1194"/>
      <c r="K211" s="1194"/>
      <c r="L211" s="1194"/>
      <c r="M211" s="1194"/>
      <c r="N211" s="1195"/>
    </row>
    <row r="212" spans="1:20" x14ac:dyDescent="0.2">
      <c r="A212" s="1196"/>
      <c r="B212" s="1197"/>
      <c r="C212" s="1197"/>
      <c r="D212" s="1197"/>
      <c r="E212" s="1197"/>
      <c r="F212" s="1197"/>
      <c r="G212" s="1197"/>
      <c r="H212" s="1197"/>
      <c r="I212" s="1197"/>
      <c r="J212" s="1197"/>
      <c r="K212" s="1197"/>
      <c r="L212" s="1197"/>
      <c r="M212" s="1197"/>
      <c r="N212" s="1198"/>
      <c r="Q212" s="1088" t="s">
        <v>172</v>
      </c>
      <c r="R212" s="1089"/>
      <c r="S212" s="1090" t="s">
        <v>170</v>
      </c>
      <c r="T212" s="1091" t="s">
        <v>171</v>
      </c>
    </row>
    <row r="213" spans="1:20" x14ac:dyDescent="0.2">
      <c r="A213" s="1008" t="s">
        <v>151</v>
      </c>
      <c r="B213" s="1199" t="s">
        <v>146</v>
      </c>
      <c r="C213" s="1200" t="s">
        <v>147</v>
      </c>
      <c r="D213" s="1201"/>
      <c r="E213" s="1202"/>
      <c r="F213" s="1203" t="s">
        <v>151</v>
      </c>
      <c r="G213" s="1203"/>
      <c r="H213" s="1203" t="s">
        <v>168</v>
      </c>
      <c r="I213" s="1203"/>
      <c r="J213" s="1203"/>
      <c r="K213" s="1203"/>
      <c r="L213" s="1203"/>
      <c r="M213" s="1203"/>
      <c r="N213" s="1204"/>
      <c r="Q213" s="1092"/>
      <c r="R213" s="1093"/>
      <c r="S213" s="1094"/>
      <c r="T213" s="1095"/>
    </row>
    <row r="214" spans="1:20" x14ac:dyDescent="0.2">
      <c r="A214" s="1008">
        <f>I198</f>
        <v>28</v>
      </c>
      <c r="B214" s="1009">
        <f>B154</f>
        <v>25000</v>
      </c>
      <c r="C214" s="1010">
        <f>C154</f>
        <v>12000</v>
      </c>
      <c r="D214" s="1011"/>
      <c r="E214" s="1012"/>
      <c r="F214" s="1010" t="str">
        <f>F154</f>
        <v>Dugi tjedan</v>
      </c>
      <c r="G214" s="1012"/>
      <c r="H214" s="1199">
        <f>G154</f>
        <v>0</v>
      </c>
      <c r="I214" s="1199">
        <f>H154</f>
        <v>0</v>
      </c>
      <c r="J214" s="1199">
        <f>I154</f>
        <v>0</v>
      </c>
      <c r="K214" s="1199">
        <f>J154</f>
        <v>0</v>
      </c>
      <c r="L214" s="1199">
        <f>K154</f>
        <v>0</v>
      </c>
      <c r="M214" s="1199">
        <f>L154</f>
        <v>0</v>
      </c>
      <c r="N214" s="1205">
        <f>M154</f>
        <v>0</v>
      </c>
      <c r="Q214" s="1096"/>
      <c r="R214" s="1097"/>
      <c r="S214" s="1098"/>
      <c r="T214" s="1099"/>
    </row>
    <row r="215" spans="1:20" ht="10.5" thickBot="1" x14ac:dyDescent="0.25">
      <c r="A215" s="1206">
        <f>J198</f>
        <v>29</v>
      </c>
      <c r="B215" s="1207">
        <f>B155</f>
        <v>0</v>
      </c>
      <c r="C215" s="1208">
        <f>C155</f>
        <v>0</v>
      </c>
      <c r="D215" s="1209"/>
      <c r="E215" s="1210"/>
      <c r="F215" s="1208" t="str">
        <f>F155</f>
        <v>Kratki tjedan</v>
      </c>
      <c r="G215" s="1210"/>
      <c r="H215" s="1211">
        <f>G155</f>
        <v>0</v>
      </c>
      <c r="I215" s="1211">
        <f>H155</f>
        <v>0</v>
      </c>
      <c r="J215" s="1211">
        <f>I155</f>
        <v>0</v>
      </c>
      <c r="K215" s="1211">
        <f>J155</f>
        <v>0</v>
      </c>
      <c r="L215" s="1211">
        <f>K155</f>
        <v>0</v>
      </c>
      <c r="M215" s="1211">
        <f>L155</f>
        <v>0</v>
      </c>
      <c r="N215" s="1212">
        <f>M155</f>
        <v>0</v>
      </c>
      <c r="Q215" s="1105" t="s">
        <v>176</v>
      </c>
      <c r="R215" s="1106"/>
      <c r="S215" s="788" t="s">
        <v>290</v>
      </c>
      <c r="T215" s="969">
        <v>1</v>
      </c>
    </row>
    <row r="216" spans="1:20" ht="14.25" customHeight="1" thickTop="1" thickBot="1" x14ac:dyDescent="0.25">
      <c r="A216" s="1385"/>
      <c r="B216" s="1213">
        <f>B215+B214</f>
        <v>25000</v>
      </c>
      <c r="C216" s="1214">
        <f>C215+C214</f>
        <v>12000</v>
      </c>
      <c r="D216" s="1215"/>
      <c r="E216" s="1216"/>
      <c r="F216" s="1384" t="s">
        <v>295</v>
      </c>
      <c r="G216" s="1217"/>
      <c r="H216" s="1218">
        <f>H214+H215</f>
        <v>0</v>
      </c>
      <c r="I216" s="1218">
        <f>I214+I215</f>
        <v>0</v>
      </c>
      <c r="J216" s="1218">
        <f t="shared" ref="J216:N216" si="44">J214+J215</f>
        <v>0</v>
      </c>
      <c r="K216" s="1218">
        <f t="shared" si="44"/>
        <v>0</v>
      </c>
      <c r="L216" s="1218">
        <f t="shared" si="44"/>
        <v>0</v>
      </c>
      <c r="M216" s="1218">
        <f t="shared" si="44"/>
        <v>0</v>
      </c>
      <c r="N216" s="1219">
        <f t="shared" si="44"/>
        <v>0</v>
      </c>
      <c r="Q216" s="1105" t="s">
        <v>175</v>
      </c>
      <c r="R216" s="1106"/>
      <c r="S216" s="788" t="s">
        <v>289</v>
      </c>
      <c r="T216" s="969">
        <v>1</v>
      </c>
    </row>
    <row r="217" spans="1:20" ht="10.5" thickBot="1" x14ac:dyDescent="0.25">
      <c r="A217" s="1220" t="str">
        <f>B101</f>
        <v>Home plus d.o.o.</v>
      </c>
      <c r="B217" s="1221"/>
      <c r="C217" s="1221"/>
      <c r="D217" s="1221"/>
      <c r="E217" s="1221"/>
      <c r="F217" s="1221"/>
      <c r="G217" s="1221"/>
      <c r="H217" s="1221"/>
      <c r="I217" s="1221"/>
      <c r="J217" s="1221"/>
      <c r="K217" s="1221"/>
      <c r="L217" s="1221"/>
      <c r="M217" s="1221"/>
      <c r="N217" s="1222"/>
      <c r="Q217" s="1119" t="s">
        <v>177</v>
      </c>
      <c r="R217" s="1120"/>
      <c r="S217" s="813" t="s">
        <v>243</v>
      </c>
      <c r="T217" s="1121">
        <v>1</v>
      </c>
    </row>
    <row r="218" spans="1:20" ht="13.5" customHeight="1" x14ac:dyDescent="0.2">
      <c r="A218" s="1223"/>
      <c r="B218" s="1224"/>
      <c r="C218" s="1224"/>
      <c r="D218" s="1224"/>
      <c r="E218" s="1224"/>
      <c r="F218" s="1224"/>
      <c r="G218" s="1224"/>
      <c r="H218" s="1224"/>
      <c r="I218" s="1224"/>
      <c r="J218" s="1224"/>
      <c r="K218" s="1224"/>
      <c r="L218" s="1224"/>
      <c r="M218" s="1224"/>
      <c r="N218" s="1225"/>
    </row>
    <row r="219" spans="1:20" x14ac:dyDescent="0.2">
      <c r="A219" s="1230">
        <f>A214</f>
        <v>28</v>
      </c>
      <c r="B219" s="1231">
        <f>G122</f>
        <v>0</v>
      </c>
      <c r="C219" s="1232">
        <f>H122</f>
        <v>0</v>
      </c>
      <c r="D219" s="1233"/>
      <c r="E219" s="1234"/>
      <c r="F219" s="1232" t="str">
        <f>F214</f>
        <v>Dugi tjedan</v>
      </c>
      <c r="G219" s="1234"/>
      <c r="H219" s="1235">
        <f>V122</f>
        <v>0</v>
      </c>
      <c r="I219" s="1235">
        <f>W122</f>
        <v>0</v>
      </c>
      <c r="J219" s="1235">
        <f>X122</f>
        <v>0</v>
      </c>
      <c r="K219" s="1236">
        <f>N122</f>
        <v>0</v>
      </c>
      <c r="L219" s="1236">
        <f>O122</f>
        <v>0</v>
      </c>
      <c r="M219" s="1236">
        <f>P122</f>
        <v>0</v>
      </c>
      <c r="N219" s="1237">
        <f>Q122</f>
        <v>0</v>
      </c>
    </row>
    <row r="220" spans="1:20" ht="10.5" customHeight="1" thickBot="1" x14ac:dyDescent="0.25">
      <c r="A220" s="1230">
        <f>A215</f>
        <v>29</v>
      </c>
      <c r="B220" s="1243">
        <f>G142</f>
        <v>0</v>
      </c>
      <c r="C220" s="1244">
        <f>H142</f>
        <v>0</v>
      </c>
      <c r="D220" s="1245"/>
      <c r="E220" s="1246"/>
      <c r="F220" s="1244" t="str">
        <f>F215</f>
        <v>Kratki tjedan</v>
      </c>
      <c r="G220" s="1246"/>
      <c r="H220" s="1247">
        <f>V142</f>
        <v>0</v>
      </c>
      <c r="I220" s="1247">
        <f>W142</f>
        <v>0</v>
      </c>
      <c r="J220" s="1247">
        <f>X142</f>
        <v>0</v>
      </c>
      <c r="K220" s="1248">
        <f>N142</f>
        <v>0</v>
      </c>
      <c r="L220" s="1248">
        <f>O142</f>
        <v>0</v>
      </c>
      <c r="M220" s="1248">
        <f>P142</f>
        <v>0</v>
      </c>
      <c r="N220" s="1249">
        <f>Q142</f>
        <v>0</v>
      </c>
    </row>
    <row r="221" spans="1:20" ht="14.25" customHeight="1" thickTop="1" thickBot="1" x14ac:dyDescent="0.25">
      <c r="A221" s="1255" t="s">
        <v>300</v>
      </c>
      <c r="B221" s="1256">
        <f>B220+B219</f>
        <v>0</v>
      </c>
      <c r="C221" s="1257">
        <f>C220+C219</f>
        <v>0</v>
      </c>
      <c r="D221" s="1258"/>
      <c r="E221" s="1259"/>
      <c r="F221" s="1260" t="s">
        <v>214</v>
      </c>
      <c r="G221" s="1261"/>
      <c r="H221" s="1262">
        <f>H219+H220</f>
        <v>0</v>
      </c>
      <c r="I221" s="1262">
        <f t="shared" ref="I221:N221" si="45">I219+I220</f>
        <v>0</v>
      </c>
      <c r="J221" s="1262">
        <f t="shared" si="45"/>
        <v>0</v>
      </c>
      <c r="K221" s="1262">
        <f t="shared" si="45"/>
        <v>0</v>
      </c>
      <c r="L221" s="1262">
        <f t="shared" si="45"/>
        <v>0</v>
      </c>
      <c r="M221" s="1262">
        <f t="shared" si="45"/>
        <v>0</v>
      </c>
      <c r="N221" s="1263">
        <f t="shared" si="45"/>
        <v>0</v>
      </c>
    </row>
    <row r="222" spans="1:20" ht="13.5" customHeight="1" thickBot="1" x14ac:dyDescent="0.25">
      <c r="A222" s="1269"/>
      <c r="B222" s="1270">
        <f>B155+B154</f>
        <v>25000</v>
      </c>
      <c r="C222" s="980">
        <f>H94+H43</f>
        <v>12000</v>
      </c>
      <c r="D222" s="981"/>
      <c r="E222" s="982"/>
      <c r="F222" s="1271" t="s">
        <v>299</v>
      </c>
      <c r="G222" s="1271"/>
      <c r="H222" s="1272">
        <f>H221+H216</f>
        <v>0</v>
      </c>
      <c r="I222" s="1272">
        <f t="shared" ref="I222:N222" si="46">I221+I216</f>
        <v>0</v>
      </c>
      <c r="J222" s="1272">
        <f>J221+J216</f>
        <v>0</v>
      </c>
      <c r="K222" s="1272">
        <f t="shared" si="46"/>
        <v>0</v>
      </c>
      <c r="L222" s="1272">
        <f t="shared" si="46"/>
        <v>0</v>
      </c>
      <c r="M222" s="1272">
        <f t="shared" si="46"/>
        <v>0</v>
      </c>
      <c r="N222" s="1273">
        <f t="shared" si="46"/>
        <v>0</v>
      </c>
    </row>
    <row r="223" spans="1:20" x14ac:dyDescent="0.2">
      <c r="A223" s="1278" t="str">
        <f>S203</f>
        <v>T13</v>
      </c>
      <c r="B223" s="1279">
        <f>G95+G44</f>
        <v>25000</v>
      </c>
      <c r="C223" s="1280">
        <f>H95+H44</f>
        <v>12000</v>
      </c>
      <c r="D223" s="1281"/>
      <c r="E223" s="1282"/>
      <c r="F223" s="1037" t="s">
        <v>148</v>
      </c>
      <c r="G223" s="1037" t="str">
        <f>A223</f>
        <v>T13</v>
      </c>
      <c r="H223" s="956"/>
      <c r="I223" s="956"/>
      <c r="J223" s="956"/>
      <c r="K223" s="1037">
        <f>(U166+U188)*$T$215</f>
        <v>0</v>
      </c>
      <c r="L223" s="1037">
        <f>(V166+V188)*$T$216</f>
        <v>0</v>
      </c>
      <c r="M223" s="1037">
        <f>(W166+W188)*$T$217</f>
        <v>0</v>
      </c>
      <c r="N223" s="1038">
        <f>X166+X188</f>
        <v>0</v>
      </c>
    </row>
    <row r="224" spans="1:20" x14ac:dyDescent="0.2">
      <c r="A224" s="958" t="str">
        <f>S204</f>
        <v>T24</v>
      </c>
      <c r="B224" s="959">
        <f>G96+G45</f>
        <v>0</v>
      </c>
      <c r="C224" s="960">
        <f>H96+H45</f>
        <v>0</v>
      </c>
      <c r="D224" s="961"/>
      <c r="E224" s="962"/>
      <c r="F224" s="963" t="s">
        <v>148</v>
      </c>
      <c r="G224" s="963" t="str">
        <f>A224</f>
        <v>T24</v>
      </c>
      <c r="H224" s="788"/>
      <c r="I224" s="788"/>
      <c r="J224" s="788"/>
      <c r="K224" s="963">
        <f>(U167+U189)*$T$215</f>
        <v>0</v>
      </c>
      <c r="L224" s="963">
        <f>(V167+V189)*$T$216</f>
        <v>0</v>
      </c>
      <c r="M224" s="963">
        <f>(W167+W189)*$T$217</f>
        <v>0</v>
      </c>
      <c r="N224" s="965">
        <f>X167+X189</f>
        <v>0</v>
      </c>
    </row>
    <row r="225" spans="1:19" x14ac:dyDescent="0.2">
      <c r="A225" s="958">
        <f>S205</f>
        <v>0</v>
      </c>
      <c r="B225" s="959">
        <f>G97+G46</f>
        <v>0</v>
      </c>
      <c r="C225" s="960">
        <f>H97+H46</f>
        <v>0</v>
      </c>
      <c r="D225" s="961"/>
      <c r="E225" s="962"/>
      <c r="F225" s="963" t="s">
        <v>148</v>
      </c>
      <c r="G225" s="963">
        <f>A225</f>
        <v>0</v>
      </c>
      <c r="H225" s="788"/>
      <c r="I225" s="788"/>
      <c r="J225" s="788"/>
      <c r="K225" s="963">
        <f>(U168+U190)*$T$215</f>
        <v>0</v>
      </c>
      <c r="L225" s="963">
        <f>(V168+V190)*$T$216</f>
        <v>0</v>
      </c>
      <c r="M225" s="963">
        <f>(W168+W190)*$T$217</f>
        <v>0</v>
      </c>
      <c r="N225" s="965">
        <f>X168+X190</f>
        <v>0</v>
      </c>
    </row>
    <row r="226" spans="1:19" ht="10.5" thickBot="1" x14ac:dyDescent="0.25">
      <c r="A226" s="970">
        <f>S206</f>
        <v>0</v>
      </c>
      <c r="B226" s="971">
        <f>G98+G47</f>
        <v>0</v>
      </c>
      <c r="C226" s="972">
        <f>H98+H47</f>
        <v>0</v>
      </c>
      <c r="D226" s="973"/>
      <c r="E226" s="974"/>
      <c r="F226" s="941" t="s">
        <v>148</v>
      </c>
      <c r="G226" s="941">
        <f>A226</f>
        <v>0</v>
      </c>
      <c r="H226" s="813"/>
      <c r="I226" s="813"/>
      <c r="J226" s="813"/>
      <c r="K226" s="941">
        <f>(U169+U191)*$T$215</f>
        <v>0</v>
      </c>
      <c r="L226" s="941">
        <f>(V169+V191)*$T$216</f>
        <v>0</v>
      </c>
      <c r="M226" s="941">
        <f>(W169+W191)*$T$217</f>
        <v>0</v>
      </c>
      <c r="N226" s="943">
        <f>X169+X191</f>
        <v>0</v>
      </c>
    </row>
    <row r="227" spans="1:19" ht="10.5" thickBot="1" x14ac:dyDescent="0.25">
      <c r="A227" s="918" t="s">
        <v>77</v>
      </c>
      <c r="B227" s="921"/>
      <c r="C227" s="921"/>
      <c r="D227" s="921"/>
      <c r="E227" s="921"/>
      <c r="F227" s="921"/>
      <c r="G227" s="919"/>
      <c r="H227" s="984">
        <f>H210-H222-SUM(H223:H226)</f>
        <v>0</v>
      </c>
      <c r="I227" s="984">
        <f>I210-I222-SUM(I223:I226)</f>
        <v>0</v>
      </c>
      <c r="J227" s="984">
        <f>J210-J222-SUM(J223:J226)</f>
        <v>0</v>
      </c>
      <c r="K227" s="984">
        <f t="shared" ref="K227:N227" si="47">K210-K222</f>
        <v>0</v>
      </c>
      <c r="L227" s="984">
        <f t="shared" si="47"/>
        <v>0</v>
      </c>
      <c r="M227" s="984">
        <f t="shared" si="47"/>
        <v>0</v>
      </c>
      <c r="N227" s="1289">
        <f t="shared" si="47"/>
        <v>0</v>
      </c>
    </row>
    <row r="228" spans="1:19" x14ac:dyDescent="0.2">
      <c r="B228" s="759"/>
    </row>
    <row r="229" spans="1:19" x14ac:dyDescent="0.2">
      <c r="B229" s="1135" t="str">
        <f>IF(AND(B148="",B128="",B99="",B48=""),"", "Neispravan unos podataka!!!")</f>
        <v/>
      </c>
      <c r="C229" s="1297"/>
      <c r="D229" s="1291"/>
      <c r="G229" s="1359" t="str">
        <f>IF(OR(B193&lt;&gt;"",I193&lt;&gt;"",B99&lt;&gt;""),"!!! NEZAVRŠEN DOKUMENT","")</f>
        <v>!!! NEZAVRŠEN DOKUMENT</v>
      </c>
      <c r="H229" s="1359"/>
      <c r="I229" s="1359"/>
      <c r="J229" s="1359"/>
      <c r="K229" s="1359"/>
      <c r="L229" s="1359"/>
      <c r="M229" s="1359"/>
      <c r="N229" s="1359"/>
      <c r="O229" s="1359"/>
      <c r="P229" s="1359"/>
      <c r="Q229" s="1359"/>
      <c r="R229" s="1359"/>
      <c r="S229" s="1359"/>
    </row>
    <row r="230" spans="1:19" x14ac:dyDescent="0.2">
      <c r="G230" s="1359"/>
      <c r="H230" s="1359"/>
      <c r="I230" s="1359"/>
      <c r="J230" s="1359"/>
      <c r="K230" s="1359"/>
      <c r="L230" s="1359"/>
      <c r="M230" s="1359"/>
      <c r="N230" s="1359"/>
      <c r="O230" s="1359"/>
      <c r="P230" s="1359"/>
      <c r="Q230" s="1359"/>
      <c r="R230" s="1359"/>
      <c r="S230" s="1359"/>
    </row>
    <row r="232" spans="1:19" ht="12.75" customHeight="1" x14ac:dyDescent="0.2">
      <c r="E232" s="764"/>
      <c r="G232" s="758"/>
    </row>
    <row r="233" spans="1:19" x14ac:dyDescent="0.2">
      <c r="A233" s="757" t="s">
        <v>340</v>
      </c>
    </row>
    <row r="234" spans="1:19" x14ac:dyDescent="0.2">
      <c r="A234" s="851" t="s">
        <v>245</v>
      </c>
    </row>
    <row r="235" spans="1:19" ht="9.75" customHeight="1" x14ac:dyDescent="0.2">
      <c r="A235" s="851" t="s">
        <v>247</v>
      </c>
    </row>
    <row r="236" spans="1:19" x14ac:dyDescent="0.2">
      <c r="A236" s="851" t="s">
        <v>246</v>
      </c>
      <c r="B236" s="854" t="s">
        <v>296</v>
      </c>
      <c r="C236" s="854"/>
      <c r="D236" s="854"/>
      <c r="E236" s="994" t="s">
        <v>162</v>
      </c>
      <c r="F236" s="759" t="str">
        <f>S203</f>
        <v>T13</v>
      </c>
      <c r="G236" s="757" t="s">
        <v>331</v>
      </c>
      <c r="H236" s="757" t="s">
        <v>339</v>
      </c>
      <c r="I236" s="757" t="s">
        <v>297</v>
      </c>
    </row>
    <row r="237" spans="1:19" x14ac:dyDescent="0.2">
      <c r="A237" s="851" t="s">
        <v>248</v>
      </c>
      <c r="E237" s="994" t="s">
        <v>335</v>
      </c>
      <c r="F237" s="759" t="str">
        <f>IF($F$236=$G$236,G237,IF($F$236=$H$236,H237,IF($F$236=$I$236,I237,"Nepostojeći tim")))</f>
        <v>/T13</v>
      </c>
      <c r="G237" s="757" t="s">
        <v>333</v>
      </c>
      <c r="H237" s="757" t="s">
        <v>332</v>
      </c>
      <c r="I237" s="757" t="s">
        <v>332</v>
      </c>
    </row>
    <row r="238" spans="1:19" x14ac:dyDescent="0.2">
      <c r="A238" s="851" t="s">
        <v>287</v>
      </c>
      <c r="E238" s="994" t="s">
        <v>336</v>
      </c>
      <c r="F238" s="759" t="str">
        <f>IF($F$236=$G$236,G238,IF($F$236=$H$236,H238,IF($F$236=$I$236,I238,"Nepostojeći tim")))</f>
        <v>/1</v>
      </c>
      <c r="G238" s="757" t="s">
        <v>298</v>
      </c>
      <c r="H238" s="757" t="s">
        <v>298</v>
      </c>
      <c r="I238" s="757" t="s">
        <v>298</v>
      </c>
      <c r="N238" s="851"/>
    </row>
    <row r="239" spans="1:19" x14ac:dyDescent="0.2">
      <c r="A239" s="851" t="s">
        <v>81</v>
      </c>
      <c r="E239" s="994" t="s">
        <v>337</v>
      </c>
      <c r="F239" s="759" t="str">
        <f>IF($F$236=$G$236,G239,IF($F$236=$H$236,H239,IF($F$236=$I$236,I239,"Nepostojeći tim")))</f>
        <v>/T13</v>
      </c>
      <c r="G239" s="757" t="s">
        <v>333</v>
      </c>
      <c r="H239" s="757" t="s">
        <v>303</v>
      </c>
      <c r="I239" s="757" t="s">
        <v>303</v>
      </c>
      <c r="N239" s="851"/>
    </row>
    <row r="240" spans="1:19" x14ac:dyDescent="0.2">
      <c r="E240" s="994" t="s">
        <v>338</v>
      </c>
      <c r="F240" s="759" t="str">
        <f>IF($F$236=$G$236,G240,IF($F$236=$H$236,H240,IF($F$236=$I$236,I240,"Nepostojeći tim")))</f>
        <v>/6</v>
      </c>
      <c r="G240" s="757" t="s">
        <v>334</v>
      </c>
      <c r="H240" s="757" t="s">
        <v>303</v>
      </c>
      <c r="I240" s="757" t="s">
        <v>303</v>
      </c>
      <c r="N240" s="851"/>
    </row>
    <row r="241" spans="10:14" x14ac:dyDescent="0.2">
      <c r="N241" s="851"/>
    </row>
    <row r="250" spans="10:14" ht="10.5" thickBot="1" x14ac:dyDescent="0.25"/>
    <row r="251" spans="10:14" ht="10.5" thickBot="1" x14ac:dyDescent="0.25">
      <c r="J251" s="910" t="s">
        <v>153</v>
      </c>
      <c r="K251" s="911"/>
      <c r="L251" s="911"/>
      <c r="M251" s="911"/>
      <c r="N251" s="912"/>
    </row>
    <row r="252" spans="10:14" ht="10.5" thickBot="1" x14ac:dyDescent="0.25">
      <c r="J252" s="1130" t="s">
        <v>99</v>
      </c>
      <c r="K252" s="1131" t="s">
        <v>100</v>
      </c>
      <c r="L252" s="1132" t="s">
        <v>42</v>
      </c>
      <c r="M252" s="1133" t="s">
        <v>60</v>
      </c>
      <c r="N252" s="1134"/>
    </row>
    <row r="253" spans="10:14" x14ac:dyDescent="0.2">
      <c r="J253" s="1140"/>
      <c r="K253" s="1141"/>
      <c r="L253" s="1142"/>
      <c r="M253" s="1143"/>
      <c r="N253" s="1144"/>
    </row>
    <row r="254" spans="10:14" ht="10.5" thickBot="1" x14ac:dyDescent="0.25">
      <c r="J254" s="1146"/>
      <c r="K254" s="1076"/>
      <c r="L254" s="968"/>
      <c r="M254" s="1143"/>
      <c r="N254" s="1144"/>
    </row>
    <row r="255" spans="10:14" x14ac:dyDescent="0.2">
      <c r="J255" s="1147" t="s">
        <v>124</v>
      </c>
      <c r="K255" s="1148" t="str">
        <f>B183</f>
        <v>FINA</v>
      </c>
      <c r="L255" s="1148"/>
      <c r="M255" s="1149">
        <f>SUMIF(K251:K254,K255,M251:N254)</f>
        <v>0</v>
      </c>
      <c r="N255" s="1150"/>
    </row>
    <row r="256" spans="10:14" ht="10.5" thickBot="1" x14ac:dyDescent="0.25">
      <c r="J256" s="1151"/>
      <c r="K256" s="1152" t="str">
        <f>B184</f>
        <v>OTP Bank</v>
      </c>
      <c r="L256" s="1152"/>
      <c r="M256" s="1117">
        <f>SUMIF(K251:K254,K256,M251:N254)</f>
        <v>0</v>
      </c>
      <c r="N256" s="1118"/>
    </row>
    <row r="257" spans="10:14" ht="10.5" thickBot="1" x14ac:dyDescent="0.25">
      <c r="J257" s="1154" t="s">
        <v>152</v>
      </c>
      <c r="K257" s="1155"/>
      <c r="L257" s="1155"/>
      <c r="M257" s="1156">
        <f>SUM(M251:N254)</f>
        <v>0</v>
      </c>
      <c r="N257" s="1157"/>
    </row>
  </sheetData>
  <dataConsolidate/>
  <mergeCells count="358">
    <mergeCell ref="G229:S230"/>
    <mergeCell ref="B193:G194"/>
    <mergeCell ref="B236:D236"/>
    <mergeCell ref="M99:U99"/>
    <mergeCell ref="M100:U100"/>
    <mergeCell ref="L53:S53"/>
    <mergeCell ref="T200:T201"/>
    <mergeCell ref="S200:S202"/>
    <mergeCell ref="R200:R202"/>
    <mergeCell ref="Q200:Q202"/>
    <mergeCell ref="T203:T204"/>
    <mergeCell ref="M127:U127"/>
    <mergeCell ref="M128:U128"/>
    <mergeCell ref="M147:U147"/>
    <mergeCell ref="M148:U148"/>
    <mergeCell ref="I193:M194"/>
    <mergeCell ref="A2:E2"/>
    <mergeCell ref="U53:W53"/>
    <mergeCell ref="B99:L99"/>
    <mergeCell ref="M48:U48"/>
    <mergeCell ref="M49:U49"/>
    <mergeCell ref="L2:S2"/>
    <mergeCell ref="Q116:U116"/>
    <mergeCell ref="Q117:U117"/>
    <mergeCell ref="C224:E224"/>
    <mergeCell ref="C225:E225"/>
    <mergeCell ref="C226:E226"/>
    <mergeCell ref="C151:F151"/>
    <mergeCell ref="C152:F152"/>
    <mergeCell ref="C153:E153"/>
    <mergeCell ref="C154:E154"/>
    <mergeCell ref="C155:E155"/>
    <mergeCell ref="C156:E156"/>
    <mergeCell ref="C213:E213"/>
    <mergeCell ref="C214:E214"/>
    <mergeCell ref="C215:E215"/>
    <mergeCell ref="C216:E216"/>
    <mergeCell ref="C219:E219"/>
    <mergeCell ref="C220:E220"/>
    <mergeCell ref="C221:E221"/>
    <mergeCell ref="C222:E222"/>
    <mergeCell ref="C223:E22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J192:K192"/>
    <mergeCell ref="L192:M192"/>
    <mergeCell ref="A211:N212"/>
    <mergeCell ref="A217:N218"/>
    <mergeCell ref="L177:M177"/>
    <mergeCell ref="J189:K189"/>
    <mergeCell ref="L189:M189"/>
    <mergeCell ref="J190:K190"/>
    <mergeCell ref="L190:M190"/>
    <mergeCell ref="J191:K191"/>
    <mergeCell ref="L191:M191"/>
    <mergeCell ref="I185:K185"/>
    <mergeCell ref="L185:M185"/>
    <mergeCell ref="I186:K187"/>
    <mergeCell ref="L186:M187"/>
    <mergeCell ref="J188:K188"/>
    <mergeCell ref="L188:M188"/>
    <mergeCell ref="L179:M179"/>
    <mergeCell ref="L180:M180"/>
    <mergeCell ref="L181:M181"/>
    <mergeCell ref="L182:M182"/>
    <mergeCell ref="I183:I184"/>
    <mergeCell ref="J183:K183"/>
    <mergeCell ref="L183:M183"/>
    <mergeCell ref="J184:K184"/>
    <mergeCell ref="L184:M184"/>
    <mergeCell ref="L173:M173"/>
    <mergeCell ref="L174:M174"/>
    <mergeCell ref="L175:M175"/>
    <mergeCell ref="L176:M176"/>
    <mergeCell ref="L178:M178"/>
    <mergeCell ref="A227:G227"/>
    <mergeCell ref="F216:G216"/>
    <mergeCell ref="F219:G219"/>
    <mergeCell ref="F220:G220"/>
    <mergeCell ref="F221:G221"/>
    <mergeCell ref="F222:G222"/>
    <mergeCell ref="A210:G210"/>
    <mergeCell ref="F213:G213"/>
    <mergeCell ref="H213:N213"/>
    <mergeCell ref="F214:G214"/>
    <mergeCell ref="F215:G215"/>
    <mergeCell ref="A207:B207"/>
    <mergeCell ref="A208:B208"/>
    <mergeCell ref="A209:B209"/>
    <mergeCell ref="I167:M167"/>
    <mergeCell ref="I168:K168"/>
    <mergeCell ref="L168:M168"/>
    <mergeCell ref="I169:K169"/>
    <mergeCell ref="L169:M169"/>
    <mergeCell ref="I170:K170"/>
    <mergeCell ref="L170:M170"/>
    <mergeCell ref="L171:M171"/>
    <mergeCell ref="L172:M172"/>
    <mergeCell ref="A204:B204"/>
    <mergeCell ref="A205:B205"/>
    <mergeCell ref="A206:B206"/>
    <mergeCell ref="A201:B201"/>
    <mergeCell ref="A202:B202"/>
    <mergeCell ref="A203:B203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B192:E192"/>
    <mergeCell ref="F192:G192"/>
    <mergeCell ref="J257:L257"/>
    <mergeCell ref="M257:N257"/>
    <mergeCell ref="O192:Q192"/>
    <mergeCell ref="A200:N200"/>
    <mergeCell ref="B190:E190"/>
    <mergeCell ref="F190:G190"/>
    <mergeCell ref="J255:J256"/>
    <mergeCell ref="K255:L255"/>
    <mergeCell ref="M255:N255"/>
    <mergeCell ref="B191:E191"/>
    <mergeCell ref="F191:G191"/>
    <mergeCell ref="K256:L256"/>
    <mergeCell ref="M256:N256"/>
    <mergeCell ref="B188:E188"/>
    <mergeCell ref="F188:G188"/>
    <mergeCell ref="M253:N253"/>
    <mergeCell ref="B189:E189"/>
    <mergeCell ref="F189:G189"/>
    <mergeCell ref="M254:N254"/>
    <mergeCell ref="A185:E185"/>
    <mergeCell ref="F185:G185"/>
    <mergeCell ref="O185:P185"/>
    <mergeCell ref="A186:E187"/>
    <mergeCell ref="F186:G187"/>
    <mergeCell ref="J251:N251"/>
    <mergeCell ref="O186:P186"/>
    <mergeCell ref="M252:N252"/>
    <mergeCell ref="O187:Q187"/>
    <mergeCell ref="A183:A184"/>
    <mergeCell ref="B183:E183"/>
    <mergeCell ref="F183:G183"/>
    <mergeCell ref="Q216:R216"/>
    <mergeCell ref="O183:P183"/>
    <mergeCell ref="B184:E184"/>
    <mergeCell ref="F184:G184"/>
    <mergeCell ref="Q217:R217"/>
    <mergeCell ref="O184:P184"/>
    <mergeCell ref="O180:P180"/>
    <mergeCell ref="F181:G181"/>
    <mergeCell ref="O181:P181"/>
    <mergeCell ref="F182:G182"/>
    <mergeCell ref="Q215:R215"/>
    <mergeCell ref="O182:P182"/>
    <mergeCell ref="F177:G177"/>
    <mergeCell ref="O177:P177"/>
    <mergeCell ref="F178:G178"/>
    <mergeCell ref="O178:P178"/>
    <mergeCell ref="F179:G179"/>
    <mergeCell ref="O179:P179"/>
    <mergeCell ref="F180:G180"/>
    <mergeCell ref="Q212:R214"/>
    <mergeCell ref="S212:S214"/>
    <mergeCell ref="T212:T214"/>
    <mergeCell ref="F174:G174"/>
    <mergeCell ref="F175:G175"/>
    <mergeCell ref="O175:P175"/>
    <mergeCell ref="F176:G176"/>
    <mergeCell ref="O176:P176"/>
    <mergeCell ref="F172:G172"/>
    <mergeCell ref="O172:R172"/>
    <mergeCell ref="F173:G173"/>
    <mergeCell ref="O173:P174"/>
    <mergeCell ref="Q173:Q174"/>
    <mergeCell ref="R173:T173"/>
    <mergeCell ref="U173:X173"/>
    <mergeCell ref="A169:E169"/>
    <mergeCell ref="F169:G169"/>
    <mergeCell ref="A170:E170"/>
    <mergeCell ref="F170:G170"/>
    <mergeCell ref="F171:G171"/>
    <mergeCell ref="O163:P163"/>
    <mergeCell ref="O164:P164"/>
    <mergeCell ref="O165:Q165"/>
    <mergeCell ref="A167:G167"/>
    <mergeCell ref="A168:E168"/>
    <mergeCell ref="F168:G168"/>
    <mergeCell ref="C163:E163"/>
    <mergeCell ref="C164:E164"/>
    <mergeCell ref="C165:E165"/>
    <mergeCell ref="C171:E171"/>
    <mergeCell ref="C172:E172"/>
    <mergeCell ref="C173:E173"/>
    <mergeCell ref="I159:I160"/>
    <mergeCell ref="J159:J160"/>
    <mergeCell ref="O159:P159"/>
    <mergeCell ref="O160:P160"/>
    <mergeCell ref="O161:P161"/>
    <mergeCell ref="O162:P162"/>
    <mergeCell ref="O156:P156"/>
    <mergeCell ref="O157:P157"/>
    <mergeCell ref="A158:J158"/>
    <mergeCell ref="O158:P158"/>
    <mergeCell ref="A159:A160"/>
    <mergeCell ref="B159:B160"/>
    <mergeCell ref="F159:F160"/>
    <mergeCell ref="G159:G160"/>
    <mergeCell ref="H159:H160"/>
    <mergeCell ref="C159:E160"/>
    <mergeCell ref="C161:E161"/>
    <mergeCell ref="C162:E162"/>
    <mergeCell ref="A152:B152"/>
    <mergeCell ref="G153:M153"/>
    <mergeCell ref="O153:P153"/>
    <mergeCell ref="O154:P154"/>
    <mergeCell ref="O155:P155"/>
    <mergeCell ref="Q140:U140"/>
    <mergeCell ref="Q141:U141"/>
    <mergeCell ref="B142:F142"/>
    <mergeCell ref="A150:M150"/>
    <mergeCell ref="A151:B151"/>
    <mergeCell ref="O151:P152"/>
    <mergeCell ref="Q151:Q152"/>
    <mergeCell ref="B148:L148"/>
    <mergeCell ref="R151:T151"/>
    <mergeCell ref="U151:X151"/>
    <mergeCell ref="Q137:U137"/>
    <mergeCell ref="Q138:U138"/>
    <mergeCell ref="Q139:U139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B128:L128"/>
    <mergeCell ref="C130:E130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Q70:U70"/>
    <mergeCell ref="Q71:U71"/>
    <mergeCell ref="Q72:U72"/>
    <mergeCell ref="Q73:U73"/>
    <mergeCell ref="Q74:U74"/>
    <mergeCell ref="Q75:U75"/>
    <mergeCell ref="Q64:U64"/>
    <mergeCell ref="Q65:U65"/>
    <mergeCell ref="Q66:U66"/>
    <mergeCell ref="Q67:U67"/>
    <mergeCell ref="Q68:U68"/>
    <mergeCell ref="Q69:U69"/>
    <mergeCell ref="Q58:U58"/>
    <mergeCell ref="Q59:U59"/>
    <mergeCell ref="Q60:U60"/>
    <mergeCell ref="Q61:U61"/>
    <mergeCell ref="Q62:U62"/>
    <mergeCell ref="Q63:U63"/>
    <mergeCell ref="B43:F43"/>
    <mergeCell ref="B48:L48"/>
    <mergeCell ref="A55:A56"/>
    <mergeCell ref="B55:F55"/>
    <mergeCell ref="Q56:U56"/>
    <mergeCell ref="Q57:U57"/>
    <mergeCell ref="C56:E56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</mergeCells>
  <dataValidations count="8">
    <dataValidation type="list" allowBlank="1" showInputMessage="1" showErrorMessage="1" sqref="N123:N126 N50:N52 N95:N98 N44:N47 N143:N146" xr:uid="{00000000-0002-0000-0200-000000000000}">
      <formula1>#REF!</formula1>
    </dataValidation>
    <dataValidation type="list" allowBlank="1" showInputMessage="1" showErrorMessage="1" sqref="K253:K254 B172:B182" xr:uid="{00000000-0002-0000-0200-000001000000}">
      <formula1>$B$183:$B$184</formula1>
    </dataValidation>
    <dataValidation type="list" allowBlank="1" showInputMessage="1" showErrorMessage="1" sqref="S203:S206" xr:uid="{A5D1F9C0-114B-4E5C-A424-9982DD70EDE1}">
      <formula1>$G$236:$I$236</formula1>
    </dataValidation>
    <dataValidation type="list" allowBlank="1" showInputMessage="1" showErrorMessage="1" sqref="M6:M42 M131:M141 M57:M93 M104:M121" xr:uid="{00000000-0002-0000-0200-000007000000}">
      <formula1>$A$234:$A$239</formula1>
    </dataValidation>
    <dataValidation type="list" allowBlank="1" showInputMessage="1" showErrorMessage="1" sqref="J172:J182" xr:uid="{00000000-0002-0000-0200-000005000000}">
      <formula1>$J$183:$J$184</formula1>
    </dataValidation>
    <dataValidation type="list" allowBlank="1" showInputMessage="1" showErrorMessage="1" sqref="L253:L254 K172:K182 Q153:Q164 N131:N141 Q175:Q186 N104:N121 N6:N42 N57:N93 C172:C182" xr:uid="{00000000-0002-0000-0200-000002000000}">
      <formula1>$S$203:$S$206</formula1>
    </dataValidation>
    <dataValidation type="list" allowBlank="1" showInputMessage="1" showErrorMessage="1" sqref="O57:O93 O6:O42 O104:O121 O131:O141" xr:uid="{00000000-0002-0000-0200-000003000000}">
      <formula1>$R$203:$R$208</formula1>
    </dataValidation>
    <dataValidation type="list" allowBlank="1" showInputMessage="1" showErrorMessage="1" sqref="P57:P93 P6:P42 P104:P121 P131:P141" xr:uid="{00000000-0002-0000-0200-000004000000}">
      <formula1>$Q$203:$Q$210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V224"/>
  <sheetViews>
    <sheetView topLeftCell="A64" zoomScale="90" zoomScaleNormal="90" workbookViewId="0">
      <selection activeCell="K54" sqref="K54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2" spans="1:22" x14ac:dyDescent="0.2">
      <c r="B2" s="178" t="s">
        <v>291</v>
      </c>
      <c r="D2" s="211"/>
      <c r="E2" s="212"/>
      <c r="F2" s="212"/>
      <c r="G2" s="212"/>
      <c r="H2" s="212"/>
      <c r="I2" s="212"/>
      <c r="J2" s="212"/>
      <c r="K2" s="3"/>
      <c r="L2" s="3"/>
      <c r="M2" s="3"/>
      <c r="N2" s="3"/>
      <c r="O2" s="3"/>
      <c r="P2" s="3"/>
      <c r="Q2" s="3"/>
      <c r="R2" s="3"/>
      <c r="S2" s="3"/>
      <c r="T2" s="173"/>
      <c r="U2" s="173"/>
      <c r="V2" s="173"/>
    </row>
    <row r="3" spans="1:22" s="3" customFormat="1" ht="13.5" thickBot="1" x14ac:dyDescent="0.25">
      <c r="A3" s="34"/>
      <c r="B3" s="211"/>
      <c r="C3" s="211"/>
      <c r="D3" s="211"/>
      <c r="E3" s="212"/>
      <c r="F3" s="212"/>
      <c r="G3" s="212"/>
      <c r="H3" s="212"/>
      <c r="I3" s="212"/>
      <c r="J3" s="212"/>
      <c r="T3" s="173"/>
      <c r="U3" s="173"/>
      <c r="V3" s="173"/>
    </row>
    <row r="4" spans="1:22" s="3" customFormat="1" ht="12.75" customHeight="1" thickBot="1" x14ac:dyDescent="0.25">
      <c r="A4" s="460" t="s">
        <v>74</v>
      </c>
      <c r="B4" s="462" t="s">
        <v>78</v>
      </c>
      <c r="C4" s="463"/>
      <c r="D4" s="464"/>
      <c r="E4" s="179">
        <v>1</v>
      </c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7"/>
    </row>
    <row r="5" spans="1:22" s="3" customFormat="1" ht="27" customHeight="1" thickBot="1" x14ac:dyDescent="0.25">
      <c r="A5" s="461"/>
      <c r="B5" s="171" t="s">
        <v>57</v>
      </c>
      <c r="C5" s="172" t="s">
        <v>63</v>
      </c>
      <c r="D5" s="172" t="s">
        <v>61</v>
      </c>
      <c r="E5" s="172" t="str">
        <f t="shared" ref="E5:K5" si="0">B159</f>
        <v>PRODAJNA CIJENA</v>
      </c>
      <c r="F5" s="172" t="str">
        <f t="shared" si="0"/>
        <v>GOTOVINA / KEŠ</v>
      </c>
      <c r="G5" s="172" t="str">
        <f t="shared" si="0"/>
        <v>POS KENT kartica</v>
      </c>
      <c r="H5" s="172" t="str">
        <f t="shared" si="0"/>
        <v>POS PBZ kartica</v>
      </c>
      <c r="I5" s="172" t="str">
        <f t="shared" si="0"/>
        <v>Kredit na rate PBZ</v>
      </c>
      <c r="J5" s="172" t="str">
        <f t="shared" si="0"/>
        <v>Žiralno / Ostalo</v>
      </c>
      <c r="K5" s="172" t="str">
        <f t="shared" si="0"/>
        <v>Vrsta Kartice</v>
      </c>
      <c r="L5" s="180" t="s">
        <v>80</v>
      </c>
      <c r="M5" s="180" t="s">
        <v>207</v>
      </c>
      <c r="N5" s="180" t="s">
        <v>98</v>
      </c>
      <c r="O5" s="465" t="s">
        <v>82</v>
      </c>
      <c r="P5" s="466"/>
      <c r="Q5" s="466"/>
      <c r="R5" s="466"/>
      <c r="S5" s="467"/>
      <c r="T5" s="181" t="str">
        <f>F198</f>
        <v>LMS</v>
      </c>
      <c r="U5" s="181" t="str">
        <f t="shared" ref="U5" si="1">G198</f>
        <v>TO</v>
      </c>
      <c r="V5" s="182" t="s">
        <v>252</v>
      </c>
    </row>
    <row r="6" spans="1:22" s="3" customFormat="1" ht="13.5" customHeight="1" x14ac:dyDescent="0.2">
      <c r="A6" s="190">
        <v>1</v>
      </c>
      <c r="B6" s="299">
        <v>44200</v>
      </c>
      <c r="C6" s="265" t="s">
        <v>217</v>
      </c>
      <c r="D6" s="265" t="s">
        <v>133</v>
      </c>
      <c r="E6" s="252">
        <v>1490</v>
      </c>
      <c r="F6" s="252">
        <v>1490</v>
      </c>
      <c r="G6" s="254"/>
      <c r="H6" s="254"/>
      <c r="I6" s="254"/>
      <c r="J6" s="254"/>
      <c r="K6" s="254"/>
      <c r="L6" s="315" t="s">
        <v>155</v>
      </c>
      <c r="M6" s="255" t="s">
        <v>156</v>
      </c>
      <c r="N6" s="255" t="s">
        <v>158</v>
      </c>
      <c r="O6" s="746" t="s">
        <v>102</v>
      </c>
      <c r="P6" s="747"/>
      <c r="Q6" s="747"/>
      <c r="R6" s="747"/>
      <c r="S6" s="748"/>
      <c r="T6" s="266">
        <v>1</v>
      </c>
      <c r="U6" s="267">
        <v>1</v>
      </c>
      <c r="V6" s="258">
        <v>1</v>
      </c>
    </row>
    <row r="7" spans="1:22" s="3" customFormat="1" ht="12.75" customHeight="1" x14ac:dyDescent="0.2">
      <c r="A7" s="190">
        <f>A6+1</f>
        <v>2</v>
      </c>
      <c r="B7" s="250">
        <v>44200</v>
      </c>
      <c r="C7" s="251" t="s">
        <v>218</v>
      </c>
      <c r="D7" s="251" t="s">
        <v>134</v>
      </c>
      <c r="E7" s="253">
        <v>1340</v>
      </c>
      <c r="F7" s="253">
        <v>1340</v>
      </c>
      <c r="G7" s="259"/>
      <c r="H7" s="259"/>
      <c r="I7" s="259"/>
      <c r="J7" s="259"/>
      <c r="K7" s="259"/>
      <c r="L7" s="315" t="s">
        <v>154</v>
      </c>
      <c r="M7" s="255" t="s">
        <v>157</v>
      </c>
      <c r="N7" s="255" t="s">
        <v>161</v>
      </c>
      <c r="O7" s="730" t="s">
        <v>103</v>
      </c>
      <c r="P7" s="731"/>
      <c r="Q7" s="731"/>
      <c r="R7" s="731"/>
      <c r="S7" s="732"/>
      <c r="T7" s="256">
        <v>1</v>
      </c>
      <c r="U7" s="257">
        <v>1</v>
      </c>
      <c r="V7" s="260">
        <v>1</v>
      </c>
    </row>
    <row r="8" spans="1:22" s="3" customFormat="1" ht="12.75" customHeight="1" x14ac:dyDescent="0.2">
      <c r="A8" s="190">
        <f t="shared" ref="A8:A42" si="2">A7+1</f>
        <v>3</v>
      </c>
      <c r="B8" s="250">
        <v>44201</v>
      </c>
      <c r="C8" s="251" t="s">
        <v>219</v>
      </c>
      <c r="D8" s="251" t="s">
        <v>135</v>
      </c>
      <c r="E8" s="253">
        <v>1490</v>
      </c>
      <c r="F8" s="253">
        <v>1000</v>
      </c>
      <c r="G8" s="261">
        <v>490</v>
      </c>
      <c r="H8" s="261"/>
      <c r="I8" s="261"/>
      <c r="J8" s="261"/>
      <c r="K8" s="414" t="s">
        <v>245</v>
      </c>
      <c r="L8" s="315" t="s">
        <v>154</v>
      </c>
      <c r="M8" s="255" t="s">
        <v>156</v>
      </c>
      <c r="N8" s="255" t="s">
        <v>161</v>
      </c>
      <c r="O8" s="730" t="s">
        <v>104</v>
      </c>
      <c r="P8" s="731"/>
      <c r="Q8" s="731"/>
      <c r="R8" s="731"/>
      <c r="S8" s="732"/>
      <c r="T8" s="256">
        <v>1</v>
      </c>
      <c r="U8" s="257">
        <v>1</v>
      </c>
      <c r="V8" s="260">
        <v>1</v>
      </c>
    </row>
    <row r="9" spans="1:22" s="3" customFormat="1" ht="13.5" customHeight="1" x14ac:dyDescent="0.2">
      <c r="A9" s="190">
        <f t="shared" si="2"/>
        <v>4</v>
      </c>
      <c r="B9" s="263">
        <v>44201</v>
      </c>
      <c r="C9" s="251" t="s">
        <v>220</v>
      </c>
      <c r="D9" s="251" t="s">
        <v>136</v>
      </c>
      <c r="E9" s="264">
        <v>1490</v>
      </c>
      <c r="F9" s="253">
        <v>800</v>
      </c>
      <c r="G9" s="261"/>
      <c r="H9" s="261">
        <v>690</v>
      </c>
      <c r="I9" s="261"/>
      <c r="J9" s="261"/>
      <c r="K9" s="414" t="s">
        <v>245</v>
      </c>
      <c r="L9" s="315" t="s">
        <v>154</v>
      </c>
      <c r="M9" s="255" t="s">
        <v>156</v>
      </c>
      <c r="N9" s="255" t="s">
        <v>127</v>
      </c>
      <c r="O9" s="730" t="s">
        <v>236</v>
      </c>
      <c r="P9" s="731"/>
      <c r="Q9" s="731"/>
      <c r="R9" s="731"/>
      <c r="S9" s="732"/>
      <c r="T9" s="256">
        <v>1</v>
      </c>
      <c r="U9" s="257">
        <v>1</v>
      </c>
      <c r="V9" s="260">
        <v>1</v>
      </c>
    </row>
    <row r="10" spans="1:22" s="3" customFormat="1" x14ac:dyDescent="0.2">
      <c r="A10" s="190">
        <f t="shared" si="2"/>
        <v>5</v>
      </c>
      <c r="B10" s="250">
        <v>44201</v>
      </c>
      <c r="C10" s="251" t="s">
        <v>221</v>
      </c>
      <c r="D10" s="251" t="s">
        <v>137</v>
      </c>
      <c r="E10" s="253">
        <v>1200</v>
      </c>
      <c r="F10" s="253">
        <v>200</v>
      </c>
      <c r="G10" s="259"/>
      <c r="H10" s="259"/>
      <c r="I10" s="259">
        <v>1000</v>
      </c>
      <c r="J10" s="259"/>
      <c r="K10" s="259" t="s">
        <v>250</v>
      </c>
      <c r="L10" s="256" t="s">
        <v>154</v>
      </c>
      <c r="M10" s="255" t="s">
        <v>157</v>
      </c>
      <c r="N10" s="255" t="s">
        <v>130</v>
      </c>
      <c r="O10" s="730" t="s">
        <v>237</v>
      </c>
      <c r="P10" s="731"/>
      <c r="Q10" s="731"/>
      <c r="R10" s="731"/>
      <c r="S10" s="732"/>
      <c r="T10" s="256">
        <v>1</v>
      </c>
      <c r="U10" s="257">
        <v>1</v>
      </c>
      <c r="V10" s="260"/>
    </row>
    <row r="11" spans="1:22" s="3" customFormat="1" x14ac:dyDescent="0.2">
      <c r="A11" s="190">
        <f t="shared" si="2"/>
        <v>6</v>
      </c>
      <c r="B11" s="250">
        <v>44202</v>
      </c>
      <c r="C11" s="251" t="s">
        <v>222</v>
      </c>
      <c r="D11" s="251" t="s">
        <v>96</v>
      </c>
      <c r="E11" s="253">
        <v>1490</v>
      </c>
      <c r="F11" s="253">
        <v>1000</v>
      </c>
      <c r="G11" s="259">
        <v>90</v>
      </c>
      <c r="H11" s="259"/>
      <c r="I11" s="259"/>
      <c r="J11" s="259">
        <v>400</v>
      </c>
      <c r="K11" s="259" t="s">
        <v>247</v>
      </c>
      <c r="L11" s="315" t="s">
        <v>154</v>
      </c>
      <c r="M11" s="255" t="s">
        <v>157</v>
      </c>
      <c r="N11" s="255" t="s">
        <v>128</v>
      </c>
      <c r="O11" s="730" t="s">
        <v>235</v>
      </c>
      <c r="P11" s="731"/>
      <c r="Q11" s="731"/>
      <c r="R11" s="731"/>
      <c r="S11" s="732"/>
      <c r="T11" s="256">
        <v>1</v>
      </c>
      <c r="U11" s="257">
        <v>1</v>
      </c>
      <c r="V11" s="260">
        <v>1</v>
      </c>
    </row>
    <row r="12" spans="1:22" s="3" customFormat="1" x14ac:dyDescent="0.2">
      <c r="A12" s="190">
        <f t="shared" si="2"/>
        <v>7</v>
      </c>
      <c r="B12" s="250">
        <v>44202</v>
      </c>
      <c r="C12" s="251" t="s">
        <v>223</v>
      </c>
      <c r="D12" s="251" t="s">
        <v>101</v>
      </c>
      <c r="E12" s="253">
        <v>1250</v>
      </c>
      <c r="F12" s="253">
        <v>1250</v>
      </c>
      <c r="G12" s="259"/>
      <c r="H12" s="259"/>
      <c r="I12" s="259"/>
      <c r="J12" s="259"/>
      <c r="K12" s="259"/>
      <c r="L12" s="315" t="s">
        <v>155</v>
      </c>
      <c r="M12" s="255" t="s">
        <v>157</v>
      </c>
      <c r="N12" s="255" t="s">
        <v>158</v>
      </c>
      <c r="O12" s="730" t="s">
        <v>97</v>
      </c>
      <c r="P12" s="731"/>
      <c r="Q12" s="731"/>
      <c r="R12" s="731"/>
      <c r="S12" s="732"/>
      <c r="T12" s="256"/>
      <c r="U12" s="257"/>
      <c r="V12" s="260"/>
    </row>
    <row r="13" spans="1:22" s="3" customFormat="1" x14ac:dyDescent="0.2">
      <c r="A13" s="190">
        <f t="shared" si="2"/>
        <v>8</v>
      </c>
      <c r="B13" s="250">
        <v>44202</v>
      </c>
      <c r="C13" s="251" t="s">
        <v>224</v>
      </c>
      <c r="D13" s="251" t="s">
        <v>101</v>
      </c>
      <c r="E13" s="253">
        <v>-1250</v>
      </c>
      <c r="F13" s="253">
        <v>-1250</v>
      </c>
      <c r="G13" s="259"/>
      <c r="H13" s="259"/>
      <c r="I13" s="259"/>
      <c r="J13" s="259"/>
      <c r="K13" s="259"/>
      <c r="L13" s="315" t="s">
        <v>155</v>
      </c>
      <c r="M13" s="255" t="s">
        <v>157</v>
      </c>
      <c r="N13" s="255" t="s">
        <v>158</v>
      </c>
      <c r="O13" s="730" t="s">
        <v>234</v>
      </c>
      <c r="P13" s="731"/>
      <c r="Q13" s="731"/>
      <c r="R13" s="731"/>
      <c r="S13" s="732"/>
      <c r="T13" s="256"/>
      <c r="U13" s="257"/>
      <c r="V13" s="260"/>
    </row>
    <row r="14" spans="1:22" x14ac:dyDescent="0.2">
      <c r="A14" s="190">
        <f t="shared" si="2"/>
        <v>9</v>
      </c>
      <c r="B14" s="250">
        <v>44203</v>
      </c>
      <c r="C14" s="251" t="s">
        <v>228</v>
      </c>
      <c r="D14" s="251" t="s">
        <v>138</v>
      </c>
      <c r="E14" s="253">
        <v>1900</v>
      </c>
      <c r="F14" s="253">
        <v>1000</v>
      </c>
      <c r="G14" s="259"/>
      <c r="H14" s="259">
        <v>900</v>
      </c>
      <c r="I14" s="259"/>
      <c r="J14" s="259"/>
      <c r="K14" s="259" t="s">
        <v>246</v>
      </c>
      <c r="L14" s="315" t="s">
        <v>155</v>
      </c>
      <c r="M14" s="255" t="s">
        <v>157</v>
      </c>
      <c r="N14" s="255" t="s">
        <v>127</v>
      </c>
      <c r="O14" s="730" t="s">
        <v>238</v>
      </c>
      <c r="P14" s="731"/>
      <c r="Q14" s="731"/>
      <c r="R14" s="731"/>
      <c r="S14" s="732"/>
      <c r="T14" s="256">
        <v>1</v>
      </c>
      <c r="U14" s="257"/>
      <c r="V14" s="260"/>
    </row>
    <row r="15" spans="1:22" x14ac:dyDescent="0.2">
      <c r="A15" s="190">
        <f t="shared" si="2"/>
        <v>10</v>
      </c>
      <c r="B15" s="250">
        <v>44203</v>
      </c>
      <c r="C15" s="251" t="s">
        <v>225</v>
      </c>
      <c r="D15" s="251" t="s">
        <v>139</v>
      </c>
      <c r="E15" s="253">
        <v>1250</v>
      </c>
      <c r="F15" s="253">
        <v>1250</v>
      </c>
      <c r="G15" s="259"/>
      <c r="H15" s="259"/>
      <c r="I15" s="259"/>
      <c r="J15" s="259"/>
      <c r="K15" s="259"/>
      <c r="L15" s="315" t="s">
        <v>155</v>
      </c>
      <c r="M15" s="255" t="s">
        <v>156</v>
      </c>
      <c r="N15" s="255" t="s">
        <v>158</v>
      </c>
      <c r="O15" s="730" t="s">
        <v>105</v>
      </c>
      <c r="P15" s="731"/>
      <c r="Q15" s="731"/>
      <c r="R15" s="731"/>
      <c r="S15" s="732"/>
      <c r="T15" s="256"/>
      <c r="U15" s="257">
        <v>1</v>
      </c>
      <c r="V15" s="260"/>
    </row>
    <row r="16" spans="1:22" x14ac:dyDescent="0.2">
      <c r="A16" s="190">
        <f t="shared" si="2"/>
        <v>11</v>
      </c>
      <c r="B16" s="250">
        <v>44203</v>
      </c>
      <c r="C16" s="251" t="s">
        <v>226</v>
      </c>
      <c r="D16" s="251" t="s">
        <v>137</v>
      </c>
      <c r="E16" s="253">
        <v>-1200</v>
      </c>
      <c r="F16" s="253">
        <v>-200</v>
      </c>
      <c r="G16" s="259"/>
      <c r="H16" s="259"/>
      <c r="I16" s="259">
        <v>-1000</v>
      </c>
      <c r="J16" s="259"/>
      <c r="K16" s="259" t="s">
        <v>250</v>
      </c>
      <c r="L16" s="256" t="s">
        <v>154</v>
      </c>
      <c r="M16" s="255" t="s">
        <v>156</v>
      </c>
      <c r="N16" s="255" t="s">
        <v>127</v>
      </c>
      <c r="O16" s="730" t="s">
        <v>241</v>
      </c>
      <c r="P16" s="731"/>
      <c r="Q16" s="731"/>
      <c r="R16" s="731"/>
      <c r="S16" s="732"/>
      <c r="T16" s="256">
        <v>-1</v>
      </c>
      <c r="U16" s="257">
        <v>-1</v>
      </c>
      <c r="V16" s="260"/>
    </row>
    <row r="17" spans="1:22" x14ac:dyDescent="0.2">
      <c r="A17" s="190">
        <f t="shared" si="2"/>
        <v>12</v>
      </c>
      <c r="B17" s="250">
        <v>44204</v>
      </c>
      <c r="C17" s="265" t="s">
        <v>227</v>
      </c>
      <c r="D17" s="265" t="s">
        <v>83</v>
      </c>
      <c r="E17" s="252">
        <v>1490</v>
      </c>
      <c r="F17" s="252"/>
      <c r="G17" s="254"/>
      <c r="H17" s="254">
        <v>1490</v>
      </c>
      <c r="I17" s="254"/>
      <c r="J17" s="254"/>
      <c r="K17" s="254" t="s">
        <v>248</v>
      </c>
      <c r="L17" s="315" t="s">
        <v>160</v>
      </c>
      <c r="M17" s="255" t="s">
        <v>156</v>
      </c>
      <c r="N17" s="255" t="s">
        <v>156</v>
      </c>
      <c r="O17" s="746" t="s">
        <v>106</v>
      </c>
      <c r="P17" s="747"/>
      <c r="Q17" s="747"/>
      <c r="R17" s="747"/>
      <c r="S17" s="748"/>
      <c r="T17" s="266">
        <v>1</v>
      </c>
      <c r="U17" s="267">
        <v>1</v>
      </c>
      <c r="V17" s="260">
        <v>1</v>
      </c>
    </row>
    <row r="18" spans="1:22" x14ac:dyDescent="0.2">
      <c r="A18" s="190">
        <f t="shared" si="2"/>
        <v>13</v>
      </c>
      <c r="B18" s="250">
        <v>44204</v>
      </c>
      <c r="C18" s="251" t="s">
        <v>229</v>
      </c>
      <c r="D18" s="251" t="s">
        <v>140</v>
      </c>
      <c r="E18" s="253">
        <v>1340</v>
      </c>
      <c r="F18" s="253">
        <v>1340</v>
      </c>
      <c r="G18" s="259"/>
      <c r="H18" s="259"/>
      <c r="I18" s="259"/>
      <c r="J18" s="259"/>
      <c r="K18" s="259"/>
      <c r="L18" s="315" t="s">
        <v>154</v>
      </c>
      <c r="M18" s="255" t="s">
        <v>156</v>
      </c>
      <c r="N18" s="255" t="s">
        <v>126</v>
      </c>
      <c r="O18" s="730" t="s">
        <v>107</v>
      </c>
      <c r="P18" s="731"/>
      <c r="Q18" s="731"/>
      <c r="R18" s="731"/>
      <c r="S18" s="732"/>
      <c r="T18" s="256">
        <v>1</v>
      </c>
      <c r="U18" s="257">
        <v>1</v>
      </c>
      <c r="V18" s="260">
        <v>1</v>
      </c>
    </row>
    <row r="19" spans="1:22" x14ac:dyDescent="0.2">
      <c r="A19" s="190">
        <f t="shared" si="2"/>
        <v>14</v>
      </c>
      <c r="B19" s="250">
        <v>44204</v>
      </c>
      <c r="C19" s="251" t="s">
        <v>230</v>
      </c>
      <c r="D19" s="251" t="s">
        <v>84</v>
      </c>
      <c r="E19" s="264">
        <v>1490</v>
      </c>
      <c r="F19" s="253">
        <v>490</v>
      </c>
      <c r="G19" s="261"/>
      <c r="H19" s="261"/>
      <c r="I19" s="261"/>
      <c r="J19" s="261">
        <v>1000</v>
      </c>
      <c r="K19" s="262"/>
      <c r="L19" s="315" t="s">
        <v>154</v>
      </c>
      <c r="M19" s="255" t="s">
        <v>156</v>
      </c>
      <c r="N19" s="255" t="s">
        <v>126</v>
      </c>
      <c r="O19" s="730" t="s">
        <v>239</v>
      </c>
      <c r="P19" s="731"/>
      <c r="Q19" s="731"/>
      <c r="R19" s="731"/>
      <c r="S19" s="732"/>
      <c r="T19" s="256">
        <v>1</v>
      </c>
      <c r="U19" s="257">
        <v>1</v>
      </c>
      <c r="V19" s="260">
        <v>1</v>
      </c>
    </row>
    <row r="20" spans="1:22" x14ac:dyDescent="0.2">
      <c r="A20" s="190">
        <f t="shared" si="2"/>
        <v>15</v>
      </c>
      <c r="B20" s="250">
        <v>44204</v>
      </c>
      <c r="C20" s="251" t="s">
        <v>231</v>
      </c>
      <c r="D20" s="251" t="s">
        <v>141</v>
      </c>
      <c r="E20" s="264">
        <v>9000</v>
      </c>
      <c r="F20" s="253">
        <v>9000</v>
      </c>
      <c r="G20" s="261"/>
      <c r="H20" s="261"/>
      <c r="I20" s="261"/>
      <c r="J20" s="261"/>
      <c r="K20" s="262"/>
      <c r="L20" s="315" t="s">
        <v>155</v>
      </c>
      <c r="M20" s="255" t="s">
        <v>157</v>
      </c>
      <c r="N20" s="255" t="s">
        <v>158</v>
      </c>
      <c r="O20" s="730" t="s">
        <v>145</v>
      </c>
      <c r="P20" s="731"/>
      <c r="Q20" s="731"/>
      <c r="R20" s="731"/>
      <c r="S20" s="732"/>
      <c r="T20" s="256">
        <v>1</v>
      </c>
      <c r="U20" s="257">
        <v>1</v>
      </c>
      <c r="V20" s="260">
        <v>1</v>
      </c>
    </row>
    <row r="21" spans="1:22" x14ac:dyDescent="0.2">
      <c r="A21" s="190">
        <f t="shared" si="2"/>
        <v>16</v>
      </c>
      <c r="B21" s="250">
        <v>44204</v>
      </c>
      <c r="C21" s="251" t="s">
        <v>232</v>
      </c>
      <c r="D21" s="251" t="s">
        <v>142</v>
      </c>
      <c r="E21" s="253">
        <v>-1490</v>
      </c>
      <c r="F21" s="253"/>
      <c r="G21" s="259"/>
      <c r="H21" s="259"/>
      <c r="I21" s="259"/>
      <c r="J21" s="259">
        <v>-1490</v>
      </c>
      <c r="K21" s="259"/>
      <c r="L21" s="315" t="s">
        <v>160</v>
      </c>
      <c r="M21" s="255" t="s">
        <v>156</v>
      </c>
      <c r="N21" s="255" t="s">
        <v>126</v>
      </c>
      <c r="O21" s="730" t="s">
        <v>240</v>
      </c>
      <c r="P21" s="731"/>
      <c r="Q21" s="731"/>
      <c r="R21" s="731"/>
      <c r="S21" s="732"/>
      <c r="T21" s="256">
        <v>-1</v>
      </c>
      <c r="U21" s="257">
        <v>-1</v>
      </c>
      <c r="V21" s="260">
        <v>1</v>
      </c>
    </row>
    <row r="22" spans="1:22" x14ac:dyDescent="0.2">
      <c r="A22" s="190">
        <f t="shared" si="2"/>
        <v>17</v>
      </c>
      <c r="B22" s="250">
        <v>44204</v>
      </c>
      <c r="C22" s="251" t="s">
        <v>233</v>
      </c>
      <c r="D22" s="251" t="s">
        <v>143</v>
      </c>
      <c r="E22" s="253">
        <v>1490</v>
      </c>
      <c r="F22" s="253"/>
      <c r="G22" s="259"/>
      <c r="H22" s="259"/>
      <c r="I22" s="259"/>
      <c r="J22" s="259">
        <v>1490</v>
      </c>
      <c r="K22" s="259"/>
      <c r="L22" s="315" t="s">
        <v>154</v>
      </c>
      <c r="M22" s="255" t="s">
        <v>156</v>
      </c>
      <c r="N22" s="255" t="s">
        <v>157</v>
      </c>
      <c r="O22" s="730" t="s">
        <v>242</v>
      </c>
      <c r="P22" s="731"/>
      <c r="Q22" s="731"/>
      <c r="R22" s="731"/>
      <c r="S22" s="732"/>
      <c r="T22" s="256">
        <v>1</v>
      </c>
      <c r="U22" s="257">
        <v>1</v>
      </c>
      <c r="V22" s="260">
        <v>1</v>
      </c>
    </row>
    <row r="23" spans="1:22" x14ac:dyDescent="0.2">
      <c r="A23" s="190">
        <f t="shared" si="2"/>
        <v>18</v>
      </c>
      <c r="B23" s="250"/>
      <c r="C23" s="251"/>
      <c r="D23" s="251"/>
      <c r="E23" s="253"/>
      <c r="F23" s="253"/>
      <c r="G23" s="259"/>
      <c r="H23" s="259"/>
      <c r="I23" s="259"/>
      <c r="J23" s="259"/>
      <c r="K23" s="259"/>
      <c r="L23" s="315"/>
      <c r="M23" s="255"/>
      <c r="N23" s="255"/>
      <c r="O23" s="730"/>
      <c r="P23" s="731"/>
      <c r="Q23" s="731"/>
      <c r="R23" s="731"/>
      <c r="S23" s="732"/>
      <c r="T23" s="256"/>
      <c r="U23" s="257"/>
      <c r="V23" s="260"/>
    </row>
    <row r="24" spans="1:22" x14ac:dyDescent="0.2">
      <c r="A24" s="190">
        <f t="shared" si="2"/>
        <v>19</v>
      </c>
      <c r="B24" s="250"/>
      <c r="C24" s="251"/>
      <c r="D24" s="251"/>
      <c r="E24" s="253"/>
      <c r="F24" s="253"/>
      <c r="G24" s="259"/>
      <c r="H24" s="259"/>
      <c r="I24" s="259"/>
      <c r="J24" s="259"/>
      <c r="K24" s="259"/>
      <c r="L24" s="315"/>
      <c r="M24" s="255"/>
      <c r="N24" s="255"/>
      <c r="O24" s="730"/>
      <c r="P24" s="731"/>
      <c r="Q24" s="731"/>
      <c r="R24" s="731"/>
      <c r="S24" s="732"/>
      <c r="T24" s="256"/>
      <c r="U24" s="257"/>
      <c r="V24" s="260"/>
    </row>
    <row r="25" spans="1:22" x14ac:dyDescent="0.2">
      <c r="A25" s="190">
        <f t="shared" si="2"/>
        <v>20</v>
      </c>
      <c r="B25" s="250"/>
      <c r="C25" s="251"/>
      <c r="D25" s="251"/>
      <c r="E25" s="253"/>
      <c r="F25" s="253"/>
      <c r="G25" s="259"/>
      <c r="H25" s="259"/>
      <c r="I25" s="259"/>
      <c r="J25" s="259"/>
      <c r="K25" s="259"/>
      <c r="L25" s="315"/>
      <c r="M25" s="255"/>
      <c r="N25" s="255"/>
      <c r="O25" s="730"/>
      <c r="P25" s="731"/>
      <c r="Q25" s="731"/>
      <c r="R25" s="731"/>
      <c r="S25" s="732"/>
      <c r="T25" s="256"/>
      <c r="U25" s="257"/>
      <c r="V25" s="260"/>
    </row>
    <row r="26" spans="1:22" x14ac:dyDescent="0.2">
      <c r="A26" s="190">
        <f t="shared" si="2"/>
        <v>21</v>
      </c>
      <c r="B26" s="250"/>
      <c r="C26" s="251"/>
      <c r="D26" s="251"/>
      <c r="E26" s="253"/>
      <c r="F26" s="253"/>
      <c r="G26" s="259"/>
      <c r="H26" s="259"/>
      <c r="I26" s="259"/>
      <c r="J26" s="259"/>
      <c r="K26" s="259"/>
      <c r="L26" s="315"/>
      <c r="M26" s="255"/>
      <c r="N26" s="255"/>
      <c r="O26" s="730"/>
      <c r="P26" s="731"/>
      <c r="Q26" s="731"/>
      <c r="R26" s="731"/>
      <c r="S26" s="732"/>
      <c r="T26" s="256"/>
      <c r="U26" s="257"/>
      <c r="V26" s="260"/>
    </row>
    <row r="27" spans="1:22" x14ac:dyDescent="0.2">
      <c r="A27" s="190">
        <f t="shared" si="2"/>
        <v>22</v>
      </c>
      <c r="B27" s="250"/>
      <c r="C27" s="251"/>
      <c r="D27" s="251"/>
      <c r="E27" s="253"/>
      <c r="F27" s="253"/>
      <c r="G27" s="259"/>
      <c r="H27" s="259"/>
      <c r="I27" s="259"/>
      <c r="J27" s="259"/>
      <c r="K27" s="259"/>
      <c r="L27" s="315"/>
      <c r="M27" s="255"/>
      <c r="N27" s="255"/>
      <c r="O27" s="730"/>
      <c r="P27" s="731"/>
      <c r="Q27" s="731"/>
      <c r="R27" s="731"/>
      <c r="S27" s="732"/>
      <c r="T27" s="256"/>
      <c r="U27" s="257"/>
      <c r="V27" s="260"/>
    </row>
    <row r="28" spans="1:22" x14ac:dyDescent="0.2">
      <c r="A28" s="190">
        <f t="shared" si="2"/>
        <v>23</v>
      </c>
      <c r="B28" s="250"/>
      <c r="C28" s="251"/>
      <c r="D28" s="251"/>
      <c r="E28" s="253"/>
      <c r="F28" s="253"/>
      <c r="G28" s="259"/>
      <c r="H28" s="259"/>
      <c r="I28" s="259"/>
      <c r="J28" s="259"/>
      <c r="K28" s="259"/>
      <c r="L28" s="315"/>
      <c r="M28" s="255"/>
      <c r="N28" s="255"/>
      <c r="O28" s="730"/>
      <c r="P28" s="731"/>
      <c r="Q28" s="731"/>
      <c r="R28" s="731"/>
      <c r="S28" s="732"/>
      <c r="T28" s="256"/>
      <c r="U28" s="257"/>
      <c r="V28" s="260"/>
    </row>
    <row r="29" spans="1:22" x14ac:dyDescent="0.2">
      <c r="A29" s="190">
        <f t="shared" si="2"/>
        <v>24</v>
      </c>
      <c r="B29" s="250"/>
      <c r="C29" s="251"/>
      <c r="D29" s="251"/>
      <c r="E29" s="253"/>
      <c r="F29" s="253"/>
      <c r="G29" s="259"/>
      <c r="H29" s="259"/>
      <c r="I29" s="259"/>
      <c r="J29" s="259"/>
      <c r="K29" s="259"/>
      <c r="L29" s="315"/>
      <c r="M29" s="255"/>
      <c r="N29" s="255"/>
      <c r="O29" s="730"/>
      <c r="P29" s="731"/>
      <c r="Q29" s="731"/>
      <c r="R29" s="731"/>
      <c r="S29" s="732"/>
      <c r="T29" s="256"/>
      <c r="U29" s="257"/>
      <c r="V29" s="260"/>
    </row>
    <row r="30" spans="1:22" x14ac:dyDescent="0.2">
      <c r="A30" s="190">
        <f t="shared" si="2"/>
        <v>25</v>
      </c>
      <c r="B30" s="250"/>
      <c r="C30" s="251"/>
      <c r="D30" s="251"/>
      <c r="E30" s="253"/>
      <c r="F30" s="253"/>
      <c r="G30" s="259"/>
      <c r="H30" s="259"/>
      <c r="I30" s="259"/>
      <c r="J30" s="259"/>
      <c r="K30" s="259"/>
      <c r="L30" s="315"/>
      <c r="M30" s="255"/>
      <c r="N30" s="255"/>
      <c r="O30" s="730"/>
      <c r="P30" s="731"/>
      <c r="Q30" s="731"/>
      <c r="R30" s="731"/>
      <c r="S30" s="732"/>
      <c r="T30" s="256"/>
      <c r="U30" s="257"/>
      <c r="V30" s="260"/>
    </row>
    <row r="31" spans="1:22" x14ac:dyDescent="0.2">
      <c r="A31" s="190">
        <f t="shared" si="2"/>
        <v>26</v>
      </c>
      <c r="B31" s="250"/>
      <c r="C31" s="251"/>
      <c r="D31" s="251"/>
      <c r="E31" s="253"/>
      <c r="F31" s="253"/>
      <c r="G31" s="259"/>
      <c r="H31" s="259"/>
      <c r="I31" s="259"/>
      <c r="J31" s="259"/>
      <c r="K31" s="259"/>
      <c r="L31" s="315"/>
      <c r="M31" s="255"/>
      <c r="N31" s="255"/>
      <c r="O31" s="730"/>
      <c r="P31" s="731"/>
      <c r="Q31" s="731"/>
      <c r="R31" s="731"/>
      <c r="S31" s="732"/>
      <c r="T31" s="256"/>
      <c r="U31" s="257"/>
      <c r="V31" s="260"/>
    </row>
    <row r="32" spans="1:22" x14ac:dyDescent="0.2">
      <c r="A32" s="190">
        <f t="shared" si="2"/>
        <v>27</v>
      </c>
      <c r="B32" s="250"/>
      <c r="C32" s="251"/>
      <c r="D32" s="251"/>
      <c r="E32" s="253"/>
      <c r="F32" s="253"/>
      <c r="G32" s="259"/>
      <c r="H32" s="259"/>
      <c r="I32" s="259"/>
      <c r="J32" s="259"/>
      <c r="K32" s="259"/>
      <c r="L32" s="315"/>
      <c r="M32" s="255"/>
      <c r="N32" s="255"/>
      <c r="O32" s="730"/>
      <c r="P32" s="731"/>
      <c r="Q32" s="731"/>
      <c r="R32" s="731"/>
      <c r="S32" s="732"/>
      <c r="T32" s="256"/>
      <c r="U32" s="257"/>
      <c r="V32" s="260"/>
    </row>
    <row r="33" spans="1:22" x14ac:dyDescent="0.2">
      <c r="A33" s="190">
        <f t="shared" si="2"/>
        <v>28</v>
      </c>
      <c r="B33" s="250"/>
      <c r="C33" s="251"/>
      <c r="D33" s="251"/>
      <c r="E33" s="253"/>
      <c r="F33" s="253"/>
      <c r="G33" s="259"/>
      <c r="H33" s="259"/>
      <c r="I33" s="259"/>
      <c r="J33" s="259"/>
      <c r="K33" s="259"/>
      <c r="L33" s="315"/>
      <c r="M33" s="255"/>
      <c r="N33" s="255"/>
      <c r="O33" s="311"/>
      <c r="P33" s="312"/>
      <c r="Q33" s="312"/>
      <c r="R33" s="312"/>
      <c r="S33" s="313"/>
      <c r="T33" s="256"/>
      <c r="U33" s="257"/>
      <c r="V33" s="260"/>
    </row>
    <row r="34" spans="1:22" x14ac:dyDescent="0.2">
      <c r="A34" s="190">
        <f t="shared" si="2"/>
        <v>29</v>
      </c>
      <c r="B34" s="250"/>
      <c r="C34" s="251"/>
      <c r="D34" s="251"/>
      <c r="E34" s="253"/>
      <c r="F34" s="253"/>
      <c r="G34" s="259"/>
      <c r="H34" s="259"/>
      <c r="I34" s="259"/>
      <c r="J34" s="259"/>
      <c r="K34" s="259"/>
      <c r="L34" s="315"/>
      <c r="M34" s="255"/>
      <c r="N34" s="255"/>
      <c r="O34" s="311"/>
      <c r="P34" s="312"/>
      <c r="Q34" s="312"/>
      <c r="R34" s="312"/>
      <c r="S34" s="313"/>
      <c r="T34" s="256"/>
      <c r="U34" s="257"/>
      <c r="V34" s="260"/>
    </row>
    <row r="35" spans="1:22" x14ac:dyDescent="0.2">
      <c r="A35" s="190">
        <f t="shared" si="2"/>
        <v>30</v>
      </c>
      <c r="B35" s="250"/>
      <c r="C35" s="251"/>
      <c r="D35" s="251"/>
      <c r="E35" s="253"/>
      <c r="F35" s="253"/>
      <c r="G35" s="259"/>
      <c r="H35" s="259"/>
      <c r="I35" s="259"/>
      <c r="J35" s="259"/>
      <c r="K35" s="259"/>
      <c r="L35" s="315"/>
      <c r="M35" s="255"/>
      <c r="N35" s="255"/>
      <c r="O35" s="311"/>
      <c r="P35" s="312"/>
      <c r="Q35" s="312"/>
      <c r="R35" s="312"/>
      <c r="S35" s="313"/>
      <c r="T35" s="256"/>
      <c r="U35" s="257"/>
      <c r="V35" s="260"/>
    </row>
    <row r="36" spans="1:22" x14ac:dyDescent="0.2">
      <c r="A36" s="190">
        <f t="shared" si="2"/>
        <v>31</v>
      </c>
      <c r="B36" s="250"/>
      <c r="C36" s="251"/>
      <c r="D36" s="251"/>
      <c r="E36" s="253"/>
      <c r="F36" s="253"/>
      <c r="G36" s="259"/>
      <c r="H36" s="259"/>
      <c r="I36" s="259"/>
      <c r="J36" s="259"/>
      <c r="K36" s="259"/>
      <c r="L36" s="315"/>
      <c r="M36" s="255"/>
      <c r="N36" s="255"/>
      <c r="O36" s="311"/>
      <c r="P36" s="312"/>
      <c r="Q36" s="312"/>
      <c r="R36" s="312"/>
      <c r="S36" s="313"/>
      <c r="T36" s="256"/>
      <c r="U36" s="257"/>
      <c r="V36" s="260"/>
    </row>
    <row r="37" spans="1:22" x14ac:dyDescent="0.2">
      <c r="A37" s="190">
        <f t="shared" si="2"/>
        <v>32</v>
      </c>
      <c r="B37" s="250"/>
      <c r="C37" s="251"/>
      <c r="D37" s="251"/>
      <c r="E37" s="253"/>
      <c r="F37" s="253"/>
      <c r="G37" s="259"/>
      <c r="H37" s="259"/>
      <c r="I37" s="259"/>
      <c r="J37" s="259"/>
      <c r="K37" s="259"/>
      <c r="L37" s="315"/>
      <c r="M37" s="255"/>
      <c r="N37" s="255"/>
      <c r="O37" s="730"/>
      <c r="P37" s="731"/>
      <c r="Q37" s="731"/>
      <c r="R37" s="731"/>
      <c r="S37" s="732"/>
      <c r="T37" s="256"/>
      <c r="U37" s="257"/>
      <c r="V37" s="260"/>
    </row>
    <row r="38" spans="1:22" x14ac:dyDescent="0.2">
      <c r="A38" s="190">
        <f t="shared" si="2"/>
        <v>33</v>
      </c>
      <c r="B38" s="250"/>
      <c r="C38" s="251"/>
      <c r="D38" s="251"/>
      <c r="E38" s="253"/>
      <c r="F38" s="253"/>
      <c r="G38" s="259"/>
      <c r="H38" s="259"/>
      <c r="I38" s="259"/>
      <c r="J38" s="259"/>
      <c r="K38" s="259"/>
      <c r="L38" s="315"/>
      <c r="M38" s="255"/>
      <c r="N38" s="255"/>
      <c r="O38" s="730"/>
      <c r="P38" s="731"/>
      <c r="Q38" s="731"/>
      <c r="R38" s="731"/>
      <c r="S38" s="732"/>
      <c r="T38" s="256"/>
      <c r="U38" s="257"/>
      <c r="V38" s="260"/>
    </row>
    <row r="39" spans="1:22" x14ac:dyDescent="0.2">
      <c r="A39" s="190">
        <f t="shared" si="2"/>
        <v>34</v>
      </c>
      <c r="B39" s="250"/>
      <c r="C39" s="251"/>
      <c r="D39" s="251"/>
      <c r="E39" s="253"/>
      <c r="F39" s="253"/>
      <c r="G39" s="259"/>
      <c r="H39" s="259"/>
      <c r="I39" s="259"/>
      <c r="J39" s="259"/>
      <c r="K39" s="259"/>
      <c r="L39" s="315"/>
      <c r="M39" s="255"/>
      <c r="N39" s="255"/>
      <c r="O39" s="730"/>
      <c r="P39" s="731"/>
      <c r="Q39" s="731"/>
      <c r="R39" s="731"/>
      <c r="S39" s="732"/>
      <c r="T39" s="256"/>
      <c r="U39" s="257"/>
      <c r="V39" s="260"/>
    </row>
    <row r="40" spans="1:22" x14ac:dyDescent="0.2">
      <c r="A40" s="190">
        <f t="shared" si="2"/>
        <v>35</v>
      </c>
      <c r="B40" s="250"/>
      <c r="C40" s="251"/>
      <c r="D40" s="251"/>
      <c r="E40" s="253"/>
      <c r="F40" s="253"/>
      <c r="G40" s="259"/>
      <c r="H40" s="259"/>
      <c r="I40" s="259"/>
      <c r="J40" s="259"/>
      <c r="K40" s="259"/>
      <c r="L40" s="315"/>
      <c r="M40" s="255"/>
      <c r="N40" s="255"/>
      <c r="O40" s="730"/>
      <c r="P40" s="731"/>
      <c r="Q40" s="731"/>
      <c r="R40" s="731"/>
      <c r="S40" s="732"/>
      <c r="T40" s="256"/>
      <c r="U40" s="257"/>
      <c r="V40" s="260"/>
    </row>
    <row r="41" spans="1:22" x14ac:dyDescent="0.2">
      <c r="A41" s="190">
        <f t="shared" si="2"/>
        <v>36</v>
      </c>
      <c r="B41" s="250"/>
      <c r="C41" s="251"/>
      <c r="D41" s="251"/>
      <c r="E41" s="253"/>
      <c r="F41" s="253"/>
      <c r="G41" s="259"/>
      <c r="H41" s="259"/>
      <c r="I41" s="259"/>
      <c r="J41" s="259"/>
      <c r="K41" s="259"/>
      <c r="L41" s="315"/>
      <c r="M41" s="255"/>
      <c r="N41" s="255"/>
      <c r="O41" s="730"/>
      <c r="P41" s="731"/>
      <c r="Q41" s="731"/>
      <c r="R41" s="731"/>
      <c r="S41" s="732"/>
      <c r="T41" s="256"/>
      <c r="U41" s="257"/>
      <c r="V41" s="260"/>
    </row>
    <row r="42" spans="1:22" ht="13.5" thickBot="1" x14ac:dyDescent="0.25">
      <c r="A42" s="191">
        <f t="shared" si="2"/>
        <v>37</v>
      </c>
      <c r="B42" s="286"/>
      <c r="C42" s="268"/>
      <c r="D42" s="268"/>
      <c r="E42" s="269"/>
      <c r="F42" s="269"/>
      <c r="G42" s="270"/>
      <c r="H42" s="270"/>
      <c r="I42" s="270"/>
      <c r="J42" s="270"/>
      <c r="K42" s="270"/>
      <c r="L42" s="316"/>
      <c r="M42" s="255"/>
      <c r="N42" s="255"/>
      <c r="O42" s="733"/>
      <c r="P42" s="734"/>
      <c r="Q42" s="734"/>
      <c r="R42" s="734"/>
      <c r="S42" s="735"/>
      <c r="T42" s="271"/>
      <c r="U42" s="271"/>
      <c r="V42" s="272"/>
    </row>
    <row r="43" spans="1:22" ht="13.5" thickBot="1" x14ac:dyDescent="0.25">
      <c r="A43" s="10"/>
      <c r="B43" s="468" t="s">
        <v>65</v>
      </c>
      <c r="C43" s="469"/>
      <c r="D43" s="470"/>
      <c r="E43" s="195">
        <f t="shared" ref="E43:K43" si="3">SUM(E6:E42)</f>
        <v>23770</v>
      </c>
      <c r="F43" s="195">
        <f t="shared" si="3"/>
        <v>18710</v>
      </c>
      <c r="G43" s="195">
        <f t="shared" si="3"/>
        <v>580</v>
      </c>
      <c r="H43" s="195">
        <f t="shared" si="3"/>
        <v>3080</v>
      </c>
      <c r="I43" s="195">
        <f t="shared" si="3"/>
        <v>0</v>
      </c>
      <c r="J43" s="195">
        <f t="shared" si="3"/>
        <v>1400</v>
      </c>
      <c r="K43" s="195">
        <f t="shared" si="3"/>
        <v>0</v>
      </c>
      <c r="L43" s="213"/>
      <c r="M43" s="214"/>
      <c r="N43" s="214"/>
      <c r="O43" s="214"/>
      <c r="P43" s="214"/>
      <c r="Q43" s="214"/>
      <c r="R43" s="214"/>
      <c r="S43" s="215"/>
      <c r="T43" s="196">
        <f>SUM(T6:T42)</f>
        <v>10</v>
      </c>
      <c r="U43" s="196">
        <f>SUM(U6:U42)</f>
        <v>10</v>
      </c>
      <c r="V43" s="197">
        <f>SUM(V6:V42)</f>
        <v>11</v>
      </c>
    </row>
    <row r="44" spans="1:22" x14ac:dyDescent="0.2">
      <c r="A44" s="10"/>
      <c r="B44" s="216"/>
      <c r="C44" s="217"/>
      <c r="D44" s="230" t="str">
        <f>D92</f>
        <v>T11</v>
      </c>
      <c r="E44" s="219">
        <f t="shared" ref="E44:K44" si="4">SUMIF($L$6:$L$42,$D$44,E$6:E$42)</f>
        <v>10130</v>
      </c>
      <c r="F44" s="219">
        <f t="shared" si="4"/>
        <v>5970</v>
      </c>
      <c r="G44" s="219">
        <f t="shared" si="4"/>
        <v>580</v>
      </c>
      <c r="H44" s="219">
        <f t="shared" si="4"/>
        <v>690</v>
      </c>
      <c r="I44" s="219">
        <f t="shared" si="4"/>
        <v>0</v>
      </c>
      <c r="J44" s="219">
        <f t="shared" si="4"/>
        <v>2890</v>
      </c>
      <c r="K44" s="219">
        <f t="shared" si="4"/>
        <v>0</v>
      </c>
      <c r="L44" s="273"/>
      <c r="M44" s="274"/>
      <c r="N44" s="274"/>
      <c r="O44" s="275"/>
      <c r="P44" s="275"/>
      <c r="Q44" s="275"/>
      <c r="R44" s="275"/>
      <c r="S44" s="275"/>
      <c r="T44" s="220">
        <f>SUMIF($L$6:$L$42,$D$44,T$6:T$42)</f>
        <v>7</v>
      </c>
      <c r="U44" s="220">
        <f>SUMIF($L$6:$L$42,$D$44,U$6:U$42)</f>
        <v>7</v>
      </c>
      <c r="V44" s="221">
        <f>SUMIF($L$6:$L$42,$D$44,V$6:V$42)</f>
        <v>7</v>
      </c>
    </row>
    <row r="45" spans="1:22" x14ac:dyDescent="0.2">
      <c r="A45" s="10"/>
      <c r="B45" s="216"/>
      <c r="C45" s="217"/>
      <c r="D45" s="234" t="str">
        <f t="shared" ref="D45:D47" si="5">D93</f>
        <v>T09</v>
      </c>
      <c r="E45" s="223">
        <f t="shared" ref="E45:K45" si="6">SUMIF($L$6:$L$42,$D$45,E$6:E$42)</f>
        <v>13640</v>
      </c>
      <c r="F45" s="223">
        <f t="shared" si="6"/>
        <v>12740</v>
      </c>
      <c r="G45" s="223">
        <f t="shared" si="6"/>
        <v>0</v>
      </c>
      <c r="H45" s="223">
        <f t="shared" si="6"/>
        <v>900</v>
      </c>
      <c r="I45" s="223">
        <f t="shared" si="6"/>
        <v>0</v>
      </c>
      <c r="J45" s="223">
        <f t="shared" si="6"/>
        <v>0</v>
      </c>
      <c r="K45" s="223">
        <f t="shared" si="6"/>
        <v>0</v>
      </c>
      <c r="L45" s="276"/>
      <c r="M45" s="277"/>
      <c r="N45" s="277"/>
      <c r="O45" s="278"/>
      <c r="P45" s="278"/>
      <c r="Q45" s="278"/>
      <c r="R45" s="278"/>
      <c r="S45" s="278"/>
      <c r="T45" s="224">
        <f>SUMIF($L$6:$L$42,$D$45,T$6:T$42)</f>
        <v>3</v>
      </c>
      <c r="U45" s="224">
        <f>SUMIF($L$6:$L$42,$D$45,U$6:U$42)</f>
        <v>3</v>
      </c>
      <c r="V45" s="225">
        <f>SUMIF($L$6:$L$42,$D$45,V$6:V$42)</f>
        <v>2</v>
      </c>
    </row>
    <row r="46" spans="1:22" x14ac:dyDescent="0.2">
      <c r="A46" s="10"/>
      <c r="B46" s="216"/>
      <c r="C46" s="217"/>
      <c r="D46" s="234" t="str">
        <f t="shared" si="5"/>
        <v>T06</v>
      </c>
      <c r="E46" s="223">
        <f t="shared" ref="E46:K46" si="7">SUMIF($L$6:$L$42,$D$46,E$6:E$42)</f>
        <v>0</v>
      </c>
      <c r="F46" s="223">
        <f t="shared" si="7"/>
        <v>0</v>
      </c>
      <c r="G46" s="223">
        <f t="shared" si="7"/>
        <v>0</v>
      </c>
      <c r="H46" s="223">
        <f t="shared" si="7"/>
        <v>1490</v>
      </c>
      <c r="I46" s="223">
        <f t="shared" si="7"/>
        <v>0</v>
      </c>
      <c r="J46" s="223">
        <f t="shared" si="7"/>
        <v>-1490</v>
      </c>
      <c r="K46" s="223">
        <f t="shared" si="7"/>
        <v>0</v>
      </c>
      <c r="L46" s="276"/>
      <c r="M46" s="277"/>
      <c r="N46" s="277"/>
      <c r="O46" s="278"/>
      <c r="P46" s="278"/>
      <c r="Q46" s="278"/>
      <c r="R46" s="278"/>
      <c r="S46" s="278"/>
      <c r="T46" s="224">
        <f>SUMIF($L$6:$L$42,$D$46,T$6:T$42)</f>
        <v>0</v>
      </c>
      <c r="U46" s="224">
        <f>SUMIF($L$6:$L$42,$D$46,U$6:U$42)</f>
        <v>0</v>
      </c>
      <c r="V46" s="225">
        <f>SUMIF($L$6:$L$42,$D$46,V$6:V$42)</f>
        <v>2</v>
      </c>
    </row>
    <row r="47" spans="1:22" ht="12" customHeight="1" thickBot="1" x14ac:dyDescent="0.25">
      <c r="A47" s="10"/>
      <c r="B47" s="216"/>
      <c r="C47" s="217"/>
      <c r="D47" s="238">
        <f t="shared" si="5"/>
        <v>0</v>
      </c>
      <c r="E47" s="227">
        <f t="shared" ref="E47:K47" si="8">SUMIF($L$6:$L$42,$D$47,E$6:E$42)</f>
        <v>0</v>
      </c>
      <c r="F47" s="227">
        <f t="shared" si="8"/>
        <v>0</v>
      </c>
      <c r="G47" s="227">
        <f t="shared" si="8"/>
        <v>0</v>
      </c>
      <c r="H47" s="227">
        <f t="shared" si="8"/>
        <v>0</v>
      </c>
      <c r="I47" s="227">
        <f t="shared" si="8"/>
        <v>0</v>
      </c>
      <c r="J47" s="227">
        <f t="shared" si="8"/>
        <v>0</v>
      </c>
      <c r="K47" s="227">
        <f t="shared" si="8"/>
        <v>0</v>
      </c>
      <c r="L47" s="279"/>
      <c r="M47" s="280"/>
      <c r="N47" s="280"/>
      <c r="O47" s="281"/>
      <c r="P47" s="281"/>
      <c r="Q47" s="281"/>
      <c r="R47" s="281"/>
      <c r="S47" s="281"/>
      <c r="T47" s="228">
        <f>SUMIF($L$6:$L$42,$D$47,T$6:T$42)</f>
        <v>0</v>
      </c>
      <c r="U47" s="228">
        <f>SUMIF($L$6:$L$42,$D$47,U$6:U$42)</f>
        <v>0</v>
      </c>
      <c r="V47" s="229">
        <f>SUMIF($L$6:$L$42,$D$47,V$6:V$42)</f>
        <v>0</v>
      </c>
    </row>
    <row r="48" spans="1:22" ht="21" customHeight="1" x14ac:dyDescent="0.2">
      <c r="A48" s="10"/>
      <c r="B48" s="471" t="str">
        <f>IF(E43&lt;&gt;SUM(F43:K43),"NEISPRAVAN UNOS, POSTOJI RAZLIKA","")</f>
        <v/>
      </c>
      <c r="C48" s="471"/>
      <c r="D48" s="471"/>
      <c r="E48" s="471"/>
      <c r="F48" s="471"/>
      <c r="G48" s="471"/>
      <c r="H48" s="471"/>
      <c r="I48" s="471"/>
      <c r="J48" s="471"/>
      <c r="K48" s="301"/>
      <c r="M48" s="302"/>
      <c r="N48" s="302"/>
      <c r="O48" s="303"/>
      <c r="P48" s="303"/>
      <c r="Q48" s="303"/>
      <c r="R48" s="303"/>
      <c r="S48" s="303"/>
      <c r="T48" s="300"/>
      <c r="U48" s="300"/>
      <c r="V48" s="300"/>
    </row>
    <row r="49" spans="1:22" x14ac:dyDescent="0.2">
      <c r="D49" s="211"/>
      <c r="E49" s="212"/>
      <c r="F49" s="212"/>
      <c r="G49" s="212"/>
      <c r="H49" s="212"/>
      <c r="I49" s="212"/>
      <c r="J49" s="212"/>
      <c r="K49" s="3"/>
      <c r="L49" s="3"/>
      <c r="M49" s="3"/>
      <c r="N49" s="3"/>
      <c r="O49" s="3"/>
      <c r="P49" s="3"/>
      <c r="Q49" s="3"/>
      <c r="R49" s="3"/>
      <c r="S49" s="3"/>
      <c r="T49" s="173"/>
      <c r="U49" s="173"/>
      <c r="V49" s="173"/>
    </row>
    <row r="50" spans="1:22" x14ac:dyDescent="0.2">
      <c r="B50" s="178" t="str">
        <f>B2</f>
        <v>MEDEM d.o.o.</v>
      </c>
      <c r="D50" s="211"/>
      <c r="E50" s="212"/>
      <c r="F50" s="212"/>
      <c r="G50" s="212"/>
      <c r="H50" s="212"/>
      <c r="I50" s="212"/>
      <c r="J50" s="212"/>
      <c r="K50" s="3"/>
      <c r="L50" s="3"/>
      <c r="M50" s="3"/>
      <c r="N50" s="3"/>
      <c r="O50" s="3"/>
      <c r="P50" s="3"/>
      <c r="Q50" s="3"/>
      <c r="R50" s="3"/>
      <c r="S50" s="3"/>
      <c r="T50" s="173"/>
      <c r="U50" s="173"/>
      <c r="V50" s="173"/>
    </row>
    <row r="51" spans="1:22" ht="13.5" thickBot="1" x14ac:dyDescent="0.25">
      <c r="B51" s="211"/>
      <c r="C51" s="211"/>
      <c r="D51" s="211"/>
      <c r="E51" s="212"/>
      <c r="F51" s="212"/>
      <c r="G51" s="212"/>
      <c r="H51" s="212"/>
      <c r="I51" s="212"/>
      <c r="J51" s="212"/>
      <c r="K51" s="3"/>
      <c r="L51" s="3"/>
      <c r="M51" s="3"/>
      <c r="N51" s="3"/>
      <c r="O51" s="3"/>
      <c r="P51" s="3"/>
      <c r="Q51" s="3"/>
      <c r="R51" s="3"/>
      <c r="S51" s="3"/>
      <c r="T51" s="173"/>
      <c r="U51" s="173"/>
      <c r="V51" s="173"/>
    </row>
    <row r="52" spans="1:22" ht="13.5" thickBot="1" x14ac:dyDescent="0.25">
      <c r="A52" s="460" t="s">
        <v>74</v>
      </c>
      <c r="B52" s="462" t="s">
        <v>78</v>
      </c>
      <c r="C52" s="463"/>
      <c r="D52" s="464"/>
      <c r="E52" s="179">
        <f>J172</f>
        <v>2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7"/>
    </row>
    <row r="53" spans="1:22" ht="26.25" customHeight="1" thickBot="1" x14ac:dyDescent="0.25">
      <c r="A53" s="461"/>
      <c r="B53" s="171" t="str">
        <f>B5</f>
        <v>DATUM</v>
      </c>
      <c r="C53" s="172" t="str">
        <f>C5</f>
        <v>Broj računa FISKALNOG</v>
      </c>
      <c r="D53" s="172" t="str">
        <f>D5</f>
        <v>Broj ugovora</v>
      </c>
      <c r="E53" s="172" t="str">
        <f>E5</f>
        <v>PRODAJNA CIJENA</v>
      </c>
      <c r="F53" s="172" t="str">
        <f t="shared" ref="F53:N53" si="9">F5</f>
        <v>GOTOVINA / KEŠ</v>
      </c>
      <c r="G53" s="172" t="str">
        <f t="shared" si="9"/>
        <v>POS KENT kartica</v>
      </c>
      <c r="H53" s="172" t="str">
        <f t="shared" si="9"/>
        <v>POS PBZ kartica</v>
      </c>
      <c r="I53" s="172" t="str">
        <f t="shared" si="9"/>
        <v>Kredit na rate PBZ</v>
      </c>
      <c r="J53" s="172" t="str">
        <f t="shared" si="9"/>
        <v>Žiralno / Ostalo</v>
      </c>
      <c r="K53" s="172" t="str">
        <f t="shared" si="9"/>
        <v>Vrsta Kartice</v>
      </c>
      <c r="L53" s="172" t="str">
        <f t="shared" si="9"/>
        <v>Team</v>
      </c>
      <c r="M53" s="172" t="str">
        <f t="shared" si="9"/>
        <v>Vozač</v>
      </c>
      <c r="N53" s="172" t="str">
        <f t="shared" si="9"/>
        <v>Prodao</v>
      </c>
      <c r="O53" s="465" t="s">
        <v>82</v>
      </c>
      <c r="P53" s="466"/>
      <c r="Q53" s="466"/>
      <c r="R53" s="466"/>
      <c r="S53" s="467"/>
      <c r="T53" s="181" t="str">
        <f>T5</f>
        <v>LMS</v>
      </c>
      <c r="U53" s="181" t="str">
        <f t="shared" ref="U53:V53" si="10">U5</f>
        <v>TO</v>
      </c>
      <c r="V53" s="182" t="str">
        <f t="shared" si="10"/>
        <v>IP</v>
      </c>
    </row>
    <row r="54" spans="1:22" ht="12" customHeight="1" x14ac:dyDescent="0.2">
      <c r="A54" s="190">
        <v>1</v>
      </c>
      <c r="B54" s="250">
        <v>44208</v>
      </c>
      <c r="C54" s="251" t="s">
        <v>86</v>
      </c>
      <c r="D54" s="251" t="s">
        <v>88</v>
      </c>
      <c r="E54" s="252">
        <v>1240</v>
      </c>
      <c r="F54" s="253">
        <v>240</v>
      </c>
      <c r="G54" s="254"/>
      <c r="H54" s="254">
        <v>1000</v>
      </c>
      <c r="I54" s="254"/>
      <c r="J54" s="254"/>
      <c r="K54" s="254" t="s">
        <v>245</v>
      </c>
      <c r="L54" s="315" t="s">
        <v>154</v>
      </c>
      <c r="M54" s="255" t="s">
        <v>157</v>
      </c>
      <c r="N54" s="255" t="s">
        <v>158</v>
      </c>
      <c r="O54" s="730" t="s">
        <v>166</v>
      </c>
      <c r="P54" s="731"/>
      <c r="Q54" s="731"/>
      <c r="R54" s="731"/>
      <c r="S54" s="732"/>
      <c r="T54" s="256">
        <v>1</v>
      </c>
      <c r="U54" s="257">
        <v>1</v>
      </c>
      <c r="V54" s="258"/>
    </row>
    <row r="55" spans="1:22" ht="12.75" customHeight="1" x14ac:dyDescent="0.2">
      <c r="A55" s="190">
        <f>A54+1</f>
        <v>2</v>
      </c>
      <c r="B55" s="250">
        <v>44208</v>
      </c>
      <c r="C55" s="251" t="s">
        <v>87</v>
      </c>
      <c r="D55" s="251" t="s">
        <v>89</v>
      </c>
      <c r="E55" s="253">
        <v>1490</v>
      </c>
      <c r="F55" s="253">
        <v>1490</v>
      </c>
      <c r="G55" s="259"/>
      <c r="H55" s="259"/>
      <c r="I55" s="259"/>
      <c r="J55" s="259"/>
      <c r="K55" s="259"/>
      <c r="L55" s="315" t="s">
        <v>154</v>
      </c>
      <c r="M55" s="255" t="s">
        <v>157</v>
      </c>
      <c r="N55" s="255" t="s">
        <v>158</v>
      </c>
      <c r="O55" s="730" t="s">
        <v>103</v>
      </c>
      <c r="P55" s="731"/>
      <c r="Q55" s="731"/>
      <c r="R55" s="731"/>
      <c r="S55" s="732"/>
      <c r="T55" s="256">
        <v>1</v>
      </c>
      <c r="U55" s="257">
        <v>1</v>
      </c>
      <c r="V55" s="260">
        <v>1</v>
      </c>
    </row>
    <row r="56" spans="1:22" ht="13.5" customHeight="1" x14ac:dyDescent="0.2">
      <c r="A56" s="190">
        <f t="shared" ref="A56:A90" si="11">A55+1</f>
        <v>3</v>
      </c>
      <c r="B56" s="250">
        <v>44209</v>
      </c>
      <c r="C56" s="251" t="s">
        <v>90</v>
      </c>
      <c r="D56" s="251" t="s">
        <v>91</v>
      </c>
      <c r="E56" s="253">
        <v>530</v>
      </c>
      <c r="F56" s="253">
        <v>200</v>
      </c>
      <c r="G56" s="261">
        <v>330</v>
      </c>
      <c r="H56" s="261"/>
      <c r="I56" s="261"/>
      <c r="J56" s="261"/>
      <c r="K56" s="414" t="s">
        <v>245</v>
      </c>
      <c r="L56" s="315" t="s">
        <v>155</v>
      </c>
      <c r="M56" s="255" t="s">
        <v>156</v>
      </c>
      <c r="N56" s="255" t="s">
        <v>159</v>
      </c>
      <c r="O56" s="730" t="s">
        <v>104</v>
      </c>
      <c r="P56" s="731"/>
      <c r="Q56" s="731"/>
      <c r="R56" s="731"/>
      <c r="S56" s="732"/>
      <c r="T56" s="256"/>
      <c r="U56" s="257">
        <v>1</v>
      </c>
      <c r="V56" s="260"/>
    </row>
    <row r="57" spans="1:22" ht="12.75" customHeight="1" x14ac:dyDescent="0.2">
      <c r="A57" s="190">
        <f t="shared" si="11"/>
        <v>4</v>
      </c>
      <c r="B57" s="263">
        <v>44209</v>
      </c>
      <c r="C57" s="251" t="s">
        <v>92</v>
      </c>
      <c r="D57" s="282" t="s">
        <v>93</v>
      </c>
      <c r="E57" s="264">
        <v>1490</v>
      </c>
      <c r="F57" s="253">
        <v>1000</v>
      </c>
      <c r="G57" s="261"/>
      <c r="H57" s="261">
        <v>490</v>
      </c>
      <c r="I57" s="261"/>
      <c r="J57" s="261"/>
      <c r="K57" s="414" t="s">
        <v>245</v>
      </c>
      <c r="L57" s="315" t="s">
        <v>155</v>
      </c>
      <c r="M57" s="255" t="s">
        <v>156</v>
      </c>
      <c r="N57" s="255" t="s">
        <v>156</v>
      </c>
      <c r="O57" s="730" t="s">
        <v>165</v>
      </c>
      <c r="P57" s="731"/>
      <c r="Q57" s="731"/>
      <c r="R57" s="731"/>
      <c r="S57" s="732"/>
      <c r="T57" s="256">
        <v>1</v>
      </c>
      <c r="U57" s="257">
        <v>1</v>
      </c>
      <c r="V57" s="260">
        <v>1</v>
      </c>
    </row>
    <row r="58" spans="1:22" x14ac:dyDescent="0.2">
      <c r="A58" s="190">
        <f t="shared" si="11"/>
        <v>5</v>
      </c>
      <c r="B58" s="250">
        <v>44209</v>
      </c>
      <c r="C58" s="251" t="s">
        <v>94</v>
      </c>
      <c r="D58" s="251" t="s">
        <v>95</v>
      </c>
      <c r="E58" s="253">
        <v>1120</v>
      </c>
      <c r="F58" s="253">
        <v>1120</v>
      </c>
      <c r="G58" s="259"/>
      <c r="H58" s="259"/>
      <c r="I58" s="259"/>
      <c r="J58" s="259"/>
      <c r="K58" s="259"/>
      <c r="L58" s="256" t="s">
        <v>155</v>
      </c>
      <c r="M58" s="255" t="s">
        <v>156</v>
      </c>
      <c r="N58" s="255" t="s">
        <v>161</v>
      </c>
      <c r="O58" s="730" t="s">
        <v>167</v>
      </c>
      <c r="P58" s="731"/>
      <c r="Q58" s="731"/>
      <c r="R58" s="731"/>
      <c r="S58" s="732"/>
      <c r="T58" s="256">
        <v>1</v>
      </c>
      <c r="U58" s="257">
        <v>1</v>
      </c>
      <c r="V58" s="260"/>
    </row>
    <row r="59" spans="1:22" x14ac:dyDescent="0.2">
      <c r="A59" s="190">
        <f t="shared" si="11"/>
        <v>6</v>
      </c>
      <c r="B59" s="250"/>
      <c r="C59" s="251"/>
      <c r="D59" s="251"/>
      <c r="E59" s="253"/>
      <c r="F59" s="253"/>
      <c r="G59" s="259"/>
      <c r="H59" s="259"/>
      <c r="I59" s="259"/>
      <c r="J59" s="259"/>
      <c r="K59" s="259"/>
      <c r="L59" s="315"/>
      <c r="M59" s="255"/>
      <c r="N59" s="255"/>
      <c r="O59" s="730"/>
      <c r="P59" s="731"/>
      <c r="Q59" s="731"/>
      <c r="R59" s="731"/>
      <c r="S59" s="732"/>
      <c r="T59" s="256"/>
      <c r="U59" s="257"/>
      <c r="V59" s="260"/>
    </row>
    <row r="60" spans="1:22" x14ac:dyDescent="0.2">
      <c r="A60" s="190">
        <f t="shared" si="11"/>
        <v>7</v>
      </c>
      <c r="B60" s="250"/>
      <c r="C60" s="251"/>
      <c r="D60" s="251"/>
      <c r="E60" s="253"/>
      <c r="F60" s="253"/>
      <c r="G60" s="259"/>
      <c r="H60" s="259"/>
      <c r="I60" s="259"/>
      <c r="J60" s="259"/>
      <c r="K60" s="259"/>
      <c r="L60" s="315"/>
      <c r="M60" s="255"/>
      <c r="N60" s="255"/>
      <c r="O60" s="730"/>
      <c r="P60" s="731"/>
      <c r="Q60" s="731"/>
      <c r="R60" s="731"/>
      <c r="S60" s="732"/>
      <c r="T60" s="256"/>
      <c r="U60" s="257"/>
      <c r="V60" s="260"/>
    </row>
    <row r="61" spans="1:22" x14ac:dyDescent="0.2">
      <c r="A61" s="190">
        <f t="shared" si="11"/>
        <v>8</v>
      </c>
      <c r="B61" s="250"/>
      <c r="C61" s="251"/>
      <c r="D61" s="251"/>
      <c r="E61" s="253"/>
      <c r="F61" s="253"/>
      <c r="G61" s="259"/>
      <c r="H61" s="259"/>
      <c r="I61" s="259"/>
      <c r="J61" s="259"/>
      <c r="K61" s="259"/>
      <c r="L61" s="315"/>
      <c r="M61" s="255"/>
      <c r="N61" s="255"/>
      <c r="O61" s="730"/>
      <c r="P61" s="731"/>
      <c r="Q61" s="731"/>
      <c r="R61" s="731"/>
      <c r="S61" s="732"/>
      <c r="T61" s="256"/>
      <c r="U61" s="257"/>
      <c r="V61" s="260"/>
    </row>
    <row r="62" spans="1:22" x14ac:dyDescent="0.2">
      <c r="A62" s="190">
        <f t="shared" si="11"/>
        <v>9</v>
      </c>
      <c r="B62" s="250"/>
      <c r="C62" s="251"/>
      <c r="D62" s="251"/>
      <c r="E62" s="253"/>
      <c r="F62" s="253"/>
      <c r="G62" s="259"/>
      <c r="H62" s="259"/>
      <c r="I62" s="259"/>
      <c r="J62" s="259"/>
      <c r="K62" s="259"/>
      <c r="L62" s="315"/>
      <c r="M62" s="255"/>
      <c r="N62" s="255"/>
      <c r="O62" s="730"/>
      <c r="P62" s="731"/>
      <c r="Q62" s="731"/>
      <c r="R62" s="731"/>
      <c r="S62" s="732"/>
      <c r="T62" s="256"/>
      <c r="U62" s="257"/>
      <c r="V62" s="260"/>
    </row>
    <row r="63" spans="1:22" x14ac:dyDescent="0.2">
      <c r="A63" s="190">
        <f t="shared" si="11"/>
        <v>10</v>
      </c>
      <c r="B63" s="250"/>
      <c r="C63" s="251"/>
      <c r="D63" s="251"/>
      <c r="E63" s="253"/>
      <c r="F63" s="253"/>
      <c r="G63" s="259"/>
      <c r="H63" s="259"/>
      <c r="I63" s="259"/>
      <c r="J63" s="259"/>
      <c r="K63" s="259"/>
      <c r="L63" s="315"/>
      <c r="M63" s="255"/>
      <c r="N63" s="255"/>
      <c r="O63" s="730"/>
      <c r="P63" s="731"/>
      <c r="Q63" s="731"/>
      <c r="R63" s="731"/>
      <c r="S63" s="732"/>
      <c r="T63" s="256"/>
      <c r="U63" s="257"/>
      <c r="V63" s="260"/>
    </row>
    <row r="64" spans="1:22" x14ac:dyDescent="0.2">
      <c r="A64" s="190">
        <f t="shared" si="11"/>
        <v>11</v>
      </c>
      <c r="B64" s="250"/>
      <c r="C64" s="251"/>
      <c r="D64" s="251"/>
      <c r="E64" s="253"/>
      <c r="F64" s="253"/>
      <c r="G64" s="259"/>
      <c r="H64" s="259"/>
      <c r="I64" s="259"/>
      <c r="J64" s="259"/>
      <c r="K64" s="259"/>
      <c r="L64" s="256"/>
      <c r="M64" s="255"/>
      <c r="N64" s="255"/>
      <c r="O64" s="730"/>
      <c r="P64" s="731"/>
      <c r="Q64" s="731"/>
      <c r="R64" s="731"/>
      <c r="S64" s="732"/>
      <c r="T64" s="256"/>
      <c r="U64" s="257"/>
      <c r="V64" s="260"/>
    </row>
    <row r="65" spans="1:22" x14ac:dyDescent="0.2">
      <c r="A65" s="190">
        <f t="shared" si="11"/>
        <v>12</v>
      </c>
      <c r="B65" s="283"/>
      <c r="C65" s="265"/>
      <c r="D65" s="265"/>
      <c r="E65" s="252"/>
      <c r="F65" s="252"/>
      <c r="G65" s="254"/>
      <c r="H65" s="254"/>
      <c r="I65" s="254"/>
      <c r="J65" s="254"/>
      <c r="K65" s="254"/>
      <c r="L65" s="315"/>
      <c r="M65" s="255"/>
      <c r="N65" s="255"/>
      <c r="O65" s="746"/>
      <c r="P65" s="747"/>
      <c r="Q65" s="747"/>
      <c r="R65" s="747"/>
      <c r="S65" s="748"/>
      <c r="T65" s="266"/>
      <c r="U65" s="267"/>
      <c r="V65" s="260"/>
    </row>
    <row r="66" spans="1:22" x14ac:dyDescent="0.2">
      <c r="A66" s="190">
        <f t="shared" si="11"/>
        <v>13</v>
      </c>
      <c r="B66" s="284"/>
      <c r="C66" s="251"/>
      <c r="D66" s="251"/>
      <c r="E66" s="253"/>
      <c r="F66" s="253"/>
      <c r="G66" s="259"/>
      <c r="H66" s="259"/>
      <c r="I66" s="259"/>
      <c r="J66" s="259"/>
      <c r="K66" s="259"/>
      <c r="L66" s="315"/>
      <c r="M66" s="255"/>
      <c r="N66" s="255"/>
      <c r="O66" s="730"/>
      <c r="P66" s="731"/>
      <c r="Q66" s="731"/>
      <c r="R66" s="731"/>
      <c r="S66" s="732"/>
      <c r="T66" s="256"/>
      <c r="U66" s="257"/>
      <c r="V66" s="260"/>
    </row>
    <row r="67" spans="1:22" x14ac:dyDescent="0.2">
      <c r="A67" s="190">
        <f t="shared" si="11"/>
        <v>14</v>
      </c>
      <c r="B67" s="284"/>
      <c r="C67" s="251"/>
      <c r="D67" s="282"/>
      <c r="E67" s="264"/>
      <c r="F67" s="253"/>
      <c r="G67" s="261"/>
      <c r="H67" s="261"/>
      <c r="I67" s="261"/>
      <c r="J67" s="261"/>
      <c r="K67" s="262"/>
      <c r="L67" s="315"/>
      <c r="M67" s="255"/>
      <c r="N67" s="255"/>
      <c r="O67" s="730"/>
      <c r="P67" s="731"/>
      <c r="Q67" s="731"/>
      <c r="R67" s="731"/>
      <c r="S67" s="732"/>
      <c r="T67" s="256"/>
      <c r="U67" s="257"/>
      <c r="V67" s="260"/>
    </row>
    <row r="68" spans="1:22" x14ac:dyDescent="0.2">
      <c r="A68" s="190">
        <f t="shared" si="11"/>
        <v>15</v>
      </c>
      <c r="B68" s="285"/>
      <c r="C68" s="251"/>
      <c r="D68" s="282"/>
      <c r="E68" s="264"/>
      <c r="F68" s="253"/>
      <c r="G68" s="261"/>
      <c r="H68" s="261"/>
      <c r="I68" s="261"/>
      <c r="J68" s="261"/>
      <c r="K68" s="262"/>
      <c r="L68" s="315"/>
      <c r="M68" s="255"/>
      <c r="N68" s="255"/>
      <c r="O68" s="730"/>
      <c r="P68" s="731"/>
      <c r="Q68" s="731"/>
      <c r="R68" s="731"/>
      <c r="S68" s="732"/>
      <c r="T68" s="256"/>
      <c r="U68" s="257"/>
      <c r="V68" s="260"/>
    </row>
    <row r="69" spans="1:22" x14ac:dyDescent="0.2">
      <c r="A69" s="190">
        <f t="shared" si="11"/>
        <v>16</v>
      </c>
      <c r="B69" s="284"/>
      <c r="C69" s="251"/>
      <c r="D69" s="251"/>
      <c r="E69" s="253"/>
      <c r="F69" s="253"/>
      <c r="G69" s="259"/>
      <c r="H69" s="259"/>
      <c r="I69" s="259"/>
      <c r="J69" s="259"/>
      <c r="K69" s="259"/>
      <c r="L69" s="315"/>
      <c r="M69" s="255"/>
      <c r="N69" s="255"/>
      <c r="O69" s="730"/>
      <c r="P69" s="731"/>
      <c r="Q69" s="731"/>
      <c r="R69" s="731"/>
      <c r="S69" s="732"/>
      <c r="T69" s="256"/>
      <c r="U69" s="257"/>
      <c r="V69" s="260"/>
    </row>
    <row r="70" spans="1:22" x14ac:dyDescent="0.2">
      <c r="A70" s="190">
        <f t="shared" si="11"/>
        <v>17</v>
      </c>
      <c r="B70" s="284"/>
      <c r="C70" s="251"/>
      <c r="D70" s="251"/>
      <c r="E70" s="253"/>
      <c r="F70" s="253"/>
      <c r="G70" s="259"/>
      <c r="H70" s="259"/>
      <c r="I70" s="259"/>
      <c r="J70" s="259"/>
      <c r="K70" s="259"/>
      <c r="L70" s="315"/>
      <c r="M70" s="255"/>
      <c r="N70" s="255"/>
      <c r="O70" s="730"/>
      <c r="P70" s="731"/>
      <c r="Q70" s="731"/>
      <c r="R70" s="731"/>
      <c r="S70" s="732"/>
      <c r="T70" s="256"/>
      <c r="U70" s="257"/>
      <c r="V70" s="260"/>
    </row>
    <row r="71" spans="1:22" x14ac:dyDescent="0.2">
      <c r="A71" s="190">
        <f t="shared" si="11"/>
        <v>18</v>
      </c>
      <c r="B71" s="284"/>
      <c r="C71" s="251"/>
      <c r="D71" s="251"/>
      <c r="E71" s="253"/>
      <c r="F71" s="253"/>
      <c r="G71" s="259"/>
      <c r="H71" s="259"/>
      <c r="I71" s="259"/>
      <c r="J71" s="259"/>
      <c r="K71" s="259"/>
      <c r="L71" s="315"/>
      <c r="M71" s="255"/>
      <c r="N71" s="255"/>
      <c r="O71" s="730"/>
      <c r="P71" s="731"/>
      <c r="Q71" s="731"/>
      <c r="R71" s="731"/>
      <c r="S71" s="732"/>
      <c r="T71" s="256"/>
      <c r="U71" s="257"/>
      <c r="V71" s="260"/>
    </row>
    <row r="72" spans="1:22" x14ac:dyDescent="0.2">
      <c r="A72" s="190">
        <f t="shared" si="11"/>
        <v>19</v>
      </c>
      <c r="B72" s="284"/>
      <c r="C72" s="251"/>
      <c r="D72" s="251"/>
      <c r="E72" s="253"/>
      <c r="F72" s="253"/>
      <c r="G72" s="259"/>
      <c r="H72" s="259"/>
      <c r="I72" s="259"/>
      <c r="J72" s="259"/>
      <c r="K72" s="259"/>
      <c r="L72" s="315"/>
      <c r="M72" s="255"/>
      <c r="N72" s="255"/>
      <c r="O72" s="730"/>
      <c r="P72" s="731"/>
      <c r="Q72" s="731"/>
      <c r="R72" s="731"/>
      <c r="S72" s="732"/>
      <c r="T72" s="256"/>
      <c r="U72" s="257"/>
      <c r="V72" s="260"/>
    </row>
    <row r="73" spans="1:22" x14ac:dyDescent="0.2">
      <c r="A73" s="190">
        <f t="shared" si="11"/>
        <v>20</v>
      </c>
      <c r="B73" s="250"/>
      <c r="C73" s="251"/>
      <c r="D73" s="251"/>
      <c r="E73" s="253"/>
      <c r="F73" s="253"/>
      <c r="G73" s="259"/>
      <c r="H73" s="259"/>
      <c r="I73" s="259"/>
      <c r="J73" s="259"/>
      <c r="K73" s="259"/>
      <c r="L73" s="315"/>
      <c r="M73" s="255"/>
      <c r="N73" s="255"/>
      <c r="O73" s="730"/>
      <c r="P73" s="731"/>
      <c r="Q73" s="731"/>
      <c r="R73" s="731"/>
      <c r="S73" s="732"/>
      <c r="T73" s="256"/>
      <c r="U73" s="257"/>
      <c r="V73" s="260"/>
    </row>
    <row r="74" spans="1:22" x14ac:dyDescent="0.2">
      <c r="A74" s="190">
        <f t="shared" si="11"/>
        <v>21</v>
      </c>
      <c r="B74" s="250"/>
      <c r="C74" s="251"/>
      <c r="D74" s="251"/>
      <c r="E74" s="253"/>
      <c r="F74" s="253"/>
      <c r="G74" s="259"/>
      <c r="H74" s="259"/>
      <c r="I74" s="259"/>
      <c r="J74" s="259"/>
      <c r="K74" s="259"/>
      <c r="L74" s="315"/>
      <c r="M74" s="255"/>
      <c r="N74" s="255"/>
      <c r="O74" s="730"/>
      <c r="P74" s="731"/>
      <c r="Q74" s="731"/>
      <c r="R74" s="731"/>
      <c r="S74" s="732"/>
      <c r="T74" s="256"/>
      <c r="U74" s="257"/>
      <c r="V74" s="260"/>
    </row>
    <row r="75" spans="1:22" x14ac:dyDescent="0.2">
      <c r="A75" s="190">
        <f t="shared" si="11"/>
        <v>22</v>
      </c>
      <c r="B75" s="250"/>
      <c r="C75" s="251"/>
      <c r="D75" s="251"/>
      <c r="E75" s="253"/>
      <c r="F75" s="253"/>
      <c r="G75" s="259"/>
      <c r="H75" s="259"/>
      <c r="I75" s="259"/>
      <c r="J75" s="259"/>
      <c r="K75" s="259"/>
      <c r="L75" s="315"/>
      <c r="M75" s="255"/>
      <c r="N75" s="255"/>
      <c r="O75" s="730"/>
      <c r="P75" s="731"/>
      <c r="Q75" s="731"/>
      <c r="R75" s="731"/>
      <c r="S75" s="732"/>
      <c r="T75" s="256"/>
      <c r="U75" s="257"/>
      <c r="V75" s="260"/>
    </row>
    <row r="76" spans="1:22" x14ac:dyDescent="0.2">
      <c r="A76" s="190">
        <f t="shared" si="11"/>
        <v>23</v>
      </c>
      <c r="B76" s="250"/>
      <c r="C76" s="251"/>
      <c r="D76" s="251"/>
      <c r="E76" s="253"/>
      <c r="F76" s="253"/>
      <c r="G76" s="259"/>
      <c r="H76" s="259"/>
      <c r="I76" s="259"/>
      <c r="J76" s="259"/>
      <c r="K76" s="259"/>
      <c r="L76" s="315"/>
      <c r="M76" s="255"/>
      <c r="N76" s="255"/>
      <c r="O76" s="730"/>
      <c r="P76" s="731"/>
      <c r="Q76" s="731"/>
      <c r="R76" s="731"/>
      <c r="S76" s="732"/>
      <c r="T76" s="256"/>
      <c r="U76" s="257"/>
      <c r="V76" s="260"/>
    </row>
    <row r="77" spans="1:22" x14ac:dyDescent="0.2">
      <c r="A77" s="190">
        <f t="shared" si="11"/>
        <v>24</v>
      </c>
      <c r="B77" s="250"/>
      <c r="C77" s="251"/>
      <c r="D77" s="251"/>
      <c r="E77" s="253"/>
      <c r="F77" s="253"/>
      <c r="G77" s="259"/>
      <c r="H77" s="259"/>
      <c r="I77" s="259"/>
      <c r="J77" s="259"/>
      <c r="K77" s="259"/>
      <c r="L77" s="315"/>
      <c r="M77" s="255"/>
      <c r="N77" s="255"/>
      <c r="O77" s="730"/>
      <c r="P77" s="731"/>
      <c r="Q77" s="731"/>
      <c r="R77" s="731"/>
      <c r="S77" s="732"/>
      <c r="T77" s="256"/>
      <c r="U77" s="257"/>
      <c r="V77" s="260"/>
    </row>
    <row r="78" spans="1:22" x14ac:dyDescent="0.2">
      <c r="A78" s="190">
        <f t="shared" si="11"/>
        <v>25</v>
      </c>
      <c r="B78" s="250"/>
      <c r="C78" s="251"/>
      <c r="D78" s="251"/>
      <c r="E78" s="253"/>
      <c r="F78" s="253"/>
      <c r="G78" s="259"/>
      <c r="H78" s="259"/>
      <c r="I78" s="259"/>
      <c r="J78" s="259"/>
      <c r="K78" s="259"/>
      <c r="L78" s="315"/>
      <c r="M78" s="255"/>
      <c r="N78" s="255"/>
      <c r="O78" s="730"/>
      <c r="P78" s="731"/>
      <c r="Q78" s="731"/>
      <c r="R78" s="731"/>
      <c r="S78" s="732"/>
      <c r="T78" s="256"/>
      <c r="U78" s="257"/>
      <c r="V78" s="260"/>
    </row>
    <row r="79" spans="1:22" x14ac:dyDescent="0.2">
      <c r="A79" s="190">
        <f t="shared" si="11"/>
        <v>26</v>
      </c>
      <c r="B79" s="250"/>
      <c r="C79" s="251"/>
      <c r="D79" s="251"/>
      <c r="E79" s="253"/>
      <c r="F79" s="253"/>
      <c r="G79" s="259"/>
      <c r="H79" s="259"/>
      <c r="I79" s="259"/>
      <c r="J79" s="259"/>
      <c r="K79" s="259"/>
      <c r="L79" s="315"/>
      <c r="M79" s="255"/>
      <c r="N79" s="255"/>
      <c r="O79" s="730"/>
      <c r="P79" s="731"/>
      <c r="Q79" s="731"/>
      <c r="R79" s="731"/>
      <c r="S79" s="732"/>
      <c r="T79" s="256"/>
      <c r="U79" s="257"/>
      <c r="V79" s="260"/>
    </row>
    <row r="80" spans="1:22" x14ac:dyDescent="0.2">
      <c r="A80" s="190">
        <f t="shared" si="11"/>
        <v>27</v>
      </c>
      <c r="B80" s="250"/>
      <c r="C80" s="251"/>
      <c r="D80" s="251"/>
      <c r="E80" s="253"/>
      <c r="F80" s="253"/>
      <c r="G80" s="259"/>
      <c r="H80" s="259"/>
      <c r="I80" s="259"/>
      <c r="J80" s="259"/>
      <c r="K80" s="259"/>
      <c r="L80" s="315"/>
      <c r="M80" s="255"/>
      <c r="N80" s="255"/>
      <c r="O80" s="730"/>
      <c r="P80" s="731"/>
      <c r="Q80" s="731"/>
      <c r="R80" s="731"/>
      <c r="S80" s="732"/>
      <c r="T80" s="256"/>
      <c r="U80" s="257"/>
      <c r="V80" s="260"/>
    </row>
    <row r="81" spans="1:22" x14ac:dyDescent="0.2">
      <c r="A81" s="190">
        <f t="shared" si="11"/>
        <v>28</v>
      </c>
      <c r="B81" s="250"/>
      <c r="C81" s="251"/>
      <c r="D81" s="251"/>
      <c r="E81" s="253"/>
      <c r="F81" s="253"/>
      <c r="G81" s="259"/>
      <c r="H81" s="259"/>
      <c r="I81" s="259"/>
      <c r="J81" s="259"/>
      <c r="K81" s="259"/>
      <c r="L81" s="315"/>
      <c r="M81" s="255"/>
      <c r="N81" s="255"/>
      <c r="O81" s="730"/>
      <c r="P81" s="731"/>
      <c r="Q81" s="731"/>
      <c r="R81" s="731"/>
      <c r="S81" s="732"/>
      <c r="T81" s="256"/>
      <c r="U81" s="257"/>
      <c r="V81" s="260"/>
    </row>
    <row r="82" spans="1:22" x14ac:dyDescent="0.2">
      <c r="A82" s="190">
        <f t="shared" si="11"/>
        <v>29</v>
      </c>
      <c r="B82" s="250"/>
      <c r="C82" s="251"/>
      <c r="D82" s="251"/>
      <c r="E82" s="253"/>
      <c r="F82" s="253"/>
      <c r="G82" s="259"/>
      <c r="H82" s="259"/>
      <c r="I82" s="259"/>
      <c r="J82" s="259"/>
      <c r="K82" s="259"/>
      <c r="L82" s="315"/>
      <c r="M82" s="255"/>
      <c r="N82" s="255"/>
      <c r="O82" s="730"/>
      <c r="P82" s="731"/>
      <c r="Q82" s="731"/>
      <c r="R82" s="731"/>
      <c r="S82" s="732"/>
      <c r="T82" s="256"/>
      <c r="U82" s="257"/>
      <c r="V82" s="260"/>
    </row>
    <row r="83" spans="1:22" x14ac:dyDescent="0.2">
      <c r="A83" s="190">
        <f t="shared" si="11"/>
        <v>30</v>
      </c>
      <c r="B83" s="250"/>
      <c r="C83" s="251"/>
      <c r="D83" s="251"/>
      <c r="E83" s="253"/>
      <c r="F83" s="253"/>
      <c r="G83" s="259"/>
      <c r="H83" s="259"/>
      <c r="I83" s="259"/>
      <c r="J83" s="259"/>
      <c r="K83" s="259"/>
      <c r="L83" s="315"/>
      <c r="M83" s="255"/>
      <c r="N83" s="255"/>
      <c r="O83" s="730"/>
      <c r="P83" s="731"/>
      <c r="Q83" s="731"/>
      <c r="R83" s="731"/>
      <c r="S83" s="732"/>
      <c r="T83" s="256"/>
      <c r="U83" s="257"/>
      <c r="V83" s="260"/>
    </row>
    <row r="84" spans="1:22" x14ac:dyDescent="0.2">
      <c r="A84" s="190">
        <f t="shared" si="11"/>
        <v>31</v>
      </c>
      <c r="B84" s="250"/>
      <c r="C84" s="251"/>
      <c r="D84" s="251"/>
      <c r="E84" s="253"/>
      <c r="F84" s="253"/>
      <c r="G84" s="259"/>
      <c r="H84" s="259"/>
      <c r="I84" s="259"/>
      <c r="J84" s="259"/>
      <c r="K84" s="259"/>
      <c r="L84" s="315"/>
      <c r="M84" s="255"/>
      <c r="N84" s="255"/>
      <c r="O84" s="730"/>
      <c r="P84" s="731"/>
      <c r="Q84" s="731"/>
      <c r="R84" s="731"/>
      <c r="S84" s="732"/>
      <c r="T84" s="256"/>
      <c r="U84" s="257"/>
      <c r="V84" s="260"/>
    </row>
    <row r="85" spans="1:22" x14ac:dyDescent="0.2">
      <c r="A85" s="190">
        <f t="shared" si="11"/>
        <v>32</v>
      </c>
      <c r="B85" s="250"/>
      <c r="C85" s="251"/>
      <c r="D85" s="251"/>
      <c r="E85" s="253"/>
      <c r="F85" s="253"/>
      <c r="G85" s="259"/>
      <c r="H85" s="259"/>
      <c r="I85" s="259"/>
      <c r="J85" s="259"/>
      <c r="K85" s="259"/>
      <c r="L85" s="315"/>
      <c r="M85" s="255"/>
      <c r="N85" s="255"/>
      <c r="O85" s="730"/>
      <c r="P85" s="731"/>
      <c r="Q85" s="731"/>
      <c r="R85" s="731"/>
      <c r="S85" s="732"/>
      <c r="T85" s="256"/>
      <c r="U85" s="257"/>
      <c r="V85" s="260"/>
    </row>
    <row r="86" spans="1:22" x14ac:dyDescent="0.2">
      <c r="A86" s="190">
        <f t="shared" si="11"/>
        <v>33</v>
      </c>
      <c r="B86" s="250"/>
      <c r="C86" s="251"/>
      <c r="D86" s="251"/>
      <c r="E86" s="253"/>
      <c r="F86" s="253"/>
      <c r="G86" s="259"/>
      <c r="H86" s="259"/>
      <c r="I86" s="259"/>
      <c r="J86" s="259"/>
      <c r="K86" s="259"/>
      <c r="L86" s="315"/>
      <c r="M86" s="255"/>
      <c r="N86" s="255"/>
      <c r="O86" s="730"/>
      <c r="P86" s="731"/>
      <c r="Q86" s="731"/>
      <c r="R86" s="731"/>
      <c r="S86" s="732"/>
      <c r="T86" s="256"/>
      <c r="U86" s="257"/>
      <c r="V86" s="260"/>
    </row>
    <row r="87" spans="1:22" x14ac:dyDescent="0.2">
      <c r="A87" s="190">
        <f t="shared" si="11"/>
        <v>34</v>
      </c>
      <c r="B87" s="250"/>
      <c r="C87" s="251"/>
      <c r="D87" s="251"/>
      <c r="E87" s="253"/>
      <c r="F87" s="253"/>
      <c r="G87" s="259"/>
      <c r="H87" s="259"/>
      <c r="I87" s="259"/>
      <c r="J87" s="259"/>
      <c r="K87" s="259"/>
      <c r="L87" s="315"/>
      <c r="M87" s="255"/>
      <c r="N87" s="255"/>
      <c r="O87" s="730"/>
      <c r="P87" s="731"/>
      <c r="Q87" s="731"/>
      <c r="R87" s="731"/>
      <c r="S87" s="732"/>
      <c r="T87" s="256"/>
      <c r="U87" s="257"/>
      <c r="V87" s="260"/>
    </row>
    <row r="88" spans="1:22" x14ac:dyDescent="0.2">
      <c r="A88" s="190">
        <f t="shared" si="11"/>
        <v>35</v>
      </c>
      <c r="B88" s="250"/>
      <c r="C88" s="251"/>
      <c r="D88" s="251"/>
      <c r="E88" s="253"/>
      <c r="F88" s="253"/>
      <c r="G88" s="259"/>
      <c r="H88" s="259"/>
      <c r="I88" s="259"/>
      <c r="J88" s="259"/>
      <c r="K88" s="259"/>
      <c r="L88" s="315"/>
      <c r="M88" s="255"/>
      <c r="N88" s="255"/>
      <c r="O88" s="730"/>
      <c r="P88" s="731"/>
      <c r="Q88" s="731"/>
      <c r="R88" s="731"/>
      <c r="S88" s="732"/>
      <c r="T88" s="256"/>
      <c r="U88" s="257"/>
      <c r="V88" s="260"/>
    </row>
    <row r="89" spans="1:22" x14ac:dyDescent="0.2">
      <c r="A89" s="190">
        <f t="shared" si="11"/>
        <v>36</v>
      </c>
      <c r="B89" s="250"/>
      <c r="C89" s="251"/>
      <c r="D89" s="251"/>
      <c r="E89" s="253"/>
      <c r="F89" s="253"/>
      <c r="G89" s="259"/>
      <c r="H89" s="259"/>
      <c r="I89" s="259"/>
      <c r="J89" s="259"/>
      <c r="K89" s="259"/>
      <c r="L89" s="315"/>
      <c r="M89" s="255"/>
      <c r="N89" s="255"/>
      <c r="O89" s="730"/>
      <c r="P89" s="731"/>
      <c r="Q89" s="731"/>
      <c r="R89" s="731"/>
      <c r="S89" s="732"/>
      <c r="T89" s="256"/>
      <c r="U89" s="257"/>
      <c r="V89" s="260"/>
    </row>
    <row r="90" spans="1:22" ht="13.5" thickBot="1" x14ac:dyDescent="0.25">
      <c r="A90" s="190">
        <f t="shared" si="11"/>
        <v>37</v>
      </c>
      <c r="B90" s="286"/>
      <c r="C90" s="268"/>
      <c r="D90" s="268"/>
      <c r="E90" s="269"/>
      <c r="F90" s="269"/>
      <c r="G90" s="270"/>
      <c r="H90" s="270"/>
      <c r="I90" s="270"/>
      <c r="J90" s="270"/>
      <c r="K90" s="270"/>
      <c r="L90" s="316"/>
      <c r="M90" s="255"/>
      <c r="N90" s="255"/>
      <c r="O90" s="733"/>
      <c r="P90" s="734"/>
      <c r="Q90" s="734"/>
      <c r="R90" s="734"/>
      <c r="S90" s="735"/>
      <c r="T90" s="271"/>
      <c r="U90" s="271"/>
      <c r="V90" s="272"/>
    </row>
    <row r="91" spans="1:22" ht="13.5" thickBot="1" x14ac:dyDescent="0.25">
      <c r="A91" s="10"/>
      <c r="B91" s="468" t="s">
        <v>65</v>
      </c>
      <c r="C91" s="469"/>
      <c r="D91" s="470"/>
      <c r="E91" s="195">
        <f t="shared" ref="E91:K91" si="12">SUM(E54:E90)</f>
        <v>5870</v>
      </c>
      <c r="F91" s="195">
        <f t="shared" si="12"/>
        <v>4050</v>
      </c>
      <c r="G91" s="195">
        <f t="shared" si="12"/>
        <v>330</v>
      </c>
      <c r="H91" s="195">
        <f t="shared" si="12"/>
        <v>1490</v>
      </c>
      <c r="I91" s="195">
        <f t="shared" si="12"/>
        <v>0</v>
      </c>
      <c r="J91" s="195">
        <f t="shared" si="12"/>
        <v>0</v>
      </c>
      <c r="K91" s="195">
        <f t="shared" si="12"/>
        <v>0</v>
      </c>
      <c r="L91" s="213"/>
      <c r="M91" s="214"/>
      <c r="N91" s="214"/>
      <c r="O91" s="214"/>
      <c r="P91" s="214"/>
      <c r="Q91" s="214"/>
      <c r="R91" s="214"/>
      <c r="S91" s="215"/>
      <c r="T91" s="196">
        <f>SUM(T54:T90)</f>
        <v>4</v>
      </c>
      <c r="U91" s="196">
        <f>SUM(U54:U90)</f>
        <v>5</v>
      </c>
      <c r="V91" s="197">
        <f>SUM(V54:V90)</f>
        <v>2</v>
      </c>
    </row>
    <row r="92" spans="1:22" x14ac:dyDescent="0.2">
      <c r="A92" s="10"/>
      <c r="B92" s="216"/>
      <c r="C92" s="217"/>
      <c r="D92" s="230" t="str">
        <f>I170</f>
        <v>T11</v>
      </c>
      <c r="E92" s="384">
        <f t="shared" ref="E92:K92" si="13">SUMIF($L$54:$L$90,$D$92,E$54:E$90)</f>
        <v>2730</v>
      </c>
      <c r="F92" s="231">
        <f t="shared" si="13"/>
        <v>1730</v>
      </c>
      <c r="G92" s="231">
        <f t="shared" si="13"/>
        <v>0</v>
      </c>
      <c r="H92" s="231">
        <f t="shared" si="13"/>
        <v>1000</v>
      </c>
      <c r="I92" s="231">
        <f t="shared" si="13"/>
        <v>0</v>
      </c>
      <c r="J92" s="231">
        <f t="shared" si="13"/>
        <v>0</v>
      </c>
      <c r="K92" s="231">
        <f t="shared" si="13"/>
        <v>0</v>
      </c>
      <c r="L92" s="287"/>
      <c r="M92" s="274"/>
      <c r="N92" s="274"/>
      <c r="O92" s="275"/>
      <c r="P92" s="275"/>
      <c r="Q92" s="275"/>
      <c r="R92" s="275"/>
      <c r="S92" s="288"/>
      <c r="T92" s="232">
        <f>SUMIF($L$54:$L$90,$D$92,T$54:T$90)</f>
        <v>2</v>
      </c>
      <c r="U92" s="232">
        <f>SUMIF($L$54:$L$90,$D$92,U$54:U$90)</f>
        <v>2</v>
      </c>
      <c r="V92" s="233">
        <f>SUMIF($L$54:$L$90,$D$92,V$54:V$90)</f>
        <v>1</v>
      </c>
    </row>
    <row r="93" spans="1:22" x14ac:dyDescent="0.2">
      <c r="A93" s="10"/>
      <c r="B93" s="216"/>
      <c r="C93" s="217"/>
      <c r="D93" s="234" t="str">
        <f t="shared" ref="D93:D95" si="14">I171</f>
        <v>T09</v>
      </c>
      <c r="E93" s="385">
        <f t="shared" ref="E93:K93" si="15">SUMIF($L$54:$L$90,$D$93,E$54:E$90)</f>
        <v>3140</v>
      </c>
      <c r="F93" s="235">
        <f t="shared" si="15"/>
        <v>2320</v>
      </c>
      <c r="G93" s="235">
        <f t="shared" si="15"/>
        <v>330</v>
      </c>
      <c r="H93" s="235">
        <f t="shared" si="15"/>
        <v>490</v>
      </c>
      <c r="I93" s="235">
        <f t="shared" si="15"/>
        <v>0</v>
      </c>
      <c r="J93" s="235">
        <f t="shared" si="15"/>
        <v>0</v>
      </c>
      <c r="K93" s="235">
        <f t="shared" si="15"/>
        <v>0</v>
      </c>
      <c r="L93" s="289"/>
      <c r="M93" s="277"/>
      <c r="N93" s="277"/>
      <c r="O93" s="278"/>
      <c r="P93" s="278"/>
      <c r="Q93" s="278"/>
      <c r="R93" s="278"/>
      <c r="S93" s="290"/>
      <c r="T93" s="236">
        <f>SUMIF($L$54:$L$90,$D$93,T$54:T$90)</f>
        <v>2</v>
      </c>
      <c r="U93" s="236">
        <f>SUMIF($L$54:$L$90,$D$93,U$54:U$90)</f>
        <v>3</v>
      </c>
      <c r="V93" s="237">
        <f>SUMIF($L$54:$L$90,$D$93,V$54:V$90)</f>
        <v>1</v>
      </c>
    </row>
    <row r="94" spans="1:22" x14ac:dyDescent="0.2">
      <c r="A94" s="10"/>
      <c r="B94" s="216"/>
      <c r="C94" s="217"/>
      <c r="D94" s="234" t="str">
        <f t="shared" si="14"/>
        <v>T06</v>
      </c>
      <c r="E94" s="385">
        <f t="shared" ref="E94:K94" si="16">SUMIF($L$54:$L$90,$D$94,E$54:E$90)</f>
        <v>0</v>
      </c>
      <c r="F94" s="235">
        <f t="shared" si="16"/>
        <v>0</v>
      </c>
      <c r="G94" s="235">
        <f t="shared" si="16"/>
        <v>0</v>
      </c>
      <c r="H94" s="235">
        <f t="shared" si="16"/>
        <v>0</v>
      </c>
      <c r="I94" s="235">
        <f t="shared" si="16"/>
        <v>0</v>
      </c>
      <c r="J94" s="235">
        <f t="shared" si="16"/>
        <v>0</v>
      </c>
      <c r="K94" s="235">
        <f t="shared" si="16"/>
        <v>0</v>
      </c>
      <c r="L94" s="289"/>
      <c r="M94" s="277"/>
      <c r="N94" s="277"/>
      <c r="O94" s="278"/>
      <c r="P94" s="278"/>
      <c r="Q94" s="278"/>
      <c r="R94" s="278"/>
      <c r="S94" s="290"/>
      <c r="T94" s="236">
        <f>SUMIF($L$54:$L$90,$D$94,T$54:T$90)</f>
        <v>0</v>
      </c>
      <c r="U94" s="236">
        <f>SUMIF($L$54:$L$90,$D$94,U$54:U$90)</f>
        <v>0</v>
      </c>
      <c r="V94" s="237">
        <f>SUMIF($L$54:$L$90,$D$94,V$54:V$90)</f>
        <v>0</v>
      </c>
    </row>
    <row r="95" spans="1:22" ht="13.5" thickBot="1" x14ac:dyDescent="0.25">
      <c r="A95" s="10"/>
      <c r="B95" s="216"/>
      <c r="C95" s="217"/>
      <c r="D95" s="238">
        <f t="shared" si="14"/>
        <v>0</v>
      </c>
      <c r="E95" s="386">
        <f t="shared" ref="E95:K95" si="17">SUMIF($L$54:$L$90,$D$95,E$54:E$90)</f>
        <v>0</v>
      </c>
      <c r="F95" s="239">
        <f t="shared" si="17"/>
        <v>0</v>
      </c>
      <c r="G95" s="239">
        <f t="shared" si="17"/>
        <v>0</v>
      </c>
      <c r="H95" s="239">
        <f t="shared" si="17"/>
        <v>0</v>
      </c>
      <c r="I95" s="239">
        <f t="shared" si="17"/>
        <v>0</v>
      </c>
      <c r="J95" s="239">
        <f t="shared" si="17"/>
        <v>0</v>
      </c>
      <c r="K95" s="239">
        <f t="shared" si="17"/>
        <v>0</v>
      </c>
      <c r="L95" s="291"/>
      <c r="M95" s="280"/>
      <c r="N95" s="280"/>
      <c r="O95" s="281"/>
      <c r="P95" s="281"/>
      <c r="Q95" s="281"/>
      <c r="R95" s="281"/>
      <c r="S95" s="292"/>
      <c r="T95" s="240">
        <f>SUMIF($L$54:$L$90,$D$95,T$54:T$90)</f>
        <v>0</v>
      </c>
      <c r="U95" s="240">
        <f>SUMIF($L$54:$L$90,$D$95,U$54:U$90)</f>
        <v>0</v>
      </c>
      <c r="V95" s="241">
        <f>SUMIF($L$54:$L$90,$D$95,V$54:V$90)</f>
        <v>0</v>
      </c>
    </row>
    <row r="96" spans="1:22" ht="28.5" customHeight="1" x14ac:dyDescent="0.2">
      <c r="B96" s="471" t="str">
        <f>IF(E91&lt;&gt;SUM(F91:K91),"NEISPRAVAN UNOS, POSTOJI RAZLIKA","")</f>
        <v/>
      </c>
      <c r="C96" s="471"/>
      <c r="D96" s="471"/>
      <c r="E96" s="471"/>
      <c r="F96" s="471"/>
      <c r="G96" s="471"/>
      <c r="H96" s="471"/>
      <c r="I96" s="471"/>
      <c r="J96" s="471"/>
    </row>
    <row r="97" spans="1:22" ht="12.75" customHeight="1" x14ac:dyDescent="0.2">
      <c r="B97" s="346"/>
      <c r="C97" s="346"/>
      <c r="D97" s="346"/>
      <c r="E97" s="346"/>
      <c r="F97" s="346"/>
      <c r="G97" s="346"/>
      <c r="H97" s="346"/>
      <c r="I97" s="346"/>
      <c r="J97" s="346"/>
    </row>
    <row r="98" spans="1:22" ht="12.75" customHeight="1" x14ac:dyDescent="0.2">
      <c r="B98" s="346"/>
      <c r="C98" s="346"/>
      <c r="D98" s="346"/>
      <c r="E98" s="346"/>
      <c r="F98" s="346"/>
      <c r="G98" s="346"/>
      <c r="H98" s="346"/>
      <c r="I98" s="346"/>
      <c r="J98" s="346"/>
    </row>
    <row r="99" spans="1:22" ht="13.5" customHeight="1" x14ac:dyDescent="0.2">
      <c r="B99" s="346"/>
      <c r="C99" s="346"/>
      <c r="D99" s="346"/>
      <c r="E99" s="346"/>
      <c r="F99" s="346"/>
      <c r="G99" s="346"/>
      <c r="H99" s="346"/>
      <c r="I99" s="346"/>
      <c r="J99" s="346"/>
    </row>
    <row r="100" spans="1:22" ht="13.5" customHeight="1" x14ac:dyDescent="0.2">
      <c r="B100" s="472" t="s">
        <v>209</v>
      </c>
      <c r="C100" s="472"/>
      <c r="E100" s="346"/>
      <c r="H100" s="346"/>
      <c r="I100" s="346"/>
      <c r="J100" s="346"/>
    </row>
    <row r="101" spans="1:22" ht="13.5" customHeight="1" thickBot="1" x14ac:dyDescent="0.25">
      <c r="B101" s="346"/>
      <c r="C101" s="346"/>
      <c r="D101" s="346"/>
      <c r="E101" s="346"/>
      <c r="F101" s="346"/>
      <c r="G101" s="346"/>
      <c r="H101" s="346"/>
      <c r="I101" s="346"/>
      <c r="J101" s="346"/>
    </row>
    <row r="102" spans="1:22" ht="13.5" customHeight="1" thickBot="1" x14ac:dyDescent="0.25">
      <c r="A102" s="460" t="s">
        <v>74</v>
      </c>
      <c r="B102" s="462" t="s">
        <v>206</v>
      </c>
      <c r="C102" s="463"/>
      <c r="D102" s="464"/>
      <c r="E102" s="179">
        <f>J169</f>
        <v>1</v>
      </c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7"/>
    </row>
    <row r="103" spans="1:22" ht="23.25" customHeight="1" thickBot="1" x14ac:dyDescent="0.25">
      <c r="A103" s="461"/>
      <c r="B103" s="171" t="str">
        <f>B53</f>
        <v>DATUM</v>
      </c>
      <c r="C103" s="171" t="str">
        <f>C53</f>
        <v>Broj računa FISKALNOG</v>
      </c>
      <c r="D103" s="171" t="str">
        <f>D53</f>
        <v>Broj ugovora</v>
      </c>
      <c r="E103" s="171" t="str">
        <f>E53</f>
        <v>PRODAJNA CIJENA</v>
      </c>
      <c r="F103" s="171" t="s">
        <v>147</v>
      </c>
      <c r="G103" s="171" t="s">
        <v>204</v>
      </c>
      <c r="H103" s="171" t="s">
        <v>205</v>
      </c>
      <c r="I103" s="171" t="s">
        <v>196</v>
      </c>
      <c r="J103" s="171" t="s">
        <v>81</v>
      </c>
      <c r="K103" s="171" t="str">
        <f>K53</f>
        <v>Vrsta Kartice</v>
      </c>
      <c r="L103" s="180" t="str">
        <f>L53</f>
        <v>Team</v>
      </c>
      <c r="M103" s="180" t="str">
        <f t="shared" ref="M103:N103" si="18">M53</f>
        <v>Vozač</v>
      </c>
      <c r="N103" s="180" t="str">
        <f t="shared" si="18"/>
        <v>Prodao</v>
      </c>
      <c r="O103" s="465" t="s">
        <v>82</v>
      </c>
      <c r="P103" s="466"/>
      <c r="Q103" s="466"/>
      <c r="R103" s="466"/>
      <c r="S103" s="467"/>
      <c r="T103" s="181" t="str">
        <f>T53</f>
        <v>LMS</v>
      </c>
      <c r="U103" s="181" t="str">
        <f t="shared" ref="U103:V103" si="19">U53</f>
        <v>TO</v>
      </c>
      <c r="V103" s="181" t="str">
        <f t="shared" si="19"/>
        <v>IP</v>
      </c>
    </row>
    <row r="104" spans="1:22" ht="13.5" customHeight="1" x14ac:dyDescent="0.2">
      <c r="A104" s="190">
        <v>1</v>
      </c>
      <c r="B104" s="250">
        <v>44208</v>
      </c>
      <c r="C104" s="251" t="s">
        <v>86</v>
      </c>
      <c r="D104" s="251" t="s">
        <v>88</v>
      </c>
      <c r="E104" s="252">
        <v>1340</v>
      </c>
      <c r="F104" s="253">
        <v>680</v>
      </c>
      <c r="G104" s="254"/>
      <c r="H104" s="254">
        <v>660</v>
      </c>
      <c r="I104" s="254"/>
      <c r="J104" s="254"/>
      <c r="K104" s="254"/>
      <c r="L104" s="315" t="s">
        <v>154</v>
      </c>
      <c r="M104" s="255" t="s">
        <v>157</v>
      </c>
      <c r="N104" s="255" t="s">
        <v>158</v>
      </c>
      <c r="O104" s="730" t="s">
        <v>166</v>
      </c>
      <c r="P104" s="731"/>
      <c r="Q104" s="731"/>
      <c r="R104" s="731"/>
      <c r="S104" s="732"/>
      <c r="T104" s="256">
        <v>1</v>
      </c>
      <c r="U104" s="257">
        <v>1</v>
      </c>
      <c r="V104" s="258"/>
    </row>
    <row r="105" spans="1:22" ht="13.5" customHeight="1" x14ac:dyDescent="0.2">
      <c r="A105" s="190">
        <f>A104+1</f>
        <v>2</v>
      </c>
      <c r="B105" s="250">
        <v>44208</v>
      </c>
      <c r="C105" s="251" t="s">
        <v>87</v>
      </c>
      <c r="D105" s="251" t="s">
        <v>89</v>
      </c>
      <c r="E105" s="253">
        <v>1490</v>
      </c>
      <c r="F105" s="253">
        <v>746</v>
      </c>
      <c r="G105" s="259"/>
      <c r="H105" s="259">
        <f>E105-F105</f>
        <v>744</v>
      </c>
      <c r="I105" s="259"/>
      <c r="J105" s="259"/>
      <c r="K105" s="259"/>
      <c r="L105" s="315" t="s">
        <v>154</v>
      </c>
      <c r="M105" s="255" t="s">
        <v>157</v>
      </c>
      <c r="N105" s="255" t="s">
        <v>158</v>
      </c>
      <c r="O105" s="730" t="s">
        <v>276</v>
      </c>
      <c r="P105" s="731"/>
      <c r="Q105" s="731"/>
      <c r="R105" s="731"/>
      <c r="S105" s="732"/>
      <c r="T105" s="256">
        <v>1</v>
      </c>
      <c r="U105" s="257">
        <v>1</v>
      </c>
      <c r="V105" s="260">
        <v>1</v>
      </c>
    </row>
    <row r="106" spans="1:22" ht="13.5" customHeight="1" x14ac:dyDescent="0.2">
      <c r="A106" s="190">
        <f t="shared" ref="A106:A119" si="20">A105+1</f>
        <v>3</v>
      </c>
      <c r="B106" s="250">
        <v>44209</v>
      </c>
      <c r="C106" s="251" t="s">
        <v>90</v>
      </c>
      <c r="D106" s="251" t="s">
        <v>91</v>
      </c>
      <c r="E106" s="253">
        <v>530</v>
      </c>
      <c r="F106" s="253"/>
      <c r="G106" s="261">
        <v>266</v>
      </c>
      <c r="H106" s="261">
        <v>264</v>
      </c>
      <c r="I106" s="261"/>
      <c r="J106" s="261"/>
      <c r="K106" s="414" t="s">
        <v>246</v>
      </c>
      <c r="L106" s="315" t="s">
        <v>155</v>
      </c>
      <c r="M106" s="255" t="s">
        <v>156</v>
      </c>
      <c r="N106" s="255" t="s">
        <v>159</v>
      </c>
      <c r="O106" s="730" t="s">
        <v>277</v>
      </c>
      <c r="P106" s="731"/>
      <c r="Q106" s="731"/>
      <c r="R106" s="731"/>
      <c r="S106" s="732"/>
      <c r="T106" s="256"/>
      <c r="U106" s="257">
        <v>1</v>
      </c>
      <c r="V106" s="260"/>
    </row>
    <row r="107" spans="1:22" ht="13.5" customHeight="1" x14ac:dyDescent="0.2">
      <c r="A107" s="190">
        <f t="shared" si="20"/>
        <v>4</v>
      </c>
      <c r="B107" s="263">
        <v>44209</v>
      </c>
      <c r="C107" s="251"/>
      <c r="D107" s="282"/>
      <c r="E107" s="264"/>
      <c r="F107" s="253"/>
      <c r="G107" s="261"/>
      <c r="H107" s="261"/>
      <c r="I107" s="261"/>
      <c r="J107" s="261"/>
      <c r="K107" s="262"/>
      <c r="L107" s="315"/>
      <c r="M107" s="255"/>
      <c r="N107" s="255"/>
      <c r="O107" s="730"/>
      <c r="P107" s="731"/>
      <c r="Q107" s="731"/>
      <c r="R107" s="731"/>
      <c r="S107" s="732"/>
      <c r="T107" s="256"/>
      <c r="U107" s="257"/>
      <c r="V107" s="260"/>
    </row>
    <row r="108" spans="1:22" ht="13.5" customHeight="1" x14ac:dyDescent="0.2">
      <c r="A108" s="190">
        <f t="shared" si="20"/>
        <v>5</v>
      </c>
      <c r="B108" s="250">
        <v>44209</v>
      </c>
      <c r="C108" s="251"/>
      <c r="D108" s="251"/>
      <c r="E108" s="253"/>
      <c r="F108" s="253"/>
      <c r="G108" s="259"/>
      <c r="H108" s="259"/>
      <c r="I108" s="259"/>
      <c r="J108" s="259"/>
      <c r="K108" s="259"/>
      <c r="L108" s="256"/>
      <c r="M108" s="255"/>
      <c r="N108" s="255"/>
      <c r="O108" s="730"/>
      <c r="P108" s="731"/>
      <c r="Q108" s="731"/>
      <c r="R108" s="731"/>
      <c r="S108" s="732"/>
      <c r="T108" s="256"/>
      <c r="U108" s="257"/>
      <c r="V108" s="260"/>
    </row>
    <row r="109" spans="1:22" ht="13.5" customHeight="1" x14ac:dyDescent="0.2">
      <c r="A109" s="190">
        <f t="shared" si="20"/>
        <v>6</v>
      </c>
      <c r="B109" s="250">
        <v>44210</v>
      </c>
      <c r="C109" s="251"/>
      <c r="D109" s="251"/>
      <c r="E109" s="253"/>
      <c r="F109" s="253"/>
      <c r="G109" s="259"/>
      <c r="H109" s="259"/>
      <c r="I109" s="259"/>
      <c r="J109" s="259"/>
      <c r="K109" s="259"/>
      <c r="L109" s="315"/>
      <c r="M109" s="255"/>
      <c r="N109" s="255"/>
      <c r="O109" s="730"/>
      <c r="P109" s="731"/>
      <c r="Q109" s="731"/>
      <c r="R109" s="731"/>
      <c r="S109" s="732"/>
      <c r="T109" s="256"/>
      <c r="U109" s="257"/>
      <c r="V109" s="260"/>
    </row>
    <row r="110" spans="1:22" ht="13.5" customHeight="1" x14ac:dyDescent="0.2">
      <c r="A110" s="190">
        <f t="shared" si="20"/>
        <v>7</v>
      </c>
      <c r="B110" s="250">
        <v>44210</v>
      </c>
      <c r="C110" s="251"/>
      <c r="D110" s="251"/>
      <c r="E110" s="253"/>
      <c r="F110" s="253"/>
      <c r="G110" s="259"/>
      <c r="H110" s="259"/>
      <c r="I110" s="259"/>
      <c r="J110" s="259"/>
      <c r="K110" s="259"/>
      <c r="L110" s="315"/>
      <c r="M110" s="255"/>
      <c r="N110" s="255"/>
      <c r="O110" s="730"/>
      <c r="P110" s="731"/>
      <c r="Q110" s="731"/>
      <c r="R110" s="731"/>
      <c r="S110" s="732"/>
      <c r="T110" s="256"/>
      <c r="U110" s="257"/>
      <c r="V110" s="260"/>
    </row>
    <row r="111" spans="1:22" ht="13.5" customHeight="1" x14ac:dyDescent="0.2">
      <c r="A111" s="190">
        <f t="shared" si="20"/>
        <v>8</v>
      </c>
      <c r="B111" s="250">
        <v>44210</v>
      </c>
      <c r="C111" s="251"/>
      <c r="D111" s="251"/>
      <c r="E111" s="253"/>
      <c r="F111" s="253"/>
      <c r="G111" s="259"/>
      <c r="H111" s="259"/>
      <c r="I111" s="259"/>
      <c r="J111" s="259"/>
      <c r="K111" s="259"/>
      <c r="L111" s="315"/>
      <c r="M111" s="255"/>
      <c r="N111" s="255"/>
      <c r="O111" s="730"/>
      <c r="P111" s="731"/>
      <c r="Q111" s="731"/>
      <c r="R111" s="731"/>
      <c r="S111" s="732"/>
      <c r="T111" s="256"/>
      <c r="U111" s="257"/>
      <c r="V111" s="260"/>
    </row>
    <row r="112" spans="1:22" ht="13.5" customHeight="1" x14ac:dyDescent="0.2">
      <c r="A112" s="190">
        <f t="shared" si="20"/>
        <v>9</v>
      </c>
      <c r="B112" s="250">
        <v>44210</v>
      </c>
      <c r="C112" s="251"/>
      <c r="D112" s="251"/>
      <c r="E112" s="253"/>
      <c r="F112" s="253"/>
      <c r="G112" s="259"/>
      <c r="H112" s="259"/>
      <c r="I112" s="259"/>
      <c r="J112" s="259"/>
      <c r="K112" s="259"/>
      <c r="L112" s="315"/>
      <c r="M112" s="255"/>
      <c r="N112" s="255"/>
      <c r="O112" s="730"/>
      <c r="P112" s="731"/>
      <c r="Q112" s="731"/>
      <c r="R112" s="731"/>
      <c r="S112" s="732"/>
      <c r="T112" s="256"/>
      <c r="U112" s="257"/>
      <c r="V112" s="260"/>
    </row>
    <row r="113" spans="1:22" ht="13.5" customHeight="1" x14ac:dyDescent="0.2">
      <c r="A113" s="190">
        <f t="shared" si="20"/>
        <v>10</v>
      </c>
      <c r="B113" s="250">
        <v>44210</v>
      </c>
      <c r="C113" s="251"/>
      <c r="D113" s="251"/>
      <c r="E113" s="253"/>
      <c r="F113" s="253"/>
      <c r="G113" s="259"/>
      <c r="H113" s="259"/>
      <c r="I113" s="259"/>
      <c r="J113" s="259"/>
      <c r="K113" s="259"/>
      <c r="L113" s="315"/>
      <c r="M113" s="255"/>
      <c r="N113" s="255"/>
      <c r="O113" s="730"/>
      <c r="P113" s="731"/>
      <c r="Q113" s="731"/>
      <c r="R113" s="731"/>
      <c r="S113" s="732"/>
      <c r="T113" s="256"/>
      <c r="U113" s="257"/>
      <c r="V113" s="260"/>
    </row>
    <row r="114" spans="1:22" ht="13.5" customHeight="1" x14ac:dyDescent="0.2">
      <c r="A114" s="190">
        <f t="shared" si="20"/>
        <v>11</v>
      </c>
      <c r="B114" s="250">
        <v>44211</v>
      </c>
      <c r="C114" s="251"/>
      <c r="D114" s="251"/>
      <c r="E114" s="253"/>
      <c r="F114" s="253"/>
      <c r="G114" s="259"/>
      <c r="H114" s="259"/>
      <c r="I114" s="259"/>
      <c r="J114" s="259"/>
      <c r="K114" s="259"/>
      <c r="L114" s="256"/>
      <c r="M114" s="255"/>
      <c r="N114" s="255"/>
      <c r="O114" s="730"/>
      <c r="P114" s="731"/>
      <c r="Q114" s="731"/>
      <c r="R114" s="731"/>
      <c r="S114" s="732"/>
      <c r="T114" s="256"/>
      <c r="U114" s="257"/>
      <c r="V114" s="260"/>
    </row>
    <row r="115" spans="1:22" ht="13.5" customHeight="1" x14ac:dyDescent="0.2">
      <c r="A115" s="190">
        <f t="shared" si="20"/>
        <v>12</v>
      </c>
      <c r="B115" s="283">
        <v>44212</v>
      </c>
      <c r="C115" s="265"/>
      <c r="D115" s="265"/>
      <c r="E115" s="252"/>
      <c r="F115" s="252"/>
      <c r="G115" s="254"/>
      <c r="H115" s="254"/>
      <c r="I115" s="254"/>
      <c r="J115" s="254"/>
      <c r="K115" s="254"/>
      <c r="L115" s="315"/>
      <c r="M115" s="255"/>
      <c r="N115" s="255"/>
      <c r="O115" s="746"/>
      <c r="P115" s="747"/>
      <c r="Q115" s="747"/>
      <c r="R115" s="747"/>
      <c r="S115" s="748"/>
      <c r="T115" s="266"/>
      <c r="U115" s="267"/>
      <c r="V115" s="260"/>
    </row>
    <row r="116" spans="1:22" ht="13.5" customHeight="1" x14ac:dyDescent="0.2">
      <c r="A116" s="190">
        <f t="shared" si="20"/>
        <v>13</v>
      </c>
      <c r="B116" s="284"/>
      <c r="C116" s="251"/>
      <c r="D116" s="251"/>
      <c r="E116" s="253"/>
      <c r="F116" s="253"/>
      <c r="G116" s="259"/>
      <c r="H116" s="259"/>
      <c r="I116" s="259"/>
      <c r="J116" s="259"/>
      <c r="K116" s="259"/>
      <c r="L116" s="315"/>
      <c r="M116" s="255"/>
      <c r="N116" s="255"/>
      <c r="O116" s="730"/>
      <c r="P116" s="731"/>
      <c r="Q116" s="731"/>
      <c r="R116" s="731"/>
      <c r="S116" s="732"/>
      <c r="T116" s="256"/>
      <c r="U116" s="257"/>
      <c r="V116" s="260"/>
    </row>
    <row r="117" spans="1:22" ht="13.5" customHeight="1" x14ac:dyDescent="0.2">
      <c r="A117" s="190">
        <f t="shared" si="20"/>
        <v>14</v>
      </c>
      <c r="B117" s="284"/>
      <c r="C117" s="251"/>
      <c r="D117" s="282"/>
      <c r="E117" s="264"/>
      <c r="F117" s="253"/>
      <c r="G117" s="261"/>
      <c r="H117" s="261"/>
      <c r="I117" s="261"/>
      <c r="J117" s="261"/>
      <c r="K117" s="262"/>
      <c r="L117" s="315"/>
      <c r="M117" s="255"/>
      <c r="N117" s="255"/>
      <c r="O117" s="730"/>
      <c r="P117" s="731"/>
      <c r="Q117" s="731"/>
      <c r="R117" s="731"/>
      <c r="S117" s="732"/>
      <c r="T117" s="256"/>
      <c r="U117" s="257"/>
      <c r="V117" s="260"/>
    </row>
    <row r="118" spans="1:22" ht="13.5" customHeight="1" x14ac:dyDescent="0.2">
      <c r="A118" s="190">
        <f t="shared" si="20"/>
        <v>15</v>
      </c>
      <c r="B118" s="250"/>
      <c r="C118" s="251"/>
      <c r="D118" s="251"/>
      <c r="E118" s="253"/>
      <c r="F118" s="253"/>
      <c r="G118" s="259"/>
      <c r="H118" s="259"/>
      <c r="I118" s="259"/>
      <c r="J118" s="259"/>
      <c r="K118" s="259"/>
      <c r="L118" s="315"/>
      <c r="M118" s="255"/>
      <c r="N118" s="255"/>
      <c r="O118" s="730"/>
      <c r="P118" s="731"/>
      <c r="Q118" s="731"/>
      <c r="R118" s="731"/>
      <c r="S118" s="732"/>
      <c r="T118" s="256"/>
      <c r="U118" s="257"/>
      <c r="V118" s="260"/>
    </row>
    <row r="119" spans="1:22" ht="13.5" customHeight="1" thickBot="1" x14ac:dyDescent="0.25">
      <c r="A119" s="190">
        <f t="shared" si="20"/>
        <v>16</v>
      </c>
      <c r="B119" s="286"/>
      <c r="C119" s="268"/>
      <c r="D119" s="268"/>
      <c r="E119" s="269"/>
      <c r="F119" s="269"/>
      <c r="G119" s="270"/>
      <c r="H119" s="270"/>
      <c r="I119" s="270"/>
      <c r="J119" s="270"/>
      <c r="K119" s="270"/>
      <c r="L119" s="316"/>
      <c r="M119" s="255"/>
      <c r="N119" s="255"/>
      <c r="O119" s="733"/>
      <c r="P119" s="734"/>
      <c r="Q119" s="734"/>
      <c r="R119" s="734"/>
      <c r="S119" s="735"/>
      <c r="T119" s="271"/>
      <c r="U119" s="271"/>
      <c r="V119" s="272"/>
    </row>
    <row r="120" spans="1:22" ht="13.5" customHeight="1" thickBot="1" x14ac:dyDescent="0.25">
      <c r="A120" s="10"/>
      <c r="B120" s="468" t="s">
        <v>65</v>
      </c>
      <c r="C120" s="469"/>
      <c r="D120" s="470"/>
      <c r="E120" s="195">
        <f t="shared" ref="E120:K120" si="21">SUM(E104:E119)</f>
        <v>3360</v>
      </c>
      <c r="F120" s="195">
        <f t="shared" si="21"/>
        <v>1426</v>
      </c>
      <c r="G120" s="195">
        <f t="shared" si="21"/>
        <v>266</v>
      </c>
      <c r="H120" s="195">
        <f t="shared" si="21"/>
        <v>1668</v>
      </c>
      <c r="I120" s="195">
        <f t="shared" si="21"/>
        <v>0</v>
      </c>
      <c r="J120" s="195">
        <f t="shared" si="21"/>
        <v>0</v>
      </c>
      <c r="K120" s="195">
        <f t="shared" si="21"/>
        <v>0</v>
      </c>
      <c r="L120" s="213"/>
      <c r="M120" s="214"/>
      <c r="N120" s="214"/>
      <c r="O120" s="214"/>
      <c r="P120" s="214"/>
      <c r="Q120" s="214"/>
      <c r="R120" s="214"/>
      <c r="S120" s="215"/>
      <c r="T120" s="196">
        <f>SUM(T104:T119)</f>
        <v>2</v>
      </c>
      <c r="U120" s="196">
        <f>SUM(U104:U119)</f>
        <v>3</v>
      </c>
      <c r="V120" s="197">
        <f>SUM(V104:V119)</f>
        <v>1</v>
      </c>
    </row>
    <row r="121" spans="1:22" ht="13.5" customHeight="1" x14ac:dyDescent="0.2">
      <c r="A121" s="10"/>
      <c r="B121" s="216"/>
      <c r="C121" s="217"/>
      <c r="D121" s="218" t="str">
        <f>I170</f>
        <v>T11</v>
      </c>
      <c r="E121" s="219">
        <f>SUMIF($L$104:$L$119,$D$121,E$104:E$119)</f>
        <v>2830</v>
      </c>
      <c r="F121" s="219">
        <f t="shared" ref="F121:K121" si="22">SUMIF($L$104:$L$119,$D$92,F$104:F$119)</f>
        <v>1426</v>
      </c>
      <c r="G121" s="219">
        <f t="shared" si="22"/>
        <v>0</v>
      </c>
      <c r="H121" s="219">
        <f t="shared" si="22"/>
        <v>1404</v>
      </c>
      <c r="I121" s="219">
        <f t="shared" si="22"/>
        <v>0</v>
      </c>
      <c r="J121" s="219">
        <f t="shared" si="22"/>
        <v>0</v>
      </c>
      <c r="K121" s="219">
        <f t="shared" si="22"/>
        <v>0</v>
      </c>
      <c r="L121" s="273"/>
      <c r="M121" s="274"/>
      <c r="N121" s="274"/>
      <c r="O121" s="275"/>
      <c r="P121" s="275"/>
      <c r="Q121" s="275"/>
      <c r="R121" s="275"/>
      <c r="S121" s="275"/>
      <c r="T121" s="220">
        <f>SUMIF($L$54:$L$90,$D$92,T$54:T$90)</f>
        <v>2</v>
      </c>
      <c r="U121" s="220">
        <f>SUMIF($L$54:$L$90,$D$92,U$54:U$90)</f>
        <v>2</v>
      </c>
      <c r="V121" s="221">
        <f>SUMIF($L$54:$L$90,$D$92,V$54:V$90)</f>
        <v>1</v>
      </c>
    </row>
    <row r="122" spans="1:22" ht="13.5" customHeight="1" x14ac:dyDescent="0.2">
      <c r="A122" s="10"/>
      <c r="B122" s="216"/>
      <c r="C122" s="217"/>
      <c r="D122" s="222" t="str">
        <f t="shared" ref="D122:D124" si="23">I171</f>
        <v>T09</v>
      </c>
      <c r="E122" s="223">
        <f>SUMIF($L$104:$L$119,$D$122,E$104:E$119)</f>
        <v>530</v>
      </c>
      <c r="F122" s="223">
        <f t="shared" ref="F122:K122" si="24">SUMIF($L$104:$L$119,$D$93,F$104:F$119)</f>
        <v>0</v>
      </c>
      <c r="G122" s="223">
        <f t="shared" si="24"/>
        <v>266</v>
      </c>
      <c r="H122" s="223">
        <f t="shared" si="24"/>
        <v>264</v>
      </c>
      <c r="I122" s="223">
        <f t="shared" si="24"/>
        <v>0</v>
      </c>
      <c r="J122" s="223">
        <f t="shared" si="24"/>
        <v>0</v>
      </c>
      <c r="K122" s="223">
        <f t="shared" si="24"/>
        <v>0</v>
      </c>
      <c r="L122" s="276"/>
      <c r="M122" s="277"/>
      <c r="N122" s="277"/>
      <c r="O122" s="278"/>
      <c r="P122" s="278"/>
      <c r="Q122" s="278"/>
      <c r="R122" s="278"/>
      <c r="S122" s="278"/>
      <c r="T122" s="224">
        <f>SUMIF($L$54:$L$90,$D$93,T$54:T$90)</f>
        <v>2</v>
      </c>
      <c r="U122" s="224">
        <f>SUMIF($L$54:$L$90,$D$93,U$54:U$90)</f>
        <v>3</v>
      </c>
      <c r="V122" s="225">
        <f>SUMIF($L$54:$L$90,$D$93,V$54:V$90)</f>
        <v>1</v>
      </c>
    </row>
    <row r="123" spans="1:22" ht="13.5" customHeight="1" x14ac:dyDescent="0.2">
      <c r="A123" s="10"/>
      <c r="B123" s="216"/>
      <c r="C123" s="217"/>
      <c r="D123" s="222" t="str">
        <f t="shared" si="23"/>
        <v>T06</v>
      </c>
      <c r="E123" s="223">
        <f>SUMIF($L$104:$L$119,$D$123,E$104:E$119)</f>
        <v>0</v>
      </c>
      <c r="F123" s="223">
        <f t="shared" ref="F123:K123" si="25">SUMIF($L$104:$L$119,$D$94,F$104:F$119)</f>
        <v>0</v>
      </c>
      <c r="G123" s="223">
        <f t="shared" si="25"/>
        <v>0</v>
      </c>
      <c r="H123" s="223">
        <f t="shared" si="25"/>
        <v>0</v>
      </c>
      <c r="I123" s="223">
        <f t="shared" si="25"/>
        <v>0</v>
      </c>
      <c r="J123" s="223">
        <f t="shared" si="25"/>
        <v>0</v>
      </c>
      <c r="K123" s="223">
        <f t="shared" si="25"/>
        <v>0</v>
      </c>
      <c r="L123" s="276"/>
      <c r="M123" s="277"/>
      <c r="N123" s="277"/>
      <c r="O123" s="278"/>
      <c r="P123" s="278"/>
      <c r="Q123" s="278"/>
      <c r="R123" s="278"/>
      <c r="S123" s="278"/>
      <c r="T123" s="224">
        <f>SUMIF($L$54:$L$90,$D$94,T$54:T$90)</f>
        <v>0</v>
      </c>
      <c r="U123" s="224">
        <f>SUMIF($L$54:$L$90,$D$94,U$54:U$90)</f>
        <v>0</v>
      </c>
      <c r="V123" s="225">
        <f>SUMIF($L$54:$L$90,$D$94,V$54:V$90)</f>
        <v>0</v>
      </c>
    </row>
    <row r="124" spans="1:22" ht="13.5" customHeight="1" thickBot="1" x14ac:dyDescent="0.25">
      <c r="A124" s="10"/>
      <c r="B124" s="216"/>
      <c r="C124" s="217"/>
      <c r="D124" s="226">
        <f t="shared" si="23"/>
        <v>0</v>
      </c>
      <c r="E124" s="227">
        <f>SUMIF($L$104:$L$119,$D$124,E$104:E$119)</f>
        <v>0</v>
      </c>
      <c r="F124" s="227">
        <f t="shared" ref="F124:K124" si="26">SUMIF($L$104:$L$119,$D$95,F$104:F$119)</f>
        <v>0</v>
      </c>
      <c r="G124" s="227">
        <f t="shared" si="26"/>
        <v>0</v>
      </c>
      <c r="H124" s="227">
        <f t="shared" si="26"/>
        <v>0</v>
      </c>
      <c r="I124" s="227">
        <f t="shared" si="26"/>
        <v>0</v>
      </c>
      <c r="J124" s="227">
        <f t="shared" si="26"/>
        <v>0</v>
      </c>
      <c r="K124" s="227">
        <f t="shared" si="26"/>
        <v>0</v>
      </c>
      <c r="L124" s="279"/>
      <c r="M124" s="280"/>
      <c r="N124" s="280"/>
      <c r="O124" s="281"/>
      <c r="P124" s="281"/>
      <c r="Q124" s="281"/>
      <c r="R124" s="281"/>
      <c r="S124" s="281"/>
      <c r="T124" s="228">
        <f>SUMIF($L$54:$L$90,$D$95,T$54:T$90)</f>
        <v>0</v>
      </c>
      <c r="U124" s="228">
        <f>SUMIF($L$54:$L$90,$D$95,U$54:U$90)</f>
        <v>0</v>
      </c>
      <c r="V124" s="229">
        <f>SUMIF($L$54:$L$90,$D$95,V$54:V$90)</f>
        <v>0</v>
      </c>
    </row>
    <row r="125" spans="1:22" ht="13.5" customHeight="1" x14ac:dyDescent="0.2">
      <c r="B125" s="346"/>
      <c r="C125" s="346"/>
      <c r="D125" s="346"/>
      <c r="E125" s="346"/>
      <c r="F125" s="346"/>
      <c r="G125" s="346"/>
      <c r="H125" s="346"/>
      <c r="I125" s="346"/>
      <c r="J125" s="346"/>
    </row>
    <row r="126" spans="1:22" ht="13.5" customHeight="1" thickBot="1" x14ac:dyDescent="0.25">
      <c r="B126" s="346"/>
      <c r="C126" s="346"/>
      <c r="D126" s="346"/>
      <c r="E126" s="346"/>
      <c r="F126" s="346"/>
      <c r="G126" s="346"/>
      <c r="H126" s="346"/>
      <c r="I126" s="346"/>
      <c r="J126" s="346"/>
    </row>
    <row r="127" spans="1:22" ht="13.5" customHeight="1" thickBot="1" x14ac:dyDescent="0.25">
      <c r="A127" s="460" t="s">
        <v>74</v>
      </c>
      <c r="B127" s="462" t="s">
        <v>78</v>
      </c>
      <c r="C127" s="463"/>
      <c r="D127" s="464"/>
      <c r="E127" s="179">
        <f>J172</f>
        <v>2</v>
      </c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7"/>
    </row>
    <row r="128" spans="1:22" ht="27" customHeight="1" thickBot="1" x14ac:dyDescent="0.25">
      <c r="A128" s="461"/>
      <c r="B128" s="171" t="str">
        <f>B103</f>
        <v>DATUM</v>
      </c>
      <c r="C128" s="171" t="str">
        <f t="shared" ref="C128:K128" si="27">C103</f>
        <v>Broj računa FISKALNOG</v>
      </c>
      <c r="D128" s="171" t="str">
        <f t="shared" si="27"/>
        <v>Broj ugovora</v>
      </c>
      <c r="E128" s="171" t="str">
        <f t="shared" si="27"/>
        <v>PRODAJNA CIJENA</v>
      </c>
      <c r="F128" s="171" t="str">
        <f t="shared" si="27"/>
        <v>GOTOVINA</v>
      </c>
      <c r="G128" s="171" t="str">
        <f>G103</f>
        <v>POS OTP</v>
      </c>
      <c r="H128" s="171" t="str">
        <f t="shared" si="27"/>
        <v>Žiralno na rate</v>
      </c>
      <c r="I128" s="171" t="str">
        <f t="shared" si="27"/>
        <v>Žiralno</v>
      </c>
      <c r="J128" s="171" t="str">
        <f t="shared" si="27"/>
        <v>OSTALO</v>
      </c>
      <c r="K128" s="171" t="str">
        <f t="shared" si="27"/>
        <v>Vrsta Kartice</v>
      </c>
      <c r="L128" s="180" t="s">
        <v>80</v>
      </c>
      <c r="M128" s="180" t="s">
        <v>79</v>
      </c>
      <c r="N128" s="180" t="s">
        <v>98</v>
      </c>
      <c r="O128" s="465" t="s">
        <v>82</v>
      </c>
      <c r="P128" s="466"/>
      <c r="Q128" s="466"/>
      <c r="R128" s="466"/>
      <c r="S128" s="467"/>
      <c r="T128" s="181" t="str">
        <f>T103</f>
        <v>LMS</v>
      </c>
      <c r="U128" s="181" t="str">
        <f t="shared" ref="U128:V128" si="28">U103</f>
        <v>TO</v>
      </c>
      <c r="V128" s="181" t="str">
        <f t="shared" si="28"/>
        <v>IP</v>
      </c>
    </row>
    <row r="129" spans="1:22" ht="13.5" customHeight="1" x14ac:dyDescent="0.2">
      <c r="A129" s="190">
        <v>1</v>
      </c>
      <c r="B129" s="250">
        <v>44213</v>
      </c>
      <c r="C129" s="251" t="s">
        <v>92</v>
      </c>
      <c r="D129" s="251" t="s">
        <v>88</v>
      </c>
      <c r="E129" s="252">
        <v>1100</v>
      </c>
      <c r="F129" s="253">
        <v>560</v>
      </c>
      <c r="G129" s="254"/>
      <c r="H129" s="254">
        <v>540</v>
      </c>
      <c r="I129" s="254"/>
      <c r="J129" s="254"/>
      <c r="K129" s="254"/>
      <c r="L129" s="315" t="s">
        <v>154</v>
      </c>
      <c r="M129" s="255" t="s">
        <v>157</v>
      </c>
      <c r="N129" s="255" t="s">
        <v>158</v>
      </c>
      <c r="O129" s="730" t="s">
        <v>278</v>
      </c>
      <c r="P129" s="731"/>
      <c r="Q129" s="731"/>
      <c r="R129" s="731"/>
      <c r="S129" s="732"/>
      <c r="T129" s="256">
        <v>1</v>
      </c>
      <c r="U129" s="257"/>
      <c r="V129" s="258"/>
    </row>
    <row r="130" spans="1:22" ht="13.5" customHeight="1" x14ac:dyDescent="0.2">
      <c r="A130" s="190">
        <f>A129+1</f>
        <v>2</v>
      </c>
      <c r="B130" s="250">
        <v>44214</v>
      </c>
      <c r="C130" s="251" t="s">
        <v>274</v>
      </c>
      <c r="D130" s="251" t="s">
        <v>89</v>
      </c>
      <c r="E130" s="253">
        <v>1240</v>
      </c>
      <c r="F130" s="253"/>
      <c r="G130" s="259">
        <v>640</v>
      </c>
      <c r="H130" s="259">
        <v>600</v>
      </c>
      <c r="I130" s="259"/>
      <c r="J130" s="259"/>
      <c r="K130" s="259" t="s">
        <v>247</v>
      </c>
      <c r="L130" s="315" t="s">
        <v>154</v>
      </c>
      <c r="M130" s="255" t="s">
        <v>157</v>
      </c>
      <c r="N130" s="255" t="s">
        <v>158</v>
      </c>
      <c r="O130" s="730" t="s">
        <v>275</v>
      </c>
      <c r="P130" s="731"/>
      <c r="Q130" s="731"/>
      <c r="R130" s="731"/>
      <c r="S130" s="732"/>
      <c r="T130" s="256">
        <v>1</v>
      </c>
      <c r="U130" s="257"/>
      <c r="V130" s="260">
        <v>1</v>
      </c>
    </row>
    <row r="131" spans="1:22" ht="13.5" customHeight="1" x14ac:dyDescent="0.2">
      <c r="A131" s="190">
        <f t="shared" ref="A131:A142" si="29">A130+1</f>
        <v>3</v>
      </c>
      <c r="B131" s="250"/>
      <c r="C131" s="251"/>
      <c r="D131" s="251"/>
      <c r="E131" s="253"/>
      <c r="F131" s="253"/>
      <c r="G131" s="261"/>
      <c r="H131" s="261"/>
      <c r="I131" s="261"/>
      <c r="J131" s="261"/>
      <c r="K131" s="262"/>
      <c r="L131" s="315"/>
      <c r="M131" s="255"/>
      <c r="N131" s="255"/>
      <c r="O131" s="730"/>
      <c r="P131" s="731"/>
      <c r="Q131" s="731"/>
      <c r="R131" s="731"/>
      <c r="S131" s="732"/>
      <c r="T131" s="256"/>
      <c r="U131" s="257"/>
      <c r="V131" s="260"/>
    </row>
    <row r="132" spans="1:22" ht="13.5" customHeight="1" x14ac:dyDescent="0.2">
      <c r="A132" s="190">
        <f t="shared" si="29"/>
        <v>4</v>
      </c>
      <c r="B132" s="263"/>
      <c r="C132" s="251"/>
      <c r="D132" s="282"/>
      <c r="E132" s="264"/>
      <c r="F132" s="253"/>
      <c r="G132" s="261"/>
      <c r="H132" s="261"/>
      <c r="I132" s="261"/>
      <c r="J132" s="261"/>
      <c r="K132" s="262"/>
      <c r="L132" s="315"/>
      <c r="M132" s="255"/>
      <c r="N132" s="255"/>
      <c r="O132" s="730"/>
      <c r="P132" s="731"/>
      <c r="Q132" s="731"/>
      <c r="R132" s="731"/>
      <c r="S132" s="732"/>
      <c r="T132" s="256"/>
      <c r="U132" s="257"/>
      <c r="V132" s="260"/>
    </row>
    <row r="133" spans="1:22" ht="13.5" customHeight="1" x14ac:dyDescent="0.2">
      <c r="A133" s="190">
        <f t="shared" si="29"/>
        <v>5</v>
      </c>
      <c r="B133" s="250"/>
      <c r="C133" s="251"/>
      <c r="D133" s="251"/>
      <c r="E133" s="253"/>
      <c r="F133" s="253"/>
      <c r="G133" s="259"/>
      <c r="H133" s="259"/>
      <c r="I133" s="259"/>
      <c r="J133" s="259"/>
      <c r="K133" s="259"/>
      <c r="L133" s="256"/>
      <c r="M133" s="255"/>
      <c r="N133" s="255"/>
      <c r="O133" s="730"/>
      <c r="P133" s="731"/>
      <c r="Q133" s="731"/>
      <c r="R133" s="731"/>
      <c r="S133" s="732"/>
      <c r="T133" s="256"/>
      <c r="U133" s="257"/>
      <c r="V133" s="260"/>
    </row>
    <row r="134" spans="1:22" ht="13.5" customHeight="1" x14ac:dyDescent="0.2">
      <c r="A134" s="190">
        <f t="shared" si="29"/>
        <v>6</v>
      </c>
      <c r="B134" s="250"/>
      <c r="C134" s="251"/>
      <c r="D134" s="251"/>
      <c r="E134" s="253"/>
      <c r="F134" s="253"/>
      <c r="G134" s="259"/>
      <c r="H134" s="259"/>
      <c r="I134" s="259"/>
      <c r="J134" s="259"/>
      <c r="K134" s="259"/>
      <c r="L134" s="315"/>
      <c r="M134" s="255"/>
      <c r="N134" s="255"/>
      <c r="O134" s="730"/>
      <c r="P134" s="731"/>
      <c r="Q134" s="731"/>
      <c r="R134" s="731"/>
      <c r="S134" s="732"/>
      <c r="T134" s="256"/>
      <c r="U134" s="257"/>
      <c r="V134" s="260"/>
    </row>
    <row r="135" spans="1:22" ht="13.5" customHeight="1" x14ac:dyDescent="0.2">
      <c r="A135" s="190">
        <f t="shared" si="29"/>
        <v>7</v>
      </c>
      <c r="B135" s="250"/>
      <c r="C135" s="251"/>
      <c r="D135" s="251"/>
      <c r="E135" s="253"/>
      <c r="F135" s="253"/>
      <c r="G135" s="259"/>
      <c r="H135" s="259"/>
      <c r="I135" s="259"/>
      <c r="J135" s="259"/>
      <c r="K135" s="259"/>
      <c r="L135" s="315"/>
      <c r="M135" s="255"/>
      <c r="N135" s="255"/>
      <c r="O135" s="730"/>
      <c r="P135" s="731"/>
      <c r="Q135" s="731"/>
      <c r="R135" s="731"/>
      <c r="S135" s="732"/>
      <c r="T135" s="256"/>
      <c r="U135" s="257"/>
      <c r="V135" s="260"/>
    </row>
    <row r="136" spans="1:22" ht="13.5" customHeight="1" x14ac:dyDescent="0.2">
      <c r="A136" s="190">
        <f t="shared" si="29"/>
        <v>8</v>
      </c>
      <c r="B136" s="250"/>
      <c r="C136" s="251"/>
      <c r="D136" s="251"/>
      <c r="E136" s="253"/>
      <c r="F136" s="253"/>
      <c r="G136" s="259"/>
      <c r="H136" s="259"/>
      <c r="I136" s="259"/>
      <c r="J136" s="259"/>
      <c r="K136" s="259"/>
      <c r="L136" s="315"/>
      <c r="M136" s="255"/>
      <c r="N136" s="255"/>
      <c r="O136" s="730"/>
      <c r="P136" s="731"/>
      <c r="Q136" s="731"/>
      <c r="R136" s="731"/>
      <c r="S136" s="732"/>
      <c r="T136" s="256"/>
      <c r="U136" s="257"/>
      <c r="V136" s="260"/>
    </row>
    <row r="137" spans="1:22" ht="13.5" customHeight="1" x14ac:dyDescent="0.2">
      <c r="A137" s="190">
        <f t="shared" si="29"/>
        <v>9</v>
      </c>
      <c r="B137" s="250"/>
      <c r="C137" s="251"/>
      <c r="D137" s="251"/>
      <c r="E137" s="253"/>
      <c r="F137" s="253"/>
      <c r="G137" s="259"/>
      <c r="H137" s="259"/>
      <c r="I137" s="259"/>
      <c r="J137" s="259"/>
      <c r="K137" s="259"/>
      <c r="L137" s="315"/>
      <c r="M137" s="255"/>
      <c r="N137" s="255"/>
      <c r="O137" s="730"/>
      <c r="P137" s="731"/>
      <c r="Q137" s="731"/>
      <c r="R137" s="731"/>
      <c r="S137" s="732"/>
      <c r="T137" s="256"/>
      <c r="U137" s="257"/>
      <c r="V137" s="260"/>
    </row>
    <row r="138" spans="1:22" ht="13.5" customHeight="1" x14ac:dyDescent="0.2">
      <c r="A138" s="190">
        <f t="shared" si="29"/>
        <v>10</v>
      </c>
      <c r="B138" s="250"/>
      <c r="C138" s="251"/>
      <c r="D138" s="251"/>
      <c r="E138" s="253"/>
      <c r="F138" s="253"/>
      <c r="G138" s="259"/>
      <c r="H138" s="259"/>
      <c r="I138" s="259"/>
      <c r="J138" s="259"/>
      <c r="K138" s="259"/>
      <c r="L138" s="315"/>
      <c r="M138" s="255"/>
      <c r="N138" s="255"/>
      <c r="O138" s="730"/>
      <c r="P138" s="731"/>
      <c r="Q138" s="731"/>
      <c r="R138" s="731"/>
      <c r="S138" s="732"/>
      <c r="T138" s="256"/>
      <c r="U138" s="257"/>
      <c r="V138" s="260"/>
    </row>
    <row r="139" spans="1:22" ht="13.5" customHeight="1" x14ac:dyDescent="0.2">
      <c r="A139" s="190">
        <f t="shared" si="29"/>
        <v>11</v>
      </c>
      <c r="B139" s="250"/>
      <c r="C139" s="251"/>
      <c r="D139" s="251"/>
      <c r="E139" s="253"/>
      <c r="F139" s="253"/>
      <c r="G139" s="259"/>
      <c r="H139" s="259"/>
      <c r="I139" s="259"/>
      <c r="J139" s="259"/>
      <c r="K139" s="259"/>
      <c r="L139" s="256"/>
      <c r="M139" s="255"/>
      <c r="N139" s="255"/>
      <c r="O139" s="730"/>
      <c r="P139" s="731"/>
      <c r="Q139" s="731"/>
      <c r="R139" s="731"/>
      <c r="S139" s="732"/>
      <c r="T139" s="256"/>
      <c r="U139" s="257"/>
      <c r="V139" s="260"/>
    </row>
    <row r="140" spans="1:22" ht="13.5" customHeight="1" x14ac:dyDescent="0.2">
      <c r="A140" s="190">
        <f t="shared" si="29"/>
        <v>12</v>
      </c>
      <c r="B140" s="283"/>
      <c r="C140" s="265"/>
      <c r="D140" s="265"/>
      <c r="E140" s="252"/>
      <c r="F140" s="252"/>
      <c r="G140" s="254"/>
      <c r="H140" s="254"/>
      <c r="I140" s="254"/>
      <c r="J140" s="254"/>
      <c r="K140" s="254"/>
      <c r="L140" s="315"/>
      <c r="M140" s="255"/>
      <c r="N140" s="255"/>
      <c r="O140" s="746"/>
      <c r="P140" s="747"/>
      <c r="Q140" s="747"/>
      <c r="R140" s="747"/>
      <c r="S140" s="748"/>
      <c r="T140" s="266"/>
      <c r="U140" s="267"/>
      <c r="V140" s="260"/>
    </row>
    <row r="141" spans="1:22" ht="13.5" customHeight="1" x14ac:dyDescent="0.2">
      <c r="A141" s="190">
        <f t="shared" si="29"/>
        <v>13</v>
      </c>
      <c r="B141" s="284"/>
      <c r="C141" s="251"/>
      <c r="D141" s="251"/>
      <c r="E141" s="253"/>
      <c r="F141" s="253"/>
      <c r="G141" s="259"/>
      <c r="H141" s="259"/>
      <c r="I141" s="259"/>
      <c r="J141" s="259"/>
      <c r="K141" s="259"/>
      <c r="L141" s="315"/>
      <c r="M141" s="255"/>
      <c r="N141" s="255"/>
      <c r="O141" s="730"/>
      <c r="P141" s="731"/>
      <c r="Q141" s="731"/>
      <c r="R141" s="731"/>
      <c r="S141" s="732"/>
      <c r="T141" s="256"/>
      <c r="U141" s="257"/>
      <c r="V141" s="260"/>
    </row>
    <row r="142" spans="1:22" ht="13.5" customHeight="1" thickBot="1" x14ac:dyDescent="0.25">
      <c r="A142" s="190">
        <f t="shared" si="29"/>
        <v>14</v>
      </c>
      <c r="B142" s="286"/>
      <c r="C142" s="268"/>
      <c r="D142" s="268"/>
      <c r="E142" s="269"/>
      <c r="F142" s="269"/>
      <c r="G142" s="270"/>
      <c r="H142" s="270"/>
      <c r="I142" s="270"/>
      <c r="J142" s="270"/>
      <c r="K142" s="270"/>
      <c r="L142" s="316"/>
      <c r="M142" s="255"/>
      <c r="N142" s="255"/>
      <c r="O142" s="733"/>
      <c r="P142" s="734"/>
      <c r="Q142" s="734"/>
      <c r="R142" s="734"/>
      <c r="S142" s="735"/>
      <c r="T142" s="271"/>
      <c r="U142" s="271"/>
      <c r="V142" s="272"/>
    </row>
    <row r="143" spans="1:22" ht="13.5" customHeight="1" thickBot="1" x14ac:dyDescent="0.25">
      <c r="A143" s="10"/>
      <c r="B143" s="468" t="s">
        <v>65</v>
      </c>
      <c r="C143" s="469"/>
      <c r="D143" s="470"/>
      <c r="E143" s="195">
        <f t="shared" ref="E143:K143" si="30">SUM(E129:E142)</f>
        <v>2340</v>
      </c>
      <c r="F143" s="195">
        <f t="shared" si="30"/>
        <v>560</v>
      </c>
      <c r="G143" s="195">
        <f t="shared" si="30"/>
        <v>640</v>
      </c>
      <c r="H143" s="195">
        <f t="shared" si="30"/>
        <v>1140</v>
      </c>
      <c r="I143" s="195">
        <f t="shared" si="30"/>
        <v>0</v>
      </c>
      <c r="J143" s="195">
        <f t="shared" si="30"/>
        <v>0</v>
      </c>
      <c r="K143" s="195">
        <f t="shared" si="30"/>
        <v>0</v>
      </c>
      <c r="L143" s="213"/>
      <c r="M143" s="214"/>
      <c r="N143" s="214"/>
      <c r="O143" s="214"/>
      <c r="P143" s="214"/>
      <c r="Q143" s="214"/>
      <c r="R143" s="214"/>
      <c r="S143" s="215"/>
      <c r="T143" s="196">
        <f>SUM(T129:T142)</f>
        <v>2</v>
      </c>
      <c r="U143" s="196">
        <f>SUM(U129:U142)</f>
        <v>0</v>
      </c>
      <c r="V143" s="197">
        <f>SUM(V129:V142)</f>
        <v>1</v>
      </c>
    </row>
    <row r="144" spans="1:22" ht="13.5" customHeight="1" x14ac:dyDescent="0.2">
      <c r="A144" s="10"/>
      <c r="B144" s="216"/>
      <c r="C144" s="217"/>
      <c r="D144" s="218" t="str">
        <f>D121</f>
        <v>T11</v>
      </c>
      <c r="E144" s="219">
        <f>SUMIF($L$129:$L$142,$D$144,E$129:E$142)</f>
        <v>2340</v>
      </c>
      <c r="F144" s="219">
        <f t="shared" ref="F144:K144" si="31">SUMIF($L$129:$L$142,$D$144,F$129:F$142)</f>
        <v>560</v>
      </c>
      <c r="G144" s="219">
        <f t="shared" si="31"/>
        <v>640</v>
      </c>
      <c r="H144" s="219">
        <f t="shared" si="31"/>
        <v>1140</v>
      </c>
      <c r="I144" s="219">
        <f t="shared" si="31"/>
        <v>0</v>
      </c>
      <c r="J144" s="219">
        <f t="shared" si="31"/>
        <v>0</v>
      </c>
      <c r="K144" s="219">
        <f t="shared" si="31"/>
        <v>0</v>
      </c>
      <c r="L144" s="273"/>
      <c r="M144" s="274"/>
      <c r="N144" s="274"/>
      <c r="O144" s="275"/>
      <c r="P144" s="275"/>
      <c r="Q144" s="275"/>
      <c r="R144" s="275"/>
      <c r="S144" s="275"/>
      <c r="T144" s="220">
        <f>SUMIF($L$54:$L$90,$D$92,T$54:T$90)</f>
        <v>2</v>
      </c>
      <c r="U144" s="220">
        <f>SUMIF($L$54:$L$90,$D$92,U$54:U$90)</f>
        <v>2</v>
      </c>
      <c r="V144" s="221">
        <f>SUMIF($L$54:$L$90,$D$92,V$54:V$90)</f>
        <v>1</v>
      </c>
    </row>
    <row r="145" spans="1:22" ht="13.5" customHeight="1" x14ac:dyDescent="0.2">
      <c r="A145" s="10"/>
      <c r="B145" s="216"/>
      <c r="C145" s="217"/>
      <c r="D145" s="222" t="str">
        <f t="shared" ref="D145:D147" si="32">D122</f>
        <v>T09</v>
      </c>
      <c r="E145" s="223">
        <f>SUMIF($L$129:$L$142,$D$145,E$129:E$142)</f>
        <v>0</v>
      </c>
      <c r="F145" s="223">
        <f t="shared" ref="F145:K145" si="33">SUMIF($L$129:$L$142,$D$145,F$129:F$142)</f>
        <v>0</v>
      </c>
      <c r="G145" s="223">
        <f t="shared" si="33"/>
        <v>0</v>
      </c>
      <c r="H145" s="223">
        <f t="shared" si="33"/>
        <v>0</v>
      </c>
      <c r="I145" s="223">
        <f t="shared" si="33"/>
        <v>0</v>
      </c>
      <c r="J145" s="223">
        <f t="shared" si="33"/>
        <v>0</v>
      </c>
      <c r="K145" s="223">
        <f t="shared" si="33"/>
        <v>0</v>
      </c>
      <c r="L145" s="276"/>
      <c r="M145" s="277"/>
      <c r="N145" s="277"/>
      <c r="O145" s="278"/>
      <c r="P145" s="278"/>
      <c r="Q145" s="278"/>
      <c r="R145" s="278"/>
      <c r="S145" s="278"/>
      <c r="T145" s="224">
        <f>SUMIF($L$54:$L$90,$D$93,T$54:T$90)</f>
        <v>2</v>
      </c>
      <c r="U145" s="224">
        <f>SUMIF($L$54:$L$90,$D$93,U$54:U$90)</f>
        <v>3</v>
      </c>
      <c r="V145" s="225">
        <f>SUMIF($L$54:$L$90,$D$93,V$54:V$90)</f>
        <v>1</v>
      </c>
    </row>
    <row r="146" spans="1:22" ht="13.5" customHeight="1" x14ac:dyDescent="0.2">
      <c r="A146" s="10"/>
      <c r="B146" s="216"/>
      <c r="C146" s="217"/>
      <c r="D146" s="222" t="str">
        <f t="shared" si="32"/>
        <v>T06</v>
      </c>
      <c r="E146" s="223">
        <f t="shared" ref="E146:K146" si="34">SUMIF($L$129:$L$142,$D$146,E$129:E$142)</f>
        <v>0</v>
      </c>
      <c r="F146" s="223">
        <f t="shared" si="34"/>
        <v>0</v>
      </c>
      <c r="G146" s="223">
        <f t="shared" si="34"/>
        <v>0</v>
      </c>
      <c r="H146" s="223">
        <f t="shared" si="34"/>
        <v>0</v>
      </c>
      <c r="I146" s="223">
        <f t="shared" si="34"/>
        <v>0</v>
      </c>
      <c r="J146" s="223">
        <f t="shared" si="34"/>
        <v>0</v>
      </c>
      <c r="K146" s="223">
        <f t="shared" si="34"/>
        <v>0</v>
      </c>
      <c r="L146" s="276"/>
      <c r="M146" s="277"/>
      <c r="N146" s="277"/>
      <c r="O146" s="278"/>
      <c r="P146" s="278"/>
      <c r="Q146" s="278"/>
      <c r="R146" s="278"/>
      <c r="S146" s="278"/>
      <c r="T146" s="224">
        <f>SUMIF($L$54:$L$90,$D$94,T$54:T$90)</f>
        <v>0</v>
      </c>
      <c r="U146" s="224">
        <f>SUMIF($L$54:$L$90,$D$94,U$54:U$90)</f>
        <v>0</v>
      </c>
      <c r="V146" s="225">
        <f>SUMIF($L$54:$L$90,$D$94,V$54:V$90)</f>
        <v>0</v>
      </c>
    </row>
    <row r="147" spans="1:22" ht="13.5" customHeight="1" thickBot="1" x14ac:dyDescent="0.25">
      <c r="A147" s="10"/>
      <c r="B147" s="216"/>
      <c r="C147" s="217"/>
      <c r="D147" s="226">
        <f t="shared" si="32"/>
        <v>0</v>
      </c>
      <c r="E147" s="227">
        <f>SUMIF($L$129:$L$142,$D$147,E$129:E$142)</f>
        <v>0</v>
      </c>
      <c r="F147" s="227">
        <f t="shared" ref="F147:K147" si="35">SUMIF($L$129:$L$142,$D$147,F$129:F$142)</f>
        <v>0</v>
      </c>
      <c r="G147" s="227">
        <f t="shared" si="35"/>
        <v>0</v>
      </c>
      <c r="H147" s="227">
        <f t="shared" si="35"/>
        <v>0</v>
      </c>
      <c r="I147" s="227">
        <f t="shared" si="35"/>
        <v>0</v>
      </c>
      <c r="J147" s="227">
        <f t="shared" si="35"/>
        <v>0</v>
      </c>
      <c r="K147" s="227">
        <f t="shared" si="35"/>
        <v>0</v>
      </c>
      <c r="L147" s="279"/>
      <c r="M147" s="280"/>
      <c r="N147" s="280"/>
      <c r="O147" s="281"/>
      <c r="P147" s="281"/>
      <c r="Q147" s="281"/>
      <c r="R147" s="281"/>
      <c r="S147" s="281"/>
      <c r="T147" s="228">
        <f>SUMIF($L$54:$L$90,$D$95,T$54:T$90)</f>
        <v>0</v>
      </c>
      <c r="U147" s="228">
        <f>SUMIF($L$54:$L$90,$D$95,U$54:U$90)</f>
        <v>0</v>
      </c>
      <c r="V147" s="229">
        <f>SUMIF($L$54:$L$90,$D$95,V$54:V$90)</f>
        <v>0</v>
      </c>
    </row>
    <row r="148" spans="1:22" ht="13.5" customHeight="1" x14ac:dyDescent="0.2">
      <c r="B148" s="346"/>
      <c r="C148" s="346"/>
      <c r="D148" s="346"/>
      <c r="E148" s="346"/>
      <c r="F148" s="346"/>
      <c r="G148" s="346"/>
      <c r="H148" s="346"/>
      <c r="I148" s="346"/>
      <c r="J148" s="346"/>
    </row>
    <row r="149" spans="1:22" ht="25.5" customHeight="1" thickBot="1" x14ac:dyDescent="0.25">
      <c r="B149" s="178" t="str">
        <f>B50</f>
        <v>MEDEM d.o.o.</v>
      </c>
    </row>
    <row r="150" spans="1:22" ht="13.5" customHeight="1" thickBot="1" x14ac:dyDescent="0.25">
      <c r="A150" s="486" t="s">
        <v>187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8"/>
      <c r="M150" s="376"/>
      <c r="N150" s="377"/>
      <c r="O150" s="377"/>
      <c r="P150" s="349" t="s">
        <v>129</v>
      </c>
      <c r="Q150" s="377">
        <f>A154</f>
        <v>1</v>
      </c>
      <c r="R150" s="377"/>
      <c r="S150" s="377"/>
      <c r="T150" s="378"/>
      <c r="U150" s="378"/>
      <c r="V150" s="379"/>
    </row>
    <row r="151" spans="1:22" ht="13.5" customHeight="1" thickBot="1" x14ac:dyDescent="0.25">
      <c r="A151" s="489" t="s">
        <v>59</v>
      </c>
      <c r="B151" s="490"/>
      <c r="C151" s="491" t="s">
        <v>66</v>
      </c>
      <c r="D151" s="492"/>
      <c r="E151" s="353" t="str">
        <f t="shared" ref="E151:K151" si="36">F198</f>
        <v>LMS</v>
      </c>
      <c r="F151" s="353" t="str">
        <f t="shared" si="36"/>
        <v>TO</v>
      </c>
      <c r="G151" s="353" t="str">
        <f t="shared" si="36"/>
        <v>Nož</v>
      </c>
      <c r="H151" s="353" t="str">
        <f t="shared" si="36"/>
        <v>Q10</v>
      </c>
      <c r="I151" s="353" t="str">
        <f t="shared" si="36"/>
        <v>Bubrežnjak</v>
      </c>
      <c r="J151" s="353" t="str">
        <f t="shared" si="36"/>
        <v>Kosmo</v>
      </c>
      <c r="K151" s="354" t="str">
        <f t="shared" si="36"/>
        <v>KREMA</v>
      </c>
      <c r="M151" s="493" t="s">
        <v>190</v>
      </c>
      <c r="N151" s="494"/>
      <c r="O151" s="497" t="s">
        <v>108</v>
      </c>
      <c r="P151" s="499" t="s">
        <v>189</v>
      </c>
      <c r="Q151" s="501"/>
      <c r="R151" s="499" t="s">
        <v>195</v>
      </c>
      <c r="S151" s="500"/>
      <c r="T151" s="500"/>
      <c r="U151" s="500"/>
      <c r="V151" s="502"/>
    </row>
    <row r="152" spans="1:22" ht="13.5" customHeight="1" thickBot="1" x14ac:dyDescent="0.25">
      <c r="A152" s="473">
        <f>A199</f>
        <v>44228</v>
      </c>
      <c r="B152" s="474"/>
      <c r="C152" s="475" t="s">
        <v>69</v>
      </c>
      <c r="D152" s="476"/>
      <c r="E152" s="372">
        <f t="shared" ref="E152:K152" si="37">F207</f>
        <v>21</v>
      </c>
      <c r="F152" s="372">
        <f t="shared" si="37"/>
        <v>21</v>
      </c>
      <c r="G152" s="372">
        <f t="shared" si="37"/>
        <v>23</v>
      </c>
      <c r="H152" s="372">
        <f t="shared" si="37"/>
        <v>291</v>
      </c>
      <c r="I152" s="372">
        <f t="shared" si="37"/>
        <v>93</v>
      </c>
      <c r="J152" s="372">
        <f t="shared" si="37"/>
        <v>86</v>
      </c>
      <c r="K152" s="373">
        <f t="shared" si="37"/>
        <v>124</v>
      </c>
      <c r="M152" s="495"/>
      <c r="N152" s="496"/>
      <c r="O152" s="498"/>
      <c r="P152" s="328" t="s">
        <v>110</v>
      </c>
      <c r="Q152" s="383" t="s">
        <v>174</v>
      </c>
      <c r="R152" s="328" t="str">
        <f>G151</f>
        <v>Nož</v>
      </c>
      <c r="S152" s="328" t="str">
        <f t="shared" ref="S152:U152" si="38">H151</f>
        <v>Q10</v>
      </c>
      <c r="T152" s="328" t="str">
        <f t="shared" si="38"/>
        <v>Bubrežnjak</v>
      </c>
      <c r="U152" s="328" t="str">
        <f t="shared" si="38"/>
        <v>Kosmo</v>
      </c>
      <c r="V152" s="192" t="str">
        <f>L198</f>
        <v>KREMA</v>
      </c>
    </row>
    <row r="153" spans="1:22" ht="13.5" customHeight="1" x14ac:dyDescent="0.2">
      <c r="A153" s="326" t="s">
        <v>151</v>
      </c>
      <c r="B153" s="194" t="s">
        <v>146</v>
      </c>
      <c r="C153" s="194" t="s">
        <v>147</v>
      </c>
      <c r="D153" s="374" t="s">
        <v>151</v>
      </c>
      <c r="E153" s="477" t="s">
        <v>168</v>
      </c>
      <c r="F153" s="478"/>
      <c r="G153" s="478"/>
      <c r="H153" s="478"/>
      <c r="I153" s="478"/>
      <c r="J153" s="478"/>
      <c r="K153" s="479"/>
      <c r="M153" s="480" t="s">
        <v>117</v>
      </c>
      <c r="N153" s="481"/>
      <c r="O153" s="315" t="s">
        <v>154</v>
      </c>
      <c r="P153" s="331">
        <v>15</v>
      </c>
      <c r="Q153" s="331">
        <v>2</v>
      </c>
      <c r="R153" s="331">
        <v>15</v>
      </c>
      <c r="S153" s="331"/>
      <c r="T153" s="314">
        <v>2</v>
      </c>
      <c r="U153" s="314"/>
      <c r="V153" s="332">
        <v>2</v>
      </c>
    </row>
    <row r="154" spans="1:22" ht="13.5" customHeight="1" x14ac:dyDescent="0.2">
      <c r="A154" s="340">
        <f>E4</f>
        <v>1</v>
      </c>
      <c r="B154" s="348">
        <f>E43</f>
        <v>23770</v>
      </c>
      <c r="C154" s="348">
        <f>F43</f>
        <v>18710</v>
      </c>
      <c r="D154" s="189" t="s">
        <v>149</v>
      </c>
      <c r="E154" s="188">
        <f>T43</f>
        <v>10</v>
      </c>
      <c r="F154" s="188">
        <f>U43</f>
        <v>10</v>
      </c>
      <c r="G154" s="188">
        <f>V43</f>
        <v>11</v>
      </c>
      <c r="H154" s="188">
        <f>S165*J182</f>
        <v>0</v>
      </c>
      <c r="I154" s="188">
        <f>T165*J183</f>
        <v>14</v>
      </c>
      <c r="J154" s="188">
        <f>U165*J184</f>
        <v>15</v>
      </c>
      <c r="K154" s="341">
        <f>V165</f>
        <v>30</v>
      </c>
      <c r="M154" s="482" t="s">
        <v>109</v>
      </c>
      <c r="N154" s="483"/>
      <c r="O154" s="315" t="s">
        <v>155</v>
      </c>
      <c r="P154" s="324">
        <v>23</v>
      </c>
      <c r="Q154" s="324">
        <v>3</v>
      </c>
      <c r="R154" s="324">
        <v>22</v>
      </c>
      <c r="S154" s="324"/>
      <c r="T154" s="315">
        <v>3</v>
      </c>
      <c r="U154" s="315"/>
      <c r="V154" s="334">
        <v>6</v>
      </c>
    </row>
    <row r="155" spans="1:22" ht="13.5" customHeight="1" thickBot="1" x14ac:dyDescent="0.25">
      <c r="A155" s="342">
        <f>A154+1</f>
        <v>2</v>
      </c>
      <c r="B155" s="244">
        <f>E91</f>
        <v>5870</v>
      </c>
      <c r="C155" s="244">
        <f>F91</f>
        <v>4050</v>
      </c>
      <c r="D155" s="328" t="s">
        <v>150</v>
      </c>
      <c r="E155" s="193">
        <f>T91</f>
        <v>4</v>
      </c>
      <c r="F155" s="193">
        <f>U91</f>
        <v>5</v>
      </c>
      <c r="G155" s="193">
        <f>V91</f>
        <v>2</v>
      </c>
      <c r="H155" s="188">
        <f>S187*J182</f>
        <v>207</v>
      </c>
      <c r="I155" s="188">
        <f>T187*J183</f>
        <v>0</v>
      </c>
      <c r="J155" s="188">
        <f>U187*J184</f>
        <v>26</v>
      </c>
      <c r="K155" s="192">
        <f>V187</f>
        <v>21</v>
      </c>
      <c r="M155" s="484" t="s">
        <v>118</v>
      </c>
      <c r="N155" s="485"/>
      <c r="O155" s="315" t="s">
        <v>154</v>
      </c>
      <c r="P155" s="324">
        <v>16</v>
      </c>
      <c r="Q155" s="324">
        <v>3</v>
      </c>
      <c r="R155" s="324">
        <v>15</v>
      </c>
      <c r="S155" s="324"/>
      <c r="T155" s="315">
        <v>3</v>
      </c>
      <c r="U155" s="315"/>
      <c r="V155" s="334">
        <v>7</v>
      </c>
    </row>
    <row r="156" spans="1:22" ht="13.5" customHeight="1" thickBot="1" x14ac:dyDescent="0.25">
      <c r="A156" s="355" t="s">
        <v>188</v>
      </c>
      <c r="B156" s="356">
        <f>B217</f>
        <v>29640</v>
      </c>
      <c r="C156" s="356">
        <f>C217</f>
        <v>22760</v>
      </c>
      <c r="D156" s="350" t="s">
        <v>185</v>
      </c>
      <c r="E156" s="201">
        <f>E152-E154-E155</f>
        <v>7</v>
      </c>
      <c r="F156" s="201">
        <f t="shared" ref="F156:K156" si="39">F152-F154-F155</f>
        <v>6</v>
      </c>
      <c r="G156" s="201">
        <f t="shared" si="39"/>
        <v>10</v>
      </c>
      <c r="H156" s="201">
        <f t="shared" si="39"/>
        <v>84</v>
      </c>
      <c r="I156" s="201">
        <f t="shared" si="39"/>
        <v>79</v>
      </c>
      <c r="J156" s="201">
        <f t="shared" si="39"/>
        <v>45</v>
      </c>
      <c r="K156" s="201">
        <f t="shared" si="39"/>
        <v>73</v>
      </c>
      <c r="M156" s="482" t="s">
        <v>111</v>
      </c>
      <c r="N156" s="483"/>
      <c r="O156" s="315" t="s">
        <v>155</v>
      </c>
      <c r="P156" s="324">
        <v>15</v>
      </c>
      <c r="Q156" s="324">
        <v>2</v>
      </c>
      <c r="R156" s="324">
        <v>15</v>
      </c>
      <c r="S156" s="324"/>
      <c r="T156" s="315">
        <v>2</v>
      </c>
      <c r="U156" s="315"/>
      <c r="V156" s="334">
        <v>8</v>
      </c>
    </row>
    <row r="157" spans="1:22" ht="13.5" customHeight="1" thickBot="1" x14ac:dyDescent="0.25">
      <c r="M157" s="484" t="s">
        <v>112</v>
      </c>
      <c r="N157" s="485"/>
      <c r="O157" s="315" t="s">
        <v>154</v>
      </c>
      <c r="P157" s="324">
        <v>15</v>
      </c>
      <c r="Q157" s="324">
        <v>4</v>
      </c>
      <c r="R157" s="324">
        <v>15</v>
      </c>
      <c r="S157" s="324"/>
      <c r="T157" s="315">
        <v>4</v>
      </c>
      <c r="U157" s="315"/>
      <c r="V157" s="334">
        <v>0</v>
      </c>
    </row>
    <row r="158" spans="1:22" ht="13.5" customHeight="1" x14ac:dyDescent="0.2">
      <c r="A158" s="505" t="s">
        <v>184</v>
      </c>
      <c r="B158" s="506"/>
      <c r="C158" s="506"/>
      <c r="D158" s="506"/>
      <c r="E158" s="506"/>
      <c r="F158" s="506"/>
      <c r="G158" s="506"/>
      <c r="H158" s="507"/>
      <c r="I158" s="351"/>
      <c r="J158" s="351"/>
      <c r="K158" s="351"/>
      <c r="L158" s="351"/>
      <c r="M158" s="482" t="s">
        <v>113</v>
      </c>
      <c r="N158" s="483"/>
      <c r="O158" s="315" t="s">
        <v>155</v>
      </c>
      <c r="P158" s="324">
        <v>15</v>
      </c>
      <c r="Q158" s="324">
        <v>6</v>
      </c>
      <c r="R158" s="324">
        <v>15</v>
      </c>
      <c r="S158" s="324"/>
      <c r="T158" s="315"/>
      <c r="U158" s="315">
        <v>6</v>
      </c>
      <c r="V158" s="334">
        <v>4</v>
      </c>
    </row>
    <row r="159" spans="1:22" ht="13.5" customHeight="1" x14ac:dyDescent="0.2">
      <c r="A159" s="508" t="s">
        <v>181</v>
      </c>
      <c r="B159" s="503" t="s">
        <v>64</v>
      </c>
      <c r="C159" s="503" t="s">
        <v>67</v>
      </c>
      <c r="D159" s="503" t="s">
        <v>197</v>
      </c>
      <c r="E159" s="503" t="s">
        <v>198</v>
      </c>
      <c r="F159" s="503" t="s">
        <v>199</v>
      </c>
      <c r="G159" s="503" t="s">
        <v>202</v>
      </c>
      <c r="H159" s="503" t="s">
        <v>203</v>
      </c>
      <c r="L159" s="300"/>
      <c r="M159" s="484" t="s">
        <v>119</v>
      </c>
      <c r="N159" s="485"/>
      <c r="O159" s="315" t="s">
        <v>154</v>
      </c>
      <c r="P159" s="324">
        <v>22</v>
      </c>
      <c r="Q159" s="324">
        <v>7</v>
      </c>
      <c r="R159" s="324">
        <v>22</v>
      </c>
      <c r="S159" s="324"/>
      <c r="T159" s="315"/>
      <c r="U159" s="315">
        <v>7</v>
      </c>
      <c r="V159" s="334">
        <v>2</v>
      </c>
    </row>
    <row r="160" spans="1:22" ht="13.5" customHeight="1" thickBot="1" x14ac:dyDescent="0.25">
      <c r="A160" s="509"/>
      <c r="B160" s="504"/>
      <c r="C160" s="504"/>
      <c r="D160" s="504"/>
      <c r="E160" s="504"/>
      <c r="F160" s="504"/>
      <c r="G160" s="504"/>
      <c r="H160" s="504"/>
      <c r="M160" s="482" t="s">
        <v>114</v>
      </c>
      <c r="N160" s="483"/>
      <c r="O160" s="315" t="s">
        <v>155</v>
      </c>
      <c r="P160" s="324">
        <v>14</v>
      </c>
      <c r="Q160" s="324">
        <v>2</v>
      </c>
      <c r="R160" s="324">
        <v>14</v>
      </c>
      <c r="S160" s="324"/>
      <c r="T160" s="315"/>
      <c r="U160" s="315">
        <v>2</v>
      </c>
      <c r="V160" s="334">
        <v>1</v>
      </c>
    </row>
    <row r="161" spans="1:22" ht="13.5" customHeight="1" x14ac:dyDescent="0.2">
      <c r="A161" s="360" t="str">
        <f>D92</f>
        <v>T11</v>
      </c>
      <c r="B161" s="361">
        <f t="shared" ref="B161:H164" si="40">E44+E92</f>
        <v>12860</v>
      </c>
      <c r="C161" s="361">
        <f t="shared" si="40"/>
        <v>7700</v>
      </c>
      <c r="D161" s="361">
        <f t="shared" si="40"/>
        <v>580</v>
      </c>
      <c r="E161" s="361">
        <f t="shared" si="40"/>
        <v>1690</v>
      </c>
      <c r="F161" s="361">
        <f t="shared" si="40"/>
        <v>0</v>
      </c>
      <c r="G161" s="361">
        <f t="shared" si="40"/>
        <v>2890</v>
      </c>
      <c r="H161" s="362">
        <f t="shared" si="40"/>
        <v>0</v>
      </c>
      <c r="M161" s="484" t="s">
        <v>120</v>
      </c>
      <c r="N161" s="485"/>
      <c r="O161" s="315"/>
      <c r="P161" s="324"/>
      <c r="Q161" s="324"/>
      <c r="R161" s="324"/>
      <c r="S161" s="324"/>
      <c r="T161" s="315"/>
      <c r="U161" s="315"/>
      <c r="V161" s="335"/>
    </row>
    <row r="162" spans="1:22" ht="13.5" customHeight="1" x14ac:dyDescent="0.2">
      <c r="A162" s="358" t="str">
        <f>D93</f>
        <v>T09</v>
      </c>
      <c r="B162" s="357">
        <f t="shared" si="40"/>
        <v>16780</v>
      </c>
      <c r="C162" s="357">
        <f t="shared" si="40"/>
        <v>15060</v>
      </c>
      <c r="D162" s="357">
        <f t="shared" si="40"/>
        <v>330</v>
      </c>
      <c r="E162" s="357">
        <f t="shared" si="40"/>
        <v>1390</v>
      </c>
      <c r="F162" s="357">
        <f t="shared" si="40"/>
        <v>0</v>
      </c>
      <c r="G162" s="357">
        <f t="shared" si="40"/>
        <v>0</v>
      </c>
      <c r="H162" s="359">
        <f t="shared" si="40"/>
        <v>0</v>
      </c>
      <c r="M162" s="482" t="s">
        <v>115</v>
      </c>
      <c r="N162" s="483"/>
      <c r="O162" s="187"/>
      <c r="P162" s="307"/>
      <c r="Q162" s="307"/>
      <c r="R162" s="307"/>
      <c r="S162" s="307"/>
      <c r="T162" s="187"/>
      <c r="U162" s="187"/>
      <c r="V162" s="242"/>
    </row>
    <row r="163" spans="1:22" ht="13.5" customHeight="1" x14ac:dyDescent="0.2">
      <c r="A163" s="358" t="str">
        <f>D94</f>
        <v>T06</v>
      </c>
      <c r="B163" s="357">
        <f t="shared" si="40"/>
        <v>0</v>
      </c>
      <c r="C163" s="357">
        <f t="shared" si="40"/>
        <v>0</v>
      </c>
      <c r="D163" s="357">
        <f t="shared" si="40"/>
        <v>0</v>
      </c>
      <c r="E163" s="357">
        <f t="shared" si="40"/>
        <v>1490</v>
      </c>
      <c r="F163" s="357">
        <f t="shared" si="40"/>
        <v>0</v>
      </c>
      <c r="G163" s="357">
        <f t="shared" si="40"/>
        <v>-1490</v>
      </c>
      <c r="H163" s="359">
        <f t="shared" si="40"/>
        <v>0</v>
      </c>
      <c r="M163" s="484" t="s">
        <v>116</v>
      </c>
      <c r="N163" s="485"/>
      <c r="O163" s="187"/>
      <c r="P163" s="307"/>
      <c r="Q163" s="307"/>
      <c r="R163" s="307"/>
      <c r="S163" s="307"/>
      <c r="T163" s="187"/>
      <c r="U163" s="187"/>
      <c r="V163" s="242"/>
    </row>
    <row r="164" spans="1:22" ht="13.5" customHeight="1" thickBot="1" x14ac:dyDescent="0.25">
      <c r="A164" s="363">
        <f>D95</f>
        <v>0</v>
      </c>
      <c r="B164" s="364">
        <f t="shared" si="40"/>
        <v>0</v>
      </c>
      <c r="C164" s="364">
        <f t="shared" si="40"/>
        <v>0</v>
      </c>
      <c r="D164" s="364">
        <f t="shared" si="40"/>
        <v>0</v>
      </c>
      <c r="E164" s="364">
        <f t="shared" si="40"/>
        <v>0</v>
      </c>
      <c r="F164" s="364">
        <f t="shared" si="40"/>
        <v>0</v>
      </c>
      <c r="G164" s="364">
        <f t="shared" si="40"/>
        <v>0</v>
      </c>
      <c r="H164" s="365">
        <f t="shared" si="40"/>
        <v>0</v>
      </c>
      <c r="M164" s="518" t="s">
        <v>121</v>
      </c>
      <c r="N164" s="519"/>
      <c r="O164" s="199"/>
      <c r="P164" s="309"/>
      <c r="Q164" s="309"/>
      <c r="R164" s="309"/>
      <c r="S164" s="309"/>
      <c r="T164" s="199"/>
      <c r="U164" s="199"/>
      <c r="V164" s="243"/>
    </row>
    <row r="165" spans="1:22" ht="13.5" customHeight="1" thickBot="1" x14ac:dyDescent="0.25">
      <c r="A165" s="366" t="s">
        <v>182</v>
      </c>
      <c r="B165" s="368">
        <f>SUM(B161:B164)</f>
        <v>29640</v>
      </c>
      <c r="C165" s="368">
        <f t="shared" ref="C165:H165" si="41">SUM(C161:C164)</f>
        <v>22760</v>
      </c>
      <c r="D165" s="368">
        <f t="shared" si="41"/>
        <v>910</v>
      </c>
      <c r="E165" s="368">
        <f t="shared" si="41"/>
        <v>4570</v>
      </c>
      <c r="F165" s="368">
        <f t="shared" si="41"/>
        <v>0</v>
      </c>
      <c r="G165" s="368">
        <f t="shared" si="41"/>
        <v>1400</v>
      </c>
      <c r="H165" s="369">
        <f t="shared" si="41"/>
        <v>0</v>
      </c>
      <c r="L165" s="300"/>
      <c r="M165" s="520" t="s">
        <v>122</v>
      </c>
      <c r="N165" s="521"/>
      <c r="O165" s="522"/>
      <c r="P165" s="304">
        <f t="shared" ref="P165:V165" si="42">SUM(P153:P164)</f>
        <v>135</v>
      </c>
      <c r="Q165" s="304">
        <f t="shared" si="42"/>
        <v>29</v>
      </c>
      <c r="R165" s="304">
        <f t="shared" si="42"/>
        <v>133</v>
      </c>
      <c r="S165" s="304">
        <f t="shared" si="42"/>
        <v>0</v>
      </c>
      <c r="T165" s="305">
        <f>SUM(T153:T164)</f>
        <v>14</v>
      </c>
      <c r="U165" s="305">
        <f t="shared" si="42"/>
        <v>15</v>
      </c>
      <c r="V165" s="306">
        <f t="shared" si="42"/>
        <v>30</v>
      </c>
    </row>
    <row r="166" spans="1:22" ht="13.5" customHeight="1" thickBot="1" x14ac:dyDescent="0.25">
      <c r="O166" s="380" t="str">
        <f>I170</f>
        <v>T11</v>
      </c>
      <c r="P166" s="209">
        <f t="shared" ref="P166:V169" si="43">SUMIF($O$153:$O$164,$O166,P$153:P$164)</f>
        <v>68</v>
      </c>
      <c r="Q166" s="209">
        <f t="shared" si="43"/>
        <v>16</v>
      </c>
      <c r="R166" s="209">
        <f t="shared" si="43"/>
        <v>67</v>
      </c>
      <c r="S166" s="209">
        <f t="shared" si="43"/>
        <v>0</v>
      </c>
      <c r="T166" s="209">
        <f t="shared" si="43"/>
        <v>9</v>
      </c>
      <c r="U166" s="209">
        <f t="shared" si="43"/>
        <v>7</v>
      </c>
      <c r="V166" s="210">
        <f t="shared" si="43"/>
        <v>11</v>
      </c>
    </row>
    <row r="167" spans="1:22" ht="13.5" customHeight="1" thickBot="1" x14ac:dyDescent="0.25">
      <c r="A167" s="486" t="s">
        <v>210</v>
      </c>
      <c r="B167" s="487"/>
      <c r="C167" s="487"/>
      <c r="D167" s="487"/>
      <c r="E167" s="488"/>
      <c r="G167" s="523" t="s">
        <v>183</v>
      </c>
      <c r="H167" s="526" t="s">
        <v>144</v>
      </c>
      <c r="I167" s="529" t="s">
        <v>123</v>
      </c>
      <c r="J167" s="532" t="s">
        <v>149</v>
      </c>
      <c r="O167" s="185" t="str">
        <f>I171</f>
        <v>T09</v>
      </c>
      <c r="P167" s="202">
        <f t="shared" si="43"/>
        <v>67</v>
      </c>
      <c r="Q167" s="202">
        <f t="shared" si="43"/>
        <v>13</v>
      </c>
      <c r="R167" s="202">
        <f t="shared" si="43"/>
        <v>66</v>
      </c>
      <c r="S167" s="202">
        <f t="shared" si="43"/>
        <v>0</v>
      </c>
      <c r="T167" s="202">
        <f t="shared" si="43"/>
        <v>5</v>
      </c>
      <c r="U167" s="202">
        <f t="shared" si="43"/>
        <v>8</v>
      </c>
      <c r="V167" s="204">
        <f t="shared" si="43"/>
        <v>19</v>
      </c>
    </row>
    <row r="168" spans="1:22" ht="13.5" customHeight="1" x14ac:dyDescent="0.2">
      <c r="A168" s="533" t="s">
        <v>72</v>
      </c>
      <c r="B168" s="534"/>
      <c r="C168" s="535"/>
      <c r="D168" s="726">
        <f>F43</f>
        <v>18710</v>
      </c>
      <c r="E168" s="727"/>
      <c r="F168" s="352"/>
      <c r="G168" s="524"/>
      <c r="H168" s="527"/>
      <c r="I168" s="530"/>
      <c r="J168" s="517"/>
      <c r="O168" s="185" t="str">
        <f>I172</f>
        <v>T06</v>
      </c>
      <c r="P168" s="202">
        <f t="shared" si="43"/>
        <v>0</v>
      </c>
      <c r="Q168" s="202">
        <f t="shared" si="43"/>
        <v>0</v>
      </c>
      <c r="R168" s="202">
        <f t="shared" si="43"/>
        <v>0</v>
      </c>
      <c r="S168" s="202">
        <f t="shared" si="43"/>
        <v>0</v>
      </c>
      <c r="T168" s="202">
        <f t="shared" si="43"/>
        <v>0</v>
      </c>
      <c r="U168" s="202">
        <f t="shared" si="43"/>
        <v>0</v>
      </c>
      <c r="V168" s="204">
        <f t="shared" si="43"/>
        <v>0</v>
      </c>
    </row>
    <row r="169" spans="1:22" ht="13.5" customHeight="1" thickBot="1" x14ac:dyDescent="0.25">
      <c r="A169" s="510" t="s">
        <v>71</v>
      </c>
      <c r="B169" s="511"/>
      <c r="C169" s="512"/>
      <c r="D169" s="728">
        <f>F91</f>
        <v>4050</v>
      </c>
      <c r="E169" s="729"/>
      <c r="F169" s="208" t="s">
        <v>132</v>
      </c>
      <c r="G169" s="525"/>
      <c r="H169" s="528"/>
      <c r="I169" s="531"/>
      <c r="J169" s="186">
        <v>1</v>
      </c>
      <c r="O169" s="381">
        <f>I173</f>
        <v>0</v>
      </c>
      <c r="P169" s="206">
        <f t="shared" si="43"/>
        <v>0</v>
      </c>
      <c r="Q169" s="206">
        <f t="shared" si="43"/>
        <v>0</v>
      </c>
      <c r="R169" s="206">
        <f t="shared" si="43"/>
        <v>0</v>
      </c>
      <c r="S169" s="206">
        <f t="shared" si="43"/>
        <v>0</v>
      </c>
      <c r="T169" s="206">
        <f t="shared" si="43"/>
        <v>0</v>
      </c>
      <c r="U169" s="206">
        <f t="shared" si="43"/>
        <v>0</v>
      </c>
      <c r="V169" s="207">
        <f t="shared" si="43"/>
        <v>0</v>
      </c>
    </row>
    <row r="170" spans="1:22" ht="13.5" customHeight="1" thickBot="1" x14ac:dyDescent="0.25">
      <c r="A170" s="513" t="s">
        <v>76</v>
      </c>
      <c r="B170" s="514"/>
      <c r="C170" s="515"/>
      <c r="D170" s="722">
        <f>SUM(D168:E169)</f>
        <v>22760</v>
      </c>
      <c r="E170" s="723"/>
      <c r="G170" s="293" t="s">
        <v>158</v>
      </c>
      <c r="H170" s="293" t="s">
        <v>156</v>
      </c>
      <c r="I170" s="293" t="s">
        <v>154</v>
      </c>
      <c r="J170" s="516" t="s">
        <v>150</v>
      </c>
    </row>
    <row r="171" spans="1:22" ht="13.5" customHeight="1" thickBot="1" x14ac:dyDescent="0.25">
      <c r="A171" s="245" t="s">
        <v>99</v>
      </c>
      <c r="B171" s="345" t="s">
        <v>100</v>
      </c>
      <c r="C171" s="345" t="s">
        <v>42</v>
      </c>
      <c r="D171" s="558" t="s">
        <v>60</v>
      </c>
      <c r="E171" s="559"/>
      <c r="G171" s="293" t="s">
        <v>161</v>
      </c>
      <c r="H171" s="293" t="s">
        <v>157</v>
      </c>
      <c r="I171" s="293" t="s">
        <v>155</v>
      </c>
      <c r="J171" s="517"/>
    </row>
    <row r="172" spans="1:22" ht="13.5" customHeight="1" thickBot="1" x14ac:dyDescent="0.25">
      <c r="A172" s="294" t="s">
        <v>85</v>
      </c>
      <c r="B172" s="183" t="s">
        <v>200</v>
      </c>
      <c r="C172" s="314" t="s">
        <v>154</v>
      </c>
      <c r="D172" s="724">
        <v>2500</v>
      </c>
      <c r="E172" s="725"/>
      <c r="G172" s="293" t="s">
        <v>159</v>
      </c>
      <c r="H172" s="321"/>
      <c r="I172" s="293" t="s">
        <v>160</v>
      </c>
      <c r="J172" s="249">
        <f>J169+1</f>
        <v>2</v>
      </c>
      <c r="M172" s="536" t="s">
        <v>192</v>
      </c>
      <c r="N172" s="463"/>
      <c r="O172" s="463"/>
      <c r="P172" s="463"/>
      <c r="Q172" s="377">
        <f>A155</f>
        <v>2</v>
      </c>
      <c r="R172" s="377"/>
      <c r="S172" s="377"/>
      <c r="T172" s="377"/>
      <c r="U172" s="377"/>
      <c r="V172" s="382"/>
    </row>
    <row r="173" spans="1:22" ht="13.5" customHeight="1" thickBot="1" x14ac:dyDescent="0.25">
      <c r="A173" s="294" t="s">
        <v>85</v>
      </c>
      <c r="B173" s="183" t="s">
        <v>201</v>
      </c>
      <c r="C173" s="315" t="s">
        <v>155</v>
      </c>
      <c r="D173" s="720">
        <v>3550</v>
      </c>
      <c r="E173" s="721"/>
      <c r="G173" s="293" t="s">
        <v>126</v>
      </c>
      <c r="H173" s="321"/>
      <c r="I173" s="295"/>
      <c r="J173" s="198"/>
      <c r="M173" s="537" t="str">
        <f>M151</f>
        <v>Prezentacije</v>
      </c>
      <c r="N173" s="538"/>
      <c r="O173" s="541" t="str">
        <f>O151</f>
        <v>Tim</v>
      </c>
      <c r="P173" s="500" t="str">
        <f>P151</f>
        <v>Došlo</v>
      </c>
      <c r="Q173" s="501"/>
      <c r="R173" s="717" t="str">
        <f>R151</f>
        <v>Osobama kojima je dijelito komada/setova</v>
      </c>
      <c r="S173" s="718"/>
      <c r="T173" s="718"/>
      <c r="U173" s="718"/>
      <c r="V173" s="719"/>
    </row>
    <row r="174" spans="1:22" ht="13.5" customHeight="1" thickBot="1" x14ac:dyDescent="0.25">
      <c r="A174" s="294" t="s">
        <v>85</v>
      </c>
      <c r="B174" s="183" t="s">
        <v>200</v>
      </c>
      <c r="C174" s="315" t="s">
        <v>155</v>
      </c>
      <c r="D174" s="720">
        <v>2250</v>
      </c>
      <c r="E174" s="721"/>
      <c r="G174" s="293" t="s">
        <v>127</v>
      </c>
      <c r="H174" s="321"/>
      <c r="J174" s="198"/>
      <c r="M174" s="539"/>
      <c r="N174" s="540"/>
      <c r="O174" s="542"/>
      <c r="P174" s="347" t="str">
        <f>P152</f>
        <v>Gostiju</v>
      </c>
      <c r="Q174" s="328" t="str">
        <f>Q152</f>
        <v>B.parova</v>
      </c>
      <c r="R174" s="328" t="str">
        <f>R152</f>
        <v>Nož</v>
      </c>
      <c r="S174" s="328" t="str">
        <f t="shared" ref="S174:U174" si="44">S152</f>
        <v>Q10</v>
      </c>
      <c r="T174" s="328" t="str">
        <f t="shared" si="44"/>
        <v>Bubrežnjak</v>
      </c>
      <c r="U174" s="328" t="str">
        <f t="shared" si="44"/>
        <v>Kosmo</v>
      </c>
      <c r="V174" s="192" t="str">
        <f>V152</f>
        <v>KREMA</v>
      </c>
    </row>
    <row r="175" spans="1:22" ht="13.5" customHeight="1" thickBot="1" x14ac:dyDescent="0.25">
      <c r="A175" s="294" t="s">
        <v>85</v>
      </c>
      <c r="B175" s="183" t="s">
        <v>200</v>
      </c>
      <c r="C175" s="315" t="s">
        <v>160</v>
      </c>
      <c r="D175" s="720">
        <v>400</v>
      </c>
      <c r="E175" s="721"/>
      <c r="G175" s="293" t="s">
        <v>156</v>
      </c>
      <c r="H175" s="322"/>
      <c r="J175" s="367"/>
      <c r="M175" s="480" t="s">
        <v>117</v>
      </c>
      <c r="N175" s="481"/>
      <c r="O175" s="315" t="s">
        <v>154</v>
      </c>
      <c r="P175" s="331">
        <v>25</v>
      </c>
      <c r="Q175" s="331">
        <v>2</v>
      </c>
      <c r="R175" s="331"/>
      <c r="S175" s="314">
        <v>25</v>
      </c>
      <c r="T175" s="314"/>
      <c r="U175" s="314">
        <v>2</v>
      </c>
      <c r="V175" s="336">
        <v>5</v>
      </c>
    </row>
    <row r="176" spans="1:22" ht="13.5" customHeight="1" x14ac:dyDescent="0.2">
      <c r="A176" s="294" t="s">
        <v>85</v>
      </c>
      <c r="B176" s="183" t="s">
        <v>201</v>
      </c>
      <c r="C176" s="315" t="s">
        <v>154</v>
      </c>
      <c r="D176" s="720">
        <v>4750</v>
      </c>
      <c r="E176" s="721"/>
      <c r="G176" s="293" t="s">
        <v>130</v>
      </c>
      <c r="H176" s="198"/>
      <c r="I176" s="198"/>
      <c r="J176" s="198"/>
      <c r="M176" s="482" t="s">
        <v>109</v>
      </c>
      <c r="N176" s="483"/>
      <c r="O176" s="315" t="s">
        <v>160</v>
      </c>
      <c r="P176" s="324">
        <v>17</v>
      </c>
      <c r="Q176" s="324">
        <v>3</v>
      </c>
      <c r="R176" s="324"/>
      <c r="S176" s="315">
        <v>17</v>
      </c>
      <c r="T176" s="315"/>
      <c r="U176" s="315">
        <v>3</v>
      </c>
      <c r="V176" s="335">
        <v>4</v>
      </c>
    </row>
    <row r="177" spans="1:22" ht="13.5" customHeight="1" thickBot="1" x14ac:dyDescent="0.25">
      <c r="A177" s="246"/>
      <c r="B177" s="183"/>
      <c r="C177" s="187"/>
      <c r="D177" s="696"/>
      <c r="E177" s="697"/>
      <c r="G177" s="295" t="s">
        <v>157</v>
      </c>
      <c r="H177" s="198"/>
      <c r="I177" s="198"/>
      <c r="M177" s="484" t="s">
        <v>118</v>
      </c>
      <c r="N177" s="485"/>
      <c r="O177" s="315" t="s">
        <v>155</v>
      </c>
      <c r="P177" s="324">
        <v>13</v>
      </c>
      <c r="Q177" s="324">
        <v>3</v>
      </c>
      <c r="R177" s="324"/>
      <c r="S177" s="315">
        <v>13</v>
      </c>
      <c r="T177" s="315"/>
      <c r="U177" s="315">
        <v>2</v>
      </c>
      <c r="V177" s="335">
        <v>1</v>
      </c>
    </row>
    <row r="178" spans="1:22" ht="13.5" customHeight="1" thickBot="1" x14ac:dyDescent="0.25">
      <c r="A178" s="246"/>
      <c r="B178" s="183"/>
      <c r="C178" s="187"/>
      <c r="D178" s="696"/>
      <c r="E178" s="697"/>
      <c r="L178" s="198"/>
      <c r="M178" s="482" t="s">
        <v>111</v>
      </c>
      <c r="N178" s="483"/>
      <c r="O178" s="315" t="s">
        <v>155</v>
      </c>
      <c r="P178" s="324">
        <v>14</v>
      </c>
      <c r="Q178" s="324">
        <v>5</v>
      </c>
      <c r="R178" s="324"/>
      <c r="S178" s="315">
        <v>14</v>
      </c>
      <c r="T178" s="315"/>
      <c r="U178" s="315">
        <v>5</v>
      </c>
      <c r="V178" s="335">
        <v>3</v>
      </c>
    </row>
    <row r="179" spans="1:22" ht="13.5" customHeight="1" x14ac:dyDescent="0.2">
      <c r="A179" s="246"/>
      <c r="B179" s="183"/>
      <c r="C179" s="187"/>
      <c r="D179" s="698"/>
      <c r="E179" s="699"/>
      <c r="G179" s="688" t="s">
        <v>172</v>
      </c>
      <c r="H179" s="689"/>
      <c r="I179" s="692" t="s">
        <v>170</v>
      </c>
      <c r="J179" s="694" t="s">
        <v>171</v>
      </c>
      <c r="M179" s="484" t="s">
        <v>112</v>
      </c>
      <c r="N179" s="485"/>
      <c r="O179" s="315" t="s">
        <v>154</v>
      </c>
      <c r="P179" s="324">
        <v>14</v>
      </c>
      <c r="Q179" s="324">
        <v>5</v>
      </c>
      <c r="R179" s="324">
        <v>14</v>
      </c>
      <c r="S179" s="324"/>
      <c r="T179" s="315"/>
      <c r="U179" s="315">
        <v>5</v>
      </c>
      <c r="V179" s="335">
        <v>3</v>
      </c>
    </row>
    <row r="180" spans="1:22" ht="13.5" customHeight="1" x14ac:dyDescent="0.2">
      <c r="A180" s="246"/>
      <c r="B180" s="183"/>
      <c r="C180" s="187"/>
      <c r="D180" s="696"/>
      <c r="E180" s="697"/>
      <c r="G180" s="690"/>
      <c r="H180" s="691"/>
      <c r="I180" s="693"/>
      <c r="J180" s="695"/>
      <c r="M180" s="482" t="s">
        <v>113</v>
      </c>
      <c r="N180" s="483"/>
      <c r="O180" s="315" t="s">
        <v>154</v>
      </c>
      <c r="P180" s="324">
        <v>15</v>
      </c>
      <c r="Q180" s="324">
        <v>6</v>
      </c>
      <c r="R180" s="323">
        <v>15</v>
      </c>
      <c r="S180" s="323"/>
      <c r="T180" s="315"/>
      <c r="U180" s="315">
        <v>6</v>
      </c>
      <c r="V180" s="335">
        <v>2</v>
      </c>
    </row>
    <row r="181" spans="1:22" ht="13.5" customHeight="1" x14ac:dyDescent="0.2">
      <c r="A181" s="246"/>
      <c r="B181" s="183"/>
      <c r="C181" s="187"/>
      <c r="D181" s="698"/>
      <c r="E181" s="699"/>
      <c r="G181" s="543" t="s">
        <v>176</v>
      </c>
      <c r="H181" s="544"/>
      <c r="I181" s="174" t="s">
        <v>179</v>
      </c>
      <c r="J181" s="308">
        <v>1</v>
      </c>
      <c r="M181" s="484" t="s">
        <v>119</v>
      </c>
      <c r="N181" s="485"/>
      <c r="O181" s="315" t="s">
        <v>160</v>
      </c>
      <c r="P181" s="324">
        <v>15</v>
      </c>
      <c r="Q181" s="324">
        <v>2</v>
      </c>
      <c r="R181" s="324">
        <v>15</v>
      </c>
      <c r="S181" s="324"/>
      <c r="T181" s="315"/>
      <c r="U181" s="315">
        <v>2</v>
      </c>
      <c r="V181" s="335">
        <v>1</v>
      </c>
    </row>
    <row r="182" spans="1:22" ht="13.5" customHeight="1" thickBot="1" x14ac:dyDescent="0.25">
      <c r="A182" s="247"/>
      <c r="B182" s="248"/>
      <c r="C182" s="199"/>
      <c r="D182" s="686"/>
      <c r="E182" s="687"/>
      <c r="G182" s="543" t="s">
        <v>175</v>
      </c>
      <c r="H182" s="544"/>
      <c r="I182" s="174" t="s">
        <v>173</v>
      </c>
      <c r="J182" s="308">
        <v>3</v>
      </c>
      <c r="M182" s="482" t="s">
        <v>114</v>
      </c>
      <c r="N182" s="483"/>
      <c r="O182" s="315" t="s">
        <v>160</v>
      </c>
      <c r="P182" s="324">
        <v>4</v>
      </c>
      <c r="Q182" s="324">
        <v>1</v>
      </c>
      <c r="R182" s="324">
        <v>4</v>
      </c>
      <c r="S182" s="324"/>
      <c r="T182" s="315"/>
      <c r="U182" s="315">
        <v>1</v>
      </c>
      <c r="V182" s="335">
        <v>2</v>
      </c>
    </row>
    <row r="183" spans="1:22" ht="13.5" customHeight="1" x14ac:dyDescent="0.2">
      <c r="A183" s="708" t="s">
        <v>124</v>
      </c>
      <c r="B183" s="709" t="s">
        <v>200</v>
      </c>
      <c r="C183" s="541"/>
      <c r="D183" s="682">
        <f>SUMIF(B172:B182,B183,D172:E182)</f>
        <v>5150</v>
      </c>
      <c r="E183" s="683"/>
      <c r="G183" s="543" t="s">
        <v>177</v>
      </c>
      <c r="H183" s="544"/>
      <c r="I183" s="174" t="s">
        <v>194</v>
      </c>
      <c r="J183" s="308">
        <v>1</v>
      </c>
      <c r="M183" s="484" t="s">
        <v>120</v>
      </c>
      <c r="N183" s="485"/>
      <c r="O183" s="187"/>
      <c r="P183" s="307"/>
      <c r="Q183" s="307"/>
      <c r="R183" s="307"/>
      <c r="S183" s="307"/>
      <c r="T183" s="187"/>
      <c r="U183" s="187"/>
      <c r="V183" s="242"/>
    </row>
    <row r="184" spans="1:22" ht="13.5" customHeight="1" thickBot="1" x14ac:dyDescent="0.25">
      <c r="A184" s="545"/>
      <c r="B184" s="546" t="s">
        <v>201</v>
      </c>
      <c r="C184" s="547"/>
      <c r="D184" s="684">
        <f>SUMIF(B172:B182,B184,D172:E182)</f>
        <v>8300</v>
      </c>
      <c r="E184" s="685"/>
      <c r="G184" s="548" t="s">
        <v>193</v>
      </c>
      <c r="H184" s="549"/>
      <c r="I184" s="184" t="s">
        <v>178</v>
      </c>
      <c r="J184" s="343">
        <v>1</v>
      </c>
      <c r="L184" s="344"/>
      <c r="M184" s="482" t="s">
        <v>115</v>
      </c>
      <c r="N184" s="483"/>
      <c r="O184" s="187"/>
      <c r="P184" s="307"/>
      <c r="Q184" s="307"/>
      <c r="R184" s="307"/>
      <c r="S184" s="307"/>
      <c r="T184" s="187"/>
      <c r="U184" s="187"/>
      <c r="V184" s="242"/>
    </row>
    <row r="185" spans="1:22" ht="13.5" customHeight="1" thickBot="1" x14ac:dyDescent="0.25">
      <c r="A185" s="552" t="s">
        <v>73</v>
      </c>
      <c r="B185" s="553"/>
      <c r="C185" s="553"/>
      <c r="D185" s="710">
        <f>SUM(D172:E182)</f>
        <v>13450</v>
      </c>
      <c r="E185" s="711"/>
      <c r="L185" s="344"/>
      <c r="M185" s="484" t="s">
        <v>116</v>
      </c>
      <c r="N185" s="485"/>
      <c r="O185" s="187"/>
      <c r="P185" s="307"/>
      <c r="Q185" s="307"/>
      <c r="R185" s="307"/>
      <c r="S185" s="307"/>
      <c r="T185" s="187"/>
      <c r="U185" s="187"/>
      <c r="V185" s="242"/>
    </row>
    <row r="186" spans="1:22" ht="13.5" customHeight="1" thickBot="1" x14ac:dyDescent="0.25">
      <c r="A186" s="554" t="s">
        <v>70</v>
      </c>
      <c r="B186" s="555"/>
      <c r="C186" s="555"/>
      <c r="D186" s="700">
        <f>D170-D185</f>
        <v>9310</v>
      </c>
      <c r="E186" s="701"/>
      <c r="G186" s="486" t="s">
        <v>153</v>
      </c>
      <c r="H186" s="487"/>
      <c r="I186" s="487"/>
      <c r="J186" s="487"/>
      <c r="K186" s="488"/>
      <c r="L186" s="344"/>
      <c r="M186" s="518" t="s">
        <v>121</v>
      </c>
      <c r="N186" s="519"/>
      <c r="O186" s="187"/>
      <c r="P186" s="309"/>
      <c r="Q186" s="309"/>
      <c r="R186" s="309"/>
      <c r="S186" s="309"/>
      <c r="T186" s="199"/>
      <c r="U186" s="199"/>
      <c r="V186" s="243"/>
    </row>
    <row r="187" spans="1:22" ht="13.5" customHeight="1" thickBot="1" x14ac:dyDescent="0.25">
      <c r="A187" s="556"/>
      <c r="B187" s="557"/>
      <c r="C187" s="557"/>
      <c r="D187" s="702"/>
      <c r="E187" s="703"/>
      <c r="G187" s="296" t="s">
        <v>99</v>
      </c>
      <c r="H187" s="297" t="s">
        <v>100</v>
      </c>
      <c r="I187" s="175" t="s">
        <v>42</v>
      </c>
      <c r="J187" s="558" t="s">
        <v>60</v>
      </c>
      <c r="K187" s="559"/>
      <c r="L187" s="298"/>
      <c r="M187" s="520" t="s">
        <v>122</v>
      </c>
      <c r="N187" s="521"/>
      <c r="O187" s="522"/>
      <c r="P187" s="304">
        <f t="shared" ref="P187:V187" si="45">SUM(P175:P186)</f>
        <v>117</v>
      </c>
      <c r="Q187" s="304">
        <f t="shared" si="45"/>
        <v>27</v>
      </c>
      <c r="R187" s="304">
        <f t="shared" si="45"/>
        <v>48</v>
      </c>
      <c r="S187" s="304">
        <f>SUM(S175:S186)</f>
        <v>69</v>
      </c>
      <c r="T187" s="305">
        <f t="shared" si="45"/>
        <v>0</v>
      </c>
      <c r="U187" s="305">
        <f t="shared" si="45"/>
        <v>26</v>
      </c>
      <c r="V187" s="306">
        <f t="shared" si="45"/>
        <v>21</v>
      </c>
    </row>
    <row r="188" spans="1:22" ht="13.5" customHeight="1" x14ac:dyDescent="0.2">
      <c r="A188" s="325" t="s">
        <v>162</v>
      </c>
      <c r="B188" s="550" t="s">
        <v>163</v>
      </c>
      <c r="C188" s="550"/>
      <c r="D188" s="550" t="s">
        <v>164</v>
      </c>
      <c r="E188" s="706"/>
      <c r="G188" s="317"/>
      <c r="H188" s="318"/>
      <c r="I188" s="319"/>
      <c r="J188" s="704"/>
      <c r="K188" s="705"/>
      <c r="O188" s="380" t="str">
        <f>O166</f>
        <v>T11</v>
      </c>
      <c r="P188" s="209">
        <f t="shared" ref="P188:V190" si="46">SUMIF($O$175:$O$186,$O188,P$175:P$186)</f>
        <v>54</v>
      </c>
      <c r="Q188" s="209">
        <f t="shared" si="46"/>
        <v>13</v>
      </c>
      <c r="R188" s="209">
        <f t="shared" si="46"/>
        <v>29</v>
      </c>
      <c r="S188" s="209">
        <f t="shared" si="46"/>
        <v>25</v>
      </c>
      <c r="T188" s="209">
        <f t="shared" si="46"/>
        <v>0</v>
      </c>
      <c r="U188" s="209">
        <f t="shared" si="46"/>
        <v>13</v>
      </c>
      <c r="V188" s="210">
        <f t="shared" si="46"/>
        <v>10</v>
      </c>
    </row>
    <row r="189" spans="1:22" ht="13.5" customHeight="1" thickBot="1" x14ac:dyDescent="0.25">
      <c r="A189" s="203" t="str">
        <f>I170</f>
        <v>T11</v>
      </c>
      <c r="B189" s="551">
        <f>SUMIF($C$172:$C$182,A189,$D$172:$E$182)</f>
        <v>7250</v>
      </c>
      <c r="C189" s="551"/>
      <c r="D189" s="551">
        <f>F92+F44-B189</f>
        <v>450</v>
      </c>
      <c r="E189" s="707"/>
      <c r="G189" s="320"/>
      <c r="H189" s="183"/>
      <c r="I189" s="307"/>
      <c r="J189" s="704"/>
      <c r="K189" s="705"/>
      <c r="O189" s="185" t="str">
        <f>O167</f>
        <v>T09</v>
      </c>
      <c r="P189" s="202">
        <f t="shared" si="46"/>
        <v>27</v>
      </c>
      <c r="Q189" s="202">
        <f t="shared" si="46"/>
        <v>8</v>
      </c>
      <c r="R189" s="202">
        <f t="shared" si="46"/>
        <v>0</v>
      </c>
      <c r="S189" s="202">
        <f t="shared" si="46"/>
        <v>27</v>
      </c>
      <c r="T189" s="202">
        <f t="shared" si="46"/>
        <v>0</v>
      </c>
      <c r="U189" s="202">
        <f t="shared" si="46"/>
        <v>7</v>
      </c>
      <c r="V189" s="204">
        <f t="shared" si="46"/>
        <v>4</v>
      </c>
    </row>
    <row r="190" spans="1:22" ht="13.5" customHeight="1" x14ac:dyDescent="0.2">
      <c r="A190" s="203" t="str">
        <f>I171</f>
        <v>T09</v>
      </c>
      <c r="B190" s="551">
        <f>SUMIF($C$172:$C$182,A190,$D$172:$E$182)</f>
        <v>5800</v>
      </c>
      <c r="C190" s="551"/>
      <c r="D190" s="551">
        <f>F93+F45-B190</f>
        <v>9260</v>
      </c>
      <c r="E190" s="707"/>
      <c r="G190" s="564" t="s">
        <v>124</v>
      </c>
      <c r="H190" s="566" t="str">
        <f>B183</f>
        <v>FINA</v>
      </c>
      <c r="I190" s="566"/>
      <c r="J190" s="682">
        <f>SUMIF(H186:H189,H190,J186:K189)</f>
        <v>0</v>
      </c>
      <c r="K190" s="683"/>
      <c r="O190" s="185" t="str">
        <f>O168</f>
        <v>T06</v>
      </c>
      <c r="P190" s="202">
        <f t="shared" si="46"/>
        <v>36</v>
      </c>
      <c r="Q190" s="202">
        <f t="shared" si="46"/>
        <v>6</v>
      </c>
      <c r="R190" s="202">
        <f t="shared" si="46"/>
        <v>19</v>
      </c>
      <c r="S190" s="202">
        <f t="shared" si="46"/>
        <v>17</v>
      </c>
      <c r="T190" s="202">
        <f t="shared" si="46"/>
        <v>0</v>
      </c>
      <c r="U190" s="202">
        <f t="shared" si="46"/>
        <v>6</v>
      </c>
      <c r="V190" s="204">
        <f t="shared" si="46"/>
        <v>7</v>
      </c>
    </row>
    <row r="191" spans="1:22" ht="13.5" customHeight="1" thickBot="1" x14ac:dyDescent="0.25">
      <c r="A191" s="203" t="str">
        <f>I172</f>
        <v>T06</v>
      </c>
      <c r="B191" s="551">
        <f>SUMIF($C$172:$C$182,A191,$D$172:$E$182)</f>
        <v>400</v>
      </c>
      <c r="C191" s="551"/>
      <c r="D191" s="551">
        <f>F94+F46-B191</f>
        <v>-400</v>
      </c>
      <c r="E191" s="707"/>
      <c r="G191" s="565"/>
      <c r="H191" s="567" t="str">
        <f>B184</f>
        <v>KENT Bank</v>
      </c>
      <c r="I191" s="567"/>
      <c r="J191" s="684">
        <f>SUMIF(H186:H189,H191,J186:K189)</f>
        <v>0</v>
      </c>
      <c r="K191" s="685"/>
      <c r="O191" s="381">
        <f>O169</f>
        <v>0</v>
      </c>
      <c r="P191" s="206">
        <f>SUMIF($O$175:$O$186,$O191,P$175:P$186)</f>
        <v>0</v>
      </c>
      <c r="Q191" s="206">
        <f>SUMIF($O$175:$O$186,$O191,Q$175:Q$186)</f>
        <v>0</v>
      </c>
      <c r="R191" s="206">
        <f>SUMIF($O$175:$O$186,$O191,R$175:R$186)</f>
        <v>0</v>
      </c>
      <c r="S191" s="206">
        <f>SUMIF($O$175:$O$186,$O191,S$175:S$186)</f>
        <v>0</v>
      </c>
      <c r="T191" s="206">
        <f>SUMIF($O$153:$O$164,$O169,T$175:T$186)</f>
        <v>0</v>
      </c>
      <c r="U191" s="206">
        <f>SUMIF($O$153:$O$164,$O169,U$175:U$186)</f>
        <v>0</v>
      </c>
      <c r="V191" s="207">
        <f>SUMIF($O$153:$O$164,$O169,V$175:V$186)</f>
        <v>0</v>
      </c>
    </row>
    <row r="192" spans="1:22" ht="13.5" customHeight="1" thickBot="1" x14ac:dyDescent="0.25">
      <c r="A192" s="205">
        <f>I173</f>
        <v>0</v>
      </c>
      <c r="B192" s="560">
        <f>SUMIF($C$172:$C$182,A192,$D$172:$E$182)</f>
        <v>0</v>
      </c>
      <c r="C192" s="560"/>
      <c r="D192" s="560">
        <f>F95+F47-B192</f>
        <v>0</v>
      </c>
      <c r="E192" s="716"/>
      <c r="G192" s="561" t="s">
        <v>152</v>
      </c>
      <c r="H192" s="562"/>
      <c r="I192" s="562"/>
      <c r="J192" s="714">
        <f>SUM(J186:K189)</f>
        <v>0</v>
      </c>
      <c r="K192" s="715"/>
      <c r="M192" s="563" t="s">
        <v>131</v>
      </c>
      <c r="N192" s="563"/>
      <c r="O192" s="563"/>
    </row>
    <row r="193" spans="1:12" ht="13.5" customHeight="1" x14ac:dyDescent="0.2"/>
    <row r="194" spans="1:12" ht="13.5" customHeight="1" x14ac:dyDescent="0.2"/>
    <row r="195" spans="1:12" ht="21" customHeight="1" x14ac:dyDescent="0.2">
      <c r="A195" s="370" t="s">
        <v>180</v>
      </c>
      <c r="B195" s="370" t="str">
        <f>I170</f>
        <v>T11</v>
      </c>
      <c r="F195" s="370" t="s">
        <v>186</v>
      </c>
      <c r="G195" s="370">
        <f>J169</f>
        <v>1</v>
      </c>
      <c r="H195" s="370">
        <f>G195+1</f>
        <v>2</v>
      </c>
    </row>
    <row r="196" spans="1:12" ht="13.5" thickBot="1" x14ac:dyDescent="0.25"/>
    <row r="197" spans="1:12" ht="13.5" thickBot="1" x14ac:dyDescent="0.25">
      <c r="A197" s="486" t="s">
        <v>75</v>
      </c>
      <c r="B197" s="487"/>
      <c r="C197" s="487"/>
      <c r="D197" s="487"/>
      <c r="E197" s="487"/>
      <c r="F197" s="487"/>
      <c r="G197" s="487"/>
      <c r="H197" s="487"/>
      <c r="I197" s="487"/>
      <c r="J197" s="487"/>
      <c r="K197" s="487"/>
      <c r="L197" s="488"/>
    </row>
    <row r="198" spans="1:12" ht="13.5" thickBot="1" x14ac:dyDescent="0.25">
      <c r="A198" s="489" t="s">
        <v>59</v>
      </c>
      <c r="B198" s="490"/>
      <c r="C198" s="491" t="s">
        <v>66</v>
      </c>
      <c r="D198" s="571"/>
      <c r="E198" s="492"/>
      <c r="F198" s="371" t="s">
        <v>41</v>
      </c>
      <c r="G198" s="371" t="s">
        <v>62</v>
      </c>
      <c r="H198" s="200" t="str">
        <f>I181</f>
        <v>Nož</v>
      </c>
      <c r="I198" s="200" t="str">
        <f>I182</f>
        <v>Q10</v>
      </c>
      <c r="J198" s="200" t="str">
        <f>I183</f>
        <v>Bubrežnjak</v>
      </c>
      <c r="K198" s="200" t="str">
        <f>I184</f>
        <v>Kosmo</v>
      </c>
      <c r="L198" s="338" t="s">
        <v>191</v>
      </c>
    </row>
    <row r="199" spans="1:12" x14ac:dyDescent="0.2">
      <c r="A199" s="712">
        <v>44228</v>
      </c>
      <c r="B199" s="713"/>
      <c r="C199" s="572" t="s">
        <v>125</v>
      </c>
      <c r="D199" s="573"/>
      <c r="E199" s="574"/>
      <c r="F199" s="329">
        <v>6</v>
      </c>
      <c r="G199" s="329">
        <v>6</v>
      </c>
      <c r="H199" s="329">
        <v>7</v>
      </c>
      <c r="I199" s="329">
        <v>111</v>
      </c>
      <c r="J199" s="329">
        <v>23</v>
      </c>
      <c r="K199" s="329">
        <v>56</v>
      </c>
      <c r="L199" s="330">
        <v>100</v>
      </c>
    </row>
    <row r="200" spans="1:12" x14ac:dyDescent="0.2">
      <c r="A200" s="738">
        <v>44228</v>
      </c>
      <c r="B200" s="739"/>
      <c r="C200" s="577" t="s">
        <v>68</v>
      </c>
      <c r="D200" s="578"/>
      <c r="E200" s="579"/>
      <c r="F200" s="256">
        <v>15</v>
      </c>
      <c r="G200" s="256">
        <v>15</v>
      </c>
      <c r="H200" s="256">
        <v>16</v>
      </c>
      <c r="I200" s="256">
        <v>180</v>
      </c>
      <c r="J200" s="256"/>
      <c r="K200" s="256"/>
      <c r="L200" s="333"/>
    </row>
    <row r="201" spans="1:12" x14ac:dyDescent="0.2">
      <c r="A201" s="575">
        <v>44257</v>
      </c>
      <c r="B201" s="576"/>
      <c r="C201" s="457" t="s">
        <v>169</v>
      </c>
      <c r="D201" s="458"/>
      <c r="E201" s="459"/>
      <c r="F201" s="174"/>
      <c r="G201" s="174"/>
      <c r="H201" s="174"/>
      <c r="I201" s="174"/>
      <c r="J201" s="174">
        <v>70</v>
      </c>
      <c r="K201" s="174">
        <v>30</v>
      </c>
      <c r="L201" s="339">
        <v>24</v>
      </c>
    </row>
    <row r="202" spans="1:12" x14ac:dyDescent="0.2">
      <c r="A202" s="575"/>
      <c r="B202" s="576"/>
      <c r="C202" s="457" t="s">
        <v>208</v>
      </c>
      <c r="D202" s="458"/>
      <c r="E202" s="459"/>
      <c r="F202" s="174"/>
      <c r="G202" s="174"/>
      <c r="H202" s="174"/>
      <c r="I202" s="174"/>
      <c r="J202" s="174"/>
      <c r="K202" s="174"/>
      <c r="L202" s="339"/>
    </row>
    <row r="203" spans="1:12" ht="13.5" customHeight="1" x14ac:dyDescent="0.2">
      <c r="A203" s="575"/>
      <c r="B203" s="576"/>
      <c r="C203" s="570"/>
      <c r="D203" s="568"/>
      <c r="E203" s="569"/>
      <c r="F203" s="174"/>
      <c r="G203" s="174"/>
      <c r="H203" s="174"/>
      <c r="I203" s="174"/>
      <c r="J203" s="174"/>
      <c r="K203" s="174"/>
      <c r="L203" s="339"/>
    </row>
    <row r="204" spans="1:12" x14ac:dyDescent="0.2">
      <c r="A204" s="575"/>
      <c r="B204" s="576"/>
      <c r="C204" s="570"/>
      <c r="D204" s="568"/>
      <c r="E204" s="569"/>
      <c r="F204" s="174"/>
      <c r="G204" s="174"/>
      <c r="H204" s="174"/>
      <c r="I204" s="174"/>
      <c r="J204" s="174"/>
      <c r="K204" s="174"/>
      <c r="L204" s="339"/>
    </row>
    <row r="205" spans="1:12" x14ac:dyDescent="0.2">
      <c r="A205" s="575"/>
      <c r="B205" s="576"/>
      <c r="C205" s="570"/>
      <c r="D205" s="568"/>
      <c r="E205" s="569"/>
      <c r="F205" s="174"/>
      <c r="G205" s="174"/>
      <c r="H205" s="174"/>
      <c r="I205" s="174"/>
      <c r="J205" s="174"/>
      <c r="K205" s="174"/>
      <c r="L205" s="339"/>
    </row>
    <row r="206" spans="1:12" ht="16.5" customHeight="1" x14ac:dyDescent="0.2">
      <c r="A206" s="575"/>
      <c r="B206" s="576"/>
      <c r="C206" s="457"/>
      <c r="D206" s="458"/>
      <c r="E206" s="459"/>
      <c r="F206" s="174"/>
      <c r="G206" s="174"/>
      <c r="H206" s="174"/>
      <c r="I206" s="174"/>
      <c r="J206" s="174"/>
      <c r="K206" s="174"/>
      <c r="L206" s="339"/>
    </row>
    <row r="207" spans="1:12" ht="12.75" customHeight="1" thickBot="1" x14ac:dyDescent="0.25">
      <c r="A207" s="676" t="s">
        <v>69</v>
      </c>
      <c r="B207" s="677"/>
      <c r="C207" s="677"/>
      <c r="D207" s="677"/>
      <c r="E207" s="542"/>
      <c r="F207" s="388">
        <f>SUM(F199:F206)</f>
        <v>21</v>
      </c>
      <c r="G207" s="388">
        <f>SUM(G199:G206)</f>
        <v>21</v>
      </c>
      <c r="H207" s="388">
        <f>SUM(H199:H206)</f>
        <v>23</v>
      </c>
      <c r="I207" s="388">
        <f>SUM(I199:I206)</f>
        <v>291</v>
      </c>
      <c r="J207" s="388">
        <f t="shared" ref="J207:K207" si="47">SUM(J199:J206)</f>
        <v>93</v>
      </c>
      <c r="K207" s="388">
        <f t="shared" si="47"/>
        <v>86</v>
      </c>
      <c r="L207" s="389">
        <f>SUM(L199:L206)</f>
        <v>124</v>
      </c>
    </row>
    <row r="208" spans="1:12" ht="12.75" customHeight="1" x14ac:dyDescent="0.2">
      <c r="A208" s="740" t="str">
        <f>B149</f>
        <v>MEDEM d.o.o.</v>
      </c>
      <c r="B208" s="741"/>
      <c r="C208" s="741"/>
      <c r="D208" s="741"/>
      <c r="E208" s="741"/>
      <c r="F208" s="741"/>
      <c r="G208" s="741"/>
      <c r="H208" s="741"/>
      <c r="I208" s="741"/>
      <c r="J208" s="741"/>
      <c r="K208" s="741"/>
      <c r="L208" s="742"/>
    </row>
    <row r="209" spans="1:12" x14ac:dyDescent="0.2">
      <c r="A209" s="358" t="s">
        <v>151</v>
      </c>
      <c r="B209" s="394" t="s">
        <v>146</v>
      </c>
      <c r="C209" s="394" t="s">
        <v>147</v>
      </c>
      <c r="D209" s="678" t="s">
        <v>151</v>
      </c>
      <c r="E209" s="679"/>
      <c r="F209" s="678" t="s">
        <v>168</v>
      </c>
      <c r="G209" s="680"/>
      <c r="H209" s="680"/>
      <c r="I209" s="680"/>
      <c r="J209" s="680"/>
      <c r="K209" s="680"/>
      <c r="L209" s="681"/>
    </row>
    <row r="210" spans="1:12" x14ac:dyDescent="0.2">
      <c r="A210" s="358">
        <f>G195</f>
        <v>1</v>
      </c>
      <c r="B210" s="395">
        <f>B154</f>
        <v>23770</v>
      </c>
      <c r="C210" s="395">
        <f t="shared" ref="C210:D211" si="48">C154</f>
        <v>18710</v>
      </c>
      <c r="D210" s="591" t="str">
        <f t="shared" si="48"/>
        <v>Dugi tjedan</v>
      </c>
      <c r="E210" s="592"/>
      <c r="F210" s="394">
        <f>E154</f>
        <v>10</v>
      </c>
      <c r="G210" s="394">
        <f t="shared" ref="G210:L211" si="49">F154</f>
        <v>10</v>
      </c>
      <c r="H210" s="394">
        <f t="shared" si="49"/>
        <v>11</v>
      </c>
      <c r="I210" s="394">
        <f t="shared" si="49"/>
        <v>0</v>
      </c>
      <c r="J210" s="394">
        <f t="shared" si="49"/>
        <v>14</v>
      </c>
      <c r="K210" s="394">
        <f t="shared" si="49"/>
        <v>15</v>
      </c>
      <c r="L210" s="396">
        <f t="shared" si="49"/>
        <v>30</v>
      </c>
    </row>
    <row r="211" spans="1:12" ht="13.5" thickBot="1" x14ac:dyDescent="0.25">
      <c r="A211" s="397">
        <f>H195</f>
        <v>2</v>
      </c>
      <c r="B211" s="398">
        <f>B155</f>
        <v>5870</v>
      </c>
      <c r="C211" s="398">
        <f t="shared" si="48"/>
        <v>4050</v>
      </c>
      <c r="D211" s="593" t="str">
        <f t="shared" si="48"/>
        <v>Kratki tjedan</v>
      </c>
      <c r="E211" s="594"/>
      <c r="F211" s="399">
        <f>E155</f>
        <v>4</v>
      </c>
      <c r="G211" s="399">
        <f t="shared" si="49"/>
        <v>5</v>
      </c>
      <c r="H211" s="399">
        <f t="shared" si="49"/>
        <v>2</v>
      </c>
      <c r="I211" s="399">
        <f t="shared" si="49"/>
        <v>207</v>
      </c>
      <c r="J211" s="399">
        <f t="shared" si="49"/>
        <v>0</v>
      </c>
      <c r="K211" s="399">
        <f t="shared" si="49"/>
        <v>26</v>
      </c>
      <c r="L211" s="400">
        <f t="shared" si="49"/>
        <v>21</v>
      </c>
    </row>
    <row r="212" spans="1:12" ht="14.25" thickTop="1" thickBot="1" x14ac:dyDescent="0.25">
      <c r="A212" s="408" t="s">
        <v>211</v>
      </c>
      <c r="B212" s="409">
        <f>B211+B210</f>
        <v>29640</v>
      </c>
      <c r="C212" s="409">
        <f>C211+C210</f>
        <v>22760</v>
      </c>
      <c r="D212" s="583" t="str">
        <f>A212</f>
        <v>UKUPNO VG:</v>
      </c>
      <c r="E212" s="584"/>
      <c r="F212" s="410">
        <f>F210+F211</f>
        <v>14</v>
      </c>
      <c r="G212" s="410">
        <f>G210+G211</f>
        <v>15</v>
      </c>
      <c r="H212" s="410">
        <f>H210+H211</f>
        <v>13</v>
      </c>
      <c r="I212" s="410">
        <f t="shared" ref="I212:L212" si="50">I210+I211</f>
        <v>207</v>
      </c>
      <c r="J212" s="410">
        <f t="shared" si="50"/>
        <v>14</v>
      </c>
      <c r="K212" s="410">
        <f t="shared" si="50"/>
        <v>41</v>
      </c>
      <c r="L212" s="410">
        <f t="shared" si="50"/>
        <v>51</v>
      </c>
    </row>
    <row r="213" spans="1:12" ht="12.75" customHeight="1" x14ac:dyDescent="0.2">
      <c r="A213" s="743" t="str">
        <f>B100</f>
        <v>Home plus d.o.o.</v>
      </c>
      <c r="B213" s="744"/>
      <c r="C213" s="744"/>
      <c r="D213" s="744"/>
      <c r="E213" s="744"/>
      <c r="F213" s="744"/>
      <c r="G213" s="744"/>
      <c r="H213" s="744"/>
      <c r="I213" s="744"/>
      <c r="J213" s="744"/>
      <c r="K213" s="744"/>
      <c r="L213" s="745"/>
    </row>
    <row r="214" spans="1:12" ht="12.75" customHeight="1" x14ac:dyDescent="0.2">
      <c r="A214" s="401">
        <f>A210</f>
        <v>1</v>
      </c>
      <c r="B214" s="402">
        <f>E120</f>
        <v>3360</v>
      </c>
      <c r="C214" s="402">
        <f t="shared" ref="C214:L214" si="51">F120</f>
        <v>1426</v>
      </c>
      <c r="D214" s="585" t="str">
        <f>D210</f>
        <v>Dugi tjedan</v>
      </c>
      <c r="E214" s="586"/>
      <c r="F214" s="403">
        <f>T120</f>
        <v>2</v>
      </c>
      <c r="G214" s="403">
        <f>U120</f>
        <v>3</v>
      </c>
      <c r="H214" s="403">
        <f>V120</f>
        <v>1</v>
      </c>
      <c r="I214" s="404">
        <f t="shared" si="51"/>
        <v>0</v>
      </c>
      <c r="J214" s="404">
        <f t="shared" si="51"/>
        <v>0</v>
      </c>
      <c r="K214" s="404">
        <f t="shared" si="51"/>
        <v>0</v>
      </c>
      <c r="L214" s="404">
        <f t="shared" si="51"/>
        <v>0</v>
      </c>
    </row>
    <row r="215" spans="1:12" ht="13.5" thickBot="1" x14ac:dyDescent="0.25">
      <c r="A215" s="401">
        <f>A211</f>
        <v>2</v>
      </c>
      <c r="B215" s="405">
        <f>E143</f>
        <v>2340</v>
      </c>
      <c r="C215" s="405">
        <f t="shared" ref="C215:L215" si="52">F143</f>
        <v>560</v>
      </c>
      <c r="D215" s="587" t="str">
        <f>D211</f>
        <v>Kratki tjedan</v>
      </c>
      <c r="E215" s="588"/>
      <c r="F215" s="406">
        <f>T143</f>
        <v>2</v>
      </c>
      <c r="G215" s="406">
        <f>U143</f>
        <v>0</v>
      </c>
      <c r="H215" s="406">
        <f>V143</f>
        <v>1</v>
      </c>
      <c r="I215" s="407">
        <f t="shared" si="52"/>
        <v>0</v>
      </c>
      <c r="J215" s="407">
        <f t="shared" si="52"/>
        <v>0</v>
      </c>
      <c r="K215" s="407">
        <f t="shared" si="52"/>
        <v>0</v>
      </c>
      <c r="L215" s="407">
        <f t="shared" si="52"/>
        <v>0</v>
      </c>
    </row>
    <row r="216" spans="1:12" ht="14.25" thickTop="1" thickBot="1" x14ac:dyDescent="0.25">
      <c r="A216" s="411" t="s">
        <v>212</v>
      </c>
      <c r="B216" s="412">
        <f>B215+B214</f>
        <v>5700</v>
      </c>
      <c r="C216" s="412">
        <f>C215+C214</f>
        <v>1986</v>
      </c>
      <c r="D216" s="589" t="s">
        <v>214</v>
      </c>
      <c r="E216" s="590"/>
      <c r="F216" s="413">
        <f>F214+F215</f>
        <v>4</v>
      </c>
      <c r="G216" s="413">
        <f t="shared" ref="G216:L216" si="53">G214+G215</f>
        <v>3</v>
      </c>
      <c r="H216" s="413">
        <f t="shared" si="53"/>
        <v>2</v>
      </c>
      <c r="I216" s="413">
        <f t="shared" si="53"/>
        <v>0</v>
      </c>
      <c r="J216" s="413">
        <f t="shared" si="53"/>
        <v>0</v>
      </c>
      <c r="K216" s="413">
        <f t="shared" si="53"/>
        <v>0</v>
      </c>
      <c r="L216" s="413">
        <f t="shared" si="53"/>
        <v>0</v>
      </c>
    </row>
    <row r="217" spans="1:12" ht="13.5" thickBot="1" x14ac:dyDescent="0.25">
      <c r="A217" s="390"/>
      <c r="B217" s="391">
        <f>B155+B154</f>
        <v>29640</v>
      </c>
      <c r="C217" s="392">
        <f>F91+F43</f>
        <v>22760</v>
      </c>
      <c r="D217" s="736" t="s">
        <v>213</v>
      </c>
      <c r="E217" s="737"/>
      <c r="F217" s="393">
        <f>F216+F212</f>
        <v>18</v>
      </c>
      <c r="G217" s="393">
        <f t="shared" ref="G217:L217" si="54">G216+G212</f>
        <v>18</v>
      </c>
      <c r="H217" s="393">
        <f>H216+H212</f>
        <v>15</v>
      </c>
      <c r="I217" s="393">
        <f t="shared" si="54"/>
        <v>207</v>
      </c>
      <c r="J217" s="393">
        <f t="shared" si="54"/>
        <v>14</v>
      </c>
      <c r="K217" s="393">
        <f t="shared" si="54"/>
        <v>41</v>
      </c>
      <c r="L217" s="393">
        <f t="shared" si="54"/>
        <v>51</v>
      </c>
    </row>
    <row r="218" spans="1:12" x14ac:dyDescent="0.2">
      <c r="A218" s="375" t="str">
        <f>I170</f>
        <v>T11</v>
      </c>
      <c r="B218" s="327">
        <f>E92+E44</f>
        <v>12860</v>
      </c>
      <c r="C218" s="327">
        <f>F92+F44</f>
        <v>7700</v>
      </c>
      <c r="D218" s="337" t="s">
        <v>148</v>
      </c>
      <c r="E218" s="337" t="str">
        <f>A218</f>
        <v>T11</v>
      </c>
      <c r="F218" s="310">
        <v>2</v>
      </c>
      <c r="G218" s="310">
        <v>2</v>
      </c>
      <c r="H218" s="310">
        <v>2</v>
      </c>
      <c r="I218" s="337">
        <f>(S166+S188)*$J$182</f>
        <v>75</v>
      </c>
      <c r="J218" s="337">
        <f>(T166+T188)*$J$183</f>
        <v>9</v>
      </c>
      <c r="K218" s="337">
        <f>(U166+U188)*$J$184</f>
        <v>20</v>
      </c>
      <c r="L218" s="387">
        <f>V166+V188</f>
        <v>21</v>
      </c>
    </row>
    <row r="219" spans="1:12" x14ac:dyDescent="0.2">
      <c r="A219" s="340" t="str">
        <f>I171</f>
        <v>T09</v>
      </c>
      <c r="B219" s="348">
        <f>E93+E45</f>
        <v>16780</v>
      </c>
      <c r="C219" s="348">
        <f>F93+F45</f>
        <v>15060</v>
      </c>
      <c r="D219" s="189" t="s">
        <v>148</v>
      </c>
      <c r="E219" s="202" t="str">
        <f>A219</f>
        <v>T09</v>
      </c>
      <c r="F219" s="174"/>
      <c r="G219" s="174"/>
      <c r="H219" s="174"/>
      <c r="I219" s="189">
        <f t="shared" ref="I219:I221" si="55">(S167+S189)*$J$182</f>
        <v>81</v>
      </c>
      <c r="J219" s="189">
        <f>(T167+T189)*$J$183</f>
        <v>5</v>
      </c>
      <c r="K219" s="189">
        <f>(U167+U189)*$J$184</f>
        <v>15</v>
      </c>
      <c r="L219" s="341">
        <f>V167+V189</f>
        <v>23</v>
      </c>
    </row>
    <row r="220" spans="1:12" x14ac:dyDescent="0.2">
      <c r="A220" s="340" t="str">
        <f>I172</f>
        <v>T06</v>
      </c>
      <c r="B220" s="348">
        <f>E94+E46</f>
        <v>0</v>
      </c>
      <c r="C220" s="348">
        <f>F94+F46</f>
        <v>0</v>
      </c>
      <c r="D220" s="189" t="s">
        <v>148</v>
      </c>
      <c r="E220" s="202" t="str">
        <f>A220</f>
        <v>T06</v>
      </c>
      <c r="F220" s="174"/>
      <c r="G220" s="174"/>
      <c r="H220" s="174"/>
      <c r="I220" s="189">
        <f t="shared" si="55"/>
        <v>51</v>
      </c>
      <c r="J220" s="189">
        <f>(T168+T190)*$J$183</f>
        <v>0</v>
      </c>
      <c r="K220" s="189">
        <f>(U168+U190)*$J$184</f>
        <v>6</v>
      </c>
      <c r="L220" s="341">
        <f>V168+V190</f>
        <v>7</v>
      </c>
    </row>
    <row r="221" spans="1:12" ht="12.75" customHeight="1" thickBot="1" x14ac:dyDescent="0.25">
      <c r="A221" s="342">
        <f>I173</f>
        <v>0</v>
      </c>
      <c r="B221" s="244">
        <f>E95+E47</f>
        <v>0</v>
      </c>
      <c r="C221" s="244">
        <f>F95+F47</f>
        <v>0</v>
      </c>
      <c r="D221" s="328" t="s">
        <v>148</v>
      </c>
      <c r="E221" s="206">
        <f>A221</f>
        <v>0</v>
      </c>
      <c r="F221" s="184"/>
      <c r="G221" s="184"/>
      <c r="H221" s="184"/>
      <c r="I221" s="328">
        <f t="shared" si="55"/>
        <v>0</v>
      </c>
      <c r="J221" s="328">
        <f>(T169+T191)*$J$183</f>
        <v>0</v>
      </c>
      <c r="K221" s="328">
        <f>(U169+U191)*$J$184</f>
        <v>0</v>
      </c>
      <c r="L221" s="192">
        <f>V169+V191</f>
        <v>0</v>
      </c>
    </row>
    <row r="222" spans="1:12" ht="13.5" thickBot="1" x14ac:dyDescent="0.25">
      <c r="A222" s="580" t="s">
        <v>77</v>
      </c>
      <c r="B222" s="581"/>
      <c r="C222" s="581"/>
      <c r="D222" s="581"/>
      <c r="E222" s="582"/>
      <c r="F222" s="201">
        <f>F207-F217-SUM(F218:F221)</f>
        <v>1</v>
      </c>
      <c r="G222" s="201">
        <f t="shared" ref="G222:L222" si="56">G207-G217-SUM(G218:G221)</f>
        <v>1</v>
      </c>
      <c r="H222" s="201">
        <f t="shared" si="56"/>
        <v>6</v>
      </c>
      <c r="I222" s="201">
        <f t="shared" si="56"/>
        <v>-123</v>
      </c>
      <c r="J222" s="201">
        <f t="shared" si="56"/>
        <v>65</v>
      </c>
      <c r="K222" s="201">
        <f t="shared" si="56"/>
        <v>4</v>
      </c>
      <c r="L222" s="201">
        <f t="shared" si="56"/>
        <v>22</v>
      </c>
    </row>
    <row r="223" spans="1:12" x14ac:dyDescent="0.2">
      <c r="B223" s="178"/>
    </row>
    <row r="224" spans="1:12" x14ac:dyDescent="0.2">
      <c r="B224" s="178"/>
    </row>
  </sheetData>
  <dataConsolidate/>
  <mergeCells count="263"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</mergeCells>
  <dataValidations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82" workbookViewId="0">
      <selection activeCell="A27" sqref="A27"/>
    </sheetView>
  </sheetViews>
  <sheetFormatPr defaultRowHeight="12.75" x14ac:dyDescent="0.2"/>
  <cols>
    <col min="1" max="1" width="8.5703125" customWidth="1"/>
    <col min="2" max="2" width="18.85546875" customWidth="1"/>
    <col min="3" max="3" width="12.5703125" customWidth="1"/>
    <col min="4" max="4" width="11.5703125" customWidth="1"/>
    <col min="5" max="5" width="15" customWidth="1"/>
    <col min="6" max="6" width="11.85546875" customWidth="1"/>
    <col min="7" max="7" width="10.140625" customWidth="1"/>
    <col min="8" max="8" width="11.7109375" customWidth="1"/>
    <col min="9" max="9" width="11" customWidth="1"/>
    <col min="10" max="12" width="10.85546875" customWidth="1"/>
  </cols>
  <sheetData>
    <row r="1" spans="1:6" x14ac:dyDescent="0.2">
      <c r="A1" s="447"/>
    </row>
    <row r="2" spans="1:6" x14ac:dyDescent="0.2">
      <c r="A2" s="447"/>
    </row>
    <row r="3" spans="1:6" x14ac:dyDescent="0.2">
      <c r="A3" s="447" t="s">
        <v>282</v>
      </c>
    </row>
    <row r="4" spans="1:6" x14ac:dyDescent="0.2">
      <c r="A4" s="1342"/>
    </row>
    <row r="5" spans="1:6" ht="13.5" thickBot="1" x14ac:dyDescent="0.25">
      <c r="A5" s="1341" t="s">
        <v>304</v>
      </c>
    </row>
    <row r="6" spans="1:6" ht="39" thickBot="1" x14ac:dyDescent="0.25">
      <c r="A6" s="1308" t="s">
        <v>281</v>
      </c>
      <c r="B6" s="1316" t="s">
        <v>258</v>
      </c>
      <c r="C6" s="1317"/>
      <c r="D6" s="1317"/>
      <c r="E6" s="1318"/>
      <c r="F6" s="1309" t="s">
        <v>283</v>
      </c>
    </row>
    <row r="7" spans="1:6" x14ac:dyDescent="0.2">
      <c r="A7" s="1310">
        <v>32</v>
      </c>
      <c r="B7" s="1320" t="s">
        <v>262</v>
      </c>
      <c r="C7" s="1321" t="s">
        <v>312</v>
      </c>
      <c r="D7" s="1322"/>
      <c r="E7" s="1323"/>
      <c r="F7" s="1313">
        <f>F15+F17+F19</f>
        <v>5050</v>
      </c>
    </row>
    <row r="8" spans="1:6" x14ac:dyDescent="0.2">
      <c r="A8" s="1311">
        <v>33</v>
      </c>
      <c r="B8" s="1324" t="s">
        <v>309</v>
      </c>
      <c r="C8" s="1319" t="s">
        <v>311</v>
      </c>
      <c r="D8" s="1319"/>
      <c r="E8" s="1325"/>
      <c r="F8" s="1314">
        <f>F7</f>
        <v>5050</v>
      </c>
    </row>
    <row r="9" spans="1:6" x14ac:dyDescent="0.2">
      <c r="A9" s="1311">
        <v>34</v>
      </c>
      <c r="B9" s="1326" t="s">
        <v>263</v>
      </c>
      <c r="C9" s="1319" t="s">
        <v>310</v>
      </c>
      <c r="D9" s="1319"/>
      <c r="E9" s="1325"/>
      <c r="F9" s="1314">
        <f>F15+F17</f>
        <v>4650</v>
      </c>
    </row>
    <row r="10" spans="1:6" x14ac:dyDescent="0.2">
      <c r="A10" s="1311">
        <v>35</v>
      </c>
      <c r="B10" s="1326" t="s">
        <v>264</v>
      </c>
      <c r="C10" s="1319" t="s">
        <v>313</v>
      </c>
      <c r="D10" s="1319"/>
      <c r="E10" s="1325"/>
      <c r="F10" s="1314">
        <f>F9</f>
        <v>4650</v>
      </c>
    </row>
    <row r="11" spans="1:6" x14ac:dyDescent="0.2">
      <c r="A11" s="1311">
        <v>36</v>
      </c>
      <c r="B11" s="1326" t="s">
        <v>265</v>
      </c>
      <c r="C11" s="1319" t="s">
        <v>314</v>
      </c>
      <c r="D11" s="1319"/>
      <c r="E11" s="1325"/>
      <c r="F11" s="1314">
        <f>F15+F19</f>
        <v>3800</v>
      </c>
    </row>
    <row r="12" spans="1:6" x14ac:dyDescent="0.2">
      <c r="A12" s="1311">
        <v>37</v>
      </c>
      <c r="B12" s="1326" t="s">
        <v>267</v>
      </c>
      <c r="C12" s="1319" t="s">
        <v>315</v>
      </c>
      <c r="D12" s="1319"/>
      <c r="E12" s="1325"/>
      <c r="F12" s="1314">
        <f>F11</f>
        <v>3800</v>
      </c>
    </row>
    <row r="13" spans="1:6" x14ac:dyDescent="0.2">
      <c r="A13" s="1311">
        <v>38</v>
      </c>
      <c r="B13" s="1326" t="s">
        <v>266</v>
      </c>
      <c r="C13" s="1319" t="s">
        <v>316</v>
      </c>
      <c r="D13" s="1319"/>
      <c r="E13" s="1325"/>
      <c r="F13" s="1314">
        <f>F17+F19</f>
        <v>1650</v>
      </c>
    </row>
    <row r="14" spans="1:6" x14ac:dyDescent="0.2">
      <c r="A14" s="1311">
        <v>39</v>
      </c>
      <c r="B14" s="1326" t="s">
        <v>268</v>
      </c>
      <c r="C14" s="1319" t="s">
        <v>317</v>
      </c>
      <c r="D14" s="1319"/>
      <c r="E14" s="1325"/>
      <c r="F14" s="1314">
        <f>F13</f>
        <v>1650</v>
      </c>
    </row>
    <row r="15" spans="1:6" x14ac:dyDescent="0.2">
      <c r="A15" s="1311">
        <v>40</v>
      </c>
      <c r="B15" s="1326" t="s">
        <v>41</v>
      </c>
      <c r="C15" s="1332" t="s">
        <v>318</v>
      </c>
      <c r="D15" s="1328"/>
      <c r="E15" s="1329"/>
      <c r="F15" s="1314">
        <v>3400</v>
      </c>
    </row>
    <row r="16" spans="1:6" x14ac:dyDescent="0.2">
      <c r="A16" s="1311">
        <v>41</v>
      </c>
      <c r="B16" s="1326" t="s">
        <v>269</v>
      </c>
      <c r="C16" s="1332" t="s">
        <v>319</v>
      </c>
      <c r="D16" s="1328"/>
      <c r="E16" s="1329"/>
      <c r="F16" s="1314">
        <f>F15</f>
        <v>3400</v>
      </c>
    </row>
    <row r="17" spans="1:6" x14ac:dyDescent="0.2">
      <c r="A17" s="1311">
        <v>42</v>
      </c>
      <c r="B17" s="1326" t="s">
        <v>62</v>
      </c>
      <c r="C17" s="1332" t="s">
        <v>320</v>
      </c>
      <c r="D17" s="1328"/>
      <c r="E17" s="1329"/>
      <c r="F17" s="1314">
        <v>1250</v>
      </c>
    </row>
    <row r="18" spans="1:6" x14ac:dyDescent="0.2">
      <c r="A18" s="1311">
        <v>43</v>
      </c>
      <c r="B18" s="1326" t="s">
        <v>270</v>
      </c>
      <c r="C18" s="1332" t="s">
        <v>321</v>
      </c>
      <c r="D18" s="1328"/>
      <c r="E18" s="1329"/>
      <c r="F18" s="1314">
        <f>F17</f>
        <v>1250</v>
      </c>
    </row>
    <row r="19" spans="1:6" x14ac:dyDescent="0.2">
      <c r="A19" s="1311">
        <v>44</v>
      </c>
      <c r="B19" s="1326" t="s">
        <v>252</v>
      </c>
      <c r="C19" s="1332" t="s">
        <v>322</v>
      </c>
      <c r="D19" s="1328"/>
      <c r="E19" s="1329"/>
      <c r="F19" s="1314">
        <v>400</v>
      </c>
    </row>
    <row r="20" spans="1:6" x14ac:dyDescent="0.2">
      <c r="A20" s="1311">
        <v>45</v>
      </c>
      <c r="B20" s="1326" t="s">
        <v>271</v>
      </c>
      <c r="C20" s="1332" t="s">
        <v>323</v>
      </c>
      <c r="D20" s="1328"/>
      <c r="E20" s="1329"/>
      <c r="F20" s="1314">
        <f>F19</f>
        <v>400</v>
      </c>
    </row>
    <row r="21" spans="1:6" x14ac:dyDescent="0.2">
      <c r="A21" s="1311">
        <v>46</v>
      </c>
      <c r="B21" s="1326" t="s">
        <v>272</v>
      </c>
      <c r="C21" s="1332" t="s">
        <v>324</v>
      </c>
      <c r="D21" s="1328"/>
      <c r="E21" s="1329"/>
      <c r="F21" s="1314">
        <f>F19*2</f>
        <v>800</v>
      </c>
    </row>
    <row r="22" spans="1:6" ht="13.5" thickBot="1" x14ac:dyDescent="0.25">
      <c r="A22" s="1312">
        <v>47</v>
      </c>
      <c r="B22" s="1327" t="s">
        <v>273</v>
      </c>
      <c r="C22" s="1333" t="s">
        <v>325</v>
      </c>
      <c r="D22" s="1330"/>
      <c r="E22" s="1331"/>
      <c r="F22" s="1315">
        <f>F21</f>
        <v>800</v>
      </c>
    </row>
    <row r="39" spans="1:10" ht="13.5" thickBot="1" x14ac:dyDescent="0.25">
      <c r="B39" t="str">
        <f>A5</f>
        <v>Cjenik od 1.7.2026</v>
      </c>
      <c r="I39" s="1306" t="s">
        <v>326</v>
      </c>
    </row>
    <row r="40" spans="1:10" ht="39" thickBot="1" x14ac:dyDescent="0.25">
      <c r="A40" s="751" t="s">
        <v>308</v>
      </c>
      <c r="B40" s="1343" t="s">
        <v>258</v>
      </c>
      <c r="C40" s="433" t="str">
        <f>C77</f>
        <v>prodajna cijena</v>
      </c>
      <c r="D40" s="431" t="str">
        <f>F77</f>
        <v>popust</v>
      </c>
      <c r="E40" s="451" t="s">
        <v>288</v>
      </c>
      <c r="F40" s="432" t="str">
        <f>I77</f>
        <v>maloprodajna cijena</v>
      </c>
      <c r="G40" s="417"/>
      <c r="H40" s="1334" t="s">
        <v>279</v>
      </c>
      <c r="I40" s="431" t="s">
        <v>285</v>
      </c>
      <c r="J40" s="1335" t="s">
        <v>280</v>
      </c>
    </row>
    <row r="41" spans="1:10" x14ac:dyDescent="0.2">
      <c r="A41" s="445">
        <v>32</v>
      </c>
      <c r="B41" s="1344" t="str">
        <f>B7</f>
        <v>LMS+TO+IP</v>
      </c>
      <c r="C41" s="434">
        <f>C49+C51+C53</f>
        <v>5050</v>
      </c>
      <c r="D41" s="435">
        <f t="shared" ref="D41:D56" si="0">C41-F41</f>
        <v>2851</v>
      </c>
      <c r="E41" s="452">
        <f>D41/1.25</f>
        <v>2280.8000000000002</v>
      </c>
      <c r="F41" s="436">
        <v>2199</v>
      </c>
      <c r="H41" s="1336">
        <v>1099.5</v>
      </c>
      <c r="I41" s="435">
        <f>F41-H41</f>
        <v>1099.5</v>
      </c>
      <c r="J41" s="436">
        <f>I41/6</f>
        <v>183.25</v>
      </c>
    </row>
    <row r="42" spans="1:10" x14ac:dyDescent="0.2">
      <c r="A42" s="445">
        <v>33</v>
      </c>
      <c r="B42" s="1345" t="str">
        <f t="shared" ref="B42:B56" si="1">B8</f>
        <v xml:space="preserve">LMS+TO+IP gotovina </v>
      </c>
      <c r="C42" s="434">
        <f>C41</f>
        <v>5050</v>
      </c>
      <c r="D42" s="435">
        <f t="shared" si="0"/>
        <v>3051</v>
      </c>
      <c r="E42" s="452">
        <f t="shared" ref="E42:E56" si="2">D42/1.25</f>
        <v>2440.8000000000002</v>
      </c>
      <c r="F42" s="436">
        <v>1999</v>
      </c>
      <c r="H42" s="1336"/>
      <c r="I42" s="440"/>
      <c r="J42" s="1337"/>
    </row>
    <row r="43" spans="1:10" x14ac:dyDescent="0.2">
      <c r="A43" s="445">
        <v>34</v>
      </c>
      <c r="B43" s="1345" t="str">
        <f t="shared" si="1"/>
        <v>LMS+TO</v>
      </c>
      <c r="C43" s="434">
        <f>C49+C51</f>
        <v>4650</v>
      </c>
      <c r="D43" s="435">
        <f t="shared" si="0"/>
        <v>2651</v>
      </c>
      <c r="E43" s="452">
        <f t="shared" si="2"/>
        <v>2120.8000000000002</v>
      </c>
      <c r="F43" s="436">
        <v>1999</v>
      </c>
      <c r="H43" s="1336">
        <v>1000</v>
      </c>
      <c r="I43" s="435">
        <f>F43-H43</f>
        <v>999</v>
      </c>
      <c r="J43" s="436">
        <f>I43/6</f>
        <v>166.5</v>
      </c>
    </row>
    <row r="44" spans="1:10" x14ac:dyDescent="0.2">
      <c r="A44" s="445">
        <v>35</v>
      </c>
      <c r="B44" s="1345" t="str">
        <f t="shared" si="1"/>
        <v>LMS+TO   gotovina</v>
      </c>
      <c r="C44" s="434">
        <f>C43</f>
        <v>4650</v>
      </c>
      <c r="D44" s="435">
        <f t="shared" si="0"/>
        <v>2851</v>
      </c>
      <c r="E44" s="452">
        <f t="shared" si="2"/>
        <v>2280.8000000000002</v>
      </c>
      <c r="F44" s="436">
        <v>1799</v>
      </c>
      <c r="H44" s="1336"/>
      <c r="I44" s="440"/>
      <c r="J44" s="436"/>
    </row>
    <row r="45" spans="1:10" x14ac:dyDescent="0.2">
      <c r="A45" s="445">
        <v>36</v>
      </c>
      <c r="B45" s="1345" t="str">
        <f t="shared" si="1"/>
        <v>LMS+IP</v>
      </c>
      <c r="C45" s="434">
        <f>C49+C53</f>
        <v>3800</v>
      </c>
      <c r="D45" s="435">
        <f t="shared" si="0"/>
        <v>1875</v>
      </c>
      <c r="E45" s="452">
        <f t="shared" si="2"/>
        <v>1500</v>
      </c>
      <c r="F45" s="436">
        <v>1925</v>
      </c>
      <c r="H45" s="1336">
        <v>962</v>
      </c>
      <c r="I45" s="435">
        <f>F45-H45</f>
        <v>963</v>
      </c>
      <c r="J45" s="436">
        <f>I45/6</f>
        <v>160.5</v>
      </c>
    </row>
    <row r="46" spans="1:10" x14ac:dyDescent="0.2">
      <c r="A46" s="445">
        <v>37</v>
      </c>
      <c r="B46" s="1345" t="str">
        <f t="shared" si="1"/>
        <v>LMS+IP gotovina</v>
      </c>
      <c r="C46" s="434">
        <f>C45</f>
        <v>3800</v>
      </c>
      <c r="D46" s="435">
        <f t="shared" si="0"/>
        <v>2065</v>
      </c>
      <c r="E46" s="452">
        <f t="shared" si="2"/>
        <v>1652</v>
      </c>
      <c r="F46" s="436">
        <v>1735</v>
      </c>
      <c r="H46" s="1336"/>
      <c r="I46" s="440"/>
      <c r="J46" s="436"/>
    </row>
    <row r="47" spans="1:10" x14ac:dyDescent="0.2">
      <c r="A47" s="445">
        <v>38</v>
      </c>
      <c r="B47" s="1345" t="str">
        <f t="shared" si="1"/>
        <v>TO+IP</v>
      </c>
      <c r="C47" s="434">
        <f>C51+C53</f>
        <v>1650</v>
      </c>
      <c r="D47" s="435">
        <f t="shared" si="0"/>
        <v>451</v>
      </c>
      <c r="E47" s="452">
        <f t="shared" si="2"/>
        <v>360.8</v>
      </c>
      <c r="F47" s="436">
        <v>1199</v>
      </c>
      <c r="H47" s="1336">
        <v>599</v>
      </c>
      <c r="I47" s="435">
        <f>F47-H47</f>
        <v>600</v>
      </c>
      <c r="J47" s="436">
        <f>I47/6</f>
        <v>100</v>
      </c>
    </row>
    <row r="48" spans="1:10" x14ac:dyDescent="0.2">
      <c r="A48" s="445">
        <v>39</v>
      </c>
      <c r="B48" s="1345" t="str">
        <f t="shared" si="1"/>
        <v>TO+IP gotovina</v>
      </c>
      <c r="C48" s="434">
        <f>C47</f>
        <v>1650</v>
      </c>
      <c r="D48" s="435">
        <f t="shared" si="0"/>
        <v>551</v>
      </c>
      <c r="E48" s="452">
        <f t="shared" si="2"/>
        <v>440.8</v>
      </c>
      <c r="F48" s="436">
        <v>1099</v>
      </c>
      <c r="H48" s="1336"/>
      <c r="I48" s="440"/>
      <c r="J48" s="436"/>
    </row>
    <row r="49" spans="1:10" x14ac:dyDescent="0.2">
      <c r="A49" s="445">
        <v>40</v>
      </c>
      <c r="B49" s="1345" t="str">
        <f t="shared" si="1"/>
        <v>LMS</v>
      </c>
      <c r="C49" s="434">
        <v>3400</v>
      </c>
      <c r="D49" s="435">
        <f t="shared" si="0"/>
        <v>1900</v>
      </c>
      <c r="E49" s="452">
        <f t="shared" si="2"/>
        <v>1520</v>
      </c>
      <c r="F49" s="436">
        <v>1500</v>
      </c>
      <c r="H49" s="1336">
        <v>750</v>
      </c>
      <c r="I49" s="435">
        <f>F49-H49</f>
        <v>750</v>
      </c>
      <c r="J49" s="436">
        <f>I49/6</f>
        <v>125</v>
      </c>
    </row>
    <row r="50" spans="1:10" x14ac:dyDescent="0.2">
      <c r="A50" s="445">
        <v>41</v>
      </c>
      <c r="B50" s="1345" t="str">
        <f t="shared" si="1"/>
        <v>LMS gotovina</v>
      </c>
      <c r="C50" s="434">
        <f>C49</f>
        <v>3400</v>
      </c>
      <c r="D50" s="435">
        <f t="shared" si="0"/>
        <v>2000</v>
      </c>
      <c r="E50" s="452">
        <f t="shared" si="2"/>
        <v>1600</v>
      </c>
      <c r="F50" s="436">
        <v>1400</v>
      </c>
      <c r="H50" s="1336"/>
      <c r="I50" s="440"/>
      <c r="J50" s="436"/>
    </row>
    <row r="51" spans="1:10" x14ac:dyDescent="0.2">
      <c r="A51" s="445">
        <v>42</v>
      </c>
      <c r="B51" s="1345" t="str">
        <f t="shared" si="1"/>
        <v>TO</v>
      </c>
      <c r="C51" s="434">
        <v>1250</v>
      </c>
      <c r="D51" s="435">
        <f t="shared" si="0"/>
        <v>460</v>
      </c>
      <c r="E51" s="452">
        <f t="shared" si="2"/>
        <v>368</v>
      </c>
      <c r="F51" s="436">
        <v>790</v>
      </c>
      <c r="H51" s="1336">
        <v>400</v>
      </c>
      <c r="I51" s="435">
        <f>F51-H51</f>
        <v>390</v>
      </c>
      <c r="J51" s="436">
        <f>I51/6</f>
        <v>65</v>
      </c>
    </row>
    <row r="52" spans="1:10" x14ac:dyDescent="0.2">
      <c r="A52" s="445">
        <v>43</v>
      </c>
      <c r="B52" s="1345" t="str">
        <f t="shared" si="1"/>
        <v>TO gotovina</v>
      </c>
      <c r="C52" s="434">
        <f>C51</f>
        <v>1250</v>
      </c>
      <c r="D52" s="435">
        <f t="shared" si="0"/>
        <v>510</v>
      </c>
      <c r="E52" s="452">
        <f t="shared" si="2"/>
        <v>408</v>
      </c>
      <c r="F52" s="436">
        <v>740</v>
      </c>
      <c r="H52" s="1336"/>
      <c r="I52" s="440"/>
      <c r="J52" s="436"/>
    </row>
    <row r="53" spans="1:10" x14ac:dyDescent="0.2">
      <c r="A53" s="445">
        <v>44</v>
      </c>
      <c r="B53" s="1345" t="str">
        <f t="shared" si="1"/>
        <v>IP</v>
      </c>
      <c r="C53" s="434">
        <v>400</v>
      </c>
      <c r="D53" s="435">
        <f t="shared" si="0"/>
        <v>50</v>
      </c>
      <c r="E53" s="452">
        <f t="shared" si="2"/>
        <v>40</v>
      </c>
      <c r="F53" s="436">
        <v>350</v>
      </c>
      <c r="H53" s="1336">
        <v>185</v>
      </c>
      <c r="I53" s="435">
        <f>F53-H53</f>
        <v>165</v>
      </c>
      <c r="J53" s="436">
        <f>I53/6</f>
        <v>27.5</v>
      </c>
    </row>
    <row r="54" spans="1:10" x14ac:dyDescent="0.2">
      <c r="A54" s="445">
        <v>45</v>
      </c>
      <c r="B54" s="1345" t="str">
        <f t="shared" si="1"/>
        <v>IP gotovina</v>
      </c>
      <c r="C54" s="434">
        <f>C53</f>
        <v>400</v>
      </c>
      <c r="D54" s="435">
        <f t="shared" si="0"/>
        <v>70</v>
      </c>
      <c r="E54" s="452">
        <f t="shared" si="2"/>
        <v>56</v>
      </c>
      <c r="F54" s="436">
        <v>330</v>
      </c>
      <c r="H54" s="1336"/>
      <c r="I54" s="440"/>
      <c r="J54" s="436"/>
    </row>
    <row r="55" spans="1:10" x14ac:dyDescent="0.2">
      <c r="A55" s="445">
        <v>46</v>
      </c>
      <c r="B55" s="1345" t="str">
        <f t="shared" si="1"/>
        <v xml:space="preserve">2IP </v>
      </c>
      <c r="C55" s="434">
        <f>C53*2</f>
        <v>800</v>
      </c>
      <c r="D55" s="435">
        <f t="shared" si="0"/>
        <v>150</v>
      </c>
      <c r="E55" s="452">
        <f t="shared" si="2"/>
        <v>120</v>
      </c>
      <c r="F55" s="436">
        <v>650</v>
      </c>
      <c r="H55" s="1336">
        <v>335</v>
      </c>
      <c r="I55" s="435">
        <f>F55-H55</f>
        <v>315</v>
      </c>
      <c r="J55" s="436">
        <f>I55/6</f>
        <v>52.5</v>
      </c>
    </row>
    <row r="56" spans="1:10" ht="13.5" thickBot="1" x14ac:dyDescent="0.25">
      <c r="A56" s="446">
        <v>47</v>
      </c>
      <c r="B56" s="1346" t="str">
        <f t="shared" si="1"/>
        <v>2IP gotovina</v>
      </c>
      <c r="C56" s="437">
        <f>C55</f>
        <v>800</v>
      </c>
      <c r="D56" s="438">
        <f t="shared" si="0"/>
        <v>200</v>
      </c>
      <c r="E56" s="1307">
        <f t="shared" si="2"/>
        <v>160</v>
      </c>
      <c r="F56" s="439">
        <v>600</v>
      </c>
      <c r="H56" s="1338"/>
      <c r="I56" s="1339"/>
      <c r="J56" s="1340"/>
    </row>
    <row r="76" spans="1:11" ht="13.5" thickBot="1" x14ac:dyDescent="0.25"/>
    <row r="77" spans="1:11" x14ac:dyDescent="0.2">
      <c r="A77" s="749" t="s">
        <v>281</v>
      </c>
      <c r="B77" s="448" t="s">
        <v>255</v>
      </c>
      <c r="C77" s="1303" t="s">
        <v>286</v>
      </c>
      <c r="D77" s="1304"/>
      <c r="E77" s="1305"/>
      <c r="F77" s="1301" t="s">
        <v>256</v>
      </c>
      <c r="G77" s="1302"/>
      <c r="H77" s="453"/>
      <c r="I77" s="454" t="s">
        <v>257</v>
      </c>
      <c r="J77" s="455"/>
      <c r="K77" s="456"/>
    </row>
    <row r="78" spans="1:11" x14ac:dyDescent="0.2">
      <c r="A78" s="750"/>
      <c r="B78" s="441" t="s">
        <v>258</v>
      </c>
      <c r="C78" s="428" t="s">
        <v>259</v>
      </c>
      <c r="D78" s="415" t="s">
        <v>260</v>
      </c>
      <c r="E78" s="416" t="s">
        <v>261</v>
      </c>
      <c r="F78" s="425" t="s">
        <v>259</v>
      </c>
      <c r="G78" s="415" t="s">
        <v>260</v>
      </c>
      <c r="H78" s="416" t="s">
        <v>261</v>
      </c>
      <c r="I78" s="422" t="s">
        <v>259</v>
      </c>
      <c r="J78" s="415" t="s">
        <v>260</v>
      </c>
      <c r="K78" s="416" t="s">
        <v>261</v>
      </c>
    </row>
    <row r="79" spans="1:11" x14ac:dyDescent="0.2">
      <c r="A79" s="443">
        <f>A41</f>
        <v>32</v>
      </c>
      <c r="B79" s="441" t="str">
        <f>B41</f>
        <v>LMS+TO+IP</v>
      </c>
      <c r="C79" s="429">
        <f>E79/1.25</f>
        <v>4040</v>
      </c>
      <c r="D79" s="418">
        <f>C79*0.25</f>
        <v>1010</v>
      </c>
      <c r="E79" s="420">
        <f>C41</f>
        <v>5050</v>
      </c>
      <c r="F79" s="426">
        <f>H79/1.25</f>
        <v>2280.8000000000002</v>
      </c>
      <c r="G79" s="418">
        <f>F79*0.25</f>
        <v>570.20000000000005</v>
      </c>
      <c r="H79" s="420">
        <f>D41</f>
        <v>2851</v>
      </c>
      <c r="I79" s="423">
        <f>K79/1.25</f>
        <v>1759.2</v>
      </c>
      <c r="J79" s="418">
        <f>I79*0.25</f>
        <v>439.8</v>
      </c>
      <c r="K79" s="420">
        <f>F41</f>
        <v>2199</v>
      </c>
    </row>
    <row r="80" spans="1:11" x14ac:dyDescent="0.2">
      <c r="A80" s="443">
        <f>A42</f>
        <v>33</v>
      </c>
      <c r="B80" s="441" t="str">
        <f>B42</f>
        <v xml:space="preserve">LMS+TO+IP gotovina </v>
      </c>
      <c r="C80" s="429">
        <f>E80/1.25</f>
        <v>4040</v>
      </c>
      <c r="D80" s="418">
        <f t="shared" ref="D80:D94" si="3">C80*0.25</f>
        <v>1010</v>
      </c>
      <c r="E80" s="420">
        <f>C42</f>
        <v>5050</v>
      </c>
      <c r="F80" s="426">
        <f t="shared" ref="F80:F94" si="4">H80/1.25</f>
        <v>2440.8000000000002</v>
      </c>
      <c r="G80" s="418">
        <f t="shared" ref="G80:G94" si="5">F80*0.25</f>
        <v>610.20000000000005</v>
      </c>
      <c r="H80" s="420">
        <f>D42</f>
        <v>3051</v>
      </c>
      <c r="I80" s="423">
        <f t="shared" ref="I80:I94" si="6">K80/1.25</f>
        <v>1599.2</v>
      </c>
      <c r="J80" s="418">
        <f t="shared" ref="J80:J94" si="7">I80*0.25</f>
        <v>399.8</v>
      </c>
      <c r="K80" s="420">
        <f>F42</f>
        <v>1999</v>
      </c>
    </row>
    <row r="81" spans="1:11" x14ac:dyDescent="0.2">
      <c r="A81" s="443">
        <f>A43</f>
        <v>34</v>
      </c>
      <c r="B81" s="441" t="str">
        <f>B43</f>
        <v>LMS+TO</v>
      </c>
      <c r="C81" s="429">
        <f>E81/1.25</f>
        <v>3720</v>
      </c>
      <c r="D81" s="418">
        <f t="shared" si="3"/>
        <v>930</v>
      </c>
      <c r="E81" s="420">
        <f>C43</f>
        <v>4650</v>
      </c>
      <c r="F81" s="426">
        <f t="shared" si="4"/>
        <v>2120.8000000000002</v>
      </c>
      <c r="G81" s="418">
        <f t="shared" si="5"/>
        <v>530.20000000000005</v>
      </c>
      <c r="H81" s="420">
        <f>D43</f>
        <v>2651</v>
      </c>
      <c r="I81" s="423">
        <f t="shared" si="6"/>
        <v>1599.2</v>
      </c>
      <c r="J81" s="418">
        <f t="shared" si="7"/>
        <v>399.8</v>
      </c>
      <c r="K81" s="420">
        <f>F43</f>
        <v>1999</v>
      </c>
    </row>
    <row r="82" spans="1:11" x14ac:dyDescent="0.2">
      <c r="A82" s="443">
        <f>A44</f>
        <v>35</v>
      </c>
      <c r="B82" s="441" t="str">
        <f>B44</f>
        <v>LMS+TO   gotovina</v>
      </c>
      <c r="C82" s="429">
        <f>E82/1.25</f>
        <v>3720</v>
      </c>
      <c r="D82" s="418">
        <f t="shared" si="3"/>
        <v>930</v>
      </c>
      <c r="E82" s="420">
        <f>C44</f>
        <v>4650</v>
      </c>
      <c r="F82" s="426">
        <f t="shared" si="4"/>
        <v>2280.8000000000002</v>
      </c>
      <c r="G82" s="418">
        <f t="shared" si="5"/>
        <v>570.20000000000005</v>
      </c>
      <c r="H82" s="420">
        <f>D44</f>
        <v>2851</v>
      </c>
      <c r="I82" s="423">
        <f t="shared" si="6"/>
        <v>1439.2</v>
      </c>
      <c r="J82" s="418">
        <f t="shared" si="7"/>
        <v>359.8</v>
      </c>
      <c r="K82" s="420">
        <f>F44</f>
        <v>1799</v>
      </c>
    </row>
    <row r="83" spans="1:11" x14ac:dyDescent="0.2">
      <c r="A83" s="443">
        <f>A45</f>
        <v>36</v>
      </c>
      <c r="B83" s="441" t="str">
        <f>B45</f>
        <v>LMS+IP</v>
      </c>
      <c r="C83" s="429">
        <f>E83/1.25</f>
        <v>3040</v>
      </c>
      <c r="D83" s="418">
        <f t="shared" si="3"/>
        <v>760</v>
      </c>
      <c r="E83" s="420">
        <f>C45</f>
        <v>3800</v>
      </c>
      <c r="F83" s="426">
        <f t="shared" si="4"/>
        <v>1500</v>
      </c>
      <c r="G83" s="418">
        <f t="shared" si="5"/>
        <v>375</v>
      </c>
      <c r="H83" s="420">
        <f>D45</f>
        <v>1875</v>
      </c>
      <c r="I83" s="423">
        <f t="shared" si="6"/>
        <v>1540</v>
      </c>
      <c r="J83" s="418">
        <f t="shared" si="7"/>
        <v>385</v>
      </c>
      <c r="K83" s="420">
        <f>F45</f>
        <v>1925</v>
      </c>
    </row>
    <row r="84" spans="1:11" x14ac:dyDescent="0.2">
      <c r="A84" s="443">
        <f>A46</f>
        <v>37</v>
      </c>
      <c r="B84" s="441" t="str">
        <f>B46</f>
        <v>LMS+IP gotovina</v>
      </c>
      <c r="C84" s="429">
        <f>E84/1.25</f>
        <v>3040</v>
      </c>
      <c r="D84" s="418">
        <f t="shared" si="3"/>
        <v>760</v>
      </c>
      <c r="E84" s="420">
        <f>C46</f>
        <v>3800</v>
      </c>
      <c r="F84" s="426">
        <f t="shared" si="4"/>
        <v>1652</v>
      </c>
      <c r="G84" s="418">
        <f t="shared" si="5"/>
        <v>413</v>
      </c>
      <c r="H84" s="420">
        <f>D46</f>
        <v>2065</v>
      </c>
      <c r="I84" s="423">
        <f t="shared" si="6"/>
        <v>1388</v>
      </c>
      <c r="J84" s="418">
        <f t="shared" si="7"/>
        <v>347</v>
      </c>
      <c r="K84" s="420">
        <f>F46</f>
        <v>1735</v>
      </c>
    </row>
    <row r="85" spans="1:11" x14ac:dyDescent="0.2">
      <c r="A85" s="443">
        <f>A47</f>
        <v>38</v>
      </c>
      <c r="B85" s="441" t="str">
        <f>B47</f>
        <v>TO+IP</v>
      </c>
      <c r="C85" s="429">
        <f>E85/1.25</f>
        <v>1320</v>
      </c>
      <c r="D85" s="418">
        <f t="shared" si="3"/>
        <v>330</v>
      </c>
      <c r="E85" s="420">
        <f>C47</f>
        <v>1650</v>
      </c>
      <c r="F85" s="426">
        <f t="shared" si="4"/>
        <v>360.8</v>
      </c>
      <c r="G85" s="418">
        <f t="shared" si="5"/>
        <v>90.2</v>
      </c>
      <c r="H85" s="420">
        <f>D47</f>
        <v>451</v>
      </c>
      <c r="I85" s="423">
        <f t="shared" si="6"/>
        <v>959.2</v>
      </c>
      <c r="J85" s="418">
        <f t="shared" si="7"/>
        <v>239.8</v>
      </c>
      <c r="K85" s="420">
        <f>F47</f>
        <v>1199</v>
      </c>
    </row>
    <row r="86" spans="1:11" x14ac:dyDescent="0.2">
      <c r="A86" s="443">
        <f>A48</f>
        <v>39</v>
      </c>
      <c r="B86" s="441" t="str">
        <f>B48</f>
        <v>TO+IP gotovina</v>
      </c>
      <c r="C86" s="429">
        <f>E86/1.25</f>
        <v>1320</v>
      </c>
      <c r="D86" s="418">
        <f t="shared" si="3"/>
        <v>330</v>
      </c>
      <c r="E86" s="420">
        <f>C48</f>
        <v>1650</v>
      </c>
      <c r="F86" s="426">
        <f t="shared" si="4"/>
        <v>440.8</v>
      </c>
      <c r="G86" s="418">
        <f t="shared" si="5"/>
        <v>110.2</v>
      </c>
      <c r="H86" s="420">
        <f>D48</f>
        <v>551</v>
      </c>
      <c r="I86" s="423">
        <f t="shared" si="6"/>
        <v>879.2</v>
      </c>
      <c r="J86" s="418">
        <f t="shared" si="7"/>
        <v>219.8</v>
      </c>
      <c r="K86" s="420">
        <f>F48</f>
        <v>1099</v>
      </c>
    </row>
    <row r="87" spans="1:11" x14ac:dyDescent="0.2">
      <c r="A87" s="443">
        <f>A49</f>
        <v>40</v>
      </c>
      <c r="B87" s="441" t="str">
        <f>B49</f>
        <v>LMS</v>
      </c>
      <c r="C87" s="429">
        <f>E87/1.25</f>
        <v>2720</v>
      </c>
      <c r="D87" s="418">
        <f t="shared" si="3"/>
        <v>680</v>
      </c>
      <c r="E87" s="420">
        <f>C49</f>
        <v>3400</v>
      </c>
      <c r="F87" s="426">
        <f t="shared" si="4"/>
        <v>1520</v>
      </c>
      <c r="G87" s="418">
        <f t="shared" si="5"/>
        <v>380</v>
      </c>
      <c r="H87" s="420">
        <f>D49</f>
        <v>1900</v>
      </c>
      <c r="I87" s="423">
        <f t="shared" si="6"/>
        <v>1200</v>
      </c>
      <c r="J87" s="418">
        <f t="shared" si="7"/>
        <v>300</v>
      </c>
      <c r="K87" s="420">
        <f>F49</f>
        <v>1500</v>
      </c>
    </row>
    <row r="88" spans="1:11" x14ac:dyDescent="0.2">
      <c r="A88" s="443">
        <f>A50</f>
        <v>41</v>
      </c>
      <c r="B88" s="441" t="str">
        <f>B50</f>
        <v>LMS gotovina</v>
      </c>
      <c r="C88" s="429">
        <f>E88/1.25</f>
        <v>2720</v>
      </c>
      <c r="D88" s="418">
        <f t="shared" si="3"/>
        <v>680</v>
      </c>
      <c r="E88" s="420">
        <f>C50</f>
        <v>3400</v>
      </c>
      <c r="F88" s="426">
        <f t="shared" si="4"/>
        <v>1600</v>
      </c>
      <c r="G88" s="418">
        <f t="shared" si="5"/>
        <v>400</v>
      </c>
      <c r="H88" s="420">
        <f>D50</f>
        <v>2000</v>
      </c>
      <c r="I88" s="423">
        <f t="shared" si="6"/>
        <v>1120</v>
      </c>
      <c r="J88" s="418">
        <f t="shared" si="7"/>
        <v>280</v>
      </c>
      <c r="K88" s="420">
        <f>F50</f>
        <v>1400</v>
      </c>
    </row>
    <row r="89" spans="1:11" x14ac:dyDescent="0.2">
      <c r="A89" s="443">
        <f>A51</f>
        <v>42</v>
      </c>
      <c r="B89" s="441" t="str">
        <f>B51</f>
        <v>TO</v>
      </c>
      <c r="C89" s="429">
        <f>E89/1.25</f>
        <v>1000</v>
      </c>
      <c r="D89" s="418">
        <f t="shared" si="3"/>
        <v>250</v>
      </c>
      <c r="E89" s="420">
        <f>C51</f>
        <v>1250</v>
      </c>
      <c r="F89" s="426">
        <f t="shared" si="4"/>
        <v>368</v>
      </c>
      <c r="G89" s="418">
        <f t="shared" si="5"/>
        <v>92</v>
      </c>
      <c r="H89" s="420">
        <f>D51</f>
        <v>460</v>
      </c>
      <c r="I89" s="423">
        <f t="shared" si="6"/>
        <v>632</v>
      </c>
      <c r="J89" s="418">
        <f t="shared" si="7"/>
        <v>158</v>
      </c>
      <c r="K89" s="420">
        <f>F51</f>
        <v>790</v>
      </c>
    </row>
    <row r="90" spans="1:11" x14ac:dyDescent="0.2">
      <c r="A90" s="443">
        <f>A52</f>
        <v>43</v>
      </c>
      <c r="B90" s="441" t="str">
        <f>B52</f>
        <v>TO gotovina</v>
      </c>
      <c r="C90" s="429">
        <f>E90/1.25</f>
        <v>1000</v>
      </c>
      <c r="D90" s="418">
        <f t="shared" si="3"/>
        <v>250</v>
      </c>
      <c r="E90" s="420">
        <f>C52</f>
        <v>1250</v>
      </c>
      <c r="F90" s="426">
        <f t="shared" si="4"/>
        <v>408</v>
      </c>
      <c r="G90" s="418">
        <f t="shared" si="5"/>
        <v>102</v>
      </c>
      <c r="H90" s="420">
        <f>D52</f>
        <v>510</v>
      </c>
      <c r="I90" s="423">
        <f t="shared" si="6"/>
        <v>592</v>
      </c>
      <c r="J90" s="418">
        <f t="shared" si="7"/>
        <v>148</v>
      </c>
      <c r="K90" s="420">
        <f>F52</f>
        <v>740</v>
      </c>
    </row>
    <row r="91" spans="1:11" x14ac:dyDescent="0.2">
      <c r="A91" s="443">
        <f>A53</f>
        <v>44</v>
      </c>
      <c r="B91" s="441" t="str">
        <f>B53</f>
        <v>IP</v>
      </c>
      <c r="C91" s="429">
        <f>E91/1.25</f>
        <v>320</v>
      </c>
      <c r="D91" s="418">
        <f t="shared" si="3"/>
        <v>80</v>
      </c>
      <c r="E91" s="420">
        <f>C53</f>
        <v>400</v>
      </c>
      <c r="F91" s="426">
        <f t="shared" si="4"/>
        <v>40</v>
      </c>
      <c r="G91" s="418">
        <f t="shared" si="5"/>
        <v>10</v>
      </c>
      <c r="H91" s="420">
        <f>D53</f>
        <v>50</v>
      </c>
      <c r="I91" s="423">
        <f t="shared" si="6"/>
        <v>280</v>
      </c>
      <c r="J91" s="418">
        <f t="shared" si="7"/>
        <v>70</v>
      </c>
      <c r="K91" s="420">
        <f>F53</f>
        <v>350</v>
      </c>
    </row>
    <row r="92" spans="1:11" x14ac:dyDescent="0.2">
      <c r="A92" s="443">
        <f>A54</f>
        <v>45</v>
      </c>
      <c r="B92" s="441" t="str">
        <f>B54</f>
        <v>IP gotovina</v>
      </c>
      <c r="C92" s="429">
        <f>E92/1.25</f>
        <v>320</v>
      </c>
      <c r="D92" s="418">
        <f t="shared" si="3"/>
        <v>80</v>
      </c>
      <c r="E92" s="420">
        <f>C54</f>
        <v>400</v>
      </c>
      <c r="F92" s="426">
        <f t="shared" si="4"/>
        <v>56</v>
      </c>
      <c r="G92" s="418">
        <f t="shared" si="5"/>
        <v>14</v>
      </c>
      <c r="H92" s="420">
        <f>D54</f>
        <v>70</v>
      </c>
      <c r="I92" s="423">
        <f t="shared" si="6"/>
        <v>264</v>
      </c>
      <c r="J92" s="418">
        <f t="shared" si="7"/>
        <v>66</v>
      </c>
      <c r="K92" s="420">
        <f>F54</f>
        <v>330</v>
      </c>
    </row>
    <row r="93" spans="1:11" x14ac:dyDescent="0.2">
      <c r="A93" s="443">
        <f>A55</f>
        <v>46</v>
      </c>
      <c r="B93" s="441" t="str">
        <f>B55</f>
        <v xml:space="preserve">2IP </v>
      </c>
      <c r="C93" s="429">
        <f>E93/1.25</f>
        <v>640</v>
      </c>
      <c r="D93" s="418">
        <f t="shared" si="3"/>
        <v>160</v>
      </c>
      <c r="E93" s="420">
        <f>C55</f>
        <v>800</v>
      </c>
      <c r="F93" s="426">
        <f t="shared" si="4"/>
        <v>120</v>
      </c>
      <c r="G93" s="418">
        <f t="shared" si="5"/>
        <v>30</v>
      </c>
      <c r="H93" s="420">
        <f>D55</f>
        <v>150</v>
      </c>
      <c r="I93" s="423">
        <f t="shared" si="6"/>
        <v>520</v>
      </c>
      <c r="J93" s="418">
        <f t="shared" si="7"/>
        <v>130</v>
      </c>
      <c r="K93" s="420">
        <f>F55</f>
        <v>650</v>
      </c>
    </row>
    <row r="94" spans="1:11" ht="13.5" thickBot="1" x14ac:dyDescent="0.25">
      <c r="A94" s="444">
        <f>A56</f>
        <v>47</v>
      </c>
      <c r="B94" s="442" t="str">
        <f>B56</f>
        <v>2IP gotovina</v>
      </c>
      <c r="C94" s="430">
        <f>E94/1.25</f>
        <v>640</v>
      </c>
      <c r="D94" s="419">
        <f t="shared" si="3"/>
        <v>160</v>
      </c>
      <c r="E94" s="421">
        <f>C56</f>
        <v>800</v>
      </c>
      <c r="F94" s="427">
        <f t="shared" si="4"/>
        <v>160</v>
      </c>
      <c r="G94" s="419">
        <f t="shared" si="5"/>
        <v>40</v>
      </c>
      <c r="H94" s="421">
        <f>D56</f>
        <v>200</v>
      </c>
      <c r="I94" s="424">
        <f t="shared" si="6"/>
        <v>480</v>
      </c>
      <c r="J94" s="419">
        <f t="shared" si="7"/>
        <v>120</v>
      </c>
      <c r="K94" s="421">
        <f>F56</f>
        <v>600</v>
      </c>
    </row>
    <row r="96" spans="1:11" ht="51" x14ac:dyDescent="0.2">
      <c r="F96" s="450" t="s">
        <v>284</v>
      </c>
    </row>
    <row r="97" spans="7:7" x14ac:dyDescent="0.2">
      <c r="G97" s="449"/>
    </row>
  </sheetData>
  <mergeCells count="20">
    <mergeCell ref="C21:E21"/>
    <mergeCell ref="C22:E22"/>
    <mergeCell ref="C16:E16"/>
    <mergeCell ref="C17:E17"/>
    <mergeCell ref="C18:E18"/>
    <mergeCell ref="C19:E19"/>
    <mergeCell ref="C20:E20"/>
    <mergeCell ref="C11:E11"/>
    <mergeCell ref="C12:E12"/>
    <mergeCell ref="C13:E13"/>
    <mergeCell ref="C14:E14"/>
    <mergeCell ref="C15:E15"/>
    <mergeCell ref="B6:E6"/>
    <mergeCell ref="C7:E7"/>
    <mergeCell ref="C8:E8"/>
    <mergeCell ref="C9:E9"/>
    <mergeCell ref="C10:E10"/>
    <mergeCell ref="A77:A78"/>
    <mergeCell ref="F77:G77"/>
    <mergeCell ref="C77:E77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2026-07-07T11:24:31Z</cp:lastPrinted>
  <dcterms:created xsi:type="dcterms:W3CDTF">2008-01-20T16:35:54Z</dcterms:created>
  <dcterms:modified xsi:type="dcterms:W3CDTF">2026-07-07T15:44:03Z</dcterms:modified>
</cp:coreProperties>
</file>
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6215414A-7ADF-48F7-A808-D6E46DA2F8BB}" xr6:coauthVersionLast="47" xr6:coauthVersionMax="47" xr10:uidLastSave="{00000000-0000-0000-0000-000000000000}"/>
  <bookViews>
    <workbookView xWindow="-25860" yWindow="525" windowWidth="26190" windowHeight="14835" firstSheet="2" activeTab="2" xr2:uid="{00000000-000D-0000-FFFF-FFFF00000000}"/>
  </bookViews>
  <sheets>
    <sheet name="211" sheetId="19" state="hidden" r:id="rId1"/>
    <sheet name="4. HÉT" sheetId="18" state="hidden" r:id="rId2"/>
    <sheet name="Tablica za unos" sheetId="22" r:id="rId3"/>
    <sheet name="Cijenik" sheetId="36" r:id="rId4"/>
    <sheet name="PONUDA" sheetId="24" r:id="rId5"/>
    <sheet name="Reg. list" sheetId="28" r:id="rId6"/>
    <sheet name="Poklon BP" sheetId="33" r:id="rId7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U150" i="22" l="1"/>
  <c r="V99" i="22"/>
  <c r="V52" i="22"/>
  <c r="E57" i="22"/>
  <c r="D96" i="22"/>
  <c r="W199" i="22"/>
  <c r="T199" i="22"/>
  <c r="N197" i="22"/>
  <c r="R195" i="22"/>
  <c r="N195" i="22"/>
  <c r="N193" i="22"/>
  <c r="D6" i="22"/>
  <c r="Z89" i="22"/>
  <c r="Y89" i="22"/>
  <c r="Z88" i="22"/>
  <c r="Y88" i="22"/>
  <c r="Z87" i="22"/>
  <c r="Y87" i="22"/>
  <c r="Z86" i="22"/>
  <c r="Y86" i="22"/>
  <c r="Z85" i="22"/>
  <c r="Y85" i="22"/>
  <c r="Z84" i="22"/>
  <c r="Y84" i="22"/>
  <c r="Z83" i="22"/>
  <c r="Y83" i="22"/>
  <c r="Z82" i="22"/>
  <c r="Y82" i="22"/>
  <c r="Z81" i="22"/>
  <c r="Y81" i="22"/>
  <c r="Z80" i="22"/>
  <c r="Y80" i="22"/>
  <c r="Z79" i="22"/>
  <c r="Y79" i="22"/>
  <c r="Z78" i="22"/>
  <c r="Y78" i="22"/>
  <c r="Z77" i="22"/>
  <c r="Y77" i="22"/>
  <c r="Z76" i="22"/>
  <c r="Y76" i="22"/>
  <c r="Z75" i="22"/>
  <c r="Y75" i="22"/>
  <c r="Z74" i="22"/>
  <c r="Y74" i="22"/>
  <c r="Z73" i="22"/>
  <c r="Y73" i="22"/>
  <c r="Z72" i="22"/>
  <c r="Y72" i="22"/>
  <c r="Z71" i="22"/>
  <c r="Y71" i="22"/>
  <c r="Z70" i="22"/>
  <c r="Y70" i="22"/>
  <c r="Z69" i="22"/>
  <c r="Y69" i="22"/>
  <c r="Z68" i="22"/>
  <c r="Y68" i="22"/>
  <c r="Z67" i="22"/>
  <c r="Y67" i="22"/>
  <c r="Z66" i="22"/>
  <c r="Y66" i="22"/>
  <c r="Z65" i="22"/>
  <c r="Y65" i="22"/>
  <c r="Z64" i="22"/>
  <c r="Y64" i="22"/>
  <c r="Z63" i="22"/>
  <c r="Y63" i="22"/>
  <c r="Z62" i="22"/>
  <c r="Y62" i="22"/>
  <c r="Z61" i="22"/>
  <c r="Y61" i="22"/>
  <c r="Z60" i="22"/>
  <c r="Y60" i="22"/>
  <c r="Z59" i="22"/>
  <c r="Y59" i="22"/>
  <c r="Z58" i="22"/>
  <c r="Y58" i="22"/>
  <c r="Z57" i="22"/>
  <c r="Z56" i="22"/>
  <c r="Y56" i="22"/>
  <c r="Z55" i="22"/>
  <c r="Z40" i="22"/>
  <c r="Y40" i="22"/>
  <c r="Z39" i="22"/>
  <c r="Y39" i="22"/>
  <c r="Z38" i="22"/>
  <c r="Y38" i="22"/>
  <c r="Z37" i="22"/>
  <c r="Y37" i="22"/>
  <c r="Z36" i="22"/>
  <c r="Y36" i="22"/>
  <c r="Z35" i="22"/>
  <c r="Y35" i="22"/>
  <c r="Z34" i="22"/>
  <c r="Y34" i="22"/>
  <c r="Z33" i="22"/>
  <c r="Y33" i="22"/>
  <c r="Z32" i="22"/>
  <c r="Y32" i="22"/>
  <c r="Z31" i="22"/>
  <c r="Y31" i="22"/>
  <c r="Z30" i="22"/>
  <c r="Y30" i="22"/>
  <c r="Z29" i="22"/>
  <c r="Y29" i="22"/>
  <c r="Z28" i="22"/>
  <c r="Y28" i="22"/>
  <c r="Z27" i="22"/>
  <c r="Y27" i="22"/>
  <c r="Z26" i="22"/>
  <c r="Y26" i="22"/>
  <c r="Z25" i="22"/>
  <c r="Y25" i="22"/>
  <c r="Z24" i="22"/>
  <c r="Y24" i="22"/>
  <c r="Z23" i="22"/>
  <c r="Y23" i="22"/>
  <c r="Z22" i="22"/>
  <c r="Y22" i="22"/>
  <c r="Z21" i="22"/>
  <c r="Y21" i="22"/>
  <c r="Z20" i="22"/>
  <c r="Y20" i="22"/>
  <c r="Z19" i="22"/>
  <c r="Y19" i="22"/>
  <c r="Z18" i="22"/>
  <c r="Y18" i="22"/>
  <c r="Z17" i="22"/>
  <c r="Y17" i="22"/>
  <c r="Z16" i="22"/>
  <c r="Y16" i="22"/>
  <c r="Z15" i="22"/>
  <c r="Y15" i="22"/>
  <c r="Z14" i="22"/>
  <c r="Y14" i="22"/>
  <c r="Z13" i="22"/>
  <c r="Y13" i="22"/>
  <c r="Z12" i="22"/>
  <c r="Y12" i="22"/>
  <c r="Z11" i="22"/>
  <c r="Y11" i="22"/>
  <c r="Z10" i="22"/>
  <c r="Y10" i="22"/>
  <c r="Z9" i="22"/>
  <c r="Y9" i="22"/>
  <c r="Z8" i="22"/>
  <c r="Y8" i="22"/>
  <c r="Z7" i="22"/>
  <c r="Y7" i="22"/>
  <c r="Z6" i="22"/>
  <c r="Z41" i="22" s="1"/>
  <c r="M47" i="22" s="1"/>
  <c r="D55" i="22"/>
  <c r="E89" i="22"/>
  <c r="D89" i="22" s="1"/>
  <c r="C89" i="22"/>
  <c r="E88" i="22"/>
  <c r="D88" i="22"/>
  <c r="C88" i="22"/>
  <c r="E87" i="22"/>
  <c r="D87" i="22" s="1"/>
  <c r="C87" i="22"/>
  <c r="E86" i="22"/>
  <c r="D86" i="22" s="1"/>
  <c r="C86" i="22"/>
  <c r="E85" i="22"/>
  <c r="D85" i="22" s="1"/>
  <c r="C85" i="22"/>
  <c r="E84" i="22"/>
  <c r="D84" i="22" s="1"/>
  <c r="C84" i="22"/>
  <c r="E83" i="22"/>
  <c r="D83" i="22" s="1"/>
  <c r="C83" i="22"/>
  <c r="E82" i="22"/>
  <c r="D82" i="22" s="1"/>
  <c r="C82" i="22"/>
  <c r="E81" i="22"/>
  <c r="D81" i="22" s="1"/>
  <c r="C81" i="22"/>
  <c r="E80" i="22"/>
  <c r="D80" i="22" s="1"/>
  <c r="C80" i="22"/>
  <c r="E79" i="22"/>
  <c r="D79" i="22" s="1"/>
  <c r="C79" i="22"/>
  <c r="E78" i="22"/>
  <c r="D78" i="22" s="1"/>
  <c r="C78" i="22"/>
  <c r="E77" i="22"/>
  <c r="D77" i="22" s="1"/>
  <c r="C77" i="22"/>
  <c r="E76" i="22"/>
  <c r="D76" i="22" s="1"/>
  <c r="C76" i="22"/>
  <c r="E75" i="22"/>
  <c r="D75" i="22" s="1"/>
  <c r="C75" i="22"/>
  <c r="E74" i="22"/>
  <c r="D74" i="22" s="1"/>
  <c r="C74" i="22"/>
  <c r="E73" i="22"/>
  <c r="D73" i="22" s="1"/>
  <c r="C73" i="22"/>
  <c r="E72" i="22"/>
  <c r="D72" i="22" s="1"/>
  <c r="C72" i="22"/>
  <c r="E71" i="22"/>
  <c r="D71" i="22" s="1"/>
  <c r="C71" i="22"/>
  <c r="E70" i="22"/>
  <c r="D70" i="22" s="1"/>
  <c r="C70" i="22"/>
  <c r="E69" i="22"/>
  <c r="D69" i="22" s="1"/>
  <c r="C69" i="22"/>
  <c r="E68" i="22"/>
  <c r="D68" i="22" s="1"/>
  <c r="C68" i="22"/>
  <c r="E67" i="22"/>
  <c r="D67" i="22" s="1"/>
  <c r="C67" i="22"/>
  <c r="E66" i="22"/>
  <c r="D66" i="22" s="1"/>
  <c r="C66" i="22"/>
  <c r="E65" i="22"/>
  <c r="D65" i="22" s="1"/>
  <c r="C65" i="22"/>
  <c r="E64" i="22"/>
  <c r="D64" i="22" s="1"/>
  <c r="C64" i="22"/>
  <c r="E63" i="22"/>
  <c r="D63" i="22" s="1"/>
  <c r="C63" i="22"/>
  <c r="E62" i="22"/>
  <c r="D62" i="22" s="1"/>
  <c r="C62" i="22"/>
  <c r="E61" i="22"/>
  <c r="D61" i="22" s="1"/>
  <c r="C61" i="22"/>
  <c r="E60" i="22"/>
  <c r="D60" i="22" s="1"/>
  <c r="C60" i="22"/>
  <c r="E59" i="22"/>
  <c r="D59" i="22" s="1"/>
  <c r="C59" i="22"/>
  <c r="E58" i="22"/>
  <c r="D58" i="22" s="1"/>
  <c r="C58" i="22"/>
  <c r="D57" i="22"/>
  <c r="C57" i="22"/>
  <c r="Y57" i="22" s="1"/>
  <c r="E56" i="22"/>
  <c r="D56" i="22" s="1"/>
  <c r="C56" i="22"/>
  <c r="C55" i="22"/>
  <c r="Y55" i="22" s="1"/>
  <c r="E40" i="22"/>
  <c r="E39" i="22"/>
  <c r="E38" i="22"/>
  <c r="E37" i="22"/>
  <c r="D37" i="22" s="1"/>
  <c r="E36" i="22"/>
  <c r="D36" i="22" s="1"/>
  <c r="E35" i="22"/>
  <c r="D35" i="22" s="1"/>
  <c r="E34" i="22"/>
  <c r="D34" i="22" s="1"/>
  <c r="E33" i="22"/>
  <c r="D33" i="22" s="1"/>
  <c r="E32" i="22"/>
  <c r="D32" i="22" s="1"/>
  <c r="E31" i="22"/>
  <c r="D31" i="22" s="1"/>
  <c r="E30" i="22"/>
  <c r="D30" i="22" s="1"/>
  <c r="E29" i="22"/>
  <c r="D29" i="22" s="1"/>
  <c r="E28" i="22"/>
  <c r="D28" i="22" s="1"/>
  <c r="E27" i="22"/>
  <c r="D27" i="22" s="1"/>
  <c r="E26" i="22"/>
  <c r="D26" i="22" s="1"/>
  <c r="E25" i="22"/>
  <c r="D25" i="22" s="1"/>
  <c r="E24" i="22"/>
  <c r="D24" i="22" s="1"/>
  <c r="E23" i="22"/>
  <c r="D23" i="22" s="1"/>
  <c r="E22" i="22"/>
  <c r="D22" i="22" s="1"/>
  <c r="E21" i="22"/>
  <c r="D21" i="22" s="1"/>
  <c r="E20" i="22"/>
  <c r="D20" i="22" s="1"/>
  <c r="E19" i="22"/>
  <c r="D19" i="22" s="1"/>
  <c r="E18" i="22"/>
  <c r="D18" i="22" s="1"/>
  <c r="E17" i="22"/>
  <c r="D17" i="22" s="1"/>
  <c r="E16" i="22"/>
  <c r="D16" i="22" s="1"/>
  <c r="E15" i="22"/>
  <c r="D15" i="22" s="1"/>
  <c r="E14" i="22"/>
  <c r="D14" i="22" s="1"/>
  <c r="E13" i="22"/>
  <c r="D13" i="22" s="1"/>
  <c r="E12" i="22"/>
  <c r="D12" i="22" s="1"/>
  <c r="E11" i="22"/>
  <c r="D11" i="22" s="1"/>
  <c r="E10" i="22"/>
  <c r="D10" i="22" s="1"/>
  <c r="E9" i="22"/>
  <c r="D9" i="22" s="1"/>
  <c r="E8" i="22"/>
  <c r="D8" i="22" s="1"/>
  <c r="C7" i="22"/>
  <c r="E7" i="22"/>
  <c r="D40" i="22"/>
  <c r="C40" i="22"/>
  <c r="D39" i="22"/>
  <c r="C39" i="22"/>
  <c r="D38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6" i="22"/>
  <c r="Y6" i="22" s="1"/>
  <c r="L120" i="22"/>
  <c r="I149" i="22" s="1"/>
  <c r="C5" i="36"/>
  <c r="C7" i="36"/>
  <c r="C9" i="36"/>
  <c r="E18" i="36"/>
  <c r="E16" i="36"/>
  <c r="E14" i="36"/>
  <c r="E12" i="36"/>
  <c r="E10" i="36"/>
  <c r="E8" i="36"/>
  <c r="E6" i="36"/>
  <c r="E4" i="36"/>
  <c r="I17" i="36"/>
  <c r="J17" i="36" s="1"/>
  <c r="D17" i="36"/>
  <c r="C17" i="36"/>
  <c r="C18" i="36" s="1"/>
  <c r="D18" i="36" s="1"/>
  <c r="C16" i="36"/>
  <c r="D16" i="36" s="1"/>
  <c r="I15" i="36"/>
  <c r="J15" i="36" s="1"/>
  <c r="D15" i="36"/>
  <c r="C14" i="36"/>
  <c r="D14" i="36" s="1"/>
  <c r="I13" i="36"/>
  <c r="J13" i="36" s="1"/>
  <c r="D13" i="36"/>
  <c r="C12" i="36"/>
  <c r="D12" i="36" s="1"/>
  <c r="I11" i="36"/>
  <c r="J11" i="36" s="1"/>
  <c r="D11" i="36"/>
  <c r="I9" i="36"/>
  <c r="J9" i="36" s="1"/>
  <c r="C10" i="36"/>
  <c r="D10" i="36" s="1"/>
  <c r="I7" i="36"/>
  <c r="J7" i="36" s="1"/>
  <c r="C8" i="36"/>
  <c r="D8" i="36" s="1"/>
  <c r="I5" i="36"/>
  <c r="J5" i="36" s="1"/>
  <c r="C6" i="36"/>
  <c r="D6" i="36" s="1"/>
  <c r="I3" i="36"/>
  <c r="J3" i="36" s="1"/>
  <c r="C3" i="36"/>
  <c r="C4" i="36" s="1"/>
  <c r="D4" i="36" s="1"/>
  <c r="F2" i="36"/>
  <c r="Z90" i="22" l="1"/>
  <c r="M96" i="22" s="1"/>
  <c r="Y90" i="22"/>
  <c r="M95" i="22" s="1"/>
  <c r="X144" i="22"/>
  <c r="W144" i="22"/>
  <c r="V144" i="22"/>
  <c r="U144" i="22"/>
  <c r="T144" i="22"/>
  <c r="S144" i="22"/>
  <c r="R144" i="22"/>
  <c r="X119" i="22"/>
  <c r="W119" i="22"/>
  <c r="V119" i="22"/>
  <c r="U119" i="22"/>
  <c r="T119" i="22"/>
  <c r="S119" i="22"/>
  <c r="R119" i="22"/>
  <c r="X90" i="22"/>
  <c r="W90" i="22"/>
  <c r="V90" i="22"/>
  <c r="V41" i="22"/>
  <c r="X41" i="22"/>
  <c r="W41" i="22"/>
  <c r="M41" i="22"/>
  <c r="L41" i="22"/>
  <c r="J41" i="22"/>
  <c r="I41" i="22"/>
  <c r="H41" i="22"/>
  <c r="G41" i="22"/>
  <c r="K41" i="22"/>
  <c r="G90" i="22"/>
  <c r="M90" i="22"/>
  <c r="L90" i="22"/>
  <c r="K90" i="22"/>
  <c r="J90" i="22"/>
  <c r="I90" i="22"/>
  <c r="H90" i="22"/>
  <c r="H161" i="22"/>
  <c r="N161" i="22"/>
  <c r="M161" i="22"/>
  <c r="L161" i="22"/>
  <c r="K161" i="22"/>
  <c r="J161" i="22"/>
  <c r="I161" i="22"/>
  <c r="Y41" i="22"/>
  <c r="M46" i="22" s="1"/>
  <c r="D7" i="22"/>
  <c r="E55" i="22"/>
  <c r="G4" i="22"/>
  <c r="I100" i="22" s="1"/>
  <c r="G53" i="22"/>
  <c r="L123" i="22"/>
  <c r="J149" i="22" s="1"/>
  <c r="U50" i="22"/>
  <c r="W50" i="22"/>
  <c r="V1" i="22"/>
  <c r="T1" i="22"/>
  <c r="D3" i="36"/>
  <c r="D5" i="36"/>
  <c r="D7" i="36"/>
  <c r="D9" i="36"/>
  <c r="J24" i="24"/>
  <c r="J50" i="24"/>
  <c r="I50" i="24"/>
  <c r="C39" i="24"/>
  <c r="F37" i="24"/>
  <c r="F33" i="24"/>
  <c r="K28" i="24"/>
  <c r="K26" i="24"/>
  <c r="J26" i="24"/>
  <c r="K25" i="24"/>
  <c r="J25" i="24"/>
  <c r="K24" i="24"/>
  <c r="F22" i="24"/>
  <c r="F21" i="24"/>
  <c r="G20" i="24"/>
  <c r="F17" i="24"/>
  <c r="F16" i="24"/>
  <c r="F15" i="24"/>
  <c r="F14" i="24"/>
  <c r="F13" i="24"/>
  <c r="F12" i="24"/>
  <c r="F11" i="24"/>
  <c r="S125" i="22" l="1"/>
  <c r="A164" i="22" s="1"/>
  <c r="K100" i="22"/>
  <c r="J27" i="24"/>
  <c r="K27" i="24" s="1"/>
  <c r="J29" i="24" l="1"/>
  <c r="D32" i="24" s="1"/>
  <c r="K29" i="24" l="1"/>
  <c r="B36" i="36" l="1"/>
  <c r="A36" i="36"/>
  <c r="B35" i="36"/>
  <c r="A35" i="36"/>
  <c r="B34" i="36"/>
  <c r="A34" i="36"/>
  <c r="B32" i="36"/>
  <c r="A32" i="36"/>
  <c r="B31" i="36"/>
  <c r="A31" i="36"/>
  <c r="B30" i="36"/>
  <c r="A30" i="36"/>
  <c r="B29" i="36"/>
  <c r="A29" i="36"/>
  <c r="B28" i="36"/>
  <c r="A28" i="36"/>
  <c r="B27" i="36"/>
  <c r="A27" i="36"/>
  <c r="B26" i="36"/>
  <c r="A26" i="36"/>
  <c r="B25" i="36"/>
  <c r="A25" i="36"/>
  <c r="B24" i="36"/>
  <c r="A24" i="36"/>
  <c r="B23" i="36"/>
  <c r="A23" i="36"/>
  <c r="B22" i="36"/>
  <c r="A22" i="36"/>
  <c r="B68" i="33"/>
  <c r="I68" i="33" s="1"/>
  <c r="B67" i="33"/>
  <c r="I67" i="33" s="1"/>
  <c r="B66" i="33"/>
  <c r="I66" i="33" s="1"/>
  <c r="B65" i="33"/>
  <c r="I65" i="33" s="1"/>
  <c r="B64" i="33"/>
  <c r="I64" i="33" s="1"/>
  <c r="B62" i="33"/>
  <c r="B60" i="33"/>
  <c r="B58" i="33"/>
  <c r="I58" i="33" s="1"/>
  <c r="B56" i="33"/>
  <c r="I56" i="33" s="1"/>
  <c r="B54" i="33"/>
  <c r="I54" i="33" s="1"/>
  <c r="B52" i="33"/>
  <c r="I52" i="33" s="1"/>
  <c r="B50" i="33"/>
  <c r="I50" i="33" s="1"/>
  <c r="B48" i="33"/>
  <c r="I48" i="33" s="1"/>
  <c r="B46" i="33"/>
  <c r="I46" i="33" s="1"/>
  <c r="B44" i="33"/>
  <c r="E40" i="33"/>
  <c r="L40" i="33" s="1"/>
  <c r="B40" i="33"/>
  <c r="B38" i="33"/>
  <c r="I38" i="33" s="1"/>
  <c r="B37" i="33"/>
  <c r="I37" i="33" s="1"/>
  <c r="I33" i="33"/>
  <c r="I32" i="33"/>
  <c r="I31" i="33"/>
  <c r="I30" i="33"/>
  <c r="I29" i="33"/>
  <c r="I27" i="33"/>
  <c r="I62" i="33" s="1"/>
  <c r="I25" i="33"/>
  <c r="I60" i="33" s="1"/>
  <c r="I23" i="33"/>
  <c r="I21" i="33"/>
  <c r="I19" i="33"/>
  <c r="I17" i="33"/>
  <c r="I15" i="33"/>
  <c r="I13" i="33"/>
  <c r="I11" i="33"/>
  <c r="I9" i="33"/>
  <c r="I44" i="33" s="1"/>
  <c r="L5" i="33"/>
  <c r="I5" i="33"/>
  <c r="I40" i="33" s="1"/>
  <c r="I3" i="33"/>
  <c r="I2" i="33"/>
  <c r="B60" i="28"/>
  <c r="I60" i="28" s="1"/>
  <c r="B59" i="28"/>
  <c r="I59" i="28" s="1"/>
  <c r="B58" i="28"/>
  <c r="I58" i="28" s="1"/>
  <c r="B57" i="28"/>
  <c r="I57" i="28" s="1"/>
  <c r="B56" i="28"/>
  <c r="I56" i="28" s="1"/>
  <c r="B54" i="28"/>
  <c r="I54" i="28" s="1"/>
  <c r="B53" i="28"/>
  <c r="I53" i="28" s="1"/>
  <c r="B51" i="28"/>
  <c r="I51" i="28" s="1"/>
  <c r="B49" i="28"/>
  <c r="I49" i="28" s="1"/>
  <c r="I45" i="28"/>
  <c r="B45" i="28"/>
  <c r="B43" i="28"/>
  <c r="I43" i="28" s="1"/>
  <c r="B41" i="28"/>
  <c r="I41" i="28" s="1"/>
  <c r="B36" i="28"/>
  <c r="I36" i="28" s="1"/>
  <c r="B34" i="28"/>
  <c r="I34" i="28" s="1"/>
  <c r="I29" i="28"/>
  <c r="I28" i="28"/>
  <c r="I27" i="28"/>
  <c r="I26" i="28"/>
  <c r="I25" i="28"/>
  <c r="I23" i="28"/>
  <c r="I22" i="28"/>
  <c r="I20" i="28"/>
  <c r="I18" i="28"/>
  <c r="I14" i="28"/>
  <c r="I12" i="28"/>
  <c r="I10" i="28"/>
  <c r="I5" i="28"/>
  <c r="I3" i="28"/>
  <c r="A169" i="22"/>
  <c r="G169" i="22" s="1"/>
  <c r="A168" i="22"/>
  <c r="G168" i="22" s="1"/>
  <c r="A167" i="22"/>
  <c r="G167" i="22" s="1"/>
  <c r="A166" i="22"/>
  <c r="G166" i="22" s="1"/>
  <c r="M103" i="22"/>
  <c r="L103" i="22"/>
  <c r="K103" i="22"/>
  <c r="J103" i="22"/>
  <c r="I103" i="22"/>
  <c r="H103" i="22"/>
  <c r="G103" i="22"/>
  <c r="M152" i="22"/>
  <c r="L102" i="22" s="1"/>
  <c r="W102" i="22" s="1"/>
  <c r="W127" i="22" s="1"/>
  <c r="L152" i="22"/>
  <c r="K102" i="22" s="1"/>
  <c r="V102" i="22" s="1"/>
  <c r="V127" i="22" s="1"/>
  <c r="K152" i="22"/>
  <c r="J102" i="22" s="1"/>
  <c r="U102" i="22" s="1"/>
  <c r="U127" i="22" s="1"/>
  <c r="B149" i="22"/>
  <c r="L143" i="22"/>
  <c r="A143" i="22"/>
  <c r="B143" i="22" s="1"/>
  <c r="N164" i="22"/>
  <c r="M106" i="22" s="1"/>
  <c r="M164" i="22"/>
  <c r="L106" i="22" s="1"/>
  <c r="L164" i="22"/>
  <c r="K106" i="22" s="1"/>
  <c r="K164" i="22"/>
  <c r="J106" i="22" s="1"/>
  <c r="J142" i="22"/>
  <c r="L142" i="22" s="1"/>
  <c r="A142" i="22"/>
  <c r="B142" i="22" s="1"/>
  <c r="J141" i="22"/>
  <c r="L141" i="22" s="1"/>
  <c r="A141" i="22"/>
  <c r="B141" i="22" s="1"/>
  <c r="A140" i="22"/>
  <c r="B140" i="22" s="1"/>
  <c r="F136" i="22"/>
  <c r="F135" i="22"/>
  <c r="F134" i="22"/>
  <c r="S127" i="22"/>
  <c r="R127" i="22"/>
  <c r="R126" i="22"/>
  <c r="Q126" i="22"/>
  <c r="O126" i="22"/>
  <c r="Q123" i="22"/>
  <c r="Q122" i="22"/>
  <c r="Q147" i="22" s="1"/>
  <c r="Q121" i="22"/>
  <c r="Q146" i="22" s="1"/>
  <c r="Q120" i="22"/>
  <c r="Q145" i="22" s="1"/>
  <c r="N163" i="22"/>
  <c r="M163" i="22"/>
  <c r="L163" i="22"/>
  <c r="K163" i="22"/>
  <c r="J110" i="22"/>
  <c r="I110" i="22"/>
  <c r="H110" i="22"/>
  <c r="G110" i="22"/>
  <c r="F110" i="22"/>
  <c r="D110" i="22"/>
  <c r="B110" i="22"/>
  <c r="F106" i="22"/>
  <c r="F105" i="22"/>
  <c r="A103" i="22"/>
  <c r="X102" i="22"/>
  <c r="X127" i="22" s="1"/>
  <c r="M102" i="22"/>
  <c r="I102" i="22"/>
  <c r="H102" i="22"/>
  <c r="G102" i="22"/>
  <c r="G100" i="22"/>
  <c r="F94" i="22"/>
  <c r="F93" i="22"/>
  <c r="F92" i="22"/>
  <c r="F91" i="22"/>
  <c r="J164" i="22"/>
  <c r="I106" i="22" s="1"/>
  <c r="I164" i="22"/>
  <c r="H106" i="22" s="1"/>
  <c r="H164" i="22"/>
  <c r="G106" i="22" s="1"/>
  <c r="B164" i="22"/>
  <c r="B106" i="22" s="1"/>
  <c r="A56" i="22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X54" i="22"/>
  <c r="X5" i="22" s="1"/>
  <c r="W54" i="22"/>
  <c r="W5" i="22" s="1"/>
  <c r="V54" i="22"/>
  <c r="V5" i="22" s="1"/>
  <c r="M54" i="22"/>
  <c r="L54" i="22"/>
  <c r="K54" i="22"/>
  <c r="J54" i="22"/>
  <c r="I54" i="22"/>
  <c r="H54" i="22"/>
  <c r="G54" i="22"/>
  <c r="F54" i="22"/>
  <c r="C54" i="22"/>
  <c r="A50" i="22"/>
  <c r="A99" i="22" s="1"/>
  <c r="F45" i="22"/>
  <c r="P4" i="22" s="1"/>
  <c r="F44" i="22"/>
  <c r="O4" i="22" s="1"/>
  <c r="F43" i="22"/>
  <c r="X43" i="22" s="1"/>
  <c r="F42" i="22"/>
  <c r="J163" i="22"/>
  <c r="I163" i="22"/>
  <c r="H163" i="22"/>
  <c r="D163" i="22"/>
  <c r="D105" i="22" s="1"/>
  <c r="B163" i="22"/>
  <c r="A7" i="22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9" i="22" s="1"/>
  <c r="A40" i="22" s="1"/>
  <c r="A163" i="22"/>
  <c r="F1" i="22"/>
  <c r="F50" i="22" s="1"/>
  <c r="H35" i="18"/>
  <c r="H37" i="18" s="1"/>
  <c r="H39" i="18" s="1"/>
  <c r="AF7" i="18" s="1"/>
  <c r="AH7" i="18" s="1"/>
  <c r="F35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D18" i="18"/>
  <c r="AG17" i="18"/>
  <c r="AH17" i="18" s="1"/>
  <c r="AD17" i="18"/>
  <c r="AG16" i="18"/>
  <c r="AH16" i="18" s="1"/>
  <c r="AG15" i="18"/>
  <c r="AH15" i="18" s="1"/>
  <c r="AG14" i="18"/>
  <c r="AH14" i="18" s="1"/>
  <c r="AG13" i="18"/>
  <c r="AH13" i="18" s="1"/>
  <c r="AD13" i="18"/>
  <c r="AG12" i="18"/>
  <c r="AH12" i="18" s="1"/>
  <c r="AD12" i="18"/>
  <c r="AG11" i="18"/>
  <c r="AH11" i="18" s="1"/>
  <c r="AD11" i="18"/>
  <c r="AG10" i="18"/>
  <c r="AH10" i="18" s="1"/>
  <c r="AD10" i="18"/>
  <c r="AG9" i="18"/>
  <c r="AH9" i="18" s="1"/>
  <c r="AD9" i="18"/>
  <c r="AG7" i="18"/>
  <c r="AG6" i="18"/>
  <c r="D36" i="19"/>
  <c r="D38" i="19" s="1"/>
  <c r="Q34" i="19"/>
  <c r="P34" i="19"/>
  <c r="O34" i="19"/>
  <c r="N34" i="19"/>
  <c r="L34" i="19"/>
  <c r="K34" i="19"/>
  <c r="U13" i="19" s="1"/>
  <c r="V13" i="19" s="1"/>
  <c r="J34" i="19"/>
  <c r="I34" i="19"/>
  <c r="H34" i="19"/>
  <c r="G34" i="19"/>
  <c r="F34" i="19"/>
  <c r="E34" i="19"/>
  <c r="U19" i="19"/>
  <c r="V19" i="19" s="1"/>
  <c r="U18" i="19"/>
  <c r="V18" i="19" s="1"/>
  <c r="U17" i="19"/>
  <c r="V17" i="19" s="1"/>
  <c r="R17" i="19"/>
  <c r="U16" i="19"/>
  <c r="V16" i="19" s="1"/>
  <c r="U14" i="19"/>
  <c r="V14" i="19" s="1"/>
  <c r="R14" i="19"/>
  <c r="R13" i="19"/>
  <c r="U12" i="19"/>
  <c r="V12" i="19" s="1"/>
  <c r="R12" i="19"/>
  <c r="U11" i="19"/>
  <c r="V11" i="19" s="1"/>
  <c r="R11" i="19"/>
  <c r="U10" i="19"/>
  <c r="V10" i="19" s="1"/>
  <c r="R10" i="19"/>
  <c r="U9" i="19"/>
  <c r="V9" i="19" s="1"/>
  <c r="R9" i="19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U6" i="19"/>
  <c r="T6" i="19"/>
  <c r="V6" i="19" s="1"/>
  <c r="X45" i="22" l="1"/>
  <c r="W45" i="22"/>
  <c r="V45" i="22"/>
  <c r="M45" i="22"/>
  <c r="L45" i="22"/>
  <c r="K45" i="22"/>
  <c r="S123" i="22"/>
  <c r="X148" i="22"/>
  <c r="V148" i="22"/>
  <c r="X123" i="22"/>
  <c r="V123" i="22"/>
  <c r="T123" i="22"/>
  <c r="R123" i="22"/>
  <c r="W123" i="22"/>
  <c r="U123" i="22"/>
  <c r="W148" i="22"/>
  <c r="Q148" i="22"/>
  <c r="A115" i="22"/>
  <c r="W94" i="22"/>
  <c r="M94" i="22"/>
  <c r="K94" i="22"/>
  <c r="J94" i="22"/>
  <c r="H94" i="22"/>
  <c r="X94" i="22"/>
  <c r="V94" i="22"/>
  <c r="L94" i="22"/>
  <c r="I94" i="22"/>
  <c r="G94" i="22"/>
  <c r="P53" i="22"/>
  <c r="W93" i="22"/>
  <c r="O53" i="22"/>
  <c r="A113" i="22"/>
  <c r="M92" i="22"/>
  <c r="L92" i="22"/>
  <c r="I92" i="22"/>
  <c r="N53" i="22"/>
  <c r="H92" i="22"/>
  <c r="M91" i="22"/>
  <c r="X91" i="22"/>
  <c r="K91" i="22"/>
  <c r="M53" i="22"/>
  <c r="L91" i="22"/>
  <c r="H91" i="22"/>
  <c r="G91" i="22"/>
  <c r="W91" i="22"/>
  <c r="D164" i="22"/>
  <c r="D106" i="22" s="1"/>
  <c r="F120" i="22"/>
  <c r="B95" i="22"/>
  <c r="G50" i="22" s="1"/>
  <c r="E172" i="22" s="1"/>
  <c r="I45" i="22"/>
  <c r="J45" i="22"/>
  <c r="H45" i="22"/>
  <c r="G45" i="22"/>
  <c r="M44" i="22"/>
  <c r="H44" i="22"/>
  <c r="G44" i="22"/>
  <c r="K44" i="22"/>
  <c r="X44" i="22"/>
  <c r="W44" i="22"/>
  <c r="L44" i="22"/>
  <c r="W42" i="22"/>
  <c r="M42" i="22"/>
  <c r="I42" i="22"/>
  <c r="M4" i="22"/>
  <c r="F37" i="18"/>
  <c r="F39" i="18" s="1"/>
  <c r="AF6" i="18"/>
  <c r="AH6" i="18" s="1"/>
  <c r="U145" i="22"/>
  <c r="X145" i="22"/>
  <c r="T145" i="22"/>
  <c r="W145" i="22"/>
  <c r="S145" i="22"/>
  <c r="V145" i="22"/>
  <c r="R145" i="22"/>
  <c r="U146" i="22"/>
  <c r="X146" i="22"/>
  <c r="T146" i="22"/>
  <c r="W146" i="22"/>
  <c r="S146" i="22"/>
  <c r="V146" i="22"/>
  <c r="R146" i="22"/>
  <c r="U147" i="22"/>
  <c r="X147" i="22"/>
  <c r="T147" i="22"/>
  <c r="W147" i="22"/>
  <c r="S147" i="22"/>
  <c r="V147" i="22"/>
  <c r="R147" i="22"/>
  <c r="J43" i="22"/>
  <c r="H42" i="22"/>
  <c r="L42" i="22"/>
  <c r="X42" i="22"/>
  <c r="I43" i="22"/>
  <c r="M43" i="22"/>
  <c r="J44" i="22"/>
  <c r="V44" i="22"/>
  <c r="J91" i="22"/>
  <c r="V91" i="22"/>
  <c r="G92" i="22"/>
  <c r="K92" i="22"/>
  <c r="W92" i="22"/>
  <c r="H93" i="22"/>
  <c r="L93" i="22"/>
  <c r="X93" i="22"/>
  <c r="A114" i="22"/>
  <c r="T120" i="22"/>
  <c r="X120" i="22"/>
  <c r="T121" i="22"/>
  <c r="X121" i="22"/>
  <c r="S122" i="22"/>
  <c r="W122" i="22"/>
  <c r="X92" i="22"/>
  <c r="I93" i="22"/>
  <c r="M93" i="22"/>
  <c r="U120" i="22"/>
  <c r="U121" i="22"/>
  <c r="T122" i="22"/>
  <c r="X122" i="22"/>
  <c r="J42" i="22"/>
  <c r="V42" i="22"/>
  <c r="G43" i="22"/>
  <c r="K43" i="22"/>
  <c r="W43" i="22"/>
  <c r="J93" i="22"/>
  <c r="V93" i="22"/>
  <c r="A112" i="22"/>
  <c r="R120" i="22"/>
  <c r="V120" i="22"/>
  <c r="R121" i="22"/>
  <c r="V121" i="22"/>
  <c r="U122" i="22"/>
  <c r="V43" i="22"/>
  <c r="N4" i="22"/>
  <c r="G42" i="22"/>
  <c r="K42" i="22"/>
  <c r="H43" i="22"/>
  <c r="L43" i="22"/>
  <c r="I44" i="22"/>
  <c r="I91" i="22"/>
  <c r="J92" i="22"/>
  <c r="V92" i="22"/>
  <c r="G93" i="22"/>
  <c r="K93" i="22"/>
  <c r="S120" i="22"/>
  <c r="W120" i="22"/>
  <c r="S121" i="22"/>
  <c r="W121" i="22"/>
  <c r="R122" i="22"/>
  <c r="V122" i="22"/>
  <c r="A106" i="22"/>
  <c r="S100" i="22"/>
  <c r="A105" i="22"/>
  <c r="M105" i="22"/>
  <c r="M107" i="22" s="1"/>
  <c r="N165" i="22"/>
  <c r="N170" i="22" s="1"/>
  <c r="J105" i="22"/>
  <c r="J107" i="22" s="1"/>
  <c r="K165" i="22"/>
  <c r="K170" i="22" s="1"/>
  <c r="L165" i="22"/>
  <c r="L170" i="22" s="1"/>
  <c r="K105" i="22"/>
  <c r="K107" i="22" s="1"/>
  <c r="M165" i="22"/>
  <c r="M170" i="22" s="1"/>
  <c r="L105" i="22"/>
  <c r="L107" i="22" s="1"/>
  <c r="H165" i="22"/>
  <c r="H170" i="22"/>
  <c r="G105" i="22"/>
  <c r="G107" i="22" s="1"/>
  <c r="B165" i="22"/>
  <c r="B107" i="22" s="1"/>
  <c r="B105" i="22"/>
  <c r="I105" i="22"/>
  <c r="I107" i="22" s="1"/>
  <c r="J165" i="22"/>
  <c r="J170" i="22"/>
  <c r="I170" i="22"/>
  <c r="H105" i="22"/>
  <c r="H107" i="22" s="1"/>
  <c r="I165" i="22"/>
  <c r="F119" i="22"/>
  <c r="B46" i="22"/>
  <c r="G1" i="22" s="1"/>
  <c r="D165" i="22"/>
  <c r="D107" i="22" s="1"/>
  <c r="L169" i="22" l="1"/>
  <c r="N169" i="22"/>
  <c r="I115" i="22"/>
  <c r="J115" i="22"/>
  <c r="B113" i="22"/>
  <c r="D114" i="22"/>
  <c r="G115" i="22"/>
  <c r="J112" i="22"/>
  <c r="H112" i="22"/>
  <c r="I113" i="22"/>
  <c r="J114" i="22"/>
  <c r="B114" i="22"/>
  <c r="H115" i="22"/>
  <c r="D169" i="22"/>
  <c r="F115" i="22"/>
  <c r="I112" i="22"/>
  <c r="F113" i="22"/>
  <c r="J113" i="22"/>
  <c r="I114" i="22"/>
  <c r="F114" i="22"/>
  <c r="F112" i="22"/>
  <c r="B168" i="22"/>
  <c r="H114" i="22"/>
  <c r="M166" i="22"/>
  <c r="M167" i="22"/>
  <c r="L168" i="22"/>
  <c r="D166" i="22"/>
  <c r="F141" i="22"/>
  <c r="R148" i="22"/>
  <c r="U148" i="22"/>
  <c r="K169" i="22" s="1"/>
  <c r="S148" i="22"/>
  <c r="T148" i="22"/>
  <c r="M169" i="22"/>
  <c r="N166" i="22"/>
  <c r="N167" i="22"/>
  <c r="M168" i="22"/>
  <c r="K166" i="22"/>
  <c r="K167" i="22"/>
  <c r="N168" i="22"/>
  <c r="G112" i="22"/>
  <c r="B167" i="22"/>
  <c r="H113" i="22"/>
  <c r="L166" i="22"/>
  <c r="L167" i="22"/>
  <c r="K168" i="22"/>
  <c r="F121" i="22"/>
  <c r="F137" i="22" s="1"/>
  <c r="F143" i="22"/>
  <c r="D115" i="22"/>
  <c r="B169" i="22"/>
  <c r="B115" i="22"/>
  <c r="F140" i="22"/>
  <c r="D112" i="22"/>
  <c r="F142" i="22"/>
  <c r="D168" i="22"/>
  <c r="B166" i="22"/>
  <c r="B112" i="22"/>
  <c r="D167" i="22"/>
  <c r="D113" i="22"/>
  <c r="G113" i="22"/>
  <c r="G114" i="22"/>
  <c r="F116" i="22" l="1"/>
  <c r="J116" i="22"/>
  <c r="I116" i="22"/>
  <c r="B116" i="22"/>
  <c r="H116" i="22"/>
  <c r="D116" i="22"/>
  <c r="G11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C672A223-5DB8-4085-BD8A-C1478AD0DD9C}">
      <text>
        <r>
          <rPr>
            <sz val="9"/>
            <color indexed="81"/>
            <rFont val="Segoe UI"/>
            <family val="2"/>
          </rPr>
          <t xml:space="preserve">Unesi datum npr. za 15.6.2026 na način 15/6 ili 15-6 </t>
        </r>
      </text>
    </comment>
    <comment ref="E6" authorId="0" shapeId="0" xr:uid="{96F7921B-8096-4BB4-88EC-1D11748A9EFB}">
      <text>
        <r>
          <rPr>
            <sz val="9"/>
            <color indexed="81"/>
            <rFont val="Segoe UI"/>
            <family val="2"/>
          </rPr>
          <t xml:space="preserve">Unesi broj prvog fiskaliziranog računa </t>
        </r>
      </text>
    </comment>
    <comment ref="B55" authorId="0" shapeId="0" xr:uid="{498D2326-30DF-4D68-A1B2-040F8186E474}">
      <text>
        <r>
          <rPr>
            <sz val="9"/>
            <color indexed="81"/>
            <rFont val="Segoe UI"/>
            <family val="2"/>
          </rPr>
          <t xml:space="preserve">Unesi datum npr. za 15.6.2026 na način 15/6 ili 15-6 </t>
        </r>
      </text>
    </comment>
  </commentList>
</comments>
</file>

<file path=xl/sharedStrings.xml><?xml version="1.0" encoding="utf-8"?>
<sst xmlns="http://schemas.openxmlformats.org/spreadsheetml/2006/main" count="356" uniqueCount="243">
  <si>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</si>
  <si>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</si>
  <si>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</si>
  <si>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</si>
  <si>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</si>
  <si>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</si>
  <si>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</si>
  <si>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</si>
  <si>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</si>
  <si>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</si>
  <si>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</si>
  <si>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</si>
  <si>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</si>
  <si>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</si>
  <si>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</si>
  <si>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</si>
  <si>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</si>
  <si>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</si>
  <si>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</si>
  <si>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</si>
  <si>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</si>
  <si>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</si>
  <si>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</si>
  <si>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</si>
  <si>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</si>
  <si>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</si>
  <si>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</si>
  <si>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</si>
  <si>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</si>
  <si>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</si>
  <si>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</si>
  <si>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</si>
  <si>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</si>
  <si>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</si>
  <si>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</si>
  <si>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</si>
  <si>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</si>
  <si>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</si>
  <si>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</si>
  <si>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</si>
  <si>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</si>
  <si>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</si>
  <si>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</si>
  <si>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</si>
  <si>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</si>
  <si>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</si>
  <si>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</si>
  <si>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</si>
  <si>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</si>
  <si>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</si>
  <si>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</si>
  <si>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</si>
  <si>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</si>
  <si>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</si>
  <si>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</si>
  <si>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</si>
  <si>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</si>
  <si>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</si>
  <si>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</si>
  <si>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</si>
  <si>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</si>
  <si>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</si>
  <si>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</si>
  <si>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</si>
  <si>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</si>
  <si>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>KARTICA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</si>
  <si>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</si>
  <si>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</si>
  <si>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</si>
  <si>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</si>
  <si>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</si>
  <si>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</si>
  <si>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</si>
  <si>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</si>
  <si>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</si>
  <si>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</si>
  <si>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POLOZI / PAZAR KEŠ</t>
  </si>
  <si>
    <t>TABLICA STANJE SKLADIŠTA / KOMBI</t>
  </si>
  <si>
    <t xml:space="preserve">UKUPNO ZA BANKU KEŠ : </t>
  </si>
  <si>
    <t xml:space="preserve">UKUPNO TREBA OSTATI ROBE U KOMBIJU : </t>
  </si>
  <si>
    <t>Vozać</t>
  </si>
  <si>
    <t>Team</t>
  </si>
  <si>
    <t>IME PREZIME KUPCA / OPIS / KOMENTAR</t>
  </si>
  <si>
    <t>Prodao</t>
  </si>
  <si>
    <t xml:space="preserve">DATUM </t>
  </si>
  <si>
    <t>BANKA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</si>
  <si>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</si>
  <si>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</si>
  <si>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</si>
  <si>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</si>
  <si>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</si>
  <si>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</si>
  <si>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</si>
  <si>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</si>
  <si>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</si>
  <si>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</si>
  <si>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</si>
  <si>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</si>
  <si>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</si>
  <si>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Ukupno :</t>
  </si>
  <si>
    <t>Navedi timovi koji rade</t>
  </si>
  <si>
    <t>Položenu u</t>
  </si>
  <si>
    <t>OSTALO PRIJE PUNJENJA OD PROŠLOG TJEDAN</t>
  </si>
  <si>
    <t>Banke s kojima radimo</t>
  </si>
  <si>
    <t>Navedi vozače</t>
  </si>
  <si>
    <t>PROMET</t>
  </si>
  <si>
    <t>GOTOVINA</t>
  </si>
  <si>
    <t>Otpis :</t>
  </si>
  <si>
    <t>TJEDAN</t>
  </si>
  <si>
    <t>UKUPNO :</t>
  </si>
  <si>
    <t>Timovi:</t>
  </si>
  <si>
    <t xml:space="preserve"> POLOŽENO U BANKU : </t>
  </si>
  <si>
    <t>Prodavač:</t>
  </si>
  <si>
    <t>Naziv proizvoda</t>
  </si>
  <si>
    <t xml:space="preserve">Cijena </t>
  </si>
  <si>
    <t>Ukupno</t>
  </si>
  <si>
    <t>Ukupno za platiti:</t>
  </si>
  <si>
    <t>Kredit:</t>
  </si>
  <si>
    <t xml:space="preserve">Zahtjev za kredit iznosi </t>
  </si>
  <si>
    <t xml:space="preserve">na </t>
  </si>
  <si>
    <t>mjesečnih rata.</t>
  </si>
  <si>
    <t>i u druge svrhe ne može se upotrijebiti.</t>
  </si>
  <si>
    <t>M.P.</t>
  </si>
  <si>
    <t>(potpis kupca)</t>
  </si>
  <si>
    <t>Količina</t>
  </si>
  <si>
    <t>Kupac:</t>
  </si>
  <si>
    <t>Plaćeno gotovinom / karticom:</t>
  </si>
  <si>
    <t xml:space="preserve">Ime: </t>
  </si>
  <si>
    <t xml:space="preserve">Prezime: </t>
  </si>
  <si>
    <t xml:space="preserve">Ulica i broj: </t>
  </si>
  <si>
    <t xml:space="preserve">Poštanski broj: </t>
  </si>
  <si>
    <t xml:space="preserve">Mjesto: </t>
  </si>
  <si>
    <t xml:space="preserve">JMBG: </t>
  </si>
  <si>
    <t xml:space="preserve">Telefon: </t>
  </si>
  <si>
    <t>Predračun služi samo za ishodovanje kredita kod</t>
  </si>
  <si>
    <t>TIM</t>
  </si>
  <si>
    <t>Položeno</t>
  </si>
  <si>
    <t>Treba položiti</t>
  </si>
  <si>
    <t xml:space="preserve">IME: </t>
  </si>
  <si>
    <t>PREZIME:</t>
  </si>
  <si>
    <t>ULICA:</t>
  </si>
  <si>
    <t>MJESTO:</t>
  </si>
  <si>
    <t>TELEFON:</t>
  </si>
  <si>
    <t>POTPIS:</t>
  </si>
  <si>
    <t>POŠTANSKI BROJ:</t>
  </si>
  <si>
    <t xml:space="preserve">IME on: </t>
  </si>
  <si>
    <t xml:space="preserve">IME ona: </t>
  </si>
  <si>
    <t>Potvrda o primitku poklona za bračne parove</t>
  </si>
  <si>
    <t>Potpisom potvrđujem da sam dobio poklon</t>
  </si>
  <si>
    <t>POTPIS ona:</t>
  </si>
  <si>
    <t>Potpis on:</t>
  </si>
  <si>
    <t>REGISTRACIJSKI LIST prisutnih</t>
  </si>
  <si>
    <t>Poklon za bračne parove:</t>
  </si>
  <si>
    <t>PRODANO / PODIJELITO PO TJEDNIMA</t>
  </si>
  <si>
    <t>Predavač DONIO</t>
  </si>
  <si>
    <t>EUROEXPRESS</t>
  </si>
  <si>
    <t>Navedi poklon</t>
  </si>
  <si>
    <t>Dijelimo komada</t>
  </si>
  <si>
    <t>Tablica poklona</t>
  </si>
  <si>
    <t xml:space="preserve">Poklon II : </t>
  </si>
  <si>
    <t xml:space="preserve">Poklon I : </t>
  </si>
  <si>
    <t xml:space="preserve">Poklon III : </t>
  </si>
  <si>
    <t>Kosmo</t>
  </si>
  <si>
    <t>Nož</t>
  </si>
  <si>
    <t>Datum: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</si>
  <si>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</si>
  <si>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</si>
  <si>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</si>
  <si>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</si>
  <si>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</si>
  <si>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</si>
  <si>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(ponudu satavio)</t>
  </si>
  <si>
    <t>Tjedan:</t>
  </si>
  <si>
    <t>TABLICA potrošnje</t>
  </si>
  <si>
    <t xml:space="preserve">Ukupno: </t>
  </si>
  <si>
    <t>Došlo</t>
  </si>
  <si>
    <t>Prezentacije</t>
  </si>
  <si>
    <t>KREMA</t>
  </si>
  <si>
    <t>Bubrežnjak</t>
  </si>
  <si>
    <t>IP</t>
  </si>
  <si>
    <t>Podijelito poklona</t>
  </si>
  <si>
    <t>Gost</t>
  </si>
  <si>
    <t>artikl / paket</t>
  </si>
  <si>
    <t>popust</t>
  </si>
  <si>
    <t>LMS+TO</t>
  </si>
  <si>
    <t>LMS+TO   gotovina</t>
  </si>
  <si>
    <t>Natural solution d.o.o., Bar</t>
  </si>
  <si>
    <t>U skladu sa odredbom Zakona o zaštiti ličnih podataka izjavljujem i potpisom</t>
  </si>
  <si>
    <t>potvrđujem svoju saglasnost da Natural solution d.o.o." iz Bara preduzima</t>
  </si>
  <si>
    <t>svojim potpisom potvrđujem pristnak</t>
  </si>
  <si>
    <t>sve radnje vezano za obradu mojih ličnih podataka u skladu sa zakonom u</t>
  </si>
  <si>
    <t xml:space="preserve">okviru svoje poslovne delatnosti, te se odričem prava da se takvoj obradi </t>
  </si>
  <si>
    <t>protivim.</t>
  </si>
  <si>
    <t>TABLICA PROMETA TJEDAN :</t>
  </si>
  <si>
    <t>Na firmu rate</t>
  </si>
  <si>
    <t>Prva dva tjedna</t>
  </si>
  <si>
    <t>Zadnja dva tjedan</t>
  </si>
  <si>
    <t>CKB OTP</t>
  </si>
  <si>
    <t>TABLICA POLOZI / PAZAR KEŠ od prošla tura</t>
  </si>
  <si>
    <t>Zadnji tjedan</t>
  </si>
  <si>
    <t>Prvi i drugi tjedan gosti:</t>
  </si>
  <si>
    <t>Natural solution d.o.o.</t>
  </si>
  <si>
    <t>85000 Bar, Crna Gora</t>
  </si>
  <si>
    <t>U Baru dana</t>
  </si>
  <si>
    <t>Anke Asanović 38</t>
  </si>
  <si>
    <t>€</t>
  </si>
  <si>
    <t>LMS+TO+IP</t>
  </si>
  <si>
    <t>TO+IP</t>
  </si>
  <si>
    <t>LMS+IP</t>
  </si>
  <si>
    <t>PIB: 03397726    809     
PDV broj: 80/31-04639-5</t>
  </si>
  <si>
    <t>Cijenik MPC</t>
  </si>
  <si>
    <t>Prvi tjedan</t>
  </si>
  <si>
    <t>PREDRAČUN BROJ :</t>
  </si>
  <si>
    <t>Natural solution d.o.o. plaćanje po predračunu</t>
  </si>
  <si>
    <t>PIO Fond penzijskog  i invalidskg osiguranja Crne Gore</t>
  </si>
  <si>
    <t>Šifra proizvoda</t>
  </si>
  <si>
    <t>Učešće na firmu</t>
  </si>
  <si>
    <t>Dio na rate (6 rata)</t>
  </si>
  <si>
    <t>Iznos jedne rate</t>
  </si>
  <si>
    <t>LMS+TO+IP gotovina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</si>
  <si>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</si>
  <si>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</si>
  <si>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</si>
  <si>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</si>
  <si>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</si>
  <si>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</si>
  <si>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</si>
  <si>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Cijena predstavljanja</t>
  </si>
  <si>
    <t>popust u postocima koji kucate</t>
  </si>
  <si>
    <t>B. parova</t>
  </si>
  <si>
    <t>tjedan</t>
  </si>
  <si>
    <t>i</t>
  </si>
  <si>
    <t>TABLICA PROMETA TJEDAN</t>
  </si>
  <si>
    <t xml:space="preserve">Treći i četvrti tjedan gosti : </t>
  </si>
  <si>
    <t>Žiralno storno</t>
  </si>
  <si>
    <t>Storno gotovina</t>
  </si>
  <si>
    <t>xxx</t>
  </si>
  <si>
    <t>Licenca vrijedi do:</t>
  </si>
  <si>
    <t>ERSTE Bank</t>
  </si>
  <si>
    <t>Cjenik od 1.7.2026</t>
  </si>
  <si>
    <t>Račun kod ERSTE Bank: 540-1524694</t>
  </si>
  <si>
    <t>Ostalo</t>
  </si>
  <si>
    <t>Verzija 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</si>
</sst>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kn&quot;_-;\-* #,##0.00\ &quot;kn&quot;_-;_-* &quot;-&quot;??\ &quot;kn&quot;_-;_-@_-"/>
    <numFmt numFmtId="164" formatCode="#,##0.00_ ;\-#,##0.00\ "/>
    <numFmt numFmtId="165" formatCode="#,##0.00_ ;[Red]\-#,##0.00\ "/>
    <numFmt numFmtId="166" formatCode="dd/mm/yy/;@"/>
    <numFmt numFmtId="167" formatCode="0.00_ ;[Red]\-0.00\ "/>
    <numFmt numFmtId="168" formatCode="_-* #,##0.00\ [$kn-41A]_-;\-* #,##0.00\ [$kn-41A]_-;_-* &quot;-&quot;??\ [$kn-41A]_-;_-@_-"/>
    <numFmt numFmtId="169" formatCode="#,##0.00\ [$€-1];[Red]\-#,##0.00\ [$€-1]"/>
    <numFmt numFmtId="170" formatCode="_-* #,##0.00\ [$€-1]_-;\-* #,##0.00\ [$€-1]_-;_-* &quot;-&quot;??\ [$€-1]_-;_-@_-"/>
    <numFmt numFmtId="171" formatCode="0.000000%"/>
  </numFmts>
  <fonts count="49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sz val="12"/>
      <name val="Arial"/>
      <family val="2"/>
      <charset val="238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b/>
      <i/>
      <u/>
      <sz val="12"/>
      <name val="Arial"/>
      <family val="2"/>
      <charset val="238"/>
    </font>
    <font>
      <sz val="12"/>
      <color rgb="FFFF0000"/>
      <name val="Arial"/>
      <family val="2"/>
      <charset val="238"/>
    </font>
    <font>
      <b/>
      <sz val="9"/>
      <name val="Times New Roman"/>
      <family val="1"/>
      <charset val="238"/>
    </font>
    <font>
      <sz val="7"/>
      <name val="Arial"/>
      <family val="2"/>
      <charset val="238"/>
    </font>
    <font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6"/>
      <color rgb="FFFF0000"/>
      <name val="Arial"/>
      <family val="2"/>
    </font>
    <font>
      <sz val="6"/>
      <color indexed="8"/>
      <name val="Arial"/>
      <family val="2"/>
    </font>
    <font>
      <sz val="6"/>
      <color theme="0"/>
      <name val="Arial"/>
      <family val="2"/>
    </font>
    <font>
      <sz val="6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rial"/>
      <family val="2"/>
    </font>
    <font>
      <sz val="7"/>
      <color theme="0"/>
      <name val="Arial"/>
      <family val="2"/>
    </font>
    <font>
      <sz val="7"/>
      <name val="Arial"/>
      <family val="2"/>
    </font>
    <font>
      <sz val="7"/>
      <color rgb="FFED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0"/>
      <color rgb="FFED0000"/>
      <name val="Arial"/>
      <family val="2"/>
    </font>
    <font>
      <sz val="14"/>
      <color rgb="FFED0000"/>
      <name val="Arial"/>
      <family val="2"/>
    </font>
    <font>
      <sz val="7"/>
      <color rgb="FFFFFFFF"/>
      <name val="Arial"/>
      <family val="2"/>
    </font>
    <font>
      <sz val="6"/>
      <color rgb="FFFFFFFF"/>
      <name val="Arial"/>
      <family val="2"/>
    </font>
    <font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840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/>
    <xf numFmtId="0" fontId="1" fillId="0" borderId="42" xfId="0" applyFont="1" applyBorder="1" applyAlignment="1">
      <alignment horizontal="center" vertical="center" wrapText="1"/>
    </xf>
    <xf numFmtId="0" fontId="17" fillId="0" borderId="0" xfId="0" applyFont="1"/>
    <xf numFmtId="0" fontId="17" fillId="0" borderId="18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2" fontId="21" fillId="0" borderId="0" xfId="0" applyNumberFormat="1" applyFont="1"/>
    <xf numFmtId="0" fontId="21" fillId="0" borderId="0" xfId="0" applyFont="1"/>
    <xf numFmtId="0" fontId="17" fillId="0" borderId="0" xfId="0" applyFont="1" applyAlignment="1">
      <alignment horizontal="center"/>
    </xf>
    <xf numFmtId="0" fontId="20" fillId="0" borderId="0" xfId="0" applyFont="1"/>
    <xf numFmtId="0" fontId="17" fillId="0" borderId="59" xfId="0" applyFont="1" applyBorder="1"/>
    <xf numFmtId="0" fontId="17" fillId="0" borderId="75" xfId="0" applyFont="1" applyBorder="1"/>
    <xf numFmtId="0" fontId="17" fillId="0" borderId="60" xfId="0" applyFont="1" applyBorder="1"/>
    <xf numFmtId="0" fontId="0" fillId="0" borderId="36" xfId="0" applyBorder="1"/>
    <xf numFmtId="4" fontId="20" fillId="0" borderId="3" xfId="0" applyNumberFormat="1" applyFont="1" applyBorder="1"/>
    <xf numFmtId="4" fontId="20" fillId="0" borderId="14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7" fillId="0" borderId="0" xfId="0" applyFont="1" applyProtection="1">
      <protection locked="0"/>
    </xf>
    <xf numFmtId="4" fontId="17" fillId="0" borderId="9" xfId="0" applyNumberFormat="1" applyFont="1" applyBorder="1" applyProtection="1">
      <protection locked="0"/>
    </xf>
    <xf numFmtId="0" fontId="17" fillId="0" borderId="0" xfId="0" applyFont="1" applyAlignment="1">
      <alignment horizontal="center" vertical="center"/>
    </xf>
    <xf numFmtId="0" fontId="22" fillId="0" borderId="0" xfId="0" applyFont="1"/>
    <xf numFmtId="0" fontId="19" fillId="0" borderId="0" xfId="0" applyFo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7" fillId="0" borderId="74" xfId="0" applyFont="1" applyBorder="1"/>
    <xf numFmtId="0" fontId="17" fillId="0" borderId="15" xfId="0" applyFont="1" applyBorder="1"/>
    <xf numFmtId="0" fontId="17" fillId="0" borderId="36" xfId="0" applyFont="1" applyBorder="1"/>
    <xf numFmtId="0" fontId="17" fillId="0" borderId="56" xfId="0" applyFont="1" applyBorder="1"/>
    <xf numFmtId="0" fontId="17" fillId="0" borderId="24" xfId="0" applyFont="1" applyBorder="1"/>
    <xf numFmtId="0" fontId="17" fillId="0" borderId="58" xfId="0" applyFont="1" applyBorder="1"/>
    <xf numFmtId="0" fontId="23" fillId="0" borderId="0" xfId="0" applyFont="1"/>
    <xf numFmtId="0" fontId="24" fillId="0" borderId="0" xfId="0" applyFont="1"/>
    <xf numFmtId="49" fontId="24" fillId="0" borderId="0" xfId="0" applyNumberFormat="1" applyFont="1"/>
    <xf numFmtId="0" fontId="24" fillId="0" borderId="15" xfId="0" applyFont="1" applyBorder="1"/>
    <xf numFmtId="0" fontId="24" fillId="0" borderId="74" xfId="0" applyFont="1" applyBorder="1"/>
    <xf numFmtId="0" fontId="0" fillId="0" borderId="74" xfId="0" applyBorder="1"/>
    <xf numFmtId="0" fontId="2" fillId="0" borderId="24" xfId="0" applyFont="1" applyBorder="1"/>
    <xf numFmtId="0" fontId="0" fillId="0" borderId="15" xfId="0" applyBorder="1"/>
    <xf numFmtId="0" fontId="17" fillId="0" borderId="0" xfId="0" applyFont="1" applyAlignment="1">
      <alignment horizontal="center"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0" xfId="0" applyFont="1" applyAlignment="1" applyProtection="1">
      <alignment horizontal="center"/>
      <protection locked="0"/>
    </xf>
    <xf numFmtId="0" fontId="17" fillId="0" borderId="36" xfId="0" applyFont="1" applyBorder="1" applyAlignment="1">
      <alignment horizontal="center"/>
    </xf>
    <xf numFmtId="14" fontId="17" fillId="0" borderId="0" xfId="0" applyNumberFormat="1" applyFont="1" applyAlignment="1">
      <alignment shrinkToFit="1"/>
    </xf>
    <xf numFmtId="0" fontId="17" fillId="0" borderId="0" xfId="0" applyFont="1" applyAlignment="1">
      <alignment horizontal="left" vertical="center"/>
    </xf>
    <xf numFmtId="169" fontId="0" fillId="0" borderId="10" xfId="0" applyNumberFormat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169" fontId="0" fillId="0" borderId="21" xfId="0" applyNumberFormat="1" applyBorder="1" applyAlignment="1">
      <alignment horizontal="center"/>
    </xf>
    <xf numFmtId="169" fontId="0" fillId="0" borderId="22" xfId="0" applyNumberFormat="1" applyBorder="1" applyAlignment="1">
      <alignment horizontal="center"/>
    </xf>
    <xf numFmtId="168" fontId="19" fillId="0" borderId="0" xfId="0" applyNumberFormat="1" applyFont="1"/>
    <xf numFmtId="170" fontId="19" fillId="0" borderId="0" xfId="0" applyNumberFormat="1" applyFont="1"/>
    <xf numFmtId="0" fontId="17" fillId="0" borderId="0" xfId="0" applyFont="1" applyAlignment="1">
      <alignment horizontal="right"/>
    </xf>
    <xf numFmtId="0" fontId="17" fillId="0" borderId="37" xfId="0" applyFont="1" applyBorder="1" applyAlignment="1">
      <alignment horizontal="center" vertical="center" shrinkToFit="1"/>
    </xf>
    <xf numFmtId="0" fontId="17" fillId="0" borderId="10" xfId="0" applyFont="1" applyBorder="1" applyAlignment="1" applyProtection="1">
      <alignment horizontal="center" shrinkToFit="1"/>
      <protection locked="0"/>
    </xf>
    <xf numFmtId="0" fontId="17" fillId="0" borderId="59" xfId="0" applyFont="1" applyBorder="1" applyAlignment="1">
      <alignment shrinkToFit="1"/>
    </xf>
    <xf numFmtId="4" fontId="17" fillId="0" borderId="9" xfId="0" applyNumberFormat="1" applyFont="1" applyBorder="1" applyAlignment="1" applyProtection="1">
      <alignment shrinkToFit="1"/>
      <protection locked="0"/>
    </xf>
    <xf numFmtId="0" fontId="17" fillId="0" borderId="21" xfId="0" applyFont="1" applyBorder="1" applyAlignment="1" applyProtection="1">
      <alignment horizontal="center" shrinkToFit="1"/>
      <protection locked="0"/>
    </xf>
    <xf numFmtId="4" fontId="17" fillId="0" borderId="14" xfId="0" applyNumberFormat="1" applyFont="1" applyBorder="1" applyAlignment="1" applyProtection="1">
      <alignment shrinkToFit="1"/>
      <protection locked="0"/>
    </xf>
    <xf numFmtId="0" fontId="17" fillId="0" borderId="75" xfId="0" applyFont="1" applyBorder="1" applyAlignment="1">
      <alignment shrinkToFit="1"/>
    </xf>
    <xf numFmtId="0" fontId="0" fillId="0" borderId="1" xfId="0" applyBorder="1" applyAlignment="1">
      <alignment horizontal="center" vertical="center" wrapText="1" shrinkToFit="1"/>
    </xf>
    <xf numFmtId="168" fontId="0" fillId="0" borderId="60" xfId="0" applyNumberFormat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168" fontId="1" fillId="0" borderId="37" xfId="0" applyNumberFormat="1" applyFont="1" applyBorder="1" applyAlignment="1">
      <alignment horizontal="center" vertical="center" wrapText="1"/>
    </xf>
    <xf numFmtId="168" fontId="1" fillId="4" borderId="3" xfId="0" applyNumberFormat="1" applyFont="1" applyFill="1" applyBorder="1" applyAlignment="1">
      <alignment horizontal="center" vertical="center" wrapText="1"/>
    </xf>
    <xf numFmtId="168" fontId="1" fillId="0" borderId="3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10" xfId="0" applyNumberFormat="1" applyBorder="1" applyAlignment="1">
      <alignment horizontal="center" vertical="center" wrapText="1"/>
    </xf>
    <xf numFmtId="168" fontId="1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8" fontId="0" fillId="0" borderId="59" xfId="0" applyNumberFormat="1" applyBorder="1"/>
    <xf numFmtId="169" fontId="0" fillId="0" borderId="8" xfId="0" applyNumberFormat="1" applyBorder="1" applyAlignment="1">
      <alignment horizontal="center"/>
    </xf>
    <xf numFmtId="17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168" fontId="1" fillId="0" borderId="75" xfId="0" applyNumberFormat="1" applyFont="1" applyBorder="1"/>
    <xf numFmtId="169" fontId="0" fillId="0" borderId="13" xfId="0" applyNumberFormat="1" applyBorder="1" applyAlignment="1">
      <alignment horizontal="center"/>
    </xf>
    <xf numFmtId="171" fontId="0" fillId="4" borderId="9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shrinkToFit="1"/>
      <protection locked="0"/>
    </xf>
    <xf numFmtId="0" fontId="22" fillId="0" borderId="0" xfId="0" applyFont="1" applyAlignment="1">
      <alignment horizontal="center"/>
    </xf>
    <xf numFmtId="0" fontId="17" fillId="0" borderId="9" xfId="0" applyFont="1" applyBorder="1" applyAlignment="1" applyProtection="1">
      <alignment horizontal="center" shrinkToFit="1"/>
      <protection locked="0"/>
    </xf>
    <xf numFmtId="0" fontId="17" fillId="0" borderId="34" xfId="0" applyFont="1" applyBorder="1" applyAlignment="1" applyProtection="1">
      <alignment horizontal="center" shrinkToFit="1"/>
      <protection locked="0"/>
    </xf>
    <xf numFmtId="0" fontId="17" fillId="0" borderId="8" xfId="0" applyFont="1" applyBorder="1" applyAlignment="1" applyProtection="1">
      <alignment horizontal="center" shrinkToFit="1"/>
      <protection locked="0"/>
    </xf>
    <xf numFmtId="0" fontId="17" fillId="0" borderId="3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2" fontId="17" fillId="0" borderId="9" xfId="0" applyNumberFormat="1" applyFont="1" applyBorder="1" applyAlignment="1" applyProtection="1">
      <alignment horizontal="center" shrinkToFit="1"/>
      <protection locked="0"/>
    </xf>
    <xf numFmtId="2" fontId="17" fillId="0" borderId="34" xfId="0" applyNumberFormat="1" applyFont="1" applyBorder="1" applyAlignment="1" applyProtection="1">
      <alignment horizontal="center" shrinkToFit="1"/>
      <protection locked="0"/>
    </xf>
    <xf numFmtId="2" fontId="17" fillId="0" borderId="8" xfId="0" applyNumberFormat="1" applyFont="1" applyBorder="1" applyAlignment="1" applyProtection="1">
      <alignment horizontal="center" shrinkToFit="1"/>
      <protection locked="0"/>
    </xf>
    <xf numFmtId="0" fontId="17" fillId="0" borderId="60" xfId="0" applyFont="1" applyBorder="1" applyAlignment="1">
      <alignment horizontal="center" vertical="center"/>
    </xf>
    <xf numFmtId="0" fontId="21" fillId="0" borderId="0" xfId="0" applyFont="1" applyAlignment="1" applyProtection="1">
      <alignment horizontal="left"/>
      <protection locked="0"/>
    </xf>
    <xf numFmtId="0" fontId="17" fillId="0" borderId="18" xfId="0" applyFont="1" applyBorder="1" applyAlignment="1">
      <alignment horizontal="right"/>
    </xf>
    <xf numFmtId="0" fontId="17" fillId="0" borderId="10" xfId="0" applyFont="1" applyBorder="1" applyAlignment="1">
      <alignment horizontal="right"/>
    </xf>
    <xf numFmtId="0" fontId="20" fillId="0" borderId="42" xfId="0" applyFont="1" applyBorder="1" applyAlignment="1">
      <alignment horizontal="right"/>
    </xf>
    <xf numFmtId="0" fontId="20" fillId="0" borderId="37" xfId="0" applyFont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0" fillId="0" borderId="21" xfId="0" applyFont="1" applyBorder="1" applyAlignment="1">
      <alignment horizontal="right"/>
    </xf>
    <xf numFmtId="0" fontId="17" fillId="0" borderId="0" xfId="0" applyFont="1" applyAlignment="1">
      <alignment horizontal="right"/>
    </xf>
    <xf numFmtId="49" fontId="17" fillId="0" borderId="0" xfId="0" applyNumberFormat="1" applyFont="1" applyAlignment="1" applyProtection="1">
      <alignment horizontal="left" vertical="center"/>
      <protection locked="0"/>
    </xf>
    <xf numFmtId="0" fontId="17" fillId="0" borderId="14" xfId="0" applyFont="1" applyBorder="1" applyAlignment="1" applyProtection="1">
      <alignment horizontal="center" shrinkToFit="1"/>
      <protection locked="0"/>
    </xf>
    <xf numFmtId="0" fontId="17" fillId="0" borderId="67" xfId="0" applyFont="1" applyBorder="1" applyAlignment="1" applyProtection="1">
      <alignment horizontal="center" shrinkToFit="1"/>
      <protection locked="0"/>
    </xf>
    <xf numFmtId="0" fontId="17" fillId="0" borderId="13" xfId="0" applyFont="1" applyBorder="1" applyAlignment="1" applyProtection="1">
      <alignment horizontal="center" shrinkToFit="1"/>
      <protection locked="0"/>
    </xf>
    <xf numFmtId="0" fontId="17" fillId="0" borderId="0" xfId="0" applyFont="1" applyAlignment="1">
      <alignment horizontal="center"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0" xfId="0" applyFont="1" applyAlignment="1">
      <alignment horizontal="center"/>
    </xf>
    <xf numFmtId="0" fontId="17" fillId="0" borderId="36" xfId="0" applyFont="1" applyBorder="1" applyAlignment="1" applyProtection="1">
      <alignment horizontal="center"/>
      <protection locked="0"/>
    </xf>
    <xf numFmtId="166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10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17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10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17" xfId="0" applyNumberFormat="1" applyFont="1" applyBorder="1" applyAlignment="1" applyProtection="1">
      <alignment horizontal="center" vertical="center" shrinkToFit="1"/>
      <protection locked="0"/>
    </xf>
    <xf numFmtId="0" fontId="26" fillId="0" borderId="10" xfId="0" applyFont="1" applyBorder="1" applyAlignment="1" applyProtection="1">
      <alignment horizontal="center" vertical="center" shrinkToFit="1"/>
      <protection locked="0"/>
    </xf>
    <xf numFmtId="49" fontId="26" fillId="0" borderId="10" xfId="0" applyNumberFormat="1" applyFont="1" applyBorder="1" applyAlignment="1" applyProtection="1">
      <alignment horizontal="left" vertical="center" shrinkToFit="1"/>
      <protection locked="0"/>
    </xf>
    <xf numFmtId="49" fontId="26" fillId="0" borderId="9" xfId="0" applyNumberFormat="1" applyFont="1" applyBorder="1" applyAlignment="1" applyProtection="1">
      <alignment horizontal="center" vertical="center" shrinkToFit="1"/>
      <protection locked="0"/>
    </xf>
    <xf numFmtId="49" fontId="26" fillId="0" borderId="34" xfId="0" applyNumberFormat="1" applyFont="1" applyBorder="1" applyAlignment="1" applyProtection="1">
      <alignment horizontal="center" vertical="center" shrinkToFit="1"/>
      <protection locked="0"/>
    </xf>
    <xf numFmtId="49" fontId="26" fillId="0" borderId="8" xfId="0" applyNumberFormat="1" applyFont="1" applyBorder="1" applyAlignment="1" applyProtection="1">
      <alignment horizontal="center" vertical="center" shrinkToFit="1"/>
      <protection locked="0"/>
    </xf>
    <xf numFmtId="0" fontId="26" fillId="2" borderId="10" xfId="0" applyFont="1" applyFill="1" applyBorder="1" applyAlignment="1" applyProtection="1">
      <alignment horizontal="center" vertical="center" shrinkToFit="1"/>
      <protection locked="0"/>
    </xf>
    <xf numFmtId="0" fontId="26" fillId="2" borderId="19" xfId="0" applyFont="1" applyFill="1" applyBorder="1" applyAlignment="1" applyProtection="1">
      <alignment horizontal="center" vertical="center" shrinkToFit="1"/>
      <protection locked="0"/>
    </xf>
    <xf numFmtId="165" fontId="26" fillId="0" borderId="10" xfId="0" applyNumberFormat="1" applyFont="1" applyBorder="1" applyAlignment="1" applyProtection="1">
      <alignment horizontal="center" vertical="center" shrinkToFit="1"/>
      <protection locked="0"/>
    </xf>
    <xf numFmtId="0" fontId="26" fillId="2" borderId="11" xfId="0" applyFont="1" applyFill="1" applyBorder="1" applyAlignment="1" applyProtection="1">
      <alignment horizontal="center" vertical="center" shrinkToFit="1"/>
      <protection locked="0"/>
    </xf>
    <xf numFmtId="165" fontId="26" fillId="0" borderId="10" xfId="0" applyNumberFormat="1" applyFont="1" applyBorder="1" applyAlignment="1" applyProtection="1">
      <alignment vertical="center" shrinkToFit="1"/>
      <protection locked="0"/>
    </xf>
    <xf numFmtId="49" fontId="26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26" fillId="0" borderId="32" xfId="0" applyNumberFormat="1" applyFont="1" applyBorder="1" applyAlignment="1" applyProtection="1">
      <alignment horizontal="center" vertical="center" shrinkToFit="1"/>
      <protection locked="0"/>
    </xf>
    <xf numFmtId="49" fontId="26" fillId="0" borderId="36" xfId="0" applyNumberFormat="1" applyFont="1" applyBorder="1" applyAlignment="1" applyProtection="1">
      <alignment horizontal="center" vertical="center" shrinkToFit="1"/>
      <protection locked="0"/>
    </xf>
    <xf numFmtId="49" fontId="26" fillId="0" borderId="23" xfId="0" applyNumberFormat="1" applyFont="1" applyBorder="1" applyAlignment="1" applyProtection="1">
      <alignment horizontal="center" vertical="center" shrinkToFit="1"/>
      <protection locked="0"/>
    </xf>
    <xf numFmtId="0" fontId="26" fillId="0" borderId="17" xfId="0" applyFont="1" applyBorder="1" applyAlignment="1" applyProtection="1">
      <alignment horizontal="center" vertical="center" shrinkToFit="1"/>
      <protection locked="0"/>
    </xf>
    <xf numFmtId="0" fontId="26" fillId="2" borderId="17" xfId="0" applyFont="1" applyFill="1" applyBorder="1" applyAlignment="1" applyProtection="1">
      <alignment horizontal="center" vertical="center" shrinkToFit="1"/>
      <protection locked="0"/>
    </xf>
    <xf numFmtId="49" fontId="26" fillId="2" borderId="21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21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21" xfId="0" applyNumberFormat="1" applyFont="1" applyBorder="1" applyAlignment="1" applyProtection="1">
      <alignment horizontal="center" vertical="center" shrinkToFit="1"/>
      <protection locked="0"/>
    </xf>
    <xf numFmtId="0" fontId="26" fillId="0" borderId="21" xfId="0" applyFont="1" applyBorder="1" applyAlignment="1" applyProtection="1">
      <alignment horizontal="center" vertical="center" shrinkToFit="1"/>
      <protection locked="0"/>
    </xf>
    <xf numFmtId="49" fontId="26" fillId="0" borderId="14" xfId="0" applyNumberFormat="1" applyFont="1" applyBorder="1" applyAlignment="1" applyProtection="1">
      <alignment horizontal="center" vertical="center" shrinkToFit="1"/>
      <protection locked="0"/>
    </xf>
    <xf numFmtId="49" fontId="26" fillId="0" borderId="67" xfId="0" applyNumberFormat="1" applyFont="1" applyBorder="1" applyAlignment="1" applyProtection="1">
      <alignment horizontal="center" vertical="center" shrinkToFit="1"/>
      <protection locked="0"/>
    </xf>
    <xf numFmtId="49" fontId="26" fillId="0" borderId="13" xfId="0" applyNumberFormat="1" applyFont="1" applyBorder="1" applyAlignment="1" applyProtection="1">
      <alignment horizontal="center" vertical="center" shrinkToFit="1"/>
      <protection locked="0"/>
    </xf>
    <xf numFmtId="0" fontId="26" fillId="2" borderId="22" xfId="0" applyFont="1" applyFill="1" applyBorder="1" applyAlignment="1" applyProtection="1">
      <alignment horizontal="center" vertical="center" shrinkToFit="1"/>
      <protection locked="0"/>
    </xf>
    <xf numFmtId="0" fontId="26" fillId="0" borderId="27" xfId="0" applyFont="1" applyBorder="1" applyAlignment="1" applyProtection="1">
      <alignment horizontal="left" vertical="top" wrapText="1" shrinkToFit="1"/>
      <protection locked="0"/>
    </xf>
    <xf numFmtId="0" fontId="26" fillId="0" borderId="28" xfId="0" applyFont="1" applyBorder="1" applyAlignment="1" applyProtection="1">
      <alignment horizontal="left" vertical="top" wrapText="1" shrinkToFit="1"/>
      <protection locked="0"/>
    </xf>
    <xf numFmtId="0" fontId="26" fillId="0" borderId="29" xfId="0" applyFont="1" applyBorder="1" applyAlignment="1" applyProtection="1">
      <alignment horizontal="left" vertical="top" wrapText="1" shrinkToFit="1"/>
      <protection locked="0"/>
    </xf>
    <xf numFmtId="0" fontId="26" fillId="0" borderId="74" xfId="0" applyFont="1" applyBorder="1" applyAlignment="1" applyProtection="1">
      <alignment horizontal="left" vertical="top" wrapText="1" shrinkToFit="1"/>
      <protection locked="0"/>
    </xf>
    <xf numFmtId="0" fontId="26" fillId="0" borderId="0" xfId="0" applyFont="1" applyAlignment="1" applyProtection="1">
      <alignment horizontal="left" vertical="top" wrapText="1" shrinkToFit="1"/>
      <protection locked="0"/>
    </xf>
    <xf numFmtId="0" fontId="26" fillId="0" borderId="15" xfId="0" applyFont="1" applyBorder="1" applyAlignment="1" applyProtection="1">
      <alignment horizontal="left" vertical="top" wrapText="1" shrinkToFit="1"/>
      <protection locked="0"/>
    </xf>
    <xf numFmtId="0" fontId="26" fillId="0" borderId="56" xfId="0" applyFont="1" applyBorder="1" applyAlignment="1" applyProtection="1">
      <alignment horizontal="left" vertical="top" wrapText="1" shrinkToFit="1"/>
      <protection locked="0"/>
    </xf>
    <xf numFmtId="0" fontId="26" fillId="0" borderId="24" xfId="0" applyFont="1" applyBorder="1" applyAlignment="1" applyProtection="1">
      <alignment horizontal="left" vertical="top" wrapText="1" shrinkToFit="1"/>
      <protection locked="0"/>
    </xf>
    <xf numFmtId="0" fontId="26" fillId="0" borderId="58" xfId="0" applyFont="1" applyBorder="1" applyAlignment="1" applyProtection="1">
      <alignment horizontal="left" vertical="top" wrapText="1" shrinkToFit="1"/>
      <protection locked="0"/>
    </xf>
    <xf numFmtId="14" fontId="26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166" fontId="26" fillId="2" borderId="13" xfId="0" applyNumberFormat="1" applyFont="1" applyFill="1" applyBorder="1" applyAlignment="1" applyProtection="1">
      <alignment horizontal="center" vertical="center" shrinkToFit="1"/>
      <protection locked="0"/>
    </xf>
    <xf numFmtId="0" fontId="26" fillId="0" borderId="37" xfId="0" applyFont="1" applyBorder="1" applyAlignment="1" applyProtection="1">
      <alignment horizontal="center" vertical="center" shrinkToFit="1"/>
      <protection locked="0"/>
    </xf>
    <xf numFmtId="0" fontId="26" fillId="0" borderId="37" xfId="0" applyFont="1" applyBorder="1" applyAlignment="1" applyProtection="1">
      <alignment horizontal="center" vertical="center"/>
      <protection locked="0"/>
    </xf>
    <xf numFmtId="0" fontId="26" fillId="0" borderId="38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21" xfId="0" applyFont="1" applyBorder="1" applyAlignment="1" applyProtection="1">
      <alignment horizontal="center" vertical="center"/>
      <protection locked="0"/>
    </xf>
    <xf numFmtId="0" fontId="26" fillId="0" borderId="22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19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 shrinkToFit="1"/>
      <protection locked="0"/>
    </xf>
    <xf numFmtId="0" fontId="26" fillId="0" borderId="7" xfId="0" applyFont="1" applyBorder="1" applyAlignment="1" applyProtection="1">
      <alignment horizontal="center" vertical="center" shrinkToFit="1"/>
      <protection locked="0"/>
    </xf>
    <xf numFmtId="14" fontId="26" fillId="0" borderId="16" xfId="0" applyNumberFormat="1" applyFont="1" applyBorder="1" applyAlignment="1" applyProtection="1">
      <alignment vertical="center" shrinkToFit="1"/>
      <protection locked="0"/>
    </xf>
    <xf numFmtId="14" fontId="26" fillId="0" borderId="17" xfId="0" applyNumberFormat="1" applyFont="1" applyBorder="1" applyAlignment="1" applyProtection="1">
      <alignment vertical="center" shrinkToFit="1"/>
      <protection locked="0"/>
    </xf>
    <xf numFmtId="165" fontId="26" fillId="0" borderId="17" xfId="0" applyNumberFormat="1" applyFont="1" applyBorder="1" applyAlignment="1" applyProtection="1">
      <alignment horizontal="center" vertical="center" shrinkToFit="1"/>
      <protection locked="0"/>
    </xf>
    <xf numFmtId="165" fontId="26" fillId="0" borderId="19" xfId="0" applyNumberFormat="1" applyFont="1" applyBorder="1" applyAlignment="1" applyProtection="1">
      <alignment horizontal="center" vertical="center" shrinkToFit="1"/>
      <protection locked="0"/>
    </xf>
    <xf numFmtId="14" fontId="26" fillId="0" borderId="18" xfId="0" applyNumberFormat="1" applyFont="1" applyBorder="1" applyAlignment="1" applyProtection="1">
      <alignment vertical="center" shrinkToFit="1"/>
      <protection locked="0"/>
    </xf>
    <xf numFmtId="14" fontId="26" fillId="0" borderId="10" xfId="0" applyNumberFormat="1" applyFont="1" applyBorder="1" applyAlignment="1" applyProtection="1">
      <alignment vertical="center" shrinkToFit="1"/>
      <protection locked="0"/>
    </xf>
    <xf numFmtId="165" fontId="26" fillId="0" borderId="10" xfId="0" applyNumberFormat="1" applyFont="1" applyBorder="1" applyAlignment="1" applyProtection="1">
      <alignment horizontal="center" vertical="center" shrinkToFit="1"/>
      <protection locked="0"/>
    </xf>
    <xf numFmtId="165" fontId="26" fillId="0" borderId="11" xfId="0" applyNumberFormat="1" applyFont="1" applyBorder="1" applyAlignment="1" applyProtection="1">
      <alignment horizontal="center" vertical="center" shrinkToFit="1"/>
      <protection locked="0"/>
    </xf>
    <xf numFmtId="0" fontId="26" fillId="0" borderId="38" xfId="0" applyFont="1" applyBorder="1" applyAlignment="1" applyProtection="1">
      <alignment horizontal="center" vertical="center" shrinkToFit="1"/>
      <protection locked="0"/>
    </xf>
    <xf numFmtId="0" fontId="26" fillId="0" borderId="22" xfId="0" applyFont="1" applyBorder="1" applyAlignment="1" applyProtection="1">
      <alignment horizontal="center" vertical="center" shrinkToFit="1"/>
      <protection locked="0"/>
    </xf>
    <xf numFmtId="0" fontId="26" fillId="0" borderId="19" xfId="0" applyFont="1" applyBorder="1" applyAlignment="1" applyProtection="1">
      <alignment horizontal="center" vertical="center" shrinkToFit="1"/>
      <protection locked="0"/>
    </xf>
    <xf numFmtId="14" fontId="26" fillId="0" borderId="45" xfId="0" applyNumberFormat="1" applyFont="1" applyBorder="1" applyAlignment="1" applyProtection="1">
      <alignment horizontal="center" vertical="center" shrinkToFit="1"/>
      <protection locked="0"/>
    </xf>
    <xf numFmtId="14" fontId="26" fillId="0" borderId="2" xfId="0" applyNumberFormat="1" applyFont="1" applyBorder="1" applyAlignment="1" applyProtection="1">
      <alignment horizontal="center" vertical="center" shrinkToFit="1"/>
      <protection locked="0"/>
    </xf>
    <xf numFmtId="14" fontId="26" fillId="0" borderId="33" xfId="0" applyNumberFormat="1" applyFont="1" applyBorder="1" applyAlignment="1" applyProtection="1">
      <alignment horizontal="center" vertical="center" shrinkToFit="1"/>
      <protection locked="0"/>
    </xf>
    <xf numFmtId="14" fontId="26" fillId="0" borderId="8" xfId="0" applyNumberFormat="1" applyFont="1" applyBorder="1" applyAlignment="1" applyProtection="1">
      <alignment horizontal="center" vertical="center" shrinkToFit="1"/>
      <protection locked="0"/>
    </xf>
    <xf numFmtId="14" fontId="26" fillId="0" borderId="18" xfId="0" applyNumberFormat="1" applyFont="1" applyBorder="1" applyAlignment="1" applyProtection="1">
      <alignment horizontal="center" vertical="center" shrinkToFit="1"/>
      <protection locked="0"/>
    </xf>
    <xf numFmtId="14" fontId="26" fillId="0" borderId="10" xfId="0" applyNumberFormat="1" applyFont="1" applyBorder="1" applyAlignment="1" applyProtection="1">
      <alignment horizontal="center" vertical="center" shrinkToFit="1"/>
      <protection locked="0"/>
    </xf>
    <xf numFmtId="166" fontId="26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26" fillId="0" borderId="9" xfId="0" applyNumberFormat="1" applyFont="1" applyBorder="1" applyAlignment="1" applyProtection="1">
      <alignment horizontal="center" vertical="center" shrinkToFit="1"/>
      <protection locked="0"/>
    </xf>
    <xf numFmtId="14" fontId="26" fillId="0" borderId="27" xfId="0" applyNumberFormat="1" applyFont="1" applyBorder="1" applyAlignment="1" applyProtection="1">
      <alignment horizontal="center" vertical="center" shrinkToFit="1"/>
      <protection locked="0"/>
    </xf>
    <xf numFmtId="14" fontId="26" fillId="0" borderId="31" xfId="0" applyNumberFormat="1" applyFont="1" applyBorder="1" applyAlignment="1" applyProtection="1">
      <alignment horizontal="center" vertical="center" shrinkToFit="1"/>
      <protection locked="0"/>
    </xf>
    <xf numFmtId="14" fontId="26" fillId="0" borderId="30" xfId="0" applyNumberFormat="1" applyFont="1" applyBorder="1" applyAlignment="1" applyProtection="1">
      <alignment horizontal="center" vertical="center" shrinkToFit="1"/>
      <protection locked="0"/>
    </xf>
    <xf numFmtId="14" fontId="26" fillId="0" borderId="74" xfId="0" applyNumberFormat="1" applyFont="1" applyBorder="1" applyAlignment="1" applyProtection="1">
      <alignment horizontal="center" vertical="center" shrinkToFit="1"/>
      <protection locked="0"/>
    </xf>
    <xf numFmtId="14" fontId="26" fillId="0" borderId="61" xfId="0" applyNumberFormat="1" applyFont="1" applyBorder="1" applyAlignment="1" applyProtection="1">
      <alignment horizontal="center" vertical="center" shrinkToFit="1"/>
      <protection locked="0"/>
    </xf>
    <xf numFmtId="14" fontId="26" fillId="0" borderId="66" xfId="0" applyNumberFormat="1" applyFont="1" applyBorder="1" applyAlignment="1" applyProtection="1">
      <alignment horizontal="center" vertical="center" shrinkToFit="1"/>
      <protection locked="0"/>
    </xf>
    <xf numFmtId="0" fontId="26" fillId="0" borderId="65" xfId="0" applyFont="1" applyBorder="1" applyAlignment="1" applyProtection="1">
      <alignment horizontal="center" vertical="center" shrinkToFit="1"/>
      <protection locked="0"/>
    </xf>
    <xf numFmtId="165" fontId="26" fillId="0" borderId="52" xfId="0" applyNumberFormat="1" applyFont="1" applyBorder="1" applyAlignment="1" applyProtection="1">
      <alignment horizontal="center" vertical="center" shrinkToFit="1"/>
      <protection locked="0"/>
    </xf>
    <xf numFmtId="165" fontId="26" fillId="0" borderId="26" xfId="0" applyNumberFormat="1" applyFont="1" applyBorder="1" applyAlignment="1" applyProtection="1">
      <alignment horizontal="center" vertical="center" shrinkToFit="1"/>
      <protection locked="0"/>
    </xf>
    <xf numFmtId="14" fontId="26" fillId="0" borderId="34" xfId="0" applyNumberFormat="1" applyFont="1" applyBorder="1" applyAlignment="1" applyProtection="1">
      <alignment horizontal="center" vertical="center" shrinkToFit="1"/>
      <protection locked="0"/>
    </xf>
    <xf numFmtId="0" fontId="26" fillId="10" borderId="8" xfId="0" applyNumberFormat="1" applyFont="1" applyFill="1" applyBorder="1" applyAlignment="1" applyProtection="1">
      <alignment horizontal="left" vertical="center" shrinkToFit="1"/>
      <protection locked="0"/>
    </xf>
    <xf numFmtId="0" fontId="40" fillId="6" borderId="8" xfId="0" applyFont="1" applyFill="1" applyBorder="1" applyAlignment="1" applyProtection="1">
      <alignment horizontal="left" vertical="center" shrinkToFit="1"/>
      <protection hidden="1"/>
    </xf>
    <xf numFmtId="0" fontId="26" fillId="6" borderId="9" xfId="0" applyNumberFormat="1" applyFont="1" applyFill="1" applyBorder="1" applyAlignment="1" applyProtection="1">
      <alignment horizontal="right" vertical="center" shrinkToFit="1"/>
      <protection hidden="1"/>
    </xf>
    <xf numFmtId="0" fontId="26" fillId="6" borderId="34" xfId="0" applyNumberFormat="1" applyFont="1" applyFill="1" applyBorder="1" applyAlignment="1" applyProtection="1">
      <alignment horizontal="center" vertical="center"/>
      <protection hidden="1"/>
    </xf>
    <xf numFmtId="0" fontId="26" fillId="6" borderId="8" xfId="0" applyFont="1" applyFill="1" applyBorder="1" applyAlignment="1" applyProtection="1">
      <alignment horizontal="left" vertical="center" shrinkToFit="1"/>
      <protection hidden="1"/>
    </xf>
    <xf numFmtId="0" fontId="26" fillId="6" borderId="8" xfId="0" applyNumberFormat="1" applyFont="1" applyFill="1" applyBorder="1" applyAlignment="1" applyProtection="1">
      <alignment horizontal="left" vertical="center" shrinkToFit="1"/>
      <protection hidden="1"/>
    </xf>
    <xf numFmtId="165" fontId="41" fillId="10" borderId="28" xfId="0" applyNumberFormat="1" applyFont="1" applyFill="1" applyBorder="1" applyAlignment="1" applyProtection="1">
      <alignment horizontal="center" vertical="center" shrinkToFit="1"/>
      <protection hidden="1"/>
    </xf>
    <xf numFmtId="165" fontId="41" fillId="0" borderId="0" xfId="0" applyNumberFormat="1" applyFont="1" applyAlignment="1" applyProtection="1">
      <alignment horizontal="center" vertical="center" shrinkToFit="1"/>
      <protection hidden="1"/>
    </xf>
    <xf numFmtId="49" fontId="35" fillId="0" borderId="10" xfId="0" applyNumberFormat="1" applyFont="1" applyBorder="1" applyAlignment="1" applyProtection="1">
      <alignment horizontal="left" vertical="center" shrinkToFit="1"/>
      <protection locked="0"/>
    </xf>
    <xf numFmtId="0" fontId="26" fillId="0" borderId="12" xfId="0" applyFont="1" applyBorder="1" applyAlignment="1" applyProtection="1">
      <alignment horizontal="center" vertical="center" shrinkToFit="1"/>
      <protection hidden="1"/>
    </xf>
    <xf numFmtId="0" fontId="26" fillId="7" borderId="7" xfId="0" applyFont="1" applyFill="1" applyBorder="1" applyAlignment="1" applyProtection="1">
      <alignment horizontal="center" vertical="center" shrinkToFit="1"/>
      <protection hidden="1"/>
    </xf>
    <xf numFmtId="0" fontId="25" fillId="0" borderId="64" xfId="0" applyFont="1" applyBorder="1"/>
    <xf numFmtId="0" fontId="27" fillId="5" borderId="65" xfId="0" applyFont="1" applyFill="1" applyBorder="1" applyAlignment="1" applyProtection="1">
      <alignment horizontal="center" vertical="center" shrinkToFit="1"/>
      <protection hidden="1"/>
    </xf>
    <xf numFmtId="166" fontId="26" fillId="2" borderId="25" xfId="0" applyNumberFormat="1" applyFont="1" applyFill="1" applyBorder="1" applyAlignment="1" applyProtection="1">
      <alignment horizontal="center" vertical="center" shrinkToFit="1"/>
      <protection locked="0"/>
    </xf>
    <xf numFmtId="0" fontId="26" fillId="6" borderId="48" xfId="0" applyNumberFormat="1" applyFont="1" applyFill="1" applyBorder="1" applyAlignment="1" applyProtection="1">
      <alignment horizontal="right" vertical="center" shrinkToFit="1"/>
      <protection hidden="1"/>
    </xf>
    <xf numFmtId="0" fontId="26" fillId="6" borderId="25" xfId="0" applyNumberFormat="1" applyFont="1" applyFill="1" applyBorder="1" applyAlignment="1" applyProtection="1">
      <alignment horizontal="center" vertical="center"/>
      <protection hidden="1"/>
    </xf>
    <xf numFmtId="0" fontId="26" fillId="6" borderId="47" xfId="0" applyFont="1" applyFill="1" applyBorder="1" applyAlignment="1" applyProtection="1">
      <alignment horizontal="left" vertical="center" shrinkToFit="1"/>
      <protection hidden="1"/>
    </xf>
    <xf numFmtId="49" fontId="26" fillId="2" borderId="47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52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52" xfId="0" applyNumberFormat="1" applyFont="1" applyBorder="1" applyAlignment="1" applyProtection="1">
      <alignment horizontal="center" vertical="center" shrinkToFit="1"/>
      <protection locked="0"/>
    </xf>
    <xf numFmtId="0" fontId="26" fillId="0" borderId="52" xfId="0" applyFont="1" applyBorder="1" applyAlignment="1" applyProtection="1">
      <alignment horizontal="center" vertical="center" shrinkToFit="1"/>
      <protection locked="0"/>
    </xf>
    <xf numFmtId="49" fontId="26" fillId="0" borderId="52" xfId="0" applyNumberFormat="1" applyFont="1" applyBorder="1" applyAlignment="1" applyProtection="1">
      <alignment horizontal="left" vertical="center" shrinkToFit="1"/>
      <protection locked="0"/>
    </xf>
    <xf numFmtId="49" fontId="26" fillId="0" borderId="48" xfId="0" applyNumberFormat="1" applyFont="1" applyBorder="1" applyAlignment="1" applyProtection="1">
      <alignment horizontal="center" vertical="center" shrinkToFit="1"/>
      <protection locked="0"/>
    </xf>
    <xf numFmtId="49" fontId="26" fillId="0" borderId="25" xfId="0" applyNumberFormat="1" applyFont="1" applyBorder="1" applyAlignment="1" applyProtection="1">
      <alignment horizontal="center" vertical="center" shrinkToFit="1"/>
      <protection locked="0"/>
    </xf>
    <xf numFmtId="49" fontId="26" fillId="0" borderId="47" xfId="0" applyNumberFormat="1" applyFont="1" applyBorder="1" applyAlignment="1" applyProtection="1">
      <alignment horizontal="center" vertical="center" shrinkToFit="1"/>
      <protection locked="0"/>
    </xf>
    <xf numFmtId="0" fontId="26" fillId="2" borderId="26" xfId="0" applyFont="1" applyFill="1" applyBorder="1" applyAlignment="1" applyProtection="1">
      <alignment horizontal="center" vertical="center" shrinkToFit="1"/>
      <protection locked="0"/>
    </xf>
    <xf numFmtId="0" fontId="26" fillId="0" borderId="52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horizontal="center" vertical="center" shrinkToFit="1"/>
      <protection locked="0"/>
    </xf>
    <xf numFmtId="3" fontId="46" fillId="0" borderId="0" xfId="0" applyNumberFormat="1" applyFont="1" applyAlignment="1" applyProtection="1">
      <alignment horizontal="center" vertical="center"/>
      <protection hidden="1"/>
    </xf>
    <xf numFmtId="171" fontId="0" fillId="4" borderId="14" xfId="0" applyNumberFormat="1" applyFill="1" applyBorder="1" applyAlignment="1">
      <alignment horizontal="center"/>
    </xf>
    <xf numFmtId="169" fontId="44" fillId="0" borderId="8" xfId="0" applyNumberFormat="1" applyFont="1" applyBorder="1" applyAlignment="1" applyProtection="1">
      <alignment horizontal="center"/>
      <protection locked="0"/>
    </xf>
    <xf numFmtId="164" fontId="33" fillId="0" borderId="0" xfId="0" applyNumberFormat="1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 shrinkToFit="1"/>
      <protection hidden="1"/>
    </xf>
    <xf numFmtId="164" fontId="37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right" vertical="center"/>
      <protection hidden="1"/>
    </xf>
    <xf numFmtId="164" fontId="27" fillId="0" borderId="0" xfId="0" applyNumberFormat="1" applyFont="1" applyAlignment="1" applyProtection="1">
      <alignment horizontal="center" vertical="center" shrinkToFit="1"/>
      <protection hidden="1"/>
    </xf>
    <xf numFmtId="3" fontId="26" fillId="0" borderId="0" xfId="0" applyNumberFormat="1" applyFont="1" applyAlignment="1" applyProtection="1">
      <alignment horizontal="center" vertical="center"/>
      <protection hidden="1"/>
    </xf>
    <xf numFmtId="3" fontId="27" fillId="0" borderId="0" xfId="0" applyNumberFormat="1" applyFont="1" applyAlignment="1" applyProtection="1">
      <alignment horizontal="center" vertical="center" shrinkToFit="1"/>
      <protection hidden="1"/>
    </xf>
    <xf numFmtId="0" fontId="27" fillId="5" borderId="45" xfId="0" applyFont="1" applyFill="1" applyBorder="1" applyAlignment="1" applyProtection="1">
      <alignment horizontal="center" vertical="center" wrapText="1" shrinkToFit="1"/>
      <protection hidden="1"/>
    </xf>
    <xf numFmtId="0" fontId="26" fillId="4" borderId="39" xfId="0" applyFont="1" applyFill="1" applyBorder="1" applyAlignment="1" applyProtection="1">
      <alignment horizontal="right" vertical="center"/>
      <protection hidden="1"/>
    </xf>
    <xf numFmtId="0" fontId="26" fillId="4" borderId="49" xfId="0" applyFont="1" applyFill="1" applyBorder="1" applyAlignment="1" applyProtection="1">
      <alignment horizontal="right" vertical="center"/>
      <protection hidden="1"/>
    </xf>
    <xf numFmtId="0" fontId="26" fillId="4" borderId="40" xfId="0" applyFont="1" applyFill="1" applyBorder="1" applyAlignment="1" applyProtection="1">
      <alignment horizontal="right" vertical="center"/>
      <protection hidden="1"/>
    </xf>
    <xf numFmtId="0" fontId="26" fillId="4" borderId="46" xfId="0" applyFont="1" applyFill="1" applyBorder="1" applyAlignment="1" applyProtection="1">
      <alignment horizontal="right" vertical="center"/>
      <protection hidden="1"/>
    </xf>
    <xf numFmtId="3" fontId="26" fillId="4" borderId="51" xfId="0" applyNumberFormat="1" applyFont="1" applyFill="1" applyBorder="1" applyAlignment="1" applyProtection="1">
      <alignment horizontal="left" vertical="center"/>
      <protection hidden="1"/>
    </xf>
    <xf numFmtId="3" fontId="26" fillId="4" borderId="51" xfId="0" applyNumberFormat="1" applyFont="1" applyFill="1" applyBorder="1" applyAlignment="1" applyProtection="1">
      <alignment horizontal="center" vertical="center"/>
      <protection hidden="1"/>
    </xf>
    <xf numFmtId="3" fontId="26" fillId="4" borderId="39" xfId="0" applyNumberFormat="1" applyFont="1" applyFill="1" applyBorder="1" applyAlignment="1" applyProtection="1">
      <alignment horizontal="center" vertical="center"/>
      <protection hidden="1"/>
    </xf>
    <xf numFmtId="0" fontId="26" fillId="4" borderId="40" xfId="0" applyFont="1" applyFill="1" applyBorder="1" applyAlignment="1" applyProtection="1">
      <alignment horizontal="center" vertical="center"/>
      <protection hidden="1"/>
    </xf>
    <xf numFmtId="0" fontId="26" fillId="4" borderId="41" xfId="0" applyFont="1" applyFill="1" applyBorder="1" applyAlignment="1" applyProtection="1">
      <alignment horizontal="center" vertical="center"/>
      <protection hidden="1"/>
    </xf>
    <xf numFmtId="0" fontId="26" fillId="4" borderId="51" xfId="0" applyFont="1" applyFill="1" applyBorder="1" applyAlignment="1" applyProtection="1">
      <alignment vertical="center"/>
      <protection hidden="1"/>
    </xf>
    <xf numFmtId="0" fontId="26" fillId="4" borderId="50" xfId="0" applyFont="1" applyFill="1" applyBorder="1" applyAlignment="1" applyProtection="1">
      <alignment vertical="center"/>
      <protection hidden="1"/>
    </xf>
    <xf numFmtId="0" fontId="27" fillId="5" borderId="33" xfId="0" applyFont="1" applyFill="1" applyBorder="1" applyAlignment="1" applyProtection="1">
      <alignment horizontal="center" vertical="center" wrapText="1" shrinkToFit="1"/>
      <protection hidden="1"/>
    </xf>
    <xf numFmtId="0" fontId="26" fillId="3" borderId="73" xfId="0" applyFont="1" applyFill="1" applyBorder="1" applyAlignment="1" applyProtection="1">
      <alignment horizontal="center" vertical="center" wrapText="1"/>
      <protection hidden="1"/>
    </xf>
    <xf numFmtId="0" fontId="26" fillId="3" borderId="30" xfId="0" applyFont="1" applyFill="1" applyBorder="1" applyAlignment="1" applyProtection="1">
      <alignment horizontal="center" vertical="center" wrapText="1"/>
      <protection hidden="1"/>
    </xf>
    <xf numFmtId="0" fontId="26" fillId="3" borderId="28" xfId="0" applyFont="1" applyFill="1" applyBorder="1" applyAlignment="1" applyProtection="1">
      <alignment horizontal="center" vertical="center" wrapText="1"/>
      <protection hidden="1"/>
    </xf>
    <xf numFmtId="0" fontId="26" fillId="3" borderId="31" xfId="0" applyFont="1" applyFill="1" applyBorder="1" applyAlignment="1" applyProtection="1">
      <alignment horizontal="center" vertical="center" wrapText="1"/>
      <protection hidden="1"/>
    </xf>
    <xf numFmtId="0" fontId="26" fillId="3" borderId="54" xfId="0" applyFont="1" applyFill="1" applyBorder="1" applyAlignment="1" applyProtection="1">
      <alignment horizontal="center" vertical="center" wrapText="1"/>
      <protection hidden="1"/>
    </xf>
    <xf numFmtId="3" fontId="26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3" fontId="26" fillId="5" borderId="68" xfId="0" applyNumberFormat="1" applyFont="1" applyFill="1" applyBorder="1" applyAlignment="1" applyProtection="1">
      <alignment horizontal="center" vertical="center" wrapText="1"/>
      <protection hidden="1"/>
    </xf>
    <xf numFmtId="3" fontId="26" fillId="5" borderId="24" xfId="0" applyNumberFormat="1" applyFont="1" applyFill="1" applyBorder="1" applyAlignment="1" applyProtection="1">
      <alignment horizontal="center" vertical="center" wrapText="1"/>
      <protection hidden="1"/>
    </xf>
    <xf numFmtId="3" fontId="26" fillId="5" borderId="69" xfId="0" applyNumberFormat="1" applyFont="1" applyFill="1" applyBorder="1" applyAlignment="1" applyProtection="1">
      <alignment horizontal="center" vertical="center" wrapText="1"/>
      <protection hidden="1"/>
    </xf>
    <xf numFmtId="0" fontId="27" fillId="5" borderId="54" xfId="0" applyFont="1" applyFill="1" applyBorder="1" applyAlignment="1" applyProtection="1">
      <alignment horizontal="center" vertical="center" wrapText="1"/>
      <protection hidden="1"/>
    </xf>
    <xf numFmtId="0" fontId="27" fillId="5" borderId="57" xfId="0" applyFont="1" applyFill="1" applyBorder="1" applyAlignment="1" applyProtection="1">
      <alignment horizontal="center" vertical="center" shrinkToFit="1"/>
      <protection hidden="1"/>
    </xf>
    <xf numFmtId="0" fontId="27" fillId="8" borderId="18" xfId="0" applyFont="1" applyFill="1" applyBorder="1" applyAlignment="1" applyProtection="1">
      <alignment horizontal="center" vertical="center" shrinkToFit="1"/>
      <protection hidden="1"/>
    </xf>
    <xf numFmtId="3" fontId="26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center" vertical="center" shrinkToFit="1"/>
      <protection hidden="1"/>
    </xf>
    <xf numFmtId="0" fontId="27" fillId="2" borderId="0" xfId="0" applyFont="1" applyFill="1" applyAlignment="1" applyProtection="1">
      <alignment horizontal="center" vertical="center" shrinkToFit="1"/>
      <protection hidden="1"/>
    </xf>
    <xf numFmtId="0" fontId="29" fillId="6" borderId="53" xfId="0" applyFont="1" applyFill="1" applyBorder="1" applyAlignment="1" applyProtection="1">
      <alignment horizontal="center" vertical="center" shrinkToFit="1"/>
      <protection hidden="1"/>
    </xf>
    <xf numFmtId="0" fontId="29" fillId="6" borderId="51" xfId="0" applyFont="1" applyFill="1" applyBorder="1" applyAlignment="1" applyProtection="1">
      <alignment horizontal="center" vertical="center" shrinkToFit="1"/>
      <protection hidden="1"/>
    </xf>
    <xf numFmtId="0" fontId="29" fillId="6" borderId="49" xfId="0" applyFont="1" applyFill="1" applyBorder="1" applyAlignment="1" applyProtection="1">
      <alignment horizontal="center" vertical="center" shrinkToFit="1"/>
      <protection hidden="1"/>
    </xf>
    <xf numFmtId="167" fontId="26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26" fillId="6" borderId="46" xfId="0" applyNumberFormat="1" applyFont="1" applyFill="1" applyBorder="1" applyAlignment="1" applyProtection="1">
      <alignment vertical="center" shrinkToFit="1"/>
      <protection hidden="1"/>
    </xf>
    <xf numFmtId="49" fontId="26" fillId="6" borderId="51" xfId="0" applyNumberFormat="1" applyFont="1" applyFill="1" applyBorder="1" applyAlignment="1" applyProtection="1">
      <alignment vertical="center" shrinkToFit="1"/>
      <protection hidden="1"/>
    </xf>
    <xf numFmtId="49" fontId="26" fillId="6" borderId="49" xfId="0" applyNumberFormat="1" applyFont="1" applyFill="1" applyBorder="1" applyAlignment="1" applyProtection="1">
      <alignment vertical="center" shrinkToFit="1"/>
      <protection hidden="1"/>
    </xf>
    <xf numFmtId="0" fontId="26" fillId="6" borderId="40" xfId="0" applyNumberFormat="1" applyFont="1" applyFill="1" applyBorder="1" applyAlignment="1" applyProtection="1">
      <alignment horizontal="center" vertical="center" shrinkToFit="1"/>
      <protection hidden="1"/>
    </xf>
    <xf numFmtId="0" fontId="26" fillId="6" borderId="41" xfId="0" applyNumberFormat="1" applyFont="1" applyFill="1" applyBorder="1" applyAlignment="1" applyProtection="1">
      <alignment horizontal="center" vertical="center" shrinkToFit="1"/>
      <protection hidden="1"/>
    </xf>
    <xf numFmtId="3" fontId="47" fillId="0" borderId="0" xfId="0" applyNumberFormat="1" applyFont="1" applyAlignment="1" applyProtection="1">
      <alignment horizontal="center" vertical="center" shrinkToFit="1"/>
      <protection hidden="1"/>
    </xf>
    <xf numFmtId="14" fontId="26" fillId="2" borderId="0" xfId="0" applyNumberFormat="1" applyFont="1" applyFill="1" applyAlignment="1" applyProtection="1">
      <alignment horizontal="center" vertical="center" shrinkToFit="1"/>
      <protection hidden="1"/>
    </xf>
    <xf numFmtId="49" fontId="26" fillId="2" borderId="0" xfId="0" applyNumberFormat="1" applyFont="1" applyFill="1" applyAlignment="1" applyProtection="1">
      <alignment horizontal="center" vertical="center" shrinkToFit="1"/>
      <protection hidden="1"/>
    </xf>
    <xf numFmtId="0" fontId="26" fillId="8" borderId="27" xfId="0" applyFont="1" applyFill="1" applyBorder="1" applyAlignment="1" applyProtection="1">
      <alignment horizontal="center" vertical="center" shrinkToFit="1"/>
      <protection hidden="1"/>
    </xf>
    <xf numFmtId="165" fontId="26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28" xfId="0" applyFont="1" applyFill="1" applyBorder="1" applyAlignment="1" applyProtection="1">
      <alignment horizontal="center" vertical="center" shrinkToFit="1"/>
      <protection hidden="1"/>
    </xf>
    <xf numFmtId="0" fontId="26" fillId="8" borderId="29" xfId="0" applyFont="1" applyFill="1" applyBorder="1" applyAlignment="1" applyProtection="1">
      <alignment horizontal="center" vertical="center" shrinkToFit="1"/>
      <protection hidden="1"/>
    </xf>
    <xf numFmtId="0" fontId="26" fillId="8" borderId="74" xfId="0" applyFont="1" applyFill="1" applyBorder="1" applyAlignment="1" applyProtection="1">
      <alignment horizontal="center" vertical="center" shrinkToFit="1"/>
      <protection hidden="1"/>
    </xf>
    <xf numFmtId="165" fontId="26" fillId="8" borderId="0" xfId="0" applyNumberFormat="1" applyFont="1" applyFill="1" applyAlignment="1" applyProtection="1">
      <alignment horizontal="center" vertical="center" shrinkToFit="1"/>
      <protection hidden="1"/>
    </xf>
    <xf numFmtId="0" fontId="26" fillId="8" borderId="0" xfId="0" applyFont="1" applyFill="1" applyAlignment="1" applyProtection="1">
      <alignment horizontal="center" vertical="center" shrinkToFit="1"/>
      <protection hidden="1"/>
    </xf>
    <xf numFmtId="0" fontId="26" fillId="8" borderId="15" xfId="0" applyFont="1" applyFill="1" applyBorder="1" applyAlignment="1" applyProtection="1">
      <alignment horizontal="center" vertical="center" shrinkToFit="1"/>
      <protection hidden="1"/>
    </xf>
    <xf numFmtId="0" fontId="26" fillId="8" borderId="56" xfId="0" applyFont="1" applyFill="1" applyBorder="1" applyAlignment="1" applyProtection="1">
      <alignment horizontal="center" vertical="center" shrinkToFit="1"/>
      <protection hidden="1"/>
    </xf>
    <xf numFmtId="165" fontId="26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24" xfId="0" applyFont="1" applyFill="1" applyBorder="1" applyAlignment="1" applyProtection="1">
      <alignment horizontal="center" vertical="center" shrinkToFit="1"/>
      <protection hidden="1"/>
    </xf>
    <xf numFmtId="0" fontId="26" fillId="8" borderId="58" xfId="0" applyFont="1" applyFill="1" applyBorder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horizontal="center" vertical="center" shrinkToFit="1"/>
      <protection hidden="1"/>
    </xf>
    <xf numFmtId="164" fontId="28" fillId="0" borderId="28" xfId="0" applyNumberFormat="1" applyFont="1" applyBorder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horizontal="center" vertical="center" shrinkToFit="1"/>
      <protection hidden="1"/>
    </xf>
    <xf numFmtId="164" fontId="28" fillId="0" borderId="0" xfId="0" applyNumberFormat="1" applyFont="1" applyBorder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vertical="center" shrinkToFit="1"/>
      <protection hidden="1"/>
    </xf>
    <xf numFmtId="3" fontId="27" fillId="0" borderId="0" xfId="0" applyNumberFormat="1" applyFont="1" applyAlignment="1" applyProtection="1">
      <alignment vertical="center" shrinkToFit="1"/>
      <protection hidden="1"/>
    </xf>
    <xf numFmtId="0" fontId="26" fillId="4" borderId="51" xfId="0" applyFont="1" applyFill="1" applyBorder="1" applyAlignment="1" applyProtection="1">
      <alignment horizontal="center" vertical="center"/>
      <protection hidden="1"/>
    </xf>
    <xf numFmtId="0" fontId="26" fillId="4" borderId="39" xfId="0" applyFont="1" applyFill="1" applyBorder="1" applyAlignment="1" applyProtection="1">
      <alignment horizontal="center" vertical="center"/>
      <protection hidden="1"/>
    </xf>
    <xf numFmtId="0" fontId="26" fillId="3" borderId="46" xfId="0" applyFont="1" applyFill="1" applyBorder="1" applyAlignment="1" applyProtection="1">
      <alignment horizontal="center" vertical="center" wrapText="1"/>
      <protection hidden="1"/>
    </xf>
    <xf numFmtId="0" fontId="26" fillId="3" borderId="51" xfId="0" applyFont="1" applyFill="1" applyBorder="1" applyAlignment="1" applyProtection="1">
      <alignment horizontal="center" vertical="center" wrapText="1"/>
      <protection hidden="1"/>
    </xf>
    <xf numFmtId="0" fontId="26" fillId="3" borderId="49" xfId="0" applyFont="1" applyFill="1" applyBorder="1" applyAlignment="1" applyProtection="1">
      <alignment horizontal="center" vertical="center" wrapText="1"/>
      <protection hidden="1"/>
    </xf>
    <xf numFmtId="0" fontId="26" fillId="8" borderId="4" xfId="0" applyFont="1" applyFill="1" applyBorder="1" applyAlignment="1" applyProtection="1">
      <alignment horizontal="center" vertical="center" shrinkToFit="1"/>
      <protection hidden="1"/>
    </xf>
    <xf numFmtId="165" fontId="26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5" xfId="0" applyFont="1" applyFill="1" applyBorder="1" applyAlignment="1" applyProtection="1">
      <alignment horizontal="center" vertical="center" shrinkToFit="1"/>
      <protection hidden="1"/>
    </xf>
    <xf numFmtId="0" fontId="26" fillId="8" borderId="6" xfId="0" applyFont="1" applyFill="1" applyBorder="1" applyAlignment="1" applyProtection="1">
      <alignment horizontal="center" vertical="center" shrinkToFit="1"/>
      <protection hidden="1"/>
    </xf>
    <xf numFmtId="0" fontId="26" fillId="8" borderId="71" xfId="0" applyFont="1" applyFill="1" applyBorder="1" applyAlignment="1" applyProtection="1">
      <alignment horizontal="center" vertical="center" shrinkToFit="1"/>
      <protection hidden="1"/>
    </xf>
    <xf numFmtId="165" fontId="26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65" xfId="0" applyFont="1" applyFill="1" applyBorder="1" applyAlignment="1" applyProtection="1">
      <alignment horizontal="center" vertical="center" shrinkToFit="1"/>
      <protection hidden="1"/>
    </xf>
    <xf numFmtId="0" fontId="26" fillId="8" borderId="72" xfId="0" applyFont="1" applyFill="1" applyBorder="1" applyAlignment="1" applyProtection="1">
      <alignment horizontal="center" vertical="center" shrinkToFit="1"/>
      <protection hidden="1"/>
    </xf>
    <xf numFmtId="0" fontId="26" fillId="8" borderId="73" xfId="0" applyFont="1" applyFill="1" applyBorder="1" applyAlignment="1" applyProtection="1">
      <alignment horizontal="center" vertical="center" shrinkToFit="1"/>
      <protection hidden="1"/>
    </xf>
    <xf numFmtId="165" fontId="26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54" xfId="0" applyFont="1" applyFill="1" applyBorder="1" applyAlignment="1" applyProtection="1">
      <alignment horizontal="center" vertical="center" shrinkToFit="1"/>
      <protection hidden="1"/>
    </xf>
    <xf numFmtId="0" fontId="26" fillId="8" borderId="57" xfId="0" applyFont="1" applyFill="1" applyBorder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horizontal="center" vertical="center" shrinkToFit="1"/>
      <protection hidden="1"/>
    </xf>
    <xf numFmtId="0" fontId="36" fillId="0" borderId="24" xfId="0" applyFont="1" applyBorder="1" applyAlignment="1" applyProtection="1">
      <alignment horizontal="center" vertical="center" shrinkToFit="1"/>
      <protection hidden="1"/>
    </xf>
    <xf numFmtId="0" fontId="27" fillId="0" borderId="0" xfId="0" applyFont="1" applyAlignment="1" applyProtection="1">
      <alignment horizontal="right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vertical="center" shrinkToFit="1"/>
      <protection hidden="1"/>
    </xf>
    <xf numFmtId="0" fontId="28" fillId="0" borderId="0" xfId="0" applyFont="1" applyAlignment="1" applyProtection="1">
      <alignment vertical="center" shrinkToFit="1"/>
      <protection hidden="1"/>
    </xf>
    <xf numFmtId="0" fontId="26" fillId="4" borderId="27" xfId="0" applyFont="1" applyFill="1" applyBorder="1" applyAlignment="1" applyProtection="1">
      <alignment horizontal="center" vertical="center"/>
      <protection hidden="1"/>
    </xf>
    <xf numFmtId="0" fontId="26" fillId="4" borderId="28" xfId="0" applyFont="1" applyFill="1" applyBorder="1" applyAlignment="1" applyProtection="1">
      <alignment horizontal="center" vertical="center"/>
      <protection hidden="1"/>
    </xf>
    <xf numFmtId="0" fontId="26" fillId="4" borderId="28" xfId="0" applyFont="1" applyFill="1" applyBorder="1" applyAlignment="1" applyProtection="1">
      <alignment horizontal="right" vertical="center"/>
      <protection hidden="1"/>
    </xf>
    <xf numFmtId="0" fontId="26" fillId="4" borderId="28" xfId="0" applyFont="1" applyFill="1" applyBorder="1" applyAlignment="1" applyProtection="1">
      <alignment vertical="center" shrinkToFit="1"/>
      <protection hidden="1"/>
    </xf>
    <xf numFmtId="0" fontId="26" fillId="4" borderId="29" xfId="0" applyFont="1" applyFill="1" applyBorder="1" applyAlignment="1" applyProtection="1">
      <alignment vertical="center" shrinkToFit="1"/>
      <protection hidden="1"/>
    </xf>
    <xf numFmtId="0" fontId="26" fillId="4" borderId="39" xfId="0" applyFont="1" applyFill="1" applyBorder="1" applyAlignment="1" applyProtection="1">
      <alignment horizontal="center" vertical="center" shrinkToFit="1"/>
      <protection hidden="1"/>
    </xf>
    <xf numFmtId="0" fontId="26" fillId="4" borderId="40" xfId="0" applyFont="1" applyFill="1" applyBorder="1" applyAlignment="1" applyProtection="1">
      <alignment horizontal="center" vertical="center" shrinkToFit="1"/>
      <protection hidden="1"/>
    </xf>
    <xf numFmtId="0" fontId="26" fillId="4" borderId="41" xfId="0" applyFont="1" applyFill="1" applyBorder="1" applyAlignment="1" applyProtection="1">
      <alignment horizontal="center" vertical="center" shrinkToFit="1"/>
      <protection hidden="1"/>
    </xf>
    <xf numFmtId="0" fontId="26" fillId="7" borderId="27" xfId="0" applyFont="1" applyFill="1" applyBorder="1" applyAlignment="1" applyProtection="1">
      <alignment horizontal="center" vertical="center"/>
      <protection hidden="1"/>
    </xf>
    <xf numFmtId="0" fontId="26" fillId="7" borderId="31" xfId="0" applyFont="1" applyFill="1" applyBorder="1" applyAlignment="1" applyProtection="1">
      <alignment horizontal="center" vertical="center"/>
      <protection hidden="1"/>
    </xf>
    <xf numFmtId="0" fontId="26" fillId="7" borderId="5" xfId="0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/>
      <protection hidden="1"/>
    </xf>
    <xf numFmtId="0" fontId="26" fillId="7" borderId="55" xfId="0" applyFont="1" applyFill="1" applyBorder="1" applyAlignment="1" applyProtection="1">
      <alignment horizontal="center" vertical="center"/>
      <protection hidden="1"/>
    </xf>
    <xf numFmtId="0" fontId="26" fillId="7" borderId="2" xfId="0" applyFont="1" applyFill="1" applyBorder="1" applyAlignment="1" applyProtection="1">
      <alignment horizontal="center" vertical="center"/>
      <protection hidden="1"/>
    </xf>
    <xf numFmtId="0" fontId="26" fillId="7" borderId="60" xfId="0" applyFont="1" applyFill="1" applyBorder="1" applyAlignment="1" applyProtection="1">
      <alignment horizontal="center" vertical="center"/>
      <protection hidden="1"/>
    </xf>
    <xf numFmtId="0" fontId="26" fillId="5" borderId="4" xfId="0" applyFont="1" applyFill="1" applyBorder="1" applyAlignment="1" applyProtection="1">
      <alignment horizontal="center" vertical="center" shrinkToFit="1"/>
      <protection hidden="1"/>
    </xf>
    <xf numFmtId="0" fontId="26" fillId="5" borderId="5" xfId="0" applyFont="1" applyFill="1" applyBorder="1" applyAlignment="1" applyProtection="1">
      <alignment horizontal="center" vertical="center" shrinkToFit="1"/>
      <protection hidden="1"/>
    </xf>
    <xf numFmtId="0" fontId="26" fillId="5" borderId="46" xfId="0" applyFont="1" applyFill="1" applyBorder="1" applyAlignment="1" applyProtection="1">
      <alignment horizontal="center" vertical="center" shrinkToFit="1"/>
      <protection hidden="1"/>
    </xf>
    <xf numFmtId="0" fontId="26" fillId="5" borderId="51" xfId="0" applyFont="1" applyFill="1" applyBorder="1" applyAlignment="1" applyProtection="1">
      <alignment horizontal="center" vertical="center" shrinkToFit="1"/>
      <protection hidden="1"/>
    </xf>
    <xf numFmtId="0" fontId="26" fillId="5" borderId="49" xfId="0" applyFont="1" applyFill="1" applyBorder="1" applyAlignment="1" applyProtection="1">
      <alignment horizontal="center" vertical="center" shrinkToFit="1"/>
      <protection hidden="1"/>
    </xf>
    <xf numFmtId="0" fontId="27" fillId="5" borderId="5" xfId="0" applyFont="1" applyFill="1" applyBorder="1" applyAlignment="1" applyProtection="1">
      <alignment horizontal="center" vertical="center" shrinkToFit="1"/>
      <protection hidden="1"/>
    </xf>
    <xf numFmtId="0" fontId="27" fillId="5" borderId="6" xfId="0" applyFont="1" applyFill="1" applyBorder="1" applyAlignment="1" applyProtection="1">
      <alignment horizontal="center" vertical="center" shrinkToFit="1"/>
      <protection hidden="1"/>
    </xf>
    <xf numFmtId="0" fontId="26" fillId="7" borderId="56" xfId="0" applyFont="1" applyFill="1" applyBorder="1" applyAlignment="1" applyProtection="1">
      <alignment horizontal="center" vertical="center"/>
      <protection hidden="1"/>
    </xf>
    <xf numFmtId="0" fontId="26" fillId="7" borderId="69" xfId="0" applyFont="1" applyFill="1" applyBorder="1" applyAlignment="1" applyProtection="1">
      <alignment horizontal="center" vertical="center"/>
      <protection hidden="1"/>
    </xf>
    <xf numFmtId="0" fontId="26" fillId="7" borderId="54" xfId="0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left" vertical="center" shrinkToFit="1"/>
      <protection hidden="1"/>
    </xf>
    <xf numFmtId="0" fontId="26" fillId="7" borderId="22" xfId="0" applyFont="1" applyFill="1" applyBorder="1" applyAlignment="1" applyProtection="1">
      <alignment horizontal="center" vertical="center" shrinkToFit="1"/>
      <protection hidden="1"/>
    </xf>
    <xf numFmtId="14" fontId="26" fillId="7" borderId="53" xfId="0" applyNumberFormat="1" applyFont="1" applyFill="1" applyBorder="1" applyAlignment="1" applyProtection="1">
      <alignment horizontal="center" vertical="center"/>
      <protection hidden="1"/>
    </xf>
    <xf numFmtId="0" fontId="26" fillId="7" borderId="50" xfId="0" applyFont="1" applyFill="1" applyBorder="1" applyAlignment="1" applyProtection="1">
      <alignment horizontal="center" vertical="center"/>
      <protection hidden="1"/>
    </xf>
    <xf numFmtId="0" fontId="26" fillId="7" borderId="53" xfId="0" applyFont="1" applyFill="1" applyBorder="1" applyAlignment="1" applyProtection="1">
      <alignment horizontal="center" vertical="center" shrinkToFit="1"/>
      <protection hidden="1"/>
    </xf>
    <xf numFmtId="0" fontId="26" fillId="7" borderId="51" xfId="0" applyFont="1" applyFill="1" applyBorder="1" applyAlignment="1" applyProtection="1">
      <alignment horizontal="center" vertical="center" shrinkToFit="1"/>
      <protection hidden="1"/>
    </xf>
    <xf numFmtId="0" fontId="26" fillId="7" borderId="49" xfId="0" applyFont="1" applyFill="1" applyBorder="1" applyAlignment="1" applyProtection="1">
      <alignment horizontal="center" vertical="center" shrinkToFit="1"/>
      <protection hidden="1"/>
    </xf>
    <xf numFmtId="0" fontId="26" fillId="7" borderId="40" xfId="0" applyFont="1" applyFill="1" applyBorder="1" applyAlignment="1" applyProtection="1">
      <alignment horizontal="center" vertical="center" shrinkToFit="1"/>
      <protection hidden="1"/>
    </xf>
    <xf numFmtId="0" fontId="26" fillId="7" borderId="41" xfId="0" applyFont="1" applyFill="1" applyBorder="1" applyAlignment="1" applyProtection="1">
      <alignment horizontal="center" vertical="center" shrinkToFit="1"/>
      <protection hidden="1"/>
    </xf>
    <xf numFmtId="0" fontId="26" fillId="7" borderId="45" xfId="0" applyFont="1" applyFill="1" applyBorder="1" applyAlignment="1" applyProtection="1">
      <alignment horizontal="left" vertical="center"/>
      <protection hidden="1"/>
    </xf>
    <xf numFmtId="0" fontId="26" fillId="7" borderId="55" xfId="0" applyFont="1" applyFill="1" applyBorder="1" applyAlignment="1" applyProtection="1">
      <alignment horizontal="left" vertical="center"/>
      <protection hidden="1"/>
    </xf>
    <xf numFmtId="0" fontId="26" fillId="7" borderId="71" xfId="0" applyFont="1" applyFill="1" applyBorder="1" applyAlignment="1" applyProtection="1">
      <alignment horizontal="center" vertical="center" shrinkToFit="1"/>
      <protection hidden="1"/>
    </xf>
    <xf numFmtId="0" fontId="26" fillId="7" borderId="46" xfId="0" applyFont="1" applyFill="1" applyBorder="1" applyAlignment="1" applyProtection="1">
      <alignment horizontal="center" vertical="center" shrinkToFit="1"/>
      <protection hidden="1"/>
    </xf>
    <xf numFmtId="0" fontId="26" fillId="7" borderId="46" xfId="0" applyFont="1" applyFill="1" applyBorder="1" applyAlignment="1" applyProtection="1">
      <alignment horizontal="center" vertical="center" shrinkToFit="1"/>
      <protection hidden="1"/>
    </xf>
    <xf numFmtId="0" fontId="26" fillId="7" borderId="66" xfId="0" applyFont="1" applyFill="1" applyBorder="1" applyAlignment="1" applyProtection="1">
      <alignment horizontal="center" vertical="center" shrinkToFit="1"/>
      <protection hidden="1"/>
    </xf>
    <xf numFmtId="0" fontId="26" fillId="7" borderId="0" xfId="0" applyFont="1" applyFill="1" applyAlignment="1" applyProtection="1">
      <alignment horizontal="center" vertical="center" shrinkToFit="1"/>
      <protection hidden="1"/>
    </xf>
    <xf numFmtId="0" fontId="26" fillId="7" borderId="15" xfId="0" applyFont="1" applyFill="1" applyBorder="1" applyAlignment="1" applyProtection="1">
      <alignment horizontal="center" vertical="center" shrinkToFit="1"/>
      <protection hidden="1"/>
    </xf>
    <xf numFmtId="0" fontId="26" fillId="7" borderId="18" xfId="0" applyFont="1" applyFill="1" applyBorder="1" applyAlignment="1" applyProtection="1">
      <alignment horizontal="center" vertical="center"/>
      <protection hidden="1"/>
    </xf>
    <xf numFmtId="0" fontId="26" fillId="7" borderId="9" xfId="0" applyFont="1" applyFill="1" applyBorder="1" applyAlignment="1" applyProtection="1">
      <alignment horizontal="center" vertical="center"/>
      <protection hidden="1"/>
    </xf>
    <xf numFmtId="0" fontId="26" fillId="7" borderId="42" xfId="0" applyFont="1" applyFill="1" applyBorder="1" applyAlignment="1" applyProtection="1">
      <alignment horizontal="center" vertical="center" shrinkToFit="1"/>
      <protection hidden="1"/>
    </xf>
    <xf numFmtId="165" fontId="26" fillId="7" borderId="3" xfId="0" applyNumberFormat="1" applyFont="1" applyFill="1" applyBorder="1" applyAlignment="1" applyProtection="1">
      <alignment vertical="center" shrinkToFit="1"/>
      <protection hidden="1"/>
    </xf>
    <xf numFmtId="165" fontId="26" fillId="7" borderId="2" xfId="0" applyNumberFormat="1" applyFont="1" applyFill="1" applyBorder="1" applyAlignment="1" applyProtection="1">
      <alignment vertical="center" shrinkToFit="1"/>
      <protection hidden="1"/>
    </xf>
    <xf numFmtId="165" fontId="26" fillId="7" borderId="3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 shrinkToFit="1"/>
      <protection hidden="1"/>
    </xf>
    <xf numFmtId="3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3" fontId="26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3" xfId="0" applyFont="1" applyFill="1" applyBorder="1" applyAlignment="1" applyProtection="1">
      <alignment horizontal="left" vertical="center"/>
      <protection hidden="1"/>
    </xf>
    <xf numFmtId="0" fontId="26" fillId="7" borderId="34" xfId="0" applyFont="1" applyFill="1" applyBorder="1" applyAlignment="1" applyProtection="1">
      <alignment horizontal="left" vertical="center"/>
      <protection hidden="1"/>
    </xf>
    <xf numFmtId="0" fontId="26" fillId="7" borderId="20" xfId="0" applyFont="1" applyFill="1" applyBorder="1" applyAlignment="1" applyProtection="1">
      <alignment horizontal="center" vertical="center" shrinkToFit="1"/>
      <protection hidden="1"/>
    </xf>
    <xf numFmtId="165" fontId="26" fillId="7" borderId="14" xfId="0" applyNumberFormat="1" applyFont="1" applyFill="1" applyBorder="1" applyAlignment="1" applyProtection="1">
      <alignment vertical="center" shrinkToFit="1"/>
      <protection hidden="1"/>
    </xf>
    <xf numFmtId="165" fontId="26" fillId="7" borderId="13" xfId="0" applyNumberFormat="1" applyFont="1" applyFill="1" applyBorder="1" applyAlignment="1" applyProtection="1">
      <alignment vertical="center" shrinkToFit="1"/>
      <protection hidden="1"/>
    </xf>
    <xf numFmtId="165" fontId="26" fillId="7" borderId="14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4" xfId="0" applyFont="1" applyFill="1" applyBorder="1" applyAlignment="1" applyProtection="1">
      <alignment horizontal="center" vertical="center" shrinkToFit="1"/>
      <protection hidden="1"/>
    </xf>
    <xf numFmtId="3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7" fillId="7" borderId="39" xfId="0" applyFont="1" applyFill="1" applyBorder="1" applyAlignment="1" applyProtection="1">
      <alignment vertical="center" shrinkToFit="1"/>
      <protection hidden="1"/>
    </xf>
    <xf numFmtId="165" fontId="26" fillId="7" borderId="46" xfId="0" applyNumberFormat="1" applyFont="1" applyFill="1" applyBorder="1" applyAlignment="1" applyProtection="1">
      <alignment vertical="center" shrinkToFit="1"/>
      <protection hidden="1"/>
    </xf>
    <xf numFmtId="165" fontId="26" fillId="7" borderId="49" xfId="0" applyNumberFormat="1" applyFont="1" applyFill="1" applyBorder="1" applyAlignment="1" applyProtection="1">
      <alignment vertical="center" shrinkToFit="1"/>
      <protection hidden="1"/>
    </xf>
    <xf numFmtId="165" fontId="26" fillId="7" borderId="46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49" xfId="0" applyNumberFormat="1" applyFont="1" applyFill="1" applyBorder="1" applyAlignment="1" applyProtection="1">
      <alignment horizontal="center" vertical="center" shrinkToFit="1"/>
      <protection hidden="1"/>
    </xf>
    <xf numFmtId="44" fontId="27" fillId="7" borderId="46" xfId="1" applyFont="1" applyFill="1" applyBorder="1" applyAlignment="1" applyProtection="1">
      <alignment horizontal="center" vertical="center" shrinkToFit="1"/>
      <protection hidden="1"/>
    </xf>
    <xf numFmtId="3" fontId="27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76" xfId="0" applyFont="1" applyFill="1" applyBorder="1" applyAlignment="1" applyProtection="1">
      <alignment horizontal="left" vertical="center"/>
      <protection hidden="1"/>
    </xf>
    <xf numFmtId="0" fontId="26" fillId="7" borderId="67" xfId="0" applyFont="1" applyFill="1" applyBorder="1" applyAlignment="1" applyProtection="1">
      <alignment horizontal="left" vertical="center"/>
      <protection hidden="1"/>
    </xf>
    <xf numFmtId="0" fontId="26" fillId="7" borderId="35" xfId="0" applyFont="1" applyFill="1" applyBorder="1" applyAlignment="1" applyProtection="1">
      <alignment horizontal="left" vertical="center"/>
      <protection hidden="1"/>
    </xf>
    <xf numFmtId="0" fontId="26" fillId="7" borderId="36" xfId="0" applyFont="1" applyFill="1" applyBorder="1" applyAlignment="1" applyProtection="1">
      <alignment horizontal="left" vertical="center"/>
      <protection hidden="1"/>
    </xf>
    <xf numFmtId="0" fontId="26" fillId="4" borderId="42" xfId="0" applyFont="1" applyFill="1" applyBorder="1" applyAlignment="1" applyProtection="1">
      <alignment horizontal="center" vertical="center" shrinkToFit="1"/>
      <protection hidden="1"/>
    </xf>
    <xf numFmtId="0" fontId="26" fillId="4" borderId="37" xfId="0" applyFont="1" applyFill="1" applyBorder="1" applyAlignment="1" applyProtection="1">
      <alignment horizontal="center" vertical="center" shrinkToFit="1"/>
      <protection hidden="1"/>
    </xf>
    <xf numFmtId="0" fontId="26" fillId="4" borderId="38" xfId="0" applyFont="1" applyFill="1" applyBorder="1" applyAlignment="1" applyProtection="1">
      <alignment horizontal="center" vertical="center" shrinkToFit="1"/>
      <protection hidden="1"/>
    </xf>
    <xf numFmtId="0" fontId="26" fillId="9" borderId="18" xfId="0" applyFont="1" applyFill="1" applyBorder="1" applyAlignment="1" applyProtection="1">
      <alignment horizontal="center" vertical="center" shrinkToFit="1"/>
      <protection hidden="1"/>
    </xf>
    <xf numFmtId="0" fontId="26" fillId="9" borderId="48" xfId="0" applyFont="1" applyFill="1" applyBorder="1" applyAlignment="1" applyProtection="1">
      <alignment horizontal="center" vertical="center" wrapText="1"/>
      <protection hidden="1"/>
    </xf>
    <xf numFmtId="0" fontId="26" fillId="9" borderId="47" xfId="0" applyFont="1" applyFill="1" applyBorder="1" applyAlignment="1" applyProtection="1">
      <alignment horizontal="center" vertical="center" wrapText="1"/>
      <protection hidden="1"/>
    </xf>
    <xf numFmtId="0" fontId="26" fillId="9" borderId="52" xfId="0" applyFont="1" applyFill="1" applyBorder="1" applyAlignment="1" applyProtection="1">
      <alignment horizontal="center" vertical="center" wrapText="1"/>
      <protection hidden="1"/>
    </xf>
    <xf numFmtId="0" fontId="26" fillId="9" borderId="20" xfId="0" applyFont="1" applyFill="1" applyBorder="1" applyAlignment="1" applyProtection="1">
      <alignment horizontal="center" vertical="center" shrinkToFit="1"/>
      <protection hidden="1"/>
    </xf>
    <xf numFmtId="0" fontId="26" fillId="9" borderId="68" xfId="0" applyFont="1" applyFill="1" applyBorder="1" applyAlignment="1" applyProtection="1">
      <alignment horizontal="center" vertical="center" wrapText="1"/>
      <protection hidden="1"/>
    </xf>
    <xf numFmtId="0" fontId="26" fillId="9" borderId="69" xfId="0" applyFont="1" applyFill="1" applyBorder="1" applyAlignment="1" applyProtection="1">
      <alignment horizontal="center" vertical="center" wrapText="1"/>
      <protection hidden="1"/>
    </xf>
    <xf numFmtId="0" fontId="26" fillId="9" borderId="54" xfId="0" applyFont="1" applyFill="1" applyBorder="1" applyAlignment="1" applyProtection="1">
      <alignment horizontal="center" vertical="center" wrapText="1"/>
      <protection hidden="1"/>
    </xf>
    <xf numFmtId="0" fontId="26" fillId="9" borderId="16" xfId="0" applyFont="1" applyFill="1" applyBorder="1" applyAlignment="1" applyProtection="1">
      <alignment horizontal="center" vertical="center" shrinkToFit="1"/>
      <protection hidden="1"/>
    </xf>
    <xf numFmtId="165" fontId="26" fillId="9" borderId="3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2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7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9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18" xfId="0" applyFont="1" applyFill="1" applyBorder="1" applyAlignment="1" applyProtection="1">
      <alignment horizontal="center" vertical="center" shrinkToFit="1"/>
      <protection hidden="1"/>
    </xf>
    <xf numFmtId="165" fontId="26" fillId="9" borderId="9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8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0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77" xfId="0" applyFont="1" applyFill="1" applyBorder="1" applyAlignment="1" applyProtection="1">
      <alignment horizontal="center" vertical="center" shrinkToFit="1"/>
      <protection hidden="1"/>
    </xf>
    <xf numFmtId="165" fontId="26" fillId="9" borderId="14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3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52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39" xfId="0" applyFont="1" applyFill="1" applyBorder="1" applyAlignment="1" applyProtection="1">
      <alignment horizontal="center" vertical="center" shrinkToFit="1"/>
      <protection hidden="1"/>
    </xf>
    <xf numFmtId="167" fontId="26" fillId="9" borderId="46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9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0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53" xfId="0" applyFont="1" applyFill="1" applyBorder="1" applyAlignment="1" applyProtection="1">
      <alignment horizontal="center" vertical="center" shrinkToFit="1"/>
      <protection hidden="1"/>
    </xf>
    <xf numFmtId="0" fontId="26" fillId="4" borderId="51" xfId="0" applyFont="1" applyFill="1" applyBorder="1" applyAlignment="1" applyProtection="1">
      <alignment horizontal="center" vertical="center" shrinkToFit="1"/>
      <protection hidden="1"/>
    </xf>
    <xf numFmtId="0" fontId="26" fillId="4" borderId="50" xfId="0" applyFont="1" applyFill="1" applyBorder="1" applyAlignment="1" applyProtection="1">
      <alignment horizontal="center" vertical="center" shrinkToFit="1"/>
      <protection hidden="1"/>
    </xf>
    <xf numFmtId="0" fontId="26" fillId="4" borderId="64" xfId="0" applyFont="1" applyFill="1" applyBorder="1" applyAlignment="1" applyProtection="1">
      <alignment horizontal="center" vertical="center" wrapText="1" shrinkToFit="1"/>
      <protection hidden="1"/>
    </xf>
    <xf numFmtId="0" fontId="26" fillId="4" borderId="64" xfId="0" applyFont="1" applyFill="1" applyBorder="1" applyAlignment="1" applyProtection="1">
      <alignment horizontal="center" vertical="center" wrapText="1"/>
      <protection hidden="1"/>
    </xf>
    <xf numFmtId="0" fontId="26" fillId="7" borderId="62" xfId="0" applyFont="1" applyFill="1" applyBorder="1" applyAlignment="1" applyProtection="1">
      <alignment horizontal="left" vertical="center"/>
      <protection hidden="1"/>
    </xf>
    <xf numFmtId="0" fontId="26" fillId="7" borderId="25" xfId="0" applyFont="1" applyFill="1" applyBorder="1" applyAlignment="1" applyProtection="1">
      <alignment horizontal="left" vertical="center"/>
      <protection hidden="1"/>
    </xf>
    <xf numFmtId="0" fontId="26" fillId="5" borderId="45" xfId="0" applyFont="1" applyFill="1" applyBorder="1" applyAlignment="1" applyProtection="1">
      <alignment horizontal="right" vertical="center" shrinkToFit="1"/>
      <protection hidden="1"/>
    </xf>
    <xf numFmtId="0" fontId="26" fillId="5" borderId="55" xfId="0" applyFont="1" applyFill="1" applyBorder="1" applyAlignment="1" applyProtection="1">
      <alignment horizontal="right" vertical="center" shrinkToFit="1"/>
      <protection hidden="1"/>
    </xf>
    <xf numFmtId="0" fontId="26" fillId="5" borderId="2" xfId="0" applyFont="1" applyFill="1" applyBorder="1" applyAlignment="1" applyProtection="1">
      <alignment horizontal="right" vertical="center" shrinkToFit="1"/>
      <protection hidden="1"/>
    </xf>
    <xf numFmtId="165" fontId="26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70" xfId="0" applyFont="1" applyFill="1" applyBorder="1" applyAlignment="1" applyProtection="1">
      <alignment horizontal="center" vertical="center" wrapText="1" shrinkToFit="1"/>
      <protection hidden="1"/>
    </xf>
    <xf numFmtId="0" fontId="26" fillId="4" borderId="70" xfId="0" applyFont="1" applyFill="1" applyBorder="1" applyAlignment="1" applyProtection="1">
      <alignment horizontal="center" vertical="center" wrapText="1"/>
      <protection hidden="1"/>
    </xf>
    <xf numFmtId="0" fontId="26" fillId="4" borderId="44" xfId="0" applyFont="1" applyFill="1" applyBorder="1" applyAlignment="1" applyProtection="1">
      <alignment horizontal="center" vertical="center" wrapText="1" shrinkToFit="1"/>
      <protection hidden="1"/>
    </xf>
    <xf numFmtId="0" fontId="26" fillId="7" borderId="39" xfId="0" applyFont="1" applyFill="1" applyBorder="1" applyAlignment="1" applyProtection="1">
      <alignment horizontal="right" vertical="center"/>
      <protection hidden="1"/>
    </xf>
    <xf numFmtId="0" fontId="26" fillId="7" borderId="40" xfId="0" applyFont="1" applyFill="1" applyBorder="1" applyAlignment="1" applyProtection="1">
      <alignment horizontal="right" vertical="center"/>
      <protection hidden="1"/>
    </xf>
    <xf numFmtId="0" fontId="26" fillId="7" borderId="40" xfId="0" applyFont="1" applyFill="1" applyBorder="1" applyAlignment="1" applyProtection="1">
      <alignment horizontal="center" vertical="center"/>
      <protection hidden="1"/>
    </xf>
    <xf numFmtId="0" fontId="26" fillId="7" borderId="41" xfId="0" applyFont="1" applyFill="1" applyBorder="1" applyAlignment="1" applyProtection="1">
      <alignment horizontal="center" vertical="center"/>
      <protection hidden="1"/>
    </xf>
    <xf numFmtId="0" fontId="26" fillId="5" borderId="33" xfId="0" applyFont="1" applyFill="1" applyBorder="1" applyAlignment="1" applyProtection="1">
      <alignment horizontal="right" vertical="center" shrinkToFit="1"/>
      <protection hidden="1"/>
    </xf>
    <xf numFmtId="0" fontId="26" fillId="5" borderId="34" xfId="0" applyFont="1" applyFill="1" applyBorder="1" applyAlignment="1" applyProtection="1">
      <alignment horizontal="right" vertical="center" shrinkToFit="1"/>
      <protection hidden="1"/>
    </xf>
    <xf numFmtId="0" fontId="26" fillId="5" borderId="8" xfId="0" applyFont="1" applyFill="1" applyBorder="1" applyAlignment="1" applyProtection="1">
      <alignment horizontal="right" vertical="center" shrinkToFit="1"/>
      <protection hidden="1"/>
    </xf>
    <xf numFmtId="165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0" fillId="0" borderId="0" xfId="0" applyFont="1" applyAlignment="1" applyProtection="1">
      <alignment horizontal="left" vertical="center" shrinkToFit="1"/>
      <protection hidden="1"/>
    </xf>
    <xf numFmtId="0" fontId="26" fillId="4" borderId="44" xfId="0" applyFont="1" applyFill="1" applyBorder="1" applyAlignment="1" applyProtection="1">
      <alignment horizontal="center" vertical="center" wrapText="1"/>
      <protection hidden="1"/>
    </xf>
    <xf numFmtId="0" fontId="26" fillId="7" borderId="16" xfId="0" applyFont="1" applyFill="1" applyBorder="1" applyAlignment="1" applyProtection="1">
      <alignment horizontal="center" vertical="center"/>
      <protection hidden="1"/>
    </xf>
    <xf numFmtId="0" fontId="26" fillId="7" borderId="17" xfId="0" applyFont="1" applyFill="1" applyBorder="1" applyAlignment="1" applyProtection="1">
      <alignment horizontal="center" vertical="center" shrinkToFit="1"/>
      <protection hidden="1"/>
    </xf>
    <xf numFmtId="0" fontId="26" fillId="7" borderId="19" xfId="0" applyFont="1" applyFill="1" applyBorder="1" applyAlignment="1" applyProtection="1">
      <alignment horizontal="center" vertical="center" shrinkToFit="1"/>
      <protection hidden="1"/>
    </xf>
    <xf numFmtId="0" fontId="26" fillId="5" borderId="62" xfId="0" applyFont="1" applyFill="1" applyBorder="1" applyAlignment="1" applyProtection="1">
      <alignment horizontal="right" vertical="center" shrinkToFit="1"/>
      <protection hidden="1"/>
    </xf>
    <xf numFmtId="0" fontId="26" fillId="5" borderId="25" xfId="0" applyFont="1" applyFill="1" applyBorder="1" applyAlignment="1" applyProtection="1">
      <alignment horizontal="right" vertical="center" shrinkToFit="1"/>
      <protection hidden="1"/>
    </xf>
    <xf numFmtId="0" fontId="26" fillId="5" borderId="47" xfId="0" applyFont="1" applyFill="1" applyBorder="1" applyAlignment="1" applyProtection="1">
      <alignment horizontal="right" vertical="center" shrinkToFit="1"/>
      <protection hidden="1"/>
    </xf>
    <xf numFmtId="165" fontId="27" fillId="7" borderId="48" xfId="0" applyNumberFormat="1" applyFont="1" applyFill="1" applyBorder="1" applyAlignment="1" applyProtection="1">
      <alignment horizontal="center" vertical="center" shrinkToFit="1"/>
      <protection hidden="1"/>
    </xf>
    <xf numFmtId="165" fontId="27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43" xfId="0" applyFont="1" applyFill="1" applyBorder="1" applyAlignment="1" applyProtection="1">
      <alignment horizontal="center" vertical="center" wrapText="1" shrinkToFit="1"/>
      <protection hidden="1"/>
    </xf>
    <xf numFmtId="0" fontId="26" fillId="7" borderId="18" xfId="0" applyFont="1" applyFill="1" applyBorder="1" applyAlignment="1" applyProtection="1">
      <alignment horizontal="center" vertical="center"/>
      <protection hidden="1"/>
    </xf>
    <xf numFmtId="0" fontId="26" fillId="7" borderId="10" xfId="0" applyFont="1" applyFill="1" applyBorder="1" applyAlignment="1" applyProtection="1">
      <alignment horizontal="center" vertical="center" shrinkToFit="1"/>
      <protection hidden="1"/>
    </xf>
    <xf numFmtId="0" fontId="26" fillId="7" borderId="11" xfId="0" applyFont="1" applyFill="1" applyBorder="1" applyAlignment="1" applyProtection="1">
      <alignment horizontal="center" vertical="center" shrinkToFit="1"/>
      <protection hidden="1"/>
    </xf>
    <xf numFmtId="0" fontId="26" fillId="5" borderId="53" xfId="0" applyFont="1" applyFill="1" applyBorder="1" applyAlignment="1" applyProtection="1">
      <alignment horizontal="center" vertical="center" shrinkToFit="1"/>
      <protection hidden="1"/>
    </xf>
    <xf numFmtId="0" fontId="26" fillId="5" borderId="40" xfId="0" applyFont="1" applyFill="1" applyBorder="1" applyAlignment="1" applyProtection="1">
      <alignment horizontal="center" vertical="center" shrinkToFit="1"/>
      <protection hidden="1"/>
    </xf>
    <xf numFmtId="0" fontId="26" fillId="5" borderId="40" xfId="0" applyFont="1" applyFill="1" applyBorder="1" applyAlignment="1" applyProtection="1">
      <alignment horizontal="center" vertical="center" shrinkToFit="1"/>
      <protection hidden="1"/>
    </xf>
    <xf numFmtId="0" fontId="26" fillId="5" borderId="41" xfId="0" applyFont="1" applyFill="1" applyBorder="1" applyAlignment="1" applyProtection="1">
      <alignment horizontal="center" vertical="center" shrinkToFit="1"/>
      <protection hidden="1"/>
    </xf>
    <xf numFmtId="0" fontId="26" fillId="9" borderId="12" xfId="0" applyFont="1" applyFill="1" applyBorder="1" applyAlignment="1" applyProtection="1">
      <alignment horizontal="center" vertical="center" shrinkToFit="1"/>
      <protection hidden="1"/>
    </xf>
    <xf numFmtId="0" fontId="26" fillId="7" borderId="20" xfId="0" applyFont="1" applyFill="1" applyBorder="1" applyAlignment="1" applyProtection="1">
      <alignment horizontal="center" vertical="center"/>
      <protection hidden="1"/>
    </xf>
    <xf numFmtId="0" fontId="26" fillId="4" borderId="27" xfId="0" applyFont="1" applyFill="1" applyBorder="1" applyAlignment="1" applyProtection="1">
      <alignment horizontal="right" vertical="center"/>
      <protection hidden="1"/>
    </xf>
    <xf numFmtId="0" fontId="26" fillId="4" borderId="28" xfId="0" applyFont="1" applyFill="1" applyBorder="1" applyAlignment="1" applyProtection="1">
      <alignment horizontal="right" vertical="center"/>
      <protection hidden="1"/>
    </xf>
    <xf numFmtId="0" fontId="26" fillId="4" borderId="29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 shrinkToFit="1"/>
      <protection hidden="1"/>
    </xf>
    <xf numFmtId="0" fontId="26" fillId="7" borderId="42" xfId="0" applyFont="1" applyFill="1" applyBorder="1" applyAlignment="1" applyProtection="1">
      <alignment horizontal="center" vertical="center"/>
      <protection hidden="1"/>
    </xf>
    <xf numFmtId="0" fontId="26" fillId="7" borderId="37" xfId="0" applyFont="1" applyFill="1" applyBorder="1" applyAlignment="1" applyProtection="1">
      <alignment horizontal="center" vertical="center"/>
      <protection hidden="1"/>
    </xf>
    <xf numFmtId="0" fontId="26" fillId="7" borderId="2" xfId="0" applyFont="1" applyFill="1" applyBorder="1" applyAlignment="1" applyProtection="1">
      <alignment horizontal="center" vertical="center" shrinkToFit="1"/>
      <protection hidden="1"/>
    </xf>
    <xf numFmtId="44" fontId="26" fillId="7" borderId="37" xfId="1" applyFont="1" applyFill="1" applyBorder="1" applyAlignment="1" applyProtection="1">
      <alignment horizontal="center" vertical="center"/>
      <protection hidden="1"/>
    </xf>
    <xf numFmtId="44" fontId="26" fillId="7" borderId="38" xfId="1" applyFont="1" applyFill="1" applyBorder="1" applyAlignment="1" applyProtection="1">
      <alignment horizontal="center" vertical="center"/>
      <protection hidden="1"/>
    </xf>
    <xf numFmtId="0" fontId="26" fillId="7" borderId="20" xfId="0" applyFont="1" applyFill="1" applyBorder="1" applyAlignment="1" applyProtection="1">
      <alignment horizontal="center" vertical="center"/>
      <protection hidden="1"/>
    </xf>
    <xf numFmtId="0" fontId="26" fillId="7" borderId="21" xfId="0" applyFont="1" applyFill="1" applyBorder="1" applyAlignment="1" applyProtection="1">
      <alignment horizontal="center" vertical="center"/>
      <protection hidden="1"/>
    </xf>
    <xf numFmtId="0" fontId="26" fillId="7" borderId="13" xfId="0" applyFont="1" applyFill="1" applyBorder="1" applyAlignment="1" applyProtection="1">
      <alignment horizontal="center" vertical="center" shrinkToFit="1"/>
      <protection hidden="1"/>
    </xf>
    <xf numFmtId="0" fontId="26" fillId="7" borderId="13" xfId="0" applyFont="1" applyFill="1" applyBorder="1" applyAlignment="1" applyProtection="1">
      <alignment horizontal="center" vertical="center" shrinkToFit="1"/>
      <protection hidden="1"/>
    </xf>
    <xf numFmtId="0" fontId="26" fillId="4" borderId="27" xfId="0" applyFont="1" applyFill="1" applyBorder="1" applyAlignment="1" applyProtection="1">
      <alignment horizontal="center" vertical="center"/>
      <protection hidden="1"/>
    </xf>
    <xf numFmtId="0" fontId="26" fillId="4" borderId="31" xfId="0" applyFont="1" applyFill="1" applyBorder="1" applyAlignment="1" applyProtection="1">
      <alignment horizontal="center" vertical="center"/>
      <protection hidden="1"/>
    </xf>
    <xf numFmtId="0" fontId="26" fillId="4" borderId="5" xfId="0" applyFont="1" applyFill="1" applyBorder="1" applyAlignment="1" applyProtection="1">
      <alignment horizontal="center" vertical="center" wrapText="1"/>
      <protection hidden="1"/>
    </xf>
    <xf numFmtId="0" fontId="26" fillId="4" borderId="6" xfId="0" applyFont="1" applyFill="1" applyBorder="1" applyAlignment="1" applyProtection="1">
      <alignment horizontal="center" vertical="center" wrapText="1"/>
      <protection hidden="1"/>
    </xf>
    <xf numFmtId="0" fontId="26" fillId="4" borderId="74" xfId="0" applyFont="1" applyFill="1" applyBorder="1" applyAlignment="1" applyProtection="1">
      <alignment horizontal="center" vertical="center"/>
      <protection hidden="1"/>
    </xf>
    <xf numFmtId="0" fontId="26" fillId="4" borderId="61" xfId="0" applyFont="1" applyFill="1" applyBorder="1" applyAlignment="1" applyProtection="1">
      <alignment horizontal="center" vertical="center"/>
      <protection hidden="1"/>
    </xf>
    <xf numFmtId="0" fontId="26" fillId="4" borderId="65" xfId="0" applyFont="1" applyFill="1" applyBorder="1" applyAlignment="1" applyProtection="1">
      <alignment horizontal="center" vertical="center" wrapText="1"/>
      <protection hidden="1"/>
    </xf>
    <xf numFmtId="0" fontId="26" fillId="4" borderId="72" xfId="0" applyFont="1" applyFill="1" applyBorder="1" applyAlignment="1" applyProtection="1">
      <alignment horizontal="center" vertical="center" wrapText="1"/>
      <protection hidden="1"/>
    </xf>
    <xf numFmtId="0" fontId="26" fillId="4" borderId="35" xfId="0" applyFont="1" applyFill="1" applyBorder="1" applyAlignment="1" applyProtection="1">
      <alignment horizontal="center" vertical="center"/>
      <protection hidden="1"/>
    </xf>
    <xf numFmtId="0" fontId="26" fillId="4" borderId="23" xfId="0" applyFont="1" applyFill="1" applyBorder="1" applyAlignment="1" applyProtection="1">
      <alignment horizontal="center" vertical="center"/>
      <protection hidden="1"/>
    </xf>
    <xf numFmtId="0" fontId="26" fillId="4" borderId="17" xfId="0" applyFont="1" applyFill="1" applyBorder="1" applyAlignment="1" applyProtection="1">
      <alignment horizontal="center" vertical="center" wrapText="1"/>
      <protection hidden="1"/>
    </xf>
    <xf numFmtId="0" fontId="26" fillId="4" borderId="19" xfId="0" applyFont="1" applyFill="1" applyBorder="1" applyAlignment="1" applyProtection="1">
      <alignment horizontal="center" vertical="center" wrapText="1"/>
      <protection hidden="1"/>
    </xf>
    <xf numFmtId="0" fontId="26" fillId="4" borderId="18" xfId="0" applyFont="1" applyFill="1" applyBorder="1" applyAlignment="1" applyProtection="1">
      <alignment horizontal="right" vertical="center"/>
      <protection hidden="1"/>
    </xf>
    <xf numFmtId="0" fontId="26" fillId="4" borderId="10" xfId="0" applyFont="1" applyFill="1" applyBorder="1" applyAlignment="1" applyProtection="1">
      <alignment horizontal="right" vertical="center"/>
      <protection hidden="1"/>
    </xf>
    <xf numFmtId="14" fontId="26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 shrinkToFit="1"/>
      <protection hidden="1"/>
    </xf>
    <xf numFmtId="0" fontId="26" fillId="7" borderId="55" xfId="0" applyFont="1" applyFill="1" applyBorder="1" applyAlignment="1" applyProtection="1">
      <alignment horizontal="center" vertical="center" shrinkToFit="1"/>
      <protection hidden="1"/>
    </xf>
    <xf numFmtId="0" fontId="26" fillId="7" borderId="2" xfId="0" applyFont="1" applyFill="1" applyBorder="1" applyAlignment="1" applyProtection="1">
      <alignment vertical="center" shrinkToFit="1"/>
      <protection hidden="1"/>
    </xf>
    <xf numFmtId="165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38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20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4" xfId="0" applyFont="1" applyFill="1" applyBorder="1" applyAlignment="1" applyProtection="1">
      <alignment horizontal="center" vertical="center" shrinkToFit="1"/>
      <protection hidden="1"/>
    </xf>
    <xf numFmtId="0" fontId="26" fillId="7" borderId="67" xfId="0" applyFont="1" applyFill="1" applyBorder="1" applyAlignment="1" applyProtection="1">
      <alignment horizontal="center" vertical="center" shrinkToFit="1"/>
      <protection hidden="1"/>
    </xf>
    <xf numFmtId="0" fontId="26" fillId="7" borderId="69" xfId="0" applyFont="1" applyFill="1" applyBorder="1" applyAlignment="1" applyProtection="1">
      <alignment vertical="center" shrinkToFit="1"/>
      <protection hidden="1"/>
    </xf>
    <xf numFmtId="165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20" xfId="0" applyFont="1" applyFill="1" applyBorder="1" applyAlignment="1" applyProtection="1">
      <alignment horizontal="right" vertical="center"/>
      <protection hidden="1"/>
    </xf>
    <xf numFmtId="0" fontId="26" fillId="4" borderId="21" xfId="0" applyFont="1" applyFill="1" applyBorder="1" applyAlignment="1" applyProtection="1">
      <alignment horizontal="right" vertical="center"/>
      <protection hidden="1"/>
    </xf>
    <xf numFmtId="0" fontId="26" fillId="5" borderId="39" xfId="0" applyFont="1" applyFill="1" applyBorder="1" applyAlignment="1" applyProtection="1">
      <alignment horizontal="right" vertical="center" shrinkToFit="1"/>
      <protection hidden="1"/>
    </xf>
    <xf numFmtId="0" fontId="26" fillId="5" borderId="40" xfId="0" applyFont="1" applyFill="1" applyBorder="1" applyAlignment="1" applyProtection="1">
      <alignment horizontal="right" vertical="center" shrinkToFit="1"/>
      <protection hidden="1"/>
    </xf>
    <xf numFmtId="165" fontId="26" fillId="5" borderId="40" xfId="0" applyNumberFormat="1" applyFont="1" applyFill="1" applyBorder="1" applyAlignment="1" applyProtection="1">
      <alignment horizontal="center" vertical="center" shrinkToFit="1"/>
      <protection hidden="1"/>
    </xf>
    <xf numFmtId="165" fontId="26" fillId="5" borderId="41" xfId="0" applyNumberFormat="1" applyFont="1" applyFill="1" applyBorder="1" applyAlignment="1" applyProtection="1">
      <alignment horizontal="center" vertical="center" shrinkToFit="1"/>
      <protection hidden="1"/>
    </xf>
    <xf numFmtId="0" fontId="27" fillId="5" borderId="27" xfId="0" applyFont="1" applyFill="1" applyBorder="1" applyAlignment="1" applyProtection="1">
      <alignment horizontal="center" vertical="center" wrapText="1"/>
      <protection hidden="1"/>
    </xf>
    <xf numFmtId="0" fontId="27" fillId="5" borderId="28" xfId="0" applyFont="1" applyFill="1" applyBorder="1" applyAlignment="1" applyProtection="1">
      <alignment horizontal="center" vertical="center" wrapText="1"/>
      <protection hidden="1"/>
    </xf>
    <xf numFmtId="0" fontId="27" fillId="5" borderId="31" xfId="0" applyFont="1" applyFill="1" applyBorder="1" applyAlignment="1" applyProtection="1">
      <alignment horizontal="center" vertical="center" wrapText="1"/>
      <protection hidden="1"/>
    </xf>
    <xf numFmtId="165" fontId="38" fillId="7" borderId="37" xfId="0" applyNumberFormat="1" applyFont="1" applyFill="1" applyBorder="1" applyAlignment="1" applyProtection="1">
      <alignment horizontal="center" vertical="center" shrinkToFit="1"/>
      <protection hidden="1"/>
    </xf>
    <xf numFmtId="165" fontId="38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27" fillId="5" borderId="56" xfId="0" applyFont="1" applyFill="1" applyBorder="1" applyAlignment="1" applyProtection="1">
      <alignment horizontal="center" vertical="center" wrapText="1"/>
      <protection hidden="1"/>
    </xf>
    <xf numFmtId="0" fontId="27" fillId="5" borderId="24" xfId="0" applyFont="1" applyFill="1" applyBorder="1" applyAlignment="1" applyProtection="1">
      <alignment horizontal="center" vertical="center" wrapText="1"/>
      <protection hidden="1"/>
    </xf>
    <xf numFmtId="0" fontId="27" fillId="5" borderId="69" xfId="0" applyFont="1" applyFill="1" applyBorder="1" applyAlignment="1" applyProtection="1">
      <alignment horizontal="center" vertical="center" wrapText="1"/>
      <protection hidden="1"/>
    </xf>
    <xf numFmtId="165" fontId="38" fillId="7" borderId="21" xfId="0" applyNumberFormat="1" applyFont="1" applyFill="1" applyBorder="1" applyAlignment="1" applyProtection="1">
      <alignment horizontal="center" vertical="center" shrinkToFit="1"/>
      <protection hidden="1"/>
    </xf>
    <xf numFmtId="165" fontId="38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53" xfId="0" applyFont="1" applyFill="1" applyBorder="1" applyAlignment="1" applyProtection="1">
      <alignment vertical="center"/>
      <protection hidden="1"/>
    </xf>
    <xf numFmtId="0" fontId="26" fillId="5" borderId="49" xfId="0" applyFont="1" applyFill="1" applyBorder="1" applyAlignment="1" applyProtection="1">
      <alignment vertical="center"/>
      <protection hidden="1"/>
    </xf>
    <xf numFmtId="0" fontId="26" fillId="5" borderId="40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26" fillId="5" borderId="42" xfId="0" applyFont="1" applyFill="1" applyBorder="1" applyAlignment="1" applyProtection="1">
      <alignment horizontal="center" vertical="center"/>
      <protection hidden="1"/>
    </xf>
    <xf numFmtId="0" fontId="26" fillId="5" borderId="37" xfId="0" applyFont="1" applyFill="1" applyBorder="1" applyAlignment="1" applyProtection="1">
      <alignment horizontal="center" vertical="center"/>
      <protection hidden="1"/>
    </xf>
    <xf numFmtId="0" fontId="26" fillId="5" borderId="38" xfId="0" applyFont="1" applyFill="1" applyBorder="1" applyAlignment="1" applyProtection="1">
      <alignment horizontal="center" vertical="center"/>
      <protection hidden="1"/>
    </xf>
    <xf numFmtId="0" fontId="26" fillId="7" borderId="18" xfId="0" applyFont="1" applyFill="1" applyBorder="1" applyAlignment="1" applyProtection="1">
      <alignment horizontal="center" vertical="center" shrinkToFit="1"/>
      <protection hidden="1"/>
    </xf>
    <xf numFmtId="4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11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73" xfId="0" applyFont="1" applyFill="1" applyBorder="1" applyAlignment="1" applyProtection="1">
      <alignment horizontal="right" vertical="center"/>
      <protection hidden="1"/>
    </xf>
    <xf numFmtId="0" fontId="26" fillId="5" borderId="54" xfId="0" applyFont="1" applyFill="1" applyBorder="1" applyAlignment="1" applyProtection="1">
      <alignment horizontal="right" vertical="center"/>
      <protection hidden="1"/>
    </xf>
    <xf numFmtId="165" fontId="26" fillId="5" borderId="54" xfId="0" applyNumberFormat="1" applyFont="1" applyFill="1" applyBorder="1" applyAlignment="1" applyProtection="1">
      <alignment horizontal="center" vertical="center" shrinkToFit="1"/>
      <protection hidden="1"/>
    </xf>
    <xf numFmtId="165" fontId="26" fillId="5" borderId="57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42" xfId="0" applyFont="1" applyFill="1" applyBorder="1" applyAlignment="1" applyProtection="1">
      <alignment horizontal="center" vertical="center"/>
      <protection hidden="1"/>
    </xf>
    <xf numFmtId="0" fontId="26" fillId="7" borderId="37" xfId="0" applyFont="1" applyFill="1" applyBorder="1" applyAlignment="1" applyProtection="1">
      <alignment horizontal="center" vertical="center" shrinkToFit="1"/>
      <protection hidden="1"/>
    </xf>
    <xf numFmtId="0" fontId="26" fillId="7" borderId="38" xfId="0" applyFont="1" applyFill="1" applyBorder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right" vertical="center" shrinkToFit="1"/>
      <protection hidden="1"/>
    </xf>
    <xf numFmtId="0" fontId="26" fillId="0" borderId="0" xfId="0" applyFont="1" applyAlignment="1" applyProtection="1">
      <alignment horizontal="left" vertical="center" shrinkToFit="1"/>
      <protection hidden="1"/>
    </xf>
    <xf numFmtId="0" fontId="26" fillId="5" borderId="71" xfId="0" applyFont="1" applyFill="1" applyBorder="1" applyAlignment="1" applyProtection="1">
      <alignment horizontal="center" vertical="center" shrinkToFit="1"/>
      <protection hidden="1"/>
    </xf>
    <xf numFmtId="0" fontId="26" fillId="5" borderId="65" xfId="0" applyFont="1" applyFill="1" applyBorder="1" applyAlignment="1" applyProtection="1">
      <alignment horizontal="center" vertical="center" shrinkToFit="1"/>
      <protection hidden="1"/>
    </xf>
    <xf numFmtId="0" fontId="26" fillId="5" borderId="66" xfId="0" applyFont="1" applyFill="1" applyBorder="1" applyAlignment="1" applyProtection="1">
      <alignment horizontal="center" vertical="center" shrinkToFit="1"/>
      <protection hidden="1"/>
    </xf>
    <xf numFmtId="0" fontId="27" fillId="5" borderId="72" xfId="0" applyFont="1" applyFill="1" applyBorder="1" applyAlignment="1" applyProtection="1">
      <alignment horizontal="center" vertical="center" shrinkToFit="1"/>
      <protection hidden="1"/>
    </xf>
    <xf numFmtId="0" fontId="29" fillId="7" borderId="3" xfId="0" applyFont="1" applyFill="1" applyBorder="1" applyAlignment="1" applyProtection="1">
      <alignment horizontal="center" vertical="center" shrinkToFit="1"/>
      <protection hidden="1"/>
    </xf>
    <xf numFmtId="0" fontId="29" fillId="7" borderId="55" xfId="0" applyFont="1" applyFill="1" applyBorder="1" applyAlignment="1" applyProtection="1">
      <alignment horizontal="center" vertical="center" shrinkToFit="1"/>
      <protection hidden="1"/>
    </xf>
    <xf numFmtId="0" fontId="29" fillId="7" borderId="2" xfId="0" applyFont="1" applyFill="1" applyBorder="1" applyAlignment="1" applyProtection="1">
      <alignment horizontal="center" vertical="center" shrinkToFit="1"/>
      <protection hidden="1"/>
    </xf>
    <xf numFmtId="0" fontId="26" fillId="7" borderId="9" xfId="0" applyFont="1" applyFill="1" applyBorder="1" applyAlignment="1" applyProtection="1">
      <alignment horizontal="center" vertical="center" shrinkToFit="1"/>
      <protection hidden="1"/>
    </xf>
    <xf numFmtId="0" fontId="26" fillId="7" borderId="34" xfId="0" applyFont="1" applyFill="1" applyBorder="1" applyAlignment="1" applyProtection="1">
      <alignment horizontal="center" vertical="center" shrinkToFit="1"/>
      <protection hidden="1"/>
    </xf>
    <xf numFmtId="0" fontId="26" fillId="7" borderId="8" xfId="0" applyFont="1" applyFill="1" applyBorder="1" applyAlignment="1" applyProtection="1">
      <alignment horizontal="center" vertical="center" shrinkToFit="1"/>
      <protection hidden="1"/>
    </xf>
    <xf numFmtId="0" fontId="26" fillId="7" borderId="76" xfId="0" applyFont="1" applyFill="1" applyBorder="1" applyAlignment="1" applyProtection="1">
      <alignment horizontal="center" vertical="center" shrinkToFit="1"/>
      <protection hidden="1"/>
    </xf>
    <xf numFmtId="0" fontId="26" fillId="7" borderId="16" xfId="0" applyFont="1" applyFill="1" applyBorder="1" applyAlignment="1" applyProtection="1">
      <alignment horizontal="center" vertical="center" shrinkToFit="1"/>
      <protection hidden="1"/>
    </xf>
    <xf numFmtId="0" fontId="26" fillId="7" borderId="17" xfId="0" applyFont="1" applyFill="1" applyBorder="1" applyAlignment="1" applyProtection="1">
      <alignment horizontal="center" vertical="center" shrinkToFit="1"/>
      <protection hidden="1"/>
    </xf>
    <xf numFmtId="0" fontId="26" fillId="7" borderId="60" xfId="0" applyFont="1" applyFill="1" applyBorder="1" applyAlignment="1" applyProtection="1">
      <alignment horizontal="center" vertical="center" shrinkToFit="1"/>
      <protection hidden="1"/>
    </xf>
    <xf numFmtId="165" fontId="26" fillId="7" borderId="9" xfId="0" applyNumberFormat="1" applyFont="1" applyFill="1" applyBorder="1" applyAlignment="1" applyProtection="1">
      <alignment vertical="center" shrinkToFit="1"/>
      <protection hidden="1"/>
    </xf>
    <xf numFmtId="165" fontId="26" fillId="7" borderId="8" xfId="0" applyNumberFormat="1" applyFont="1" applyFill="1" applyBorder="1" applyAlignment="1" applyProtection="1">
      <alignment vertical="center" shrinkToFit="1"/>
      <protection hidden="1"/>
    </xf>
    <xf numFmtId="165" fontId="26" fillId="7" borderId="9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8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0" xfId="0" applyFont="1" applyFill="1" applyBorder="1" applyAlignment="1" applyProtection="1">
      <alignment horizontal="center" vertical="center" shrinkToFit="1"/>
      <protection hidden="1"/>
    </xf>
    <xf numFmtId="3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center" vertical="center" shrinkToFit="1"/>
      <protection hidden="1"/>
    </xf>
    <xf numFmtId="0" fontId="27" fillId="7" borderId="4" xfId="0" applyFont="1" applyFill="1" applyBorder="1" applyAlignment="1" applyProtection="1">
      <alignment vertical="center" shrinkToFit="1"/>
      <protection hidden="1"/>
    </xf>
    <xf numFmtId="165" fontId="27" fillId="7" borderId="46" xfId="0" applyNumberFormat="1" applyFont="1" applyFill="1" applyBorder="1" applyAlignment="1" applyProtection="1">
      <alignment vertical="center" shrinkToFit="1"/>
      <protection hidden="1"/>
    </xf>
    <xf numFmtId="165" fontId="27" fillId="7" borderId="49" xfId="0" applyNumberFormat="1" applyFont="1" applyFill="1" applyBorder="1" applyAlignment="1" applyProtection="1">
      <alignment vertical="center" shrinkToFit="1"/>
      <protection hidden="1"/>
    </xf>
    <xf numFmtId="44" fontId="27" fillId="7" borderId="5" xfId="1" applyFont="1" applyFill="1" applyBorder="1" applyAlignment="1" applyProtection="1">
      <alignment horizontal="center" vertical="center" shrinkToFit="1"/>
      <protection hidden="1"/>
    </xf>
    <xf numFmtId="3" fontId="27" fillId="7" borderId="5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6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56" xfId="0" applyFont="1" applyFill="1" applyBorder="1" applyAlignment="1" applyProtection="1">
      <alignment horizontal="center" vertical="center" shrinkToFit="1"/>
      <protection hidden="1"/>
    </xf>
    <xf numFmtId="0" fontId="26" fillId="5" borderId="24" xfId="0" applyFont="1" applyFill="1" applyBorder="1" applyAlignment="1" applyProtection="1">
      <alignment horizontal="center" vertical="center" shrinkToFit="1"/>
      <protection hidden="1"/>
    </xf>
    <xf numFmtId="0" fontId="26" fillId="5" borderId="69" xfId="0" applyFont="1" applyFill="1" applyBorder="1" applyAlignment="1" applyProtection="1">
      <alignment horizontal="center" vertical="center" shrinkToFit="1"/>
      <protection hidden="1"/>
    </xf>
    <xf numFmtId="3" fontId="27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57" xfId="0" applyNumberFormat="1" applyFont="1" applyFill="1" applyBorder="1" applyAlignment="1" applyProtection="1">
      <alignment horizontal="center" vertical="center" shrinkToFit="1"/>
      <protection hidden="1"/>
    </xf>
    <xf numFmtId="3" fontId="27" fillId="0" borderId="24" xfId="0" applyNumberFormat="1" applyFont="1" applyBorder="1" applyAlignment="1" applyProtection="1">
      <alignment horizontal="center" vertical="center" shrinkToFit="1"/>
      <protection hidden="1"/>
    </xf>
    <xf numFmtId="3" fontId="26" fillId="0" borderId="0" xfId="0" applyNumberFormat="1" applyFont="1" applyAlignment="1" applyProtection="1">
      <alignment horizontal="left" vertical="center"/>
      <protection hidden="1"/>
    </xf>
    <xf numFmtId="0" fontId="26" fillId="10" borderId="0" xfId="0" applyFont="1" applyFill="1" applyAlignment="1" applyProtection="1">
      <alignment horizontal="center" vertical="center"/>
      <protection hidden="1"/>
    </xf>
    <xf numFmtId="0" fontId="45" fillId="10" borderId="0" xfId="0" applyFont="1" applyFill="1" applyAlignment="1" applyProtection="1">
      <alignment horizontal="center" vertical="center"/>
      <protection hidden="1"/>
    </xf>
    <xf numFmtId="16" fontId="42" fillId="10" borderId="0" xfId="0" applyNumberFormat="1" applyFont="1" applyFill="1" applyAlignment="1" applyProtection="1">
      <alignment horizontal="center" vertical="center"/>
      <protection hidden="1"/>
    </xf>
    <xf numFmtId="0" fontId="40" fillId="10" borderId="0" xfId="0" applyFont="1" applyFill="1" applyAlignment="1" applyProtection="1">
      <alignment horizontal="center" vertical="center"/>
      <protection hidden="1"/>
    </xf>
    <xf numFmtId="14" fontId="43" fillId="10" borderId="0" xfId="0" applyNumberFormat="1" applyFont="1" applyFill="1" applyAlignment="1" applyProtection="1">
      <alignment horizontal="right" vertical="center"/>
      <protection hidden="1"/>
    </xf>
    <xf numFmtId="14" fontId="43" fillId="10" borderId="0" xfId="0" applyNumberFormat="1" applyFont="1" applyFill="1" applyAlignment="1" applyProtection="1">
      <alignment horizontal="left" vertical="center"/>
      <protection hidden="1"/>
    </xf>
    <xf numFmtId="14" fontId="43" fillId="10" borderId="0" xfId="0" applyNumberFormat="1" applyFont="1" applyFill="1" applyAlignment="1" applyProtection="1">
      <alignment vertical="center"/>
      <protection hidden="1"/>
    </xf>
    <xf numFmtId="14" fontId="43" fillId="10" borderId="0" xfId="0" applyNumberFormat="1" applyFont="1" applyFill="1" applyAlignment="1" applyProtection="1">
      <alignment horizontal="center" vertical="center"/>
      <protection hidden="1"/>
    </xf>
    <xf numFmtId="0" fontId="26" fillId="10" borderId="0" xfId="0" applyFont="1" applyFill="1" applyAlignment="1" applyProtection="1">
      <alignment horizontal="center" vertical="center"/>
      <protection hidden="1"/>
    </xf>
    <xf numFmtId="0" fontId="40" fillId="10" borderId="0" xfId="0" applyFont="1" applyFill="1" applyAlignment="1" applyProtection="1">
      <alignment horizontal="center" vertical="center"/>
      <protection hidden="1"/>
    </xf>
    <xf numFmtId="0" fontId="39" fillId="10" borderId="0" xfId="0" applyFont="1" applyFill="1" applyAlignment="1" applyProtection="1">
      <alignment horizontal="center" vertical="center" shrinkToFit="1"/>
      <protection hidden="1"/>
    </xf>
    <xf numFmtId="14" fontId="39" fillId="10" borderId="0" xfId="0" applyNumberFormat="1" applyFont="1" applyFill="1" applyAlignment="1" applyProtection="1">
      <alignment horizontal="center" vertical="center"/>
      <protection hidden="1"/>
    </xf>
    <xf numFmtId="0" fontId="39" fillId="10" borderId="0" xfId="0" applyFont="1" applyFill="1" applyAlignment="1" applyProtection="1">
      <alignment horizontal="center" vertical="center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250"/>
      <c r="S4" s="250"/>
      <c r="T4" s="250"/>
      <c r="U4" s="250"/>
      <c r="V4" s="250"/>
    </row>
    <row r="5" spans="1:23" s="3" customFormat="1" ht="13.5" thickBot="1" x14ac:dyDescent="0.25">
      <c r="A5" s="251"/>
      <c r="B5" s="251"/>
      <c r="C5" s="251"/>
      <c r="D5" s="251"/>
      <c r="E5" s="251"/>
      <c r="F5" s="251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273"/>
      <c r="F1" s="273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70"/>
      <c r="AF1" s="270"/>
      <c r="AG1" s="270"/>
      <c r="AH1" s="1"/>
    </row>
    <row r="2" spans="1:36" s="3" customFormat="1" ht="15" customHeight="1" x14ac:dyDescent="0.2">
      <c r="A2" s="1"/>
      <c r="B2" s="1"/>
      <c r="C2" s="1"/>
      <c r="D2" s="271" t="s">
        <v>36</v>
      </c>
      <c r="E2" s="271"/>
      <c r="F2" s="271"/>
      <c r="G2" s="271"/>
      <c r="H2" s="271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270"/>
      <c r="AF2" s="270"/>
      <c r="AG2" s="270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270"/>
      <c r="AF3" s="270"/>
      <c r="AG3" s="270"/>
      <c r="AH3" s="1"/>
    </row>
    <row r="4" spans="1:36" s="3" customFormat="1" ht="13.5" thickBot="1" x14ac:dyDescent="0.25">
      <c r="A4" s="5"/>
      <c r="B4" s="52" t="s">
        <v>0</v>
      </c>
      <c r="C4" s="271"/>
      <c r="D4" s="272"/>
      <c r="E4" s="272"/>
      <c r="F4" s="272"/>
      <c r="G4" s="251" t="s">
        <v>5</v>
      </c>
      <c r="H4" s="251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250"/>
      <c r="AE4" s="250"/>
      <c r="AF4" s="250"/>
      <c r="AG4" s="250"/>
      <c r="AH4" s="250"/>
    </row>
    <row r="5" spans="1:36" s="3" customFormat="1" ht="13.5" thickBot="1" x14ac:dyDescent="0.25">
      <c r="A5" s="251"/>
      <c r="B5" s="251"/>
      <c r="C5" s="251"/>
      <c r="D5" s="251"/>
      <c r="E5" s="251"/>
      <c r="F5" s="251"/>
      <c r="G5" s="251"/>
      <c r="H5" s="251"/>
      <c r="I5" s="251"/>
      <c r="J5" s="253" t="s">
        <v>9</v>
      </c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5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256" t="s">
        <v>3</v>
      </c>
      <c r="C6" s="257"/>
      <c r="D6" s="257"/>
      <c r="E6" s="257"/>
      <c r="F6" s="257" t="s">
        <v>4</v>
      </c>
      <c r="G6" s="257"/>
      <c r="H6" s="266" t="s">
        <v>6</v>
      </c>
      <c r="I6" s="267"/>
      <c r="J6" s="11" t="s">
        <v>24</v>
      </c>
      <c r="K6" s="12" t="s">
        <v>17</v>
      </c>
      <c r="L6" s="12" t="s">
        <v>28</v>
      </c>
      <c r="M6" s="260" t="s">
        <v>25</v>
      </c>
      <c r="N6" s="261"/>
      <c r="O6" s="12" t="s">
        <v>18</v>
      </c>
      <c r="P6" s="260" t="s">
        <v>27</v>
      </c>
      <c r="Q6" s="261"/>
      <c r="R6" s="12"/>
      <c r="S6" s="260" t="s">
        <v>30</v>
      </c>
      <c r="T6" s="261"/>
      <c r="U6" s="12" t="s">
        <v>34</v>
      </c>
      <c r="V6" s="260" t="s">
        <v>29</v>
      </c>
      <c r="W6" s="261"/>
      <c r="X6" s="12" t="s">
        <v>33</v>
      </c>
      <c r="Y6" s="260" t="s">
        <v>19</v>
      </c>
      <c r="Z6" s="261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258"/>
      <c r="C7" s="259"/>
      <c r="D7" s="259"/>
      <c r="E7" s="259"/>
      <c r="F7" s="262"/>
      <c r="G7" s="263"/>
      <c r="H7" s="264"/>
      <c r="I7" s="265"/>
      <c r="J7" s="20"/>
      <c r="K7" s="21"/>
      <c r="L7" s="21"/>
      <c r="M7" s="252"/>
      <c r="N7" s="252"/>
      <c r="O7" s="21"/>
      <c r="P7" s="252"/>
      <c r="Q7" s="252"/>
      <c r="R7" s="21"/>
      <c r="S7" s="252"/>
      <c r="T7" s="252"/>
      <c r="U7" s="21"/>
      <c r="V7" s="252"/>
      <c r="W7" s="252"/>
      <c r="X7" s="21"/>
      <c r="Y7" s="252"/>
      <c r="Z7" s="252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258"/>
      <c r="C8" s="259"/>
      <c r="D8" s="259"/>
      <c r="E8" s="259"/>
      <c r="F8" s="263"/>
      <c r="G8" s="263"/>
      <c r="H8" s="268"/>
      <c r="I8" s="265"/>
      <c r="J8" s="20"/>
      <c r="K8" s="21"/>
      <c r="L8" s="21"/>
      <c r="M8" s="252"/>
      <c r="N8" s="252"/>
      <c r="O8" s="21"/>
      <c r="P8" s="252"/>
      <c r="Q8" s="252"/>
      <c r="R8" s="21"/>
      <c r="S8" s="252"/>
      <c r="T8" s="252"/>
      <c r="U8" s="21"/>
      <c r="V8" s="252"/>
      <c r="W8" s="252"/>
      <c r="X8" s="21"/>
      <c r="Y8" s="252"/>
      <c r="Z8" s="252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274"/>
      <c r="C9" s="259"/>
      <c r="D9" s="259"/>
      <c r="E9" s="259"/>
      <c r="F9" s="275"/>
      <c r="G9" s="263"/>
      <c r="H9" s="276"/>
      <c r="I9" s="265"/>
      <c r="J9" s="20"/>
      <c r="K9" s="21"/>
      <c r="L9" s="21"/>
      <c r="M9" s="252"/>
      <c r="N9" s="252"/>
      <c r="O9" s="21"/>
      <c r="P9" s="252"/>
      <c r="Q9" s="252"/>
      <c r="R9" s="21"/>
      <c r="S9" s="252"/>
      <c r="T9" s="252"/>
      <c r="U9" s="21"/>
      <c r="V9" s="252"/>
      <c r="W9" s="252"/>
      <c r="X9" s="21"/>
      <c r="Y9" s="252"/>
      <c r="Z9" s="252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277"/>
      <c r="C10" s="278"/>
      <c r="D10" s="278"/>
      <c r="E10" s="278"/>
      <c r="F10" s="279"/>
      <c r="G10" s="280"/>
      <c r="H10" s="281"/>
      <c r="I10" s="282"/>
      <c r="J10" s="61"/>
      <c r="K10" s="36"/>
      <c r="L10" s="36"/>
      <c r="M10" s="269"/>
      <c r="N10" s="269"/>
      <c r="O10" s="36"/>
      <c r="P10" s="269"/>
      <c r="Q10" s="269"/>
      <c r="R10" s="36"/>
      <c r="S10" s="269"/>
      <c r="T10" s="269"/>
      <c r="U10" s="36"/>
      <c r="V10" s="269"/>
      <c r="W10" s="269"/>
      <c r="X10" s="36"/>
      <c r="Y10" s="269"/>
      <c r="Z10" s="269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283"/>
      <c r="C11" s="278"/>
      <c r="D11" s="278"/>
      <c r="E11" s="278"/>
      <c r="F11" s="280"/>
      <c r="G11" s="280"/>
      <c r="H11" s="281"/>
      <c r="I11" s="282"/>
      <c r="J11" s="61"/>
      <c r="K11" s="36"/>
      <c r="L11" s="36"/>
      <c r="M11" s="269"/>
      <c r="N11" s="269"/>
      <c r="O11" s="36"/>
      <c r="P11" s="269"/>
      <c r="Q11" s="269"/>
      <c r="R11" s="36"/>
      <c r="S11" s="269"/>
      <c r="T11" s="269"/>
      <c r="U11" s="36"/>
      <c r="V11" s="269"/>
      <c r="W11" s="269"/>
      <c r="X11" s="36"/>
      <c r="Y11" s="269"/>
      <c r="Z11" s="269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258"/>
      <c r="C12" s="259"/>
      <c r="D12" s="259"/>
      <c r="E12" s="259"/>
      <c r="F12" s="263"/>
      <c r="G12" s="263"/>
      <c r="H12" s="268"/>
      <c r="I12" s="265"/>
      <c r="J12" s="20"/>
      <c r="K12" s="21"/>
      <c r="L12" s="21"/>
      <c r="M12" s="252"/>
      <c r="N12" s="252"/>
      <c r="O12" s="21"/>
      <c r="P12" s="252"/>
      <c r="Q12" s="252"/>
      <c r="R12" s="21"/>
      <c r="S12" s="252"/>
      <c r="T12" s="252"/>
      <c r="U12" s="21"/>
      <c r="V12" s="252"/>
      <c r="W12" s="252"/>
      <c r="X12" s="21"/>
      <c r="Y12" s="252"/>
      <c r="Z12" s="252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277"/>
      <c r="C13" s="278"/>
      <c r="D13" s="278"/>
      <c r="E13" s="278"/>
      <c r="F13" s="280"/>
      <c r="G13" s="280"/>
      <c r="H13" s="281"/>
      <c r="I13" s="282"/>
      <c r="J13" s="61"/>
      <c r="K13" s="36"/>
      <c r="L13" s="36"/>
      <c r="M13" s="269"/>
      <c r="N13" s="269"/>
      <c r="O13" s="36"/>
      <c r="P13" s="269"/>
      <c r="Q13" s="269"/>
      <c r="R13" s="36"/>
      <c r="S13" s="269"/>
      <c r="T13" s="269"/>
      <c r="U13" s="36"/>
      <c r="V13" s="269"/>
      <c r="W13" s="269"/>
      <c r="X13" s="36"/>
      <c r="Y13" s="269"/>
      <c r="Z13" s="269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284"/>
      <c r="C14" s="259"/>
      <c r="D14" s="259"/>
      <c r="E14" s="259"/>
      <c r="F14" s="263"/>
      <c r="G14" s="263"/>
      <c r="H14" s="268"/>
      <c r="I14" s="265"/>
      <c r="J14" s="20"/>
      <c r="K14" s="21"/>
      <c r="L14" s="21"/>
      <c r="M14" s="252"/>
      <c r="N14" s="252"/>
      <c r="O14" s="36"/>
      <c r="P14" s="269"/>
      <c r="Q14" s="269"/>
      <c r="R14" s="36"/>
      <c r="S14" s="252"/>
      <c r="T14" s="252"/>
      <c r="U14" s="21"/>
      <c r="V14" s="252"/>
      <c r="W14" s="252"/>
      <c r="X14" s="21"/>
      <c r="Y14" s="252"/>
      <c r="Z14" s="252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258"/>
      <c r="C15" s="259"/>
      <c r="D15" s="259"/>
      <c r="E15" s="259"/>
      <c r="F15" s="263"/>
      <c r="G15" s="263"/>
      <c r="H15" s="268"/>
      <c r="I15" s="265"/>
      <c r="J15" s="20"/>
      <c r="K15" s="21"/>
      <c r="L15" s="21"/>
      <c r="M15" s="252"/>
      <c r="N15" s="252"/>
      <c r="O15" s="21"/>
      <c r="P15" s="252"/>
      <c r="Q15" s="252"/>
      <c r="R15" s="21"/>
      <c r="S15" s="252"/>
      <c r="T15" s="252"/>
      <c r="U15" s="21"/>
      <c r="V15" s="252"/>
      <c r="W15" s="252"/>
      <c r="X15" s="21"/>
      <c r="Y15" s="252"/>
      <c r="Z15" s="252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258"/>
      <c r="C16" s="259"/>
      <c r="D16" s="259"/>
      <c r="E16" s="259"/>
      <c r="F16" s="263"/>
      <c r="G16" s="263"/>
      <c r="H16" s="268"/>
      <c r="I16" s="265"/>
      <c r="J16" s="21"/>
      <c r="K16" s="21"/>
      <c r="L16" s="21"/>
      <c r="M16" s="252"/>
      <c r="N16" s="252"/>
      <c r="O16" s="21"/>
      <c r="P16" s="252"/>
      <c r="Q16" s="252"/>
      <c r="R16" s="21"/>
      <c r="S16" s="252"/>
      <c r="T16" s="252"/>
      <c r="U16" s="21"/>
      <c r="V16" s="252"/>
      <c r="W16" s="252"/>
      <c r="X16" s="21"/>
      <c r="Y16" s="252"/>
      <c r="Z16" s="252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285"/>
      <c r="C17" s="278"/>
      <c r="D17" s="278"/>
      <c r="E17" s="278"/>
      <c r="F17" s="280"/>
      <c r="G17" s="280"/>
      <c r="H17" s="281"/>
      <c r="I17" s="286"/>
      <c r="J17" s="35"/>
      <c r="K17" s="36"/>
      <c r="L17" s="36"/>
      <c r="M17" s="269"/>
      <c r="N17" s="269"/>
      <c r="O17" s="36"/>
      <c r="P17" s="269"/>
      <c r="Q17" s="269"/>
      <c r="R17" s="36"/>
      <c r="S17" s="269"/>
      <c r="T17" s="269"/>
      <c r="U17" s="36"/>
      <c r="V17" s="269"/>
      <c r="W17" s="269"/>
      <c r="X17" s="36"/>
      <c r="Y17" s="269"/>
      <c r="Z17" s="269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287"/>
      <c r="C18" s="278"/>
      <c r="D18" s="278"/>
      <c r="E18" s="278"/>
      <c r="F18" s="280"/>
      <c r="G18" s="280"/>
      <c r="H18" s="281"/>
      <c r="I18" s="282"/>
      <c r="J18" s="62"/>
      <c r="K18" s="36"/>
      <c r="L18" s="36"/>
      <c r="M18" s="269"/>
      <c r="N18" s="269"/>
      <c r="O18" s="62"/>
      <c r="P18" s="269"/>
      <c r="Q18" s="269"/>
      <c r="R18" s="36"/>
      <c r="S18" s="269"/>
      <c r="T18" s="269"/>
      <c r="U18" s="36"/>
      <c r="V18" s="269"/>
      <c r="W18" s="269"/>
      <c r="X18" s="36"/>
      <c r="Y18" s="269"/>
      <c r="Z18" s="269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288"/>
      <c r="C19" s="259"/>
      <c r="D19" s="259"/>
      <c r="E19" s="259"/>
      <c r="F19" s="263"/>
      <c r="G19" s="263"/>
      <c r="H19" s="268"/>
      <c r="I19" s="265"/>
      <c r="J19" s="21"/>
      <c r="K19" s="21"/>
      <c r="L19" s="21"/>
      <c r="M19" s="252"/>
      <c r="N19" s="252"/>
      <c r="O19" s="65"/>
      <c r="P19" s="252"/>
      <c r="Q19" s="252"/>
      <c r="R19" s="21"/>
      <c r="S19" s="252"/>
      <c r="T19" s="252"/>
      <c r="U19" s="21"/>
      <c r="V19" s="252"/>
      <c r="W19" s="252"/>
      <c r="X19" s="21"/>
      <c r="Y19" s="252"/>
      <c r="Z19" s="252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289"/>
      <c r="C20" s="290"/>
      <c r="D20" s="290"/>
      <c r="E20" s="291"/>
      <c r="F20" s="263"/>
      <c r="G20" s="263"/>
      <c r="H20" s="268"/>
      <c r="I20" s="265"/>
      <c r="J20" s="37"/>
      <c r="K20" s="21"/>
      <c r="L20" s="21"/>
      <c r="M20" s="292"/>
      <c r="N20" s="293"/>
      <c r="O20" s="21"/>
      <c r="P20" s="292"/>
      <c r="Q20" s="293"/>
      <c r="R20" s="21"/>
      <c r="S20" s="252"/>
      <c r="T20" s="252"/>
      <c r="U20" s="21"/>
      <c r="V20" s="252"/>
      <c r="W20" s="252"/>
      <c r="X20" s="21"/>
      <c r="Y20" s="292"/>
      <c r="Z20" s="293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294"/>
      <c r="C21" s="295"/>
      <c r="D21" s="295"/>
      <c r="E21" s="296"/>
      <c r="F21" s="280"/>
      <c r="G21" s="280"/>
      <c r="H21" s="281"/>
      <c r="I21" s="282"/>
      <c r="J21" s="35"/>
      <c r="K21" s="36"/>
      <c r="L21" s="36"/>
      <c r="M21" s="297"/>
      <c r="N21" s="298"/>
      <c r="O21" s="36"/>
      <c r="P21" s="297"/>
      <c r="Q21" s="298"/>
      <c r="R21" s="36"/>
      <c r="S21" s="297"/>
      <c r="T21" s="298"/>
      <c r="U21" s="36"/>
      <c r="V21" s="297"/>
      <c r="W21" s="298"/>
      <c r="X21" s="36"/>
      <c r="Y21" s="297"/>
      <c r="Z21" s="298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299"/>
      <c r="C22" s="290"/>
      <c r="D22" s="290"/>
      <c r="E22" s="291"/>
      <c r="F22" s="263"/>
      <c r="G22" s="263"/>
      <c r="H22" s="268"/>
      <c r="I22" s="265"/>
      <c r="J22" s="37"/>
      <c r="K22" s="21"/>
      <c r="L22" s="21"/>
      <c r="M22" s="292"/>
      <c r="N22" s="293"/>
      <c r="O22" s="21"/>
      <c r="P22" s="292"/>
      <c r="Q22" s="293"/>
      <c r="R22" s="21"/>
      <c r="S22" s="292"/>
      <c r="T22" s="293"/>
      <c r="U22" s="21"/>
      <c r="V22" s="292"/>
      <c r="W22" s="293"/>
      <c r="X22" s="21"/>
      <c r="Y22" s="292"/>
      <c r="Z22" s="293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299"/>
      <c r="C23" s="290"/>
      <c r="D23" s="290"/>
      <c r="E23" s="291"/>
      <c r="F23" s="262"/>
      <c r="G23" s="263"/>
      <c r="H23" s="264"/>
      <c r="I23" s="265"/>
      <c r="J23" s="37"/>
      <c r="K23" s="21"/>
      <c r="L23" s="21"/>
      <c r="M23" s="292"/>
      <c r="N23" s="293"/>
      <c r="O23" s="21"/>
      <c r="P23" s="292"/>
      <c r="Q23" s="293"/>
      <c r="R23" s="21"/>
      <c r="S23" s="292"/>
      <c r="T23" s="293"/>
      <c r="U23" s="21"/>
      <c r="V23" s="292"/>
      <c r="W23" s="293"/>
      <c r="X23" s="21"/>
      <c r="Y23" s="292"/>
      <c r="Z23" s="293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300"/>
      <c r="C24" s="295"/>
      <c r="D24" s="295"/>
      <c r="E24" s="296"/>
      <c r="F24" s="280"/>
      <c r="G24" s="280"/>
      <c r="H24" s="281"/>
      <c r="I24" s="282"/>
      <c r="J24" s="35"/>
      <c r="K24" s="36"/>
      <c r="L24" s="36"/>
      <c r="M24" s="297"/>
      <c r="N24" s="298"/>
      <c r="O24" s="36"/>
      <c r="P24" s="297"/>
      <c r="Q24" s="298"/>
      <c r="R24" s="36"/>
      <c r="S24" s="297"/>
      <c r="T24" s="298"/>
      <c r="U24" s="36"/>
      <c r="V24" s="297"/>
      <c r="W24" s="298"/>
      <c r="X24" s="36"/>
      <c r="Y24" s="297"/>
      <c r="Z24" s="298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300"/>
      <c r="C25" s="295"/>
      <c r="D25" s="295"/>
      <c r="E25" s="296"/>
      <c r="F25" s="280"/>
      <c r="G25" s="280"/>
      <c r="H25" s="281"/>
      <c r="I25" s="282"/>
      <c r="J25" s="35"/>
      <c r="K25" s="36"/>
      <c r="L25" s="36"/>
      <c r="M25" s="297"/>
      <c r="N25" s="298"/>
      <c r="O25" s="36"/>
      <c r="P25" s="297"/>
      <c r="Q25" s="298"/>
      <c r="R25" s="36"/>
      <c r="S25" s="297"/>
      <c r="T25" s="298"/>
      <c r="U25" s="36"/>
      <c r="V25" s="297"/>
      <c r="W25" s="298"/>
      <c r="X25" s="36"/>
      <c r="Y25" s="297"/>
      <c r="Z25" s="298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299"/>
      <c r="C26" s="290"/>
      <c r="D26" s="290"/>
      <c r="E26" s="291"/>
      <c r="F26" s="263"/>
      <c r="G26" s="263"/>
      <c r="H26" s="268"/>
      <c r="I26" s="265"/>
      <c r="J26" s="37"/>
      <c r="K26" s="21"/>
      <c r="L26" s="21"/>
      <c r="M26" s="292"/>
      <c r="N26" s="293"/>
      <c r="O26" s="21"/>
      <c r="P26" s="292"/>
      <c r="Q26" s="293"/>
      <c r="R26" s="21"/>
      <c r="S26" s="292"/>
      <c r="T26" s="293"/>
      <c r="U26" s="21"/>
      <c r="V26" s="292"/>
      <c r="W26" s="293"/>
      <c r="X26" s="21"/>
      <c r="Y26" s="292"/>
      <c r="Z26" s="293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300"/>
      <c r="C27" s="295"/>
      <c r="D27" s="295"/>
      <c r="E27" s="296"/>
      <c r="F27" s="280"/>
      <c r="G27" s="280"/>
      <c r="H27" s="281"/>
      <c r="I27" s="282"/>
      <c r="J27" s="35"/>
      <c r="K27" s="36"/>
      <c r="L27" s="36"/>
      <c r="M27" s="297"/>
      <c r="N27" s="298"/>
      <c r="O27" s="36"/>
      <c r="P27" s="297"/>
      <c r="Q27" s="298"/>
      <c r="R27" s="36"/>
      <c r="S27" s="297"/>
      <c r="T27" s="298"/>
      <c r="U27" s="36"/>
      <c r="V27" s="297"/>
      <c r="W27" s="298"/>
      <c r="X27" s="36"/>
      <c r="Y27" s="297"/>
      <c r="Z27" s="298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283"/>
      <c r="C28" s="278"/>
      <c r="D28" s="278"/>
      <c r="E28" s="278"/>
      <c r="F28" s="280"/>
      <c r="G28" s="280"/>
      <c r="H28" s="281"/>
      <c r="I28" s="282"/>
      <c r="J28" s="35"/>
      <c r="K28" s="36"/>
      <c r="L28" s="36"/>
      <c r="M28" s="297"/>
      <c r="N28" s="298"/>
      <c r="O28" s="36"/>
      <c r="P28" s="297"/>
      <c r="Q28" s="298"/>
      <c r="R28" s="36"/>
      <c r="S28" s="297"/>
      <c r="T28" s="298"/>
      <c r="U28" s="36"/>
      <c r="V28" s="297"/>
      <c r="W28" s="298"/>
      <c r="X28" s="36"/>
      <c r="Y28" s="297"/>
      <c r="Z28" s="298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284"/>
      <c r="C29" s="259"/>
      <c r="D29" s="259"/>
      <c r="E29" s="259"/>
      <c r="F29" s="263"/>
      <c r="G29" s="263"/>
      <c r="H29" s="268"/>
      <c r="I29" s="265"/>
      <c r="J29" s="37"/>
      <c r="K29" s="21"/>
      <c r="L29" s="21"/>
      <c r="M29" s="292"/>
      <c r="N29" s="293"/>
      <c r="O29" s="21"/>
      <c r="P29" s="292"/>
      <c r="Q29" s="293"/>
      <c r="R29" s="21"/>
      <c r="S29" s="292"/>
      <c r="T29" s="293"/>
      <c r="U29" s="21"/>
      <c r="V29" s="292"/>
      <c r="W29" s="293"/>
      <c r="X29" s="21"/>
      <c r="Y29" s="292"/>
      <c r="Z29" s="293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284"/>
      <c r="C30" s="259"/>
      <c r="D30" s="259"/>
      <c r="E30" s="259"/>
      <c r="F30" s="263"/>
      <c r="G30" s="263"/>
      <c r="H30" s="268"/>
      <c r="I30" s="265"/>
      <c r="J30" s="37"/>
      <c r="K30" s="21"/>
      <c r="L30" s="21"/>
      <c r="M30" s="292"/>
      <c r="N30" s="293"/>
      <c r="O30" s="21"/>
      <c r="P30" s="292"/>
      <c r="Q30" s="293"/>
      <c r="R30" s="21"/>
      <c r="S30" s="292"/>
      <c r="T30" s="293"/>
      <c r="U30" s="21"/>
      <c r="V30" s="292"/>
      <c r="W30" s="293"/>
      <c r="X30" s="21"/>
      <c r="Y30" s="292"/>
      <c r="Z30" s="293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283"/>
      <c r="C31" s="278"/>
      <c r="D31" s="278"/>
      <c r="E31" s="278"/>
      <c r="F31" s="280"/>
      <c r="G31" s="280"/>
      <c r="H31" s="281"/>
      <c r="I31" s="282"/>
      <c r="J31" s="35"/>
      <c r="K31" s="36"/>
      <c r="L31" s="36"/>
      <c r="M31" s="297"/>
      <c r="N31" s="298"/>
      <c r="O31" s="36"/>
      <c r="P31" s="297"/>
      <c r="Q31" s="298"/>
      <c r="R31" s="36"/>
      <c r="S31" s="297"/>
      <c r="T31" s="298"/>
      <c r="U31" s="36"/>
      <c r="V31" s="297"/>
      <c r="W31" s="298"/>
      <c r="X31" s="36"/>
      <c r="Y31" s="297"/>
      <c r="Z31" s="298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284"/>
      <c r="C32" s="259"/>
      <c r="D32" s="259"/>
      <c r="E32" s="259"/>
      <c r="F32" s="263"/>
      <c r="G32" s="263"/>
      <c r="H32" s="268"/>
      <c r="I32" s="265"/>
      <c r="J32" s="37"/>
      <c r="K32" s="21"/>
      <c r="L32" s="21"/>
      <c r="M32" s="292"/>
      <c r="N32" s="293"/>
      <c r="O32" s="21"/>
      <c r="P32" s="292"/>
      <c r="Q32" s="293"/>
      <c r="R32" s="21"/>
      <c r="S32" s="292"/>
      <c r="T32" s="293"/>
      <c r="U32" s="21"/>
      <c r="V32" s="292"/>
      <c r="W32" s="293"/>
      <c r="X32" s="21"/>
      <c r="Y32" s="292"/>
      <c r="Z32" s="293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284"/>
      <c r="C33" s="259"/>
      <c r="D33" s="259"/>
      <c r="E33" s="259"/>
      <c r="F33" s="263"/>
      <c r="G33" s="263"/>
      <c r="H33" s="268"/>
      <c r="I33" s="265"/>
      <c r="J33" s="37"/>
      <c r="K33" s="21"/>
      <c r="L33" s="21"/>
      <c r="M33" s="292"/>
      <c r="N33" s="293"/>
      <c r="O33" s="21"/>
      <c r="P33" s="292"/>
      <c r="Q33" s="293"/>
      <c r="R33" s="21"/>
      <c r="S33" s="292"/>
      <c r="T33" s="293"/>
      <c r="U33" s="21"/>
      <c r="V33" s="292"/>
      <c r="W33" s="293"/>
      <c r="X33" s="21"/>
      <c r="Y33" s="292"/>
      <c r="Z33" s="293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316"/>
      <c r="C34" s="317"/>
      <c r="D34" s="317"/>
      <c r="E34" s="317"/>
      <c r="F34" s="318"/>
      <c r="G34" s="318"/>
      <c r="H34" s="319"/>
      <c r="I34" s="320"/>
      <c r="J34" s="42"/>
      <c r="K34" s="43"/>
      <c r="L34" s="43"/>
      <c r="M34" s="301"/>
      <c r="N34" s="302"/>
      <c r="O34" s="43"/>
      <c r="P34" s="301"/>
      <c r="Q34" s="302"/>
      <c r="R34" s="43"/>
      <c r="S34" s="301"/>
      <c r="T34" s="302"/>
      <c r="U34" s="43"/>
      <c r="V34" s="301"/>
      <c r="W34" s="302"/>
      <c r="X34" s="43"/>
      <c r="Y34" s="301"/>
      <c r="Z34" s="302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303" t="s">
        <v>1</v>
      </c>
      <c r="C35" s="304"/>
      <c r="D35" s="304"/>
      <c r="E35" s="304"/>
      <c r="F35" s="305">
        <f>SUM(F7:G34)</f>
        <v>0</v>
      </c>
      <c r="G35" s="305"/>
      <c r="H35" s="306">
        <f>SUM(H7:I34)</f>
        <v>0</v>
      </c>
      <c r="I35" s="30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308" t="s">
        <v>1</v>
      </c>
      <c r="C37" s="309"/>
      <c r="D37" s="309"/>
      <c r="E37" s="309"/>
      <c r="F37" s="310">
        <f>F35</f>
        <v>0</v>
      </c>
      <c r="G37" s="310"/>
      <c r="H37" s="314">
        <f>H35</f>
        <v>0</v>
      </c>
      <c r="I37" s="315"/>
      <c r="J37" s="14"/>
      <c r="K37" s="14"/>
      <c r="L37" s="14"/>
      <c r="M37" s="14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312" t="s">
        <v>8</v>
      </c>
      <c r="C38" s="313"/>
      <c r="D38" s="313"/>
      <c r="E38" s="313"/>
      <c r="F38" s="328"/>
      <c r="G38" s="328"/>
      <c r="H38" s="329"/>
      <c r="I38" s="330"/>
      <c r="J38" s="14"/>
      <c r="K38" s="14"/>
      <c r="L38" s="14"/>
      <c r="M38" s="14"/>
      <c r="N38" s="327"/>
      <c r="O38" s="327"/>
      <c r="P38" s="327"/>
      <c r="Q38" s="327"/>
      <c r="R38" s="327"/>
      <c r="S38" s="327"/>
      <c r="T38" s="321"/>
      <c r="U38" s="321"/>
      <c r="V38" s="321"/>
      <c r="W38" s="321"/>
      <c r="X38" s="321"/>
      <c r="Y38" s="321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322" t="s">
        <v>1</v>
      </c>
      <c r="C39" s="323"/>
      <c r="D39" s="323"/>
      <c r="E39" s="323"/>
      <c r="F39" s="324">
        <f>F37-F38</f>
        <v>0</v>
      </c>
      <c r="G39" s="324"/>
      <c r="H39" s="325">
        <f>H37-H38</f>
        <v>0</v>
      </c>
      <c r="I39" s="326"/>
      <c r="J39" s="1"/>
      <c r="K39" s="1"/>
      <c r="L39" s="1"/>
      <c r="M39" s="1"/>
      <c r="N39" s="327"/>
      <c r="O39" s="327"/>
      <c r="P39" s="327"/>
      <c r="Q39" s="327"/>
      <c r="R39" s="327"/>
      <c r="S39" s="327"/>
      <c r="T39" s="321"/>
      <c r="U39" s="321"/>
      <c r="V39" s="321"/>
      <c r="W39" s="321"/>
      <c r="X39" s="321"/>
      <c r="Y39" s="321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2"/>
  <sheetViews>
    <sheetView tabSelected="1" topLeftCell="A118" zoomScale="140" zoomScaleNormal="140" workbookViewId="0">
      <selection activeCell="K124" sqref="K124"/>
    </sheetView>
  </sheetViews>
  <sheetFormatPr defaultColWidth="9.140625" defaultRowHeight="8.25" x14ac:dyDescent="0.2"/>
  <cols>
    <col min="1" max="1" width="3.7109375" style="476" customWidth="1"/>
    <col min="2" max="2" width="5.85546875" style="476" customWidth="1"/>
    <col min="3" max="3" width="3" style="476" customWidth="1"/>
    <col min="4" max="4" width="5.5703125" style="476" customWidth="1"/>
    <col min="5" max="5" width="5.7109375" style="476" customWidth="1"/>
    <col min="6" max="6" width="7.7109375" style="476" customWidth="1"/>
    <col min="7" max="7" width="7.28515625" style="476" customWidth="1"/>
    <col min="8" max="8" width="6.28515625" style="476" customWidth="1"/>
    <col min="9" max="9" width="7.140625" style="476" customWidth="1"/>
    <col min="10" max="10" width="6" style="476" customWidth="1"/>
    <col min="11" max="11" width="7.140625" style="476" customWidth="1"/>
    <col min="12" max="12" width="5.7109375" style="476" customWidth="1"/>
    <col min="13" max="13" width="5.42578125" style="476" customWidth="1"/>
    <col min="14" max="14" width="5.5703125" style="476" customWidth="1"/>
    <col min="15" max="15" width="4.85546875" style="476" customWidth="1"/>
    <col min="16" max="16" width="4.7109375" style="476" customWidth="1"/>
    <col min="17" max="17" width="5" style="476" customWidth="1"/>
    <col min="18" max="18" width="4.140625" style="476" customWidth="1"/>
    <col min="19" max="19" width="3.85546875" style="476" customWidth="1"/>
    <col min="20" max="20" width="4" style="476" customWidth="1"/>
    <col min="21" max="21" width="3.85546875" style="476" customWidth="1"/>
    <col min="22" max="22" width="4.42578125" style="476" customWidth="1"/>
    <col min="23" max="23" width="4" style="476" customWidth="1"/>
    <col min="24" max="24" width="4.140625" style="476" customWidth="1"/>
    <col min="25" max="25" width="2.42578125" style="476" customWidth="1"/>
    <col min="26" max="26" width="2" style="476" customWidth="1"/>
    <col min="27" max="16384" width="9.140625" style="476"/>
  </cols>
  <sheetData>
    <row r="1" spans="1:26" ht="9.9499999999999993" customHeight="1" x14ac:dyDescent="0.2">
      <c r="A1" s="475" t="s">
        <v>201</v>
      </c>
      <c r="B1" s="475"/>
      <c r="C1" s="475"/>
      <c r="D1" s="475"/>
      <c r="F1" s="477">
        <f>K121</f>
        <v>0</v>
      </c>
      <c r="G1" s="478" t="str">
        <f ca="1">IF(OR(B46&lt;&gt;"",M46&lt;&gt;"",M47&lt;&gt;"")," TREBA UNJETI SVE PODATKE U TABLICE, JOŠ NISU UNESENI SVI !!!","")</f>
        <v/>
      </c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5" t="s">
        <v>230</v>
      </c>
      <c r="S1" s="475"/>
      <c r="T1" s="475" t="str">
        <f>L120&amp;"."</f>
        <v>0.</v>
      </c>
      <c r="U1" s="475" t="s">
        <v>231</v>
      </c>
      <c r="V1" s="475" t="str">
        <f>L120+1&amp;"."</f>
        <v>1.</v>
      </c>
      <c r="W1" s="479"/>
      <c r="X1" s="479"/>
    </row>
    <row r="2" spans="1:26" ht="9.9499999999999993" customHeight="1" x14ac:dyDescent="0.2">
      <c r="A2" s="475"/>
      <c r="B2" s="475"/>
      <c r="C2" s="475"/>
      <c r="D2" s="475"/>
      <c r="F2" s="477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5"/>
      <c r="S2" s="475"/>
      <c r="T2" s="475"/>
      <c r="U2" s="475"/>
      <c r="V2" s="475"/>
    </row>
    <row r="3" spans="1:26" s="482" customFormat="1" ht="9.9499999999999993" customHeight="1" thickBot="1" x14ac:dyDescent="0.25">
      <c r="A3" s="476"/>
      <c r="B3" s="480"/>
      <c r="C3" s="480"/>
      <c r="D3" s="480"/>
      <c r="E3" s="480"/>
      <c r="F3" s="480"/>
      <c r="G3" s="481"/>
      <c r="H3" s="481"/>
      <c r="I3" s="481"/>
      <c r="J3" s="481"/>
      <c r="K3" s="481"/>
      <c r="L3" s="481"/>
      <c r="V3" s="825" t="s">
        <v>242</v>
      </c>
      <c r="W3" s="825"/>
      <c r="X3" s="483"/>
    </row>
    <row r="4" spans="1:26" s="482" customFormat="1" ht="9.9499999999999993" customHeight="1" thickBot="1" x14ac:dyDescent="0.25">
      <c r="A4" s="484" t="s">
        <v>75</v>
      </c>
      <c r="B4" s="485" t="s">
        <v>193</v>
      </c>
      <c r="C4" s="486"/>
      <c r="D4" s="486"/>
      <c r="E4" s="487"/>
      <c r="F4" s="487"/>
      <c r="G4" s="488" t="str">
        <f>L120&amp;". i "&amp;L120+1&amp;"."</f>
        <v>0. i 1.</v>
      </c>
      <c r="H4" s="489" t="s">
        <v>230</v>
      </c>
      <c r="I4" s="490"/>
      <c r="J4" s="490"/>
      <c r="K4" s="490"/>
      <c r="L4" s="491" t="s">
        <v>110</v>
      </c>
      <c r="M4" s="492">
        <f>F42</f>
        <v>0</v>
      </c>
      <c r="N4" s="492">
        <f>F43</f>
        <v>0</v>
      </c>
      <c r="O4" s="492">
        <f>F44</f>
        <v>0</v>
      </c>
      <c r="P4" s="493" t="str">
        <f>F45</f>
        <v>xxx</v>
      </c>
      <c r="Q4" s="494"/>
      <c r="R4" s="494"/>
      <c r="S4" s="494"/>
      <c r="T4" s="494"/>
      <c r="U4" s="494"/>
      <c r="V4" s="494"/>
      <c r="W4" s="494"/>
      <c r="X4" s="495"/>
    </row>
    <row r="5" spans="1:26" s="482" customFormat="1" ht="20.25" customHeight="1" thickBot="1" x14ac:dyDescent="0.25">
      <c r="A5" s="496"/>
      <c r="B5" s="497" t="s">
        <v>57</v>
      </c>
      <c r="C5" s="498" t="s">
        <v>63</v>
      </c>
      <c r="D5" s="499"/>
      <c r="E5" s="500"/>
      <c r="F5" s="501" t="s">
        <v>61</v>
      </c>
      <c r="G5" s="501" t="s">
        <v>64</v>
      </c>
      <c r="H5" s="501" t="s">
        <v>68</v>
      </c>
      <c r="I5" s="501" t="s">
        <v>65</v>
      </c>
      <c r="J5" s="501" t="s">
        <v>235</v>
      </c>
      <c r="K5" s="501" t="s">
        <v>194</v>
      </c>
      <c r="L5" s="501" t="s">
        <v>234</v>
      </c>
      <c r="M5" s="501" t="s">
        <v>241</v>
      </c>
      <c r="N5" s="502" t="s">
        <v>81</v>
      </c>
      <c r="O5" s="502" t="s">
        <v>80</v>
      </c>
      <c r="P5" s="502" t="s">
        <v>83</v>
      </c>
      <c r="Q5" s="503" t="s">
        <v>82</v>
      </c>
      <c r="R5" s="504"/>
      <c r="S5" s="504"/>
      <c r="T5" s="504"/>
      <c r="U5" s="505"/>
      <c r="V5" s="506" t="str">
        <f>V54</f>
        <v>LMS</v>
      </c>
      <c r="W5" s="506" t="str">
        <f>W54</f>
        <v>TO</v>
      </c>
      <c r="X5" s="507" t="str">
        <f>X54</f>
        <v>IP</v>
      </c>
    </row>
    <row r="6" spans="1:26" s="509" customFormat="1" ht="9.9499999999999993" customHeight="1" x14ac:dyDescent="0.2">
      <c r="A6" s="508">
        <v>1</v>
      </c>
      <c r="B6" s="429"/>
      <c r="C6" s="445" t="str">
        <f>IF(B6&lt;&gt;"",YEAR(B6)-2000,"")</f>
        <v/>
      </c>
      <c r="D6" s="446" t="str">
        <f>IF(B6&lt;&gt;"","-3211-000","")</f>
        <v/>
      </c>
      <c r="E6" s="443"/>
      <c r="F6" s="430"/>
      <c r="G6" s="362"/>
      <c r="H6" s="363"/>
      <c r="I6" s="364"/>
      <c r="J6" s="364"/>
      <c r="K6" s="364"/>
      <c r="L6" s="364"/>
      <c r="M6" s="364"/>
      <c r="N6" s="365"/>
      <c r="O6" s="366"/>
      <c r="P6" s="366"/>
      <c r="Q6" s="367"/>
      <c r="R6" s="368"/>
      <c r="S6" s="368"/>
      <c r="T6" s="368"/>
      <c r="U6" s="369"/>
      <c r="V6" s="365"/>
      <c r="W6" s="370"/>
      <c r="X6" s="371"/>
      <c r="Y6" s="471">
        <f>IF(AND(B6="",G6="",F6=""),0,IF(AND(C6&lt;&gt;"",F6&lt;&gt;"",G6&lt;&gt;"",N6&lt;&gt;"",O6&lt;&gt;"",P6&lt;&gt;"",Q6&lt;&gt;""),0,1))</f>
        <v>0</v>
      </c>
      <c r="Z6" s="471">
        <f>IF(G6=SUM(H6:M6),0,1)</f>
        <v>0</v>
      </c>
    </row>
    <row r="7" spans="1:26" s="509" customFormat="1" ht="9.9499999999999993" customHeight="1" x14ac:dyDescent="0.2">
      <c r="A7" s="508">
        <f>A6+1</f>
        <v>2</v>
      </c>
      <c r="B7" s="429"/>
      <c r="C7" s="445" t="str">
        <f>IF(B7&lt;&gt;"",YEAR(B7)-2000,"")</f>
        <v/>
      </c>
      <c r="D7" s="446" t="str">
        <f>IF(E7&lt;&gt;"","-3211-000","")</f>
        <v/>
      </c>
      <c r="E7" s="447" t="str">
        <f>IF(B7&lt;&gt;"",E6+1,"")</f>
        <v/>
      </c>
      <c r="F7" s="430"/>
      <c r="G7" s="363"/>
      <c r="H7" s="363"/>
      <c r="I7" s="372"/>
      <c r="J7" s="372"/>
      <c r="K7" s="372"/>
      <c r="L7" s="372"/>
      <c r="M7" s="372"/>
      <c r="N7" s="365"/>
      <c r="O7" s="366"/>
      <c r="P7" s="366"/>
      <c r="Q7" s="367"/>
      <c r="R7" s="368"/>
      <c r="S7" s="368"/>
      <c r="T7" s="368"/>
      <c r="U7" s="369"/>
      <c r="V7" s="365"/>
      <c r="W7" s="370"/>
      <c r="X7" s="373"/>
      <c r="Y7" s="471">
        <f t="shared" ref="Y7:Y40" si="0">IF(AND(B7="",G7="",F7=""),0,IF(AND(C7&lt;&gt;"",F7&lt;&gt;"",G7&lt;&gt;"",N7&lt;&gt;"",O7&lt;&gt;"",P7&lt;&gt;"",Q7&lt;&gt;""),0,1))</f>
        <v>0</v>
      </c>
      <c r="Z7" s="471">
        <f t="shared" ref="Z7:Z40" si="1">IF(G7=SUM(H7:M7),0,1)</f>
        <v>0</v>
      </c>
    </row>
    <row r="8" spans="1:26" s="509" customFormat="1" ht="9.9499999999999993" customHeight="1" x14ac:dyDescent="0.2">
      <c r="A8" s="508">
        <f t="shared" ref="A8:A40" si="2">A7+1</f>
        <v>3</v>
      </c>
      <c r="B8" s="429"/>
      <c r="C8" s="445" t="str">
        <f t="shared" ref="C8:C40" si="3">IF(B8&lt;&gt;"",YEAR(B8)-2000,"")</f>
        <v/>
      </c>
      <c r="D8" s="446" t="str">
        <f t="shared" ref="D8:D40" si="4">IF(E8&lt;&gt;"","-3211-000","")</f>
        <v/>
      </c>
      <c r="E8" s="447" t="str">
        <f t="shared" ref="E8:E40" si="5">IF(B8&lt;&gt;"",E7+1,"")</f>
        <v/>
      </c>
      <c r="F8" s="430"/>
      <c r="G8" s="363"/>
      <c r="H8" s="363"/>
      <c r="I8" s="374"/>
      <c r="J8" s="374"/>
      <c r="K8" s="374"/>
      <c r="L8" s="374"/>
      <c r="M8" s="374"/>
      <c r="N8" s="365"/>
      <c r="O8" s="366"/>
      <c r="P8" s="366"/>
      <c r="Q8" s="367"/>
      <c r="R8" s="368"/>
      <c r="S8" s="368"/>
      <c r="T8" s="368"/>
      <c r="U8" s="369"/>
      <c r="V8" s="365"/>
      <c r="W8" s="370"/>
      <c r="X8" s="373"/>
      <c r="Y8" s="471">
        <f t="shared" si="0"/>
        <v>0</v>
      </c>
      <c r="Z8" s="471">
        <f t="shared" si="1"/>
        <v>0</v>
      </c>
    </row>
    <row r="9" spans="1:26" s="509" customFormat="1" ht="9.9499999999999993" customHeight="1" x14ac:dyDescent="0.2">
      <c r="A9" s="508">
        <f t="shared" si="2"/>
        <v>4</v>
      </c>
      <c r="B9" s="429"/>
      <c r="C9" s="445" t="str">
        <f t="shared" si="3"/>
        <v/>
      </c>
      <c r="D9" s="446" t="str">
        <f t="shared" si="4"/>
        <v/>
      </c>
      <c r="E9" s="447" t="str">
        <f t="shared" si="5"/>
        <v/>
      </c>
      <c r="F9" s="430"/>
      <c r="G9" s="363"/>
      <c r="H9" s="363"/>
      <c r="I9" s="374"/>
      <c r="J9" s="374"/>
      <c r="K9" s="374"/>
      <c r="L9" s="374"/>
      <c r="M9" s="374"/>
      <c r="N9" s="365"/>
      <c r="O9" s="366"/>
      <c r="P9" s="366"/>
      <c r="Q9" s="367"/>
      <c r="R9" s="368"/>
      <c r="S9" s="368"/>
      <c r="T9" s="368"/>
      <c r="U9" s="369"/>
      <c r="V9" s="365"/>
      <c r="W9" s="370"/>
      <c r="X9" s="373"/>
      <c r="Y9" s="471">
        <f t="shared" si="0"/>
        <v>0</v>
      </c>
      <c r="Z9" s="471">
        <f t="shared" si="1"/>
        <v>0</v>
      </c>
    </row>
    <row r="10" spans="1:26" s="509" customFormat="1" ht="9.9499999999999993" customHeight="1" x14ac:dyDescent="0.2">
      <c r="A10" s="508">
        <f t="shared" si="2"/>
        <v>5</v>
      </c>
      <c r="B10" s="429"/>
      <c r="C10" s="445" t="str">
        <f t="shared" si="3"/>
        <v/>
      </c>
      <c r="D10" s="446" t="str">
        <f t="shared" si="4"/>
        <v/>
      </c>
      <c r="E10" s="447" t="str">
        <f t="shared" si="5"/>
        <v/>
      </c>
      <c r="F10" s="430"/>
      <c r="G10" s="363"/>
      <c r="H10" s="363"/>
      <c r="I10" s="372"/>
      <c r="J10" s="372"/>
      <c r="K10" s="372"/>
      <c r="L10" s="372"/>
      <c r="M10" s="372"/>
      <c r="N10" s="365"/>
      <c r="O10" s="366"/>
      <c r="P10" s="366"/>
      <c r="Q10" s="367"/>
      <c r="R10" s="368"/>
      <c r="S10" s="368"/>
      <c r="T10" s="368"/>
      <c r="U10" s="369"/>
      <c r="V10" s="365"/>
      <c r="W10" s="370"/>
      <c r="X10" s="373"/>
      <c r="Y10" s="471">
        <f t="shared" si="0"/>
        <v>0</v>
      </c>
      <c r="Z10" s="471">
        <f t="shared" si="1"/>
        <v>0</v>
      </c>
    </row>
    <row r="11" spans="1:26" s="509" customFormat="1" ht="9.9499999999999993" customHeight="1" x14ac:dyDescent="0.2">
      <c r="A11" s="508">
        <f t="shared" si="2"/>
        <v>6</v>
      </c>
      <c r="B11" s="429"/>
      <c r="C11" s="445" t="str">
        <f t="shared" si="3"/>
        <v/>
      </c>
      <c r="D11" s="446" t="str">
        <f t="shared" si="4"/>
        <v/>
      </c>
      <c r="E11" s="447" t="str">
        <f t="shared" si="5"/>
        <v/>
      </c>
      <c r="F11" s="430"/>
      <c r="G11" s="363"/>
      <c r="H11" s="363"/>
      <c r="I11" s="372"/>
      <c r="J11" s="372"/>
      <c r="K11" s="372"/>
      <c r="L11" s="372"/>
      <c r="M11" s="372"/>
      <c r="N11" s="365"/>
      <c r="O11" s="366"/>
      <c r="P11" s="366"/>
      <c r="Q11" s="367"/>
      <c r="R11" s="368"/>
      <c r="S11" s="368"/>
      <c r="T11" s="368"/>
      <c r="U11" s="369"/>
      <c r="V11" s="365"/>
      <c r="W11" s="370"/>
      <c r="X11" s="373"/>
      <c r="Y11" s="471">
        <f t="shared" si="0"/>
        <v>0</v>
      </c>
      <c r="Z11" s="471">
        <f t="shared" si="1"/>
        <v>0</v>
      </c>
    </row>
    <row r="12" spans="1:26" s="509" customFormat="1" ht="9.9499999999999993" customHeight="1" x14ac:dyDescent="0.2">
      <c r="A12" s="508">
        <f t="shared" si="2"/>
        <v>7</v>
      </c>
      <c r="B12" s="429"/>
      <c r="C12" s="445" t="str">
        <f t="shared" si="3"/>
        <v/>
      </c>
      <c r="D12" s="446" t="str">
        <f t="shared" si="4"/>
        <v/>
      </c>
      <c r="E12" s="447" t="str">
        <f t="shared" si="5"/>
        <v/>
      </c>
      <c r="F12" s="430"/>
      <c r="G12" s="363"/>
      <c r="H12" s="363"/>
      <c r="I12" s="372"/>
      <c r="J12" s="372"/>
      <c r="K12" s="372"/>
      <c r="L12" s="372"/>
      <c r="M12" s="372"/>
      <c r="N12" s="365"/>
      <c r="O12" s="366"/>
      <c r="P12" s="366"/>
      <c r="Q12" s="367"/>
      <c r="R12" s="368"/>
      <c r="S12" s="368"/>
      <c r="T12" s="368"/>
      <c r="U12" s="369"/>
      <c r="V12" s="365"/>
      <c r="W12" s="370"/>
      <c r="X12" s="373"/>
      <c r="Y12" s="471">
        <f t="shared" si="0"/>
        <v>0</v>
      </c>
      <c r="Z12" s="471">
        <f t="shared" si="1"/>
        <v>0</v>
      </c>
    </row>
    <row r="13" spans="1:26" s="509" customFormat="1" ht="9.9499999999999993" customHeight="1" x14ac:dyDescent="0.2">
      <c r="A13" s="508">
        <f t="shared" si="2"/>
        <v>8</v>
      </c>
      <c r="B13" s="429"/>
      <c r="C13" s="445" t="str">
        <f t="shared" si="3"/>
        <v/>
      </c>
      <c r="D13" s="446" t="str">
        <f t="shared" si="4"/>
        <v/>
      </c>
      <c r="E13" s="447" t="str">
        <f t="shared" si="5"/>
        <v/>
      </c>
      <c r="F13" s="430"/>
      <c r="G13" s="363"/>
      <c r="H13" s="363"/>
      <c r="I13" s="372"/>
      <c r="J13" s="372"/>
      <c r="K13" s="372"/>
      <c r="L13" s="372"/>
      <c r="M13" s="372"/>
      <c r="N13" s="365"/>
      <c r="O13" s="366"/>
      <c r="P13" s="366"/>
      <c r="Q13" s="367"/>
      <c r="R13" s="368"/>
      <c r="S13" s="368"/>
      <c r="T13" s="368"/>
      <c r="U13" s="369"/>
      <c r="V13" s="365"/>
      <c r="W13" s="370"/>
      <c r="X13" s="373"/>
      <c r="Y13" s="471">
        <f t="shared" si="0"/>
        <v>0</v>
      </c>
      <c r="Z13" s="471">
        <f t="shared" si="1"/>
        <v>0</v>
      </c>
    </row>
    <row r="14" spans="1:26" s="510" customFormat="1" ht="9.9499999999999993" customHeight="1" x14ac:dyDescent="0.2">
      <c r="A14" s="508">
        <f t="shared" si="2"/>
        <v>9</v>
      </c>
      <c r="B14" s="429"/>
      <c r="C14" s="445" t="str">
        <f t="shared" si="3"/>
        <v/>
      </c>
      <c r="D14" s="446" t="str">
        <f t="shared" si="4"/>
        <v/>
      </c>
      <c r="E14" s="447" t="str">
        <f t="shared" si="5"/>
        <v/>
      </c>
      <c r="F14" s="430"/>
      <c r="G14" s="363"/>
      <c r="H14" s="363"/>
      <c r="I14" s="372"/>
      <c r="J14" s="372"/>
      <c r="K14" s="372"/>
      <c r="L14" s="372"/>
      <c r="M14" s="372"/>
      <c r="N14" s="365"/>
      <c r="O14" s="366"/>
      <c r="P14" s="366"/>
      <c r="Q14" s="367"/>
      <c r="R14" s="368"/>
      <c r="S14" s="368"/>
      <c r="T14" s="368"/>
      <c r="U14" s="369"/>
      <c r="V14" s="365"/>
      <c r="W14" s="370"/>
      <c r="X14" s="373"/>
      <c r="Y14" s="471">
        <f t="shared" si="0"/>
        <v>0</v>
      </c>
      <c r="Z14" s="471">
        <f t="shared" si="1"/>
        <v>0</v>
      </c>
    </row>
    <row r="15" spans="1:26" s="510" customFormat="1" ht="9.9499999999999993" customHeight="1" x14ac:dyDescent="0.2">
      <c r="A15" s="508">
        <f t="shared" si="2"/>
        <v>10</v>
      </c>
      <c r="B15" s="429"/>
      <c r="C15" s="445" t="str">
        <f t="shared" si="3"/>
        <v/>
      </c>
      <c r="D15" s="446" t="str">
        <f t="shared" si="4"/>
        <v/>
      </c>
      <c r="E15" s="447" t="str">
        <f t="shared" si="5"/>
        <v/>
      </c>
      <c r="F15" s="430"/>
      <c r="G15" s="363"/>
      <c r="H15" s="363"/>
      <c r="I15" s="372"/>
      <c r="J15" s="372"/>
      <c r="K15" s="372"/>
      <c r="L15" s="372"/>
      <c r="M15" s="372"/>
      <c r="N15" s="365"/>
      <c r="O15" s="366"/>
      <c r="P15" s="366"/>
      <c r="Q15" s="367"/>
      <c r="R15" s="368"/>
      <c r="S15" s="368"/>
      <c r="T15" s="368"/>
      <c r="U15" s="369"/>
      <c r="V15" s="365"/>
      <c r="W15" s="370"/>
      <c r="X15" s="373"/>
      <c r="Y15" s="471">
        <f t="shared" si="0"/>
        <v>0</v>
      </c>
      <c r="Z15" s="471">
        <f t="shared" si="1"/>
        <v>0</v>
      </c>
    </row>
    <row r="16" spans="1:26" s="510" customFormat="1" ht="9.9499999999999993" customHeight="1" x14ac:dyDescent="0.2">
      <c r="A16" s="508">
        <f t="shared" si="2"/>
        <v>11</v>
      </c>
      <c r="B16" s="429"/>
      <c r="C16" s="445" t="str">
        <f t="shared" si="3"/>
        <v/>
      </c>
      <c r="D16" s="446" t="str">
        <f t="shared" si="4"/>
        <v/>
      </c>
      <c r="E16" s="447" t="str">
        <f t="shared" si="5"/>
        <v/>
      </c>
      <c r="F16" s="430"/>
      <c r="G16" s="363"/>
      <c r="H16" s="363"/>
      <c r="I16" s="372"/>
      <c r="J16" s="372"/>
      <c r="K16" s="372"/>
      <c r="L16" s="372"/>
      <c r="M16" s="372"/>
      <c r="N16" s="365"/>
      <c r="O16" s="366"/>
      <c r="P16" s="366"/>
      <c r="Q16" s="367"/>
      <c r="R16" s="368"/>
      <c r="S16" s="368"/>
      <c r="T16" s="368"/>
      <c r="U16" s="369"/>
      <c r="V16" s="365"/>
      <c r="W16" s="370"/>
      <c r="X16" s="373"/>
      <c r="Y16" s="471">
        <f t="shared" si="0"/>
        <v>0</v>
      </c>
      <c r="Z16" s="471">
        <f t="shared" si="1"/>
        <v>0</v>
      </c>
    </row>
    <row r="17" spans="1:26" s="510" customFormat="1" ht="9.9499999999999993" customHeight="1" x14ac:dyDescent="0.2">
      <c r="A17" s="508">
        <f t="shared" si="2"/>
        <v>12</v>
      </c>
      <c r="B17" s="429"/>
      <c r="C17" s="445" t="str">
        <f t="shared" si="3"/>
        <v/>
      </c>
      <c r="D17" s="446" t="str">
        <f t="shared" si="4"/>
        <v/>
      </c>
      <c r="E17" s="447" t="str">
        <f t="shared" si="5"/>
        <v/>
      </c>
      <c r="F17" s="431"/>
      <c r="G17" s="362"/>
      <c r="H17" s="362"/>
      <c r="I17" s="364"/>
      <c r="J17" s="364"/>
      <c r="K17" s="364"/>
      <c r="L17" s="364"/>
      <c r="M17" s="364"/>
      <c r="N17" s="365"/>
      <c r="O17" s="366"/>
      <c r="P17" s="366"/>
      <c r="Q17" s="376"/>
      <c r="R17" s="377"/>
      <c r="S17" s="377"/>
      <c r="T17" s="377"/>
      <c r="U17" s="378"/>
      <c r="V17" s="379"/>
      <c r="W17" s="380"/>
      <c r="X17" s="373"/>
      <c r="Y17" s="471">
        <f t="shared" si="0"/>
        <v>0</v>
      </c>
      <c r="Z17" s="471">
        <f t="shared" si="1"/>
        <v>0</v>
      </c>
    </row>
    <row r="18" spans="1:26" s="510" customFormat="1" ht="9.9499999999999993" customHeight="1" x14ac:dyDescent="0.2">
      <c r="A18" s="508">
        <f t="shared" si="2"/>
        <v>13</v>
      </c>
      <c r="B18" s="429"/>
      <c r="C18" s="445" t="str">
        <f t="shared" si="3"/>
        <v/>
      </c>
      <c r="D18" s="446" t="str">
        <f t="shared" si="4"/>
        <v/>
      </c>
      <c r="E18" s="447" t="str">
        <f t="shared" si="5"/>
        <v/>
      </c>
      <c r="F18" s="430"/>
      <c r="G18" s="363"/>
      <c r="H18" s="363"/>
      <c r="I18" s="372"/>
      <c r="J18" s="372"/>
      <c r="K18" s="372"/>
      <c r="L18" s="372"/>
      <c r="M18" s="372"/>
      <c r="N18" s="365"/>
      <c r="O18" s="366"/>
      <c r="P18" s="366"/>
      <c r="Q18" s="367"/>
      <c r="R18" s="368"/>
      <c r="S18" s="368"/>
      <c r="T18" s="368"/>
      <c r="U18" s="369"/>
      <c r="V18" s="365"/>
      <c r="W18" s="370"/>
      <c r="X18" s="373"/>
      <c r="Y18" s="471">
        <f t="shared" si="0"/>
        <v>0</v>
      </c>
      <c r="Z18" s="471">
        <f t="shared" si="1"/>
        <v>0</v>
      </c>
    </row>
    <row r="19" spans="1:26" s="510" customFormat="1" ht="9.9499999999999993" customHeight="1" x14ac:dyDescent="0.2">
      <c r="A19" s="508">
        <f t="shared" si="2"/>
        <v>14</v>
      </c>
      <c r="B19" s="429"/>
      <c r="C19" s="445" t="str">
        <f t="shared" si="3"/>
        <v/>
      </c>
      <c r="D19" s="446" t="str">
        <f t="shared" si="4"/>
        <v/>
      </c>
      <c r="E19" s="447" t="str">
        <f t="shared" si="5"/>
        <v/>
      </c>
      <c r="F19" s="430"/>
      <c r="G19" s="363"/>
      <c r="H19" s="363"/>
      <c r="I19" s="374"/>
      <c r="J19" s="374"/>
      <c r="K19" s="374"/>
      <c r="L19" s="374"/>
      <c r="M19" s="374"/>
      <c r="N19" s="365"/>
      <c r="O19" s="366"/>
      <c r="P19" s="366"/>
      <c r="Q19" s="367"/>
      <c r="R19" s="368"/>
      <c r="S19" s="368"/>
      <c r="T19" s="368"/>
      <c r="U19" s="369"/>
      <c r="V19" s="365"/>
      <c r="W19" s="370"/>
      <c r="X19" s="373"/>
      <c r="Y19" s="471">
        <f t="shared" si="0"/>
        <v>0</v>
      </c>
      <c r="Z19" s="471">
        <f t="shared" si="1"/>
        <v>0</v>
      </c>
    </row>
    <row r="20" spans="1:26" s="510" customFormat="1" ht="9.9499999999999993" customHeight="1" x14ac:dyDescent="0.2">
      <c r="A20" s="508">
        <f t="shared" si="2"/>
        <v>15</v>
      </c>
      <c r="B20" s="429"/>
      <c r="C20" s="445" t="str">
        <f t="shared" si="3"/>
        <v/>
      </c>
      <c r="D20" s="446" t="str">
        <f t="shared" si="4"/>
        <v/>
      </c>
      <c r="E20" s="447" t="str">
        <f t="shared" si="5"/>
        <v/>
      </c>
      <c r="F20" s="430"/>
      <c r="G20" s="363"/>
      <c r="H20" s="363"/>
      <c r="I20" s="374"/>
      <c r="J20" s="374"/>
      <c r="K20" s="374"/>
      <c r="L20" s="374"/>
      <c r="M20" s="374"/>
      <c r="N20" s="365"/>
      <c r="O20" s="366"/>
      <c r="P20" s="366"/>
      <c r="Q20" s="367"/>
      <c r="R20" s="368"/>
      <c r="S20" s="368"/>
      <c r="T20" s="368"/>
      <c r="U20" s="369"/>
      <c r="V20" s="365"/>
      <c r="W20" s="370"/>
      <c r="X20" s="373"/>
      <c r="Y20" s="471">
        <f t="shared" si="0"/>
        <v>0</v>
      </c>
      <c r="Z20" s="471">
        <f t="shared" si="1"/>
        <v>0</v>
      </c>
    </row>
    <row r="21" spans="1:26" s="510" customFormat="1" ht="9.9499999999999993" customHeight="1" x14ac:dyDescent="0.2">
      <c r="A21" s="508">
        <f t="shared" si="2"/>
        <v>16</v>
      </c>
      <c r="B21" s="429"/>
      <c r="C21" s="445" t="str">
        <f t="shared" si="3"/>
        <v/>
      </c>
      <c r="D21" s="446" t="str">
        <f t="shared" si="4"/>
        <v/>
      </c>
      <c r="E21" s="447" t="str">
        <f t="shared" si="5"/>
        <v/>
      </c>
      <c r="F21" s="430"/>
      <c r="G21" s="363"/>
      <c r="H21" s="363"/>
      <c r="I21" s="372"/>
      <c r="J21" s="372"/>
      <c r="K21" s="372"/>
      <c r="L21" s="372"/>
      <c r="M21" s="372"/>
      <c r="N21" s="365"/>
      <c r="O21" s="366"/>
      <c r="P21" s="366"/>
      <c r="Q21" s="367"/>
      <c r="R21" s="368"/>
      <c r="S21" s="368"/>
      <c r="T21" s="368"/>
      <c r="U21" s="369"/>
      <c r="V21" s="365"/>
      <c r="W21" s="370"/>
      <c r="X21" s="373"/>
      <c r="Y21" s="471">
        <f t="shared" si="0"/>
        <v>0</v>
      </c>
      <c r="Z21" s="471">
        <f t="shared" si="1"/>
        <v>0</v>
      </c>
    </row>
    <row r="22" spans="1:26" s="510" customFormat="1" ht="9.9499999999999993" customHeight="1" x14ac:dyDescent="0.2">
      <c r="A22" s="508">
        <f t="shared" si="2"/>
        <v>17</v>
      </c>
      <c r="B22" s="429"/>
      <c r="C22" s="445" t="str">
        <f t="shared" si="3"/>
        <v/>
      </c>
      <c r="D22" s="446" t="str">
        <f t="shared" si="4"/>
        <v/>
      </c>
      <c r="E22" s="447" t="str">
        <f t="shared" si="5"/>
        <v/>
      </c>
      <c r="F22" s="430"/>
      <c r="G22" s="363"/>
      <c r="H22" s="363"/>
      <c r="I22" s="372"/>
      <c r="J22" s="372"/>
      <c r="K22" s="372"/>
      <c r="L22" s="372"/>
      <c r="M22" s="372"/>
      <c r="N22" s="365"/>
      <c r="O22" s="366"/>
      <c r="P22" s="366"/>
      <c r="Q22" s="367"/>
      <c r="R22" s="368"/>
      <c r="S22" s="368"/>
      <c r="T22" s="368"/>
      <c r="U22" s="369"/>
      <c r="V22" s="365"/>
      <c r="W22" s="370"/>
      <c r="X22" s="373"/>
      <c r="Y22" s="471">
        <f t="shared" si="0"/>
        <v>0</v>
      </c>
      <c r="Z22" s="471">
        <f t="shared" si="1"/>
        <v>0</v>
      </c>
    </row>
    <row r="23" spans="1:26" s="510" customFormat="1" ht="9.9499999999999993" customHeight="1" x14ac:dyDescent="0.2">
      <c r="A23" s="508">
        <f t="shared" si="2"/>
        <v>18</v>
      </c>
      <c r="B23" s="429"/>
      <c r="C23" s="445" t="str">
        <f t="shared" si="3"/>
        <v/>
      </c>
      <c r="D23" s="446" t="str">
        <f t="shared" si="4"/>
        <v/>
      </c>
      <c r="E23" s="447" t="str">
        <f t="shared" si="5"/>
        <v/>
      </c>
      <c r="F23" s="430"/>
      <c r="G23" s="363"/>
      <c r="H23" s="363"/>
      <c r="I23" s="372"/>
      <c r="J23" s="372"/>
      <c r="K23" s="372"/>
      <c r="L23" s="372"/>
      <c r="M23" s="372"/>
      <c r="N23" s="365"/>
      <c r="O23" s="366"/>
      <c r="P23" s="366"/>
      <c r="Q23" s="367"/>
      <c r="R23" s="368"/>
      <c r="S23" s="368"/>
      <c r="T23" s="368"/>
      <c r="U23" s="369"/>
      <c r="V23" s="365"/>
      <c r="W23" s="370"/>
      <c r="X23" s="373"/>
      <c r="Y23" s="471">
        <f t="shared" si="0"/>
        <v>0</v>
      </c>
      <c r="Z23" s="471">
        <f t="shared" si="1"/>
        <v>0</v>
      </c>
    </row>
    <row r="24" spans="1:26" s="510" customFormat="1" ht="9.9499999999999993" customHeight="1" x14ac:dyDescent="0.2">
      <c r="A24" s="508">
        <f t="shared" si="2"/>
        <v>19</v>
      </c>
      <c r="B24" s="429"/>
      <c r="C24" s="445" t="str">
        <f t="shared" si="3"/>
        <v/>
      </c>
      <c r="D24" s="446" t="str">
        <f t="shared" si="4"/>
        <v/>
      </c>
      <c r="E24" s="447" t="str">
        <f t="shared" si="5"/>
        <v/>
      </c>
      <c r="F24" s="430"/>
      <c r="G24" s="363"/>
      <c r="H24" s="363"/>
      <c r="I24" s="372"/>
      <c r="J24" s="372"/>
      <c r="K24" s="372"/>
      <c r="L24" s="372"/>
      <c r="M24" s="372"/>
      <c r="N24" s="365"/>
      <c r="O24" s="366"/>
      <c r="P24" s="366"/>
      <c r="Q24" s="367"/>
      <c r="R24" s="368"/>
      <c r="S24" s="368"/>
      <c r="T24" s="368"/>
      <c r="U24" s="369"/>
      <c r="V24" s="365"/>
      <c r="W24" s="370"/>
      <c r="X24" s="373"/>
      <c r="Y24" s="471">
        <f t="shared" si="0"/>
        <v>0</v>
      </c>
      <c r="Z24" s="471">
        <f t="shared" si="1"/>
        <v>0</v>
      </c>
    </row>
    <row r="25" spans="1:26" s="510" customFormat="1" ht="9.9499999999999993" customHeight="1" x14ac:dyDescent="0.2">
      <c r="A25" s="508">
        <f t="shared" si="2"/>
        <v>20</v>
      </c>
      <c r="B25" s="429"/>
      <c r="C25" s="445" t="str">
        <f t="shared" si="3"/>
        <v/>
      </c>
      <c r="D25" s="446" t="str">
        <f t="shared" si="4"/>
        <v/>
      </c>
      <c r="E25" s="447" t="str">
        <f t="shared" si="5"/>
        <v/>
      </c>
      <c r="F25" s="430"/>
      <c r="G25" s="363"/>
      <c r="H25" s="363"/>
      <c r="I25" s="372"/>
      <c r="J25" s="372"/>
      <c r="K25" s="372"/>
      <c r="L25" s="372"/>
      <c r="M25" s="372"/>
      <c r="N25" s="365"/>
      <c r="O25" s="366"/>
      <c r="P25" s="366"/>
      <c r="Q25" s="367"/>
      <c r="R25" s="368"/>
      <c r="S25" s="368"/>
      <c r="T25" s="368"/>
      <c r="U25" s="369"/>
      <c r="V25" s="365"/>
      <c r="W25" s="370"/>
      <c r="X25" s="373"/>
      <c r="Y25" s="471">
        <f t="shared" si="0"/>
        <v>0</v>
      </c>
      <c r="Z25" s="471">
        <f t="shared" si="1"/>
        <v>0</v>
      </c>
    </row>
    <row r="26" spans="1:26" s="510" customFormat="1" ht="9.9499999999999993" customHeight="1" x14ac:dyDescent="0.2">
      <c r="A26" s="508">
        <f t="shared" si="2"/>
        <v>21</v>
      </c>
      <c r="B26" s="429"/>
      <c r="C26" s="445" t="str">
        <f t="shared" si="3"/>
        <v/>
      </c>
      <c r="D26" s="446" t="str">
        <f t="shared" si="4"/>
        <v/>
      </c>
      <c r="E26" s="447" t="str">
        <f t="shared" si="5"/>
        <v/>
      </c>
      <c r="F26" s="430"/>
      <c r="G26" s="363"/>
      <c r="H26" s="363"/>
      <c r="I26" s="372"/>
      <c r="J26" s="372"/>
      <c r="K26" s="372"/>
      <c r="L26" s="372"/>
      <c r="M26" s="372"/>
      <c r="N26" s="365"/>
      <c r="O26" s="366"/>
      <c r="P26" s="366"/>
      <c r="Q26" s="367"/>
      <c r="R26" s="368"/>
      <c r="S26" s="368"/>
      <c r="T26" s="368"/>
      <c r="U26" s="369"/>
      <c r="V26" s="365"/>
      <c r="W26" s="370"/>
      <c r="X26" s="373"/>
      <c r="Y26" s="471">
        <f t="shared" si="0"/>
        <v>0</v>
      </c>
      <c r="Z26" s="471">
        <f t="shared" si="1"/>
        <v>0</v>
      </c>
    </row>
    <row r="27" spans="1:26" s="510" customFormat="1" ht="9.9499999999999993" customHeight="1" x14ac:dyDescent="0.2">
      <c r="A27" s="508">
        <f t="shared" si="2"/>
        <v>22</v>
      </c>
      <c r="B27" s="429"/>
      <c r="C27" s="445" t="str">
        <f t="shared" si="3"/>
        <v/>
      </c>
      <c r="D27" s="446" t="str">
        <f t="shared" si="4"/>
        <v/>
      </c>
      <c r="E27" s="447" t="str">
        <f t="shared" si="5"/>
        <v/>
      </c>
      <c r="F27" s="430"/>
      <c r="G27" s="363"/>
      <c r="H27" s="363"/>
      <c r="I27" s="372"/>
      <c r="J27" s="372"/>
      <c r="K27" s="372"/>
      <c r="L27" s="372"/>
      <c r="M27" s="372"/>
      <c r="N27" s="365"/>
      <c r="O27" s="366"/>
      <c r="P27" s="366"/>
      <c r="Q27" s="367"/>
      <c r="R27" s="368"/>
      <c r="S27" s="368"/>
      <c r="T27" s="368"/>
      <c r="U27" s="369"/>
      <c r="V27" s="365"/>
      <c r="W27" s="370"/>
      <c r="X27" s="373"/>
      <c r="Y27" s="471">
        <f t="shared" si="0"/>
        <v>0</v>
      </c>
      <c r="Z27" s="471">
        <f t="shared" si="1"/>
        <v>0</v>
      </c>
    </row>
    <row r="28" spans="1:26" s="510" customFormat="1" ht="9.9499999999999993" customHeight="1" x14ac:dyDescent="0.2">
      <c r="A28" s="508">
        <f t="shared" si="2"/>
        <v>23</v>
      </c>
      <c r="B28" s="429"/>
      <c r="C28" s="445" t="str">
        <f t="shared" si="3"/>
        <v/>
      </c>
      <c r="D28" s="446" t="str">
        <f t="shared" si="4"/>
        <v/>
      </c>
      <c r="E28" s="447" t="str">
        <f t="shared" si="5"/>
        <v/>
      </c>
      <c r="F28" s="430"/>
      <c r="G28" s="363"/>
      <c r="H28" s="363"/>
      <c r="I28" s="372"/>
      <c r="J28" s="372"/>
      <c r="K28" s="372"/>
      <c r="L28" s="372"/>
      <c r="M28" s="372"/>
      <c r="N28" s="365"/>
      <c r="O28" s="366"/>
      <c r="P28" s="366"/>
      <c r="Q28" s="367"/>
      <c r="R28" s="368"/>
      <c r="S28" s="368"/>
      <c r="T28" s="368"/>
      <c r="U28" s="369"/>
      <c r="V28" s="365"/>
      <c r="W28" s="370"/>
      <c r="X28" s="373"/>
      <c r="Y28" s="471">
        <f t="shared" si="0"/>
        <v>0</v>
      </c>
      <c r="Z28" s="471">
        <f t="shared" si="1"/>
        <v>0</v>
      </c>
    </row>
    <row r="29" spans="1:26" s="510" customFormat="1" ht="9.9499999999999993" customHeight="1" x14ac:dyDescent="0.2">
      <c r="A29" s="508">
        <f t="shared" si="2"/>
        <v>24</v>
      </c>
      <c r="B29" s="429"/>
      <c r="C29" s="445" t="str">
        <f t="shared" si="3"/>
        <v/>
      </c>
      <c r="D29" s="446" t="str">
        <f t="shared" si="4"/>
        <v/>
      </c>
      <c r="E29" s="447" t="str">
        <f t="shared" si="5"/>
        <v/>
      </c>
      <c r="F29" s="430"/>
      <c r="G29" s="363"/>
      <c r="H29" s="363"/>
      <c r="I29" s="372"/>
      <c r="J29" s="372"/>
      <c r="K29" s="372"/>
      <c r="L29" s="372"/>
      <c r="M29" s="372"/>
      <c r="N29" s="365"/>
      <c r="O29" s="366"/>
      <c r="P29" s="366"/>
      <c r="Q29" s="367"/>
      <c r="R29" s="368"/>
      <c r="S29" s="368"/>
      <c r="T29" s="368"/>
      <c r="U29" s="369"/>
      <c r="V29" s="365"/>
      <c r="W29" s="370"/>
      <c r="X29" s="373"/>
      <c r="Y29" s="471">
        <f t="shared" si="0"/>
        <v>0</v>
      </c>
      <c r="Z29" s="471">
        <f t="shared" si="1"/>
        <v>0</v>
      </c>
    </row>
    <row r="30" spans="1:26" s="510" customFormat="1" ht="9.9499999999999993" customHeight="1" x14ac:dyDescent="0.2">
      <c r="A30" s="508">
        <f t="shared" si="2"/>
        <v>25</v>
      </c>
      <c r="B30" s="429"/>
      <c r="C30" s="445" t="str">
        <f t="shared" si="3"/>
        <v/>
      </c>
      <c r="D30" s="446" t="str">
        <f t="shared" si="4"/>
        <v/>
      </c>
      <c r="E30" s="447" t="str">
        <f t="shared" si="5"/>
        <v/>
      </c>
      <c r="F30" s="430"/>
      <c r="G30" s="363"/>
      <c r="H30" s="363"/>
      <c r="I30" s="372"/>
      <c r="J30" s="372"/>
      <c r="K30" s="372"/>
      <c r="L30" s="372"/>
      <c r="M30" s="372"/>
      <c r="N30" s="365"/>
      <c r="O30" s="366"/>
      <c r="P30" s="366"/>
      <c r="Q30" s="367"/>
      <c r="R30" s="368"/>
      <c r="S30" s="368"/>
      <c r="T30" s="368"/>
      <c r="U30" s="369"/>
      <c r="V30" s="365"/>
      <c r="W30" s="370"/>
      <c r="X30" s="373"/>
      <c r="Y30" s="471">
        <f t="shared" si="0"/>
        <v>0</v>
      </c>
      <c r="Z30" s="471">
        <f t="shared" si="1"/>
        <v>0</v>
      </c>
    </row>
    <row r="31" spans="1:26" s="510" customFormat="1" ht="9.9499999999999993" customHeight="1" x14ac:dyDescent="0.2">
      <c r="A31" s="508">
        <f t="shared" si="2"/>
        <v>26</v>
      </c>
      <c r="B31" s="429"/>
      <c r="C31" s="445" t="str">
        <f t="shared" si="3"/>
        <v/>
      </c>
      <c r="D31" s="446" t="str">
        <f t="shared" si="4"/>
        <v/>
      </c>
      <c r="E31" s="447" t="str">
        <f t="shared" si="5"/>
        <v/>
      </c>
      <c r="F31" s="430"/>
      <c r="G31" s="363"/>
      <c r="H31" s="363"/>
      <c r="I31" s="372"/>
      <c r="J31" s="372"/>
      <c r="K31" s="372"/>
      <c r="L31" s="372"/>
      <c r="M31" s="372"/>
      <c r="N31" s="365"/>
      <c r="O31" s="366"/>
      <c r="P31" s="366"/>
      <c r="Q31" s="367"/>
      <c r="R31" s="368"/>
      <c r="S31" s="368"/>
      <c r="T31" s="368"/>
      <c r="U31" s="369"/>
      <c r="V31" s="365"/>
      <c r="W31" s="370"/>
      <c r="X31" s="373"/>
      <c r="Y31" s="471">
        <f t="shared" si="0"/>
        <v>0</v>
      </c>
      <c r="Z31" s="471">
        <f t="shared" si="1"/>
        <v>0</v>
      </c>
    </row>
    <row r="32" spans="1:26" s="510" customFormat="1" ht="9.9499999999999993" customHeight="1" x14ac:dyDescent="0.2">
      <c r="A32" s="508">
        <f t="shared" si="2"/>
        <v>27</v>
      </c>
      <c r="B32" s="429"/>
      <c r="C32" s="445" t="str">
        <f t="shared" si="3"/>
        <v/>
      </c>
      <c r="D32" s="446" t="str">
        <f t="shared" si="4"/>
        <v/>
      </c>
      <c r="E32" s="447" t="str">
        <f t="shared" si="5"/>
        <v/>
      </c>
      <c r="F32" s="430"/>
      <c r="G32" s="363"/>
      <c r="H32" s="363"/>
      <c r="I32" s="372"/>
      <c r="J32" s="372"/>
      <c r="K32" s="372"/>
      <c r="L32" s="372"/>
      <c r="M32" s="372"/>
      <c r="N32" s="365"/>
      <c r="O32" s="366"/>
      <c r="P32" s="366"/>
      <c r="Q32" s="367"/>
      <c r="R32" s="368"/>
      <c r="S32" s="368"/>
      <c r="T32" s="368"/>
      <c r="U32" s="369"/>
      <c r="V32" s="365"/>
      <c r="W32" s="370"/>
      <c r="X32" s="373"/>
      <c r="Y32" s="471">
        <f t="shared" si="0"/>
        <v>0</v>
      </c>
      <c r="Z32" s="471">
        <f t="shared" si="1"/>
        <v>0</v>
      </c>
    </row>
    <row r="33" spans="1:26" s="510" customFormat="1" ht="9.9499999999999993" customHeight="1" x14ac:dyDescent="0.2">
      <c r="A33" s="508">
        <f t="shared" si="2"/>
        <v>28</v>
      </c>
      <c r="B33" s="429"/>
      <c r="C33" s="445" t="str">
        <f t="shared" si="3"/>
        <v/>
      </c>
      <c r="D33" s="446" t="str">
        <f t="shared" si="4"/>
        <v/>
      </c>
      <c r="E33" s="447" t="str">
        <f t="shared" si="5"/>
        <v/>
      </c>
      <c r="F33" s="430"/>
      <c r="G33" s="363"/>
      <c r="H33" s="363"/>
      <c r="I33" s="372"/>
      <c r="J33" s="372"/>
      <c r="K33" s="372"/>
      <c r="L33" s="372"/>
      <c r="M33" s="372"/>
      <c r="N33" s="365"/>
      <c r="O33" s="366"/>
      <c r="P33" s="366"/>
      <c r="Q33" s="367"/>
      <c r="R33" s="368"/>
      <c r="S33" s="368"/>
      <c r="T33" s="368"/>
      <c r="U33" s="369"/>
      <c r="V33" s="365"/>
      <c r="W33" s="370"/>
      <c r="X33" s="373"/>
      <c r="Y33" s="471">
        <f t="shared" si="0"/>
        <v>0</v>
      </c>
      <c r="Z33" s="471">
        <f t="shared" si="1"/>
        <v>0</v>
      </c>
    </row>
    <row r="34" spans="1:26" s="510" customFormat="1" ht="9.9499999999999993" customHeight="1" x14ac:dyDescent="0.2">
      <c r="A34" s="508">
        <f t="shared" si="2"/>
        <v>29</v>
      </c>
      <c r="B34" s="429"/>
      <c r="C34" s="445" t="str">
        <f t="shared" si="3"/>
        <v/>
      </c>
      <c r="D34" s="446" t="str">
        <f t="shared" si="4"/>
        <v/>
      </c>
      <c r="E34" s="447" t="str">
        <f t="shared" si="5"/>
        <v/>
      </c>
      <c r="F34" s="430"/>
      <c r="G34" s="363"/>
      <c r="H34" s="363"/>
      <c r="I34" s="372"/>
      <c r="J34" s="372"/>
      <c r="K34" s="372"/>
      <c r="L34" s="372"/>
      <c r="M34" s="372"/>
      <c r="N34" s="365"/>
      <c r="O34" s="366"/>
      <c r="P34" s="366"/>
      <c r="Q34" s="367"/>
      <c r="R34" s="368"/>
      <c r="S34" s="368"/>
      <c r="T34" s="368"/>
      <c r="U34" s="369"/>
      <c r="V34" s="365"/>
      <c r="W34" s="370"/>
      <c r="X34" s="373"/>
      <c r="Y34" s="471">
        <f t="shared" si="0"/>
        <v>0</v>
      </c>
      <c r="Z34" s="471">
        <f t="shared" si="1"/>
        <v>0</v>
      </c>
    </row>
    <row r="35" spans="1:26" s="510" customFormat="1" ht="9.9499999999999993" customHeight="1" x14ac:dyDescent="0.2">
      <c r="A35" s="508">
        <f t="shared" si="2"/>
        <v>30</v>
      </c>
      <c r="B35" s="429"/>
      <c r="C35" s="445" t="str">
        <f t="shared" si="3"/>
        <v/>
      </c>
      <c r="D35" s="446" t="str">
        <f t="shared" si="4"/>
        <v/>
      </c>
      <c r="E35" s="447" t="str">
        <f t="shared" si="5"/>
        <v/>
      </c>
      <c r="F35" s="430"/>
      <c r="G35" s="363"/>
      <c r="H35" s="363"/>
      <c r="I35" s="372"/>
      <c r="J35" s="372"/>
      <c r="K35" s="372"/>
      <c r="L35" s="372"/>
      <c r="M35" s="372"/>
      <c r="N35" s="365"/>
      <c r="O35" s="366"/>
      <c r="P35" s="366"/>
      <c r="Q35" s="367"/>
      <c r="R35" s="368"/>
      <c r="S35" s="368"/>
      <c r="T35" s="368"/>
      <c r="U35" s="369"/>
      <c r="V35" s="365"/>
      <c r="W35" s="370"/>
      <c r="X35" s="373"/>
      <c r="Y35" s="471">
        <f t="shared" si="0"/>
        <v>0</v>
      </c>
      <c r="Z35" s="471">
        <f t="shared" si="1"/>
        <v>0</v>
      </c>
    </row>
    <row r="36" spans="1:26" s="510" customFormat="1" ht="9.9499999999999993" customHeight="1" x14ac:dyDescent="0.2">
      <c r="A36" s="508">
        <f t="shared" si="2"/>
        <v>31</v>
      </c>
      <c r="B36" s="429"/>
      <c r="C36" s="445" t="str">
        <f t="shared" si="3"/>
        <v/>
      </c>
      <c r="D36" s="446" t="str">
        <f t="shared" si="4"/>
        <v/>
      </c>
      <c r="E36" s="447" t="str">
        <f t="shared" si="5"/>
        <v/>
      </c>
      <c r="F36" s="430"/>
      <c r="G36" s="363"/>
      <c r="H36" s="363"/>
      <c r="I36" s="372"/>
      <c r="J36" s="372"/>
      <c r="K36" s="372"/>
      <c r="L36" s="372"/>
      <c r="M36" s="372"/>
      <c r="N36" s="365"/>
      <c r="O36" s="366"/>
      <c r="P36" s="366"/>
      <c r="Q36" s="367"/>
      <c r="R36" s="368"/>
      <c r="S36" s="368"/>
      <c r="T36" s="368"/>
      <c r="U36" s="369"/>
      <c r="V36" s="365"/>
      <c r="W36" s="370"/>
      <c r="X36" s="373"/>
      <c r="Y36" s="471">
        <f t="shared" si="0"/>
        <v>0</v>
      </c>
      <c r="Z36" s="471">
        <f t="shared" si="1"/>
        <v>0</v>
      </c>
    </row>
    <row r="37" spans="1:26" s="510" customFormat="1" ht="9.9499999999999993" customHeight="1" x14ac:dyDescent="0.2">
      <c r="A37" s="508">
        <f t="shared" si="2"/>
        <v>32</v>
      </c>
      <c r="B37" s="429"/>
      <c r="C37" s="445" t="str">
        <f t="shared" si="3"/>
        <v/>
      </c>
      <c r="D37" s="446" t="str">
        <f t="shared" si="4"/>
        <v/>
      </c>
      <c r="E37" s="447" t="str">
        <f t="shared" si="5"/>
        <v/>
      </c>
      <c r="F37" s="430"/>
      <c r="G37" s="363"/>
      <c r="H37" s="363"/>
      <c r="I37" s="372"/>
      <c r="J37" s="372"/>
      <c r="K37" s="372"/>
      <c r="L37" s="372"/>
      <c r="M37" s="372"/>
      <c r="N37" s="365"/>
      <c r="O37" s="366"/>
      <c r="P37" s="366"/>
      <c r="Q37" s="367"/>
      <c r="R37" s="368"/>
      <c r="S37" s="368"/>
      <c r="T37" s="368"/>
      <c r="U37" s="369"/>
      <c r="V37" s="365"/>
      <c r="W37" s="370"/>
      <c r="X37" s="373"/>
      <c r="Y37" s="471">
        <f t="shared" si="0"/>
        <v>0</v>
      </c>
      <c r="Z37" s="471">
        <f t="shared" si="1"/>
        <v>0</v>
      </c>
    </row>
    <row r="38" spans="1:26" s="510" customFormat="1" ht="9.9499999999999993" customHeight="1" x14ac:dyDescent="0.2">
      <c r="A38" s="508">
        <v>33</v>
      </c>
      <c r="B38" s="429"/>
      <c r="C38" s="445" t="str">
        <f t="shared" si="3"/>
        <v/>
      </c>
      <c r="D38" s="446" t="str">
        <f t="shared" si="4"/>
        <v/>
      </c>
      <c r="E38" s="447" t="str">
        <f>IF(B38&lt;&gt;"",#REF!+1,"")</f>
        <v/>
      </c>
      <c r="F38" s="430"/>
      <c r="G38" s="363"/>
      <c r="H38" s="363"/>
      <c r="I38" s="372"/>
      <c r="J38" s="372"/>
      <c r="K38" s="372"/>
      <c r="L38" s="372"/>
      <c r="M38" s="372"/>
      <c r="N38" s="365"/>
      <c r="O38" s="366"/>
      <c r="P38" s="366"/>
      <c r="Q38" s="367"/>
      <c r="R38" s="368"/>
      <c r="S38" s="368"/>
      <c r="T38" s="368"/>
      <c r="U38" s="369"/>
      <c r="V38" s="365"/>
      <c r="W38" s="370"/>
      <c r="X38" s="373"/>
      <c r="Y38" s="471">
        <f t="shared" si="0"/>
        <v>0</v>
      </c>
      <c r="Z38" s="471">
        <f t="shared" si="1"/>
        <v>0</v>
      </c>
    </row>
    <row r="39" spans="1:26" s="510" customFormat="1" ht="9.9499999999999993" customHeight="1" x14ac:dyDescent="0.2">
      <c r="A39" s="508">
        <f t="shared" si="2"/>
        <v>34</v>
      </c>
      <c r="B39" s="429"/>
      <c r="C39" s="445" t="str">
        <f t="shared" si="3"/>
        <v/>
      </c>
      <c r="D39" s="446" t="str">
        <f t="shared" si="4"/>
        <v/>
      </c>
      <c r="E39" s="447" t="str">
        <f t="shared" si="5"/>
        <v/>
      </c>
      <c r="F39" s="430"/>
      <c r="G39" s="363"/>
      <c r="H39" s="363"/>
      <c r="I39" s="372"/>
      <c r="J39" s="372"/>
      <c r="K39" s="372"/>
      <c r="L39" s="372"/>
      <c r="M39" s="372"/>
      <c r="N39" s="365"/>
      <c r="O39" s="366"/>
      <c r="P39" s="366"/>
      <c r="Q39" s="367"/>
      <c r="R39" s="368"/>
      <c r="S39" s="368"/>
      <c r="T39" s="368"/>
      <c r="U39" s="369"/>
      <c r="V39" s="365"/>
      <c r="W39" s="370"/>
      <c r="X39" s="373"/>
      <c r="Y39" s="471">
        <f t="shared" si="0"/>
        <v>0</v>
      </c>
      <c r="Z39" s="471">
        <f t="shared" si="1"/>
        <v>0</v>
      </c>
    </row>
    <row r="40" spans="1:26" s="510" customFormat="1" ht="9.9499999999999993" customHeight="1" thickBot="1" x14ac:dyDescent="0.25">
      <c r="A40" s="508">
        <f t="shared" si="2"/>
        <v>35</v>
      </c>
      <c r="B40" s="456"/>
      <c r="C40" s="457" t="str">
        <f t="shared" si="3"/>
        <v/>
      </c>
      <c r="D40" s="458" t="str">
        <f t="shared" si="4"/>
        <v/>
      </c>
      <c r="E40" s="459" t="str">
        <f t="shared" si="5"/>
        <v/>
      </c>
      <c r="F40" s="460"/>
      <c r="G40" s="461"/>
      <c r="H40" s="461"/>
      <c r="I40" s="462"/>
      <c r="J40" s="462"/>
      <c r="K40" s="462"/>
      <c r="L40" s="462"/>
      <c r="M40" s="462"/>
      <c r="N40" s="463"/>
      <c r="O40" s="464"/>
      <c r="P40" s="464"/>
      <c r="Q40" s="465"/>
      <c r="R40" s="466"/>
      <c r="S40" s="466"/>
      <c r="T40" s="466"/>
      <c r="U40" s="467"/>
      <c r="V40" s="463"/>
      <c r="W40" s="463"/>
      <c r="X40" s="468"/>
      <c r="Y40" s="471">
        <f t="shared" si="0"/>
        <v>0</v>
      </c>
      <c r="Z40" s="471">
        <f t="shared" si="1"/>
        <v>0</v>
      </c>
    </row>
    <row r="41" spans="1:26" s="510" customFormat="1" ht="9.9499999999999993" customHeight="1" thickBot="1" x14ac:dyDescent="0.25">
      <c r="A41" s="511"/>
      <c r="B41" s="512" t="s">
        <v>66</v>
      </c>
      <c r="C41" s="513"/>
      <c r="D41" s="513"/>
      <c r="E41" s="513"/>
      <c r="F41" s="514"/>
      <c r="G41" s="515">
        <f ca="1">IF($N$193="",SUM(G6:G40),"")</f>
        <v>0</v>
      </c>
      <c r="H41" s="515">
        <f t="shared" ref="H41" ca="1" si="6">IF($N$193="",SUM(H6:H40),"")</f>
        <v>0</v>
      </c>
      <c r="I41" s="515">
        <f t="shared" ref="I41" ca="1" si="7">IF($N$193="",SUM(I6:I40),"")</f>
        <v>0</v>
      </c>
      <c r="J41" s="515">
        <f t="shared" ref="J41" ca="1" si="8">IF($N$193="",SUM(J6:J40),"")</f>
        <v>0</v>
      </c>
      <c r="K41" s="515">
        <f t="shared" ref="K41" ca="1" si="9">IF($N$193="",SUM(K6:K40),"")</f>
        <v>0</v>
      </c>
      <c r="L41" s="515">
        <f t="shared" ref="L41" ca="1" si="10">IF($N$193="",SUM(L6:L40),"")</f>
        <v>0</v>
      </c>
      <c r="M41" s="515">
        <f t="shared" ref="M41" ca="1" si="11">IF($N$193="",SUM(M6:M40),"")</f>
        <v>0</v>
      </c>
      <c r="N41" s="516"/>
      <c r="O41" s="517"/>
      <c r="P41" s="517"/>
      <c r="Q41" s="517"/>
      <c r="R41" s="517"/>
      <c r="S41" s="517"/>
      <c r="T41" s="517"/>
      <c r="U41" s="518"/>
      <c r="V41" s="519">
        <f t="shared" ref="V41" ca="1" si="12">IF($N$193="",SUM(V6:V40),"")</f>
        <v>0</v>
      </c>
      <c r="W41" s="519">
        <f t="shared" ref="W41" ca="1" si="13">IF($N$193="",SUM(W6:W40),"")</f>
        <v>0</v>
      </c>
      <c r="X41" s="520">
        <f t="shared" ref="X41" ca="1" si="14">IF($N$193="",SUM(X6:X40),"")</f>
        <v>0</v>
      </c>
      <c r="Y41" s="521">
        <f t="shared" ref="Y41:Z41" si="15">SUM(Y6:Y40)</f>
        <v>0</v>
      </c>
      <c r="Z41" s="521">
        <f t="shared" si="15"/>
        <v>0</v>
      </c>
    </row>
    <row r="42" spans="1:26" s="510" customFormat="1" ht="9.9499999999999993" customHeight="1" x14ac:dyDescent="0.2">
      <c r="A42" s="511"/>
      <c r="B42" s="522"/>
      <c r="C42" s="522"/>
      <c r="D42" s="522"/>
      <c r="E42" s="523"/>
      <c r="F42" s="524">
        <f>K121</f>
        <v>0</v>
      </c>
      <c r="G42" s="525">
        <f>SUMIF($N$6:$N$40,$F$42,G$6:G$40)</f>
        <v>0</v>
      </c>
      <c r="H42" s="525">
        <f>SUMIF($N$6:$N$40,$F$42,H$6:H$40)</f>
        <v>0</v>
      </c>
      <c r="I42" s="525">
        <f>SUMIF($N$6:$N$40,$F$42,I$6:I$40)</f>
        <v>0</v>
      </c>
      <c r="J42" s="525">
        <f>SUMIF($N$6:$N$40,$F$42,J$6:J$40)</f>
        <v>0</v>
      </c>
      <c r="K42" s="525">
        <f>SUMIF($N$6:$N$40,$F$42,K$6:K$40)</f>
        <v>0</v>
      </c>
      <c r="L42" s="525">
        <f>SUMIF($N$6:$N$40,$F$42,L$6:L$40)</f>
        <v>0</v>
      </c>
      <c r="M42" s="525">
        <f>SUMIF($N$6:$N$40,$F$42,M$6:M$40)</f>
        <v>0</v>
      </c>
      <c r="N42" s="389"/>
      <c r="O42" s="390"/>
      <c r="P42" s="390"/>
      <c r="Q42" s="390"/>
      <c r="R42" s="390"/>
      <c r="S42" s="390"/>
      <c r="T42" s="390"/>
      <c r="U42" s="391"/>
      <c r="V42" s="526">
        <f>SUMIF($N$6:$N$40,$F$42,V$6:V$40)</f>
        <v>0</v>
      </c>
      <c r="W42" s="526">
        <f>SUMIF($N$6:$N$40,$F$42,W$6:W$40)</f>
        <v>0</v>
      </c>
      <c r="X42" s="527">
        <f>SUMIF($N$6:$N$40,$F$42,X$6:X$40)</f>
        <v>0</v>
      </c>
    </row>
    <row r="43" spans="1:26" s="510" customFormat="1" ht="9.9499999999999993" customHeight="1" x14ac:dyDescent="0.2">
      <c r="A43" s="511"/>
      <c r="B43" s="522"/>
      <c r="C43" s="522"/>
      <c r="D43" s="522"/>
      <c r="E43" s="523"/>
      <c r="F43" s="528">
        <f>K122</f>
        <v>0</v>
      </c>
      <c r="G43" s="529">
        <f>SUMIF($N$6:$N$40,$F$43,G$6:G$40)</f>
        <v>0</v>
      </c>
      <c r="H43" s="529">
        <f>SUMIF($N$6:$N$40,$F$43,H$6:H$40)</f>
        <v>0</v>
      </c>
      <c r="I43" s="529">
        <f>SUMIF($N$6:$N$40,$F$43,I$6:I$40)</f>
        <v>0</v>
      </c>
      <c r="J43" s="529">
        <f>SUMIF($N$6:$N$40,$F$43,J$6:J$40)</f>
        <v>0</v>
      </c>
      <c r="K43" s="529">
        <f>SUMIF($N$6:$N$40,$F$43,K$6:K$40)</f>
        <v>0</v>
      </c>
      <c r="L43" s="529">
        <f>SUMIF($N$6:$N$40,$F$43,L$6:L$40)</f>
        <v>0</v>
      </c>
      <c r="M43" s="529">
        <f>SUMIF($N$6:$N$40,$F$43,M$6:M$40)</f>
        <v>0</v>
      </c>
      <c r="N43" s="392"/>
      <c r="O43" s="393"/>
      <c r="P43" s="393"/>
      <c r="Q43" s="393"/>
      <c r="R43" s="393"/>
      <c r="S43" s="393"/>
      <c r="T43" s="393"/>
      <c r="U43" s="394"/>
      <c r="V43" s="530">
        <f>SUMIF($N$6:$N$40,$F$43,V$6:V$40)</f>
        <v>0</v>
      </c>
      <c r="W43" s="530">
        <f>SUMIF($N$6:$N$40,$F$43,W$6:W$40)</f>
        <v>0</v>
      </c>
      <c r="X43" s="531">
        <f>SUMIF($N$6:$N$40,$F$43,X$6:X$40)</f>
        <v>0</v>
      </c>
    </row>
    <row r="44" spans="1:26" s="510" customFormat="1" ht="9.9499999999999993" customHeight="1" x14ac:dyDescent="0.2">
      <c r="A44" s="511"/>
      <c r="B44" s="522"/>
      <c r="C44" s="522"/>
      <c r="D44" s="522"/>
      <c r="E44" s="523"/>
      <c r="F44" s="528">
        <f>K123</f>
        <v>0</v>
      </c>
      <c r="G44" s="529">
        <f>SUMIF($N$6:$N$40,$F$44,G$6:G$40)</f>
        <v>0</v>
      </c>
      <c r="H44" s="529">
        <f>SUMIF($N$6:$N$40,$F$44,H$6:H$40)</f>
        <v>0</v>
      </c>
      <c r="I44" s="529">
        <f>SUMIF($N$6:$N$40,$F$44,I$6:I$40)</f>
        <v>0</v>
      </c>
      <c r="J44" s="529">
        <f>SUMIF($N$6:$N$40,$F$44,J$6:J$40)</f>
        <v>0</v>
      </c>
      <c r="K44" s="529">
        <f>SUMIF($N$6:$N$40,$F$44,K$6:K$40)</f>
        <v>0</v>
      </c>
      <c r="L44" s="529">
        <f>SUMIF($N$6:$N$40,$F$44,L$6:L$40)</f>
        <v>0</v>
      </c>
      <c r="M44" s="529">
        <f>SUMIF($N$6:$N$40,$F$44,M$6:M$40)</f>
        <v>0</v>
      </c>
      <c r="N44" s="392"/>
      <c r="O44" s="393"/>
      <c r="P44" s="393"/>
      <c r="Q44" s="393"/>
      <c r="R44" s="393"/>
      <c r="S44" s="393"/>
      <c r="T44" s="393"/>
      <c r="U44" s="394"/>
      <c r="V44" s="530">
        <f>SUMIF($N$6:$N$40,$F$44,V$6:V$40)</f>
        <v>0</v>
      </c>
      <c r="W44" s="530">
        <f>SUMIF($N$6:$N$40,$F$44,W$6:W$40)</f>
        <v>0</v>
      </c>
      <c r="X44" s="531">
        <f>SUMIF($N$6:$N$40,$F$44,X$6:X$40)</f>
        <v>0</v>
      </c>
    </row>
    <row r="45" spans="1:26" s="510" customFormat="1" ht="9.9499999999999993" customHeight="1" thickBot="1" x14ac:dyDescent="0.25">
      <c r="A45" s="511"/>
      <c r="B45" s="522"/>
      <c r="C45" s="522"/>
      <c r="D45" s="522"/>
      <c r="E45" s="523"/>
      <c r="F45" s="532" t="str">
        <f>K124</f>
        <v>xxx</v>
      </c>
      <c r="G45" s="533">
        <f>SUMIF($N$6:$N$40,$F$45,G$6:G$40)</f>
        <v>0</v>
      </c>
      <c r="H45" s="533">
        <f>SUMIF($N$6:$N$40,$F$45,H$6:H$40)</f>
        <v>0</v>
      </c>
      <c r="I45" s="533">
        <f>SUMIF($N$6:$N$40,$F$45,I$6:I$40)</f>
        <v>0</v>
      </c>
      <c r="J45" s="533">
        <f>SUMIF($N$6:$N$40,$F$45,J$6:J$40)</f>
        <v>0</v>
      </c>
      <c r="K45" s="533">
        <f>SUMIF($N$6:$N$40,$F$45,K$6:K$40)</f>
        <v>0</v>
      </c>
      <c r="L45" s="533">
        <f>SUMIF($N$6:$N$40,$F$45,L$6:L$40)</f>
        <v>0</v>
      </c>
      <c r="M45" s="533">
        <f>SUMIF($N$6:$N$40,$F$45,M$6:M$40)</f>
        <v>0</v>
      </c>
      <c r="N45" s="395"/>
      <c r="O45" s="396"/>
      <c r="P45" s="396"/>
      <c r="Q45" s="396"/>
      <c r="R45" s="396"/>
      <c r="S45" s="396"/>
      <c r="T45" s="396"/>
      <c r="U45" s="397"/>
      <c r="V45" s="534">
        <f>SUMIF($N$6:$N$40,$F$45,V$6:V$40)</f>
        <v>0</v>
      </c>
      <c r="W45" s="534">
        <f>SUMIF($N$6:$N$40,$F$45,W$6:W$40)</f>
        <v>0</v>
      </c>
      <c r="X45" s="535">
        <f>SUMIF($N$6:$N$40,$F$45,X$6:X$40)</f>
        <v>0</v>
      </c>
    </row>
    <row r="46" spans="1:26" ht="9.9499999999999993" customHeight="1" x14ac:dyDescent="0.2">
      <c r="B46" s="536" t="str">
        <f ca="1">IF(G41&lt;&gt;SUM(H41:M41),"NEISPRAVAN UNOS, POSTOJI RAZLIKA","")</f>
        <v/>
      </c>
      <c r="C46" s="536"/>
      <c r="D46" s="536"/>
      <c r="E46" s="536"/>
      <c r="F46" s="537"/>
      <c r="G46" s="537"/>
      <c r="H46" s="537"/>
      <c r="I46" s="537"/>
      <c r="J46" s="537"/>
      <c r="K46" s="537"/>
      <c r="L46" s="537"/>
      <c r="M46" s="449" t="str">
        <f>IF(Y41&gt;0,"Nepotpun unos podataka pod rednim brojem "&amp;MATCH(MAX(Y6:Y40),Y6:Y40,0),"")</f>
        <v/>
      </c>
      <c r="N46" s="449"/>
      <c r="O46" s="449"/>
      <c r="P46" s="449"/>
      <c r="Q46" s="449"/>
      <c r="R46" s="449"/>
      <c r="S46" s="449"/>
      <c r="T46" s="449"/>
      <c r="U46" s="449"/>
      <c r="V46" s="483"/>
      <c r="W46" s="483"/>
      <c r="X46" s="483"/>
    </row>
    <row r="47" spans="1:26" ht="9.9499999999999993" customHeight="1" x14ac:dyDescent="0.2">
      <c r="B47" s="538"/>
      <c r="C47" s="538"/>
      <c r="D47" s="538"/>
      <c r="E47" s="538"/>
      <c r="F47" s="539"/>
      <c r="G47" s="539"/>
      <c r="H47" s="539"/>
      <c r="I47" s="539"/>
      <c r="J47" s="539"/>
      <c r="K47" s="539"/>
      <c r="L47" s="539"/>
      <c r="M47" s="450" t="str">
        <f>IF(Z41&gt;0,"Neispravni iznosi u € ili zbroj pod rednim brojem "&amp;MATCH(MAX(Z6:Z40),Z6:Z40,0),"")</f>
        <v/>
      </c>
      <c r="N47" s="450"/>
      <c r="O47" s="450"/>
      <c r="P47" s="450"/>
      <c r="Q47" s="450"/>
      <c r="R47" s="450"/>
      <c r="S47" s="450"/>
      <c r="T47" s="450"/>
      <c r="U47" s="450"/>
      <c r="V47" s="483"/>
      <c r="W47" s="483"/>
      <c r="X47" s="483"/>
    </row>
    <row r="48" spans="1:26" ht="9.9499999999999993" customHeight="1" x14ac:dyDescent="0.2">
      <c r="B48" s="538"/>
      <c r="C48" s="538"/>
      <c r="D48" s="538"/>
      <c r="E48" s="538"/>
      <c r="F48" s="539"/>
      <c r="G48" s="539"/>
      <c r="H48" s="539"/>
      <c r="I48" s="539"/>
      <c r="J48" s="539"/>
      <c r="K48" s="539"/>
      <c r="L48" s="539"/>
      <c r="M48" s="482"/>
      <c r="N48" s="482"/>
      <c r="O48" s="482"/>
      <c r="P48" s="482"/>
      <c r="Q48" s="482"/>
      <c r="R48" s="482"/>
      <c r="S48" s="482"/>
      <c r="T48" s="482"/>
      <c r="U48" s="482"/>
      <c r="V48" s="483"/>
      <c r="W48" s="483"/>
      <c r="X48" s="483"/>
    </row>
    <row r="49" spans="1:26" ht="9.9499999999999993" customHeight="1" x14ac:dyDescent="0.2">
      <c r="B49" s="538"/>
      <c r="C49" s="538"/>
      <c r="D49" s="538"/>
      <c r="E49" s="538"/>
      <c r="F49" s="539"/>
      <c r="G49" s="539"/>
      <c r="H49" s="539"/>
      <c r="I49" s="539"/>
      <c r="J49" s="539"/>
      <c r="K49" s="539"/>
      <c r="L49" s="539"/>
      <c r="M49" s="482"/>
      <c r="N49" s="482"/>
      <c r="O49" s="482"/>
      <c r="P49" s="482"/>
      <c r="Q49" s="482"/>
      <c r="R49" s="482"/>
      <c r="S49" s="482"/>
      <c r="T49" s="482"/>
      <c r="U49" s="482"/>
      <c r="V49" s="483"/>
      <c r="W49" s="483"/>
      <c r="X49" s="483"/>
    </row>
    <row r="50" spans="1:26" ht="9.9499999999999993" customHeight="1" x14ac:dyDescent="0.2">
      <c r="A50" s="475" t="str">
        <f>A1</f>
        <v>Natural solution d.o.o.</v>
      </c>
      <c r="B50" s="475"/>
      <c r="C50" s="475"/>
      <c r="D50" s="475"/>
      <c r="F50" s="540">
        <f>F1</f>
        <v>0</v>
      </c>
      <c r="G50" s="478" t="str">
        <f ca="1">IF(OR(B95&lt;&gt;"",M95&lt;&gt;"",M96&lt;&gt;"")," TREBA UNJETI SVE PODATKE U TABLICE, JOŠ NISU UNESENI SVI !!!","")</f>
        <v/>
      </c>
      <c r="H50" s="478"/>
      <c r="I50" s="478"/>
      <c r="J50" s="478"/>
      <c r="K50" s="478"/>
      <c r="L50" s="478"/>
      <c r="M50" s="478"/>
      <c r="N50" s="478"/>
      <c r="O50" s="478"/>
      <c r="P50" s="478"/>
      <c r="Q50" s="478"/>
      <c r="R50" s="541"/>
      <c r="S50" s="475" t="s">
        <v>230</v>
      </c>
      <c r="T50" s="475"/>
      <c r="U50" s="475" t="str">
        <f>L120+2&amp;"."</f>
        <v>2.</v>
      </c>
      <c r="V50" s="475" t="s">
        <v>231</v>
      </c>
      <c r="W50" s="475" t="str">
        <f>L120+3&amp;"."</f>
        <v>3.</v>
      </c>
      <c r="X50" s="542"/>
    </row>
    <row r="51" spans="1:26" ht="9.9499999999999993" customHeight="1" x14ac:dyDescent="0.2">
      <c r="A51" s="475"/>
      <c r="B51" s="475"/>
      <c r="C51" s="475"/>
      <c r="D51" s="475"/>
      <c r="F51" s="540"/>
      <c r="G51" s="478"/>
      <c r="H51" s="478"/>
      <c r="I51" s="478"/>
      <c r="J51" s="478"/>
      <c r="K51" s="478"/>
      <c r="L51" s="478"/>
      <c r="M51" s="478"/>
      <c r="N51" s="478"/>
      <c r="O51" s="478"/>
      <c r="P51" s="478"/>
      <c r="Q51" s="478"/>
      <c r="R51" s="541"/>
      <c r="S51" s="475"/>
      <c r="T51" s="475"/>
      <c r="U51" s="475"/>
      <c r="V51" s="475"/>
      <c r="W51" s="475"/>
      <c r="X51" s="542"/>
    </row>
    <row r="52" spans="1:26" ht="9.9499999999999993" customHeight="1" thickBot="1" x14ac:dyDescent="0.25">
      <c r="B52" s="480"/>
      <c r="C52" s="480"/>
      <c r="D52" s="480"/>
      <c r="E52" s="480"/>
      <c r="F52" s="480"/>
      <c r="G52" s="481"/>
      <c r="H52" s="481"/>
      <c r="I52" s="481"/>
      <c r="J52" s="481"/>
      <c r="K52" s="481"/>
      <c r="L52" s="481"/>
      <c r="M52" s="482"/>
      <c r="N52" s="482"/>
      <c r="O52" s="482"/>
      <c r="P52" s="482"/>
      <c r="Q52" s="482"/>
      <c r="R52" s="482"/>
      <c r="S52" s="482"/>
      <c r="T52" s="482"/>
      <c r="U52" s="482"/>
      <c r="V52" s="825" t="str">
        <f>V3</f>
        <v>Verzija 7/2026</v>
      </c>
      <c r="W52" s="825"/>
      <c r="X52" s="483"/>
    </row>
    <row r="53" spans="1:26" ht="9.9499999999999993" customHeight="1" thickBot="1" x14ac:dyDescent="0.25">
      <c r="A53" s="484" t="s">
        <v>75</v>
      </c>
      <c r="B53" s="485" t="s">
        <v>232</v>
      </c>
      <c r="C53" s="486"/>
      <c r="D53" s="486"/>
      <c r="E53" s="487"/>
      <c r="F53" s="487"/>
      <c r="G53" s="488" t="str">
        <f>L120+2&amp;". i "&amp;L120+3&amp;"."</f>
        <v>2. i 3.</v>
      </c>
      <c r="H53" s="489" t="s">
        <v>230</v>
      </c>
      <c r="I53" s="543"/>
      <c r="J53" s="543"/>
      <c r="K53" s="543"/>
      <c r="L53" s="544" t="s">
        <v>110</v>
      </c>
      <c r="M53" s="492">
        <f>F91</f>
        <v>0</v>
      </c>
      <c r="N53" s="492">
        <f>F92</f>
        <v>0</v>
      </c>
      <c r="O53" s="492">
        <f>F93</f>
        <v>0</v>
      </c>
      <c r="P53" s="493" t="str">
        <f>F94</f>
        <v>xxx</v>
      </c>
      <c r="Q53" s="494"/>
      <c r="R53" s="494"/>
      <c r="S53" s="494"/>
      <c r="T53" s="494"/>
      <c r="U53" s="494"/>
      <c r="V53" s="494"/>
      <c r="W53" s="494"/>
      <c r="X53" s="495"/>
    </row>
    <row r="54" spans="1:26" ht="17.25" customHeight="1" thickBot="1" x14ac:dyDescent="0.25">
      <c r="A54" s="496"/>
      <c r="B54" s="497" t="s">
        <v>57</v>
      </c>
      <c r="C54" s="545" t="str">
        <f>C5</f>
        <v>Broj računa FISKALNOG</v>
      </c>
      <c r="D54" s="546"/>
      <c r="E54" s="547"/>
      <c r="F54" s="501" t="str">
        <f>F5</f>
        <v>Broj ugovora</v>
      </c>
      <c r="G54" s="501" t="str">
        <f>G5</f>
        <v>PRODAJNA CIJENA</v>
      </c>
      <c r="H54" s="501" t="str">
        <f>H5</f>
        <v>GOTOVINA / KEŠ</v>
      </c>
      <c r="I54" s="501" t="str">
        <f>I5</f>
        <v>KARTICA</v>
      </c>
      <c r="J54" s="501" t="str">
        <f>J5</f>
        <v>Storno gotovina</v>
      </c>
      <c r="K54" s="501" t="str">
        <f>K5</f>
        <v>Na firmu rate</v>
      </c>
      <c r="L54" s="501" t="str">
        <f>L5</f>
        <v>Žiralno storno</v>
      </c>
      <c r="M54" s="501" t="str">
        <f>M5</f>
        <v>Ostalo</v>
      </c>
      <c r="N54" s="502" t="s">
        <v>81</v>
      </c>
      <c r="O54" s="502" t="s">
        <v>80</v>
      </c>
      <c r="P54" s="502" t="s">
        <v>83</v>
      </c>
      <c r="Q54" s="503" t="s">
        <v>82</v>
      </c>
      <c r="R54" s="504"/>
      <c r="S54" s="504"/>
      <c r="T54" s="504"/>
      <c r="U54" s="505"/>
      <c r="V54" s="506" t="str">
        <f>H152</f>
        <v>LMS</v>
      </c>
      <c r="W54" s="506" t="str">
        <f>I152</f>
        <v>TO</v>
      </c>
      <c r="X54" s="507" t="str">
        <f>J152</f>
        <v>IP</v>
      </c>
    </row>
    <row r="55" spans="1:26" s="510" customFormat="1" ht="9.9499999999999993" customHeight="1" x14ac:dyDescent="0.2">
      <c r="A55" s="508">
        <v>1</v>
      </c>
      <c r="B55" s="360"/>
      <c r="C55" s="445" t="str">
        <f>IF(B55&lt;&gt;"",YEAR(B55)-2000,"")</f>
        <v/>
      </c>
      <c r="D55" s="446" t="str">
        <f>IF(B55&lt;&gt;"","-3211-000","")</f>
        <v/>
      </c>
      <c r="E55" s="448" t="str">
        <f>IF(B55&lt;&gt;"",MAX(E6:E40)+1,"")</f>
        <v/>
      </c>
      <c r="F55" s="361"/>
      <c r="G55" s="362"/>
      <c r="H55" s="363"/>
      <c r="I55" s="364"/>
      <c r="J55" s="364"/>
      <c r="K55" s="364"/>
      <c r="L55" s="364"/>
      <c r="M55" s="364"/>
      <c r="N55" s="365"/>
      <c r="O55" s="366"/>
      <c r="P55" s="451"/>
      <c r="Q55" s="367"/>
      <c r="R55" s="368"/>
      <c r="S55" s="368"/>
      <c r="T55" s="368"/>
      <c r="U55" s="369"/>
      <c r="V55" s="365"/>
      <c r="W55" s="370"/>
      <c r="X55" s="371"/>
      <c r="Y55" s="471">
        <f t="shared" ref="Y55:Y89" si="16">IF(AND(B55="",G55="",F55=""),0,IF(AND(C55&lt;&gt;"",F55&lt;&gt;"",G55&lt;&gt;"",N55&lt;&gt;"",O55&lt;&gt;"",P55&lt;&gt;"",Q55&lt;&gt;""),0,1))</f>
        <v>0</v>
      </c>
      <c r="Z55" s="471">
        <f t="shared" ref="Z55:Z89" si="17">IF(G55=SUM(H55:M55),0,1)</f>
        <v>0</v>
      </c>
    </row>
    <row r="56" spans="1:26" s="510" customFormat="1" ht="9.9499999999999993" customHeight="1" x14ac:dyDescent="0.2">
      <c r="A56" s="508">
        <f>A55+1</f>
        <v>2</v>
      </c>
      <c r="B56" s="360"/>
      <c r="C56" s="445" t="str">
        <f>IF(B56&lt;&gt;"",YEAR(B56)-2000,"")</f>
        <v/>
      </c>
      <c r="D56" s="446" t="str">
        <f>IF(E56&lt;&gt;"","-3211-000","")</f>
        <v/>
      </c>
      <c r="E56" s="444" t="str">
        <f>IF(B56&lt;&gt;"",E55+1,"")</f>
        <v/>
      </c>
      <c r="F56" s="361"/>
      <c r="G56" s="363"/>
      <c r="H56" s="363"/>
      <c r="I56" s="372"/>
      <c r="J56" s="372"/>
      <c r="K56" s="372"/>
      <c r="L56" s="372"/>
      <c r="M56" s="372"/>
      <c r="N56" s="365"/>
      <c r="O56" s="366"/>
      <c r="P56" s="366"/>
      <c r="Q56" s="367"/>
      <c r="R56" s="368"/>
      <c r="S56" s="368"/>
      <c r="T56" s="368"/>
      <c r="U56" s="369"/>
      <c r="V56" s="365"/>
      <c r="W56" s="370"/>
      <c r="X56" s="373"/>
      <c r="Y56" s="471">
        <f t="shared" si="16"/>
        <v>0</v>
      </c>
      <c r="Z56" s="471">
        <f t="shared" si="17"/>
        <v>0</v>
      </c>
    </row>
    <row r="57" spans="1:26" s="510" customFormat="1" ht="9.9499999999999993" customHeight="1" x14ac:dyDescent="0.2">
      <c r="A57" s="508">
        <f t="shared" ref="A57:A89" si="18">A56+1</f>
        <v>3</v>
      </c>
      <c r="B57" s="360"/>
      <c r="C57" s="445" t="str">
        <f t="shared" ref="C57:C89" si="19">IF(B57&lt;&gt;"",YEAR(B57)-2000,"")</f>
        <v/>
      </c>
      <c r="D57" s="446" t="str">
        <f t="shared" ref="D57:D89" si="20">IF(E57&lt;&gt;"","-3211-000","")</f>
        <v/>
      </c>
      <c r="E57" s="444" t="str">
        <f>IF(B57&lt;&gt;"",E56+1,"")</f>
        <v/>
      </c>
      <c r="F57" s="361"/>
      <c r="G57" s="363"/>
      <c r="H57" s="363"/>
      <c r="I57" s="374"/>
      <c r="J57" s="374"/>
      <c r="K57" s="374"/>
      <c r="L57" s="374"/>
      <c r="M57" s="374"/>
      <c r="N57" s="365"/>
      <c r="O57" s="366"/>
      <c r="P57" s="366"/>
      <c r="Q57" s="367"/>
      <c r="R57" s="368"/>
      <c r="S57" s="368"/>
      <c r="T57" s="368"/>
      <c r="U57" s="369"/>
      <c r="V57" s="365"/>
      <c r="W57" s="370"/>
      <c r="X57" s="373"/>
      <c r="Y57" s="471">
        <f t="shared" si="16"/>
        <v>0</v>
      </c>
      <c r="Z57" s="471">
        <f t="shared" si="17"/>
        <v>0</v>
      </c>
    </row>
    <row r="58" spans="1:26" s="510" customFormat="1" ht="9.9499999999999993" customHeight="1" x14ac:dyDescent="0.2">
      <c r="A58" s="508">
        <f t="shared" si="18"/>
        <v>4</v>
      </c>
      <c r="B58" s="360"/>
      <c r="C58" s="445" t="str">
        <f t="shared" si="19"/>
        <v/>
      </c>
      <c r="D58" s="446" t="str">
        <f t="shared" si="20"/>
        <v/>
      </c>
      <c r="E58" s="444" t="str">
        <f t="shared" ref="E57:E86" si="21">IF(B58&lt;&gt;"",E57+1,"")</f>
        <v/>
      </c>
      <c r="F58" s="361"/>
      <c r="G58" s="363"/>
      <c r="H58" s="363"/>
      <c r="I58" s="374"/>
      <c r="J58" s="374"/>
      <c r="K58" s="374"/>
      <c r="L58" s="374"/>
      <c r="M58" s="374"/>
      <c r="N58" s="365"/>
      <c r="O58" s="366"/>
      <c r="P58" s="366"/>
      <c r="Q58" s="367"/>
      <c r="R58" s="368"/>
      <c r="S58" s="368"/>
      <c r="T58" s="368"/>
      <c r="U58" s="369"/>
      <c r="V58" s="365"/>
      <c r="W58" s="370"/>
      <c r="X58" s="373"/>
      <c r="Y58" s="471">
        <f t="shared" si="16"/>
        <v>0</v>
      </c>
      <c r="Z58" s="471">
        <f t="shared" si="17"/>
        <v>0</v>
      </c>
    </row>
    <row r="59" spans="1:26" s="510" customFormat="1" ht="9.9499999999999993" customHeight="1" x14ac:dyDescent="0.2">
      <c r="A59" s="508">
        <f t="shared" si="18"/>
        <v>5</v>
      </c>
      <c r="B59" s="360"/>
      <c r="C59" s="445" t="str">
        <f t="shared" si="19"/>
        <v/>
      </c>
      <c r="D59" s="446" t="str">
        <f t="shared" si="20"/>
        <v/>
      </c>
      <c r="E59" s="444" t="str">
        <f t="shared" si="21"/>
        <v/>
      </c>
      <c r="F59" s="361"/>
      <c r="G59" s="363"/>
      <c r="H59" s="363"/>
      <c r="I59" s="372"/>
      <c r="J59" s="372"/>
      <c r="K59" s="372"/>
      <c r="L59" s="372"/>
      <c r="M59" s="372"/>
      <c r="N59" s="365"/>
      <c r="O59" s="366"/>
      <c r="P59" s="366"/>
      <c r="Q59" s="367"/>
      <c r="R59" s="368"/>
      <c r="S59" s="368"/>
      <c r="T59" s="368"/>
      <c r="U59" s="369"/>
      <c r="V59" s="365"/>
      <c r="W59" s="370"/>
      <c r="X59" s="373"/>
      <c r="Y59" s="471">
        <f t="shared" si="16"/>
        <v>0</v>
      </c>
      <c r="Z59" s="471">
        <f t="shared" si="17"/>
        <v>0</v>
      </c>
    </row>
    <row r="60" spans="1:26" s="510" customFormat="1" ht="9.9499999999999993" customHeight="1" x14ac:dyDescent="0.2">
      <c r="A60" s="508">
        <f t="shared" si="18"/>
        <v>6</v>
      </c>
      <c r="B60" s="360"/>
      <c r="C60" s="445" t="str">
        <f t="shared" si="19"/>
        <v/>
      </c>
      <c r="D60" s="446" t="str">
        <f t="shared" si="20"/>
        <v/>
      </c>
      <c r="E60" s="444" t="str">
        <f t="shared" si="21"/>
        <v/>
      </c>
      <c r="F60" s="361"/>
      <c r="G60" s="363"/>
      <c r="H60" s="363"/>
      <c r="I60" s="372"/>
      <c r="J60" s="372"/>
      <c r="K60" s="372"/>
      <c r="L60" s="372"/>
      <c r="M60" s="372"/>
      <c r="N60" s="365"/>
      <c r="O60" s="366"/>
      <c r="P60" s="366"/>
      <c r="Q60" s="367"/>
      <c r="R60" s="368"/>
      <c r="S60" s="368"/>
      <c r="T60" s="368"/>
      <c r="U60" s="369"/>
      <c r="V60" s="365"/>
      <c r="W60" s="370"/>
      <c r="X60" s="373"/>
      <c r="Y60" s="471">
        <f t="shared" si="16"/>
        <v>0</v>
      </c>
      <c r="Z60" s="471">
        <f t="shared" si="17"/>
        <v>0</v>
      </c>
    </row>
    <row r="61" spans="1:26" s="510" customFormat="1" ht="9.9499999999999993" customHeight="1" x14ac:dyDescent="0.2">
      <c r="A61" s="508">
        <f t="shared" si="18"/>
        <v>7</v>
      </c>
      <c r="B61" s="360"/>
      <c r="C61" s="445" t="str">
        <f t="shared" si="19"/>
        <v/>
      </c>
      <c r="D61" s="446" t="str">
        <f t="shared" si="20"/>
        <v/>
      </c>
      <c r="E61" s="444" t="str">
        <f t="shared" si="21"/>
        <v/>
      </c>
      <c r="F61" s="361"/>
      <c r="G61" s="363"/>
      <c r="H61" s="363"/>
      <c r="I61" s="372"/>
      <c r="J61" s="372"/>
      <c r="K61" s="372"/>
      <c r="L61" s="372"/>
      <c r="M61" s="372"/>
      <c r="N61" s="365"/>
      <c r="O61" s="366"/>
      <c r="P61" s="366"/>
      <c r="Q61" s="367"/>
      <c r="R61" s="368"/>
      <c r="S61" s="368"/>
      <c r="T61" s="368"/>
      <c r="U61" s="369"/>
      <c r="V61" s="365"/>
      <c r="W61" s="370"/>
      <c r="X61" s="373"/>
      <c r="Y61" s="471">
        <f t="shared" si="16"/>
        <v>0</v>
      </c>
      <c r="Z61" s="471">
        <f t="shared" si="17"/>
        <v>0</v>
      </c>
    </row>
    <row r="62" spans="1:26" s="510" customFormat="1" ht="9.9499999999999993" customHeight="1" x14ac:dyDescent="0.2">
      <c r="A62" s="508">
        <f t="shared" si="18"/>
        <v>8</v>
      </c>
      <c r="B62" s="360"/>
      <c r="C62" s="445" t="str">
        <f t="shared" si="19"/>
        <v/>
      </c>
      <c r="D62" s="446" t="str">
        <f t="shared" si="20"/>
        <v/>
      </c>
      <c r="E62" s="444" t="str">
        <f t="shared" si="21"/>
        <v/>
      </c>
      <c r="F62" s="361"/>
      <c r="G62" s="363"/>
      <c r="H62" s="363"/>
      <c r="I62" s="372"/>
      <c r="J62" s="372"/>
      <c r="K62" s="372"/>
      <c r="L62" s="372"/>
      <c r="M62" s="372"/>
      <c r="N62" s="365"/>
      <c r="O62" s="366"/>
      <c r="P62" s="366"/>
      <c r="Q62" s="367"/>
      <c r="R62" s="368"/>
      <c r="S62" s="368"/>
      <c r="T62" s="368"/>
      <c r="U62" s="369"/>
      <c r="V62" s="365"/>
      <c r="W62" s="370"/>
      <c r="X62" s="373"/>
      <c r="Y62" s="471">
        <f t="shared" si="16"/>
        <v>0</v>
      </c>
      <c r="Z62" s="471">
        <f t="shared" si="17"/>
        <v>0</v>
      </c>
    </row>
    <row r="63" spans="1:26" s="510" customFormat="1" ht="9.9499999999999993" customHeight="1" x14ac:dyDescent="0.2">
      <c r="A63" s="508">
        <f t="shared" si="18"/>
        <v>9</v>
      </c>
      <c r="B63" s="360"/>
      <c r="C63" s="445" t="str">
        <f t="shared" si="19"/>
        <v/>
      </c>
      <c r="D63" s="446" t="str">
        <f t="shared" si="20"/>
        <v/>
      </c>
      <c r="E63" s="444" t="str">
        <f t="shared" si="21"/>
        <v/>
      </c>
      <c r="F63" s="361"/>
      <c r="G63" s="363"/>
      <c r="H63" s="363"/>
      <c r="I63" s="372"/>
      <c r="J63" s="372"/>
      <c r="K63" s="372"/>
      <c r="L63" s="372"/>
      <c r="M63" s="372"/>
      <c r="N63" s="365"/>
      <c r="O63" s="366"/>
      <c r="P63" s="366"/>
      <c r="Q63" s="367"/>
      <c r="R63" s="368"/>
      <c r="S63" s="368"/>
      <c r="T63" s="368"/>
      <c r="U63" s="369"/>
      <c r="V63" s="365"/>
      <c r="W63" s="370"/>
      <c r="X63" s="373"/>
      <c r="Y63" s="471">
        <f t="shared" si="16"/>
        <v>0</v>
      </c>
      <c r="Z63" s="471">
        <f t="shared" si="17"/>
        <v>0</v>
      </c>
    </row>
    <row r="64" spans="1:26" s="510" customFormat="1" ht="9.9499999999999993" customHeight="1" x14ac:dyDescent="0.2">
      <c r="A64" s="508">
        <f t="shared" si="18"/>
        <v>10</v>
      </c>
      <c r="B64" s="360"/>
      <c r="C64" s="445" t="str">
        <f t="shared" si="19"/>
        <v/>
      </c>
      <c r="D64" s="446" t="str">
        <f t="shared" si="20"/>
        <v/>
      </c>
      <c r="E64" s="444" t="str">
        <f t="shared" si="21"/>
        <v/>
      </c>
      <c r="F64" s="361"/>
      <c r="G64" s="363"/>
      <c r="H64" s="363"/>
      <c r="I64" s="372"/>
      <c r="J64" s="372"/>
      <c r="K64" s="372"/>
      <c r="L64" s="372"/>
      <c r="M64" s="372"/>
      <c r="N64" s="365"/>
      <c r="O64" s="366"/>
      <c r="P64" s="366"/>
      <c r="Q64" s="367"/>
      <c r="R64" s="368"/>
      <c r="S64" s="368"/>
      <c r="T64" s="368"/>
      <c r="U64" s="369"/>
      <c r="V64" s="365"/>
      <c r="W64" s="370"/>
      <c r="X64" s="373"/>
      <c r="Y64" s="471">
        <f t="shared" si="16"/>
        <v>0</v>
      </c>
      <c r="Z64" s="471">
        <f t="shared" si="17"/>
        <v>0</v>
      </c>
    </row>
    <row r="65" spans="1:26" s="510" customFormat="1" ht="9.9499999999999993" customHeight="1" x14ac:dyDescent="0.2">
      <c r="A65" s="508">
        <f t="shared" si="18"/>
        <v>11</v>
      </c>
      <c r="B65" s="360"/>
      <c r="C65" s="445" t="str">
        <f t="shared" si="19"/>
        <v/>
      </c>
      <c r="D65" s="446" t="str">
        <f t="shared" si="20"/>
        <v/>
      </c>
      <c r="E65" s="444" t="str">
        <f t="shared" si="21"/>
        <v/>
      </c>
      <c r="F65" s="361"/>
      <c r="G65" s="363"/>
      <c r="H65" s="363"/>
      <c r="I65" s="372"/>
      <c r="J65" s="372"/>
      <c r="K65" s="372"/>
      <c r="L65" s="372"/>
      <c r="M65" s="372"/>
      <c r="N65" s="365"/>
      <c r="O65" s="366"/>
      <c r="P65" s="366"/>
      <c r="Q65" s="367"/>
      <c r="R65" s="368"/>
      <c r="S65" s="368"/>
      <c r="T65" s="368"/>
      <c r="U65" s="369"/>
      <c r="V65" s="365"/>
      <c r="W65" s="370"/>
      <c r="X65" s="373"/>
      <c r="Y65" s="471">
        <f t="shared" si="16"/>
        <v>0</v>
      </c>
      <c r="Z65" s="471">
        <f t="shared" si="17"/>
        <v>0</v>
      </c>
    </row>
    <row r="66" spans="1:26" s="510" customFormat="1" ht="9.9499999999999993" customHeight="1" x14ac:dyDescent="0.2">
      <c r="A66" s="508">
        <f t="shared" si="18"/>
        <v>12</v>
      </c>
      <c r="B66" s="398"/>
      <c r="C66" s="445" t="str">
        <f t="shared" si="19"/>
        <v/>
      </c>
      <c r="D66" s="446" t="str">
        <f t="shared" si="20"/>
        <v/>
      </c>
      <c r="E66" s="444" t="str">
        <f t="shared" si="21"/>
        <v/>
      </c>
      <c r="F66" s="375"/>
      <c r="G66" s="362"/>
      <c r="H66" s="362"/>
      <c r="I66" s="364"/>
      <c r="J66" s="364"/>
      <c r="K66" s="364"/>
      <c r="L66" s="364"/>
      <c r="M66" s="364"/>
      <c r="N66" s="365"/>
      <c r="O66" s="366"/>
      <c r="P66" s="366"/>
      <c r="Q66" s="376"/>
      <c r="R66" s="377"/>
      <c r="S66" s="377"/>
      <c r="T66" s="377"/>
      <c r="U66" s="378"/>
      <c r="V66" s="379"/>
      <c r="W66" s="380"/>
      <c r="X66" s="373"/>
      <c r="Y66" s="471">
        <f t="shared" si="16"/>
        <v>0</v>
      </c>
      <c r="Z66" s="471">
        <f t="shared" si="17"/>
        <v>0</v>
      </c>
    </row>
    <row r="67" spans="1:26" s="510" customFormat="1" ht="9.9499999999999993" customHeight="1" x14ac:dyDescent="0.2">
      <c r="A67" s="508">
        <f t="shared" si="18"/>
        <v>13</v>
      </c>
      <c r="B67" s="399"/>
      <c r="C67" s="445" t="str">
        <f t="shared" si="19"/>
        <v/>
      </c>
      <c r="D67" s="446" t="str">
        <f t="shared" si="20"/>
        <v/>
      </c>
      <c r="E67" s="444" t="str">
        <f t="shared" si="21"/>
        <v/>
      </c>
      <c r="F67" s="361"/>
      <c r="G67" s="363"/>
      <c r="H67" s="363"/>
      <c r="I67" s="372"/>
      <c r="J67" s="372"/>
      <c r="K67" s="372"/>
      <c r="L67" s="372"/>
      <c r="M67" s="372"/>
      <c r="N67" s="365"/>
      <c r="O67" s="366"/>
      <c r="P67" s="366"/>
      <c r="Q67" s="367"/>
      <c r="R67" s="368"/>
      <c r="S67" s="368"/>
      <c r="T67" s="368"/>
      <c r="U67" s="369"/>
      <c r="V67" s="365"/>
      <c r="W67" s="370"/>
      <c r="X67" s="373"/>
      <c r="Y67" s="471">
        <f t="shared" si="16"/>
        <v>0</v>
      </c>
      <c r="Z67" s="471">
        <f t="shared" si="17"/>
        <v>0</v>
      </c>
    </row>
    <row r="68" spans="1:26" s="510" customFormat="1" ht="9.9499999999999993" customHeight="1" x14ac:dyDescent="0.2">
      <c r="A68" s="508">
        <f t="shared" si="18"/>
        <v>14</v>
      </c>
      <c r="B68" s="399"/>
      <c r="C68" s="445" t="str">
        <f t="shared" si="19"/>
        <v/>
      </c>
      <c r="D68" s="446" t="str">
        <f t="shared" si="20"/>
        <v/>
      </c>
      <c r="E68" s="444" t="str">
        <f t="shared" si="21"/>
        <v/>
      </c>
      <c r="F68" s="361"/>
      <c r="G68" s="363"/>
      <c r="H68" s="363"/>
      <c r="I68" s="374"/>
      <c r="J68" s="374"/>
      <c r="K68" s="374"/>
      <c r="L68" s="374"/>
      <c r="M68" s="374"/>
      <c r="N68" s="365"/>
      <c r="O68" s="366"/>
      <c r="P68" s="366"/>
      <c r="Q68" s="367"/>
      <c r="R68" s="368"/>
      <c r="S68" s="368"/>
      <c r="T68" s="368"/>
      <c r="U68" s="369"/>
      <c r="V68" s="365"/>
      <c r="W68" s="370"/>
      <c r="X68" s="373"/>
      <c r="Y68" s="471">
        <f t="shared" si="16"/>
        <v>0</v>
      </c>
      <c r="Z68" s="471">
        <f t="shared" si="17"/>
        <v>0</v>
      </c>
    </row>
    <row r="69" spans="1:26" s="510" customFormat="1" ht="9.9499999999999993" customHeight="1" x14ac:dyDescent="0.2">
      <c r="A69" s="508">
        <f t="shared" si="18"/>
        <v>15</v>
      </c>
      <c r="B69" s="399"/>
      <c r="C69" s="445" t="str">
        <f t="shared" si="19"/>
        <v/>
      </c>
      <c r="D69" s="446" t="str">
        <f t="shared" si="20"/>
        <v/>
      </c>
      <c r="E69" s="444" t="str">
        <f t="shared" si="21"/>
        <v/>
      </c>
      <c r="F69" s="361"/>
      <c r="G69" s="363"/>
      <c r="H69" s="363"/>
      <c r="I69" s="374"/>
      <c r="J69" s="374"/>
      <c r="K69" s="374"/>
      <c r="L69" s="374"/>
      <c r="M69" s="374"/>
      <c r="N69" s="365"/>
      <c r="O69" s="366"/>
      <c r="P69" s="366"/>
      <c r="Q69" s="367"/>
      <c r="R69" s="368"/>
      <c r="S69" s="368"/>
      <c r="T69" s="368"/>
      <c r="U69" s="369"/>
      <c r="V69" s="365"/>
      <c r="W69" s="370"/>
      <c r="X69" s="373"/>
      <c r="Y69" s="471">
        <f t="shared" si="16"/>
        <v>0</v>
      </c>
      <c r="Z69" s="471">
        <f t="shared" si="17"/>
        <v>0</v>
      </c>
    </row>
    <row r="70" spans="1:26" s="510" customFormat="1" ht="9.9499999999999993" customHeight="1" x14ac:dyDescent="0.2">
      <c r="A70" s="508">
        <f t="shared" si="18"/>
        <v>16</v>
      </c>
      <c r="B70" s="399"/>
      <c r="C70" s="445" t="str">
        <f t="shared" si="19"/>
        <v/>
      </c>
      <c r="D70" s="446" t="str">
        <f t="shared" si="20"/>
        <v/>
      </c>
      <c r="E70" s="444" t="str">
        <f t="shared" si="21"/>
        <v/>
      </c>
      <c r="F70" s="361"/>
      <c r="G70" s="363"/>
      <c r="H70" s="363"/>
      <c r="I70" s="372"/>
      <c r="J70" s="372"/>
      <c r="K70" s="372"/>
      <c r="L70" s="372"/>
      <c r="M70" s="372"/>
      <c r="N70" s="365"/>
      <c r="O70" s="366"/>
      <c r="P70" s="366"/>
      <c r="Q70" s="367"/>
      <c r="R70" s="368"/>
      <c r="S70" s="368"/>
      <c r="T70" s="368"/>
      <c r="U70" s="369"/>
      <c r="V70" s="365"/>
      <c r="W70" s="370"/>
      <c r="X70" s="373"/>
      <c r="Y70" s="471">
        <f t="shared" si="16"/>
        <v>0</v>
      </c>
      <c r="Z70" s="471">
        <f t="shared" si="17"/>
        <v>0</v>
      </c>
    </row>
    <row r="71" spans="1:26" s="510" customFormat="1" ht="9.9499999999999993" customHeight="1" x14ac:dyDescent="0.2">
      <c r="A71" s="508">
        <f t="shared" si="18"/>
        <v>17</v>
      </c>
      <c r="B71" s="399"/>
      <c r="C71" s="445" t="str">
        <f t="shared" si="19"/>
        <v/>
      </c>
      <c r="D71" s="446" t="str">
        <f t="shared" si="20"/>
        <v/>
      </c>
      <c r="E71" s="444" t="str">
        <f t="shared" si="21"/>
        <v/>
      </c>
      <c r="F71" s="361"/>
      <c r="G71" s="363"/>
      <c r="H71" s="363"/>
      <c r="I71" s="372"/>
      <c r="J71" s="372"/>
      <c r="K71" s="372"/>
      <c r="L71" s="372"/>
      <c r="M71" s="372"/>
      <c r="N71" s="365"/>
      <c r="O71" s="366"/>
      <c r="P71" s="366"/>
      <c r="Q71" s="367"/>
      <c r="R71" s="368"/>
      <c r="S71" s="368"/>
      <c r="T71" s="368"/>
      <c r="U71" s="369"/>
      <c r="V71" s="365"/>
      <c r="W71" s="370"/>
      <c r="X71" s="373"/>
      <c r="Y71" s="471">
        <f t="shared" si="16"/>
        <v>0</v>
      </c>
      <c r="Z71" s="471">
        <f t="shared" si="17"/>
        <v>0</v>
      </c>
    </row>
    <row r="72" spans="1:26" s="510" customFormat="1" ht="9.9499999999999993" customHeight="1" x14ac:dyDescent="0.2">
      <c r="A72" s="508">
        <f t="shared" si="18"/>
        <v>18</v>
      </c>
      <c r="B72" s="399"/>
      <c r="C72" s="445" t="str">
        <f t="shared" si="19"/>
        <v/>
      </c>
      <c r="D72" s="446" t="str">
        <f t="shared" si="20"/>
        <v/>
      </c>
      <c r="E72" s="444" t="str">
        <f t="shared" si="21"/>
        <v/>
      </c>
      <c r="F72" s="361"/>
      <c r="G72" s="363"/>
      <c r="H72" s="363"/>
      <c r="I72" s="372"/>
      <c r="J72" s="372"/>
      <c r="K72" s="372"/>
      <c r="L72" s="372"/>
      <c r="M72" s="372"/>
      <c r="N72" s="365"/>
      <c r="O72" s="366"/>
      <c r="P72" s="366"/>
      <c r="Q72" s="367"/>
      <c r="R72" s="368"/>
      <c r="S72" s="368"/>
      <c r="T72" s="368"/>
      <c r="U72" s="369"/>
      <c r="V72" s="365"/>
      <c r="W72" s="370"/>
      <c r="X72" s="373"/>
      <c r="Y72" s="471">
        <f t="shared" si="16"/>
        <v>0</v>
      </c>
      <c r="Z72" s="471">
        <f t="shared" si="17"/>
        <v>0</v>
      </c>
    </row>
    <row r="73" spans="1:26" s="510" customFormat="1" ht="9.9499999999999993" customHeight="1" x14ac:dyDescent="0.2">
      <c r="A73" s="508">
        <f t="shared" si="18"/>
        <v>19</v>
      </c>
      <c r="B73" s="399"/>
      <c r="C73" s="445" t="str">
        <f t="shared" si="19"/>
        <v/>
      </c>
      <c r="D73" s="446" t="str">
        <f t="shared" si="20"/>
        <v/>
      </c>
      <c r="E73" s="444" t="str">
        <f t="shared" si="21"/>
        <v/>
      </c>
      <c r="F73" s="361"/>
      <c r="G73" s="363"/>
      <c r="H73" s="363"/>
      <c r="I73" s="372"/>
      <c r="J73" s="372"/>
      <c r="K73" s="372"/>
      <c r="L73" s="372"/>
      <c r="M73" s="372"/>
      <c r="N73" s="365"/>
      <c r="O73" s="366"/>
      <c r="P73" s="366"/>
      <c r="Q73" s="367"/>
      <c r="R73" s="368"/>
      <c r="S73" s="368"/>
      <c r="T73" s="368"/>
      <c r="U73" s="369"/>
      <c r="V73" s="365"/>
      <c r="W73" s="370"/>
      <c r="X73" s="373"/>
      <c r="Y73" s="471">
        <f t="shared" si="16"/>
        <v>0</v>
      </c>
      <c r="Z73" s="471">
        <f t="shared" si="17"/>
        <v>0</v>
      </c>
    </row>
    <row r="74" spans="1:26" s="510" customFormat="1" ht="9.9499999999999993" customHeight="1" x14ac:dyDescent="0.2">
      <c r="A74" s="508">
        <f t="shared" si="18"/>
        <v>20</v>
      </c>
      <c r="B74" s="360"/>
      <c r="C74" s="445" t="str">
        <f t="shared" si="19"/>
        <v/>
      </c>
      <c r="D74" s="446" t="str">
        <f t="shared" si="20"/>
        <v/>
      </c>
      <c r="E74" s="444" t="str">
        <f t="shared" si="21"/>
        <v/>
      </c>
      <c r="F74" s="361"/>
      <c r="G74" s="363"/>
      <c r="H74" s="363"/>
      <c r="I74" s="372"/>
      <c r="J74" s="372"/>
      <c r="K74" s="372"/>
      <c r="L74" s="372"/>
      <c r="M74" s="372"/>
      <c r="N74" s="365"/>
      <c r="O74" s="366"/>
      <c r="P74" s="366"/>
      <c r="Q74" s="367"/>
      <c r="R74" s="368"/>
      <c r="S74" s="368"/>
      <c r="T74" s="368"/>
      <c r="U74" s="369"/>
      <c r="V74" s="365"/>
      <c r="W74" s="370"/>
      <c r="X74" s="373"/>
      <c r="Y74" s="471">
        <f t="shared" si="16"/>
        <v>0</v>
      </c>
      <c r="Z74" s="471">
        <f t="shared" si="17"/>
        <v>0</v>
      </c>
    </row>
    <row r="75" spans="1:26" s="510" customFormat="1" ht="9.9499999999999993" customHeight="1" x14ac:dyDescent="0.2">
      <c r="A75" s="508">
        <f t="shared" si="18"/>
        <v>21</v>
      </c>
      <c r="B75" s="360"/>
      <c r="C75" s="445" t="str">
        <f t="shared" si="19"/>
        <v/>
      </c>
      <c r="D75" s="446" t="str">
        <f t="shared" si="20"/>
        <v/>
      </c>
      <c r="E75" s="444" t="str">
        <f t="shared" si="21"/>
        <v/>
      </c>
      <c r="F75" s="361"/>
      <c r="G75" s="363"/>
      <c r="H75" s="363"/>
      <c r="I75" s="372"/>
      <c r="J75" s="372"/>
      <c r="K75" s="372"/>
      <c r="L75" s="372"/>
      <c r="M75" s="372"/>
      <c r="N75" s="365"/>
      <c r="O75" s="366"/>
      <c r="P75" s="366"/>
      <c r="Q75" s="367"/>
      <c r="R75" s="368"/>
      <c r="S75" s="368"/>
      <c r="T75" s="368"/>
      <c r="U75" s="369"/>
      <c r="V75" s="365"/>
      <c r="W75" s="370"/>
      <c r="X75" s="373"/>
      <c r="Y75" s="471">
        <f t="shared" si="16"/>
        <v>0</v>
      </c>
      <c r="Z75" s="471">
        <f t="shared" si="17"/>
        <v>0</v>
      </c>
    </row>
    <row r="76" spans="1:26" s="510" customFormat="1" ht="9.9499999999999993" customHeight="1" x14ac:dyDescent="0.2">
      <c r="A76" s="508">
        <f t="shared" si="18"/>
        <v>22</v>
      </c>
      <c r="B76" s="360"/>
      <c r="C76" s="445" t="str">
        <f t="shared" si="19"/>
        <v/>
      </c>
      <c r="D76" s="446" t="str">
        <f t="shared" si="20"/>
        <v/>
      </c>
      <c r="E76" s="444" t="str">
        <f t="shared" si="21"/>
        <v/>
      </c>
      <c r="F76" s="361"/>
      <c r="G76" s="363"/>
      <c r="H76" s="363"/>
      <c r="I76" s="372"/>
      <c r="J76" s="372"/>
      <c r="K76" s="372"/>
      <c r="L76" s="372"/>
      <c r="M76" s="372"/>
      <c r="N76" s="365"/>
      <c r="O76" s="366"/>
      <c r="P76" s="366"/>
      <c r="Q76" s="367"/>
      <c r="R76" s="368"/>
      <c r="S76" s="368"/>
      <c r="T76" s="368"/>
      <c r="U76" s="369"/>
      <c r="V76" s="365"/>
      <c r="W76" s="370"/>
      <c r="X76" s="373"/>
      <c r="Y76" s="471">
        <f t="shared" si="16"/>
        <v>0</v>
      </c>
      <c r="Z76" s="471">
        <f t="shared" si="17"/>
        <v>0</v>
      </c>
    </row>
    <row r="77" spans="1:26" s="510" customFormat="1" ht="9.9499999999999993" customHeight="1" x14ac:dyDescent="0.2">
      <c r="A77" s="508">
        <f t="shared" si="18"/>
        <v>23</v>
      </c>
      <c r="B77" s="360"/>
      <c r="C77" s="445" t="str">
        <f t="shared" si="19"/>
        <v/>
      </c>
      <c r="D77" s="446" t="str">
        <f t="shared" si="20"/>
        <v/>
      </c>
      <c r="E77" s="444" t="str">
        <f t="shared" si="21"/>
        <v/>
      </c>
      <c r="F77" s="361"/>
      <c r="G77" s="363"/>
      <c r="H77" s="363"/>
      <c r="I77" s="372"/>
      <c r="J77" s="372"/>
      <c r="K77" s="372"/>
      <c r="L77" s="372"/>
      <c r="M77" s="372"/>
      <c r="N77" s="365"/>
      <c r="O77" s="366"/>
      <c r="P77" s="366"/>
      <c r="Q77" s="367"/>
      <c r="R77" s="368"/>
      <c r="S77" s="368"/>
      <c r="T77" s="368"/>
      <c r="U77" s="369"/>
      <c r="V77" s="365"/>
      <c r="W77" s="370"/>
      <c r="X77" s="373"/>
      <c r="Y77" s="471">
        <f t="shared" si="16"/>
        <v>0</v>
      </c>
      <c r="Z77" s="471">
        <f t="shared" si="17"/>
        <v>0</v>
      </c>
    </row>
    <row r="78" spans="1:26" s="510" customFormat="1" ht="9.9499999999999993" customHeight="1" x14ac:dyDescent="0.2">
      <c r="A78" s="508">
        <f t="shared" si="18"/>
        <v>24</v>
      </c>
      <c r="B78" s="360"/>
      <c r="C78" s="445" t="str">
        <f t="shared" si="19"/>
        <v/>
      </c>
      <c r="D78" s="446" t="str">
        <f t="shared" si="20"/>
        <v/>
      </c>
      <c r="E78" s="444" t="str">
        <f t="shared" si="21"/>
        <v/>
      </c>
      <c r="F78" s="361"/>
      <c r="G78" s="363"/>
      <c r="H78" s="363"/>
      <c r="I78" s="372"/>
      <c r="J78" s="372"/>
      <c r="K78" s="372"/>
      <c r="L78" s="372"/>
      <c r="M78" s="372"/>
      <c r="N78" s="365"/>
      <c r="O78" s="366"/>
      <c r="P78" s="366"/>
      <c r="Q78" s="367"/>
      <c r="R78" s="368"/>
      <c r="S78" s="368"/>
      <c r="T78" s="368"/>
      <c r="U78" s="369"/>
      <c r="V78" s="365"/>
      <c r="W78" s="370"/>
      <c r="X78" s="373"/>
      <c r="Y78" s="471">
        <f t="shared" si="16"/>
        <v>0</v>
      </c>
      <c r="Z78" s="471">
        <f t="shared" si="17"/>
        <v>0</v>
      </c>
    </row>
    <row r="79" spans="1:26" s="510" customFormat="1" ht="9.9499999999999993" customHeight="1" x14ac:dyDescent="0.2">
      <c r="A79" s="508">
        <f t="shared" si="18"/>
        <v>25</v>
      </c>
      <c r="B79" s="360"/>
      <c r="C79" s="445" t="str">
        <f t="shared" si="19"/>
        <v/>
      </c>
      <c r="D79" s="446" t="str">
        <f t="shared" si="20"/>
        <v/>
      </c>
      <c r="E79" s="444" t="str">
        <f t="shared" si="21"/>
        <v/>
      </c>
      <c r="F79" s="361"/>
      <c r="G79" s="363"/>
      <c r="H79" s="363"/>
      <c r="I79" s="372"/>
      <c r="J79" s="372"/>
      <c r="K79" s="372"/>
      <c r="L79" s="372"/>
      <c r="M79" s="372"/>
      <c r="N79" s="365"/>
      <c r="O79" s="366"/>
      <c r="P79" s="366"/>
      <c r="Q79" s="367"/>
      <c r="R79" s="368"/>
      <c r="S79" s="368"/>
      <c r="T79" s="368"/>
      <c r="U79" s="369"/>
      <c r="V79" s="365"/>
      <c r="W79" s="370"/>
      <c r="X79" s="373"/>
      <c r="Y79" s="471">
        <f t="shared" si="16"/>
        <v>0</v>
      </c>
      <c r="Z79" s="471">
        <f t="shared" si="17"/>
        <v>0</v>
      </c>
    </row>
    <row r="80" spans="1:26" s="510" customFormat="1" ht="9.9499999999999993" customHeight="1" x14ac:dyDescent="0.2">
      <c r="A80" s="508">
        <f t="shared" si="18"/>
        <v>26</v>
      </c>
      <c r="B80" s="360"/>
      <c r="C80" s="445" t="str">
        <f t="shared" si="19"/>
        <v/>
      </c>
      <c r="D80" s="446" t="str">
        <f t="shared" si="20"/>
        <v/>
      </c>
      <c r="E80" s="444" t="str">
        <f t="shared" si="21"/>
        <v/>
      </c>
      <c r="F80" s="361"/>
      <c r="G80" s="363"/>
      <c r="H80" s="363"/>
      <c r="I80" s="372"/>
      <c r="J80" s="372"/>
      <c r="K80" s="372"/>
      <c r="L80" s="372"/>
      <c r="M80" s="372"/>
      <c r="N80" s="365"/>
      <c r="O80" s="366"/>
      <c r="P80" s="366"/>
      <c r="Q80" s="367"/>
      <c r="R80" s="368"/>
      <c r="S80" s="368"/>
      <c r="T80" s="368"/>
      <c r="U80" s="369"/>
      <c r="V80" s="365"/>
      <c r="W80" s="370"/>
      <c r="X80" s="373"/>
      <c r="Y80" s="471">
        <f t="shared" si="16"/>
        <v>0</v>
      </c>
      <c r="Z80" s="471">
        <f t="shared" si="17"/>
        <v>0</v>
      </c>
    </row>
    <row r="81" spans="1:26" s="510" customFormat="1" ht="9.9499999999999993" customHeight="1" x14ac:dyDescent="0.2">
      <c r="A81" s="508">
        <f t="shared" si="18"/>
        <v>27</v>
      </c>
      <c r="B81" s="360"/>
      <c r="C81" s="445" t="str">
        <f t="shared" si="19"/>
        <v/>
      </c>
      <c r="D81" s="446" t="str">
        <f t="shared" si="20"/>
        <v/>
      </c>
      <c r="E81" s="444" t="str">
        <f t="shared" si="21"/>
        <v/>
      </c>
      <c r="F81" s="361"/>
      <c r="G81" s="363"/>
      <c r="H81" s="363"/>
      <c r="I81" s="372"/>
      <c r="J81" s="372"/>
      <c r="K81" s="372"/>
      <c r="L81" s="372"/>
      <c r="M81" s="372"/>
      <c r="N81" s="365"/>
      <c r="O81" s="366"/>
      <c r="P81" s="366"/>
      <c r="Q81" s="367"/>
      <c r="R81" s="368"/>
      <c r="S81" s="368"/>
      <c r="T81" s="368"/>
      <c r="U81" s="369"/>
      <c r="V81" s="365"/>
      <c r="W81" s="370"/>
      <c r="X81" s="373"/>
      <c r="Y81" s="471">
        <f t="shared" si="16"/>
        <v>0</v>
      </c>
      <c r="Z81" s="471">
        <f t="shared" si="17"/>
        <v>0</v>
      </c>
    </row>
    <row r="82" spans="1:26" s="510" customFormat="1" ht="9.9499999999999993" customHeight="1" x14ac:dyDescent="0.2">
      <c r="A82" s="508">
        <f t="shared" si="18"/>
        <v>28</v>
      </c>
      <c r="B82" s="360"/>
      <c r="C82" s="445" t="str">
        <f t="shared" si="19"/>
        <v/>
      </c>
      <c r="D82" s="446" t="str">
        <f t="shared" si="20"/>
        <v/>
      </c>
      <c r="E82" s="444" t="str">
        <f t="shared" si="21"/>
        <v/>
      </c>
      <c r="F82" s="361"/>
      <c r="G82" s="363"/>
      <c r="H82" s="363"/>
      <c r="I82" s="372"/>
      <c r="J82" s="372"/>
      <c r="K82" s="372"/>
      <c r="L82" s="372"/>
      <c r="M82" s="372"/>
      <c r="N82" s="365"/>
      <c r="O82" s="366"/>
      <c r="P82" s="366"/>
      <c r="Q82" s="367"/>
      <c r="R82" s="368"/>
      <c r="S82" s="368"/>
      <c r="T82" s="368"/>
      <c r="U82" s="369"/>
      <c r="V82" s="365"/>
      <c r="W82" s="370"/>
      <c r="X82" s="373"/>
      <c r="Y82" s="471">
        <f t="shared" si="16"/>
        <v>0</v>
      </c>
      <c r="Z82" s="471">
        <f t="shared" si="17"/>
        <v>0</v>
      </c>
    </row>
    <row r="83" spans="1:26" s="510" customFormat="1" ht="9.9499999999999993" customHeight="1" x14ac:dyDescent="0.2">
      <c r="A83" s="508">
        <f t="shared" si="18"/>
        <v>29</v>
      </c>
      <c r="B83" s="360"/>
      <c r="C83" s="445" t="str">
        <f t="shared" si="19"/>
        <v/>
      </c>
      <c r="D83" s="446" t="str">
        <f t="shared" si="20"/>
        <v/>
      </c>
      <c r="E83" s="444" t="str">
        <f t="shared" si="21"/>
        <v/>
      </c>
      <c r="F83" s="361"/>
      <c r="G83" s="363"/>
      <c r="H83" s="363"/>
      <c r="I83" s="372"/>
      <c r="J83" s="372"/>
      <c r="K83" s="372"/>
      <c r="L83" s="372"/>
      <c r="M83" s="372"/>
      <c r="N83" s="365"/>
      <c r="O83" s="366"/>
      <c r="P83" s="366"/>
      <c r="Q83" s="367"/>
      <c r="R83" s="368"/>
      <c r="S83" s="368"/>
      <c r="T83" s="368"/>
      <c r="U83" s="369"/>
      <c r="V83" s="365"/>
      <c r="W83" s="370"/>
      <c r="X83" s="373"/>
      <c r="Y83" s="471">
        <f t="shared" si="16"/>
        <v>0</v>
      </c>
      <c r="Z83" s="471">
        <f t="shared" si="17"/>
        <v>0</v>
      </c>
    </row>
    <row r="84" spans="1:26" s="510" customFormat="1" ht="9.9499999999999993" customHeight="1" x14ac:dyDescent="0.2">
      <c r="A84" s="508">
        <f t="shared" si="18"/>
        <v>30</v>
      </c>
      <c r="B84" s="360"/>
      <c r="C84" s="445" t="str">
        <f t="shared" si="19"/>
        <v/>
      </c>
      <c r="D84" s="446" t="str">
        <f t="shared" si="20"/>
        <v/>
      </c>
      <c r="E84" s="444" t="str">
        <f t="shared" si="21"/>
        <v/>
      </c>
      <c r="F84" s="361"/>
      <c r="G84" s="363"/>
      <c r="H84" s="363"/>
      <c r="I84" s="372"/>
      <c r="J84" s="372"/>
      <c r="K84" s="372"/>
      <c r="L84" s="372"/>
      <c r="M84" s="372"/>
      <c r="N84" s="365"/>
      <c r="O84" s="366"/>
      <c r="P84" s="366"/>
      <c r="Q84" s="367"/>
      <c r="R84" s="368"/>
      <c r="S84" s="368"/>
      <c r="T84" s="368"/>
      <c r="U84" s="369"/>
      <c r="V84" s="365"/>
      <c r="W84" s="370"/>
      <c r="X84" s="373"/>
      <c r="Y84" s="471">
        <f t="shared" si="16"/>
        <v>0</v>
      </c>
      <c r="Z84" s="471">
        <f t="shared" si="17"/>
        <v>0</v>
      </c>
    </row>
    <row r="85" spans="1:26" s="510" customFormat="1" ht="9.9499999999999993" customHeight="1" x14ac:dyDescent="0.2">
      <c r="A85" s="508">
        <f t="shared" si="18"/>
        <v>31</v>
      </c>
      <c r="B85" s="360"/>
      <c r="C85" s="445" t="str">
        <f t="shared" si="19"/>
        <v/>
      </c>
      <c r="D85" s="446" t="str">
        <f t="shared" si="20"/>
        <v/>
      </c>
      <c r="E85" s="444" t="str">
        <f t="shared" si="21"/>
        <v/>
      </c>
      <c r="F85" s="361"/>
      <c r="G85" s="363"/>
      <c r="H85" s="363"/>
      <c r="I85" s="372"/>
      <c r="J85" s="372"/>
      <c r="K85" s="372"/>
      <c r="L85" s="372"/>
      <c r="M85" s="372"/>
      <c r="N85" s="365"/>
      <c r="O85" s="366"/>
      <c r="P85" s="366"/>
      <c r="Q85" s="367"/>
      <c r="R85" s="368"/>
      <c r="S85" s="368"/>
      <c r="T85" s="368"/>
      <c r="U85" s="369"/>
      <c r="V85" s="365"/>
      <c r="W85" s="370"/>
      <c r="X85" s="373"/>
      <c r="Y85" s="471">
        <f t="shared" si="16"/>
        <v>0</v>
      </c>
      <c r="Z85" s="471">
        <f t="shared" si="17"/>
        <v>0</v>
      </c>
    </row>
    <row r="86" spans="1:26" s="510" customFormat="1" ht="9.9499999999999993" customHeight="1" x14ac:dyDescent="0.2">
      <c r="A86" s="508">
        <f t="shared" si="18"/>
        <v>32</v>
      </c>
      <c r="B86" s="360"/>
      <c r="C86" s="445" t="str">
        <f t="shared" si="19"/>
        <v/>
      </c>
      <c r="D86" s="446" t="str">
        <f t="shared" si="20"/>
        <v/>
      </c>
      <c r="E86" s="444" t="str">
        <f t="shared" si="21"/>
        <v/>
      </c>
      <c r="F86" s="361"/>
      <c r="G86" s="363"/>
      <c r="H86" s="363"/>
      <c r="I86" s="372"/>
      <c r="J86" s="372"/>
      <c r="K86" s="372"/>
      <c r="L86" s="372"/>
      <c r="M86" s="372"/>
      <c r="N86" s="365"/>
      <c r="O86" s="366"/>
      <c r="P86" s="366"/>
      <c r="Q86" s="367"/>
      <c r="R86" s="368"/>
      <c r="S86" s="368"/>
      <c r="T86" s="368"/>
      <c r="U86" s="369"/>
      <c r="V86" s="365"/>
      <c r="W86" s="370"/>
      <c r="X86" s="373"/>
      <c r="Y86" s="471">
        <f t="shared" si="16"/>
        <v>0</v>
      </c>
      <c r="Z86" s="471">
        <f t="shared" si="17"/>
        <v>0</v>
      </c>
    </row>
    <row r="87" spans="1:26" s="510" customFormat="1" ht="9.9499999999999993" customHeight="1" x14ac:dyDescent="0.2">
      <c r="A87" s="508">
        <f t="shared" si="18"/>
        <v>33</v>
      </c>
      <c r="B87" s="360"/>
      <c r="C87" s="445" t="str">
        <f t="shared" si="19"/>
        <v/>
      </c>
      <c r="D87" s="446" t="str">
        <f t="shared" si="20"/>
        <v/>
      </c>
      <c r="E87" s="444" t="str">
        <f>IF(B87&lt;&gt;"",#REF!+1,"")</f>
        <v/>
      </c>
      <c r="F87" s="361"/>
      <c r="G87" s="363"/>
      <c r="H87" s="363"/>
      <c r="I87" s="372"/>
      <c r="J87" s="372"/>
      <c r="K87" s="372"/>
      <c r="L87" s="372"/>
      <c r="M87" s="372"/>
      <c r="N87" s="365"/>
      <c r="O87" s="366"/>
      <c r="P87" s="366"/>
      <c r="Q87" s="367"/>
      <c r="R87" s="368"/>
      <c r="S87" s="368"/>
      <c r="T87" s="368"/>
      <c r="U87" s="369"/>
      <c r="V87" s="365"/>
      <c r="W87" s="370"/>
      <c r="X87" s="373"/>
      <c r="Y87" s="471">
        <f t="shared" si="16"/>
        <v>0</v>
      </c>
      <c r="Z87" s="471">
        <f t="shared" si="17"/>
        <v>0</v>
      </c>
    </row>
    <row r="88" spans="1:26" s="510" customFormat="1" ht="9.9499999999999993" customHeight="1" x14ac:dyDescent="0.2">
      <c r="A88" s="508">
        <f>A87+1</f>
        <v>34</v>
      </c>
      <c r="B88" s="360"/>
      <c r="C88" s="445" t="str">
        <f t="shared" si="19"/>
        <v/>
      </c>
      <c r="D88" s="446" t="str">
        <f t="shared" si="20"/>
        <v/>
      </c>
      <c r="E88" s="444" t="str">
        <f t="shared" ref="E88:E89" si="22">IF(B88&lt;&gt;"",E87+1,"")</f>
        <v/>
      </c>
      <c r="F88" s="361"/>
      <c r="G88" s="363"/>
      <c r="H88" s="363"/>
      <c r="I88" s="372"/>
      <c r="J88" s="372"/>
      <c r="K88" s="372"/>
      <c r="L88" s="372"/>
      <c r="M88" s="372"/>
      <c r="N88" s="365"/>
      <c r="O88" s="366"/>
      <c r="P88" s="366"/>
      <c r="Q88" s="367"/>
      <c r="R88" s="368"/>
      <c r="S88" s="368"/>
      <c r="T88" s="368"/>
      <c r="U88" s="369"/>
      <c r="V88" s="365"/>
      <c r="W88" s="370"/>
      <c r="X88" s="373"/>
      <c r="Y88" s="471">
        <f t="shared" si="16"/>
        <v>0</v>
      </c>
      <c r="Z88" s="471">
        <f t="shared" si="17"/>
        <v>0</v>
      </c>
    </row>
    <row r="89" spans="1:26" s="510" customFormat="1" ht="9.9499999999999993" customHeight="1" thickBot="1" x14ac:dyDescent="0.25">
      <c r="A89" s="508">
        <f t="shared" si="18"/>
        <v>35</v>
      </c>
      <c r="B89" s="400"/>
      <c r="C89" s="445" t="str">
        <f t="shared" si="19"/>
        <v/>
      </c>
      <c r="D89" s="446" t="str">
        <f t="shared" si="20"/>
        <v/>
      </c>
      <c r="E89" s="444" t="str">
        <f t="shared" si="22"/>
        <v/>
      </c>
      <c r="F89" s="381"/>
      <c r="G89" s="382"/>
      <c r="H89" s="382"/>
      <c r="I89" s="383"/>
      <c r="J89" s="383"/>
      <c r="K89" s="383"/>
      <c r="L89" s="383"/>
      <c r="M89" s="383"/>
      <c r="N89" s="384"/>
      <c r="O89" s="366"/>
      <c r="P89" s="366"/>
      <c r="Q89" s="385"/>
      <c r="R89" s="386"/>
      <c r="S89" s="386"/>
      <c r="T89" s="386"/>
      <c r="U89" s="387"/>
      <c r="V89" s="384"/>
      <c r="W89" s="384"/>
      <c r="X89" s="388"/>
      <c r="Y89" s="471">
        <f t="shared" si="16"/>
        <v>0</v>
      </c>
      <c r="Z89" s="471">
        <f t="shared" si="17"/>
        <v>0</v>
      </c>
    </row>
    <row r="90" spans="1:26" s="510" customFormat="1" ht="9.9499999999999993" customHeight="1" thickBot="1" x14ac:dyDescent="0.25">
      <c r="A90" s="511"/>
      <c r="B90" s="512" t="s">
        <v>66</v>
      </c>
      <c r="C90" s="513"/>
      <c r="D90" s="513"/>
      <c r="E90" s="513"/>
      <c r="F90" s="514"/>
      <c r="G90" s="515">
        <f ca="1">IF($N$193="",SUM(G55:G89),"")</f>
        <v>0</v>
      </c>
      <c r="H90" s="515">
        <f t="shared" ref="H90:M90" ca="1" si="23">IF($N$193="",SUM(H55:H89),"")</f>
        <v>0</v>
      </c>
      <c r="I90" s="515">
        <f t="shared" ca="1" si="23"/>
        <v>0</v>
      </c>
      <c r="J90" s="515">
        <f t="shared" ca="1" si="23"/>
        <v>0</v>
      </c>
      <c r="K90" s="515">
        <f t="shared" ca="1" si="23"/>
        <v>0</v>
      </c>
      <c r="L90" s="515">
        <f t="shared" ca="1" si="23"/>
        <v>0</v>
      </c>
      <c r="M90" s="515">
        <f t="shared" ca="1" si="23"/>
        <v>0</v>
      </c>
      <c r="N90" s="516"/>
      <c r="O90" s="517"/>
      <c r="P90" s="517"/>
      <c r="Q90" s="517"/>
      <c r="R90" s="517"/>
      <c r="S90" s="517"/>
      <c r="T90" s="517"/>
      <c r="U90" s="518"/>
      <c r="V90" s="519">
        <f t="shared" ref="V90" ca="1" si="24">IF($N$193="",SUM(V55:V89),"")</f>
        <v>0</v>
      </c>
      <c r="W90" s="519">
        <f t="shared" ref="W90" ca="1" si="25">IF($N$193="",SUM(W55:W89),"")</f>
        <v>0</v>
      </c>
      <c r="X90" s="520">
        <f t="shared" ref="X90" ca="1" si="26">IF($N$193="",SUM(X55:X89),"")</f>
        <v>0</v>
      </c>
      <c r="Y90" s="521">
        <f>SUM(Y55:Y89)</f>
        <v>0</v>
      </c>
      <c r="Z90" s="521">
        <f>SUM(Z55:Z89)</f>
        <v>0</v>
      </c>
    </row>
    <row r="91" spans="1:26" s="510" customFormat="1" ht="9.9499999999999993" customHeight="1" x14ac:dyDescent="0.2">
      <c r="A91" s="511"/>
      <c r="B91" s="522"/>
      <c r="C91" s="522"/>
      <c r="D91" s="522"/>
      <c r="E91" s="523"/>
      <c r="F91" s="548">
        <f>K121</f>
        <v>0</v>
      </c>
      <c r="G91" s="549">
        <f t="shared" ref="G91:M91" si="27">SUMIF($N$55:$N$89,$F$91,G$55:G$89)</f>
        <v>0</v>
      </c>
      <c r="H91" s="549">
        <f t="shared" si="27"/>
        <v>0</v>
      </c>
      <c r="I91" s="549">
        <f t="shared" si="27"/>
        <v>0</v>
      </c>
      <c r="J91" s="549">
        <f t="shared" si="27"/>
        <v>0</v>
      </c>
      <c r="K91" s="549">
        <f t="shared" si="27"/>
        <v>0</v>
      </c>
      <c r="L91" s="549">
        <f t="shared" si="27"/>
        <v>0</v>
      </c>
      <c r="M91" s="549">
        <f t="shared" si="27"/>
        <v>0</v>
      </c>
      <c r="N91" s="389"/>
      <c r="O91" s="390"/>
      <c r="P91" s="390"/>
      <c r="Q91" s="390"/>
      <c r="R91" s="390"/>
      <c r="S91" s="390"/>
      <c r="T91" s="390"/>
      <c r="U91" s="391"/>
      <c r="V91" s="550">
        <f>SUMIF($N$55:$N$89,$F$91,V$55:V$89)</f>
        <v>0</v>
      </c>
      <c r="W91" s="550">
        <f>SUMIF($N$55:$N$89,$F$91,W$55:W$89)</f>
        <v>0</v>
      </c>
      <c r="X91" s="551">
        <f>SUMIF($N$55:$N$89,$F$91,X$55:X$89)</f>
        <v>0</v>
      </c>
    </row>
    <row r="92" spans="1:26" s="510" customFormat="1" ht="9.9499999999999993" customHeight="1" x14ac:dyDescent="0.2">
      <c r="A92" s="511"/>
      <c r="B92" s="522"/>
      <c r="C92" s="522"/>
      <c r="D92" s="522"/>
      <c r="E92" s="523"/>
      <c r="F92" s="552">
        <f>K122</f>
        <v>0</v>
      </c>
      <c r="G92" s="553">
        <f t="shared" ref="G92:M92" si="28">SUMIF($N$55:$N$89,$F$92,G$55:G$89)</f>
        <v>0</v>
      </c>
      <c r="H92" s="553">
        <f t="shared" si="28"/>
        <v>0</v>
      </c>
      <c r="I92" s="553">
        <f t="shared" si="28"/>
        <v>0</v>
      </c>
      <c r="J92" s="553">
        <f t="shared" si="28"/>
        <v>0</v>
      </c>
      <c r="K92" s="553">
        <f t="shared" si="28"/>
        <v>0</v>
      </c>
      <c r="L92" s="553">
        <f t="shared" si="28"/>
        <v>0</v>
      </c>
      <c r="M92" s="553">
        <f t="shared" si="28"/>
        <v>0</v>
      </c>
      <c r="N92" s="392"/>
      <c r="O92" s="393"/>
      <c r="P92" s="393"/>
      <c r="Q92" s="393"/>
      <c r="R92" s="393"/>
      <c r="S92" s="393"/>
      <c r="T92" s="393"/>
      <c r="U92" s="394"/>
      <c r="V92" s="554">
        <f>SUMIF($N$55:$N$89,$F$92,V$55:V$89)</f>
        <v>0</v>
      </c>
      <c r="W92" s="554">
        <f>SUMIF($N$55:$N$89,$F$92,W$55:W$89)</f>
        <v>0</v>
      </c>
      <c r="X92" s="555">
        <f>SUMIF($N$55:$N$89,$F$92,X$55:X$89)</f>
        <v>0</v>
      </c>
    </row>
    <row r="93" spans="1:26" s="510" customFormat="1" ht="9.9499999999999993" customHeight="1" x14ac:dyDescent="0.2">
      <c r="A93" s="511"/>
      <c r="B93" s="522"/>
      <c r="C93" s="522"/>
      <c r="D93" s="522"/>
      <c r="E93" s="523"/>
      <c r="F93" s="552">
        <f>K123</f>
        <v>0</v>
      </c>
      <c r="G93" s="553">
        <f t="shared" ref="G93:M93" si="29">SUMIF($N$55:$N$89,$F$93,G$55:G$89)</f>
        <v>0</v>
      </c>
      <c r="H93" s="553">
        <f t="shared" si="29"/>
        <v>0</v>
      </c>
      <c r="I93" s="553">
        <f t="shared" si="29"/>
        <v>0</v>
      </c>
      <c r="J93" s="553">
        <f t="shared" si="29"/>
        <v>0</v>
      </c>
      <c r="K93" s="553">
        <f t="shared" si="29"/>
        <v>0</v>
      </c>
      <c r="L93" s="553">
        <f t="shared" si="29"/>
        <v>0</v>
      </c>
      <c r="M93" s="553">
        <f t="shared" si="29"/>
        <v>0</v>
      </c>
      <c r="N93" s="392"/>
      <c r="O93" s="393"/>
      <c r="P93" s="393"/>
      <c r="Q93" s="393"/>
      <c r="R93" s="393"/>
      <c r="S93" s="393"/>
      <c r="T93" s="393"/>
      <c r="U93" s="394"/>
      <c r="V93" s="554">
        <f>SUMIF($N$55:$N$89,$F$93,V$55:V$89)</f>
        <v>0</v>
      </c>
      <c r="W93" s="554">
        <f>SUMIF($N$55:$N$89,$F$93,W$55:W$89)</f>
        <v>0</v>
      </c>
      <c r="X93" s="555">
        <f>SUMIF($N$55:$N$89,$F$93,X$55:X$89)</f>
        <v>0</v>
      </c>
    </row>
    <row r="94" spans="1:26" s="510" customFormat="1" ht="9.9499999999999993" customHeight="1" thickBot="1" x14ac:dyDescent="0.25">
      <c r="A94" s="511"/>
      <c r="B94" s="522"/>
      <c r="C94" s="522"/>
      <c r="D94" s="522"/>
      <c r="E94" s="523"/>
      <c r="F94" s="556" t="str">
        <f>K124</f>
        <v>xxx</v>
      </c>
      <c r="G94" s="557">
        <f t="shared" ref="G94:M94" si="30">SUMIF($N$55:$N$89,$F$94,G$55:G$89)</f>
        <v>0</v>
      </c>
      <c r="H94" s="557">
        <f t="shared" si="30"/>
        <v>0</v>
      </c>
      <c r="I94" s="557">
        <f t="shared" si="30"/>
        <v>0</v>
      </c>
      <c r="J94" s="557">
        <f t="shared" si="30"/>
        <v>0</v>
      </c>
      <c r="K94" s="557">
        <f t="shared" si="30"/>
        <v>0</v>
      </c>
      <c r="L94" s="557">
        <f t="shared" si="30"/>
        <v>0</v>
      </c>
      <c r="M94" s="557">
        <f t="shared" si="30"/>
        <v>0</v>
      </c>
      <c r="N94" s="395"/>
      <c r="O94" s="396"/>
      <c r="P94" s="396"/>
      <c r="Q94" s="396"/>
      <c r="R94" s="396"/>
      <c r="S94" s="396"/>
      <c r="T94" s="396"/>
      <c r="U94" s="397"/>
      <c r="V94" s="558">
        <f>SUMIF($N$55:$N$89,$F$94,V$55:V$89)</f>
        <v>0</v>
      </c>
      <c r="W94" s="558">
        <f>SUMIF($N$55:$N$89,$F$94,W$55:W$89)</f>
        <v>0</v>
      </c>
      <c r="X94" s="559">
        <f>SUMIF($N$55:$N$89,$F$94,X$55:X$89)</f>
        <v>0</v>
      </c>
    </row>
    <row r="95" spans="1:26" ht="9.9499999999999993" customHeight="1" x14ac:dyDescent="0.2">
      <c r="B95" s="536" t="str">
        <f ca="1">IF(G90&lt;&gt;SUM(H90:M90),"NEISPRAVAN UNOS, POSTOJI RAZLIKA","")</f>
        <v/>
      </c>
      <c r="C95" s="536"/>
      <c r="D95" s="536"/>
      <c r="E95" s="536"/>
      <c r="F95" s="537"/>
      <c r="G95" s="537"/>
      <c r="H95" s="537"/>
      <c r="I95" s="537"/>
      <c r="J95" s="537"/>
      <c r="K95" s="537"/>
      <c r="L95" s="537"/>
      <c r="M95" s="449" t="str">
        <f>IF(Y90&gt;0,"Nepotpun unos podataka pod rednim brojem "&amp;MATCH(MAX(Y55:Y89),Y55:Y89,0),"")</f>
        <v/>
      </c>
      <c r="N95" s="449"/>
      <c r="O95" s="449"/>
      <c r="P95" s="449"/>
      <c r="Q95" s="449"/>
      <c r="R95" s="449"/>
      <c r="S95" s="449"/>
      <c r="T95" s="449"/>
      <c r="U95" s="449"/>
    </row>
    <row r="96" spans="1:26" ht="9.9499999999999993" customHeight="1" x14ac:dyDescent="0.2">
      <c r="B96" s="538"/>
      <c r="C96" s="538"/>
      <c r="D96" s="474" t="str">
        <f>IF(C53&lt;(46211+365+180),"obavezan unos datuma u polje B55 ako ima prometa","")</f>
        <v>obavezan unos datuma u polje B55 ako ima prometa</v>
      </c>
      <c r="E96" s="474"/>
      <c r="F96" s="474"/>
      <c r="G96" s="474"/>
      <c r="H96" s="474"/>
      <c r="I96" s="474"/>
      <c r="J96" s="474"/>
      <c r="K96" s="539"/>
      <c r="L96" s="539"/>
      <c r="M96" s="450" t="str">
        <f>IF(Z90&gt;0,"Neispravni iznosi u € ili zbroj pod rednim brojem "&amp;MATCH(MAX(Z55:Z89),Z55:Z89,0),"")</f>
        <v/>
      </c>
      <c r="N96" s="450"/>
      <c r="O96" s="450"/>
      <c r="P96" s="450"/>
      <c r="Q96" s="450"/>
      <c r="R96" s="450"/>
      <c r="S96" s="450"/>
      <c r="T96" s="450"/>
      <c r="U96" s="450"/>
    </row>
    <row r="97" spans="1:24" ht="9.9499999999999993" customHeight="1" x14ac:dyDescent="0.2">
      <c r="B97" s="538"/>
      <c r="C97" s="538"/>
      <c r="D97" s="538"/>
      <c r="E97" s="538"/>
      <c r="F97" s="539"/>
      <c r="G97" s="539"/>
      <c r="H97" s="539"/>
      <c r="I97" s="539"/>
      <c r="J97" s="539"/>
      <c r="K97" s="539"/>
      <c r="L97" s="539"/>
    </row>
    <row r="98" spans="1:24" ht="9.9499999999999993" customHeight="1" x14ac:dyDescent="0.2">
      <c r="B98" s="538"/>
      <c r="C98" s="538"/>
      <c r="D98" s="538"/>
      <c r="E98" s="538"/>
      <c r="F98" s="539"/>
      <c r="G98" s="539"/>
      <c r="H98" s="539"/>
      <c r="I98" s="539"/>
      <c r="J98" s="539"/>
      <c r="K98" s="539"/>
      <c r="L98" s="539"/>
    </row>
    <row r="99" spans="1:24" ht="9.9499999999999993" customHeight="1" thickBot="1" x14ac:dyDescent="0.25">
      <c r="A99" s="560" t="str">
        <f>A50</f>
        <v>Natural solution d.o.o.</v>
      </c>
      <c r="B99" s="560"/>
      <c r="C99" s="560"/>
      <c r="D99" s="560"/>
      <c r="E99" s="560"/>
      <c r="F99" s="539"/>
      <c r="G99" s="539"/>
      <c r="H99" s="539"/>
      <c r="I99" s="539"/>
      <c r="J99" s="539"/>
      <c r="K99" s="539"/>
      <c r="L99" s="539"/>
      <c r="V99" s="826" t="str">
        <f>V52</f>
        <v>Verzija 7/2026</v>
      </c>
    </row>
    <row r="100" spans="1:24" ht="9.9499999999999993" customHeight="1" thickBot="1" x14ac:dyDescent="0.25">
      <c r="A100" s="561"/>
      <c r="B100" s="561"/>
      <c r="C100" s="561"/>
      <c r="D100" s="561"/>
      <c r="E100" s="561"/>
      <c r="F100" s="510"/>
      <c r="G100" s="510">
        <f>K121</f>
        <v>0</v>
      </c>
      <c r="H100" s="541"/>
      <c r="I100" s="562" t="str">
        <f>G4</f>
        <v>0. i 1.</v>
      </c>
      <c r="J100" s="563" t="s">
        <v>231</v>
      </c>
      <c r="K100" s="564" t="str">
        <f>G53</f>
        <v>2. i 3.</v>
      </c>
      <c r="L100" s="565"/>
      <c r="M100" s="565"/>
      <c r="N100" s="565"/>
      <c r="O100" s="566"/>
      <c r="P100" s="567"/>
      <c r="Q100" s="567"/>
      <c r="R100" s="568" t="s">
        <v>200</v>
      </c>
      <c r="S100" s="567" t="str">
        <f>A163</f>
        <v>0. i 1.</v>
      </c>
      <c r="T100" s="567"/>
      <c r="U100" s="567"/>
      <c r="V100" s="569"/>
      <c r="W100" s="569"/>
      <c r="X100" s="570"/>
    </row>
    <row r="101" spans="1:24" ht="9.9499999999999993" customHeight="1" thickBot="1" x14ac:dyDescent="0.25">
      <c r="A101" s="571" t="s">
        <v>173</v>
      </c>
      <c r="B101" s="572"/>
      <c r="C101" s="572"/>
      <c r="D101" s="572"/>
      <c r="E101" s="572"/>
      <c r="F101" s="572"/>
      <c r="G101" s="572"/>
      <c r="H101" s="572"/>
      <c r="I101" s="572"/>
      <c r="J101" s="572"/>
      <c r="K101" s="572"/>
      <c r="L101" s="572"/>
      <c r="M101" s="573"/>
      <c r="O101" s="574" t="s">
        <v>176</v>
      </c>
      <c r="P101" s="575"/>
      <c r="Q101" s="576" t="s">
        <v>86</v>
      </c>
      <c r="R101" s="577" t="s">
        <v>175</v>
      </c>
      <c r="S101" s="578"/>
      <c r="T101" s="579"/>
      <c r="U101" s="577" t="s">
        <v>180</v>
      </c>
      <c r="V101" s="578"/>
      <c r="W101" s="578"/>
      <c r="X101" s="580"/>
    </row>
    <row r="102" spans="1:24" ht="9.9499999999999993" customHeight="1" thickBot="1" x14ac:dyDescent="0.25">
      <c r="A102" s="581" t="s">
        <v>59</v>
      </c>
      <c r="B102" s="582"/>
      <c r="C102" s="583" t="s">
        <v>67</v>
      </c>
      <c r="D102" s="584"/>
      <c r="E102" s="584"/>
      <c r="F102" s="585"/>
      <c r="G102" s="586" t="str">
        <f t="shared" ref="G102:M102" si="31">H152</f>
        <v>LMS</v>
      </c>
      <c r="H102" s="586" t="str">
        <f t="shared" si="31"/>
        <v>TO</v>
      </c>
      <c r="I102" s="586" t="str">
        <f t="shared" si="31"/>
        <v>IP</v>
      </c>
      <c r="J102" s="586" t="str">
        <f t="shared" si="31"/>
        <v>Nož</v>
      </c>
      <c r="K102" s="586" t="str">
        <f t="shared" si="31"/>
        <v>Bubrežnjak</v>
      </c>
      <c r="L102" s="586" t="str">
        <f t="shared" si="31"/>
        <v>Kosmo</v>
      </c>
      <c r="M102" s="587" t="str">
        <f t="shared" si="31"/>
        <v>KREMA</v>
      </c>
      <c r="O102" s="588"/>
      <c r="P102" s="589"/>
      <c r="Q102" s="590"/>
      <c r="R102" s="591" t="s">
        <v>88</v>
      </c>
      <c r="S102" s="592" t="s">
        <v>229</v>
      </c>
      <c r="T102" s="591" t="s">
        <v>181</v>
      </c>
      <c r="U102" s="591" t="str">
        <f>J102</f>
        <v>Nož</v>
      </c>
      <c r="V102" s="591" t="str">
        <f>K102</f>
        <v>Bubrežnjak</v>
      </c>
      <c r="W102" s="591" t="str">
        <f>L102</f>
        <v>Kosmo</v>
      </c>
      <c r="X102" s="593" t="str">
        <f>N152</f>
        <v>KREMA</v>
      </c>
    </row>
    <row r="103" spans="1:24" ht="9.9499999999999993" customHeight="1" thickBot="1" x14ac:dyDescent="0.25">
      <c r="A103" s="594">
        <f>A153</f>
        <v>46204</v>
      </c>
      <c r="B103" s="595"/>
      <c r="C103" s="596" t="s">
        <v>70</v>
      </c>
      <c r="D103" s="597"/>
      <c r="E103" s="597"/>
      <c r="F103" s="598"/>
      <c r="G103" s="599">
        <f t="shared" ref="G103:M103" ca="1" si="32">H161</f>
        <v>0</v>
      </c>
      <c r="H103" s="599">
        <f t="shared" ca="1" si="32"/>
        <v>0</v>
      </c>
      <c r="I103" s="599">
        <f t="shared" ca="1" si="32"/>
        <v>0</v>
      </c>
      <c r="J103" s="599">
        <f t="shared" ca="1" si="32"/>
        <v>0</v>
      </c>
      <c r="K103" s="599">
        <f t="shared" ca="1" si="32"/>
        <v>0</v>
      </c>
      <c r="L103" s="599">
        <f t="shared" ca="1" si="32"/>
        <v>0</v>
      </c>
      <c r="M103" s="600">
        <f t="shared" ca="1" si="32"/>
        <v>0</v>
      </c>
      <c r="O103" s="601" t="s">
        <v>97</v>
      </c>
      <c r="P103" s="602"/>
      <c r="Q103" s="401"/>
      <c r="R103" s="402"/>
      <c r="S103" s="402"/>
      <c r="T103" s="402"/>
      <c r="U103" s="402"/>
      <c r="V103" s="401"/>
      <c r="W103" s="401"/>
      <c r="X103" s="403"/>
    </row>
    <row r="104" spans="1:24" ht="9.9499999999999993" customHeight="1" thickBot="1" x14ac:dyDescent="0.25">
      <c r="A104" s="603" t="s">
        <v>108</v>
      </c>
      <c r="B104" s="604" t="s">
        <v>105</v>
      </c>
      <c r="C104" s="598"/>
      <c r="D104" s="604" t="s">
        <v>106</v>
      </c>
      <c r="E104" s="598"/>
      <c r="F104" s="605" t="s">
        <v>108</v>
      </c>
      <c r="G104" s="606" t="s">
        <v>153</v>
      </c>
      <c r="H104" s="607"/>
      <c r="I104" s="607"/>
      <c r="J104" s="607"/>
      <c r="K104" s="607"/>
      <c r="L104" s="607"/>
      <c r="M104" s="608"/>
      <c r="O104" s="609" t="s">
        <v>92</v>
      </c>
      <c r="P104" s="610"/>
      <c r="Q104" s="379"/>
      <c r="R104" s="408"/>
      <c r="S104" s="408"/>
      <c r="T104" s="408"/>
      <c r="U104" s="408"/>
      <c r="V104" s="379"/>
      <c r="W104" s="379"/>
      <c r="X104" s="409"/>
    </row>
    <row r="105" spans="1:24" ht="9.9499999999999993" customHeight="1" x14ac:dyDescent="0.2">
      <c r="A105" s="611" t="str">
        <f t="shared" ref="A105:F106" si="33">A163</f>
        <v>0. i 1.</v>
      </c>
      <c r="B105" s="612">
        <f t="shared" ca="1" si="33"/>
        <v>0</v>
      </c>
      <c r="C105" s="613"/>
      <c r="D105" s="614">
        <f ca="1">D163</f>
        <v>0</v>
      </c>
      <c r="E105" s="615"/>
      <c r="F105" s="616" t="str">
        <f t="shared" si="33"/>
        <v>Prva dva tjedna</v>
      </c>
      <c r="G105" s="617">
        <f t="shared" ref="G105:M106" ca="1" si="34">H163</f>
        <v>0</v>
      </c>
      <c r="H105" s="617">
        <f t="shared" ca="1" si="34"/>
        <v>0</v>
      </c>
      <c r="I105" s="617">
        <f ca="1">J163</f>
        <v>0</v>
      </c>
      <c r="J105" s="617">
        <f t="shared" ca="1" si="34"/>
        <v>0</v>
      </c>
      <c r="K105" s="617">
        <f t="shared" ca="1" si="34"/>
        <v>0</v>
      </c>
      <c r="L105" s="617">
        <f t="shared" ca="1" si="34"/>
        <v>0</v>
      </c>
      <c r="M105" s="618">
        <f t="shared" ca="1" si="34"/>
        <v>0</v>
      </c>
      <c r="O105" s="619" t="s">
        <v>98</v>
      </c>
      <c r="P105" s="620"/>
      <c r="Q105" s="379"/>
      <c r="R105" s="408"/>
      <c r="S105" s="408"/>
      <c r="T105" s="408"/>
      <c r="U105" s="408"/>
      <c r="V105" s="379"/>
      <c r="W105" s="379"/>
      <c r="X105" s="409"/>
    </row>
    <row r="106" spans="1:24" ht="9.9499999999999993" customHeight="1" thickBot="1" x14ac:dyDescent="0.25">
      <c r="A106" s="621" t="str">
        <f t="shared" si="33"/>
        <v>2. i 3.</v>
      </c>
      <c r="B106" s="622">
        <f t="shared" ca="1" si="33"/>
        <v>0</v>
      </c>
      <c r="C106" s="623"/>
      <c r="D106" s="624">
        <f ca="1">D164</f>
        <v>0</v>
      </c>
      <c r="E106" s="625"/>
      <c r="F106" s="626" t="str">
        <f t="shared" si="33"/>
        <v>Zadnja dva tjedan</v>
      </c>
      <c r="G106" s="627">
        <f t="shared" ca="1" si="34"/>
        <v>0</v>
      </c>
      <c r="H106" s="627">
        <f t="shared" ca="1" si="34"/>
        <v>0</v>
      </c>
      <c r="I106" s="627">
        <f t="shared" ca="1" si="34"/>
        <v>0</v>
      </c>
      <c r="J106" s="627">
        <f t="shared" ca="1" si="34"/>
        <v>0</v>
      </c>
      <c r="K106" s="627">
        <f t="shared" ca="1" si="34"/>
        <v>0</v>
      </c>
      <c r="L106" s="627">
        <f t="shared" ca="1" si="34"/>
        <v>0</v>
      </c>
      <c r="M106" s="628">
        <f t="shared" ca="1" si="34"/>
        <v>0</v>
      </c>
      <c r="O106" s="609" t="s">
        <v>93</v>
      </c>
      <c r="P106" s="610"/>
      <c r="Q106" s="365"/>
      <c r="R106" s="404"/>
      <c r="S106" s="404"/>
      <c r="T106" s="404"/>
      <c r="U106" s="404"/>
      <c r="V106" s="365"/>
      <c r="W106" s="365"/>
      <c r="X106" s="405"/>
    </row>
    <row r="107" spans="1:24" ht="9.9499999999999993" customHeight="1" thickBot="1" x14ac:dyDescent="0.25">
      <c r="A107" s="629" t="s">
        <v>174</v>
      </c>
      <c r="B107" s="630">
        <f ca="1">B165</f>
        <v>0</v>
      </c>
      <c r="C107" s="631"/>
      <c r="D107" s="632">
        <f ca="1">D165</f>
        <v>0</v>
      </c>
      <c r="E107" s="633"/>
      <c r="F107" s="634" t="s">
        <v>170</v>
      </c>
      <c r="G107" s="635">
        <f t="shared" ref="G107:M107" ca="1" si="35">G103-SUM(G105:G106)</f>
        <v>0</v>
      </c>
      <c r="H107" s="635">
        <f t="shared" ca="1" si="35"/>
        <v>0</v>
      </c>
      <c r="I107" s="635">
        <f t="shared" ca="1" si="35"/>
        <v>0</v>
      </c>
      <c r="J107" s="635">
        <f t="shared" ca="1" si="35"/>
        <v>0</v>
      </c>
      <c r="K107" s="635">
        <f t="shared" ca="1" si="35"/>
        <v>0</v>
      </c>
      <c r="L107" s="635">
        <f t="shared" ca="1" si="35"/>
        <v>0</v>
      </c>
      <c r="M107" s="636">
        <f t="shared" ca="1" si="35"/>
        <v>0</v>
      </c>
      <c r="O107" s="637" t="s">
        <v>94</v>
      </c>
      <c r="P107" s="638"/>
      <c r="Q107" s="384"/>
      <c r="R107" s="406"/>
      <c r="S107" s="406"/>
      <c r="T107" s="406"/>
      <c r="U107" s="406"/>
      <c r="V107" s="384"/>
      <c r="W107" s="384"/>
      <c r="X107" s="407"/>
    </row>
    <row r="108" spans="1:24" ht="9.9499999999999993" customHeight="1" thickBot="1" x14ac:dyDescent="0.25">
      <c r="O108" s="639" t="s">
        <v>95</v>
      </c>
      <c r="P108" s="640"/>
      <c r="Q108" s="379"/>
      <c r="R108" s="408"/>
      <c r="S108" s="408"/>
      <c r="T108" s="408"/>
      <c r="U108" s="408"/>
      <c r="V108" s="379"/>
      <c r="W108" s="379"/>
      <c r="X108" s="409"/>
    </row>
    <row r="109" spans="1:24" ht="9.9499999999999993" customHeight="1" x14ac:dyDescent="0.2">
      <c r="A109" s="641" t="s">
        <v>169</v>
      </c>
      <c r="B109" s="642"/>
      <c r="C109" s="642"/>
      <c r="D109" s="642"/>
      <c r="E109" s="642"/>
      <c r="F109" s="642"/>
      <c r="G109" s="642"/>
      <c r="H109" s="642"/>
      <c r="I109" s="642"/>
      <c r="J109" s="643"/>
      <c r="K109" s="483"/>
      <c r="L109" s="483"/>
      <c r="M109" s="483"/>
      <c r="N109" s="483"/>
      <c r="O109" s="609" t="s">
        <v>87</v>
      </c>
      <c r="P109" s="610"/>
      <c r="Q109" s="365"/>
      <c r="R109" s="404"/>
      <c r="S109" s="404"/>
      <c r="T109" s="404"/>
      <c r="U109" s="404"/>
      <c r="V109" s="365"/>
      <c r="W109" s="365"/>
      <c r="X109" s="405"/>
    </row>
    <row r="110" spans="1:24" ht="9.9499999999999993" customHeight="1" x14ac:dyDescent="0.2">
      <c r="A110" s="644" t="s">
        <v>166</v>
      </c>
      <c r="B110" s="645" t="str">
        <f>G5</f>
        <v>PRODAJNA CIJENA</v>
      </c>
      <c r="C110" s="646"/>
      <c r="D110" s="645" t="str">
        <f>H5</f>
        <v>GOTOVINA / KEŠ</v>
      </c>
      <c r="E110" s="646"/>
      <c r="F110" s="647" t="str">
        <f>I5</f>
        <v>KARTICA</v>
      </c>
      <c r="G110" s="647" t="str">
        <f>J5</f>
        <v>Storno gotovina</v>
      </c>
      <c r="H110" s="647" t="str">
        <f>K5</f>
        <v>Na firmu rate</v>
      </c>
      <c r="I110" s="647" t="str">
        <f>L5</f>
        <v>Žiralno storno</v>
      </c>
      <c r="J110" s="647" t="str">
        <f>M5</f>
        <v>Ostalo</v>
      </c>
      <c r="N110" s="510"/>
      <c r="O110" s="619" t="s">
        <v>96</v>
      </c>
      <c r="P110" s="620"/>
      <c r="Q110" s="365"/>
      <c r="R110" s="404"/>
      <c r="S110" s="404"/>
      <c r="T110" s="404"/>
      <c r="U110" s="404"/>
      <c r="V110" s="365"/>
      <c r="W110" s="365"/>
      <c r="X110" s="405"/>
    </row>
    <row r="111" spans="1:24" ht="9.9499999999999993" customHeight="1" thickBot="1" x14ac:dyDescent="0.25">
      <c r="A111" s="648"/>
      <c r="B111" s="649"/>
      <c r="C111" s="650"/>
      <c r="D111" s="649"/>
      <c r="E111" s="650"/>
      <c r="F111" s="651"/>
      <c r="G111" s="651"/>
      <c r="H111" s="651"/>
      <c r="I111" s="651"/>
      <c r="J111" s="651"/>
      <c r="O111" s="609" t="s">
        <v>89</v>
      </c>
      <c r="P111" s="610"/>
      <c r="Q111" s="365"/>
      <c r="R111" s="404"/>
      <c r="S111" s="404"/>
      <c r="T111" s="404"/>
      <c r="U111" s="404"/>
      <c r="V111" s="365"/>
      <c r="W111" s="365"/>
      <c r="X111" s="405"/>
    </row>
    <row r="112" spans="1:24" ht="9.9499999999999993" customHeight="1" x14ac:dyDescent="0.2">
      <c r="A112" s="652">
        <f>F91</f>
        <v>0</v>
      </c>
      <c r="B112" s="653">
        <f>G42+G91</f>
        <v>0</v>
      </c>
      <c r="C112" s="654"/>
      <c r="D112" s="653">
        <f>H42+H91</f>
        <v>0</v>
      </c>
      <c r="E112" s="654"/>
      <c r="F112" s="655">
        <f>I42+I91</f>
        <v>0</v>
      </c>
      <c r="G112" s="655">
        <f>J42+J91</f>
        <v>0</v>
      </c>
      <c r="H112" s="655">
        <f>K42+K91</f>
        <v>0</v>
      </c>
      <c r="I112" s="655">
        <f>L42+L91</f>
        <v>0</v>
      </c>
      <c r="J112" s="656">
        <f>M42+M91</f>
        <v>0</v>
      </c>
      <c r="O112" s="619" t="s">
        <v>90</v>
      </c>
      <c r="P112" s="620"/>
      <c r="Q112" s="365"/>
      <c r="R112" s="404"/>
      <c r="S112" s="404"/>
      <c r="T112" s="404"/>
      <c r="U112" s="404"/>
      <c r="V112" s="365"/>
      <c r="W112" s="365"/>
      <c r="X112" s="405"/>
    </row>
    <row r="113" spans="1:24" ht="9.9499999999999993" customHeight="1" x14ac:dyDescent="0.2">
      <c r="A113" s="657">
        <f>F92</f>
        <v>0</v>
      </c>
      <c r="B113" s="658">
        <f>G43+G92</f>
        <v>0</v>
      </c>
      <c r="C113" s="659"/>
      <c r="D113" s="658">
        <f>H43+H92</f>
        <v>0</v>
      </c>
      <c r="E113" s="659"/>
      <c r="F113" s="660">
        <f>I43+I92</f>
        <v>0</v>
      </c>
      <c r="G113" s="660">
        <f>J43+J92</f>
        <v>0</v>
      </c>
      <c r="H113" s="660">
        <f>K43+K92</f>
        <v>0</v>
      </c>
      <c r="I113" s="660">
        <f>L43+L92</f>
        <v>0</v>
      </c>
      <c r="J113" s="661">
        <f>M43+M92</f>
        <v>0</v>
      </c>
      <c r="O113" s="609" t="s">
        <v>91</v>
      </c>
      <c r="P113" s="610"/>
      <c r="Q113" s="365"/>
      <c r="R113" s="404"/>
      <c r="S113" s="404"/>
      <c r="T113" s="404"/>
      <c r="U113" s="404"/>
      <c r="V113" s="365"/>
      <c r="W113" s="365"/>
      <c r="X113" s="405"/>
    </row>
    <row r="114" spans="1:24" ht="9.9499999999999993" customHeight="1" x14ac:dyDescent="0.2">
      <c r="A114" s="657">
        <f>F93</f>
        <v>0</v>
      </c>
      <c r="B114" s="658">
        <f>G44+G93</f>
        <v>0</v>
      </c>
      <c r="C114" s="659"/>
      <c r="D114" s="658">
        <f>H44+H93</f>
        <v>0</v>
      </c>
      <c r="E114" s="659"/>
      <c r="F114" s="660">
        <f>I44+I93</f>
        <v>0</v>
      </c>
      <c r="G114" s="660">
        <f>J44+J93</f>
        <v>0</v>
      </c>
      <c r="H114" s="660">
        <f>K44+K93</f>
        <v>0</v>
      </c>
      <c r="I114" s="660">
        <f>L44+L93</f>
        <v>0</v>
      </c>
      <c r="J114" s="661">
        <f>M44+M93</f>
        <v>0</v>
      </c>
      <c r="O114" s="619" t="s">
        <v>97</v>
      </c>
      <c r="P114" s="620"/>
      <c r="Q114" s="365"/>
      <c r="R114" s="404"/>
      <c r="S114" s="404"/>
      <c r="T114" s="404"/>
      <c r="U114" s="404"/>
      <c r="V114" s="365"/>
      <c r="W114" s="365"/>
      <c r="X114" s="405"/>
    </row>
    <row r="115" spans="1:24" ht="9.9499999999999993" customHeight="1" thickBot="1" x14ac:dyDescent="0.25">
      <c r="A115" s="662" t="str">
        <f>F94</f>
        <v>xxx</v>
      </c>
      <c r="B115" s="663">
        <f>G45+G94</f>
        <v>0</v>
      </c>
      <c r="C115" s="664"/>
      <c r="D115" s="663">
        <f>H45+H94</f>
        <v>0</v>
      </c>
      <c r="E115" s="664"/>
      <c r="F115" s="665">
        <f>I45+I94</f>
        <v>0</v>
      </c>
      <c r="G115" s="665">
        <f>J45+J94</f>
        <v>0</v>
      </c>
      <c r="H115" s="665">
        <f>K45+K94</f>
        <v>0</v>
      </c>
      <c r="I115" s="665">
        <f>L45+L94</f>
        <v>0</v>
      </c>
      <c r="J115" s="666">
        <f>M45+M94</f>
        <v>0</v>
      </c>
      <c r="O115" s="609" t="s">
        <v>92</v>
      </c>
      <c r="P115" s="610"/>
      <c r="Q115" s="365"/>
      <c r="R115" s="404"/>
      <c r="S115" s="404"/>
      <c r="T115" s="404"/>
      <c r="U115" s="404"/>
      <c r="V115" s="365"/>
      <c r="W115" s="365"/>
      <c r="X115" s="405"/>
    </row>
    <row r="116" spans="1:24" ht="9.9499999999999993" customHeight="1" thickBot="1" x14ac:dyDescent="0.25">
      <c r="A116" s="667" t="s">
        <v>167</v>
      </c>
      <c r="B116" s="668">
        <f>SUM(B112:B115)</f>
        <v>0</v>
      </c>
      <c r="C116" s="669"/>
      <c r="D116" s="668">
        <f>SUM(E112:E115)</f>
        <v>0</v>
      </c>
      <c r="E116" s="669"/>
      <c r="F116" s="670">
        <f t="shared" ref="E116:J116" si="36">SUM(F112:F115)</f>
        <v>0</v>
      </c>
      <c r="G116" s="670">
        <f t="shared" si="36"/>
        <v>0</v>
      </c>
      <c r="H116" s="670">
        <f t="shared" si="36"/>
        <v>0</v>
      </c>
      <c r="I116" s="670">
        <f t="shared" si="36"/>
        <v>0</v>
      </c>
      <c r="J116" s="671">
        <f t="shared" si="36"/>
        <v>0</v>
      </c>
      <c r="N116" s="510"/>
      <c r="O116" s="619" t="s">
        <v>98</v>
      </c>
      <c r="P116" s="620"/>
      <c r="Q116" s="365"/>
      <c r="R116" s="404"/>
      <c r="S116" s="404"/>
      <c r="T116" s="404"/>
      <c r="U116" s="404"/>
      <c r="V116" s="365"/>
      <c r="W116" s="365"/>
      <c r="X116" s="410"/>
    </row>
    <row r="117" spans="1:24" ht="9.9499999999999993" customHeight="1" thickBot="1" x14ac:dyDescent="0.25">
      <c r="O117" s="609" t="s">
        <v>93</v>
      </c>
      <c r="P117" s="610"/>
      <c r="Q117" s="365"/>
      <c r="R117" s="404"/>
      <c r="S117" s="404"/>
      <c r="T117" s="404"/>
      <c r="U117" s="404"/>
      <c r="V117" s="365"/>
      <c r="W117" s="365"/>
      <c r="X117" s="410"/>
    </row>
    <row r="118" spans="1:24" ht="9.9499999999999993" customHeight="1" thickBot="1" x14ac:dyDescent="0.25">
      <c r="A118" s="672" t="s">
        <v>76</v>
      </c>
      <c r="B118" s="673"/>
      <c r="C118" s="673"/>
      <c r="D118" s="673"/>
      <c r="E118" s="673"/>
      <c r="F118" s="673"/>
      <c r="G118" s="674"/>
      <c r="I118" s="675" t="s">
        <v>168</v>
      </c>
      <c r="J118" s="676" t="s">
        <v>104</v>
      </c>
      <c r="K118" s="676" t="s">
        <v>100</v>
      </c>
      <c r="L118" s="675" t="s">
        <v>211</v>
      </c>
      <c r="O118" s="677" t="s">
        <v>94</v>
      </c>
      <c r="P118" s="678"/>
      <c r="Q118" s="463"/>
      <c r="R118" s="469"/>
      <c r="S118" s="469"/>
      <c r="T118" s="469"/>
      <c r="U118" s="469"/>
      <c r="V118" s="463"/>
      <c r="W118" s="463"/>
      <c r="X118" s="470"/>
    </row>
    <row r="119" spans="1:24" ht="9.9499999999999993" customHeight="1" thickBot="1" x14ac:dyDescent="0.25">
      <c r="A119" s="679" t="s">
        <v>73</v>
      </c>
      <c r="B119" s="680"/>
      <c r="C119" s="680"/>
      <c r="D119" s="680"/>
      <c r="E119" s="681"/>
      <c r="F119" s="614">
        <f ca="1">H41</f>
        <v>0</v>
      </c>
      <c r="G119" s="682"/>
      <c r="H119" s="510"/>
      <c r="I119" s="683"/>
      <c r="J119" s="684"/>
      <c r="K119" s="684"/>
      <c r="L119" s="685"/>
      <c r="O119" s="686" t="s">
        <v>99</v>
      </c>
      <c r="P119" s="687"/>
      <c r="Q119" s="687"/>
      <c r="R119" s="688">
        <f ca="1">IF($N$193="",SUM(R103:R118),"")</f>
        <v>0</v>
      </c>
      <c r="S119" s="688">
        <f t="shared" ref="S119:X119" ca="1" si="37">IF($N$193="",SUM(S103:S118),"")</f>
        <v>0</v>
      </c>
      <c r="T119" s="688">
        <f t="shared" ca="1" si="37"/>
        <v>0</v>
      </c>
      <c r="U119" s="688">
        <f t="shared" ca="1" si="37"/>
        <v>0</v>
      </c>
      <c r="V119" s="688">
        <f t="shared" ca="1" si="37"/>
        <v>0</v>
      </c>
      <c r="W119" s="688">
        <f t="shared" ca="1" si="37"/>
        <v>0</v>
      </c>
      <c r="X119" s="689">
        <f t="shared" ca="1" si="37"/>
        <v>0</v>
      </c>
    </row>
    <row r="120" spans="1:24" ht="9.9499999999999993" customHeight="1" x14ac:dyDescent="0.2">
      <c r="A120" s="690" t="s">
        <v>72</v>
      </c>
      <c r="B120" s="691"/>
      <c r="C120" s="691"/>
      <c r="D120" s="691"/>
      <c r="E120" s="692"/>
      <c r="F120" s="693">
        <f ca="1">H90</f>
        <v>0</v>
      </c>
      <c r="G120" s="694"/>
      <c r="H120" s="695" t="s">
        <v>103</v>
      </c>
      <c r="I120" s="685"/>
      <c r="J120" s="696"/>
      <c r="K120" s="696"/>
      <c r="L120" s="453">
        <f>WEEKNUM(B6)</f>
        <v>0</v>
      </c>
      <c r="Q120" s="697">
        <f>K121</f>
        <v>0</v>
      </c>
      <c r="R120" s="698">
        <f>SUMIF($Q$103:$Q$118,$Q120,R$103:R$118)</f>
        <v>0</v>
      </c>
      <c r="S120" s="698">
        <f>SUMIF($Q$103:$Q$118,$Q120,S$103:S$118)</f>
        <v>0</v>
      </c>
      <c r="T120" s="698">
        <f>SUMIF($Q$103:$Q$118,$Q120,T$103:T$118)</f>
        <v>0</v>
      </c>
      <c r="U120" s="698">
        <f>SUMIF($Q$103:$Q$118,$Q120,U$103:U$118)</f>
        <v>0</v>
      </c>
      <c r="V120" s="698">
        <f>SUMIF($Q$103:$Q$118,$Q120,V$103:V$118)</f>
        <v>0</v>
      </c>
      <c r="W120" s="698">
        <f>SUMIF($Q$103:$Q$118,$Q120,W$103:W$118)</f>
        <v>0</v>
      </c>
      <c r="X120" s="699">
        <f>SUMIF($Q$103:$Q$118,$Q120,X$103:X$118)</f>
        <v>0</v>
      </c>
    </row>
    <row r="121" spans="1:24" ht="9.9499999999999993" customHeight="1" thickBot="1" x14ac:dyDescent="0.25">
      <c r="A121" s="700" t="s">
        <v>78</v>
      </c>
      <c r="B121" s="701"/>
      <c r="C121" s="701"/>
      <c r="D121" s="701"/>
      <c r="E121" s="702"/>
      <c r="F121" s="703">
        <f ca="1">SUM(F119:G120)</f>
        <v>0</v>
      </c>
      <c r="G121" s="704"/>
      <c r="I121" s="411"/>
      <c r="J121" s="411"/>
      <c r="K121" s="411"/>
      <c r="L121" s="705" t="s">
        <v>199</v>
      </c>
      <c r="Q121" s="706">
        <f>K122</f>
        <v>0</v>
      </c>
      <c r="R121" s="707">
        <f>SUMIF($Q$103:$Q$118,$Q121,R$103:R$118)</f>
        <v>0</v>
      </c>
      <c r="S121" s="707">
        <f>SUMIF($Q$103:$Q$118,$Q121,S$103:S$118)</f>
        <v>0</v>
      </c>
      <c r="T121" s="707">
        <f>SUMIF($Q$103:$Q$118,$Q121,T$103:T$118)</f>
        <v>0</v>
      </c>
      <c r="U121" s="707">
        <f>SUMIF($Q$103:$Q$118,$Q121,U$103:U$118)</f>
        <v>0</v>
      </c>
      <c r="V121" s="707">
        <f>SUMIF($Q$103:$Q$118,$Q121,V$103:V$118)</f>
        <v>0</v>
      </c>
      <c r="W121" s="707">
        <f>SUMIF($Q$103:$Q$118,$Q121,W$103:W$118)</f>
        <v>0</v>
      </c>
      <c r="X121" s="708">
        <f>SUMIF($Q$103:$Q$118,$Q121,X$103:X$118)</f>
        <v>0</v>
      </c>
    </row>
    <row r="122" spans="1:24" ht="9.9499999999999993" customHeight="1" thickBot="1" x14ac:dyDescent="0.25">
      <c r="A122" s="709" t="s">
        <v>84</v>
      </c>
      <c r="B122" s="585"/>
      <c r="C122" s="583" t="s">
        <v>85</v>
      </c>
      <c r="D122" s="585"/>
      <c r="E122" s="710" t="s">
        <v>42</v>
      </c>
      <c r="F122" s="711" t="s">
        <v>60</v>
      </c>
      <c r="G122" s="712"/>
      <c r="I122" s="411"/>
      <c r="J122" s="411"/>
      <c r="K122" s="411"/>
      <c r="L122" s="685"/>
      <c r="Q122" s="706">
        <f>K123</f>
        <v>0</v>
      </c>
      <c r="R122" s="707">
        <f>SUMIF($Q$103:$Q$118,$Q122,R$103:R$118)</f>
        <v>0</v>
      </c>
      <c r="S122" s="707">
        <f>SUMIF($Q$103:$Q$118,$Q122,S$103:S$118)</f>
        <v>0</v>
      </c>
      <c r="T122" s="707">
        <f>SUMIF($Q$103:$Q$118,$Q122,T$103:T$118)</f>
        <v>0</v>
      </c>
      <c r="U122" s="707">
        <f>SUMIF($Q$103:$Q$118,$Q122,U$103:U$118)</f>
        <v>0</v>
      </c>
      <c r="V122" s="707">
        <f>SUMIF($Q$103:$Q$118,$Q122,V$103:V$118)</f>
        <v>0</v>
      </c>
      <c r="W122" s="707">
        <f>SUMIF($Q$103:$Q$118,$Q122,W$103:W$118)</f>
        <v>0</v>
      </c>
      <c r="X122" s="708">
        <f>SUMIF($Q$103:$Q$118,$Q122,X$103:X$118)</f>
        <v>0</v>
      </c>
    </row>
    <row r="123" spans="1:24" ht="9.9499999999999993" customHeight="1" thickBot="1" x14ac:dyDescent="0.25">
      <c r="A123" s="433"/>
      <c r="B123" s="434"/>
      <c r="C123" s="435"/>
      <c r="D123" s="434"/>
      <c r="E123" s="379"/>
      <c r="F123" s="414"/>
      <c r="G123" s="415"/>
      <c r="I123" s="411"/>
      <c r="J123" s="411"/>
      <c r="K123" s="411"/>
      <c r="L123" s="713">
        <f>L120+3</f>
        <v>3</v>
      </c>
      <c r="Q123" s="714" t="str">
        <f>K124</f>
        <v>xxx</v>
      </c>
      <c r="R123" s="591">
        <f>SUMIF($Q$103:$Q$118,$Q123,R$103:R$118)</f>
        <v>0</v>
      </c>
      <c r="S123" s="591">
        <f>SUMIF($Q$103:$Q$118,$Q123,S$103:S$118)</f>
        <v>0</v>
      </c>
      <c r="T123" s="591">
        <f>SUMIF($Q$103:$Q$118,$Q123,T$103:T$118)</f>
        <v>0</v>
      </c>
      <c r="U123" s="591">
        <f>SUMIF($Q$103:$Q$118,$Q123,U$103:U$118)</f>
        <v>0</v>
      </c>
      <c r="V123" s="591">
        <f>SUMIF($Q$103:$Q$118,$Q123,V$103:V$118)</f>
        <v>0</v>
      </c>
      <c r="W123" s="591">
        <f>SUMIF($Q$103:$Q$118,$Q123,W$103:W$118)</f>
        <v>0</v>
      </c>
      <c r="X123" s="593">
        <f>SUMIF($Q$103:$Q$118,$Q123,X$103:X$118)</f>
        <v>0</v>
      </c>
    </row>
    <row r="124" spans="1:24" ht="9.9499999999999993" customHeight="1" thickBot="1" x14ac:dyDescent="0.25">
      <c r="A124" s="427"/>
      <c r="B124" s="428"/>
      <c r="C124" s="428"/>
      <c r="D124" s="428"/>
      <c r="E124" s="379"/>
      <c r="F124" s="418"/>
      <c r="G124" s="419"/>
      <c r="I124" s="411"/>
      <c r="J124" s="411"/>
      <c r="K124" s="452" t="s">
        <v>236</v>
      </c>
      <c r="L124" s="510"/>
    </row>
    <row r="125" spans="1:24" ht="9.9499999999999993" customHeight="1" thickBot="1" x14ac:dyDescent="0.25">
      <c r="A125" s="427"/>
      <c r="B125" s="428"/>
      <c r="C125" s="428"/>
      <c r="D125" s="428"/>
      <c r="E125" s="379"/>
      <c r="F125" s="418"/>
      <c r="G125" s="419"/>
      <c r="I125" s="411"/>
      <c r="J125" s="411"/>
      <c r="L125" s="510"/>
      <c r="O125" s="715" t="s">
        <v>233</v>
      </c>
      <c r="P125" s="716"/>
      <c r="Q125" s="716"/>
      <c r="R125" s="716"/>
      <c r="S125" s="567" t="str">
        <f>G53</f>
        <v>2. i 3.</v>
      </c>
      <c r="T125" s="567"/>
      <c r="U125" s="567"/>
      <c r="V125" s="567"/>
      <c r="W125" s="567"/>
      <c r="X125" s="717"/>
    </row>
    <row r="126" spans="1:24" ht="9.9499999999999993" customHeight="1" thickBot="1" x14ac:dyDescent="0.25">
      <c r="A126" s="427"/>
      <c r="B126" s="428"/>
      <c r="C126" s="428"/>
      <c r="D126" s="428"/>
      <c r="E126" s="379"/>
      <c r="F126" s="418"/>
      <c r="G126" s="419"/>
      <c r="I126" s="411"/>
      <c r="J126" s="452" t="s">
        <v>236</v>
      </c>
      <c r="L126" s="718"/>
      <c r="O126" s="719" t="str">
        <f>O101</f>
        <v>Prezentacije</v>
      </c>
      <c r="P126" s="720"/>
      <c r="Q126" s="721" t="str">
        <f>Q101</f>
        <v>Tim</v>
      </c>
      <c r="R126" s="722" t="str">
        <f>R101</f>
        <v>Došlo</v>
      </c>
      <c r="S126" s="722"/>
      <c r="T126" s="722"/>
      <c r="U126" s="722" t="s">
        <v>180</v>
      </c>
      <c r="V126" s="722"/>
      <c r="W126" s="722"/>
      <c r="X126" s="723"/>
    </row>
    <row r="127" spans="1:24" ht="9.9499999999999993" customHeight="1" thickBot="1" x14ac:dyDescent="0.25">
      <c r="A127" s="427"/>
      <c r="B127" s="428"/>
      <c r="C127" s="428"/>
      <c r="D127" s="428"/>
      <c r="E127" s="379"/>
      <c r="F127" s="418"/>
      <c r="G127" s="419"/>
      <c r="I127" s="411"/>
      <c r="J127" s="510"/>
      <c r="K127" s="510"/>
      <c r="L127" s="510"/>
      <c r="O127" s="724"/>
      <c r="P127" s="725"/>
      <c r="Q127" s="726"/>
      <c r="R127" s="727" t="str">
        <f>R102</f>
        <v>Gostiju</v>
      </c>
      <c r="S127" s="591" t="str">
        <f>S102</f>
        <v>B. parova</v>
      </c>
      <c r="T127" s="591" t="s">
        <v>181</v>
      </c>
      <c r="U127" s="591" t="str">
        <f>U102</f>
        <v>Nož</v>
      </c>
      <c r="V127" s="591" t="str">
        <f>V102</f>
        <v>Bubrežnjak</v>
      </c>
      <c r="W127" s="591" t="str">
        <f>W102</f>
        <v>Kosmo</v>
      </c>
      <c r="X127" s="593" t="str">
        <f>X102</f>
        <v>KREMA</v>
      </c>
    </row>
    <row r="128" spans="1:24" ht="9.9499999999999993" customHeight="1" thickBot="1" x14ac:dyDescent="0.25">
      <c r="A128" s="427"/>
      <c r="B128" s="428"/>
      <c r="C128" s="428"/>
      <c r="D128" s="428"/>
      <c r="E128" s="379"/>
      <c r="F128" s="418"/>
      <c r="G128" s="419"/>
      <c r="I128" s="452" t="s">
        <v>236</v>
      </c>
      <c r="J128" s="510"/>
      <c r="K128" s="510"/>
      <c r="O128" s="601" t="s">
        <v>95</v>
      </c>
      <c r="P128" s="602"/>
      <c r="Q128" s="401"/>
      <c r="R128" s="402"/>
      <c r="S128" s="402"/>
      <c r="T128" s="402"/>
      <c r="U128" s="402"/>
      <c r="V128" s="401"/>
      <c r="W128" s="401"/>
      <c r="X128" s="420"/>
    </row>
    <row r="129" spans="1:24" ht="9.9499999999999993" customHeight="1" thickBot="1" x14ac:dyDescent="0.25">
      <c r="A129" s="427"/>
      <c r="B129" s="428"/>
      <c r="C129" s="428"/>
      <c r="D129" s="428"/>
      <c r="E129" s="379"/>
      <c r="F129" s="418"/>
      <c r="G129" s="419"/>
      <c r="N129" s="510"/>
      <c r="O129" s="609" t="s">
        <v>87</v>
      </c>
      <c r="P129" s="610"/>
      <c r="Q129" s="365"/>
      <c r="R129" s="404"/>
      <c r="S129" s="404"/>
      <c r="T129" s="404"/>
      <c r="U129" s="404"/>
      <c r="V129" s="365"/>
      <c r="W129" s="365"/>
      <c r="X129" s="410"/>
    </row>
    <row r="130" spans="1:24" ht="9.9499999999999993" customHeight="1" x14ac:dyDescent="0.2">
      <c r="A130" s="427"/>
      <c r="B130" s="428"/>
      <c r="C130" s="428"/>
      <c r="D130" s="428"/>
      <c r="E130" s="379"/>
      <c r="F130" s="418"/>
      <c r="G130" s="419"/>
      <c r="I130" s="728" t="s">
        <v>158</v>
      </c>
      <c r="J130" s="729"/>
      <c r="K130" s="730" t="s">
        <v>156</v>
      </c>
      <c r="L130" s="731" t="s">
        <v>157</v>
      </c>
      <c r="O130" s="619" t="s">
        <v>96</v>
      </c>
      <c r="P130" s="620"/>
      <c r="Q130" s="365"/>
      <c r="R130" s="404"/>
      <c r="S130" s="404"/>
      <c r="T130" s="404"/>
      <c r="U130" s="404"/>
      <c r="V130" s="365"/>
      <c r="W130" s="365"/>
      <c r="X130" s="410"/>
    </row>
    <row r="131" spans="1:24" ht="9.9499999999999993" customHeight="1" x14ac:dyDescent="0.2">
      <c r="A131" s="427"/>
      <c r="B131" s="428"/>
      <c r="C131" s="428"/>
      <c r="D131" s="428"/>
      <c r="E131" s="379"/>
      <c r="F131" s="418"/>
      <c r="G131" s="419"/>
      <c r="I131" s="732"/>
      <c r="J131" s="733"/>
      <c r="K131" s="734"/>
      <c r="L131" s="735"/>
      <c r="O131" s="609" t="s">
        <v>89</v>
      </c>
      <c r="P131" s="610"/>
      <c r="Q131" s="365"/>
      <c r="R131" s="404"/>
      <c r="S131" s="404"/>
      <c r="T131" s="404"/>
      <c r="U131" s="404"/>
      <c r="V131" s="365"/>
      <c r="W131" s="365"/>
      <c r="X131" s="410"/>
    </row>
    <row r="132" spans="1:24" ht="9.9499999999999993" customHeight="1" x14ac:dyDescent="0.2">
      <c r="A132" s="427"/>
      <c r="B132" s="428"/>
      <c r="C132" s="428"/>
      <c r="D132" s="428"/>
      <c r="E132" s="379"/>
      <c r="F132" s="418"/>
      <c r="G132" s="419"/>
      <c r="I132" s="736"/>
      <c r="J132" s="737"/>
      <c r="K132" s="738"/>
      <c r="L132" s="739"/>
      <c r="O132" s="619" t="s">
        <v>90</v>
      </c>
      <c r="P132" s="620"/>
      <c r="Q132" s="365"/>
      <c r="R132" s="404"/>
      <c r="S132" s="404"/>
      <c r="T132" s="404"/>
      <c r="U132" s="404"/>
      <c r="V132" s="365"/>
      <c r="W132" s="365"/>
      <c r="X132" s="410"/>
    </row>
    <row r="133" spans="1:24" ht="9.9499999999999993" customHeight="1" thickBot="1" x14ac:dyDescent="0.25">
      <c r="A133" s="436"/>
      <c r="B133" s="437"/>
      <c r="C133" s="438"/>
      <c r="D133" s="437"/>
      <c r="E133" s="439"/>
      <c r="F133" s="440"/>
      <c r="G133" s="441"/>
      <c r="I133" s="740" t="s">
        <v>160</v>
      </c>
      <c r="J133" s="741"/>
      <c r="K133" s="365" t="s">
        <v>163</v>
      </c>
      <c r="L133" s="405">
        <v>1</v>
      </c>
      <c r="O133" s="609" t="s">
        <v>91</v>
      </c>
      <c r="P133" s="610"/>
      <c r="Q133" s="365"/>
      <c r="R133" s="404"/>
      <c r="S133" s="404"/>
      <c r="T133" s="404"/>
      <c r="U133" s="404"/>
      <c r="V133" s="365"/>
      <c r="W133" s="365"/>
      <c r="X133" s="410"/>
    </row>
    <row r="134" spans="1:24" ht="9.9499999999999993" customHeight="1" x14ac:dyDescent="0.2">
      <c r="A134" s="742" t="s">
        <v>101</v>
      </c>
      <c r="B134" s="743"/>
      <c r="C134" s="744" t="s">
        <v>197</v>
      </c>
      <c r="D134" s="745"/>
      <c r="E134" s="746"/>
      <c r="F134" s="747">
        <f>SUMIF(B123:B133,#REF!,F123:G133)</f>
        <v>0</v>
      </c>
      <c r="G134" s="748"/>
      <c r="I134" s="740" t="s">
        <v>159</v>
      </c>
      <c r="J134" s="741"/>
      <c r="K134" s="365" t="s">
        <v>178</v>
      </c>
      <c r="L134" s="405">
        <v>1</v>
      </c>
      <c r="O134" s="619" t="s">
        <v>97</v>
      </c>
      <c r="P134" s="620"/>
      <c r="Q134" s="365"/>
      <c r="R134" s="404"/>
      <c r="S134" s="404"/>
      <c r="T134" s="404"/>
      <c r="U134" s="404"/>
      <c r="V134" s="365"/>
      <c r="W134" s="365"/>
      <c r="X134" s="410"/>
    </row>
    <row r="135" spans="1:24" ht="9.9499999999999993" customHeight="1" thickBot="1" x14ac:dyDescent="0.25">
      <c r="A135" s="749"/>
      <c r="B135" s="750"/>
      <c r="C135" s="751" t="s">
        <v>238</v>
      </c>
      <c r="D135" s="752"/>
      <c r="E135" s="753"/>
      <c r="F135" s="754">
        <f>SUMIF(B123:B133,#REF!,F123:G133)</f>
        <v>0</v>
      </c>
      <c r="G135" s="755"/>
      <c r="I135" s="756" t="s">
        <v>161</v>
      </c>
      <c r="J135" s="757"/>
      <c r="K135" s="384" t="s">
        <v>162</v>
      </c>
      <c r="L135" s="407">
        <v>1</v>
      </c>
      <c r="N135" s="510"/>
      <c r="O135" s="609" t="s">
        <v>92</v>
      </c>
      <c r="P135" s="610"/>
      <c r="Q135" s="365"/>
      <c r="R135" s="404"/>
      <c r="S135" s="404"/>
      <c r="T135" s="404"/>
      <c r="U135" s="404"/>
      <c r="V135" s="365"/>
      <c r="W135" s="365"/>
      <c r="X135" s="410"/>
    </row>
    <row r="136" spans="1:24" ht="9.9499999999999993" customHeight="1" thickBot="1" x14ac:dyDescent="0.25">
      <c r="A136" s="758" t="s">
        <v>74</v>
      </c>
      <c r="B136" s="759"/>
      <c r="C136" s="759"/>
      <c r="D136" s="759"/>
      <c r="E136" s="759"/>
      <c r="F136" s="760">
        <f>SUM(F123:G133)</f>
        <v>0</v>
      </c>
      <c r="G136" s="761"/>
      <c r="N136" s="510"/>
      <c r="O136" s="619" t="s">
        <v>98</v>
      </c>
      <c r="P136" s="620"/>
      <c r="Q136" s="365"/>
      <c r="R136" s="404"/>
      <c r="S136" s="404"/>
      <c r="T136" s="404"/>
      <c r="U136" s="404"/>
      <c r="V136" s="365"/>
      <c r="W136" s="365"/>
      <c r="X136" s="410"/>
    </row>
    <row r="137" spans="1:24" ht="9.9499999999999993" customHeight="1" thickBot="1" x14ac:dyDescent="0.25">
      <c r="A137" s="762" t="s">
        <v>71</v>
      </c>
      <c r="B137" s="763"/>
      <c r="C137" s="763"/>
      <c r="D137" s="763"/>
      <c r="E137" s="764"/>
      <c r="F137" s="765">
        <f ca="1">F121-F136</f>
        <v>0</v>
      </c>
      <c r="G137" s="766"/>
      <c r="I137" s="672" t="s">
        <v>198</v>
      </c>
      <c r="J137" s="673"/>
      <c r="K137" s="673"/>
      <c r="L137" s="673"/>
      <c r="M137" s="674"/>
      <c r="N137" s="510"/>
      <c r="O137" s="609" t="s">
        <v>93</v>
      </c>
      <c r="P137" s="610"/>
      <c r="Q137" s="365"/>
      <c r="R137" s="404"/>
      <c r="S137" s="404"/>
      <c r="T137" s="404"/>
      <c r="U137" s="404"/>
      <c r="V137" s="365"/>
      <c r="W137" s="365"/>
      <c r="X137" s="410"/>
    </row>
    <row r="138" spans="1:24" ht="9.9499999999999993" customHeight="1" thickBot="1" x14ac:dyDescent="0.25">
      <c r="A138" s="767"/>
      <c r="B138" s="768"/>
      <c r="C138" s="768"/>
      <c r="D138" s="768"/>
      <c r="E138" s="769"/>
      <c r="F138" s="770"/>
      <c r="G138" s="771"/>
      <c r="I138" s="772" t="s">
        <v>84</v>
      </c>
      <c r="J138" s="773" t="s">
        <v>85</v>
      </c>
      <c r="K138" s="774" t="s">
        <v>42</v>
      </c>
      <c r="L138" s="711" t="s">
        <v>60</v>
      </c>
      <c r="M138" s="712"/>
      <c r="N138" s="775"/>
      <c r="O138" s="637" t="s">
        <v>94</v>
      </c>
      <c r="P138" s="638"/>
      <c r="Q138" s="384"/>
      <c r="R138" s="406"/>
      <c r="S138" s="406"/>
      <c r="T138" s="406"/>
      <c r="U138" s="406"/>
      <c r="V138" s="384"/>
      <c r="W138" s="384"/>
      <c r="X138" s="421"/>
    </row>
    <row r="139" spans="1:24" ht="9.9499999999999993" customHeight="1" x14ac:dyDescent="0.2">
      <c r="A139" s="776" t="s">
        <v>135</v>
      </c>
      <c r="B139" s="777" t="s">
        <v>136</v>
      </c>
      <c r="C139" s="777"/>
      <c r="D139" s="777"/>
      <c r="E139" s="777"/>
      <c r="F139" s="777" t="s">
        <v>137</v>
      </c>
      <c r="G139" s="778"/>
      <c r="I139" s="412"/>
      <c r="J139" s="413"/>
      <c r="K139" s="408"/>
      <c r="L139" s="414"/>
      <c r="M139" s="415"/>
      <c r="O139" s="639" t="s">
        <v>95</v>
      </c>
      <c r="P139" s="640"/>
      <c r="Q139" s="379"/>
      <c r="R139" s="408"/>
      <c r="S139" s="408"/>
      <c r="T139" s="408"/>
      <c r="U139" s="408"/>
      <c r="V139" s="379"/>
      <c r="W139" s="379"/>
      <c r="X139" s="422"/>
    </row>
    <row r="140" spans="1:24" ht="9.9499999999999993" customHeight="1" thickBot="1" x14ac:dyDescent="0.25">
      <c r="A140" s="779">
        <f>K121</f>
        <v>0</v>
      </c>
      <c r="B140" s="780">
        <f>SUMIF($E$123:$E$133,A140,$F$123:$G$133)</f>
        <v>0</v>
      </c>
      <c r="C140" s="780"/>
      <c r="D140" s="780"/>
      <c r="E140" s="780"/>
      <c r="F140" s="780">
        <f>H91+H42-B140</f>
        <v>0</v>
      </c>
      <c r="G140" s="781"/>
      <c r="I140" s="416"/>
      <c r="J140" s="417"/>
      <c r="K140" s="404"/>
      <c r="L140" s="414"/>
      <c r="M140" s="415"/>
      <c r="O140" s="609" t="s">
        <v>87</v>
      </c>
      <c r="P140" s="610"/>
      <c r="Q140" s="365"/>
      <c r="R140" s="404"/>
      <c r="S140" s="404"/>
      <c r="T140" s="404"/>
      <c r="U140" s="404"/>
      <c r="V140" s="365"/>
      <c r="W140" s="365"/>
      <c r="X140" s="410"/>
    </row>
    <row r="141" spans="1:24" ht="9.9499999999999993" customHeight="1" x14ac:dyDescent="0.2">
      <c r="A141" s="779">
        <f>K122</f>
        <v>0</v>
      </c>
      <c r="B141" s="780">
        <f>SUMIF($E$123:$E$133,A141,$F$123:$G$133)</f>
        <v>0</v>
      </c>
      <c r="C141" s="780"/>
      <c r="D141" s="780"/>
      <c r="E141" s="780"/>
      <c r="F141" s="780">
        <f>H92+H43-B141</f>
        <v>0</v>
      </c>
      <c r="G141" s="781"/>
      <c r="I141" s="742" t="s">
        <v>101</v>
      </c>
      <c r="J141" s="743" t="str">
        <f>C134</f>
        <v>CKB OTP</v>
      </c>
      <c r="K141" s="743"/>
      <c r="L141" s="747">
        <f>SUMIF(J137:J140,J141,L137:M140)</f>
        <v>0</v>
      </c>
      <c r="M141" s="748"/>
      <c r="O141" s="619" t="s">
        <v>96</v>
      </c>
      <c r="P141" s="620"/>
      <c r="Q141" s="365"/>
      <c r="R141" s="404"/>
      <c r="S141" s="404"/>
      <c r="T141" s="404"/>
      <c r="U141" s="404"/>
      <c r="V141" s="365"/>
      <c r="W141" s="365"/>
      <c r="X141" s="410"/>
    </row>
    <row r="142" spans="1:24" ht="9.9499999999999993" customHeight="1" thickBot="1" x14ac:dyDescent="0.25">
      <c r="A142" s="779">
        <f>K123</f>
        <v>0</v>
      </c>
      <c r="B142" s="780">
        <f>SUMIF($E$123:$E$133,A142,$F$123:$G$133)</f>
        <v>0</v>
      </c>
      <c r="C142" s="780"/>
      <c r="D142" s="780"/>
      <c r="E142" s="780"/>
      <c r="F142" s="780">
        <f>H93+H44-B142</f>
        <v>0</v>
      </c>
      <c r="G142" s="781"/>
      <c r="I142" s="749"/>
      <c r="J142" s="750" t="str">
        <f>C135</f>
        <v>ERSTE Bank</v>
      </c>
      <c r="K142" s="750"/>
      <c r="L142" s="754">
        <f>SUMIF(J137:J140,J142,L137:M140)</f>
        <v>0</v>
      </c>
      <c r="M142" s="755"/>
      <c r="O142" s="609" t="s">
        <v>89</v>
      </c>
      <c r="P142" s="610"/>
      <c r="Q142" s="365"/>
      <c r="R142" s="404"/>
      <c r="S142" s="404"/>
      <c r="T142" s="404"/>
      <c r="U142" s="404"/>
      <c r="V142" s="365"/>
      <c r="W142" s="365"/>
      <c r="X142" s="410"/>
    </row>
    <row r="143" spans="1:24" ht="9.9499999999999993" customHeight="1" thickBot="1" x14ac:dyDescent="0.25">
      <c r="A143" s="621" t="str">
        <f>K124</f>
        <v>xxx</v>
      </c>
      <c r="B143" s="782">
        <f>SUMIF($E$123:$E$133,A143,$F$123:$G$133)</f>
        <v>0</v>
      </c>
      <c r="C143" s="782"/>
      <c r="D143" s="782"/>
      <c r="E143" s="782"/>
      <c r="F143" s="782">
        <f>H94+H45-B143</f>
        <v>0</v>
      </c>
      <c r="G143" s="783"/>
      <c r="I143" s="784" t="s">
        <v>111</v>
      </c>
      <c r="J143" s="785"/>
      <c r="K143" s="785"/>
      <c r="L143" s="786">
        <f>SUM(L137:M140)</f>
        <v>0</v>
      </c>
      <c r="M143" s="787"/>
      <c r="O143" s="619" t="s">
        <v>90</v>
      </c>
      <c r="P143" s="620"/>
      <c r="Q143" s="365"/>
      <c r="R143" s="404"/>
      <c r="S143" s="404"/>
      <c r="T143" s="404"/>
      <c r="U143" s="404"/>
      <c r="V143" s="365"/>
      <c r="W143" s="365"/>
      <c r="X143" s="410"/>
    </row>
    <row r="144" spans="1:24" ht="9.9499999999999993" customHeight="1" thickBot="1" x14ac:dyDescent="0.25">
      <c r="O144" s="686" t="s">
        <v>99</v>
      </c>
      <c r="P144" s="687"/>
      <c r="Q144" s="687"/>
      <c r="R144" s="688">
        <f ca="1">IF($N$193="",SUM(R128:R143),"")</f>
        <v>0</v>
      </c>
      <c r="S144" s="688">
        <f t="shared" ref="S144" ca="1" si="38">IF($N$193="",SUM(S128:S143),"")</f>
        <v>0</v>
      </c>
      <c r="T144" s="688">
        <f t="shared" ref="T144" ca="1" si="39">IF($N$193="",SUM(T128:T143),"")</f>
        <v>0</v>
      </c>
      <c r="U144" s="688">
        <f t="shared" ref="U144" ca="1" si="40">IF($N$193="",SUM(U128:U143),"")</f>
        <v>0</v>
      </c>
      <c r="V144" s="688">
        <f t="shared" ref="V144" ca="1" si="41">IF($N$193="",SUM(V128:V143),"")</f>
        <v>0</v>
      </c>
      <c r="W144" s="688">
        <f t="shared" ref="W144" ca="1" si="42">IF($N$193="",SUM(W128:W143),"")</f>
        <v>0</v>
      </c>
      <c r="X144" s="689">
        <f t="shared" ref="X144" ca="1" si="43">IF($N$193="",SUM(X128:X143),"")</f>
        <v>0</v>
      </c>
    </row>
    <row r="145" spans="1:24" ht="9.9499999999999993" customHeight="1" x14ac:dyDescent="0.2">
      <c r="Q145" s="788">
        <f>Q120</f>
        <v>0</v>
      </c>
      <c r="R145" s="789">
        <f>SUMIF($Q$128:$Q$143,$Q145,R$128:R$143)</f>
        <v>0</v>
      </c>
      <c r="S145" s="789">
        <f>SUMIF($Q$128:$Q$143,$Q145,S$128:S$143)</f>
        <v>0</v>
      </c>
      <c r="T145" s="789">
        <f>SUMIF($Q$128:$Q$143,$Q145,T$128:T$143)</f>
        <v>0</v>
      </c>
      <c r="U145" s="789">
        <f>SUMIF($Q$128:$Q$143,$Q145,U$128:U$143)</f>
        <v>0</v>
      </c>
      <c r="V145" s="789">
        <f>SUMIF($Q$128:$Q$143,$Q145,V$128:V$143)</f>
        <v>0</v>
      </c>
      <c r="W145" s="789">
        <f>SUMIF($Q$128:$Q$143,$Q145,W$128:W$143)</f>
        <v>0</v>
      </c>
      <c r="X145" s="790">
        <f>SUMIF($Q$128:$Q$143,$Q145,X$128:X$143)</f>
        <v>0</v>
      </c>
    </row>
    <row r="146" spans="1:24" ht="9.9499999999999993" customHeight="1" x14ac:dyDescent="0.2">
      <c r="Q146" s="706">
        <f>Q121</f>
        <v>0</v>
      </c>
      <c r="R146" s="707">
        <f>SUMIF($Q$128:$Q$143,$Q146,R$128:R$143)</f>
        <v>0</v>
      </c>
      <c r="S146" s="707">
        <f>SUMIF($Q$128:$Q$143,$Q146,S$128:S$143)</f>
        <v>0</v>
      </c>
      <c r="T146" s="707">
        <f>SUMIF($Q$128:$Q$143,$Q146,T$128:T$143)</f>
        <v>0</v>
      </c>
      <c r="U146" s="707">
        <f>SUMIF($Q$128:$Q$143,$Q146,U$128:U$143)</f>
        <v>0</v>
      </c>
      <c r="V146" s="707">
        <f>SUMIF($Q$128:$Q$143,$Q146,V$128:V$143)</f>
        <v>0</v>
      </c>
      <c r="W146" s="707">
        <f>SUMIF($Q$128:$Q$143,$Q146,W$128:W$143)</f>
        <v>0</v>
      </c>
      <c r="X146" s="708">
        <f>SUMIF($Q$128:$Q$143,$Q146,X$128:X$143)</f>
        <v>0</v>
      </c>
    </row>
    <row r="147" spans="1:24" ht="9.9499999999999993" customHeight="1" x14ac:dyDescent="0.2">
      <c r="Q147" s="706">
        <f>Q122</f>
        <v>0</v>
      </c>
      <c r="R147" s="707">
        <f>SUMIF($Q$128:$Q$143,$Q147,R$128:R$143)</f>
        <v>0</v>
      </c>
      <c r="S147" s="707">
        <f>SUMIF($Q$128:$Q$143,$Q147,S$128:S$143)</f>
        <v>0</v>
      </c>
      <c r="T147" s="707">
        <f>SUMIF($Q$128:$Q$143,$Q147,T$128:T$143)</f>
        <v>0</v>
      </c>
      <c r="U147" s="707">
        <f>SUMIF($Q$128:$Q$143,$Q147,U$128:U$143)</f>
        <v>0</v>
      </c>
      <c r="V147" s="707">
        <f>SUMIF($Q$128:$Q$143,$Q147,V$128:V$143)</f>
        <v>0</v>
      </c>
      <c r="W147" s="707">
        <f>SUMIF($Q$128:$Q$143,$Q147,W$128:W$143)</f>
        <v>0</v>
      </c>
      <c r="X147" s="708">
        <f>SUMIF($Q$128:$Q$143,$Q147,X$128:X$143)</f>
        <v>0</v>
      </c>
    </row>
    <row r="148" spans="1:24" ht="9.9499999999999993" customHeight="1" thickBot="1" x14ac:dyDescent="0.25">
      <c r="M148" s="510"/>
      <c r="N148" s="510"/>
      <c r="Q148" s="714" t="str">
        <f>Q123</f>
        <v>xxx</v>
      </c>
      <c r="R148" s="591">
        <f>SUMIF($Q$128:$Q$143,$Q148,R$128:R$143)</f>
        <v>0</v>
      </c>
      <c r="S148" s="591">
        <f>SUMIF($Q$128:$Q$143,$Q148,S$128:S$143)</f>
        <v>0</v>
      </c>
      <c r="T148" s="591">
        <f>SUMIF($Q$128:$Q$143,$Q148,T$128:T$143)</f>
        <v>0</v>
      </c>
      <c r="U148" s="591">
        <f>SUMIF($Q$128:$Q$143,$Q148,U$128:U$143)</f>
        <v>0</v>
      </c>
      <c r="V148" s="591">
        <f>SUMIF($Q$103:$Q$118,$Q123,V$128:V$143)</f>
        <v>0</v>
      </c>
      <c r="W148" s="591">
        <f>SUMIF($Q$103:$Q$118,$Q123,W$128:W$143)</f>
        <v>0</v>
      </c>
      <c r="X148" s="593">
        <f>SUMIF($Q$103:$Q$118,$Q123,X$128:X$143)</f>
        <v>0</v>
      </c>
    </row>
    <row r="149" spans="1:24" ht="9.9499999999999993" customHeight="1" x14ac:dyDescent="0.2">
      <c r="A149" s="510" t="s">
        <v>165</v>
      </c>
      <c r="B149" s="510">
        <f>K121</f>
        <v>0</v>
      </c>
      <c r="C149" s="510"/>
      <c r="D149" s="510"/>
      <c r="H149" s="510" t="s">
        <v>172</v>
      </c>
      <c r="I149" s="791" t="str">
        <f>"od "&amp;L120&amp;". do"</f>
        <v>od 0. do</v>
      </c>
      <c r="J149" s="792" t="str">
        <f>L123&amp;"."</f>
        <v>3.</v>
      </c>
    </row>
    <row r="150" spans="1:24" ht="9.9499999999999993" customHeight="1" thickBot="1" x14ac:dyDescent="0.25">
      <c r="U150" s="826" t="str">
        <f>V99</f>
        <v>Verzija 7/2026</v>
      </c>
    </row>
    <row r="151" spans="1:24" ht="9.9499999999999993" customHeight="1" thickBot="1" x14ac:dyDescent="0.25">
      <c r="A151" s="571" t="s">
        <v>77</v>
      </c>
      <c r="B151" s="572"/>
      <c r="C151" s="572"/>
      <c r="D151" s="572"/>
      <c r="E151" s="572"/>
      <c r="F151" s="572"/>
      <c r="G151" s="572"/>
      <c r="H151" s="572"/>
      <c r="I151" s="572"/>
      <c r="J151" s="572"/>
      <c r="K151" s="572"/>
      <c r="L151" s="572"/>
      <c r="M151" s="572"/>
      <c r="N151" s="573"/>
    </row>
    <row r="152" spans="1:24" ht="9.9499999999999993" customHeight="1" thickBot="1" x14ac:dyDescent="0.25">
      <c r="A152" s="793" t="s">
        <v>59</v>
      </c>
      <c r="B152" s="794"/>
      <c r="C152" s="795"/>
      <c r="D152" s="795"/>
      <c r="E152" s="583" t="s">
        <v>67</v>
      </c>
      <c r="F152" s="584"/>
      <c r="G152" s="585"/>
      <c r="H152" s="455" t="s">
        <v>41</v>
      </c>
      <c r="I152" s="455" t="s">
        <v>62</v>
      </c>
      <c r="J152" s="455" t="s">
        <v>179</v>
      </c>
      <c r="K152" s="455" t="str">
        <f>K133</f>
        <v>Nož</v>
      </c>
      <c r="L152" s="455" t="str">
        <f>K134</f>
        <v>Bubrežnjak</v>
      </c>
      <c r="M152" s="455" t="str">
        <f>K135</f>
        <v>Kosmo</v>
      </c>
      <c r="N152" s="796" t="s">
        <v>177</v>
      </c>
    </row>
    <row r="153" spans="1:24" ht="9.9499999999999993" customHeight="1" x14ac:dyDescent="0.2">
      <c r="A153" s="423">
        <v>46204</v>
      </c>
      <c r="B153" s="424"/>
      <c r="C153" s="797" t="s">
        <v>102</v>
      </c>
      <c r="D153" s="798"/>
      <c r="E153" s="798"/>
      <c r="F153" s="798"/>
      <c r="G153" s="799"/>
      <c r="H153" s="401"/>
      <c r="I153" s="401"/>
      <c r="J153" s="401"/>
      <c r="K153" s="401"/>
      <c r="L153" s="401"/>
      <c r="M153" s="401"/>
      <c r="N153" s="420"/>
    </row>
    <row r="154" spans="1:24" ht="9.9499999999999993" customHeight="1" x14ac:dyDescent="0.2">
      <c r="A154" s="425">
        <v>46204</v>
      </c>
      <c r="B154" s="426"/>
      <c r="C154" s="800" t="s">
        <v>69</v>
      </c>
      <c r="D154" s="801"/>
      <c r="E154" s="801"/>
      <c r="F154" s="801"/>
      <c r="G154" s="802"/>
      <c r="H154" s="365"/>
      <c r="I154" s="365"/>
      <c r="J154" s="365"/>
      <c r="K154" s="365"/>
      <c r="L154" s="365"/>
      <c r="M154" s="365"/>
      <c r="N154" s="410"/>
    </row>
    <row r="155" spans="1:24" ht="9.9499999999999993" customHeight="1" x14ac:dyDescent="0.2">
      <c r="A155" s="427">
        <v>46204</v>
      </c>
      <c r="B155" s="428"/>
      <c r="C155" s="367" t="s">
        <v>154</v>
      </c>
      <c r="D155" s="368"/>
      <c r="E155" s="368"/>
      <c r="F155" s="368"/>
      <c r="G155" s="369"/>
      <c r="H155" s="365"/>
      <c r="I155" s="365"/>
      <c r="J155" s="365"/>
      <c r="K155" s="365"/>
      <c r="L155" s="365"/>
      <c r="M155" s="365"/>
      <c r="N155" s="410"/>
    </row>
    <row r="156" spans="1:24" ht="9.9499999999999993" customHeight="1" x14ac:dyDescent="0.2">
      <c r="A156" s="427"/>
      <c r="B156" s="428"/>
      <c r="C156" s="367" t="s">
        <v>155</v>
      </c>
      <c r="D156" s="368"/>
      <c r="E156" s="368"/>
      <c r="F156" s="368"/>
      <c r="G156" s="369"/>
      <c r="H156" s="365"/>
      <c r="I156" s="365"/>
      <c r="J156" s="365"/>
      <c r="K156" s="365"/>
      <c r="L156" s="365"/>
      <c r="M156" s="365"/>
      <c r="N156" s="410"/>
    </row>
    <row r="157" spans="1:24" ht="9.9499999999999993" customHeight="1" x14ac:dyDescent="0.2">
      <c r="A157" s="427"/>
      <c r="B157" s="428"/>
      <c r="C157" s="432"/>
      <c r="D157" s="442"/>
      <c r="E157" s="442"/>
      <c r="F157" s="442"/>
      <c r="G157" s="426"/>
      <c r="H157" s="365"/>
      <c r="I157" s="365"/>
      <c r="J157" s="365"/>
      <c r="K157" s="365"/>
      <c r="L157" s="365"/>
      <c r="M157" s="365"/>
      <c r="N157" s="410"/>
    </row>
    <row r="158" spans="1:24" ht="9.9499999999999993" customHeight="1" x14ac:dyDescent="0.2">
      <c r="A158" s="427"/>
      <c r="B158" s="428"/>
      <c r="C158" s="432"/>
      <c r="D158" s="442"/>
      <c r="E158" s="442"/>
      <c r="F158" s="442"/>
      <c r="G158" s="426"/>
      <c r="H158" s="365"/>
      <c r="I158" s="365"/>
      <c r="J158" s="365"/>
      <c r="K158" s="365"/>
      <c r="L158" s="365"/>
      <c r="M158" s="365"/>
      <c r="N158" s="410"/>
    </row>
    <row r="159" spans="1:24" ht="9.9499999999999993" customHeight="1" x14ac:dyDescent="0.2">
      <c r="A159" s="427"/>
      <c r="B159" s="428"/>
      <c r="C159" s="432"/>
      <c r="D159" s="442"/>
      <c r="E159" s="442"/>
      <c r="F159" s="442"/>
      <c r="G159" s="426"/>
      <c r="H159" s="365"/>
      <c r="I159" s="365"/>
      <c r="J159" s="365"/>
      <c r="K159" s="365"/>
      <c r="L159" s="365"/>
      <c r="M159" s="365"/>
      <c r="N159" s="410"/>
    </row>
    <row r="160" spans="1:24" ht="9.9499999999999993" customHeight="1" x14ac:dyDescent="0.2">
      <c r="A160" s="427"/>
      <c r="B160" s="428"/>
      <c r="C160" s="432"/>
      <c r="D160" s="442"/>
      <c r="E160" s="442"/>
      <c r="F160" s="442"/>
      <c r="G160" s="426"/>
      <c r="H160" s="365"/>
      <c r="I160" s="365"/>
      <c r="J160" s="365"/>
      <c r="K160" s="365"/>
      <c r="L160" s="365"/>
      <c r="M160" s="365"/>
      <c r="N160" s="410"/>
    </row>
    <row r="161" spans="1:24" ht="9.9499999999999993" customHeight="1" thickBot="1" x14ac:dyDescent="0.25">
      <c r="A161" s="803" t="s">
        <v>70</v>
      </c>
      <c r="B161" s="752"/>
      <c r="C161" s="752"/>
      <c r="D161" s="752"/>
      <c r="E161" s="752"/>
      <c r="F161" s="752"/>
      <c r="G161" s="726"/>
      <c r="H161" s="591">
        <f ca="1">IF($N$193="",SUM(H153:H160),"")</f>
        <v>0</v>
      </c>
      <c r="I161" s="591">
        <f t="shared" ref="I161:N161" ca="1" si="44">IF($N$193="",SUM(I153:I160),"")</f>
        <v>0</v>
      </c>
      <c r="J161" s="591">
        <f t="shared" ca="1" si="44"/>
        <v>0</v>
      </c>
      <c r="K161" s="591">
        <f t="shared" ca="1" si="44"/>
        <v>0</v>
      </c>
      <c r="L161" s="591">
        <f t="shared" ca="1" si="44"/>
        <v>0</v>
      </c>
      <c r="M161" s="591">
        <f t="shared" ca="1" si="44"/>
        <v>0</v>
      </c>
      <c r="N161" s="591">
        <f t="shared" ca="1" si="44"/>
        <v>0</v>
      </c>
    </row>
    <row r="162" spans="1:24" ht="9.9499999999999993" customHeight="1" x14ac:dyDescent="0.2">
      <c r="A162" s="804" t="s">
        <v>108</v>
      </c>
      <c r="B162" s="744" t="s">
        <v>105</v>
      </c>
      <c r="C162" s="721"/>
      <c r="D162" s="744" t="s">
        <v>106</v>
      </c>
      <c r="E162" s="721"/>
      <c r="F162" s="805" t="s">
        <v>108</v>
      </c>
      <c r="G162" s="805"/>
      <c r="H162" s="744" t="s">
        <v>153</v>
      </c>
      <c r="I162" s="745"/>
      <c r="J162" s="745"/>
      <c r="K162" s="745"/>
      <c r="L162" s="745"/>
      <c r="M162" s="745"/>
      <c r="N162" s="806"/>
    </row>
    <row r="163" spans="1:24" ht="9.9499999999999993" customHeight="1" x14ac:dyDescent="0.2">
      <c r="A163" s="779" t="str">
        <f>G4</f>
        <v>0. i 1.</v>
      </c>
      <c r="B163" s="807">
        <f ca="1">G41</f>
        <v>0</v>
      </c>
      <c r="C163" s="808"/>
      <c r="D163" s="809">
        <f ca="1">H41</f>
        <v>0</v>
      </c>
      <c r="E163" s="810"/>
      <c r="F163" s="811" t="s">
        <v>195</v>
      </c>
      <c r="G163" s="811"/>
      <c r="H163" s="812">
        <f ca="1">V41</f>
        <v>0</v>
      </c>
      <c r="I163" s="812">
        <f ca="1">W41</f>
        <v>0</v>
      </c>
      <c r="J163" s="812">
        <f ca="1">X41</f>
        <v>0</v>
      </c>
      <c r="K163" s="812">
        <f ca="1">U119*L133</f>
        <v>0</v>
      </c>
      <c r="L163" s="812">
        <f ca="1">V119*L134</f>
        <v>0</v>
      </c>
      <c r="M163" s="812">
        <f ca="1">W119*L135</f>
        <v>0</v>
      </c>
      <c r="N163" s="708">
        <f ca="1">X119</f>
        <v>0</v>
      </c>
    </row>
    <row r="164" spans="1:24" ht="9.9499999999999993" customHeight="1" thickBot="1" x14ac:dyDescent="0.25">
      <c r="A164" s="621" t="str">
        <f>S125</f>
        <v>2. i 3.</v>
      </c>
      <c r="B164" s="622">
        <f ca="1">G90</f>
        <v>0</v>
      </c>
      <c r="C164" s="623"/>
      <c r="D164" s="624">
        <f ca="1">H90</f>
        <v>0</v>
      </c>
      <c r="E164" s="625"/>
      <c r="F164" s="813" t="s">
        <v>196</v>
      </c>
      <c r="G164" s="813"/>
      <c r="H164" s="627">
        <f ca="1">V90</f>
        <v>0</v>
      </c>
      <c r="I164" s="627">
        <f ca="1">W90</f>
        <v>0</v>
      </c>
      <c r="J164" s="627">
        <f ca="1">X90</f>
        <v>0</v>
      </c>
      <c r="K164" s="812">
        <f ca="1">U144*L133</f>
        <v>0</v>
      </c>
      <c r="L164" s="812">
        <f ca="1">V144*L134</f>
        <v>0</v>
      </c>
      <c r="M164" s="812">
        <f ca="1">W144*L135</f>
        <v>0</v>
      </c>
      <c r="N164" s="593">
        <f ca="1">X144</f>
        <v>0</v>
      </c>
    </row>
    <row r="165" spans="1:24" ht="9.9499999999999993" customHeight="1" thickBot="1" x14ac:dyDescent="0.25">
      <c r="A165" s="814"/>
      <c r="B165" s="815">
        <f ca="1">B164+B163</f>
        <v>0</v>
      </c>
      <c r="C165" s="816"/>
      <c r="D165" s="632">
        <f ca="1">H90+H41</f>
        <v>0</v>
      </c>
      <c r="E165" s="633"/>
      <c r="F165" s="817" t="s">
        <v>109</v>
      </c>
      <c r="G165" s="817"/>
      <c r="H165" s="818">
        <f t="shared" ref="H165:N165" ca="1" si="45">SUM(H163:H164)</f>
        <v>0</v>
      </c>
      <c r="I165" s="818">
        <f t="shared" ca="1" si="45"/>
        <v>0</v>
      </c>
      <c r="J165" s="818">
        <f ca="1">SUM(J163:J164)</f>
        <v>0</v>
      </c>
      <c r="K165" s="818">
        <f ca="1">SUM(K163:K164)</f>
        <v>0</v>
      </c>
      <c r="L165" s="818">
        <f t="shared" ca="1" si="45"/>
        <v>0</v>
      </c>
      <c r="M165" s="818">
        <f t="shared" ca="1" si="45"/>
        <v>0</v>
      </c>
      <c r="N165" s="819">
        <f t="shared" ca="1" si="45"/>
        <v>0</v>
      </c>
    </row>
    <row r="166" spans="1:24" ht="9.9499999999999993" customHeight="1" x14ac:dyDescent="0.2">
      <c r="A166" s="611">
        <f>K121</f>
        <v>0</v>
      </c>
      <c r="B166" s="612">
        <f>G91+G42</f>
        <v>0</v>
      </c>
      <c r="C166" s="613"/>
      <c r="D166" s="614">
        <f>H91+H42</f>
        <v>0</v>
      </c>
      <c r="E166" s="615"/>
      <c r="F166" s="789" t="s">
        <v>107</v>
      </c>
      <c r="G166" s="789">
        <f>A166</f>
        <v>0</v>
      </c>
      <c r="H166" s="401"/>
      <c r="I166" s="401"/>
      <c r="J166" s="401"/>
      <c r="K166" s="789">
        <f>(U120+U145)*$L$133</f>
        <v>0</v>
      </c>
      <c r="L166" s="789">
        <f>(V120+V145)*$L$134</f>
        <v>0</v>
      </c>
      <c r="M166" s="789">
        <f>(W120+W145)*$L$135</f>
        <v>0</v>
      </c>
      <c r="N166" s="790">
        <f>X120+X145</f>
        <v>0</v>
      </c>
    </row>
    <row r="167" spans="1:24" ht="9.9499999999999993" customHeight="1" x14ac:dyDescent="0.2">
      <c r="A167" s="779">
        <f>K122</f>
        <v>0</v>
      </c>
      <c r="B167" s="807">
        <f>G92+G43</f>
        <v>0</v>
      </c>
      <c r="C167" s="808"/>
      <c r="D167" s="809">
        <f>H92+H43</f>
        <v>0</v>
      </c>
      <c r="E167" s="810"/>
      <c r="F167" s="707" t="s">
        <v>107</v>
      </c>
      <c r="G167" s="707">
        <f>A167</f>
        <v>0</v>
      </c>
      <c r="H167" s="365"/>
      <c r="I167" s="365"/>
      <c r="J167" s="365"/>
      <c r="K167" s="707">
        <f>(U121+U146)*$L$133</f>
        <v>0</v>
      </c>
      <c r="L167" s="707">
        <f>(V121+V146)*$L$134</f>
        <v>0</v>
      </c>
      <c r="M167" s="707">
        <f>(W121+W146)*$L$135</f>
        <v>0</v>
      </c>
      <c r="N167" s="708">
        <f>X121+X146</f>
        <v>0</v>
      </c>
    </row>
    <row r="168" spans="1:24" ht="9.9499999999999993" customHeight="1" x14ac:dyDescent="0.2">
      <c r="A168" s="779">
        <f>K123</f>
        <v>0</v>
      </c>
      <c r="B168" s="807">
        <f>G93+G44</f>
        <v>0</v>
      </c>
      <c r="C168" s="808"/>
      <c r="D168" s="809">
        <f>H93+H44</f>
        <v>0</v>
      </c>
      <c r="E168" s="810"/>
      <c r="F168" s="707" t="s">
        <v>107</v>
      </c>
      <c r="G168" s="707">
        <f>A168</f>
        <v>0</v>
      </c>
      <c r="H168" s="365"/>
      <c r="I168" s="365"/>
      <c r="J168" s="365"/>
      <c r="K168" s="707">
        <f>(U122+U147)*$L$133</f>
        <v>0</v>
      </c>
      <c r="L168" s="707">
        <f>(V122+V147)*$L$134</f>
        <v>0</v>
      </c>
      <c r="M168" s="707">
        <f>(W122+W147)*$L$135</f>
        <v>0</v>
      </c>
      <c r="N168" s="708">
        <f>X122+X147</f>
        <v>0</v>
      </c>
    </row>
    <row r="169" spans="1:24" ht="9.9499999999999993" customHeight="1" thickBot="1" x14ac:dyDescent="0.25">
      <c r="A169" s="621" t="str">
        <f>K124</f>
        <v>xxx</v>
      </c>
      <c r="B169" s="622">
        <f>G94+G45</f>
        <v>0</v>
      </c>
      <c r="C169" s="623"/>
      <c r="D169" s="624">
        <f>H94+H45</f>
        <v>0</v>
      </c>
      <c r="E169" s="625"/>
      <c r="F169" s="591" t="s">
        <v>107</v>
      </c>
      <c r="G169" s="591" t="str">
        <f>A169</f>
        <v>xxx</v>
      </c>
      <c r="H169" s="384"/>
      <c r="I169" s="384"/>
      <c r="J169" s="384"/>
      <c r="K169" s="591">
        <f>(U123+U148)*$L$133</f>
        <v>0</v>
      </c>
      <c r="L169" s="591">
        <f>(V123+V148)*$L$134</f>
        <v>0</v>
      </c>
      <c r="M169" s="591">
        <f>(W123+W148)*$L$135</f>
        <v>0</v>
      </c>
      <c r="N169" s="593">
        <f>X123+X148</f>
        <v>0</v>
      </c>
    </row>
    <row r="170" spans="1:24" ht="9.9499999999999993" customHeight="1" thickBot="1" x14ac:dyDescent="0.25">
      <c r="A170" s="820" t="s">
        <v>79</v>
      </c>
      <c r="B170" s="821"/>
      <c r="C170" s="821"/>
      <c r="D170" s="821"/>
      <c r="E170" s="821"/>
      <c r="F170" s="821"/>
      <c r="G170" s="822"/>
      <c r="H170" s="823">
        <f ca="1">H161-SUM(H163:H164)-SUM(H166:H169)</f>
        <v>0</v>
      </c>
      <c r="I170" s="823">
        <f ca="1">I161-SUM(I163:I164)-SUM(I166:I169)</f>
        <v>0</v>
      </c>
      <c r="J170" s="823">
        <f ca="1">J161-SUM(J163:J164)-SUM(J166:J169)</f>
        <v>0</v>
      </c>
      <c r="K170" s="823">
        <f ca="1">K161-K165</f>
        <v>0</v>
      </c>
      <c r="L170" s="823">
        <f ca="1">L161-L165</f>
        <v>0</v>
      </c>
      <c r="M170" s="823">
        <f ca="1">M161-M165</f>
        <v>0</v>
      </c>
      <c r="N170" s="824">
        <f ca="1">N161-N165</f>
        <v>0</v>
      </c>
    </row>
    <row r="171" spans="1:24" ht="9.9499999999999993" customHeight="1" x14ac:dyDescent="0.2">
      <c r="A171" s="827"/>
      <c r="B171" s="827"/>
      <c r="C171" s="827"/>
      <c r="D171" s="827"/>
      <c r="E171" s="827"/>
      <c r="F171" s="827"/>
      <c r="G171" s="827"/>
      <c r="H171" s="827"/>
      <c r="I171" s="827"/>
      <c r="J171" s="827"/>
      <c r="K171" s="827"/>
      <c r="L171" s="827"/>
      <c r="M171" s="827"/>
      <c r="N171" s="827"/>
      <c r="O171" s="827"/>
      <c r="P171" s="827"/>
      <c r="Q171" s="827"/>
      <c r="R171" s="827"/>
      <c r="S171" s="827"/>
      <c r="T171" s="827"/>
      <c r="U171" s="827"/>
      <c r="V171" s="827"/>
      <c r="W171" s="827"/>
      <c r="X171" s="827"/>
    </row>
    <row r="172" spans="1:24" ht="9.9499999999999993" customHeight="1" x14ac:dyDescent="0.2">
      <c r="A172" s="827"/>
      <c r="B172" s="827"/>
      <c r="C172" s="827"/>
      <c r="D172" s="827"/>
      <c r="E172" s="828" t="str">
        <f ca="1">IF(OR(G50&lt;&gt;"",G2&lt;&gt;""),"Nezavršena tablica !!!","")</f>
        <v/>
      </c>
      <c r="F172" s="828"/>
      <c r="G172" s="828"/>
      <c r="H172" s="828"/>
      <c r="I172" s="828"/>
      <c r="J172" s="828"/>
      <c r="K172" s="828"/>
      <c r="L172" s="828"/>
      <c r="M172" s="828"/>
      <c r="N172" s="828"/>
      <c r="O172" s="827"/>
      <c r="P172" s="827"/>
      <c r="Q172" s="827"/>
      <c r="R172" s="827"/>
      <c r="S172" s="827"/>
      <c r="T172" s="827"/>
      <c r="U172" s="827"/>
      <c r="V172" s="827"/>
      <c r="W172" s="827"/>
      <c r="X172" s="827"/>
    </row>
    <row r="173" spans="1:24" x14ac:dyDescent="0.2">
      <c r="A173" s="827"/>
      <c r="B173" s="827"/>
      <c r="C173" s="827"/>
      <c r="D173" s="827"/>
      <c r="E173" s="828"/>
      <c r="F173" s="828"/>
      <c r="G173" s="828"/>
      <c r="H173" s="828"/>
      <c r="I173" s="828"/>
      <c r="J173" s="828"/>
      <c r="K173" s="828"/>
      <c r="L173" s="828"/>
      <c r="M173" s="828"/>
      <c r="N173" s="828"/>
      <c r="O173" s="827"/>
      <c r="P173" s="827"/>
      <c r="Q173" s="827"/>
      <c r="R173" s="827"/>
      <c r="S173" s="827"/>
      <c r="T173" s="827"/>
      <c r="U173" s="827"/>
      <c r="V173" s="827"/>
      <c r="W173" s="827"/>
      <c r="X173" s="827"/>
    </row>
    <row r="174" spans="1:24" x14ac:dyDescent="0.2">
      <c r="A174" s="827"/>
      <c r="B174" s="827"/>
      <c r="C174" s="827"/>
      <c r="D174" s="827"/>
      <c r="E174" s="827"/>
      <c r="F174" s="827"/>
      <c r="G174" s="827"/>
      <c r="H174" s="827"/>
      <c r="I174" s="827"/>
      <c r="J174" s="827"/>
      <c r="K174" s="827"/>
      <c r="L174" s="827"/>
      <c r="M174" s="827"/>
      <c r="N174" s="827"/>
      <c r="O174" s="827"/>
      <c r="P174" s="827"/>
      <c r="Q174" s="827"/>
      <c r="R174" s="827"/>
      <c r="S174" s="827"/>
      <c r="T174" s="827"/>
      <c r="U174" s="827"/>
      <c r="V174" s="827"/>
      <c r="W174" s="827"/>
      <c r="X174" s="827"/>
    </row>
    <row r="175" spans="1:24" x14ac:dyDescent="0.2">
      <c r="A175" s="827"/>
      <c r="B175" s="827"/>
      <c r="C175" s="827"/>
      <c r="D175" s="827"/>
      <c r="E175" s="827"/>
      <c r="F175" s="827"/>
      <c r="G175" s="827"/>
      <c r="H175" s="827"/>
      <c r="I175" s="827"/>
      <c r="J175" s="827"/>
      <c r="K175" s="827"/>
      <c r="L175" s="827"/>
      <c r="M175" s="827"/>
      <c r="N175" s="827"/>
      <c r="O175" s="827"/>
      <c r="P175" s="827"/>
      <c r="Q175" s="827"/>
      <c r="R175" s="827"/>
      <c r="S175" s="827"/>
      <c r="T175" s="827"/>
      <c r="U175" s="827"/>
      <c r="V175" s="827"/>
      <c r="W175" s="827"/>
      <c r="X175" s="827"/>
    </row>
    <row r="176" spans="1:24" x14ac:dyDescent="0.2">
      <c r="A176" s="827"/>
      <c r="B176" s="827"/>
      <c r="C176" s="827"/>
      <c r="D176" s="827"/>
      <c r="E176" s="827"/>
      <c r="F176" s="827"/>
      <c r="G176" s="827"/>
      <c r="H176" s="827"/>
      <c r="I176" s="827"/>
      <c r="J176" s="827"/>
      <c r="K176" s="827"/>
      <c r="L176" s="827"/>
      <c r="M176" s="827"/>
      <c r="N176" s="827"/>
      <c r="O176" s="827"/>
      <c r="P176" s="827"/>
      <c r="Q176" s="827"/>
      <c r="R176" s="827"/>
      <c r="S176" s="827"/>
      <c r="T176" s="827"/>
      <c r="U176" s="827"/>
      <c r="V176" s="827"/>
      <c r="W176" s="827"/>
      <c r="X176" s="827"/>
    </row>
    <row r="177" spans="1:24" x14ac:dyDescent="0.2">
      <c r="A177" s="827"/>
      <c r="B177" s="827"/>
      <c r="C177" s="827"/>
      <c r="D177" s="827"/>
      <c r="E177" s="827"/>
      <c r="F177" s="827"/>
      <c r="G177" s="827"/>
      <c r="H177" s="827"/>
      <c r="I177" s="827"/>
      <c r="J177" s="827"/>
      <c r="K177" s="827"/>
      <c r="L177" s="827"/>
      <c r="M177" s="827"/>
      <c r="N177" s="827"/>
      <c r="O177" s="827"/>
      <c r="P177" s="827"/>
      <c r="Q177" s="827"/>
      <c r="R177" s="827"/>
      <c r="S177" s="827"/>
      <c r="T177" s="827"/>
      <c r="U177" s="827"/>
      <c r="V177" s="827"/>
      <c r="W177" s="827"/>
      <c r="X177" s="827"/>
    </row>
    <row r="178" spans="1:24" x14ac:dyDescent="0.2">
      <c r="A178" s="827"/>
      <c r="B178" s="827"/>
      <c r="C178" s="827"/>
      <c r="D178" s="827"/>
      <c r="E178" s="827"/>
      <c r="F178" s="827"/>
      <c r="G178" s="827"/>
      <c r="H178" s="827"/>
      <c r="I178" s="827"/>
      <c r="J178" s="827"/>
      <c r="K178" s="827"/>
      <c r="L178" s="827"/>
      <c r="M178" s="827"/>
      <c r="N178" s="827"/>
      <c r="O178" s="827"/>
      <c r="P178" s="827"/>
      <c r="Q178" s="827"/>
      <c r="R178" s="827"/>
      <c r="S178" s="827"/>
      <c r="T178" s="827"/>
      <c r="U178" s="827"/>
      <c r="V178" s="827"/>
      <c r="W178" s="827"/>
      <c r="X178" s="827"/>
    </row>
    <row r="179" spans="1:24" x14ac:dyDescent="0.2">
      <c r="A179" s="827"/>
      <c r="B179" s="827"/>
      <c r="C179" s="827"/>
      <c r="D179" s="827"/>
      <c r="E179" s="827"/>
      <c r="F179" s="827"/>
      <c r="G179" s="827"/>
      <c r="H179" s="827"/>
      <c r="I179" s="827"/>
      <c r="J179" s="827"/>
      <c r="K179" s="827"/>
      <c r="L179" s="827"/>
      <c r="M179" s="827"/>
      <c r="N179" s="827"/>
      <c r="O179" s="827"/>
      <c r="P179" s="827"/>
      <c r="Q179" s="827"/>
      <c r="R179" s="827"/>
      <c r="S179" s="827"/>
      <c r="T179" s="827"/>
      <c r="U179" s="827"/>
      <c r="V179" s="827"/>
      <c r="W179" s="827"/>
      <c r="X179" s="827"/>
    </row>
    <row r="180" spans="1:24" x14ac:dyDescent="0.2">
      <c r="A180" s="827"/>
      <c r="B180" s="827"/>
      <c r="C180" s="827"/>
      <c r="D180" s="827"/>
      <c r="E180" s="827"/>
      <c r="F180" s="827"/>
      <c r="G180" s="827"/>
      <c r="H180" s="827"/>
      <c r="I180" s="827"/>
      <c r="J180" s="827"/>
      <c r="K180" s="827"/>
      <c r="L180" s="827"/>
      <c r="M180" s="827"/>
      <c r="N180" s="827"/>
      <c r="O180" s="827"/>
      <c r="P180" s="827"/>
      <c r="Q180" s="827"/>
      <c r="R180" s="827"/>
      <c r="S180" s="827"/>
      <c r="T180" s="827"/>
      <c r="U180" s="827"/>
      <c r="V180" s="827"/>
      <c r="W180" s="827"/>
      <c r="X180" s="827"/>
    </row>
    <row r="181" spans="1:24" x14ac:dyDescent="0.2">
      <c r="A181" s="827"/>
      <c r="B181" s="827"/>
      <c r="C181" s="827"/>
      <c r="D181" s="827"/>
      <c r="E181" s="827"/>
      <c r="F181" s="827"/>
      <c r="G181" s="827"/>
      <c r="H181" s="827"/>
      <c r="I181" s="827"/>
      <c r="J181" s="827"/>
      <c r="K181" s="827"/>
      <c r="L181" s="827"/>
      <c r="M181" s="827"/>
      <c r="N181" s="827"/>
      <c r="O181" s="827"/>
      <c r="P181" s="827"/>
      <c r="Q181" s="827"/>
      <c r="R181" s="827"/>
      <c r="S181" s="827"/>
      <c r="T181" s="827"/>
      <c r="U181" s="827"/>
      <c r="V181" s="827"/>
      <c r="W181" s="827"/>
      <c r="X181" s="827"/>
    </row>
    <row r="182" spans="1:24" x14ac:dyDescent="0.2">
      <c r="A182" s="827"/>
      <c r="B182" s="827"/>
      <c r="C182" s="827"/>
      <c r="D182" s="827"/>
      <c r="E182" s="827"/>
      <c r="F182" s="827"/>
      <c r="G182" s="827"/>
      <c r="H182" s="827"/>
      <c r="I182" s="827"/>
      <c r="J182" s="827"/>
      <c r="K182" s="827"/>
      <c r="L182" s="827"/>
      <c r="M182" s="827"/>
      <c r="N182" s="827"/>
      <c r="O182" s="827"/>
      <c r="P182" s="827"/>
      <c r="Q182" s="827"/>
      <c r="R182" s="827"/>
      <c r="S182" s="827"/>
      <c r="T182" s="827"/>
      <c r="U182" s="827"/>
      <c r="V182" s="827"/>
      <c r="W182" s="827"/>
      <c r="X182" s="827"/>
    </row>
    <row r="183" spans="1:24" x14ac:dyDescent="0.2">
      <c r="A183" s="827"/>
      <c r="B183" s="827"/>
      <c r="C183" s="827"/>
      <c r="D183" s="827"/>
      <c r="E183" s="827"/>
      <c r="F183" s="827"/>
      <c r="G183" s="827"/>
      <c r="H183" s="827"/>
      <c r="I183" s="827"/>
      <c r="J183" s="827"/>
      <c r="K183" s="827"/>
      <c r="L183" s="827"/>
      <c r="M183" s="827"/>
      <c r="N183" s="827"/>
      <c r="O183" s="827"/>
      <c r="P183" s="827"/>
      <c r="Q183" s="827"/>
      <c r="R183" s="827"/>
      <c r="S183" s="827"/>
      <c r="T183" s="827"/>
      <c r="U183" s="827"/>
      <c r="V183" s="827"/>
      <c r="W183" s="827"/>
      <c r="X183" s="827"/>
    </row>
    <row r="184" spans="1:24" x14ac:dyDescent="0.2">
      <c r="A184" s="827"/>
      <c r="B184" s="827"/>
      <c r="C184" s="827"/>
      <c r="D184" s="827"/>
      <c r="E184" s="827"/>
      <c r="F184" s="827"/>
      <c r="G184" s="827"/>
      <c r="H184" s="827"/>
      <c r="I184" s="827"/>
      <c r="J184" s="827"/>
      <c r="K184" s="827"/>
      <c r="L184" s="827"/>
      <c r="M184" s="827"/>
      <c r="N184" s="827"/>
      <c r="O184" s="827"/>
      <c r="P184" s="827"/>
      <c r="Q184" s="827"/>
      <c r="R184" s="827"/>
      <c r="S184" s="827"/>
      <c r="T184" s="827"/>
      <c r="U184" s="827"/>
      <c r="V184" s="827"/>
      <c r="W184" s="827"/>
      <c r="X184" s="827"/>
    </row>
    <row r="185" spans="1:24" x14ac:dyDescent="0.2">
      <c r="A185" s="827"/>
      <c r="B185" s="827"/>
      <c r="C185" s="827"/>
      <c r="D185" s="827"/>
      <c r="E185" s="827"/>
      <c r="F185" s="827"/>
      <c r="G185" s="827"/>
      <c r="H185" s="827"/>
      <c r="I185" s="827"/>
      <c r="J185" s="827"/>
      <c r="K185" s="827"/>
      <c r="L185" s="827"/>
      <c r="M185" s="827"/>
      <c r="N185" s="827"/>
      <c r="O185" s="827"/>
      <c r="P185" s="827"/>
      <c r="Q185" s="827"/>
      <c r="R185" s="827"/>
      <c r="S185" s="827"/>
      <c r="T185" s="827"/>
      <c r="U185" s="827"/>
      <c r="V185" s="827"/>
      <c r="W185" s="827"/>
      <c r="X185" s="827"/>
    </row>
    <row r="186" spans="1:24" x14ac:dyDescent="0.2">
      <c r="A186" s="827"/>
      <c r="B186" s="827"/>
      <c r="C186" s="827"/>
      <c r="D186" s="827"/>
      <c r="E186" s="827"/>
      <c r="F186" s="827"/>
      <c r="G186" s="827"/>
      <c r="H186" s="827"/>
      <c r="I186" s="827"/>
      <c r="J186" s="827"/>
      <c r="K186" s="827"/>
      <c r="L186" s="827"/>
      <c r="M186" s="827"/>
      <c r="N186" s="827"/>
      <c r="O186" s="827"/>
      <c r="P186" s="827"/>
      <c r="Q186" s="827"/>
      <c r="R186" s="827"/>
      <c r="S186" s="827"/>
      <c r="T186" s="827"/>
      <c r="U186" s="827"/>
      <c r="V186" s="827"/>
      <c r="W186" s="827"/>
      <c r="X186" s="827"/>
    </row>
    <row r="187" spans="1:24" x14ac:dyDescent="0.2">
      <c r="A187" s="827"/>
      <c r="B187" s="827"/>
      <c r="C187" s="827"/>
      <c r="D187" s="827"/>
      <c r="E187" s="827"/>
      <c r="F187" s="827"/>
      <c r="G187" s="827"/>
      <c r="H187" s="827"/>
      <c r="I187" s="827"/>
      <c r="J187" s="827"/>
      <c r="K187" s="827"/>
      <c r="L187" s="827"/>
      <c r="M187" s="827"/>
      <c r="N187" s="827"/>
      <c r="O187" s="827"/>
      <c r="P187" s="827"/>
      <c r="Q187" s="827"/>
      <c r="R187" s="827"/>
      <c r="S187" s="827"/>
      <c r="T187" s="827"/>
      <c r="U187" s="827"/>
      <c r="V187" s="827"/>
      <c r="W187" s="827"/>
      <c r="X187" s="827"/>
    </row>
    <row r="188" spans="1:24" x14ac:dyDescent="0.2">
      <c r="A188" s="827"/>
      <c r="B188" s="827"/>
      <c r="C188" s="827"/>
      <c r="D188" s="827"/>
      <c r="E188" s="827"/>
      <c r="F188" s="827"/>
      <c r="G188" s="827"/>
      <c r="H188" s="827"/>
      <c r="I188" s="827"/>
      <c r="J188" s="827"/>
      <c r="K188" s="827"/>
      <c r="L188" s="827"/>
      <c r="M188" s="827"/>
      <c r="N188" s="827"/>
      <c r="O188" s="827"/>
      <c r="P188" s="827"/>
      <c r="Q188" s="827"/>
      <c r="R188" s="827"/>
      <c r="S188" s="827"/>
      <c r="T188" s="827"/>
      <c r="U188" s="827"/>
      <c r="V188" s="827"/>
      <c r="W188" s="827"/>
      <c r="X188" s="827"/>
    </row>
    <row r="189" spans="1:24" x14ac:dyDescent="0.2">
      <c r="A189" s="827"/>
      <c r="B189" s="827"/>
      <c r="C189" s="827"/>
      <c r="D189" s="827"/>
      <c r="E189" s="827"/>
      <c r="F189" s="827"/>
      <c r="G189" s="827"/>
      <c r="H189" s="827"/>
      <c r="I189" s="827"/>
      <c r="J189" s="827"/>
      <c r="K189" s="827"/>
      <c r="L189" s="827"/>
      <c r="M189" s="827"/>
      <c r="N189" s="827"/>
      <c r="O189" s="827"/>
      <c r="P189" s="827"/>
      <c r="Q189" s="827"/>
      <c r="R189" s="827"/>
      <c r="S189" s="827"/>
      <c r="T189" s="827"/>
      <c r="U189" s="827"/>
      <c r="V189" s="827"/>
      <c r="W189" s="827"/>
      <c r="X189" s="827"/>
    </row>
    <row r="190" spans="1:24" x14ac:dyDescent="0.2">
      <c r="A190" s="827"/>
      <c r="B190" s="827"/>
      <c r="C190" s="827"/>
      <c r="D190" s="827"/>
      <c r="E190" s="827"/>
      <c r="F190" s="827"/>
      <c r="G190" s="827"/>
      <c r="H190" s="827"/>
      <c r="I190" s="827"/>
      <c r="J190" s="827"/>
      <c r="K190" s="827"/>
      <c r="L190" s="827"/>
      <c r="M190" s="827"/>
      <c r="N190" s="827"/>
      <c r="O190" s="827"/>
      <c r="P190" s="827"/>
      <c r="Q190" s="827"/>
      <c r="R190" s="827"/>
      <c r="S190" s="827"/>
      <c r="T190" s="827"/>
      <c r="U190" s="827"/>
      <c r="V190" s="827"/>
      <c r="W190" s="827"/>
      <c r="X190" s="827"/>
    </row>
    <row r="191" spans="1:24" x14ac:dyDescent="0.2">
      <c r="A191" s="827"/>
      <c r="B191" s="827"/>
      <c r="C191" s="827"/>
      <c r="D191" s="827"/>
      <c r="E191" s="827"/>
      <c r="F191" s="827"/>
      <c r="G191" s="827"/>
      <c r="H191" s="827"/>
      <c r="I191" s="827"/>
      <c r="J191" s="827"/>
      <c r="K191" s="827"/>
      <c r="L191" s="827"/>
      <c r="M191" s="827"/>
      <c r="N191" s="827"/>
      <c r="O191" s="827"/>
      <c r="P191" s="827"/>
      <c r="Q191" s="827"/>
      <c r="R191" s="827"/>
      <c r="S191" s="827"/>
      <c r="T191" s="827"/>
      <c r="U191" s="827"/>
      <c r="V191" s="827"/>
      <c r="W191" s="827"/>
      <c r="X191" s="827"/>
    </row>
    <row r="192" spans="1:24" x14ac:dyDescent="0.2">
      <c r="A192" s="827"/>
      <c r="B192" s="827"/>
      <c r="C192" s="827"/>
      <c r="D192" s="827"/>
      <c r="E192" s="827"/>
      <c r="F192" s="827"/>
      <c r="G192" s="827"/>
      <c r="H192" s="827"/>
      <c r="I192" s="827"/>
      <c r="J192" s="827"/>
      <c r="K192" s="827"/>
      <c r="L192" s="827"/>
      <c r="M192" s="827"/>
      <c r="N192" s="827"/>
      <c r="O192" s="827"/>
      <c r="P192" s="827"/>
      <c r="Q192" s="827"/>
      <c r="R192" s="827"/>
      <c r="S192" s="827"/>
      <c r="T192" s="827"/>
      <c r="U192" s="827"/>
      <c r="V192" s="827"/>
      <c r="W192" s="827"/>
      <c r="X192" s="827"/>
    </row>
    <row r="193" spans="1:24" ht="9.75" x14ac:dyDescent="0.2">
      <c r="A193" s="827"/>
      <c r="B193" s="827"/>
      <c r="C193" s="827"/>
      <c r="D193" s="827"/>
      <c r="E193" s="827"/>
      <c r="F193" s="827"/>
      <c r="G193" s="827"/>
      <c r="H193" s="827"/>
      <c r="I193" s="827"/>
      <c r="J193" s="827"/>
      <c r="K193" s="827"/>
      <c r="L193" s="827"/>
      <c r="M193" s="827"/>
      <c r="N193" s="829" t="str">
        <f ca="1">IF((TODAY()&gt;$W$200), "LICENCA JE ISTEKLA","")</f>
        <v/>
      </c>
      <c r="O193" s="829"/>
      <c r="P193" s="829"/>
      <c r="Q193" s="829"/>
      <c r="R193" s="829"/>
      <c r="S193" s="829"/>
      <c r="T193" s="829"/>
      <c r="U193" s="829"/>
      <c r="V193" s="830"/>
      <c r="W193" s="830"/>
      <c r="X193" s="830"/>
    </row>
    <row r="194" spans="1:24" ht="9.75" x14ac:dyDescent="0.2">
      <c r="A194" s="827"/>
      <c r="B194" s="827"/>
      <c r="C194" s="827"/>
      <c r="D194" s="827"/>
      <c r="E194" s="827"/>
      <c r="F194" s="827"/>
      <c r="G194" s="827"/>
      <c r="H194" s="827"/>
      <c r="I194" s="827"/>
      <c r="J194" s="827"/>
      <c r="K194" s="827"/>
      <c r="L194" s="827"/>
      <c r="M194" s="827"/>
      <c r="N194" s="829"/>
      <c r="O194" s="829"/>
      <c r="P194" s="829"/>
      <c r="Q194" s="829"/>
      <c r="R194" s="829"/>
      <c r="S194" s="829"/>
      <c r="T194" s="829"/>
      <c r="U194" s="829"/>
      <c r="V194" s="830"/>
      <c r="W194" s="830"/>
      <c r="X194" s="830"/>
    </row>
    <row r="195" spans="1:24" ht="12.75" x14ac:dyDescent="0.2">
      <c r="A195" s="827"/>
      <c r="B195" s="827"/>
      <c r="C195" s="827"/>
      <c r="D195" s="827"/>
      <c r="E195" s="827"/>
      <c r="F195" s="827"/>
      <c r="G195" s="827"/>
      <c r="H195" s="827"/>
      <c r="I195" s="827"/>
      <c r="J195" s="827"/>
      <c r="K195" s="827"/>
      <c r="L195" s="827"/>
      <c r="M195" s="827"/>
      <c r="N195" s="831" t="str">
        <f ca="1">IF(TODAY()&gt;=$W$200,"LICENCA ISTIČE ","")</f>
        <v/>
      </c>
      <c r="O195" s="831"/>
      <c r="P195" s="831"/>
      <c r="Q195" s="831"/>
      <c r="R195" s="832" t="str">
        <f ca="1">IF(TODAY()&gt;=$W$200,W200,"")</f>
        <v/>
      </c>
      <c r="S195" s="832"/>
      <c r="T195" s="832"/>
      <c r="U195" s="832"/>
      <c r="V195" s="833"/>
      <c r="W195" s="830"/>
      <c r="X195" s="830"/>
    </row>
    <row r="196" spans="1:24" ht="12.75" x14ac:dyDescent="0.2">
      <c r="A196" s="827"/>
      <c r="B196" s="827"/>
      <c r="C196" s="827"/>
      <c r="D196" s="827"/>
      <c r="E196" s="827"/>
      <c r="F196" s="827"/>
      <c r="G196" s="827"/>
      <c r="H196" s="827"/>
      <c r="I196" s="827"/>
      <c r="J196" s="827"/>
      <c r="K196" s="827"/>
      <c r="L196" s="827"/>
      <c r="M196" s="827"/>
      <c r="N196" s="831"/>
      <c r="O196" s="831"/>
      <c r="P196" s="831"/>
      <c r="Q196" s="831"/>
      <c r="R196" s="832"/>
      <c r="S196" s="832"/>
      <c r="T196" s="832"/>
      <c r="U196" s="832"/>
      <c r="V196" s="833"/>
      <c r="W196" s="830"/>
      <c r="X196" s="830"/>
    </row>
    <row r="197" spans="1:24" ht="9.75" x14ac:dyDescent="0.2">
      <c r="A197" s="827"/>
      <c r="B197" s="827"/>
      <c r="C197" s="827"/>
      <c r="D197" s="827"/>
      <c r="E197" s="827"/>
      <c r="F197" s="827"/>
      <c r="G197" s="827"/>
      <c r="H197" s="827"/>
      <c r="I197" s="827"/>
      <c r="J197" s="827"/>
      <c r="K197" s="827"/>
      <c r="L197" s="827"/>
      <c r="M197" s="827"/>
      <c r="N197" s="834" t="str">
        <f ca="1">IF(TODAY()&gt;=$W$200,"Još "&amp;($W$200-TODAY())&amp;"dana vrijedi.","")</f>
        <v/>
      </c>
      <c r="O197" s="834"/>
      <c r="P197" s="834"/>
      <c r="Q197" s="834"/>
      <c r="R197" s="834"/>
      <c r="S197" s="834"/>
      <c r="T197" s="834"/>
      <c r="U197" s="834"/>
      <c r="V197" s="830"/>
      <c r="W197" s="830"/>
      <c r="X197" s="830"/>
    </row>
    <row r="198" spans="1:24" ht="9.75" x14ac:dyDescent="0.2">
      <c r="A198" s="827"/>
      <c r="B198" s="827"/>
      <c r="C198" s="827"/>
      <c r="D198" s="827"/>
      <c r="E198" s="827"/>
      <c r="F198" s="827"/>
      <c r="G198" s="827"/>
      <c r="H198" s="827"/>
      <c r="I198" s="827"/>
      <c r="J198" s="827"/>
      <c r="K198" s="827"/>
      <c r="L198" s="827"/>
      <c r="M198" s="827"/>
      <c r="N198" s="834"/>
      <c r="O198" s="834"/>
      <c r="P198" s="834"/>
      <c r="Q198" s="834"/>
      <c r="R198" s="834"/>
      <c r="S198" s="834"/>
      <c r="T198" s="834"/>
      <c r="U198" s="834"/>
      <c r="V198" s="830"/>
      <c r="W198" s="830"/>
      <c r="X198" s="830"/>
    </row>
    <row r="199" spans="1:24" ht="9" customHeight="1" x14ac:dyDescent="0.2">
      <c r="A199" s="827"/>
      <c r="B199" s="827"/>
      <c r="C199" s="827"/>
      <c r="D199" s="827"/>
      <c r="E199" s="827"/>
      <c r="F199" s="827"/>
      <c r="G199" s="827"/>
      <c r="H199" s="827"/>
      <c r="I199" s="827"/>
      <c r="J199" s="827"/>
      <c r="K199" s="827"/>
      <c r="L199" s="827"/>
      <c r="M199" s="827"/>
      <c r="N199" s="830"/>
      <c r="O199" s="830"/>
      <c r="P199" s="830"/>
      <c r="Q199" s="830"/>
      <c r="R199" s="830"/>
      <c r="S199" s="830"/>
      <c r="T199" s="835" t="str">
        <f ca="1">IF(TODAY()&gt;$W$200-180,"Licenca vrijedi do:","")</f>
        <v/>
      </c>
      <c r="U199" s="835"/>
      <c r="V199" s="835"/>
      <c r="W199" s="836" t="str">
        <f ca="1">IF(TODAY()&gt;$W$200-180,$W$200,"")</f>
        <v/>
      </c>
      <c r="X199" s="836"/>
    </row>
    <row r="200" spans="1:24" ht="9.75" x14ac:dyDescent="0.2">
      <c r="A200" s="827"/>
      <c r="B200" s="827"/>
      <c r="C200" s="827"/>
      <c r="D200" s="827"/>
      <c r="E200" s="827"/>
      <c r="F200" s="827"/>
      <c r="G200" s="827"/>
      <c r="H200" s="827"/>
      <c r="I200" s="827"/>
      <c r="J200" s="827"/>
      <c r="K200" s="827"/>
      <c r="L200" s="827"/>
      <c r="M200" s="827"/>
      <c r="N200" s="830"/>
      <c r="O200" s="830"/>
      <c r="P200" s="830"/>
      <c r="Q200" s="830"/>
      <c r="R200" s="830"/>
      <c r="S200" s="830"/>
      <c r="T200" s="830"/>
      <c r="U200" s="837" t="s">
        <v>237</v>
      </c>
      <c r="V200" s="837"/>
      <c r="W200" s="838">
        <v>46600</v>
      </c>
      <c r="X200" s="839"/>
    </row>
    <row r="201" spans="1:24" x14ac:dyDescent="0.2">
      <c r="A201" s="827"/>
      <c r="B201" s="827"/>
      <c r="C201" s="827"/>
      <c r="D201" s="827"/>
      <c r="E201" s="827"/>
      <c r="F201" s="827"/>
      <c r="G201" s="827"/>
      <c r="H201" s="827"/>
      <c r="I201" s="827"/>
      <c r="J201" s="827"/>
      <c r="K201" s="827"/>
      <c r="L201" s="827"/>
      <c r="M201" s="827"/>
      <c r="N201" s="827"/>
      <c r="O201" s="827"/>
      <c r="P201" s="827"/>
      <c r="Q201" s="827"/>
      <c r="R201" s="827"/>
      <c r="S201" s="827"/>
      <c r="T201" s="827"/>
      <c r="U201" s="827"/>
      <c r="V201" s="827"/>
      <c r="W201" s="827"/>
      <c r="X201" s="827"/>
    </row>
    <row r="202" spans="1:24" x14ac:dyDescent="0.2">
      <c r="A202" s="827"/>
      <c r="B202" s="827"/>
      <c r="C202" s="827"/>
      <c r="D202" s="827"/>
      <c r="E202" s="827"/>
      <c r="F202" s="827"/>
      <c r="G202" s="827"/>
      <c r="H202" s="827"/>
      <c r="I202" s="827"/>
      <c r="J202" s="827"/>
      <c r="K202" s="827"/>
      <c r="L202" s="827"/>
      <c r="M202" s="827"/>
      <c r="N202" s="827"/>
      <c r="O202" s="827"/>
      <c r="P202" s="827"/>
      <c r="Q202" s="827"/>
      <c r="R202" s="827"/>
      <c r="S202" s="827"/>
      <c r="T202" s="827"/>
      <c r="U202" s="827"/>
      <c r="V202" s="827"/>
      <c r="W202" s="827"/>
      <c r="X202" s="827"/>
    </row>
  </sheetData>
  <sheetProtection algorithmName="SHA-512" hashValue="BBsfvQM/DOMVyhCsAxawX4mreDtFZk29uqcClcENHjTxGc8/MJToS/w6pWjvVOEuqbd3Ey11uCDSZtS5BHZbBw==" saltValue="XSOB6j5zJi76+Zme8PxwxA==" spinCount="100000" sheet="1" objects="1" scenarios="1"/>
  <mergeCells count="307">
    <mergeCell ref="N197:U198"/>
    <mergeCell ref="U200:V200"/>
    <mergeCell ref="W200:X200"/>
    <mergeCell ref="W199:X199"/>
    <mergeCell ref="T199:V199"/>
    <mergeCell ref="E172:N173"/>
    <mergeCell ref="D96:J96"/>
    <mergeCell ref="V3:W3"/>
    <mergeCell ref="V52:W52"/>
    <mergeCell ref="D162:E162"/>
    <mergeCell ref="B162:C162"/>
    <mergeCell ref="M95:U95"/>
    <mergeCell ref="M96:U96"/>
    <mergeCell ref="M46:U46"/>
    <mergeCell ref="M47:U47"/>
    <mergeCell ref="N193:U194"/>
    <mergeCell ref="N195:Q196"/>
    <mergeCell ref="R195:U196"/>
    <mergeCell ref="D163:E163"/>
    <mergeCell ref="D164:E164"/>
    <mergeCell ref="D165:E165"/>
    <mergeCell ref="D166:E166"/>
    <mergeCell ref="D168:E168"/>
    <mergeCell ref="D167:E167"/>
    <mergeCell ref="D169:E169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34:D134"/>
    <mergeCell ref="C135:D135"/>
    <mergeCell ref="A134:B135"/>
    <mergeCell ref="A99:E100"/>
    <mergeCell ref="A50:D51"/>
    <mergeCell ref="A1:D2"/>
    <mergeCell ref="C102:F102"/>
    <mergeCell ref="C103:F103"/>
    <mergeCell ref="B104:C104"/>
    <mergeCell ref="D104:E104"/>
    <mergeCell ref="D107:E107"/>
    <mergeCell ref="D106:E106"/>
    <mergeCell ref="D105:E105"/>
    <mergeCell ref="B110:C111"/>
    <mergeCell ref="B112:C112"/>
    <mergeCell ref="B113:C113"/>
    <mergeCell ref="B114:C114"/>
    <mergeCell ref="B115:C115"/>
    <mergeCell ref="B116:C116"/>
    <mergeCell ref="D110:E111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W50:W51"/>
    <mergeCell ref="Q86:U86"/>
    <mergeCell ref="O104:P104"/>
    <mergeCell ref="O105:P105"/>
    <mergeCell ref="C54:E54"/>
    <mergeCell ref="C123:D123"/>
    <mergeCell ref="A123:B123"/>
    <mergeCell ref="C122:D122"/>
    <mergeCell ref="A122:B122"/>
    <mergeCell ref="D112:E112"/>
    <mergeCell ref="D113:E113"/>
    <mergeCell ref="D114:E114"/>
    <mergeCell ref="D115:E115"/>
    <mergeCell ref="D116:E116"/>
    <mergeCell ref="G1:Q2"/>
    <mergeCell ref="R1:S2"/>
    <mergeCell ref="T1:T2"/>
    <mergeCell ref="U1:U2"/>
    <mergeCell ref="V1:V2"/>
    <mergeCell ref="G50:Q51"/>
    <mergeCell ref="S50:T51"/>
    <mergeCell ref="U50:U51"/>
    <mergeCell ref="Q29:U29"/>
    <mergeCell ref="Q37:U37"/>
    <mergeCell ref="Q12:U12"/>
    <mergeCell ref="Q13:U13"/>
    <mergeCell ref="V50:V51"/>
    <mergeCell ref="A110:A111"/>
    <mergeCell ref="A109:J109"/>
    <mergeCell ref="A103:B103"/>
    <mergeCell ref="O101:P102"/>
    <mergeCell ref="Q101:Q102"/>
    <mergeCell ref="Q82:U82"/>
    <mergeCell ref="Q83:U83"/>
    <mergeCell ref="Q84:U84"/>
    <mergeCell ref="Q85:U85"/>
    <mergeCell ref="Q68:U68"/>
    <mergeCell ref="Q69:U69"/>
    <mergeCell ref="Q70:U70"/>
    <mergeCell ref="Q71:U71"/>
    <mergeCell ref="Q14:U14"/>
    <mergeCell ref="G104:M104"/>
    <mergeCell ref="F110:F111"/>
    <mergeCell ref="G110:G111"/>
    <mergeCell ref="H110:H111"/>
    <mergeCell ref="U101:X101"/>
    <mergeCell ref="F1:F2"/>
    <mergeCell ref="F50:F51"/>
    <mergeCell ref="Q74:U74"/>
    <mergeCell ref="Q75:U75"/>
    <mergeCell ref="Q76:U76"/>
    <mergeCell ref="Q77:U77"/>
    <mergeCell ref="Q15:U15"/>
    <mergeCell ref="Q16:U16"/>
    <mergeCell ref="Q17:U17"/>
    <mergeCell ref="Q18:U18"/>
    <mergeCell ref="Q19:U19"/>
    <mergeCell ref="Q20:U20"/>
    <mergeCell ref="Q40:U40"/>
    <mergeCell ref="B53:F53"/>
    <mergeCell ref="Q54:U54"/>
    <mergeCell ref="A53:A54"/>
    <mergeCell ref="Q78:U78"/>
    <mergeCell ref="Q79:U79"/>
    <mergeCell ref="Q63:U63"/>
    <mergeCell ref="Q64:U64"/>
    <mergeCell ref="Q65:U65"/>
    <mergeCell ref="Q66:U66"/>
    <mergeCell ref="Q67:U67"/>
    <mergeCell ref="Q59:U59"/>
    <mergeCell ref="Q60:U60"/>
    <mergeCell ref="Q61:U61"/>
    <mergeCell ref="Q58:U58"/>
    <mergeCell ref="Q55:U55"/>
    <mergeCell ref="Q72:U72"/>
    <mergeCell ref="Q73:U73"/>
    <mergeCell ref="Q62:U62"/>
    <mergeCell ref="Q56:U56"/>
    <mergeCell ref="Q57:U57"/>
    <mergeCell ref="O138:P138"/>
    <mergeCell ref="O139:P139"/>
    <mergeCell ref="F125:G125"/>
    <mergeCell ref="O118:P118"/>
    <mergeCell ref="O130:P130"/>
    <mergeCell ref="F119:G119"/>
    <mergeCell ref="Q88:U88"/>
    <mergeCell ref="Q89:U89"/>
    <mergeCell ref="B90:F90"/>
    <mergeCell ref="B95:L95"/>
    <mergeCell ref="O103:P103"/>
    <mergeCell ref="O108:P108"/>
    <mergeCell ref="O106:P106"/>
    <mergeCell ref="N91:U94"/>
    <mergeCell ref="A101:M101"/>
    <mergeCell ref="A102:B102"/>
    <mergeCell ref="A121:E121"/>
    <mergeCell ref="Q80:U80"/>
    <mergeCell ref="Q81:U81"/>
    <mergeCell ref="I110:I111"/>
    <mergeCell ref="J110:J111"/>
    <mergeCell ref="B142:E142"/>
    <mergeCell ref="F164:G164"/>
    <mergeCell ref="A160:B160"/>
    <mergeCell ref="F162:G162"/>
    <mergeCell ref="A170:G170"/>
    <mergeCell ref="F165:G165"/>
    <mergeCell ref="A118:G118"/>
    <mergeCell ref="A119:E119"/>
    <mergeCell ref="F122:G122"/>
    <mergeCell ref="F123:G123"/>
    <mergeCell ref="F124:G124"/>
    <mergeCell ref="F121:G121"/>
    <mergeCell ref="A120:E120"/>
    <mergeCell ref="F130:G130"/>
    <mergeCell ref="F131:G131"/>
    <mergeCell ref="F132:G132"/>
    <mergeCell ref="F126:G126"/>
    <mergeCell ref="F141:G141"/>
    <mergeCell ref="A136:E136"/>
    <mergeCell ref="F136:G136"/>
    <mergeCell ref="A137:E138"/>
    <mergeCell ref="F137:G138"/>
    <mergeCell ref="F139:G139"/>
    <mergeCell ref="I135:J135"/>
    <mergeCell ref="H162:N162"/>
    <mergeCell ref="F163:G163"/>
    <mergeCell ref="B141:E141"/>
    <mergeCell ref="A158:B158"/>
    <mergeCell ref="A159:B159"/>
    <mergeCell ref="A156:B156"/>
    <mergeCell ref="A157:B157"/>
    <mergeCell ref="A161:G161"/>
    <mergeCell ref="A154:B154"/>
    <mergeCell ref="A155:B155"/>
    <mergeCell ref="A152:B152"/>
    <mergeCell ref="A153:B153"/>
    <mergeCell ref="A151:N151"/>
    <mergeCell ref="E152:G152"/>
    <mergeCell ref="L142:M142"/>
    <mergeCell ref="B143:E143"/>
    <mergeCell ref="F143:G143"/>
    <mergeCell ref="Q87:U87"/>
    <mergeCell ref="O142:P142"/>
    <mergeCell ref="O144:Q144"/>
    <mergeCell ref="O128:P128"/>
    <mergeCell ref="O129:P129"/>
    <mergeCell ref="I118:I120"/>
    <mergeCell ref="J118:J120"/>
    <mergeCell ref="K118:K120"/>
    <mergeCell ref="L121:L122"/>
    <mergeCell ref="O126:P127"/>
    <mergeCell ref="O141:P141"/>
    <mergeCell ref="F135:G135"/>
    <mergeCell ref="B139:E139"/>
    <mergeCell ref="L118:L119"/>
    <mergeCell ref="I143:K143"/>
    <mergeCell ref="L143:M143"/>
    <mergeCell ref="B140:E140"/>
    <mergeCell ref="F120:G120"/>
    <mergeCell ref="I137:M137"/>
    <mergeCell ref="U126:X126"/>
    <mergeCell ref="R101:T101"/>
    <mergeCell ref="A4:A5"/>
    <mergeCell ref="B4:F4"/>
    <mergeCell ref="Q5:U5"/>
    <mergeCell ref="Q6:U6"/>
    <mergeCell ref="Q7:U7"/>
    <mergeCell ref="Q8:U8"/>
    <mergeCell ref="Q9:U9"/>
    <mergeCell ref="Q10:U10"/>
    <mergeCell ref="Q11:U11"/>
    <mergeCell ref="C5:E5"/>
    <mergeCell ref="B46:L46"/>
    <mergeCell ref="Q32:U32"/>
    <mergeCell ref="Q21:U21"/>
    <mergeCell ref="Q22:U22"/>
    <mergeCell ref="Q23:U23"/>
    <mergeCell ref="Q24:U24"/>
    <mergeCell ref="Q25:U25"/>
    <mergeCell ref="Q26:U26"/>
    <mergeCell ref="Q33:U33"/>
    <mergeCell ref="Q34:U34"/>
    <mergeCell ref="Q27:U27"/>
    <mergeCell ref="Q28:U28"/>
    <mergeCell ref="B41:F41"/>
    <mergeCell ref="Q38:U38"/>
    <mergeCell ref="Q39:U39"/>
    <mergeCell ref="Q30:U30"/>
    <mergeCell ref="Q31:U31"/>
    <mergeCell ref="Q35:U35"/>
    <mergeCell ref="Q36:U36"/>
    <mergeCell ref="N42:U45"/>
    <mergeCell ref="O143:P143"/>
    <mergeCell ref="O140:P140"/>
    <mergeCell ref="F127:G127"/>
    <mergeCell ref="R126:T126"/>
    <mergeCell ref="L139:M139"/>
    <mergeCell ref="L140:M140"/>
    <mergeCell ref="I141:I142"/>
    <mergeCell ref="J141:K141"/>
    <mergeCell ref="L141:M141"/>
    <mergeCell ref="J142:K142"/>
    <mergeCell ref="I133:J133"/>
    <mergeCell ref="O136:P136"/>
    <mergeCell ref="O137:P137"/>
    <mergeCell ref="I130:J132"/>
    <mergeCell ref="K130:K132"/>
    <mergeCell ref="L130:L132"/>
    <mergeCell ref="F142:G142"/>
    <mergeCell ref="F128:G128"/>
    <mergeCell ref="F129:G129"/>
    <mergeCell ref="L138:M138"/>
    <mergeCell ref="F140:G140"/>
    <mergeCell ref="F133:G133"/>
    <mergeCell ref="F134:G134"/>
    <mergeCell ref="I134:J134"/>
    <mergeCell ref="O119:Q119"/>
    <mergeCell ref="O110:P110"/>
    <mergeCell ref="O109:P109"/>
    <mergeCell ref="O107:P107"/>
    <mergeCell ref="O131:P131"/>
    <mergeCell ref="O132:P132"/>
    <mergeCell ref="O133:P133"/>
    <mergeCell ref="O134:P134"/>
    <mergeCell ref="O135:P135"/>
    <mergeCell ref="Q126:Q127"/>
    <mergeCell ref="O115:P115"/>
    <mergeCell ref="O117:P117"/>
    <mergeCell ref="O114:P114"/>
    <mergeCell ref="O116:P116"/>
    <mergeCell ref="O111:P111"/>
    <mergeCell ref="O113:P113"/>
    <mergeCell ref="O112:P112"/>
    <mergeCell ref="O125:R125"/>
  </mergeCells>
  <dataValidations count="5">
    <dataValidation type="list" allowBlank="1" showInputMessage="1" showErrorMessage="1" sqref="P55:P89 P6:P40" xr:uid="{00000000-0002-0000-0200-000000000000}">
      <formula1>$I$121:$I$128</formula1>
    </dataValidation>
    <dataValidation type="list" allowBlank="1" showInputMessage="1" showErrorMessage="1" sqref="O55:O89 O6:O40" xr:uid="{00000000-0002-0000-0200-000001000000}">
      <formula1>$J$121:$J$126</formula1>
    </dataValidation>
    <dataValidation type="list" allowBlank="1" showInputMessage="1" showErrorMessage="1" sqref="Q128:Q143 N6:N40 Q103:Q118 N55:N89 K139:K140 E123:E133" xr:uid="{00000000-0002-0000-0200-000002000000}">
      <formula1>$K$121:$K$124</formula1>
    </dataValidation>
    <dataValidation type="list" allowBlank="1" showInputMessage="1" showErrorMessage="1" sqref="N135" xr:uid="{00000000-0002-0000-0200-000004000000}">
      <formula1>#REF!</formula1>
    </dataValidation>
    <dataValidation type="list" allowBlank="1" showInputMessage="1" showErrorMessage="1" sqref="J139:J140 C123:C133" xr:uid="{00000000-0002-0000-0200-000003000000}">
      <formula1>$C$134:$C$135</formula1>
    </dataValidation>
  </dataValidations>
  <pageMargins left="0.7" right="0.7" top="0.75" bottom="0.75" header="0.3" footer="0.3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C15" sqref="C15"/>
    </sheetView>
  </sheetViews>
  <sheetFormatPr defaultRowHeight="12.75" x14ac:dyDescent="0.2"/>
  <cols>
    <col min="1" max="1" width="9.42578125" customWidth="1"/>
    <col min="2" max="2" width="20.7109375" customWidth="1"/>
    <col min="3" max="3" width="13.5703125" customWidth="1"/>
    <col min="4" max="4" width="15.7109375" customWidth="1"/>
    <col min="5" max="5" width="14" customWidth="1"/>
    <col min="6" max="6" width="13.5703125" customWidth="1"/>
    <col min="8" max="8" width="11.7109375" customWidth="1"/>
    <col min="9" max="9" width="12.28515625" customWidth="1"/>
    <col min="10" max="10" width="12.85546875" customWidth="1"/>
  </cols>
  <sheetData>
    <row r="1" spans="1:10" ht="13.5" thickBot="1" x14ac:dyDescent="0.25">
      <c r="B1" s="454" t="s">
        <v>239</v>
      </c>
    </row>
    <row r="2" spans="1:10" ht="44.25" customHeight="1" x14ac:dyDescent="0.2">
      <c r="A2" s="231" t="s">
        <v>215</v>
      </c>
      <c r="B2" s="232" t="s">
        <v>182</v>
      </c>
      <c r="C2" s="233" t="s">
        <v>227</v>
      </c>
      <c r="D2" s="234" t="s">
        <v>183</v>
      </c>
      <c r="E2" s="235" t="s">
        <v>228</v>
      </c>
      <c r="F2" s="236">
        <f>J77</f>
        <v>0</v>
      </c>
      <c r="G2" s="237"/>
      <c r="H2" s="238" t="s">
        <v>216</v>
      </c>
      <c r="I2" s="239" t="s">
        <v>217</v>
      </c>
      <c r="J2" s="240" t="s">
        <v>218</v>
      </c>
    </row>
    <row r="3" spans="1:10" x14ac:dyDescent="0.2">
      <c r="A3" s="241">
        <v>32</v>
      </c>
      <c r="B3" s="242" t="s">
        <v>206</v>
      </c>
      <c r="C3" s="243">
        <f>C11+C13+C15</f>
        <v>5050</v>
      </c>
      <c r="D3" s="217">
        <f t="shared" ref="D3:D18" si="0">C3-F3</f>
        <v>2851</v>
      </c>
      <c r="E3" s="249"/>
      <c r="F3" s="218">
        <v>2199</v>
      </c>
      <c r="H3" s="244">
        <v>1099.5</v>
      </c>
      <c r="I3" s="217">
        <f>F3-H3</f>
        <v>1099.5</v>
      </c>
      <c r="J3" s="217">
        <f>I3/6</f>
        <v>183.25</v>
      </c>
    </row>
    <row r="4" spans="1:10" x14ac:dyDescent="0.2">
      <c r="A4" s="241">
        <v>33</v>
      </c>
      <c r="B4" s="242" t="s">
        <v>219</v>
      </c>
      <c r="C4" s="243">
        <f>C3</f>
        <v>5050</v>
      </c>
      <c r="D4" s="217">
        <f t="shared" si="0"/>
        <v>3051</v>
      </c>
      <c r="E4" s="249">
        <f>1-F4/F3</f>
        <v>9.0950432014552107E-2</v>
      </c>
      <c r="F4" s="218">
        <v>1999</v>
      </c>
      <c r="H4" s="244"/>
      <c r="I4" s="245"/>
      <c r="J4" s="245"/>
    </row>
    <row r="5" spans="1:10" x14ac:dyDescent="0.2">
      <c r="A5" s="241">
        <v>34</v>
      </c>
      <c r="B5" s="242" t="s">
        <v>184</v>
      </c>
      <c r="C5" s="243">
        <f>C11+C13</f>
        <v>4650</v>
      </c>
      <c r="D5" s="217">
        <f t="shared" si="0"/>
        <v>2651</v>
      </c>
      <c r="E5" s="249"/>
      <c r="F5" s="218">
        <v>1999</v>
      </c>
      <c r="H5" s="244">
        <v>1000</v>
      </c>
      <c r="I5" s="217">
        <f>F5-H5</f>
        <v>999</v>
      </c>
      <c r="J5" s="217">
        <f>I5/6</f>
        <v>166.5</v>
      </c>
    </row>
    <row r="6" spans="1:10" x14ac:dyDescent="0.2">
      <c r="A6" s="241">
        <v>35</v>
      </c>
      <c r="B6" s="242" t="s">
        <v>185</v>
      </c>
      <c r="C6" s="243">
        <f>C5</f>
        <v>4650</v>
      </c>
      <c r="D6" s="217">
        <f t="shared" si="0"/>
        <v>2851</v>
      </c>
      <c r="E6" s="249">
        <f>1-F6/F5</f>
        <v>0.10005002501250626</v>
      </c>
      <c r="F6" s="218">
        <v>1799</v>
      </c>
      <c r="H6" s="244"/>
      <c r="I6" s="245"/>
      <c r="J6" s="217"/>
    </row>
    <row r="7" spans="1:10" x14ac:dyDescent="0.2">
      <c r="A7" s="241">
        <v>36</v>
      </c>
      <c r="B7" s="242" t="s">
        <v>208</v>
      </c>
      <c r="C7" s="243">
        <f>C11+C15</f>
        <v>3800</v>
      </c>
      <c r="D7" s="217">
        <f t="shared" si="0"/>
        <v>1875</v>
      </c>
      <c r="E7" s="249"/>
      <c r="F7" s="218">
        <v>1925</v>
      </c>
      <c r="H7" s="244">
        <v>962</v>
      </c>
      <c r="I7" s="217">
        <f>F7-H7</f>
        <v>963</v>
      </c>
      <c r="J7" s="217">
        <f>I7/6</f>
        <v>160.5</v>
      </c>
    </row>
    <row r="8" spans="1:10" x14ac:dyDescent="0.2">
      <c r="A8" s="241">
        <v>37</v>
      </c>
      <c r="B8" s="242" t="s">
        <v>220</v>
      </c>
      <c r="C8" s="243">
        <f>C7</f>
        <v>3800</v>
      </c>
      <c r="D8" s="217">
        <f t="shared" si="0"/>
        <v>2065</v>
      </c>
      <c r="E8" s="249">
        <f>1-F8/F7</f>
        <v>9.8701298701298734E-2</v>
      </c>
      <c r="F8" s="218">
        <v>1735</v>
      </c>
      <c r="H8" s="244"/>
      <c r="I8" s="245"/>
      <c r="J8" s="217"/>
    </row>
    <row r="9" spans="1:10" x14ac:dyDescent="0.2">
      <c r="A9" s="241">
        <v>38</v>
      </c>
      <c r="B9" s="242" t="s">
        <v>207</v>
      </c>
      <c r="C9" s="243">
        <f>C13+C15</f>
        <v>1650</v>
      </c>
      <c r="D9" s="217">
        <f t="shared" si="0"/>
        <v>451</v>
      </c>
      <c r="E9" s="249"/>
      <c r="F9" s="218">
        <v>1199</v>
      </c>
      <c r="H9" s="244">
        <v>599</v>
      </c>
      <c r="I9" s="217">
        <f>F9-H9</f>
        <v>600</v>
      </c>
      <c r="J9" s="217">
        <f>I9/6</f>
        <v>100</v>
      </c>
    </row>
    <row r="10" spans="1:10" x14ac:dyDescent="0.2">
      <c r="A10" s="241">
        <v>39</v>
      </c>
      <c r="B10" s="242" t="s">
        <v>221</v>
      </c>
      <c r="C10" s="243">
        <f>C9</f>
        <v>1650</v>
      </c>
      <c r="D10" s="217">
        <f t="shared" si="0"/>
        <v>551</v>
      </c>
      <c r="E10" s="249">
        <f>1-F10/F9</f>
        <v>8.3402835696413713E-2</v>
      </c>
      <c r="F10" s="218">
        <v>1099</v>
      </c>
      <c r="H10" s="244"/>
      <c r="I10" s="245"/>
      <c r="J10" s="217"/>
    </row>
    <row r="11" spans="1:10" x14ac:dyDescent="0.2">
      <c r="A11" s="241">
        <v>40</v>
      </c>
      <c r="B11" s="242" t="s">
        <v>41</v>
      </c>
      <c r="C11" s="473">
        <v>3400</v>
      </c>
      <c r="D11" s="217">
        <f t="shared" si="0"/>
        <v>1900</v>
      </c>
      <c r="E11" s="249"/>
      <c r="F11" s="218">
        <v>1500</v>
      </c>
      <c r="H11" s="244">
        <v>750</v>
      </c>
      <c r="I11" s="217">
        <f>F11-H11</f>
        <v>750</v>
      </c>
      <c r="J11" s="217">
        <f>I11/6</f>
        <v>125</v>
      </c>
    </row>
    <row r="12" spans="1:10" x14ac:dyDescent="0.2">
      <c r="A12" s="241">
        <v>41</v>
      </c>
      <c r="B12" s="242" t="s">
        <v>222</v>
      </c>
      <c r="C12" s="243">
        <f>C11</f>
        <v>3400</v>
      </c>
      <c r="D12" s="217">
        <f t="shared" si="0"/>
        <v>2000</v>
      </c>
      <c r="E12" s="249">
        <f>1-F12/F11</f>
        <v>6.6666666666666652E-2</v>
      </c>
      <c r="F12" s="218">
        <v>1400</v>
      </c>
      <c r="H12" s="244"/>
      <c r="I12" s="245"/>
      <c r="J12" s="217"/>
    </row>
    <row r="13" spans="1:10" x14ac:dyDescent="0.2">
      <c r="A13" s="241">
        <v>42</v>
      </c>
      <c r="B13" s="242" t="s">
        <v>62</v>
      </c>
      <c r="C13" s="473">
        <v>1250</v>
      </c>
      <c r="D13" s="217">
        <f t="shared" si="0"/>
        <v>460</v>
      </c>
      <c r="E13" s="249"/>
      <c r="F13" s="218">
        <v>790</v>
      </c>
      <c r="H13" s="244">
        <v>400</v>
      </c>
      <c r="I13" s="217">
        <f>F13-H13</f>
        <v>390</v>
      </c>
      <c r="J13" s="217">
        <f>I13/6</f>
        <v>65</v>
      </c>
    </row>
    <row r="14" spans="1:10" x14ac:dyDescent="0.2">
      <c r="A14" s="241">
        <v>43</v>
      </c>
      <c r="B14" s="242" t="s">
        <v>223</v>
      </c>
      <c r="C14" s="243">
        <f>C13</f>
        <v>1250</v>
      </c>
      <c r="D14" s="217">
        <f t="shared" si="0"/>
        <v>510</v>
      </c>
      <c r="E14" s="249">
        <f>1-F14/F13</f>
        <v>6.3291139240506333E-2</v>
      </c>
      <c r="F14" s="218">
        <v>740</v>
      </c>
      <c r="H14" s="244"/>
      <c r="I14" s="245"/>
      <c r="J14" s="217"/>
    </row>
    <row r="15" spans="1:10" x14ac:dyDescent="0.2">
      <c r="A15" s="241">
        <v>44</v>
      </c>
      <c r="B15" s="242" t="s">
        <v>179</v>
      </c>
      <c r="C15" s="473">
        <v>400</v>
      </c>
      <c r="D15" s="217">
        <f t="shared" si="0"/>
        <v>50</v>
      </c>
      <c r="E15" s="249"/>
      <c r="F15" s="218">
        <v>350</v>
      </c>
      <c r="H15" s="244">
        <v>185</v>
      </c>
      <c r="I15" s="217">
        <f>F15-H15</f>
        <v>165</v>
      </c>
      <c r="J15" s="217">
        <f>I15/6</f>
        <v>27.5</v>
      </c>
    </row>
    <row r="16" spans="1:10" x14ac:dyDescent="0.2">
      <c r="A16" s="241">
        <v>45</v>
      </c>
      <c r="B16" s="242" t="s">
        <v>224</v>
      </c>
      <c r="C16" s="243">
        <f>C15</f>
        <v>400</v>
      </c>
      <c r="D16" s="217">
        <f t="shared" si="0"/>
        <v>70</v>
      </c>
      <c r="E16" s="249">
        <f>1-F16/F15</f>
        <v>5.7142857142857162E-2</v>
      </c>
      <c r="F16" s="218">
        <v>330</v>
      </c>
      <c r="H16" s="244"/>
      <c r="I16" s="245"/>
      <c r="J16" s="217"/>
    </row>
    <row r="17" spans="1:10" x14ac:dyDescent="0.2">
      <c r="A17" s="241">
        <v>46</v>
      </c>
      <c r="B17" s="242" t="s">
        <v>225</v>
      </c>
      <c r="C17" s="243">
        <f>C15*2</f>
        <v>800</v>
      </c>
      <c r="D17" s="217">
        <f t="shared" si="0"/>
        <v>150</v>
      </c>
      <c r="E17" s="249"/>
      <c r="F17" s="218">
        <v>650</v>
      </c>
      <c r="H17" s="244">
        <v>335</v>
      </c>
      <c r="I17" s="217">
        <f>F17-H17</f>
        <v>315</v>
      </c>
      <c r="J17" s="217">
        <f>I17/6</f>
        <v>52.5</v>
      </c>
    </row>
    <row r="18" spans="1:10" ht="13.5" thickBot="1" x14ac:dyDescent="0.25">
      <c r="A18" s="246">
        <v>47</v>
      </c>
      <c r="B18" s="247" t="s">
        <v>226</v>
      </c>
      <c r="C18" s="248">
        <f>C17</f>
        <v>800</v>
      </c>
      <c r="D18" s="219">
        <f t="shared" si="0"/>
        <v>200</v>
      </c>
      <c r="E18" s="472">
        <f>1-F18/F17</f>
        <v>7.6923076923076872E-2</v>
      </c>
      <c r="F18" s="220">
        <v>600</v>
      </c>
      <c r="H18" s="244"/>
      <c r="I18" s="245"/>
      <c r="J18" s="245"/>
    </row>
    <row r="19" spans="1:10" x14ac:dyDescent="0.2">
      <c r="A19" s="192"/>
      <c r="B19" s="192"/>
      <c r="C19" s="192"/>
      <c r="D19" s="192"/>
    </row>
    <row r="20" spans="1:10" x14ac:dyDescent="0.2">
      <c r="A20" s="192"/>
      <c r="B20" s="192"/>
      <c r="C20" s="192"/>
      <c r="D20" s="192"/>
    </row>
    <row r="21" spans="1:10" x14ac:dyDescent="0.2">
      <c r="A21" s="192" t="s">
        <v>210</v>
      </c>
      <c r="B21" s="192"/>
      <c r="C21" s="192"/>
      <c r="D21" s="192"/>
    </row>
    <row r="22" spans="1:10" x14ac:dyDescent="0.2">
      <c r="A22" s="221" t="str">
        <f>A2</f>
        <v>Šifra proizvoda</v>
      </c>
      <c r="B22" s="221" t="str">
        <f>D2</f>
        <v>popust</v>
      </c>
      <c r="C22" s="192"/>
      <c r="D22" s="192"/>
    </row>
    <row r="23" spans="1:10" x14ac:dyDescent="0.2">
      <c r="A23" s="221">
        <f t="shared" ref="A23:A36" si="1">A3</f>
        <v>32</v>
      </c>
      <c r="B23" s="222">
        <f t="shared" ref="B23:B35" si="2">D3</f>
        <v>2851</v>
      </c>
      <c r="C23" s="192"/>
      <c r="D23" s="192"/>
    </row>
    <row r="24" spans="1:10" x14ac:dyDescent="0.2">
      <c r="A24" s="221">
        <f t="shared" si="1"/>
        <v>33</v>
      </c>
      <c r="B24" s="222">
        <f t="shared" si="2"/>
        <v>3051</v>
      </c>
      <c r="C24" s="192"/>
      <c r="D24" s="192"/>
    </row>
    <row r="25" spans="1:10" x14ac:dyDescent="0.2">
      <c r="A25" s="221">
        <f t="shared" si="1"/>
        <v>34</v>
      </c>
      <c r="B25" s="222">
        <f t="shared" si="2"/>
        <v>2651</v>
      </c>
      <c r="C25" s="192"/>
      <c r="D25" s="192"/>
    </row>
    <row r="26" spans="1:10" x14ac:dyDescent="0.2">
      <c r="A26" s="221">
        <f t="shared" si="1"/>
        <v>35</v>
      </c>
      <c r="B26" s="222">
        <f t="shared" si="2"/>
        <v>2851</v>
      </c>
      <c r="C26" s="192"/>
      <c r="D26" s="192"/>
    </row>
    <row r="27" spans="1:10" x14ac:dyDescent="0.2">
      <c r="A27" s="221">
        <f t="shared" si="1"/>
        <v>36</v>
      </c>
      <c r="B27" s="222">
        <f t="shared" si="2"/>
        <v>1875</v>
      </c>
      <c r="C27" s="192"/>
      <c r="D27" s="192"/>
    </row>
    <row r="28" spans="1:10" x14ac:dyDescent="0.2">
      <c r="A28" s="221">
        <f t="shared" si="1"/>
        <v>37</v>
      </c>
      <c r="B28" s="222">
        <f t="shared" si="2"/>
        <v>2065</v>
      </c>
      <c r="C28" s="192"/>
      <c r="D28" s="192"/>
    </row>
    <row r="29" spans="1:10" x14ac:dyDescent="0.2">
      <c r="A29" s="221">
        <f t="shared" si="1"/>
        <v>38</v>
      </c>
      <c r="B29" s="222">
        <f t="shared" si="2"/>
        <v>451</v>
      </c>
      <c r="C29" s="192"/>
      <c r="D29" s="192"/>
    </row>
    <row r="30" spans="1:10" x14ac:dyDescent="0.2">
      <c r="A30" s="221">
        <f t="shared" si="1"/>
        <v>39</v>
      </c>
      <c r="B30" s="222">
        <f t="shared" si="2"/>
        <v>551</v>
      </c>
      <c r="C30" s="192"/>
      <c r="D30" s="192"/>
    </row>
    <row r="31" spans="1:10" x14ac:dyDescent="0.2">
      <c r="A31" s="221">
        <f t="shared" si="1"/>
        <v>40</v>
      </c>
      <c r="B31" s="222">
        <f t="shared" si="2"/>
        <v>1900</v>
      </c>
      <c r="C31" s="192"/>
      <c r="D31" s="192"/>
    </row>
    <row r="32" spans="1:10" x14ac:dyDescent="0.2">
      <c r="A32" s="221">
        <f t="shared" si="1"/>
        <v>41</v>
      </c>
      <c r="B32" s="222">
        <f t="shared" si="2"/>
        <v>2000</v>
      </c>
      <c r="C32" s="192"/>
      <c r="D32" s="192"/>
    </row>
    <row r="33" spans="1:4" x14ac:dyDescent="0.2">
      <c r="A33" s="221"/>
      <c r="B33" s="222"/>
      <c r="C33" s="192"/>
      <c r="D33" s="192"/>
    </row>
    <row r="34" spans="1:4" x14ac:dyDescent="0.2">
      <c r="A34" s="221">
        <f t="shared" si="1"/>
        <v>43</v>
      </c>
      <c r="B34" s="222">
        <f t="shared" si="2"/>
        <v>510</v>
      </c>
      <c r="C34" s="192"/>
      <c r="D34" s="192"/>
    </row>
    <row r="35" spans="1:4" x14ac:dyDescent="0.2">
      <c r="A35" s="221">
        <f t="shared" si="1"/>
        <v>44</v>
      </c>
      <c r="B35" s="222">
        <f t="shared" si="2"/>
        <v>50</v>
      </c>
      <c r="C35" s="192"/>
      <c r="D35" s="192"/>
    </row>
    <row r="36" spans="1:4" x14ac:dyDescent="0.2">
      <c r="A36" s="221">
        <f t="shared" si="1"/>
        <v>45</v>
      </c>
      <c r="B36" s="222">
        <f>D16</f>
        <v>70</v>
      </c>
      <c r="C36" s="192"/>
      <c r="D36" s="192"/>
    </row>
  </sheetData>
  <sheetProtection algorithmName="SHA-512" hashValue="tPjzV5UYIom8ybyDtQTNtKAHPHevn9/8WupXdZpFvvOR3v1nmRtpXR8k4+75Go7/RNVrQcokVQHRcmz+LdTiAg==" saltValue="gU9xjJ22aBBc6+b0kODplw==" spinCount="100000" sheet="1" objects="1" scenarios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topLeftCell="A8" workbookViewId="0">
      <selection activeCell="C39" sqref="C39"/>
    </sheetView>
  </sheetViews>
  <sheetFormatPr defaultRowHeight="12.75" x14ac:dyDescent="0.2"/>
  <cols>
    <col min="1" max="1" width="6.140625" customWidth="1"/>
    <col min="2" max="2" width="10.140625" customWidth="1"/>
    <col min="3" max="3" width="10.7109375" customWidth="1"/>
    <col min="4" max="4" width="11.140625" customWidth="1"/>
    <col min="5" max="5" width="6.7109375" customWidth="1"/>
    <col min="6" max="6" width="8.28515625" customWidth="1"/>
    <col min="7" max="7" width="2.42578125" customWidth="1"/>
    <col min="8" max="8" width="5.7109375" customWidth="1"/>
    <col min="9" max="9" width="8" customWidth="1"/>
    <col min="10" max="10" width="12.42578125" customWidth="1"/>
    <col min="11" max="11" width="6.140625" customWidth="1"/>
  </cols>
  <sheetData>
    <row r="1" spans="1:10" ht="15.75" x14ac:dyDescent="0.25">
      <c r="A1" s="179" t="s">
        <v>112</v>
      </c>
      <c r="B1" s="173"/>
      <c r="C1" s="173"/>
      <c r="D1" s="173"/>
      <c r="E1" s="173"/>
      <c r="F1" s="173"/>
      <c r="G1" s="173"/>
      <c r="H1" s="173"/>
      <c r="I1" s="173"/>
      <c r="J1" s="173"/>
    </row>
    <row r="2" spans="1:10" ht="15" x14ac:dyDescent="0.2">
      <c r="A2" s="173" t="s">
        <v>201</v>
      </c>
      <c r="B2" s="173"/>
      <c r="C2" s="173"/>
      <c r="D2" s="173"/>
      <c r="E2" s="173"/>
      <c r="F2" s="173"/>
      <c r="G2" s="173"/>
      <c r="H2" s="173"/>
      <c r="I2" s="173"/>
      <c r="J2" s="173"/>
    </row>
    <row r="3" spans="1:10" ht="15" x14ac:dyDescent="0.2">
      <c r="A3" s="173" t="s">
        <v>204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0" ht="15" x14ac:dyDescent="0.2">
      <c r="A4" s="173" t="s">
        <v>202</v>
      </c>
      <c r="B4" s="173"/>
      <c r="C4" s="173"/>
      <c r="D4" s="173"/>
      <c r="E4" s="173"/>
      <c r="F4" s="173"/>
      <c r="G4" s="173"/>
      <c r="H4" s="173"/>
      <c r="I4" s="173"/>
      <c r="J4" s="173"/>
    </row>
    <row r="5" spans="1:10" ht="15" x14ac:dyDescent="0.2">
      <c r="A5" s="216" t="s">
        <v>209</v>
      </c>
      <c r="B5" s="173"/>
      <c r="C5" s="173"/>
      <c r="D5" s="173"/>
      <c r="E5" s="173"/>
      <c r="F5" s="173"/>
      <c r="G5" s="173"/>
      <c r="H5" s="173"/>
      <c r="I5" s="173"/>
      <c r="J5" s="173"/>
    </row>
    <row r="6" spans="1:10" ht="15" x14ac:dyDescent="0.2">
      <c r="A6" s="173" t="s">
        <v>240</v>
      </c>
      <c r="B6" s="173"/>
      <c r="C6" s="173"/>
      <c r="D6" s="173"/>
      <c r="E6" s="173"/>
      <c r="F6" s="173"/>
      <c r="G6" s="173"/>
      <c r="H6" s="173"/>
      <c r="I6" s="173"/>
      <c r="J6" s="173"/>
    </row>
    <row r="7" spans="1:10" ht="15" x14ac:dyDescent="0.2">
      <c r="A7" s="173"/>
      <c r="B7" s="173"/>
      <c r="C7" s="173"/>
      <c r="D7" s="173"/>
      <c r="E7" s="173"/>
      <c r="F7" s="173"/>
      <c r="G7" s="173"/>
      <c r="H7" s="173"/>
      <c r="I7" s="173"/>
      <c r="J7" s="173"/>
    </row>
    <row r="8" spans="1:10" ht="15" x14ac:dyDescent="0.2">
      <c r="A8" s="173"/>
      <c r="B8" s="173"/>
      <c r="C8" s="173"/>
      <c r="D8" s="173"/>
      <c r="E8" s="173"/>
      <c r="F8" s="173"/>
      <c r="G8" s="173"/>
      <c r="H8" s="173"/>
      <c r="I8" s="173"/>
      <c r="J8" s="173"/>
    </row>
    <row r="9" spans="1:10" ht="15" x14ac:dyDescent="0.2">
      <c r="A9" s="173"/>
      <c r="B9" s="173"/>
      <c r="C9" s="173"/>
      <c r="D9" s="173"/>
      <c r="E9" s="173"/>
      <c r="F9" s="173"/>
      <c r="G9" s="173"/>
      <c r="H9" s="173"/>
      <c r="I9" s="173"/>
      <c r="J9" s="173"/>
    </row>
    <row r="10" spans="1:10" ht="15.75" x14ac:dyDescent="0.25">
      <c r="A10" s="179" t="s">
        <v>125</v>
      </c>
      <c r="B10" s="173"/>
      <c r="C10" s="173"/>
      <c r="D10" s="173"/>
      <c r="E10" s="173"/>
      <c r="F10" s="173"/>
      <c r="G10" s="173"/>
      <c r="H10" s="173"/>
      <c r="I10" s="173"/>
      <c r="J10" s="173"/>
    </row>
    <row r="11" spans="1:10" ht="15" x14ac:dyDescent="0.2">
      <c r="A11" s="350" t="s">
        <v>127</v>
      </c>
      <c r="B11" s="350"/>
      <c r="C11" s="351"/>
      <c r="D11" s="351"/>
      <c r="E11" s="351"/>
      <c r="F11" s="191" t="str">
        <f>IF(C11&lt;&gt;"","","Obavezan unos imena")</f>
        <v>Obavezan unos imena</v>
      </c>
      <c r="G11" s="173"/>
      <c r="H11" s="173"/>
      <c r="I11" s="173"/>
      <c r="J11" s="173"/>
    </row>
    <row r="12" spans="1:10" ht="15" x14ac:dyDescent="0.2">
      <c r="A12" s="350" t="s">
        <v>128</v>
      </c>
      <c r="B12" s="350"/>
      <c r="C12" s="351"/>
      <c r="D12" s="351"/>
      <c r="E12" s="351"/>
      <c r="F12" s="191" t="str">
        <f>IF(C12&lt;&gt;"","","Obavezan unos prezimena")</f>
        <v>Obavezan unos prezimena</v>
      </c>
      <c r="G12" s="173"/>
      <c r="H12" s="173"/>
      <c r="I12" s="173"/>
      <c r="J12" s="173"/>
    </row>
    <row r="13" spans="1:10" ht="15" x14ac:dyDescent="0.2">
      <c r="A13" s="350" t="s">
        <v>129</v>
      </c>
      <c r="B13" s="350"/>
      <c r="C13" s="351"/>
      <c r="D13" s="351"/>
      <c r="E13" s="351"/>
      <c r="F13" s="191" t="str">
        <f>IF(C13&lt;&gt;"","","Obavezan unos ulice i kućnog broja")</f>
        <v>Obavezan unos ulice i kućnog broja</v>
      </c>
      <c r="G13" s="173"/>
      <c r="H13" s="173"/>
      <c r="I13" s="173"/>
      <c r="J13" s="173"/>
    </row>
    <row r="14" spans="1:10" ht="15" x14ac:dyDescent="0.2">
      <c r="A14" s="350" t="s">
        <v>130</v>
      </c>
      <c r="B14" s="350"/>
      <c r="C14" s="351"/>
      <c r="D14" s="351"/>
      <c r="E14" s="351"/>
      <c r="F14" s="191" t="str">
        <f>IF(C14&lt;&gt;"","","Obavezan unos poštanskog broja")</f>
        <v>Obavezan unos poštanskog broja</v>
      </c>
      <c r="G14" s="173"/>
      <c r="H14" s="173"/>
      <c r="I14" s="173"/>
      <c r="J14" s="173"/>
    </row>
    <row r="15" spans="1:10" ht="15" x14ac:dyDescent="0.2">
      <c r="A15" s="350" t="s">
        <v>131</v>
      </c>
      <c r="B15" s="350"/>
      <c r="C15" s="351"/>
      <c r="D15" s="351"/>
      <c r="E15" s="351"/>
      <c r="F15" s="191" t="str">
        <f>IF(C15&lt;&gt;"","","Obavezan unos mjesta stanovanja")</f>
        <v>Obavezan unos mjesta stanovanja</v>
      </c>
      <c r="G15" s="173"/>
      <c r="H15" s="173"/>
      <c r="I15" s="173"/>
      <c r="J15" s="173"/>
    </row>
    <row r="16" spans="1:10" ht="15" x14ac:dyDescent="0.2">
      <c r="A16" s="350" t="s">
        <v>132</v>
      </c>
      <c r="B16" s="350"/>
      <c r="C16" s="351"/>
      <c r="D16" s="351"/>
      <c r="E16" s="351"/>
      <c r="F16" s="191" t="str">
        <f>IF(C16&lt;&gt;"","","Obavezan unos JMBG")</f>
        <v>Obavezan unos JMBG</v>
      </c>
      <c r="G16" s="173"/>
      <c r="H16" s="173"/>
      <c r="I16" s="173"/>
      <c r="J16" s="173"/>
    </row>
    <row r="17" spans="1:11" ht="15" x14ac:dyDescent="0.2">
      <c r="A17" s="350" t="s">
        <v>133</v>
      </c>
      <c r="B17" s="350"/>
      <c r="C17" s="351"/>
      <c r="D17" s="351"/>
      <c r="E17" s="351"/>
      <c r="F17" s="191" t="str">
        <f>IF(C17&lt;&gt;"","","Obavezan unos telefona")</f>
        <v>Obavezan unos telefona</v>
      </c>
      <c r="G17" s="173"/>
      <c r="H17" s="173"/>
      <c r="I17" s="173"/>
      <c r="J17" s="173"/>
    </row>
    <row r="18" spans="1:11" ht="15" x14ac:dyDescent="0.2">
      <c r="A18" s="173"/>
      <c r="B18" s="173"/>
      <c r="C18" s="173"/>
      <c r="D18" s="173"/>
      <c r="E18" s="173"/>
      <c r="F18" s="173"/>
      <c r="G18" s="173"/>
      <c r="H18" s="173"/>
      <c r="I18" s="173"/>
      <c r="J18" s="173"/>
    </row>
    <row r="19" spans="1:11" ht="15" x14ac:dyDescent="0.2">
      <c r="A19" s="173"/>
      <c r="B19" s="173"/>
      <c r="C19" s="173"/>
      <c r="D19" s="173"/>
      <c r="E19" s="173"/>
      <c r="F19" s="173"/>
      <c r="G19" s="173"/>
      <c r="H19" s="173"/>
      <c r="I19" s="173"/>
      <c r="J19" s="173"/>
    </row>
    <row r="20" spans="1:11" ht="15" x14ac:dyDescent="0.2">
      <c r="A20" s="173"/>
      <c r="B20" s="173"/>
      <c r="C20" s="173"/>
      <c r="D20" s="173"/>
      <c r="E20" s="223" t="s">
        <v>212</v>
      </c>
      <c r="F20" s="188"/>
      <c r="G20" s="190" t="str">
        <f>"/"</f>
        <v>/</v>
      </c>
      <c r="H20" s="188"/>
      <c r="I20" s="173">
        <v>2024</v>
      </c>
      <c r="J20" s="173"/>
    </row>
    <row r="21" spans="1:11" ht="15" x14ac:dyDescent="0.2">
      <c r="A21" s="173"/>
      <c r="B21" s="173"/>
      <c r="C21" s="173"/>
      <c r="D21" s="173"/>
      <c r="E21" s="173"/>
      <c r="F21" s="191" t="str">
        <f>IF(F20&lt;&gt;"","","Obavezan unos  broja našeg ugovora")</f>
        <v>Obavezan unos  broja našeg ugovora</v>
      </c>
      <c r="G21" s="173"/>
      <c r="H21" s="173"/>
      <c r="I21" s="173"/>
      <c r="J21" s="173"/>
    </row>
    <row r="22" spans="1:11" ht="15.75" thickBot="1" x14ac:dyDescent="0.25">
      <c r="A22" s="173"/>
      <c r="B22" s="173"/>
      <c r="C22" s="173"/>
      <c r="D22" s="173"/>
      <c r="E22" s="173"/>
      <c r="F22" s="191" t="str">
        <f>IF(H20&lt;&gt;"","","Obavezan unos oznake tima")</f>
        <v>Obavezan unos oznake tima</v>
      </c>
      <c r="G22" s="173"/>
      <c r="H22" s="173"/>
      <c r="I22" s="173"/>
      <c r="J22" s="173"/>
    </row>
    <row r="23" spans="1:11" ht="24" customHeight="1" x14ac:dyDescent="0.2">
      <c r="A23" s="172" t="s">
        <v>75</v>
      </c>
      <c r="B23" s="336" t="s">
        <v>113</v>
      </c>
      <c r="C23" s="337"/>
      <c r="D23" s="337"/>
      <c r="E23" s="338"/>
      <c r="F23" s="224" t="s">
        <v>124</v>
      </c>
      <c r="G23" s="336" t="s">
        <v>114</v>
      </c>
      <c r="H23" s="337"/>
      <c r="I23" s="338"/>
      <c r="J23" s="336" t="s">
        <v>115</v>
      </c>
      <c r="K23" s="342"/>
    </row>
    <row r="24" spans="1:11" ht="15" x14ac:dyDescent="0.2">
      <c r="A24" s="174">
        <v>1</v>
      </c>
      <c r="B24" s="333"/>
      <c r="C24" s="334"/>
      <c r="D24" s="334"/>
      <c r="E24" s="335"/>
      <c r="F24" s="225"/>
      <c r="G24" s="339"/>
      <c r="H24" s="340"/>
      <c r="I24" s="341"/>
      <c r="J24" s="227" t="str">
        <f>IF((F24*H24)&lt;&gt;0,F24*H24,"")</f>
        <v/>
      </c>
      <c r="K24" s="226" t="str">
        <f>IF(F24&gt;0,"€","")</f>
        <v/>
      </c>
    </row>
    <row r="25" spans="1:11" ht="15" x14ac:dyDescent="0.2">
      <c r="A25" s="174">
        <v>2</v>
      </c>
      <c r="B25" s="333"/>
      <c r="C25" s="334"/>
      <c r="D25" s="334"/>
      <c r="E25" s="335"/>
      <c r="F25" s="225"/>
      <c r="G25" s="333"/>
      <c r="H25" s="334"/>
      <c r="I25" s="335"/>
      <c r="J25" s="227" t="str">
        <f>IF((F25*H25)&lt;&gt;0,F25*H25,"")</f>
        <v/>
      </c>
      <c r="K25" s="226" t="str">
        <f>IF(F25&gt;0,"€","")</f>
        <v/>
      </c>
    </row>
    <row r="26" spans="1:11" ht="15.75" thickBot="1" x14ac:dyDescent="0.25">
      <c r="A26" s="175">
        <v>3</v>
      </c>
      <c r="B26" s="352"/>
      <c r="C26" s="353"/>
      <c r="D26" s="353"/>
      <c r="E26" s="354"/>
      <c r="F26" s="228"/>
      <c r="G26" s="352"/>
      <c r="H26" s="353"/>
      <c r="I26" s="354"/>
      <c r="J26" s="229" t="str">
        <f>IF((F26*H26)&lt;&gt;0,F26*H26,"")</f>
        <v/>
      </c>
      <c r="K26" s="230" t="str">
        <f>IF(F26&gt;0,"€","")</f>
        <v/>
      </c>
    </row>
    <row r="27" spans="1:11" ht="15.75" x14ac:dyDescent="0.25">
      <c r="A27" s="173"/>
      <c r="B27" s="173"/>
      <c r="C27" s="173"/>
      <c r="D27" s="173"/>
      <c r="E27" s="346" t="s">
        <v>116</v>
      </c>
      <c r="F27" s="347"/>
      <c r="G27" s="347"/>
      <c r="H27" s="347"/>
      <c r="I27" s="347"/>
      <c r="J27" s="184">
        <f>SUM(J24:J26)</f>
        <v>0</v>
      </c>
      <c r="K27" s="182" t="str">
        <f>IF(J27&gt;0,"€","")</f>
        <v/>
      </c>
    </row>
    <row r="28" spans="1:11" ht="15" x14ac:dyDescent="0.2">
      <c r="A28" s="173"/>
      <c r="B28" s="173"/>
      <c r="C28" s="173"/>
      <c r="D28" s="173"/>
      <c r="E28" s="344" t="s">
        <v>126</v>
      </c>
      <c r="F28" s="345"/>
      <c r="G28" s="345"/>
      <c r="H28" s="345"/>
      <c r="I28" s="345"/>
      <c r="J28" s="189"/>
      <c r="K28" s="180" t="str">
        <f>IF(J28&gt;0,"€","")</f>
        <v/>
      </c>
    </row>
    <row r="29" spans="1:11" ht="16.5" thickBot="1" x14ac:dyDescent="0.3">
      <c r="A29" s="173"/>
      <c r="B29" s="173"/>
      <c r="C29" s="173"/>
      <c r="D29" s="173"/>
      <c r="E29" s="348" t="s">
        <v>117</v>
      </c>
      <c r="F29" s="349"/>
      <c r="G29" s="349"/>
      <c r="H29" s="349"/>
      <c r="I29" s="349"/>
      <c r="J29" s="185">
        <f>J27-J28</f>
        <v>0</v>
      </c>
      <c r="K29" s="181" t="str">
        <f>IF(J29&gt;0,"€","")</f>
        <v/>
      </c>
    </row>
    <row r="30" spans="1:11" ht="15" x14ac:dyDescent="0.2">
      <c r="A30" s="173"/>
      <c r="B30" s="173"/>
      <c r="C30" s="173"/>
      <c r="D30" s="173"/>
      <c r="E30" s="173"/>
      <c r="F30" s="173"/>
      <c r="G30" s="173"/>
      <c r="H30" s="173"/>
      <c r="I30" s="173"/>
      <c r="J30" s="173"/>
    </row>
    <row r="31" spans="1:11" ht="15" x14ac:dyDescent="0.2">
      <c r="A31" s="173"/>
      <c r="B31" s="173"/>
      <c r="C31" s="173"/>
      <c r="D31" s="173"/>
      <c r="E31" s="173"/>
      <c r="F31" s="173"/>
      <c r="G31" s="173"/>
      <c r="H31" s="173"/>
      <c r="I31" s="173"/>
      <c r="J31" s="173"/>
    </row>
    <row r="32" spans="1:11" ht="15" x14ac:dyDescent="0.2">
      <c r="A32" s="173" t="s">
        <v>118</v>
      </c>
      <c r="B32" s="173"/>
      <c r="C32" s="173"/>
      <c r="D32" s="176">
        <f>J29</f>
        <v>0</v>
      </c>
      <c r="E32" s="177" t="s">
        <v>205</v>
      </c>
      <c r="F32" s="178" t="s">
        <v>119</v>
      </c>
      <c r="G32" s="343"/>
      <c r="H32" s="343"/>
      <c r="I32" s="173" t="s">
        <v>120</v>
      </c>
      <c r="J32" s="173"/>
    </row>
    <row r="33" spans="1:11" ht="15" x14ac:dyDescent="0.2">
      <c r="A33" s="173"/>
      <c r="B33" s="173"/>
      <c r="C33" s="173"/>
      <c r="D33" s="173"/>
      <c r="E33" s="173"/>
      <c r="F33" s="191" t="str">
        <f>IF(G32&lt;&gt;"","","Obavezan unos koliko mjesečnih rata")</f>
        <v>Obavezan unos koliko mjesečnih rata</v>
      </c>
      <c r="H33" s="173"/>
      <c r="I33" s="173"/>
      <c r="J33" s="173"/>
    </row>
    <row r="34" spans="1:11" ht="15" x14ac:dyDescent="0.2">
      <c r="A34" s="173"/>
      <c r="B34" s="173"/>
      <c r="C34" s="173"/>
      <c r="D34" s="173"/>
      <c r="E34" s="173"/>
      <c r="F34" s="173"/>
      <c r="G34" s="173"/>
      <c r="H34" s="173"/>
      <c r="I34" s="173"/>
      <c r="J34" s="173"/>
    </row>
    <row r="35" spans="1:11" ht="15" x14ac:dyDescent="0.2">
      <c r="A35" s="173" t="s">
        <v>134</v>
      </c>
      <c r="B35" s="173"/>
      <c r="C35" s="173"/>
      <c r="D35" s="173"/>
      <c r="E35" s="173"/>
      <c r="F35" s="173"/>
    </row>
    <row r="36" spans="1:11" ht="15" x14ac:dyDescent="0.2">
      <c r="A36" s="331"/>
      <c r="B36" s="331"/>
      <c r="C36" s="331"/>
      <c r="D36" s="331"/>
      <c r="E36" s="331"/>
      <c r="F36" s="331"/>
      <c r="G36" s="331"/>
      <c r="H36" s="331"/>
      <c r="I36" s="331"/>
      <c r="J36" s="331"/>
      <c r="K36" s="331"/>
    </row>
    <row r="37" spans="1:11" ht="15" x14ac:dyDescent="0.2">
      <c r="A37" s="173" t="s">
        <v>121</v>
      </c>
      <c r="B37" s="173"/>
      <c r="C37" s="173"/>
      <c r="D37" s="173"/>
      <c r="E37" s="173"/>
      <c r="F37" s="332" t="str">
        <f>IF(A36&lt;&gt;F41,IF(A36&lt;&gt;F43,"Obavezan odabir banke (red iznad)",""),"")</f>
        <v>Obavezan odabir banke (red iznad)</v>
      </c>
      <c r="G37" s="332"/>
      <c r="H37" s="332"/>
      <c r="I37" s="332"/>
      <c r="J37" s="332"/>
      <c r="K37" s="332"/>
    </row>
    <row r="38" spans="1:11" ht="15" x14ac:dyDescent="0.2">
      <c r="A38" s="173"/>
      <c r="B38" s="173"/>
      <c r="C38" s="173"/>
      <c r="D38" s="173"/>
      <c r="E38" s="173"/>
      <c r="F38" s="173"/>
      <c r="G38" s="173"/>
      <c r="H38" s="173"/>
      <c r="I38" s="173"/>
      <c r="J38" s="173"/>
    </row>
    <row r="39" spans="1:11" ht="15" x14ac:dyDescent="0.2">
      <c r="A39" s="173" t="s">
        <v>203</v>
      </c>
      <c r="B39" s="173"/>
      <c r="C39" s="215">
        <f ca="1">TODAY()</f>
        <v>46211</v>
      </c>
      <c r="D39" s="173"/>
      <c r="E39" s="173"/>
      <c r="F39" s="173"/>
      <c r="G39" s="173"/>
      <c r="H39" s="173"/>
      <c r="I39" s="173"/>
      <c r="J39" s="173"/>
    </row>
    <row r="41" spans="1:11" x14ac:dyDescent="0.2">
      <c r="F41" s="192" t="s">
        <v>214</v>
      </c>
    </row>
    <row r="42" spans="1:11" x14ac:dyDescent="0.2">
      <c r="F42" s="192" t="s">
        <v>213</v>
      </c>
    </row>
    <row r="43" spans="1:11" x14ac:dyDescent="0.2">
      <c r="F43" s="192" t="s">
        <v>201</v>
      </c>
    </row>
    <row r="44" spans="1:11" ht="15" x14ac:dyDescent="0.2">
      <c r="E44" s="173" t="s">
        <v>122</v>
      </c>
    </row>
    <row r="48" spans="1:11" x14ac:dyDescent="0.2">
      <c r="A48" s="183"/>
      <c r="B48" s="183"/>
      <c r="C48" s="183"/>
      <c r="H48" s="183"/>
      <c r="I48" s="183"/>
      <c r="J48" s="183"/>
    </row>
    <row r="49" spans="2:10" x14ac:dyDescent="0.2">
      <c r="B49" s="171" t="s">
        <v>171</v>
      </c>
      <c r="I49" s="171" t="s">
        <v>123</v>
      </c>
    </row>
    <row r="50" spans="2:10" x14ac:dyDescent="0.2">
      <c r="I50" s="187">
        <f>C11</f>
        <v>0</v>
      </c>
      <c r="J50" s="186">
        <f>C12</f>
        <v>0</v>
      </c>
    </row>
  </sheetData>
  <sheetProtection algorithmName="SHA-512" hashValue="4KuzOXrUcUZXhJOGIj9XlrOoXEmKWlKb+wJhSUlhM8tsoPPi2/VBcEseYrdI6w1TwSfnhr++dPv0I0fZDdsk2g==" saltValue="ODoW3j+1slUVLdRYx2rlxQ==" spinCount="100000" sheet="1" objects="1" scenarios="1"/>
  <dataConsolidate/>
  <mergeCells count="29">
    <mergeCell ref="C11:E11"/>
    <mergeCell ref="C12:E12"/>
    <mergeCell ref="C13:E13"/>
    <mergeCell ref="C14:E14"/>
    <mergeCell ref="C15:E15"/>
    <mergeCell ref="A16:B16"/>
    <mergeCell ref="A17:B17"/>
    <mergeCell ref="C16:E16"/>
    <mergeCell ref="B23:E23"/>
    <mergeCell ref="G26:I26"/>
    <mergeCell ref="B24:E24"/>
    <mergeCell ref="B25:E25"/>
    <mergeCell ref="B26:E26"/>
    <mergeCell ref="C17:E17"/>
    <mergeCell ref="A11:B11"/>
    <mergeCell ref="A12:B12"/>
    <mergeCell ref="A13:B13"/>
    <mergeCell ref="A14:B14"/>
    <mergeCell ref="A15:B15"/>
    <mergeCell ref="A36:K36"/>
    <mergeCell ref="F37:K37"/>
    <mergeCell ref="G25:I25"/>
    <mergeCell ref="G23:I23"/>
    <mergeCell ref="G24:I24"/>
    <mergeCell ref="J23:K23"/>
    <mergeCell ref="G32:H32"/>
    <mergeCell ref="E28:I28"/>
    <mergeCell ref="E27:I27"/>
    <mergeCell ref="E29:I29"/>
  </mergeCells>
  <dataValidations count="1">
    <dataValidation type="list" allowBlank="1" showInputMessage="1" showErrorMessage="1" sqref="A36" xr:uid="{00000000-0002-0000-0400-000000000000}">
      <formula1>$F$41:$F$43</formula1>
    </dataValidation>
  </dataValidations>
  <pageMargins left="0.7" right="0.7" top="0.75" bottom="0.75" header="0.3" footer="0.3"/>
  <pageSetup paperSize="9" orientation="portrait" r:id="rId1"/>
  <ignoredErrors>
    <ignoredError sqref="J24:J26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2"/>
  <sheetViews>
    <sheetView topLeftCell="B25" workbookViewId="0">
      <selection activeCell="B25" sqref="B25:B29"/>
    </sheetView>
  </sheetViews>
  <sheetFormatPr defaultRowHeight="12.75" x14ac:dyDescent="0.2"/>
  <cols>
    <col min="1" max="1" width="1.42578125" customWidth="1"/>
    <col min="2" max="2" width="8.28515625" customWidth="1"/>
    <col min="5" max="5" width="4.5703125" customWidth="1"/>
    <col min="6" max="6" width="11.42578125" customWidth="1"/>
    <col min="7" max="7" width="2.85546875" customWidth="1"/>
    <col min="8" max="8" width="1.42578125" customWidth="1"/>
    <col min="9" max="9" width="8" customWidth="1"/>
    <col min="11" max="11" width="7.140625" customWidth="1"/>
    <col min="12" max="12" width="7.28515625" customWidth="1"/>
    <col min="13" max="13" width="11.7109375" customWidth="1"/>
    <col min="14" max="14" width="2.42578125" customWidth="1"/>
  </cols>
  <sheetData>
    <row r="1" spans="1:14" ht="8.25" customHeight="1" x14ac:dyDescent="0.2">
      <c r="A1" s="193"/>
      <c r="B1" s="194"/>
      <c r="C1" s="194"/>
      <c r="D1" s="194"/>
      <c r="E1" s="194"/>
      <c r="F1" s="194"/>
      <c r="G1" s="195"/>
      <c r="H1" s="193"/>
      <c r="I1" s="194"/>
      <c r="J1" s="194"/>
      <c r="K1" s="194"/>
      <c r="L1" s="194"/>
      <c r="M1" s="194"/>
      <c r="N1" s="195"/>
    </row>
    <row r="2" spans="1:14" ht="8.25" customHeight="1" x14ac:dyDescent="0.2">
      <c r="A2" s="207"/>
      <c r="G2" s="209"/>
      <c r="H2" s="207"/>
      <c r="N2" s="209"/>
    </row>
    <row r="3" spans="1:14" ht="15" customHeight="1" x14ac:dyDescent="0.2">
      <c r="A3" s="207"/>
      <c r="B3" s="202" t="s">
        <v>186</v>
      </c>
      <c r="C3" s="173"/>
      <c r="D3" s="173"/>
      <c r="G3" s="209"/>
      <c r="H3" s="207"/>
      <c r="I3" s="202" t="str">
        <f>B3</f>
        <v>Natural solution d.o.o., Bar</v>
      </c>
      <c r="N3" s="209"/>
    </row>
    <row r="4" spans="1:14" ht="15" customHeight="1" x14ac:dyDescent="0.2">
      <c r="A4" s="207"/>
      <c r="B4" s="202"/>
      <c r="C4" s="173"/>
      <c r="D4" s="173"/>
      <c r="G4" s="209"/>
      <c r="H4" s="207"/>
      <c r="I4" s="202"/>
      <c r="N4" s="209"/>
    </row>
    <row r="5" spans="1:14" s="173" customFormat="1" ht="15" x14ac:dyDescent="0.2">
      <c r="A5" s="196"/>
      <c r="B5" s="173" t="s">
        <v>151</v>
      </c>
      <c r="G5" s="197"/>
      <c r="H5" s="196"/>
      <c r="I5" s="173" t="str">
        <f>B5</f>
        <v>REGISTRACIJSKI LIST prisutnih</v>
      </c>
      <c r="N5" s="197"/>
    </row>
    <row r="6" spans="1:14" s="173" customFormat="1" ht="14.25" customHeight="1" x14ac:dyDescent="0.2">
      <c r="A6" s="196"/>
      <c r="B6" s="355"/>
      <c r="C6" s="355"/>
      <c r="D6" s="355"/>
      <c r="G6" s="197"/>
      <c r="H6" s="196"/>
      <c r="I6" s="355"/>
      <c r="J6" s="355"/>
      <c r="K6" s="355"/>
      <c r="N6" s="197"/>
    </row>
    <row r="7" spans="1:14" s="173" customFormat="1" ht="11.25" customHeight="1" x14ac:dyDescent="0.2">
      <c r="A7" s="196"/>
      <c r="B7" s="202"/>
      <c r="G7" s="197"/>
      <c r="H7" s="196"/>
      <c r="I7" s="202"/>
      <c r="N7" s="197"/>
    </row>
    <row r="8" spans="1:14" s="173" customFormat="1" ht="15" x14ac:dyDescent="0.2">
      <c r="A8" s="196"/>
      <c r="B8" s="173" t="s">
        <v>59</v>
      </c>
      <c r="C8" s="198"/>
      <c r="D8" s="198"/>
      <c r="G8" s="197"/>
      <c r="H8" s="196"/>
      <c r="I8" s="173" t="s">
        <v>59</v>
      </c>
      <c r="J8" s="198"/>
      <c r="K8" s="198"/>
      <c r="N8" s="197"/>
    </row>
    <row r="9" spans="1:14" s="173" customFormat="1" ht="11.25" customHeight="1" x14ac:dyDescent="0.2">
      <c r="A9" s="196"/>
      <c r="G9" s="197"/>
      <c r="H9" s="196"/>
      <c r="N9" s="197"/>
    </row>
    <row r="10" spans="1:14" s="173" customFormat="1" ht="15" customHeight="1" x14ac:dyDescent="0.2">
      <c r="A10" s="196"/>
      <c r="B10" s="173" t="s">
        <v>138</v>
      </c>
      <c r="C10" s="198"/>
      <c r="D10" s="198"/>
      <c r="E10" s="198"/>
      <c r="F10" s="198"/>
      <c r="G10" s="197"/>
      <c r="H10" s="196"/>
      <c r="I10" s="173" t="str">
        <f>B10</f>
        <v xml:space="preserve">IME: </v>
      </c>
      <c r="J10" s="198"/>
      <c r="K10" s="198"/>
      <c r="L10" s="198"/>
      <c r="M10" s="198"/>
      <c r="N10" s="197"/>
    </row>
    <row r="11" spans="1:14" s="173" customFormat="1" ht="11.25" customHeight="1" x14ac:dyDescent="0.2">
      <c r="A11" s="196"/>
      <c r="G11" s="197"/>
      <c r="H11" s="196"/>
      <c r="N11" s="197"/>
    </row>
    <row r="12" spans="1:14" s="173" customFormat="1" ht="15" x14ac:dyDescent="0.2">
      <c r="A12" s="196"/>
      <c r="B12" s="173" t="s">
        <v>139</v>
      </c>
      <c r="C12" s="198"/>
      <c r="D12" s="198"/>
      <c r="E12" s="198"/>
      <c r="F12" s="198"/>
      <c r="G12" s="197"/>
      <c r="H12" s="196"/>
      <c r="I12" s="173" t="str">
        <f>B12</f>
        <v>PREZIME:</v>
      </c>
      <c r="J12" s="198"/>
      <c r="K12" s="198"/>
      <c r="L12" s="198"/>
      <c r="M12" s="198"/>
      <c r="N12" s="197"/>
    </row>
    <row r="13" spans="1:14" s="173" customFormat="1" ht="11.25" customHeight="1" x14ac:dyDescent="0.2">
      <c r="A13" s="196"/>
      <c r="G13" s="197"/>
      <c r="H13" s="196"/>
      <c r="N13" s="197"/>
    </row>
    <row r="14" spans="1:14" s="173" customFormat="1" ht="15" x14ac:dyDescent="0.2">
      <c r="A14" s="196"/>
      <c r="B14" s="173" t="s">
        <v>140</v>
      </c>
      <c r="C14" s="198"/>
      <c r="D14" s="198"/>
      <c r="E14" s="198"/>
      <c r="F14" s="198"/>
      <c r="G14" s="197"/>
      <c r="H14" s="196"/>
      <c r="I14" s="173" t="str">
        <f>B14</f>
        <v>ULICA:</v>
      </c>
      <c r="J14" s="198"/>
      <c r="K14" s="198"/>
      <c r="L14" s="198"/>
      <c r="M14" s="198"/>
      <c r="N14" s="197"/>
    </row>
    <row r="15" spans="1:14" s="173" customFormat="1" ht="9" customHeight="1" x14ac:dyDescent="0.2">
      <c r="A15" s="196"/>
      <c r="G15" s="197"/>
      <c r="H15" s="196"/>
      <c r="N15" s="197"/>
    </row>
    <row r="16" spans="1:14" s="173" customFormat="1" ht="15" x14ac:dyDescent="0.2">
      <c r="A16" s="196"/>
      <c r="B16" s="173" t="s">
        <v>144</v>
      </c>
      <c r="D16" s="198"/>
      <c r="E16" s="198"/>
      <c r="F16" s="198"/>
      <c r="G16" s="197"/>
      <c r="H16" s="196"/>
      <c r="I16" s="173" t="s">
        <v>144</v>
      </c>
      <c r="K16" s="198"/>
      <c r="L16" s="198"/>
      <c r="M16" s="198"/>
      <c r="N16" s="197"/>
    </row>
    <row r="17" spans="1:14" s="173" customFormat="1" ht="11.25" customHeight="1" x14ac:dyDescent="0.2">
      <c r="A17" s="196"/>
      <c r="G17" s="197"/>
      <c r="H17" s="196"/>
      <c r="N17" s="197"/>
    </row>
    <row r="18" spans="1:14" s="173" customFormat="1" ht="15" x14ac:dyDescent="0.2">
      <c r="A18" s="196"/>
      <c r="B18" s="173" t="s">
        <v>141</v>
      </c>
      <c r="C18" s="198"/>
      <c r="D18" s="198"/>
      <c r="E18" s="198"/>
      <c r="F18" s="198"/>
      <c r="G18" s="197"/>
      <c r="H18" s="196"/>
      <c r="I18" s="173" t="str">
        <f>B18</f>
        <v>MJESTO:</v>
      </c>
      <c r="J18" s="198"/>
      <c r="K18" s="198"/>
      <c r="L18" s="198"/>
      <c r="M18" s="198"/>
      <c r="N18" s="197"/>
    </row>
    <row r="19" spans="1:14" s="173" customFormat="1" ht="11.25" customHeight="1" x14ac:dyDescent="0.2">
      <c r="A19" s="196"/>
      <c r="G19" s="197"/>
      <c r="H19" s="196"/>
      <c r="N19" s="197"/>
    </row>
    <row r="20" spans="1:14" s="173" customFormat="1" ht="15" x14ac:dyDescent="0.2">
      <c r="A20" s="196"/>
      <c r="B20" s="173" t="s">
        <v>142</v>
      </c>
      <c r="C20" s="198"/>
      <c r="D20" s="198"/>
      <c r="E20" s="198"/>
      <c r="F20" s="198"/>
      <c r="G20" s="197"/>
      <c r="H20" s="196"/>
      <c r="I20" s="173" t="str">
        <f>B20</f>
        <v>TELEFON:</v>
      </c>
      <c r="J20" s="198"/>
      <c r="K20" s="198"/>
      <c r="L20" s="198"/>
      <c r="M20" s="198"/>
      <c r="N20" s="197"/>
    </row>
    <row r="21" spans="1:14" s="173" customFormat="1" ht="11.25" customHeight="1" x14ac:dyDescent="0.2">
      <c r="A21" s="196"/>
      <c r="G21" s="197"/>
      <c r="H21" s="196"/>
      <c r="N21" s="197"/>
    </row>
    <row r="22" spans="1:14" s="173" customFormat="1" ht="15" x14ac:dyDescent="0.2">
      <c r="A22" s="196"/>
      <c r="B22" s="173" t="s">
        <v>143</v>
      </c>
      <c r="C22" s="198"/>
      <c r="D22" s="198"/>
      <c r="E22" s="198"/>
      <c r="F22" s="198"/>
      <c r="G22" s="197"/>
      <c r="H22" s="196"/>
      <c r="I22" s="173" t="str">
        <f>B22</f>
        <v>POTPIS:</v>
      </c>
      <c r="J22" s="198"/>
      <c r="K22" s="198"/>
      <c r="L22" s="198"/>
      <c r="M22" s="198"/>
      <c r="N22" s="197"/>
    </row>
    <row r="23" spans="1:14" s="173" customFormat="1" ht="12" customHeight="1" x14ac:dyDescent="0.2">
      <c r="A23" s="196"/>
      <c r="B23" s="171" t="s">
        <v>189</v>
      </c>
      <c r="G23" s="197"/>
      <c r="H23" s="196"/>
      <c r="I23" s="171" t="str">
        <f>B23</f>
        <v>svojim potpisom potvrđujem pristnak</v>
      </c>
      <c r="N23" s="197"/>
    </row>
    <row r="24" spans="1:14" s="173" customFormat="1" ht="6.75" customHeight="1" x14ac:dyDescent="0.2">
      <c r="A24" s="196"/>
      <c r="G24" s="197"/>
      <c r="H24" s="196"/>
      <c r="N24" s="197"/>
    </row>
    <row r="25" spans="1:14" s="173" customFormat="1" ht="9" customHeight="1" x14ac:dyDescent="0.2">
      <c r="A25" s="196"/>
      <c r="B25" s="203" t="s">
        <v>187</v>
      </c>
      <c r="C25" s="203"/>
      <c r="D25" s="203"/>
      <c r="E25" s="203"/>
      <c r="G25" s="197"/>
      <c r="H25" s="196"/>
      <c r="I25" s="203" t="str">
        <f>B25</f>
        <v>U skladu sa odredbom Zakona o zaštiti ličnih podataka izjavljujem i potpisom</v>
      </c>
      <c r="J25" s="203"/>
      <c r="N25" s="197"/>
    </row>
    <row r="26" spans="1:14" s="173" customFormat="1" ht="9" customHeight="1" x14ac:dyDescent="0.2">
      <c r="A26" s="196"/>
      <c r="B26" s="203" t="s">
        <v>188</v>
      </c>
      <c r="C26" s="203"/>
      <c r="D26" s="203"/>
      <c r="E26" s="203"/>
      <c r="G26" s="197"/>
      <c r="H26" s="196"/>
      <c r="I26" s="203" t="str">
        <f>B26</f>
        <v>potvrđujem svoju saglasnost da Natural solution d.o.o." iz Bara preduzima</v>
      </c>
      <c r="J26" s="203"/>
      <c r="N26" s="197"/>
    </row>
    <row r="27" spans="1:14" s="173" customFormat="1" ht="9" customHeight="1" x14ac:dyDescent="0.2">
      <c r="A27" s="196"/>
      <c r="B27" s="203" t="s">
        <v>190</v>
      </c>
      <c r="C27" s="203"/>
      <c r="D27" s="203"/>
      <c r="E27" s="203"/>
      <c r="G27" s="197"/>
      <c r="H27" s="196"/>
      <c r="I27" s="203" t="str">
        <f>B27</f>
        <v>sve radnje vezano za obradu mojih ličnih podataka u skladu sa zakonom u</v>
      </c>
      <c r="J27" s="203"/>
      <c r="N27" s="197"/>
    </row>
    <row r="28" spans="1:14" s="173" customFormat="1" ht="9" customHeight="1" x14ac:dyDescent="0.2">
      <c r="A28" s="196"/>
      <c r="B28" s="203" t="s">
        <v>191</v>
      </c>
      <c r="C28" s="203"/>
      <c r="D28" s="203"/>
      <c r="E28" s="203"/>
      <c r="G28" s="197"/>
      <c r="H28" s="196"/>
      <c r="I28" s="203" t="str">
        <f>B28</f>
        <v xml:space="preserve">okviru svoje poslovne delatnosti, te se odričem prava da se takvoj obradi </v>
      </c>
      <c r="J28" s="203"/>
      <c r="N28" s="197"/>
    </row>
    <row r="29" spans="1:14" s="173" customFormat="1" ht="9" customHeight="1" x14ac:dyDescent="0.2">
      <c r="A29" s="196"/>
      <c r="B29" s="203" t="s">
        <v>192</v>
      </c>
      <c r="C29" s="203"/>
      <c r="D29" s="203"/>
      <c r="E29" s="203"/>
      <c r="H29" s="196"/>
      <c r="I29" s="203" t="str">
        <f>B29</f>
        <v>protivim.</v>
      </c>
      <c r="J29" s="203"/>
      <c r="N29" s="197"/>
    </row>
    <row r="30" spans="1:14" s="173" customFormat="1" ht="9" customHeight="1" x14ac:dyDescent="0.2">
      <c r="A30" s="196"/>
      <c r="B30" s="203"/>
      <c r="C30" s="203"/>
      <c r="D30" s="203"/>
      <c r="E30" s="203"/>
      <c r="H30" s="196"/>
      <c r="I30" s="203"/>
      <c r="J30" s="203"/>
      <c r="N30" s="197"/>
    </row>
    <row r="31" spans="1:14" s="173" customFormat="1" ht="7.5" customHeight="1" thickBot="1" x14ac:dyDescent="0.25">
      <c r="A31" s="196"/>
      <c r="B31" s="204"/>
      <c r="H31" s="196"/>
      <c r="N31" s="197"/>
    </row>
    <row r="32" spans="1:14" ht="8.25" customHeight="1" x14ac:dyDescent="0.2">
      <c r="A32" s="193"/>
      <c r="B32" s="194"/>
      <c r="C32" s="194"/>
      <c r="D32" s="194"/>
      <c r="E32" s="194"/>
      <c r="F32" s="194"/>
      <c r="G32" s="195"/>
      <c r="H32" s="194"/>
      <c r="I32" s="194"/>
      <c r="J32" s="194"/>
      <c r="K32" s="194"/>
      <c r="L32" s="194"/>
      <c r="M32" s="194"/>
      <c r="N32" s="195"/>
    </row>
    <row r="33" spans="1:14" ht="8.25" customHeight="1" x14ac:dyDescent="0.2">
      <c r="A33" s="207"/>
      <c r="G33" s="209"/>
      <c r="N33" s="209"/>
    </row>
    <row r="34" spans="1:14" ht="15" customHeight="1" x14ac:dyDescent="0.2">
      <c r="A34" s="207"/>
      <c r="B34" s="202" t="str">
        <f>B3</f>
        <v>Natural solution d.o.o., Bar</v>
      </c>
      <c r="C34" s="173"/>
      <c r="D34" s="173"/>
      <c r="E34" s="173"/>
      <c r="F34" s="173"/>
      <c r="G34" s="197"/>
      <c r="H34" s="173"/>
      <c r="I34" s="202" t="str">
        <f>B34</f>
        <v>Natural solution d.o.o., Bar</v>
      </c>
      <c r="J34" s="173"/>
      <c r="N34" s="209"/>
    </row>
    <row r="35" spans="1:14" ht="15" customHeight="1" x14ac:dyDescent="0.2">
      <c r="A35" s="207"/>
      <c r="B35" s="202"/>
      <c r="C35" s="173"/>
      <c r="D35" s="173"/>
      <c r="E35" s="173"/>
      <c r="F35" s="173"/>
      <c r="G35" s="197"/>
      <c r="H35" s="173"/>
      <c r="I35" s="202"/>
      <c r="J35" s="173"/>
      <c r="N35" s="209"/>
    </row>
    <row r="36" spans="1:14" ht="15" x14ac:dyDescent="0.2">
      <c r="A36" s="196"/>
      <c r="B36" s="173" t="str">
        <f>B5</f>
        <v>REGISTRACIJSKI LIST prisutnih</v>
      </c>
      <c r="C36" s="173"/>
      <c r="D36" s="173"/>
      <c r="E36" s="173"/>
      <c r="F36" s="173"/>
      <c r="G36" s="197"/>
      <c r="H36" s="173"/>
      <c r="I36" s="173" t="str">
        <f>B36</f>
        <v>REGISTRACIJSKI LIST prisutnih</v>
      </c>
      <c r="J36" s="173"/>
      <c r="K36" s="173"/>
      <c r="L36" s="173"/>
      <c r="M36" s="173"/>
      <c r="N36" s="197"/>
    </row>
    <row r="37" spans="1:14" ht="14.25" customHeight="1" x14ac:dyDescent="0.2">
      <c r="A37" s="196"/>
      <c r="B37" s="355"/>
      <c r="C37" s="355"/>
      <c r="D37" s="355"/>
      <c r="E37" s="173"/>
      <c r="F37" s="173"/>
      <c r="G37" s="197"/>
      <c r="H37" s="173"/>
      <c r="I37" s="355"/>
      <c r="J37" s="355"/>
      <c r="K37" s="355"/>
      <c r="L37" s="173"/>
      <c r="M37" s="173"/>
      <c r="N37" s="197"/>
    </row>
    <row r="38" spans="1:14" ht="13.5" customHeight="1" x14ac:dyDescent="0.2">
      <c r="A38" s="196"/>
      <c r="B38" s="202"/>
      <c r="C38" s="173"/>
      <c r="D38" s="173"/>
      <c r="E38" s="173"/>
      <c r="F38" s="173"/>
      <c r="G38" s="197"/>
      <c r="H38" s="173"/>
      <c r="I38" s="202"/>
      <c r="J38" s="173"/>
      <c r="K38" s="173"/>
      <c r="L38" s="173"/>
      <c r="M38" s="173"/>
      <c r="N38" s="197"/>
    </row>
    <row r="39" spans="1:14" ht="15" x14ac:dyDescent="0.2">
      <c r="A39" s="196"/>
      <c r="B39" s="173" t="s">
        <v>59</v>
      </c>
      <c r="C39" s="198"/>
      <c r="D39" s="198"/>
      <c r="E39" s="173"/>
      <c r="F39" s="173"/>
      <c r="G39" s="197"/>
      <c r="H39" s="173"/>
      <c r="I39" s="173" t="s">
        <v>59</v>
      </c>
      <c r="J39" s="198"/>
      <c r="K39" s="198"/>
      <c r="L39" s="173"/>
      <c r="M39" s="173"/>
      <c r="N39" s="197"/>
    </row>
    <row r="40" spans="1:14" ht="11.25" customHeight="1" x14ac:dyDescent="0.2">
      <c r="A40" s="196"/>
      <c r="B40" s="173"/>
      <c r="C40" s="173"/>
      <c r="D40" s="173"/>
      <c r="E40" s="173"/>
      <c r="F40" s="173"/>
      <c r="G40" s="197"/>
      <c r="H40" s="173"/>
      <c r="I40" s="173"/>
      <c r="J40" s="173"/>
      <c r="K40" s="173"/>
      <c r="L40" s="173"/>
      <c r="M40" s="173"/>
      <c r="N40" s="197"/>
    </row>
    <row r="41" spans="1:14" ht="15" x14ac:dyDescent="0.2">
      <c r="A41" s="196"/>
      <c r="B41" s="173" t="str">
        <f>B10</f>
        <v xml:space="preserve">IME: </v>
      </c>
      <c r="C41" s="198"/>
      <c r="D41" s="198"/>
      <c r="E41" s="198"/>
      <c r="F41" s="198"/>
      <c r="G41" s="197"/>
      <c r="H41" s="173"/>
      <c r="I41" s="173" t="str">
        <f>B41</f>
        <v xml:space="preserve">IME: </v>
      </c>
      <c r="J41" s="198"/>
      <c r="K41" s="198"/>
      <c r="L41" s="198"/>
      <c r="M41" s="198"/>
      <c r="N41" s="197"/>
    </row>
    <row r="42" spans="1:14" s="173" customFormat="1" ht="11.25" customHeight="1" x14ac:dyDescent="0.2">
      <c r="A42" s="196"/>
      <c r="G42" s="197"/>
      <c r="N42" s="197"/>
    </row>
    <row r="43" spans="1:14" s="173" customFormat="1" ht="12.75" customHeight="1" x14ac:dyDescent="0.2">
      <c r="A43" s="196"/>
      <c r="B43" s="173" t="str">
        <f>B12</f>
        <v>PREZIME:</v>
      </c>
      <c r="C43" s="198"/>
      <c r="D43" s="198"/>
      <c r="E43" s="198"/>
      <c r="F43" s="198"/>
      <c r="G43" s="197"/>
      <c r="I43" s="173" t="str">
        <f>B43</f>
        <v>PREZIME:</v>
      </c>
      <c r="J43" s="198"/>
      <c r="K43" s="198"/>
      <c r="L43" s="198"/>
      <c r="M43" s="198"/>
      <c r="N43" s="197"/>
    </row>
    <row r="44" spans="1:14" ht="11.25" customHeight="1" x14ac:dyDescent="0.2">
      <c r="A44" s="196"/>
      <c r="B44" s="173"/>
      <c r="C44" s="173"/>
      <c r="D44" s="173"/>
      <c r="E44" s="173"/>
      <c r="F44" s="173"/>
      <c r="G44" s="197"/>
      <c r="H44" s="173"/>
      <c r="I44" s="173"/>
      <c r="J44" s="173"/>
      <c r="K44" s="173"/>
      <c r="L44" s="173"/>
      <c r="M44" s="173"/>
      <c r="N44" s="197"/>
    </row>
    <row r="45" spans="1:14" s="173" customFormat="1" ht="12" customHeight="1" x14ac:dyDescent="0.2">
      <c r="A45" s="196"/>
      <c r="B45" s="173" t="str">
        <f>B14</f>
        <v>ULICA:</v>
      </c>
      <c r="C45" s="198"/>
      <c r="D45" s="198"/>
      <c r="E45" s="198"/>
      <c r="F45" s="198"/>
      <c r="G45" s="197"/>
      <c r="I45" s="173" t="str">
        <f>B45</f>
        <v>ULICA:</v>
      </c>
      <c r="J45" s="198"/>
      <c r="K45" s="198"/>
      <c r="L45" s="198"/>
      <c r="M45" s="198"/>
      <c r="N45" s="197"/>
    </row>
    <row r="46" spans="1:14" s="173" customFormat="1" ht="11.25" customHeight="1" x14ac:dyDescent="0.2">
      <c r="A46" s="196"/>
      <c r="G46" s="197"/>
      <c r="N46" s="197"/>
    </row>
    <row r="47" spans="1:14" s="173" customFormat="1" ht="12" customHeight="1" x14ac:dyDescent="0.2">
      <c r="A47" s="196"/>
      <c r="B47" s="173" t="s">
        <v>144</v>
      </c>
      <c r="D47" s="198"/>
      <c r="E47" s="198"/>
      <c r="F47" s="198"/>
      <c r="G47" s="197"/>
      <c r="I47" s="173" t="s">
        <v>144</v>
      </c>
      <c r="K47" s="198"/>
      <c r="L47" s="198"/>
      <c r="M47" s="198"/>
      <c r="N47" s="197"/>
    </row>
    <row r="48" spans="1:14" s="173" customFormat="1" ht="11.25" customHeight="1" x14ac:dyDescent="0.2">
      <c r="A48" s="196"/>
      <c r="G48" s="197"/>
      <c r="N48" s="197"/>
    </row>
    <row r="49" spans="1:14" ht="15" x14ac:dyDescent="0.2">
      <c r="A49" s="196"/>
      <c r="B49" s="173" t="str">
        <f>B18</f>
        <v>MJESTO:</v>
      </c>
      <c r="C49" s="198"/>
      <c r="D49" s="198"/>
      <c r="E49" s="198"/>
      <c r="F49" s="198"/>
      <c r="G49" s="197"/>
      <c r="H49" s="173"/>
      <c r="I49" s="173" t="str">
        <f>B49</f>
        <v>MJESTO:</v>
      </c>
      <c r="J49" s="198"/>
      <c r="K49" s="198"/>
      <c r="L49" s="198"/>
      <c r="M49" s="198"/>
      <c r="N49" s="197"/>
    </row>
    <row r="50" spans="1:14" ht="11.25" customHeight="1" x14ac:dyDescent="0.2">
      <c r="A50" s="196"/>
      <c r="B50" s="173"/>
      <c r="C50" s="173"/>
      <c r="D50" s="173"/>
      <c r="E50" s="173"/>
      <c r="F50" s="173"/>
      <c r="G50" s="197"/>
      <c r="H50" s="173"/>
      <c r="I50" s="173"/>
      <c r="J50" s="173"/>
      <c r="K50" s="173"/>
      <c r="L50" s="173"/>
      <c r="M50" s="173"/>
      <c r="N50" s="197"/>
    </row>
    <row r="51" spans="1:14" s="173" customFormat="1" ht="12" customHeight="1" x14ac:dyDescent="0.2">
      <c r="A51" s="196"/>
      <c r="B51" s="173" t="str">
        <f>B20</f>
        <v>TELEFON:</v>
      </c>
      <c r="C51" s="198"/>
      <c r="D51" s="198"/>
      <c r="E51" s="198"/>
      <c r="F51" s="198"/>
      <c r="G51" s="197"/>
      <c r="I51" s="173" t="str">
        <f>B51</f>
        <v>TELEFON:</v>
      </c>
      <c r="J51" s="198"/>
      <c r="K51" s="198"/>
      <c r="L51" s="198"/>
      <c r="M51" s="198"/>
      <c r="N51" s="197"/>
    </row>
    <row r="52" spans="1:14" s="173" customFormat="1" ht="11.25" customHeight="1" x14ac:dyDescent="0.2">
      <c r="A52" s="196"/>
      <c r="G52" s="197"/>
      <c r="N52" s="197"/>
    </row>
    <row r="53" spans="1:14" s="173" customFormat="1" ht="15" customHeight="1" x14ac:dyDescent="0.2">
      <c r="A53" s="196"/>
      <c r="B53" s="173" t="str">
        <f>B22</f>
        <v>POTPIS:</v>
      </c>
      <c r="C53" s="198"/>
      <c r="D53" s="198"/>
      <c r="E53" s="198"/>
      <c r="F53" s="198"/>
      <c r="G53" s="197"/>
      <c r="I53" s="173" t="str">
        <f>B53</f>
        <v>POTPIS:</v>
      </c>
      <c r="J53" s="198"/>
      <c r="K53" s="198"/>
      <c r="L53" s="198"/>
      <c r="M53" s="198"/>
      <c r="N53" s="197"/>
    </row>
    <row r="54" spans="1:14" s="173" customFormat="1" ht="12" customHeight="1" x14ac:dyDescent="0.2">
      <c r="A54" s="196"/>
      <c r="B54" s="171" t="str">
        <f>B23</f>
        <v>svojim potpisom potvrđujem pristnak</v>
      </c>
      <c r="G54" s="197"/>
      <c r="I54" s="171" t="str">
        <f>B54</f>
        <v>svojim potpisom potvrđujem pristnak</v>
      </c>
      <c r="N54" s="197"/>
    </row>
    <row r="55" spans="1:14" s="173" customFormat="1" ht="6.75" customHeight="1" x14ac:dyDescent="0.2">
      <c r="A55" s="196"/>
      <c r="G55" s="197"/>
      <c r="N55" s="197"/>
    </row>
    <row r="56" spans="1:14" s="173" customFormat="1" ht="9" customHeight="1" x14ac:dyDescent="0.2">
      <c r="A56" s="196"/>
      <c r="B56" s="203" t="str">
        <f>B25</f>
        <v>U skladu sa odredbom Zakona o zaštiti ličnih podataka izjavljujem i potpisom</v>
      </c>
      <c r="C56" s="203"/>
      <c r="D56" s="203"/>
      <c r="E56" s="203"/>
      <c r="F56" s="203"/>
      <c r="G56" s="205"/>
      <c r="H56" s="203"/>
      <c r="I56" s="203" t="str">
        <f>B56</f>
        <v>U skladu sa odredbom Zakona o zaštiti ličnih podataka izjavljujem i potpisom</v>
      </c>
      <c r="J56" s="203"/>
      <c r="K56" s="203"/>
      <c r="L56" s="203"/>
      <c r="M56" s="203"/>
      <c r="N56" s="197"/>
    </row>
    <row r="57" spans="1:14" ht="9" customHeight="1" x14ac:dyDescent="0.2">
      <c r="A57" s="196"/>
      <c r="B57" s="203" t="str">
        <f>B26</f>
        <v>potvrđujem svoju saglasnost da Natural solution d.o.o." iz Bara preduzima</v>
      </c>
      <c r="C57" s="203"/>
      <c r="D57" s="203"/>
      <c r="E57" s="203"/>
      <c r="F57" s="203"/>
      <c r="G57" s="205"/>
      <c r="H57" s="203"/>
      <c r="I57" s="203" t="str">
        <f>B57</f>
        <v>potvrđujem svoju saglasnost da Natural solution d.o.o." iz Bara preduzima</v>
      </c>
      <c r="J57" s="203"/>
      <c r="K57" s="203"/>
      <c r="L57" s="203"/>
      <c r="M57" s="203"/>
      <c r="N57" s="197"/>
    </row>
    <row r="58" spans="1:14" s="173" customFormat="1" ht="9" customHeight="1" x14ac:dyDescent="0.2">
      <c r="A58" s="196"/>
      <c r="B58" s="203" t="str">
        <f>B27</f>
        <v>sve radnje vezano za obradu mojih ličnih podataka u skladu sa zakonom u</v>
      </c>
      <c r="C58" s="203"/>
      <c r="D58" s="203"/>
      <c r="E58" s="203"/>
      <c r="F58" s="203"/>
      <c r="G58" s="205"/>
      <c r="H58" s="203"/>
      <c r="I58" s="203" t="str">
        <f>B58</f>
        <v>sve radnje vezano za obradu mojih ličnih podataka u skladu sa zakonom u</v>
      </c>
      <c r="J58" s="203"/>
      <c r="K58" s="203"/>
      <c r="L58" s="203"/>
      <c r="M58" s="203"/>
      <c r="N58" s="197"/>
    </row>
    <row r="59" spans="1:14" s="173" customFormat="1" ht="9" customHeight="1" x14ac:dyDescent="0.2">
      <c r="A59" s="196"/>
      <c r="B59" s="203" t="str">
        <f>B28</f>
        <v xml:space="preserve">okviru svoje poslovne delatnosti, te se odričem prava da se takvoj obradi </v>
      </c>
      <c r="C59" s="203"/>
      <c r="D59" s="203"/>
      <c r="E59" s="203"/>
      <c r="F59" s="203"/>
      <c r="G59" s="205"/>
      <c r="H59" s="203"/>
      <c r="I59" s="203" t="str">
        <f>B59</f>
        <v xml:space="preserve">okviru svoje poslovne delatnosti, te se odričem prava da se takvoj obradi </v>
      </c>
      <c r="J59" s="203"/>
      <c r="K59" s="203"/>
      <c r="L59" s="203"/>
      <c r="M59" s="203"/>
      <c r="N59" s="197"/>
    </row>
    <row r="60" spans="1:14" s="173" customFormat="1" ht="9" customHeight="1" x14ac:dyDescent="0.2">
      <c r="A60" s="196"/>
      <c r="B60" s="203" t="str">
        <f>B29</f>
        <v>protivim.</v>
      </c>
      <c r="C60" s="203"/>
      <c r="D60" s="203"/>
      <c r="E60" s="203"/>
      <c r="F60" s="203"/>
      <c r="G60" s="205"/>
      <c r="H60" s="203"/>
      <c r="I60" s="203" t="str">
        <f>B60</f>
        <v>protivim.</v>
      </c>
      <c r="J60" s="203"/>
      <c r="K60" s="203"/>
      <c r="L60" s="203"/>
      <c r="M60" s="203"/>
      <c r="N60" s="197"/>
    </row>
    <row r="61" spans="1:14" s="173" customFormat="1" ht="9" customHeight="1" x14ac:dyDescent="0.2">
      <c r="A61" s="196"/>
      <c r="B61" s="203"/>
      <c r="C61" s="203"/>
      <c r="D61" s="203"/>
      <c r="E61" s="203"/>
      <c r="F61" s="203"/>
      <c r="G61" s="205"/>
      <c r="H61" s="203"/>
      <c r="I61" s="203"/>
      <c r="J61" s="203"/>
      <c r="K61" s="203"/>
      <c r="L61" s="203"/>
      <c r="M61" s="203"/>
      <c r="N61" s="197"/>
    </row>
    <row r="62" spans="1:14" s="173" customFormat="1" ht="6.75" customHeight="1" thickBot="1" x14ac:dyDescent="0.25">
      <c r="A62" s="199"/>
      <c r="B62" s="208"/>
      <c r="C62" s="200"/>
      <c r="D62" s="200"/>
      <c r="E62" s="200"/>
      <c r="F62" s="200"/>
      <c r="G62" s="201"/>
      <c r="H62" s="200"/>
      <c r="I62" s="200"/>
      <c r="J62" s="200"/>
      <c r="K62" s="200"/>
      <c r="L62" s="200"/>
      <c r="M62" s="200"/>
      <c r="N62" s="201"/>
    </row>
  </sheetData>
  <sheetProtection algorithmName="SHA-512" hashValue="E0WDS5GikwNL8p7Hb9amYYqNCoN6aKO+DdEQtcDT3M8Iebt9w86LVCxk8TqEWIwsgZHeoU4JPg6rPQiPhQ2VAw==" saltValue="aJAwZSM1fk0wQ5YWJgoNyA==" spinCount="100000" sheet="1" objects="1" scenarios="1"/>
  <mergeCells count="4">
    <mergeCell ref="B6:D6"/>
    <mergeCell ref="B37:D37"/>
    <mergeCell ref="I37:K37"/>
    <mergeCell ref="I6:K6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topLeftCell="A12" workbookViewId="0">
      <selection activeCell="B39" sqref="B39"/>
    </sheetView>
  </sheetViews>
  <sheetFormatPr defaultRowHeight="12.75" x14ac:dyDescent="0.2"/>
  <cols>
    <col min="1" max="1" width="1.42578125" customWidth="1"/>
    <col min="2" max="2" width="8.28515625" customWidth="1"/>
    <col min="5" max="5" width="8.42578125" customWidth="1"/>
    <col min="6" max="6" width="7.7109375" customWidth="1"/>
    <col min="7" max="7" width="2.5703125" customWidth="1"/>
    <col min="8" max="8" width="1.42578125" customWidth="1"/>
    <col min="9" max="9" width="8" customWidth="1"/>
    <col min="11" max="11" width="7.140625" customWidth="1"/>
    <col min="12" max="12" width="7.28515625" customWidth="1"/>
    <col min="13" max="13" width="11.7109375" customWidth="1"/>
    <col min="14" max="14" width="2.42578125" customWidth="1"/>
  </cols>
  <sheetData>
    <row r="1" spans="1:14" ht="8.25" customHeight="1" x14ac:dyDescent="0.2">
      <c r="A1" s="207"/>
      <c r="G1" s="209"/>
      <c r="H1" s="207"/>
      <c r="N1" s="209"/>
    </row>
    <row r="2" spans="1:14" s="173" customFormat="1" ht="15" x14ac:dyDescent="0.2">
      <c r="A2" s="196"/>
      <c r="B2" s="356" t="s">
        <v>147</v>
      </c>
      <c r="C2" s="357"/>
      <c r="D2" s="357"/>
      <c r="E2" s="357"/>
      <c r="F2" s="357"/>
      <c r="G2" s="197"/>
      <c r="H2" s="196"/>
      <c r="I2" s="356" t="str">
        <f>B2</f>
        <v>Potvrda o primitku poklona za bračne parove</v>
      </c>
      <c r="J2" s="357"/>
      <c r="K2" s="357"/>
      <c r="L2" s="357"/>
      <c r="M2" s="357"/>
      <c r="N2" s="197"/>
    </row>
    <row r="3" spans="1:14" s="173" customFormat="1" ht="15" x14ac:dyDescent="0.2">
      <c r="A3" s="196"/>
      <c r="B3" s="202" t="s">
        <v>201</v>
      </c>
      <c r="G3" s="197"/>
      <c r="H3" s="196"/>
      <c r="I3" s="202" t="str">
        <f>B3</f>
        <v>Natural solution d.o.o.</v>
      </c>
      <c r="N3" s="197"/>
    </row>
    <row r="4" spans="1:14" s="173" customFormat="1" ht="6.75" customHeight="1" x14ac:dyDescent="0.2">
      <c r="A4" s="196"/>
      <c r="B4" s="202"/>
      <c r="G4" s="197"/>
      <c r="H4" s="196"/>
      <c r="I4" s="202"/>
      <c r="N4" s="197"/>
    </row>
    <row r="5" spans="1:14" s="173" customFormat="1" ht="15" customHeight="1" x14ac:dyDescent="0.2">
      <c r="A5" s="196"/>
      <c r="B5" s="358" t="s">
        <v>152</v>
      </c>
      <c r="C5" s="358"/>
      <c r="D5" s="358"/>
      <c r="E5" s="359"/>
      <c r="F5" s="359"/>
      <c r="G5" s="197"/>
      <c r="H5" s="196"/>
      <c r="I5" s="355" t="str">
        <f>B5</f>
        <v>Poklon za bračne parove:</v>
      </c>
      <c r="J5" s="355"/>
      <c r="K5" s="355"/>
      <c r="L5" s="198" t="str">
        <f>IF(E5="","",E5)</f>
        <v/>
      </c>
      <c r="M5" s="198"/>
      <c r="N5" s="197"/>
    </row>
    <row r="6" spans="1:14" s="173" customFormat="1" ht="8.25" customHeight="1" x14ac:dyDescent="0.2">
      <c r="A6" s="196"/>
      <c r="B6" s="178"/>
      <c r="C6" s="178"/>
      <c r="D6" s="178"/>
      <c r="E6" s="213"/>
      <c r="F6" s="213"/>
      <c r="G6" s="197"/>
      <c r="H6" s="196"/>
      <c r="I6" s="210"/>
      <c r="J6" s="210"/>
      <c r="K6" s="210"/>
      <c r="N6" s="197"/>
    </row>
    <row r="7" spans="1:14" s="173" customFormat="1" ht="15" customHeight="1" x14ac:dyDescent="0.2">
      <c r="A7" s="196"/>
      <c r="B7" s="178" t="s">
        <v>164</v>
      </c>
      <c r="C7" s="214"/>
      <c r="D7" s="214"/>
      <c r="E7" s="213"/>
      <c r="F7" s="213"/>
      <c r="G7" s="197"/>
      <c r="H7" s="196"/>
      <c r="I7" s="178" t="s">
        <v>164</v>
      </c>
      <c r="J7" s="214"/>
      <c r="K7" s="214"/>
      <c r="N7" s="197"/>
    </row>
    <row r="8" spans="1:14" s="173" customFormat="1" ht="6.75" customHeight="1" x14ac:dyDescent="0.2">
      <c r="A8" s="196"/>
      <c r="B8" s="202"/>
      <c r="G8" s="197"/>
      <c r="H8" s="196"/>
      <c r="I8" s="202"/>
      <c r="N8" s="197"/>
    </row>
    <row r="9" spans="1:14" s="173" customFormat="1" ht="15" customHeight="1" x14ac:dyDescent="0.2">
      <c r="A9" s="196"/>
      <c r="B9" s="173" t="s">
        <v>146</v>
      </c>
      <c r="C9" s="198"/>
      <c r="D9" s="198"/>
      <c r="E9" s="198"/>
      <c r="F9" s="198"/>
      <c r="G9" s="197"/>
      <c r="H9" s="196"/>
      <c r="I9" s="173" t="str">
        <f>B9</f>
        <v xml:space="preserve">IME ona: </v>
      </c>
      <c r="J9" s="198"/>
      <c r="K9" s="198"/>
      <c r="L9" s="198"/>
      <c r="M9" s="198"/>
      <c r="N9" s="197"/>
    </row>
    <row r="10" spans="1:14" s="173" customFormat="1" ht="7.5" customHeight="1" x14ac:dyDescent="0.2">
      <c r="A10" s="196"/>
      <c r="G10" s="197"/>
      <c r="H10" s="196"/>
      <c r="N10" s="197"/>
    </row>
    <row r="11" spans="1:14" s="173" customFormat="1" ht="15" customHeight="1" x14ac:dyDescent="0.2">
      <c r="A11" s="196"/>
      <c r="B11" s="173" t="s">
        <v>145</v>
      </c>
      <c r="C11" s="198"/>
      <c r="D11" s="198"/>
      <c r="E11" s="198"/>
      <c r="F11" s="198"/>
      <c r="G11" s="197"/>
      <c r="H11" s="196"/>
      <c r="I11" s="173" t="str">
        <f>B11</f>
        <v xml:space="preserve">IME on: </v>
      </c>
      <c r="J11" s="198"/>
      <c r="K11" s="198"/>
      <c r="L11" s="198"/>
      <c r="M11" s="198"/>
      <c r="N11" s="197"/>
    </row>
    <row r="12" spans="1:14" s="173" customFormat="1" ht="6.75" customHeight="1" x14ac:dyDescent="0.2">
      <c r="A12" s="196"/>
      <c r="G12" s="197"/>
      <c r="H12" s="196"/>
      <c r="N12" s="197"/>
    </row>
    <row r="13" spans="1:14" s="173" customFormat="1" ht="15" x14ac:dyDescent="0.2">
      <c r="A13" s="196"/>
      <c r="B13" s="173" t="s">
        <v>139</v>
      </c>
      <c r="C13" s="198"/>
      <c r="D13" s="198"/>
      <c r="E13" s="198"/>
      <c r="F13" s="198"/>
      <c r="G13" s="197"/>
      <c r="H13" s="196"/>
      <c r="I13" s="173" t="str">
        <f>B13</f>
        <v>PREZIME:</v>
      </c>
      <c r="J13" s="198"/>
      <c r="K13" s="198"/>
      <c r="L13" s="198"/>
      <c r="M13" s="198"/>
      <c r="N13" s="197"/>
    </row>
    <row r="14" spans="1:14" s="173" customFormat="1" ht="6.75" customHeight="1" x14ac:dyDescent="0.2">
      <c r="A14" s="196"/>
      <c r="G14" s="197"/>
      <c r="H14" s="196"/>
      <c r="N14" s="197"/>
    </row>
    <row r="15" spans="1:14" s="173" customFormat="1" ht="15" x14ac:dyDescent="0.2">
      <c r="A15" s="196"/>
      <c r="B15" s="173" t="s">
        <v>140</v>
      </c>
      <c r="C15" s="198"/>
      <c r="D15" s="198"/>
      <c r="E15" s="198"/>
      <c r="F15" s="198"/>
      <c r="G15" s="197"/>
      <c r="H15" s="196"/>
      <c r="I15" s="173" t="str">
        <f>B15</f>
        <v>ULICA:</v>
      </c>
      <c r="J15" s="198"/>
      <c r="K15" s="198"/>
      <c r="L15" s="198"/>
      <c r="M15" s="198"/>
      <c r="N15" s="197"/>
    </row>
    <row r="16" spans="1:14" s="173" customFormat="1" ht="6.75" customHeight="1" x14ac:dyDescent="0.2">
      <c r="A16" s="196"/>
      <c r="G16" s="197"/>
      <c r="H16" s="196"/>
      <c r="N16" s="197"/>
    </row>
    <row r="17" spans="1:14" s="173" customFormat="1" ht="15" x14ac:dyDescent="0.2">
      <c r="A17" s="196"/>
      <c r="B17" s="173" t="s">
        <v>141</v>
      </c>
      <c r="C17" s="198"/>
      <c r="D17" s="198"/>
      <c r="E17" s="198"/>
      <c r="F17" s="198"/>
      <c r="G17" s="197"/>
      <c r="H17" s="196"/>
      <c r="I17" s="173" t="str">
        <f>B17</f>
        <v>MJESTO:</v>
      </c>
      <c r="J17" s="198"/>
      <c r="K17" s="198"/>
      <c r="L17" s="198"/>
      <c r="M17" s="198"/>
      <c r="N17" s="197"/>
    </row>
    <row r="18" spans="1:14" s="173" customFormat="1" ht="6.75" customHeight="1" x14ac:dyDescent="0.2">
      <c r="A18" s="196"/>
      <c r="G18" s="197"/>
      <c r="H18" s="196"/>
      <c r="N18" s="197"/>
    </row>
    <row r="19" spans="1:14" s="173" customFormat="1" ht="15" x14ac:dyDescent="0.2">
      <c r="A19" s="196"/>
      <c r="B19" s="173" t="s">
        <v>144</v>
      </c>
      <c r="D19" s="198"/>
      <c r="E19" s="198"/>
      <c r="F19" s="198"/>
      <c r="G19" s="197"/>
      <c r="H19" s="196"/>
      <c r="I19" s="173" t="str">
        <f>B19</f>
        <v>POŠTANSKI BROJ:</v>
      </c>
      <c r="K19" s="198"/>
      <c r="L19" s="198"/>
      <c r="M19" s="198"/>
      <c r="N19" s="197"/>
    </row>
    <row r="20" spans="1:14" s="173" customFormat="1" ht="6.75" customHeight="1" x14ac:dyDescent="0.2">
      <c r="A20" s="196"/>
      <c r="G20" s="197"/>
      <c r="H20" s="196"/>
      <c r="N20" s="197"/>
    </row>
    <row r="21" spans="1:14" s="173" customFormat="1" ht="15" x14ac:dyDescent="0.2">
      <c r="A21" s="196"/>
      <c r="B21" s="173" t="s">
        <v>142</v>
      </c>
      <c r="C21" s="198"/>
      <c r="D21" s="198"/>
      <c r="E21" s="198"/>
      <c r="F21" s="198"/>
      <c r="G21" s="197"/>
      <c r="H21" s="196"/>
      <c r="I21" s="173" t="str">
        <f>B21</f>
        <v>TELEFON:</v>
      </c>
      <c r="J21" s="198"/>
      <c r="K21" s="198"/>
      <c r="L21" s="198"/>
      <c r="M21" s="198"/>
      <c r="N21" s="197"/>
    </row>
    <row r="22" spans="1:14" s="173" customFormat="1" ht="9" customHeight="1" x14ac:dyDescent="0.2">
      <c r="A22" s="196"/>
      <c r="G22" s="197"/>
      <c r="H22" s="196"/>
      <c r="N22" s="197"/>
    </row>
    <row r="23" spans="1:14" s="173" customFormat="1" ht="15" x14ac:dyDescent="0.2">
      <c r="A23" s="196"/>
      <c r="B23" s="173" t="s">
        <v>149</v>
      </c>
      <c r="C23" s="198"/>
      <c r="D23" s="198"/>
      <c r="E23" s="198"/>
      <c r="F23" s="198"/>
      <c r="G23" s="197"/>
      <c r="H23" s="196"/>
      <c r="I23" s="173" t="str">
        <f>B23</f>
        <v>POTPIS ona:</v>
      </c>
      <c r="J23" s="198"/>
      <c r="K23" s="198"/>
      <c r="L23" s="198"/>
      <c r="M23" s="198"/>
      <c r="N23" s="197"/>
    </row>
    <row r="24" spans="1:14" s="173" customFormat="1" ht="15" x14ac:dyDescent="0.2">
      <c r="A24" s="196"/>
      <c r="G24" s="197"/>
      <c r="H24" s="196"/>
      <c r="N24" s="197"/>
    </row>
    <row r="25" spans="1:14" s="173" customFormat="1" ht="15" x14ac:dyDescent="0.2">
      <c r="A25" s="196"/>
      <c r="B25" s="173" t="s">
        <v>150</v>
      </c>
      <c r="C25" s="198"/>
      <c r="D25" s="198"/>
      <c r="E25" s="198"/>
      <c r="F25" s="198"/>
      <c r="G25" s="197"/>
      <c r="H25" s="196"/>
      <c r="I25" s="173" t="str">
        <f>B25</f>
        <v>Potpis on:</v>
      </c>
      <c r="J25" s="198"/>
      <c r="K25" s="198"/>
      <c r="L25" s="198"/>
      <c r="M25" s="198"/>
      <c r="N25" s="197"/>
    </row>
    <row r="26" spans="1:14" s="173" customFormat="1" ht="12" customHeight="1" x14ac:dyDescent="0.2">
      <c r="A26" s="196"/>
      <c r="G26" s="197"/>
      <c r="H26" s="196"/>
      <c r="N26" s="197"/>
    </row>
    <row r="27" spans="1:14" s="173" customFormat="1" ht="15" x14ac:dyDescent="0.2">
      <c r="A27" s="196"/>
      <c r="B27" s="171" t="s">
        <v>148</v>
      </c>
      <c r="G27" s="197"/>
      <c r="H27" s="196"/>
      <c r="I27" s="171" t="str">
        <f>B27</f>
        <v>Potpisom potvrđujem da sam dobio poklon</v>
      </c>
      <c r="N27" s="197"/>
    </row>
    <row r="28" spans="1:14" s="173" customFormat="1" ht="6.75" customHeight="1" x14ac:dyDescent="0.2">
      <c r="A28" s="196"/>
      <c r="G28" s="197"/>
      <c r="H28" s="196"/>
      <c r="N28" s="197"/>
    </row>
    <row r="29" spans="1:14" s="173" customFormat="1" ht="9" customHeight="1" x14ac:dyDescent="0.2">
      <c r="A29" s="196"/>
      <c r="B29" s="203" t="s">
        <v>187</v>
      </c>
      <c r="C29" s="203"/>
      <c r="D29" s="203"/>
      <c r="E29" s="203"/>
      <c r="G29" s="197"/>
      <c r="H29" s="196"/>
      <c r="I29" s="203" t="str">
        <f>B29</f>
        <v>U skladu sa odredbom Zakona o zaštiti ličnih podataka izjavljujem i potpisom</v>
      </c>
      <c r="J29" s="203"/>
      <c r="N29" s="197"/>
    </row>
    <row r="30" spans="1:14" s="173" customFormat="1" ht="9" customHeight="1" x14ac:dyDescent="0.2">
      <c r="A30" s="196"/>
      <c r="B30" s="203" t="s">
        <v>188</v>
      </c>
      <c r="C30" s="203"/>
      <c r="D30" s="203"/>
      <c r="E30" s="203"/>
      <c r="G30" s="197"/>
      <c r="H30" s="196"/>
      <c r="I30" s="203" t="str">
        <f>B30</f>
        <v>potvrđujem svoju saglasnost da Natural solution d.o.o." iz Bara preduzima</v>
      </c>
      <c r="J30" s="203"/>
      <c r="N30" s="197"/>
    </row>
    <row r="31" spans="1:14" s="173" customFormat="1" ht="9" customHeight="1" x14ac:dyDescent="0.2">
      <c r="A31" s="196"/>
      <c r="B31" s="203" t="s">
        <v>190</v>
      </c>
      <c r="C31" s="203"/>
      <c r="D31" s="203"/>
      <c r="E31" s="203"/>
      <c r="G31" s="197"/>
      <c r="H31" s="196"/>
      <c r="I31" s="203" t="str">
        <f>B31</f>
        <v>sve radnje vezano za obradu mojih ličnih podataka u skladu sa zakonom u</v>
      </c>
      <c r="J31" s="203"/>
      <c r="N31" s="197"/>
    </row>
    <row r="32" spans="1:14" s="173" customFormat="1" ht="9" customHeight="1" x14ac:dyDescent="0.2">
      <c r="A32" s="196"/>
      <c r="B32" s="203" t="s">
        <v>191</v>
      </c>
      <c r="C32" s="203"/>
      <c r="D32" s="203"/>
      <c r="E32" s="203"/>
      <c r="G32" s="197"/>
      <c r="H32" s="196"/>
      <c r="I32" s="203" t="str">
        <f>B32</f>
        <v xml:space="preserve">okviru svoje poslovne delatnosti, te se odričem prava da se takvoj obradi </v>
      </c>
      <c r="J32" s="203"/>
      <c r="N32" s="197"/>
    </row>
    <row r="33" spans="1:14" s="173" customFormat="1" ht="9" customHeight="1" x14ac:dyDescent="0.2">
      <c r="A33" s="196"/>
      <c r="B33" s="203" t="s">
        <v>192</v>
      </c>
      <c r="C33" s="203"/>
      <c r="D33" s="203"/>
      <c r="E33" s="203"/>
      <c r="H33" s="196"/>
      <c r="I33" s="203" t="str">
        <f>B33</f>
        <v>protivim.</v>
      </c>
      <c r="J33" s="203"/>
      <c r="N33" s="197"/>
    </row>
    <row r="34" spans="1:14" s="173" customFormat="1" ht="7.5" customHeight="1" thickBot="1" x14ac:dyDescent="0.25">
      <c r="A34" s="196"/>
      <c r="B34" s="204"/>
      <c r="H34" s="196"/>
      <c r="N34" s="197"/>
    </row>
    <row r="35" spans="1:14" ht="8.25" customHeight="1" x14ac:dyDescent="0.2">
      <c r="A35" s="193"/>
      <c r="B35" s="194"/>
      <c r="C35" s="194"/>
      <c r="D35" s="194"/>
      <c r="E35" s="194"/>
      <c r="F35" s="194"/>
      <c r="G35" s="195"/>
      <c r="H35" s="193"/>
      <c r="I35" s="194"/>
      <c r="J35" s="194"/>
      <c r="K35" s="194"/>
      <c r="L35" s="194"/>
      <c r="M35" s="194"/>
      <c r="N35" s="195"/>
    </row>
    <row r="36" spans="1:14" ht="8.25" customHeight="1" x14ac:dyDescent="0.2">
      <c r="A36" s="207"/>
      <c r="G36" s="209"/>
      <c r="H36" s="207"/>
      <c r="N36" s="209"/>
    </row>
    <row r="37" spans="1:14" ht="15" x14ac:dyDescent="0.2">
      <c r="A37" s="196"/>
      <c r="B37" s="355" t="str">
        <f>B2</f>
        <v>Potvrda o primitku poklona za bračne parove</v>
      </c>
      <c r="C37" s="355"/>
      <c r="D37" s="355"/>
      <c r="E37" s="355"/>
      <c r="F37" s="355"/>
      <c r="G37" s="197"/>
      <c r="H37" s="196"/>
      <c r="I37" s="356" t="str">
        <f>B37</f>
        <v>Potvrda o primitku poklona za bračne parove</v>
      </c>
      <c r="J37" s="357"/>
      <c r="K37" s="357"/>
      <c r="L37" s="357"/>
      <c r="M37" s="357"/>
      <c r="N37" s="197"/>
    </row>
    <row r="38" spans="1:14" ht="15" x14ac:dyDescent="0.2">
      <c r="A38" s="196"/>
      <c r="B38" s="202" t="str">
        <f>B3</f>
        <v>Natural solution d.o.o.</v>
      </c>
      <c r="C38" s="173"/>
      <c r="D38" s="173"/>
      <c r="E38" s="173"/>
      <c r="F38" s="173"/>
      <c r="G38" s="197"/>
      <c r="H38" s="196"/>
      <c r="I38" s="202" t="str">
        <f>B38</f>
        <v>Natural solution d.o.o.</v>
      </c>
      <c r="J38" s="173"/>
      <c r="K38" s="173"/>
      <c r="L38" s="173"/>
      <c r="M38" s="173"/>
      <c r="N38" s="197"/>
    </row>
    <row r="39" spans="1:14" ht="7.5" customHeight="1" x14ac:dyDescent="0.2">
      <c r="A39" s="196"/>
      <c r="B39" s="173"/>
      <c r="C39" s="173"/>
      <c r="D39" s="173"/>
      <c r="E39" s="173"/>
      <c r="F39" s="173"/>
      <c r="G39" s="197"/>
      <c r="H39" s="196"/>
      <c r="I39" s="173"/>
      <c r="J39" s="173"/>
      <c r="K39" s="173"/>
      <c r="L39" s="173"/>
      <c r="M39" s="173"/>
      <c r="N39" s="197"/>
    </row>
    <row r="40" spans="1:14" ht="15" customHeight="1" x14ac:dyDescent="0.2">
      <c r="A40" s="196"/>
      <c r="B40" s="356" t="str">
        <f>B5</f>
        <v>Poklon za bračne parove:</v>
      </c>
      <c r="C40" s="357"/>
      <c r="D40" s="357"/>
      <c r="E40" s="198" t="str">
        <f>IF(E5="","",E5)</f>
        <v/>
      </c>
      <c r="F40" s="198"/>
      <c r="G40" s="197"/>
      <c r="H40" s="196"/>
      <c r="I40" s="355" t="str">
        <f>I5</f>
        <v>Poklon za bračne parove:</v>
      </c>
      <c r="J40" s="355"/>
      <c r="K40" s="355"/>
      <c r="L40" s="198" t="str">
        <f>IF(E40="","",E40)</f>
        <v/>
      </c>
      <c r="M40" s="198"/>
      <c r="N40" s="197"/>
    </row>
    <row r="41" spans="1:14" ht="8.25" customHeight="1" x14ac:dyDescent="0.2">
      <c r="A41" s="196"/>
      <c r="B41" s="211"/>
      <c r="C41" s="212"/>
      <c r="D41" s="212"/>
      <c r="E41" s="173"/>
      <c r="F41" s="173"/>
      <c r="G41" s="197"/>
      <c r="H41" s="196"/>
      <c r="I41" s="210"/>
      <c r="J41" s="210"/>
      <c r="K41" s="210"/>
      <c r="L41" s="173"/>
      <c r="M41" s="173"/>
      <c r="N41" s="197"/>
    </row>
    <row r="42" spans="1:14" ht="15" customHeight="1" x14ac:dyDescent="0.2">
      <c r="A42" s="196"/>
      <c r="B42" s="178" t="s">
        <v>164</v>
      </c>
      <c r="C42" s="214"/>
      <c r="D42" s="214"/>
      <c r="E42" s="173"/>
      <c r="F42" s="173"/>
      <c r="G42" s="197"/>
      <c r="H42" s="196"/>
      <c r="I42" s="178" t="s">
        <v>164</v>
      </c>
      <c r="J42" s="214"/>
      <c r="K42" s="214"/>
      <c r="L42" s="173"/>
      <c r="M42" s="173"/>
      <c r="N42" s="197"/>
    </row>
    <row r="43" spans="1:14" ht="7.5" customHeight="1" x14ac:dyDescent="0.2">
      <c r="A43" s="196"/>
      <c r="B43" s="202"/>
      <c r="C43" s="173"/>
      <c r="D43" s="173"/>
      <c r="E43" s="173"/>
      <c r="F43" s="173"/>
      <c r="G43" s="197"/>
      <c r="H43" s="196"/>
      <c r="I43" s="202"/>
      <c r="J43" s="173"/>
      <c r="K43" s="173"/>
      <c r="L43" s="173"/>
      <c r="M43" s="173"/>
      <c r="N43" s="197"/>
    </row>
    <row r="44" spans="1:14" ht="15" customHeight="1" x14ac:dyDescent="0.2">
      <c r="A44" s="196"/>
      <c r="B44" s="173" t="str">
        <f>B9</f>
        <v xml:space="preserve">IME ona: </v>
      </c>
      <c r="C44" s="198"/>
      <c r="D44" s="198"/>
      <c r="E44" s="198"/>
      <c r="F44" s="198"/>
      <c r="G44" s="197"/>
      <c r="H44" s="196"/>
      <c r="I44" s="173" t="str">
        <f>I9</f>
        <v xml:space="preserve">IME ona: </v>
      </c>
      <c r="J44" s="198"/>
      <c r="K44" s="198"/>
      <c r="L44" s="198"/>
      <c r="M44" s="198"/>
      <c r="N44" s="197"/>
    </row>
    <row r="45" spans="1:14" ht="7.5" customHeight="1" x14ac:dyDescent="0.2">
      <c r="A45" s="196"/>
      <c r="B45" s="173"/>
      <c r="C45" s="173"/>
      <c r="D45" s="173"/>
      <c r="E45" s="173"/>
      <c r="F45" s="173"/>
      <c r="G45" s="197"/>
      <c r="H45" s="196"/>
      <c r="I45" s="173"/>
      <c r="J45" s="173"/>
      <c r="K45" s="173"/>
      <c r="L45" s="173"/>
      <c r="M45" s="173"/>
      <c r="N45" s="197"/>
    </row>
    <row r="46" spans="1:14" ht="15" x14ac:dyDescent="0.2">
      <c r="A46" s="196"/>
      <c r="B46" s="173" t="str">
        <f>B11</f>
        <v xml:space="preserve">IME on: </v>
      </c>
      <c r="C46" s="198"/>
      <c r="D46" s="198"/>
      <c r="E46" s="198"/>
      <c r="F46" s="198"/>
      <c r="G46" s="197"/>
      <c r="H46" s="196"/>
      <c r="I46" s="173" t="str">
        <f>B46</f>
        <v xml:space="preserve">IME on: </v>
      </c>
      <c r="J46" s="198"/>
      <c r="K46" s="198"/>
      <c r="L46" s="198"/>
      <c r="M46" s="198"/>
      <c r="N46" s="197"/>
    </row>
    <row r="47" spans="1:14" s="173" customFormat="1" ht="6.75" customHeight="1" x14ac:dyDescent="0.2">
      <c r="A47" s="196"/>
      <c r="G47" s="197"/>
      <c r="H47" s="196"/>
      <c r="N47" s="197"/>
    </row>
    <row r="48" spans="1:14" s="173" customFormat="1" ht="12.75" customHeight="1" x14ac:dyDescent="0.2">
      <c r="A48" s="196"/>
      <c r="B48" s="173" t="str">
        <f>B13</f>
        <v>PREZIME:</v>
      </c>
      <c r="C48" s="198"/>
      <c r="D48" s="198"/>
      <c r="E48" s="198"/>
      <c r="F48" s="198"/>
      <c r="G48" s="197"/>
      <c r="H48" s="196"/>
      <c r="I48" s="173" t="str">
        <f>B48</f>
        <v>PREZIME:</v>
      </c>
      <c r="J48" s="198"/>
      <c r="K48" s="198"/>
      <c r="L48" s="198"/>
      <c r="M48" s="198"/>
      <c r="N48" s="197"/>
    </row>
    <row r="49" spans="1:14" ht="6.75" customHeight="1" x14ac:dyDescent="0.2">
      <c r="A49" s="196"/>
      <c r="B49" s="173"/>
      <c r="C49" s="173"/>
      <c r="D49" s="173"/>
      <c r="E49" s="173"/>
      <c r="F49" s="173"/>
      <c r="G49" s="197"/>
      <c r="H49" s="196"/>
      <c r="I49" s="173"/>
      <c r="J49" s="173"/>
      <c r="K49" s="173"/>
      <c r="L49" s="173"/>
      <c r="M49" s="173"/>
      <c r="N49" s="197"/>
    </row>
    <row r="50" spans="1:14" s="173" customFormat="1" ht="12" customHeight="1" x14ac:dyDescent="0.2">
      <c r="A50" s="196"/>
      <c r="B50" s="173" t="str">
        <f>B15</f>
        <v>ULICA:</v>
      </c>
      <c r="C50" s="198"/>
      <c r="D50" s="198"/>
      <c r="E50" s="198"/>
      <c r="F50" s="198"/>
      <c r="G50" s="197"/>
      <c r="H50" s="196"/>
      <c r="I50" s="173" t="str">
        <f>B50</f>
        <v>ULICA:</v>
      </c>
      <c r="J50" s="198"/>
      <c r="K50" s="198"/>
      <c r="L50" s="198"/>
      <c r="M50" s="198"/>
      <c r="N50" s="197"/>
    </row>
    <row r="51" spans="1:14" s="173" customFormat="1" ht="6.75" customHeight="1" x14ac:dyDescent="0.2">
      <c r="A51" s="196"/>
      <c r="G51" s="197"/>
      <c r="H51" s="196"/>
      <c r="N51" s="197"/>
    </row>
    <row r="52" spans="1:14" ht="15" x14ac:dyDescent="0.2">
      <c r="A52" s="196"/>
      <c r="B52" s="173" t="str">
        <f>B17</f>
        <v>MJESTO:</v>
      </c>
      <c r="C52" s="198"/>
      <c r="D52" s="198"/>
      <c r="E52" s="198"/>
      <c r="F52" s="198"/>
      <c r="G52" s="197"/>
      <c r="H52" s="196"/>
      <c r="I52" s="173" t="str">
        <f>B52</f>
        <v>MJESTO:</v>
      </c>
      <c r="J52" s="198"/>
      <c r="K52" s="198"/>
      <c r="L52" s="198"/>
      <c r="M52" s="198"/>
      <c r="N52" s="197"/>
    </row>
    <row r="53" spans="1:14" s="173" customFormat="1" ht="6.75" customHeight="1" x14ac:dyDescent="0.2">
      <c r="A53" s="196"/>
      <c r="G53" s="197"/>
      <c r="H53" s="196"/>
      <c r="N53" s="197"/>
    </row>
    <row r="54" spans="1:14" s="173" customFormat="1" ht="15" customHeight="1" x14ac:dyDescent="0.2">
      <c r="A54" s="196"/>
      <c r="B54" s="173" t="str">
        <f>B19</f>
        <v>POŠTANSKI BROJ:</v>
      </c>
      <c r="D54" s="198"/>
      <c r="E54" s="198"/>
      <c r="F54" s="198"/>
      <c r="G54" s="197"/>
      <c r="H54" s="196"/>
      <c r="I54" s="173" t="str">
        <f>B54</f>
        <v>POŠTANSKI BROJ:</v>
      </c>
      <c r="K54" s="198"/>
      <c r="L54" s="198"/>
      <c r="M54" s="198"/>
      <c r="N54" s="197"/>
    </row>
    <row r="55" spans="1:14" ht="6.75" customHeight="1" x14ac:dyDescent="0.2">
      <c r="A55" s="196"/>
      <c r="B55" s="173"/>
      <c r="C55" s="173"/>
      <c r="D55" s="173"/>
      <c r="E55" s="173"/>
      <c r="F55" s="173"/>
      <c r="G55" s="197"/>
      <c r="H55" s="196"/>
      <c r="I55" s="173"/>
      <c r="J55" s="173"/>
      <c r="K55" s="173"/>
      <c r="L55" s="173"/>
      <c r="M55" s="173"/>
      <c r="N55" s="197"/>
    </row>
    <row r="56" spans="1:14" s="173" customFormat="1" ht="15" customHeight="1" x14ac:dyDescent="0.2">
      <c r="A56" s="196"/>
      <c r="B56" s="173" t="str">
        <f>B21</f>
        <v>TELEFON:</v>
      </c>
      <c r="C56" s="198"/>
      <c r="D56" s="198"/>
      <c r="E56" s="198"/>
      <c r="F56" s="198"/>
      <c r="G56" s="197"/>
      <c r="H56" s="196"/>
      <c r="I56" s="173" t="str">
        <f>B56</f>
        <v>TELEFON:</v>
      </c>
      <c r="J56" s="198"/>
      <c r="K56" s="198"/>
      <c r="L56" s="198"/>
      <c r="M56" s="198"/>
      <c r="N56" s="197"/>
    </row>
    <row r="57" spans="1:14" s="173" customFormat="1" ht="6.75" customHeight="1" x14ac:dyDescent="0.2">
      <c r="A57" s="196"/>
      <c r="G57" s="197"/>
      <c r="H57" s="196"/>
      <c r="N57" s="197"/>
    </row>
    <row r="58" spans="1:14" s="173" customFormat="1" ht="15" customHeight="1" x14ac:dyDescent="0.2">
      <c r="A58" s="196"/>
      <c r="B58" s="173" t="str">
        <f>B23</f>
        <v>POTPIS ona:</v>
      </c>
      <c r="C58" s="198"/>
      <c r="D58" s="198"/>
      <c r="E58" s="198"/>
      <c r="F58" s="198"/>
      <c r="G58" s="197"/>
      <c r="H58" s="196"/>
      <c r="I58" s="173" t="str">
        <f>B58</f>
        <v>POTPIS ona:</v>
      </c>
      <c r="J58" s="198"/>
      <c r="K58" s="198"/>
      <c r="L58" s="198"/>
      <c r="M58" s="198"/>
      <c r="N58" s="197"/>
    </row>
    <row r="59" spans="1:14" s="173" customFormat="1" ht="15" customHeight="1" x14ac:dyDescent="0.2">
      <c r="A59" s="196"/>
      <c r="G59" s="197"/>
      <c r="H59" s="196"/>
      <c r="N59" s="197"/>
    </row>
    <row r="60" spans="1:14" s="173" customFormat="1" ht="15" customHeight="1" x14ac:dyDescent="0.2">
      <c r="A60" s="196"/>
      <c r="B60" s="173" t="str">
        <f>B25</f>
        <v>Potpis on:</v>
      </c>
      <c r="C60" s="198"/>
      <c r="D60" s="198"/>
      <c r="E60" s="198"/>
      <c r="F60" s="198"/>
      <c r="G60" s="197"/>
      <c r="H60" s="196"/>
      <c r="I60" s="173" t="str">
        <f>I25</f>
        <v>Potpis on:</v>
      </c>
      <c r="J60" s="198"/>
      <c r="K60" s="198"/>
      <c r="L60" s="198"/>
      <c r="M60" s="198"/>
      <c r="N60" s="197"/>
    </row>
    <row r="61" spans="1:14" s="173" customFormat="1" ht="12.75" customHeight="1" x14ac:dyDescent="0.2">
      <c r="A61" s="196"/>
      <c r="G61" s="197"/>
      <c r="H61" s="196"/>
      <c r="N61" s="197"/>
    </row>
    <row r="62" spans="1:14" s="173" customFormat="1" ht="15" customHeight="1" x14ac:dyDescent="0.2">
      <c r="A62" s="196"/>
      <c r="B62" s="171" t="str">
        <f>B27</f>
        <v>Potpisom potvrđujem da sam dobio poklon</v>
      </c>
      <c r="G62" s="197"/>
      <c r="H62" s="196"/>
      <c r="I62" s="171" t="str">
        <f>I27</f>
        <v>Potpisom potvrđujem da sam dobio poklon</v>
      </c>
      <c r="N62" s="197"/>
    </row>
    <row r="63" spans="1:14" s="173" customFormat="1" ht="6.75" customHeight="1" x14ac:dyDescent="0.2">
      <c r="A63" s="196"/>
      <c r="G63" s="197"/>
      <c r="H63" s="196"/>
      <c r="N63" s="197"/>
    </row>
    <row r="64" spans="1:14" s="173" customFormat="1" ht="9" customHeight="1" x14ac:dyDescent="0.2">
      <c r="A64" s="196"/>
      <c r="B64" s="203" t="str">
        <f>B29</f>
        <v>U skladu sa odredbom Zakona o zaštiti ličnih podataka izjavljujem i potpisom</v>
      </c>
      <c r="C64" s="203"/>
      <c r="D64" s="203"/>
      <c r="E64" s="203"/>
      <c r="F64" s="203"/>
      <c r="G64" s="205"/>
      <c r="H64" s="206"/>
      <c r="I64" s="203" t="str">
        <f>B64</f>
        <v>U skladu sa odredbom Zakona o zaštiti ličnih podataka izjavljujem i potpisom</v>
      </c>
      <c r="J64" s="203"/>
      <c r="K64" s="203"/>
      <c r="L64" s="203"/>
      <c r="M64" s="203"/>
      <c r="N64" s="197"/>
    </row>
    <row r="65" spans="1:14" ht="9" customHeight="1" x14ac:dyDescent="0.2">
      <c r="A65" s="196"/>
      <c r="B65" s="203" t="str">
        <f>B30</f>
        <v>potvrđujem svoju saglasnost da Natural solution d.o.o." iz Bara preduzima</v>
      </c>
      <c r="C65" s="203"/>
      <c r="D65" s="203"/>
      <c r="E65" s="203"/>
      <c r="F65" s="203"/>
      <c r="G65" s="205"/>
      <c r="H65" s="206"/>
      <c r="I65" s="203" t="str">
        <f>B65</f>
        <v>potvrđujem svoju saglasnost da Natural solution d.o.o." iz Bara preduzima</v>
      </c>
      <c r="J65" s="203"/>
      <c r="K65" s="203"/>
      <c r="L65" s="203"/>
      <c r="M65" s="203"/>
      <c r="N65" s="197"/>
    </row>
    <row r="66" spans="1:14" s="173" customFormat="1" ht="9" customHeight="1" x14ac:dyDescent="0.2">
      <c r="A66" s="196"/>
      <c r="B66" s="203" t="str">
        <f>B31</f>
        <v>sve radnje vezano za obradu mojih ličnih podataka u skladu sa zakonom u</v>
      </c>
      <c r="C66" s="203"/>
      <c r="D66" s="203"/>
      <c r="E66" s="203"/>
      <c r="F66" s="203"/>
      <c r="G66" s="205"/>
      <c r="H66" s="206"/>
      <c r="I66" s="203" t="str">
        <f>B66</f>
        <v>sve radnje vezano za obradu mojih ličnih podataka u skladu sa zakonom u</v>
      </c>
      <c r="J66" s="203"/>
      <c r="K66" s="203"/>
      <c r="L66" s="203"/>
      <c r="M66" s="203"/>
      <c r="N66" s="197"/>
    </row>
    <row r="67" spans="1:14" s="173" customFormat="1" ht="9" customHeight="1" x14ac:dyDescent="0.2">
      <c r="A67" s="196"/>
      <c r="B67" s="203" t="str">
        <f>B32</f>
        <v xml:space="preserve">okviru svoje poslovne delatnosti, te se odričem prava da se takvoj obradi </v>
      </c>
      <c r="C67" s="203"/>
      <c r="D67" s="203"/>
      <c r="E67" s="203"/>
      <c r="F67" s="203"/>
      <c r="G67" s="205"/>
      <c r="H67" s="206"/>
      <c r="I67" s="203" t="str">
        <f>B67</f>
        <v xml:space="preserve">okviru svoje poslovne delatnosti, te se odričem prava da se takvoj obradi </v>
      </c>
      <c r="J67" s="203"/>
      <c r="K67" s="203"/>
      <c r="L67" s="203"/>
      <c r="M67" s="203"/>
      <c r="N67" s="197"/>
    </row>
    <row r="68" spans="1:14" s="173" customFormat="1" ht="9" customHeight="1" x14ac:dyDescent="0.2">
      <c r="A68" s="196"/>
      <c r="B68" s="203" t="str">
        <f>B33</f>
        <v>protivim.</v>
      </c>
      <c r="C68" s="203"/>
      <c r="D68" s="203"/>
      <c r="E68" s="203"/>
      <c r="F68" s="203"/>
      <c r="G68" s="205"/>
      <c r="H68" s="206"/>
      <c r="I68" s="203" t="str">
        <f>B68</f>
        <v>protivim.</v>
      </c>
      <c r="J68" s="203"/>
      <c r="K68" s="203"/>
      <c r="L68" s="203"/>
      <c r="M68" s="203"/>
      <c r="N68" s="197"/>
    </row>
    <row r="69" spans="1:14" s="173" customFormat="1" ht="6.75" customHeight="1" thickBot="1" x14ac:dyDescent="0.25">
      <c r="A69" s="199"/>
      <c r="B69" s="208"/>
      <c r="C69" s="200"/>
      <c r="D69" s="200"/>
      <c r="E69" s="200"/>
      <c r="F69" s="200"/>
      <c r="G69" s="201"/>
      <c r="H69" s="199"/>
      <c r="I69" s="200"/>
      <c r="J69" s="200"/>
      <c r="K69" s="200"/>
      <c r="L69" s="200"/>
      <c r="M69" s="200"/>
      <c r="N69" s="201"/>
    </row>
  </sheetData>
  <sheetProtection algorithmName="SHA-512" hashValue="Gl2XN9Lya73+TSnOgCo1oJ9YCKDIskYskbLBJT3yb1k/I1aN2TV6FtdmYVXqvx7lkERJD4CneHS8HELTBLEQyQ==" saltValue="pEBSv1Jcc8ZTuupssufnAg==" spinCount="100000" sheet="1" objects="1" scenarios="1"/>
  <mergeCells count="9">
    <mergeCell ref="I40:K40"/>
    <mergeCell ref="B40:D40"/>
    <mergeCell ref="B37:F37"/>
    <mergeCell ref="I37:M37"/>
    <mergeCell ref="B2:F2"/>
    <mergeCell ref="I2:M2"/>
    <mergeCell ref="B5:D5"/>
    <mergeCell ref="I5:K5"/>
    <mergeCell ref="E5:F5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7</vt:i4>
      </vt:variant>
      <vt:variant>
        <vt:lpstr>Imenovani rasponi</vt:lpstr>
      </vt:variant>
      <vt:variant>
        <vt:i4>2</vt:i4>
      </vt:variant>
    </vt:vector>
  </HeadingPairs>
  <TitlesOfParts>
    <vt:vector size="9" baseType="lpstr">
      <vt:lpstr>211</vt:lpstr>
      <vt:lpstr>4. HÉT</vt:lpstr>
      <vt:lpstr>Tablica za unos</vt:lpstr>
      <vt:lpstr>Cijenik</vt:lpstr>
      <vt:lpstr>PONUDA</vt:lpstr>
      <vt:lpstr>Reg. list</vt:lpstr>
      <vt:lpstr>Poklon BP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2026-07-08T09:18:27Z</cp:lastPrinted>
  <dcterms:created xsi:type="dcterms:W3CDTF">2008-01-20T16:35:54Z</dcterms:created>
  <dcterms:modified xsi:type="dcterms:W3CDTF">2026-07-08T13:40:20Z</dcterms:modified>
</cp:coreProperties>
</file>
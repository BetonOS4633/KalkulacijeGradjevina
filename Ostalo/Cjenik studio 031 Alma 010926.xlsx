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KalkulacijeGradjevina\Ostalo\"/>
    </mc:Choice>
  </mc:AlternateContent>
  <xr:revisionPtr revIDLastSave="0" documentId="13_ncr:1_{608F664C-A696-4286-9BA2-703A1791EFB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adnja" sheetId="1" r:id="rId1"/>
    <sheet name="Letak 4" sheetId="2" r:id="rId2"/>
    <sheet name="Sheet3" sheetId="3" r:id="rId3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7" i="2" l="1"/>
  <c r="J46" i="2"/>
  <c r="A46" i="2"/>
  <c r="G32" i="2"/>
  <c r="O32" i="2" s="1"/>
  <c r="E32" i="2"/>
  <c r="M32" i="2" s="1"/>
  <c r="K18" i="2"/>
  <c r="K47" i="2" s="1"/>
  <c r="J17" i="2"/>
  <c r="G15" i="2"/>
  <c r="G44" i="2" s="1"/>
  <c r="O44" i="2" s="1"/>
  <c r="E15" i="2"/>
  <c r="E44" i="2" s="1"/>
  <c r="M44" i="2" s="1"/>
  <c r="A15" i="2"/>
  <c r="A44" i="2" s="1"/>
  <c r="J44" i="2" s="1"/>
  <c r="G14" i="2"/>
  <c r="G43" i="2" s="1"/>
  <c r="O43" i="2" s="1"/>
  <c r="E14" i="2"/>
  <c r="M14" i="2" s="1"/>
  <c r="A14" i="2"/>
  <c r="A43" i="2" s="1"/>
  <c r="J43" i="2" s="1"/>
  <c r="G13" i="2"/>
  <c r="G42" i="2" s="1"/>
  <c r="O42" i="2" s="1"/>
  <c r="E13" i="2"/>
  <c r="M13" i="2" s="1"/>
  <c r="A13" i="2"/>
  <c r="J13" i="2" s="1"/>
  <c r="G12" i="2"/>
  <c r="O12" i="2" s="1"/>
  <c r="E12" i="2"/>
  <c r="M12" i="2" s="1"/>
  <c r="A12" i="2"/>
  <c r="A41" i="2" s="1"/>
  <c r="J41" i="2" s="1"/>
  <c r="G11" i="2"/>
  <c r="G40" i="2" s="1"/>
  <c r="O40" i="2" s="1"/>
  <c r="E11" i="2"/>
  <c r="M11" i="2" s="1"/>
  <c r="A11" i="2"/>
  <c r="J11" i="2" s="1"/>
  <c r="G10" i="2"/>
  <c r="O10" i="2" s="1"/>
  <c r="E10" i="2"/>
  <c r="M10" i="2" s="1"/>
  <c r="A10" i="2"/>
  <c r="A39" i="2" s="1"/>
  <c r="J39" i="2" s="1"/>
  <c r="G9" i="2"/>
  <c r="G38" i="2" s="1"/>
  <c r="O38" i="2" s="1"/>
  <c r="E9" i="2"/>
  <c r="E38" i="2" s="1"/>
  <c r="M38" i="2" s="1"/>
  <c r="A9" i="2"/>
  <c r="A38" i="2" s="1"/>
  <c r="J38" i="2" s="1"/>
  <c r="G8" i="2"/>
  <c r="O8" i="2" s="1"/>
  <c r="E8" i="2"/>
  <c r="M8" i="2" s="1"/>
  <c r="A8" i="2"/>
  <c r="A37" i="2" s="1"/>
  <c r="J37" i="2" s="1"/>
  <c r="G7" i="2"/>
  <c r="G36" i="2" s="1"/>
  <c r="O36" i="2" s="1"/>
  <c r="E7" i="2"/>
  <c r="M7" i="2" s="1"/>
  <c r="A7" i="2"/>
  <c r="J7" i="2" s="1"/>
  <c r="G6" i="2"/>
  <c r="O6" i="2" s="1"/>
  <c r="E6" i="2"/>
  <c r="M6" i="2" s="1"/>
  <c r="A6" i="2"/>
  <c r="A35" i="2" s="1"/>
  <c r="J35" i="2" s="1"/>
  <c r="G5" i="2"/>
  <c r="G34" i="2" s="1"/>
  <c r="O34" i="2" s="1"/>
  <c r="E5" i="2"/>
  <c r="E34" i="2" s="1"/>
  <c r="M34" i="2" s="1"/>
  <c r="A5" i="2"/>
  <c r="A34" i="2" s="1"/>
  <c r="J34" i="2" s="1"/>
  <c r="G4" i="2"/>
  <c r="O4" i="2" s="1"/>
  <c r="D4" i="2"/>
  <c r="M4" i="2" s="1"/>
  <c r="A4" i="2"/>
  <c r="A33" i="2" s="1"/>
  <c r="J33" i="2" s="1"/>
  <c r="O3" i="2"/>
  <c r="M3" i="2"/>
  <c r="A1" i="2"/>
  <c r="A30" i="2" s="1"/>
  <c r="J30" i="2" s="1"/>
  <c r="J5" i="2" l="1"/>
  <c r="D33" i="2"/>
  <c r="M33" i="2" s="1"/>
  <c r="M5" i="2"/>
  <c r="A40" i="2"/>
  <c r="J40" i="2" s="1"/>
  <c r="E39" i="2"/>
  <c r="M39" i="2" s="1"/>
  <c r="E40" i="2"/>
  <c r="M40" i="2" s="1"/>
  <c r="J1" i="2"/>
  <c r="G41" i="2"/>
  <c r="O41" i="2" s="1"/>
  <c r="G35" i="2"/>
  <c r="O35" i="2" s="1"/>
  <c r="J9" i="2"/>
  <c r="E35" i="2"/>
  <c r="M35" i="2" s="1"/>
  <c r="M9" i="2"/>
  <c r="J15" i="2"/>
  <c r="A42" i="2"/>
  <c r="J42" i="2" s="1"/>
  <c r="M15" i="2"/>
  <c r="A36" i="2"/>
  <c r="J36" i="2" s="1"/>
  <c r="E42" i="2"/>
  <c r="M42" i="2" s="1"/>
  <c r="O15" i="2"/>
  <c r="E36" i="2"/>
  <c r="M36" i="2" s="1"/>
  <c r="E43" i="2"/>
  <c r="M43" i="2" s="1"/>
  <c r="E37" i="2"/>
  <c r="M37" i="2" s="1"/>
  <c r="O7" i="2"/>
  <c r="G37" i="2"/>
  <c r="O37" i="2" s="1"/>
  <c r="O13" i="2"/>
  <c r="E41" i="2"/>
  <c r="M41" i="2" s="1"/>
  <c r="O11" i="2"/>
  <c r="G39" i="2"/>
  <c r="O39" i="2" s="1"/>
  <c r="O9" i="2"/>
  <c r="G33" i="2"/>
  <c r="O33" i="2" s="1"/>
  <c r="O5" i="2"/>
  <c r="O14" i="2"/>
  <c r="J4" i="2"/>
  <c r="J6" i="2"/>
  <c r="J8" i="2"/>
  <c r="J10" i="2"/>
  <c r="J12" i="2"/>
  <c r="J14" i="2"/>
</calcChain>
</file>

<file path=xl/sharedStrings.xml><?xml version="1.0" encoding="utf-8"?>
<sst xmlns="http://schemas.openxmlformats.org/spreadsheetml/2006/main" count="31" uniqueCount="31">
  <si>
    <r>
      <rPr>
        <sz val="24"/>
        <color rgb="FF000000"/>
        <rFont val="Calibri"/>
        <family val="2"/>
        <charset val="238"/>
      </rPr>
      <t>Studio 031</t>
    </r>
    <r>
      <rPr>
        <sz val="16"/>
        <color rgb="FF000000"/>
        <rFont val="Calibri"/>
        <family val="2"/>
        <charset val="238"/>
      </rPr>
      <t>, obrt za frizerske i usluge uljepšavanja</t>
    </r>
  </si>
  <si>
    <t>Vl. Alma Okanović</t>
  </si>
  <si>
    <t>Gornjodravska  90c</t>
  </si>
  <si>
    <t>31000 Osijek, Hrvatska</t>
  </si>
  <si>
    <t>OIB: 27380297470</t>
  </si>
  <si>
    <t>Cjenik:</t>
  </si>
  <si>
    <t>u eurima</t>
  </si>
  <si>
    <t>Šišanje škarama (duga kosa):</t>
  </si>
  <si>
    <t>Pranje kose:</t>
  </si>
  <si>
    <t>Brijanje glave:</t>
  </si>
  <si>
    <t>Brijanje brade:</t>
  </si>
  <si>
    <t>Uređivanje kratke brade:</t>
  </si>
  <si>
    <t>Uređivanje dugačke brade:</t>
  </si>
  <si>
    <t>Skraćivanje na nulu prije brijanja:</t>
  </si>
  <si>
    <t>Posebni zahtjevi 3,00€:</t>
  </si>
  <si>
    <t>Posebni zahtjevi 6,00€:</t>
  </si>
  <si>
    <t>Knjiga žalbe</t>
  </si>
  <si>
    <t xml:space="preserve">Pisani prigovor (žalbu) je moguće uputiti na mail: </t>
  </si>
  <si>
    <t>studio031.os@gmail.com</t>
  </si>
  <si>
    <t>HRK</t>
  </si>
  <si>
    <t>€</t>
  </si>
  <si>
    <t xml:space="preserve">Plaćanje: gotovina, kartica, </t>
  </si>
  <si>
    <t>NFC, GooglePay, ApllePay</t>
  </si>
  <si>
    <t>Posebni zahtjevi 4,00€:</t>
  </si>
  <si>
    <t>Posebni zahtjevi 7,00€:</t>
  </si>
  <si>
    <t>Klasično šišanje:</t>
  </si>
  <si>
    <t>Uređivanje srednje duge brade:</t>
  </si>
  <si>
    <t>Uređivanje polu duge brade:</t>
  </si>
  <si>
    <t>Moderno frizure</t>
  </si>
  <si>
    <t>Dana 1.09.2026.</t>
  </si>
  <si>
    <t>Fed bez izbrijavanja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</si>
</sst>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kn&quot;_-;\-* #,##0.00&quot; kn&quot;_-;_-* \-??&quot; kn&quot;_-;_-@_-"/>
    <numFmt numFmtId="165" formatCode="_-* #,##0.00\ [$€-1]_-;\-* #,##0.00\ [$€-1]_-;_-* \-??\ [$€-1]_-;_-@_-"/>
    <numFmt numFmtId="166" formatCode="_-* #,##0.00\ [$kn-41A]_-;\-* #,##0.00\ [$kn-41A]_-;_-* \-??\ [$kn-41A]_-;_-@_-"/>
  </numFmts>
  <fonts count="18" x14ac:knownFonts="1">
    <font>
      <sz val="11"/>
      <color rgb="FF000000"/>
      <name val="Calibri"/>
      <family val="2"/>
      <charset val="238"/>
    </font>
    <font>
      <sz val="24"/>
      <color rgb="FF000000"/>
      <name val="Calibri"/>
      <family val="2"/>
      <charset val="238"/>
    </font>
    <font>
      <sz val="16"/>
      <color rgb="FF000000"/>
      <name val="Calibri"/>
      <family val="2"/>
      <charset val="238"/>
    </font>
    <font>
      <sz val="36"/>
      <color rgb="FF000000"/>
      <name val="Calibri"/>
      <family val="2"/>
      <charset val="238"/>
    </font>
    <font>
      <sz val="17"/>
      <color rgb="FF000000"/>
      <name val="Calibri"/>
      <family val="2"/>
      <charset val="238"/>
    </font>
    <font>
      <sz val="14"/>
      <color rgb="FF000000"/>
      <name val="Calibri"/>
      <family val="2"/>
      <charset val="238"/>
    </font>
    <font>
      <u/>
      <sz val="11"/>
      <color rgb="FF0000FF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9"/>
      <color rgb="FF000000"/>
      <name val="Calibri"/>
      <family val="2"/>
      <charset val="238"/>
    </font>
    <font>
      <sz val="9"/>
      <color rgb="FF00000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z val="12"/>
      <color rgb="FF000000"/>
      <name val="Calibri"/>
      <family val="2"/>
      <charset val="238"/>
    </font>
    <font>
      <b/>
      <sz val="8"/>
      <color rgb="FF000000"/>
      <name val="Calibri"/>
      <family val="2"/>
      <charset val="238"/>
    </font>
    <font>
      <sz val="8"/>
      <color rgb="FF000000"/>
      <name val="Calibri"/>
      <family val="2"/>
      <charset val="238"/>
    </font>
    <font>
      <sz val="10"/>
      <color rgb="FF000000"/>
      <name val="Calibri"/>
      <family val="2"/>
      <charset val="238"/>
    </font>
    <font>
      <sz val="13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22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4" fontId="16" fillId="0" borderId="0" applyBorder="0" applyProtection="0"/>
    <xf numFmtId="0" fontId="6" fillId="0" borderId="0" applyBorder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5" fontId="4" fillId="0" borderId="0" xfId="1" applyNumberFormat="1" applyFont="1" applyBorder="1" applyProtection="1"/>
    <xf numFmtId="0" fontId="5" fillId="0" borderId="0" xfId="0" applyFont="1"/>
    <xf numFmtId="0" fontId="2" fillId="0" borderId="0" xfId="2" applyFont="1" applyBorder="1" applyProtection="1"/>
    <xf numFmtId="0" fontId="7" fillId="0" borderId="0" xfId="0" applyFont="1"/>
    <xf numFmtId="0" fontId="7" fillId="0" borderId="1" xfId="0" applyFont="1" applyBorder="1"/>
    <xf numFmtId="0" fontId="8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165" fontId="13" fillId="0" borderId="0" xfId="0" applyNumberFormat="1" applyFont="1"/>
    <xf numFmtId="166" fontId="11" fillId="0" borderId="0" xfId="0" applyNumberFormat="1" applyFont="1"/>
    <xf numFmtId="0" fontId="13" fillId="0" borderId="0" xfId="0" applyFont="1"/>
    <xf numFmtId="166" fontId="13" fillId="0" borderId="0" xfId="0" applyNumberFormat="1" applyFont="1"/>
    <xf numFmtId="0" fontId="14" fillId="0" borderId="0" xfId="0" applyFont="1"/>
    <xf numFmtId="0" fontId="15" fillId="0" borderId="0" xfId="0" applyFont="1"/>
    <xf numFmtId="0" fontId="14" fillId="0" borderId="2" xfId="0" applyFont="1" applyBorder="1"/>
    <xf numFmtId="0" fontId="0" fillId="0" borderId="2" xfId="0" applyBorder="1"/>
    <xf numFmtId="0" fontId="7" fillId="0" borderId="0" xfId="0" applyFont="1" applyAlignment="1">
      <alignment horizontal="center"/>
    </xf>
    <xf numFmtId="0" fontId="0" fillId="0" borderId="1" xfId="0" applyBorder="1"/>
    <xf numFmtId="166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7" fillId="0" borderId="0" xfId="0" applyFont="1"/>
  </cellXfs>
  <cellStyles count="3">
    <cellStyle name="Hiperveza" xfId="2" builtinId="8"/>
    <cellStyle name="Normalno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udio031.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1"/>
  <sheetViews>
    <sheetView tabSelected="1" topLeftCell="A10" zoomScaleNormal="100" workbookViewId="0">
      <selection activeCell="A26" sqref="A26:XFD26"/>
    </sheetView>
  </sheetViews>
  <sheetFormatPr defaultRowHeight="15" x14ac:dyDescent="0.25"/>
  <cols>
    <col min="1" max="1" width="12.7109375" customWidth="1"/>
    <col min="2" max="4" width="8.42578125" customWidth="1"/>
    <col min="5" max="5" width="20" customWidth="1"/>
    <col min="6" max="6" width="15.42578125" customWidth="1"/>
    <col min="7" max="7" width="10" customWidth="1"/>
    <col min="8" max="8" width="7.5703125" customWidth="1"/>
    <col min="9" max="9" width="14.28515625" customWidth="1"/>
    <col min="10" max="1025" width="8.42578125" customWidth="1"/>
  </cols>
  <sheetData>
    <row r="1" spans="2:8" ht="31.5" x14ac:dyDescent="0.5">
      <c r="B1" s="1" t="s">
        <v>0</v>
      </c>
      <c r="C1" s="1"/>
      <c r="D1" s="1"/>
      <c r="E1" s="1"/>
      <c r="F1" s="1"/>
      <c r="G1" s="1"/>
      <c r="H1" s="1"/>
    </row>
    <row r="2" spans="2:8" ht="21" customHeight="1" x14ac:dyDescent="0.5">
      <c r="B2" s="2" t="s">
        <v>1</v>
      </c>
      <c r="C2" s="1"/>
      <c r="D2" s="1"/>
      <c r="E2" s="1"/>
      <c r="F2" s="1"/>
      <c r="G2" s="1"/>
      <c r="H2" s="1"/>
    </row>
    <row r="3" spans="2:8" ht="20.25" customHeight="1" x14ac:dyDescent="0.5">
      <c r="B3" s="2" t="s">
        <v>2</v>
      </c>
      <c r="C3" s="1"/>
      <c r="D3" s="1"/>
      <c r="E3" s="1"/>
      <c r="F3" s="1"/>
      <c r="G3" s="1"/>
      <c r="H3" s="1"/>
    </row>
    <row r="4" spans="2:8" ht="21.75" customHeight="1" x14ac:dyDescent="0.5">
      <c r="B4" s="2" t="s">
        <v>3</v>
      </c>
      <c r="C4" s="1"/>
      <c r="D4" s="1"/>
      <c r="E4" s="1"/>
      <c r="F4" s="1"/>
      <c r="G4" s="1"/>
      <c r="H4" s="1"/>
    </row>
    <row r="5" spans="2:8" ht="21" customHeight="1" x14ac:dyDescent="0.5">
      <c r="B5" s="2" t="s">
        <v>4</v>
      </c>
      <c r="C5" s="1"/>
      <c r="D5" s="1"/>
      <c r="E5" s="1"/>
      <c r="F5" s="1"/>
      <c r="G5" s="1"/>
      <c r="H5" s="1"/>
    </row>
    <row r="6" spans="2:8" ht="21" customHeight="1" x14ac:dyDescent="0.5">
      <c r="B6" s="2"/>
      <c r="C6" s="1"/>
      <c r="D6" s="1"/>
      <c r="E6" s="1"/>
      <c r="F6" s="1"/>
      <c r="G6" s="1"/>
      <c r="H6" s="1"/>
    </row>
    <row r="7" spans="2:8" ht="31.5" x14ac:dyDescent="0.5">
      <c r="B7" s="1"/>
      <c r="C7" s="1"/>
      <c r="D7" s="1"/>
      <c r="E7" s="1"/>
      <c r="F7" s="1"/>
      <c r="G7" s="1"/>
      <c r="H7" s="1"/>
    </row>
    <row r="8" spans="2:8" ht="43.5" customHeight="1" x14ac:dyDescent="0.7">
      <c r="B8" s="3" t="s">
        <v>5</v>
      </c>
      <c r="C8" s="1"/>
      <c r="D8" s="1"/>
      <c r="E8" s="1"/>
      <c r="F8" s="2" t="s">
        <v>6</v>
      </c>
      <c r="G8" s="1"/>
      <c r="H8" s="1"/>
    </row>
    <row r="9" spans="2:8" ht="22.5" x14ac:dyDescent="0.35">
      <c r="B9" s="4" t="s">
        <v>28</v>
      </c>
      <c r="C9" s="4"/>
      <c r="D9" s="4"/>
      <c r="E9" s="4"/>
      <c r="F9" s="5">
        <v>16</v>
      </c>
      <c r="G9" s="5"/>
      <c r="H9" s="4"/>
    </row>
    <row r="10" spans="2:8" ht="22.5" x14ac:dyDescent="0.35">
      <c r="B10" s="4" t="s">
        <v>25</v>
      </c>
      <c r="C10" s="4"/>
      <c r="D10" s="4"/>
      <c r="E10" s="4"/>
      <c r="F10" s="5">
        <v>14</v>
      </c>
      <c r="G10" s="5"/>
      <c r="H10" s="4"/>
    </row>
    <row r="11" spans="2:8" ht="22.5" x14ac:dyDescent="0.35">
      <c r="B11" s="4" t="s">
        <v>7</v>
      </c>
      <c r="C11" s="4"/>
      <c r="D11" s="4"/>
      <c r="E11" s="4"/>
      <c r="F11" s="5">
        <v>16</v>
      </c>
      <c r="G11" s="5"/>
      <c r="H11" s="4"/>
    </row>
    <row r="12" spans="2:8" ht="22.5" x14ac:dyDescent="0.35">
      <c r="B12" s="4" t="s">
        <v>30</v>
      </c>
      <c r="C12" s="4"/>
      <c r="D12" s="4"/>
      <c r="E12" s="4"/>
      <c r="F12" s="5">
        <v>14</v>
      </c>
      <c r="G12" s="5"/>
      <c r="H12" s="4"/>
    </row>
    <row r="13" spans="2:8" ht="22.5" x14ac:dyDescent="0.35">
      <c r="B13" s="4" t="s">
        <v>8</v>
      </c>
      <c r="C13" s="4"/>
      <c r="D13" s="4"/>
      <c r="E13" s="4"/>
      <c r="F13" s="5">
        <v>3</v>
      </c>
      <c r="G13" s="5"/>
      <c r="H13" s="4"/>
    </row>
    <row r="14" spans="2:8" ht="22.5" x14ac:dyDescent="0.35">
      <c r="B14" s="4" t="s">
        <v>9</v>
      </c>
      <c r="C14" s="4"/>
      <c r="D14" s="4"/>
      <c r="E14" s="4"/>
      <c r="F14" s="5">
        <v>9</v>
      </c>
      <c r="G14" s="5"/>
      <c r="H14" s="4"/>
    </row>
    <row r="15" spans="2:8" ht="22.5" x14ac:dyDescent="0.35">
      <c r="B15" s="4" t="s">
        <v>10</v>
      </c>
      <c r="C15" s="4"/>
      <c r="D15" s="4"/>
      <c r="E15" s="4"/>
      <c r="F15" s="5">
        <v>8</v>
      </c>
      <c r="G15" s="5"/>
      <c r="H15" s="4"/>
    </row>
    <row r="16" spans="2:8" ht="22.5" x14ac:dyDescent="0.35">
      <c r="B16" s="4" t="s">
        <v>11</v>
      </c>
      <c r="C16" s="4"/>
      <c r="D16" s="4"/>
      <c r="E16" s="4"/>
      <c r="F16" s="5">
        <v>12</v>
      </c>
      <c r="G16" s="5"/>
      <c r="H16" s="4"/>
    </row>
    <row r="17" spans="2:9" ht="22.5" x14ac:dyDescent="0.35">
      <c r="B17" s="4" t="s">
        <v>26</v>
      </c>
      <c r="C17" s="4"/>
      <c r="D17" s="4"/>
      <c r="E17" s="4"/>
      <c r="F17" s="5">
        <v>14</v>
      </c>
      <c r="G17" s="5"/>
      <c r="H17" s="4"/>
    </row>
    <row r="18" spans="2:9" ht="22.5" x14ac:dyDescent="0.35">
      <c r="B18" s="4" t="s">
        <v>27</v>
      </c>
      <c r="C18" s="4"/>
      <c r="D18" s="4"/>
      <c r="E18" s="4"/>
      <c r="F18" s="5">
        <v>16</v>
      </c>
      <c r="G18" s="5"/>
      <c r="H18" s="4"/>
    </row>
    <row r="19" spans="2:9" ht="22.5" x14ac:dyDescent="0.35">
      <c r="B19" s="4" t="s">
        <v>12</v>
      </c>
      <c r="C19" s="4"/>
      <c r="D19" s="4"/>
      <c r="E19" s="4"/>
      <c r="F19" s="5">
        <v>18</v>
      </c>
      <c r="G19" s="5"/>
      <c r="H19" s="4"/>
    </row>
    <row r="20" spans="2:9" ht="22.5" x14ac:dyDescent="0.35">
      <c r="B20" s="4" t="s">
        <v>13</v>
      </c>
      <c r="C20" s="4"/>
      <c r="D20" s="4"/>
      <c r="E20" s="4"/>
      <c r="F20" s="5">
        <v>3</v>
      </c>
      <c r="G20" s="5"/>
      <c r="H20" s="4"/>
    </row>
    <row r="21" spans="2:9" ht="22.5" x14ac:dyDescent="0.35">
      <c r="B21" s="4" t="s">
        <v>14</v>
      </c>
      <c r="C21" s="4"/>
      <c r="D21" s="4"/>
      <c r="E21" s="4"/>
      <c r="F21" s="5">
        <v>3</v>
      </c>
      <c r="G21" s="5"/>
      <c r="H21" s="4"/>
    </row>
    <row r="22" spans="2:9" ht="22.5" x14ac:dyDescent="0.35">
      <c r="B22" s="4" t="s">
        <v>23</v>
      </c>
      <c r="C22" s="4"/>
      <c r="D22" s="4"/>
      <c r="E22" s="4"/>
      <c r="F22" s="5">
        <v>4</v>
      </c>
      <c r="G22" s="5"/>
      <c r="H22" s="4"/>
    </row>
    <row r="23" spans="2:9" ht="22.5" x14ac:dyDescent="0.35">
      <c r="B23" s="4" t="s">
        <v>15</v>
      </c>
      <c r="C23" s="4"/>
      <c r="D23" s="4"/>
      <c r="E23" s="4"/>
      <c r="F23" s="5">
        <v>6</v>
      </c>
      <c r="G23" s="5"/>
      <c r="H23" s="4"/>
    </row>
    <row r="24" spans="2:9" ht="22.5" x14ac:dyDescent="0.35">
      <c r="B24" s="4" t="s">
        <v>24</v>
      </c>
      <c r="C24" s="4"/>
      <c r="D24" s="4"/>
      <c r="E24" s="4"/>
      <c r="F24" s="5">
        <v>7</v>
      </c>
      <c r="G24" s="5"/>
      <c r="H24" s="4"/>
    </row>
    <row r="25" spans="2:9" ht="20.25" customHeight="1" x14ac:dyDescent="0.5">
      <c r="C25" s="1"/>
      <c r="D25" s="1"/>
      <c r="E25" s="1"/>
      <c r="F25" s="1"/>
      <c r="G25" s="1"/>
      <c r="H25" s="1"/>
      <c r="I25" s="1"/>
    </row>
    <row r="26" spans="2:9" ht="24" customHeight="1" x14ac:dyDescent="0.5">
      <c r="B26" s="6" t="s">
        <v>29</v>
      </c>
      <c r="C26" s="1"/>
      <c r="D26" s="1"/>
      <c r="E26" s="1"/>
      <c r="F26" s="1"/>
      <c r="G26" s="1"/>
      <c r="H26" s="1"/>
      <c r="I26" s="1"/>
    </row>
    <row r="27" spans="2:9" ht="20.25" customHeight="1" x14ac:dyDescent="0.25"/>
    <row r="28" spans="2:9" ht="20.25" customHeight="1" x14ac:dyDescent="0.25"/>
    <row r="29" spans="2:9" ht="28.5" x14ac:dyDescent="0.45">
      <c r="B29" s="28" t="s">
        <v>16</v>
      </c>
      <c r="C29" s="28"/>
      <c r="D29" s="28"/>
      <c r="E29" s="28"/>
    </row>
    <row r="30" spans="2:9" ht="21" x14ac:dyDescent="0.35">
      <c r="B30" s="2" t="s">
        <v>17</v>
      </c>
    </row>
    <row r="31" spans="2:9" ht="21" x14ac:dyDescent="0.35">
      <c r="B31" s="7" t="s">
        <v>18</v>
      </c>
    </row>
  </sheetData>
  <hyperlinks>
    <hyperlink ref="B31" r:id="rId1" xr:uid="{00000000-0004-0000-0000-000000000000}"/>
  </hyperlinks>
  <pageMargins left="0.7" right="0.7" top="0.75" bottom="0.75" header="0.51180555555555496" footer="0.51180555555555496"/>
  <pageSetup paperSize="9" firstPageNumber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"/>
  <sheetViews>
    <sheetView zoomScaleNormal="100" workbookViewId="0">
      <selection activeCell="A22" sqref="A22"/>
    </sheetView>
  </sheetViews>
  <sheetFormatPr defaultRowHeight="15" x14ac:dyDescent="0.25"/>
  <cols>
    <col min="1" max="1" width="8.42578125" customWidth="1"/>
    <col min="2" max="2" width="5.5703125" customWidth="1"/>
    <col min="3" max="3" width="2.85546875" customWidth="1"/>
    <col min="4" max="4" width="2.5703125" customWidth="1"/>
    <col min="5" max="5" width="8.140625" customWidth="1"/>
    <col min="6" max="6" width="2.42578125" customWidth="1"/>
    <col min="7" max="7" width="6.85546875" customWidth="1"/>
    <col min="8" max="8" width="8" customWidth="1"/>
    <col min="9" max="9" width="6.28515625" customWidth="1"/>
    <col min="10" max="10" width="8.42578125" customWidth="1"/>
    <col min="11" max="11" width="6.28515625" customWidth="1"/>
    <col min="12" max="12" width="4.85546875" customWidth="1"/>
    <col min="13" max="13" width="10.5703125" customWidth="1"/>
    <col min="14" max="14" width="1.85546875" customWidth="1"/>
    <col min="15" max="15" width="7.140625" customWidth="1"/>
    <col min="16" max="1025" width="8.42578125" customWidth="1"/>
  </cols>
  <sheetData>
    <row r="1" spans="1:15" ht="7.5" customHeight="1" x14ac:dyDescent="0.25">
      <c r="A1" s="27" t="str">
        <f>Radnja!B8</f>
        <v>Cjenik:</v>
      </c>
      <c r="B1" s="27"/>
      <c r="C1" s="8"/>
      <c r="D1" s="8"/>
      <c r="E1" s="8"/>
      <c r="F1" s="8"/>
      <c r="G1" s="8"/>
      <c r="H1" s="9"/>
      <c r="I1" s="8"/>
      <c r="J1" s="27" t="str">
        <f>A1</f>
        <v>Cjenik:</v>
      </c>
      <c r="K1" s="27"/>
    </row>
    <row r="2" spans="1:15" ht="12" customHeight="1" x14ac:dyDescent="0.25">
      <c r="A2" s="27"/>
      <c r="B2" s="27"/>
      <c r="C2" s="8"/>
      <c r="D2" s="8"/>
      <c r="F2" s="10"/>
      <c r="I2" s="8"/>
      <c r="J2" s="27"/>
      <c r="K2" s="27"/>
    </row>
    <row r="3" spans="1:15" ht="11.25" customHeight="1" x14ac:dyDescent="0.25">
      <c r="A3" s="8"/>
      <c r="B3" s="8"/>
      <c r="C3" s="8"/>
      <c r="D3" s="8"/>
      <c r="E3" s="11" t="s">
        <v>19</v>
      </c>
      <c r="F3" s="8"/>
      <c r="G3" s="11" t="s">
        <v>20</v>
      </c>
      <c r="H3" s="11"/>
      <c r="I3" s="8"/>
      <c r="M3" s="12" t="str">
        <f>E3</f>
        <v>HRK</v>
      </c>
      <c r="N3" s="12"/>
      <c r="O3" s="12" t="str">
        <f t="shared" ref="O3:O15" si="0">G3</f>
        <v>€</v>
      </c>
    </row>
    <row r="4" spans="1:15" ht="18.75" x14ac:dyDescent="0.3">
      <c r="A4" s="13" t="str">
        <f>Radnja!B9</f>
        <v>Moderno frizure</v>
      </c>
      <c r="B4" s="14"/>
      <c r="C4" s="14"/>
      <c r="D4" s="26" t="e">
        <f>Radnja!#REF!</f>
        <v>#REF!</v>
      </c>
      <c r="E4" s="26"/>
      <c r="F4" s="15"/>
      <c r="G4" s="16">
        <f>Radnja!F9</f>
        <v>16</v>
      </c>
      <c r="H4" s="16"/>
      <c r="I4" s="8"/>
      <c r="J4" s="13" t="str">
        <f t="shared" ref="J4:J15" si="1">A4</f>
        <v>Moderno frizure</v>
      </c>
      <c r="K4" s="8"/>
      <c r="L4" s="8"/>
      <c r="M4" s="17" t="e">
        <f>D4</f>
        <v>#REF!</v>
      </c>
      <c r="N4" s="18"/>
      <c r="O4" s="16">
        <f t="shared" si="0"/>
        <v>16</v>
      </c>
    </row>
    <row r="5" spans="1:15" x14ac:dyDescent="0.25">
      <c r="A5" s="18" t="str">
        <f>Radnja!B11</f>
        <v>Šišanje škarama (duga kosa):</v>
      </c>
      <c r="B5" s="15"/>
      <c r="C5" s="15"/>
      <c r="D5" s="15"/>
      <c r="E5" s="19" t="e">
        <f>Radnja!#REF!</f>
        <v>#REF!</v>
      </c>
      <c r="F5" s="15"/>
      <c r="G5" s="16">
        <f>Radnja!F11</f>
        <v>16</v>
      </c>
      <c r="H5" s="16"/>
      <c r="I5" s="8"/>
      <c r="J5" s="18" t="str">
        <f t="shared" si="1"/>
        <v>Šišanje škarama (duga kosa):</v>
      </c>
      <c r="M5" s="19" t="e">
        <f t="shared" ref="M5:M15" si="2">E5</f>
        <v>#REF!</v>
      </c>
      <c r="O5" s="16">
        <f t="shared" si="0"/>
        <v>16</v>
      </c>
    </row>
    <row r="6" spans="1:15" x14ac:dyDescent="0.25">
      <c r="A6" s="18" t="str">
        <f>Radnja!B13</f>
        <v>Pranje kose:</v>
      </c>
      <c r="B6" s="15"/>
      <c r="C6" s="15"/>
      <c r="D6" s="15"/>
      <c r="E6" s="19" t="e">
        <f>Radnja!#REF!</f>
        <v>#REF!</v>
      </c>
      <c r="F6" s="15"/>
      <c r="G6" s="16">
        <f>Radnja!F13</f>
        <v>3</v>
      </c>
      <c r="H6" s="16"/>
      <c r="I6" s="8"/>
      <c r="J6" s="18" t="str">
        <f t="shared" si="1"/>
        <v>Pranje kose:</v>
      </c>
      <c r="M6" s="19" t="e">
        <f t="shared" si="2"/>
        <v>#REF!</v>
      </c>
      <c r="O6" s="16">
        <f t="shared" si="0"/>
        <v>3</v>
      </c>
    </row>
    <row r="7" spans="1:15" x14ac:dyDescent="0.25">
      <c r="A7" s="18" t="str">
        <f>Radnja!B14</f>
        <v>Brijanje glave:</v>
      </c>
      <c r="B7" s="15"/>
      <c r="C7" s="15"/>
      <c r="D7" s="15"/>
      <c r="E7" s="19" t="e">
        <f>Radnja!#REF!</f>
        <v>#REF!</v>
      </c>
      <c r="F7" s="15"/>
      <c r="G7" s="16">
        <f>Radnja!F14</f>
        <v>9</v>
      </c>
      <c r="H7" s="16"/>
      <c r="I7" s="8"/>
      <c r="J7" s="18" t="str">
        <f t="shared" si="1"/>
        <v>Brijanje glave:</v>
      </c>
      <c r="M7" s="19" t="e">
        <f t="shared" si="2"/>
        <v>#REF!</v>
      </c>
      <c r="O7" s="16">
        <f t="shared" si="0"/>
        <v>9</v>
      </c>
    </row>
    <row r="8" spans="1:15" x14ac:dyDescent="0.25">
      <c r="A8" s="18" t="str">
        <f>Radnja!B15</f>
        <v>Brijanje brade:</v>
      </c>
      <c r="B8" s="15"/>
      <c r="C8" s="15"/>
      <c r="D8" s="15"/>
      <c r="E8" s="19" t="e">
        <f>Radnja!#REF!</f>
        <v>#REF!</v>
      </c>
      <c r="F8" s="15"/>
      <c r="G8" s="16">
        <f>Radnja!F15</f>
        <v>8</v>
      </c>
      <c r="H8" s="16"/>
      <c r="I8" s="8"/>
      <c r="J8" s="18" t="str">
        <f t="shared" si="1"/>
        <v>Brijanje brade:</v>
      </c>
      <c r="M8" s="19" t="e">
        <f t="shared" si="2"/>
        <v>#REF!</v>
      </c>
      <c r="O8" s="16">
        <f t="shared" si="0"/>
        <v>8</v>
      </c>
    </row>
    <row r="9" spans="1:15" x14ac:dyDescent="0.25">
      <c r="A9" s="18" t="str">
        <f>Radnja!B16</f>
        <v>Uređivanje kratke brade:</v>
      </c>
      <c r="B9" s="15"/>
      <c r="C9" s="15"/>
      <c r="D9" s="15"/>
      <c r="E9" s="19" t="e">
        <f>Radnja!#REF!</f>
        <v>#REF!</v>
      </c>
      <c r="F9" s="15"/>
      <c r="G9" s="16">
        <f>Radnja!F16</f>
        <v>12</v>
      </c>
      <c r="H9" s="16"/>
      <c r="I9" s="8"/>
      <c r="J9" s="18" t="str">
        <f t="shared" si="1"/>
        <v>Uređivanje kratke brade:</v>
      </c>
      <c r="M9" s="19" t="e">
        <f t="shared" si="2"/>
        <v>#REF!</v>
      </c>
      <c r="O9" s="16">
        <f t="shared" si="0"/>
        <v>12</v>
      </c>
    </row>
    <row r="10" spans="1:15" x14ac:dyDescent="0.25">
      <c r="A10" s="18" t="str">
        <f>Radnja!B17</f>
        <v>Uređivanje srednje duge brade:</v>
      </c>
      <c r="B10" s="15"/>
      <c r="C10" s="15"/>
      <c r="D10" s="15"/>
      <c r="E10" s="19" t="e">
        <f>Radnja!#REF!</f>
        <v>#REF!</v>
      </c>
      <c r="F10" s="15"/>
      <c r="G10" s="16">
        <f>Radnja!F17</f>
        <v>14</v>
      </c>
      <c r="H10" s="16"/>
      <c r="I10" s="8"/>
      <c r="J10" s="18" t="str">
        <f t="shared" si="1"/>
        <v>Uređivanje srednje duge brade:</v>
      </c>
      <c r="M10" s="19" t="e">
        <f t="shared" si="2"/>
        <v>#REF!</v>
      </c>
      <c r="O10" s="16">
        <f t="shared" si="0"/>
        <v>14</v>
      </c>
    </row>
    <row r="11" spans="1:15" x14ac:dyDescent="0.25">
      <c r="A11" s="18" t="str">
        <f>Radnja!B19</f>
        <v>Uređivanje dugačke brade:</v>
      </c>
      <c r="B11" s="15"/>
      <c r="C11" s="15"/>
      <c r="D11" s="15"/>
      <c r="E11" s="19" t="e">
        <f>Radnja!#REF!</f>
        <v>#REF!</v>
      </c>
      <c r="F11" s="15"/>
      <c r="G11" s="16">
        <f>Radnja!F19</f>
        <v>18</v>
      </c>
      <c r="H11" s="16"/>
      <c r="I11" s="8"/>
      <c r="J11" s="18" t="str">
        <f t="shared" si="1"/>
        <v>Uređivanje dugačke brade:</v>
      </c>
      <c r="M11" s="19" t="e">
        <f t="shared" si="2"/>
        <v>#REF!</v>
      </c>
      <c r="O11" s="16">
        <f t="shared" si="0"/>
        <v>18</v>
      </c>
    </row>
    <row r="12" spans="1:15" x14ac:dyDescent="0.25">
      <c r="A12" s="18" t="e">
        <f>Radnja!#REF!</f>
        <v>#REF!</v>
      </c>
      <c r="B12" s="15"/>
      <c r="C12" s="15"/>
      <c r="D12" s="15"/>
      <c r="E12" s="19" t="e">
        <f>Radnja!#REF!</f>
        <v>#REF!</v>
      </c>
      <c r="F12" s="15"/>
      <c r="G12" s="16" t="e">
        <f>Radnja!#REF!</f>
        <v>#REF!</v>
      </c>
      <c r="H12" s="16"/>
      <c r="I12" s="8"/>
      <c r="J12" s="18" t="e">
        <f t="shared" si="1"/>
        <v>#REF!</v>
      </c>
      <c r="M12" s="19" t="e">
        <f t="shared" si="2"/>
        <v>#REF!</v>
      </c>
      <c r="O12" s="16" t="e">
        <f t="shared" si="0"/>
        <v>#REF!</v>
      </c>
    </row>
    <row r="13" spans="1:15" x14ac:dyDescent="0.25">
      <c r="A13" s="18" t="e">
        <f>Radnja!#REF!</f>
        <v>#REF!</v>
      </c>
      <c r="B13" s="15"/>
      <c r="C13" s="15"/>
      <c r="D13" s="15"/>
      <c r="E13" s="19" t="e">
        <f>Radnja!#REF!</f>
        <v>#REF!</v>
      </c>
      <c r="F13" s="15"/>
      <c r="G13" s="16" t="e">
        <f>Radnja!#REF!</f>
        <v>#REF!</v>
      </c>
      <c r="H13" s="16"/>
      <c r="I13" s="8"/>
      <c r="J13" s="18" t="e">
        <f t="shared" si="1"/>
        <v>#REF!</v>
      </c>
      <c r="M13" s="19" t="e">
        <f t="shared" si="2"/>
        <v>#REF!</v>
      </c>
      <c r="O13" s="16" t="e">
        <f t="shared" si="0"/>
        <v>#REF!</v>
      </c>
    </row>
    <row r="14" spans="1:15" x14ac:dyDescent="0.25">
      <c r="A14" s="18" t="e">
        <f>Radnja!#REF!</f>
        <v>#REF!</v>
      </c>
      <c r="B14" s="15"/>
      <c r="C14" s="15"/>
      <c r="D14" s="15"/>
      <c r="E14" s="19" t="e">
        <f>Radnja!#REF!</f>
        <v>#REF!</v>
      </c>
      <c r="F14" s="15"/>
      <c r="G14" s="16" t="e">
        <f>Radnja!#REF!</f>
        <v>#REF!</v>
      </c>
      <c r="H14" s="16"/>
      <c r="I14" s="8"/>
      <c r="J14" s="18" t="e">
        <f t="shared" si="1"/>
        <v>#REF!</v>
      </c>
      <c r="M14" s="19" t="e">
        <f t="shared" si="2"/>
        <v>#REF!</v>
      </c>
      <c r="O14" s="16" t="e">
        <f t="shared" si="0"/>
        <v>#REF!</v>
      </c>
    </row>
    <row r="15" spans="1:15" x14ac:dyDescent="0.25">
      <c r="A15" s="18" t="e">
        <f>Radnja!#REF!</f>
        <v>#REF!</v>
      </c>
      <c r="B15" s="15"/>
      <c r="C15" s="15"/>
      <c r="D15" s="15"/>
      <c r="E15" s="19" t="e">
        <f>Radnja!#REF!</f>
        <v>#REF!</v>
      </c>
      <c r="F15" s="15"/>
      <c r="G15" s="16" t="e">
        <f>Radnja!#REF!</f>
        <v>#REF!</v>
      </c>
      <c r="H15" s="16"/>
      <c r="I15" s="8"/>
      <c r="J15" s="18" t="e">
        <f t="shared" si="1"/>
        <v>#REF!</v>
      </c>
      <c r="M15" s="19" t="e">
        <f t="shared" si="2"/>
        <v>#REF!</v>
      </c>
      <c r="O15" s="16" t="e">
        <f t="shared" si="0"/>
        <v>#REF!</v>
      </c>
    </row>
    <row r="16" spans="1:15" x14ac:dyDescent="0.25">
      <c r="A16" s="18"/>
      <c r="B16" s="15"/>
      <c r="C16" s="15"/>
      <c r="D16" s="15"/>
      <c r="E16" s="19"/>
      <c r="F16" s="15"/>
      <c r="G16" s="16"/>
      <c r="H16" s="16"/>
      <c r="I16" s="8"/>
    </row>
    <row r="17" spans="1:15" ht="18.75" x14ac:dyDescent="0.3">
      <c r="A17" s="6" t="s">
        <v>21</v>
      </c>
      <c r="B17" s="8"/>
      <c r="C17" s="8"/>
      <c r="D17" s="8"/>
      <c r="E17" s="8"/>
      <c r="F17" s="8"/>
      <c r="G17" s="8"/>
      <c r="H17" s="8"/>
      <c r="I17" s="8"/>
      <c r="J17" s="6" t="str">
        <f>A17</f>
        <v xml:space="preserve">Plaćanje: gotovina, kartica, </v>
      </c>
    </row>
    <row r="18" spans="1:15" ht="17.25" x14ac:dyDescent="0.3">
      <c r="A18" s="20"/>
      <c r="B18" s="21" t="s">
        <v>22</v>
      </c>
      <c r="C18" s="8"/>
      <c r="D18" s="8"/>
      <c r="E18" s="8"/>
      <c r="F18" s="8"/>
      <c r="G18" s="8"/>
      <c r="H18" s="8"/>
      <c r="I18" s="8"/>
      <c r="K18" s="21" t="str">
        <f>B18</f>
        <v>NFC, GooglePay, ApllePay</v>
      </c>
    </row>
    <row r="19" spans="1:15" x14ac:dyDescent="0.25">
      <c r="A19" s="20"/>
      <c r="B19" s="8"/>
      <c r="C19" s="8"/>
      <c r="D19" s="8"/>
      <c r="E19" s="8"/>
      <c r="F19" s="8"/>
      <c r="G19" s="8"/>
      <c r="H19" s="8"/>
      <c r="I19" s="8"/>
    </row>
    <row r="20" spans="1:15" x14ac:dyDescent="0.25">
      <c r="A20" s="20"/>
      <c r="B20" s="8"/>
      <c r="C20" s="8"/>
      <c r="D20" s="8"/>
      <c r="E20" s="8"/>
      <c r="F20" s="8"/>
      <c r="G20" s="8"/>
      <c r="H20" s="8"/>
      <c r="I20" s="8"/>
    </row>
    <row r="21" spans="1:15" x14ac:dyDescent="0.25">
      <c r="A21" s="20"/>
      <c r="B21" s="8"/>
      <c r="C21" s="8"/>
      <c r="D21" s="8"/>
      <c r="E21" s="8"/>
      <c r="F21" s="8"/>
      <c r="G21" s="8"/>
      <c r="H21" s="8"/>
      <c r="I21" s="8"/>
    </row>
    <row r="22" spans="1:15" x14ac:dyDescent="0.25">
      <c r="A22" s="20"/>
      <c r="B22" s="8"/>
      <c r="C22" s="8"/>
      <c r="D22" s="8"/>
      <c r="E22" s="8"/>
      <c r="F22" s="8"/>
      <c r="G22" s="8"/>
      <c r="H22" s="8"/>
      <c r="I22" s="8"/>
    </row>
    <row r="23" spans="1:15" x14ac:dyDescent="0.25">
      <c r="A23" s="20"/>
      <c r="B23" s="8"/>
      <c r="C23" s="8"/>
      <c r="D23" s="8"/>
      <c r="E23" s="8"/>
      <c r="F23" s="8"/>
      <c r="G23" s="8"/>
      <c r="H23" s="8"/>
      <c r="I23" s="8"/>
    </row>
    <row r="24" spans="1:15" x14ac:dyDescent="0.25">
      <c r="A24" s="20"/>
      <c r="B24" s="8"/>
      <c r="C24" s="8"/>
      <c r="D24" s="8"/>
      <c r="E24" s="8"/>
      <c r="F24" s="8"/>
      <c r="G24" s="8"/>
      <c r="H24" s="8"/>
      <c r="I24" s="8"/>
    </row>
    <row r="25" spans="1:15" x14ac:dyDescent="0.25">
      <c r="A25" s="20"/>
      <c r="B25" s="8"/>
      <c r="C25" s="8"/>
      <c r="D25" s="8"/>
      <c r="E25" s="8"/>
      <c r="F25" s="8"/>
      <c r="G25" s="8"/>
      <c r="H25" s="8"/>
      <c r="I25" s="8"/>
    </row>
    <row r="26" spans="1:15" ht="9.75" customHeight="1" x14ac:dyDescent="0.25">
      <c r="A26" s="22"/>
      <c r="B26" s="8"/>
      <c r="C26" s="8"/>
      <c r="D26" s="8"/>
      <c r="E26" s="8"/>
      <c r="F26" s="8"/>
      <c r="G26" s="8"/>
      <c r="H26" s="8"/>
      <c r="I26" s="8"/>
      <c r="O26" s="23"/>
    </row>
    <row r="27" spans="1:15" x14ac:dyDescent="0.25">
      <c r="A27" s="20"/>
      <c r="B27" s="8"/>
      <c r="C27" s="8"/>
      <c r="D27" s="8"/>
      <c r="E27" s="8"/>
      <c r="F27" s="8"/>
      <c r="G27" s="8"/>
      <c r="H27" s="8"/>
      <c r="I27" s="8"/>
    </row>
    <row r="28" spans="1:15" x14ac:dyDescent="0.25">
      <c r="A28" s="20"/>
      <c r="B28" s="8"/>
      <c r="C28" s="8"/>
      <c r="D28" s="8"/>
      <c r="E28" s="8"/>
      <c r="F28" s="8"/>
      <c r="G28" s="8"/>
      <c r="H28" s="8"/>
      <c r="I28" s="8"/>
    </row>
    <row r="29" spans="1:15" x14ac:dyDescent="0.25">
      <c r="A29" s="8"/>
      <c r="B29" s="8"/>
      <c r="C29" s="8"/>
      <c r="D29" s="8"/>
      <c r="E29" s="8"/>
      <c r="F29" s="8"/>
      <c r="G29" s="8"/>
      <c r="H29" s="8"/>
      <c r="I29" s="8"/>
    </row>
    <row r="30" spans="1:15" x14ac:dyDescent="0.25">
      <c r="A30" s="27" t="str">
        <f>A1</f>
        <v>Cjenik:</v>
      </c>
      <c r="B30" s="27"/>
      <c r="C30" s="8"/>
      <c r="D30" s="8"/>
      <c r="E30" s="8"/>
      <c r="F30" s="8"/>
      <c r="G30" s="8"/>
      <c r="H30" s="8"/>
      <c r="I30" s="8"/>
      <c r="J30" s="27" t="str">
        <f>A30</f>
        <v>Cjenik:</v>
      </c>
      <c r="K30" s="27"/>
    </row>
    <row r="31" spans="1:15" x14ac:dyDescent="0.25">
      <c r="A31" s="27"/>
      <c r="B31" s="27"/>
      <c r="C31" s="8"/>
      <c r="D31" s="8"/>
      <c r="F31" s="10"/>
      <c r="I31" s="8"/>
      <c r="J31" s="27"/>
      <c r="K31" s="27"/>
    </row>
    <row r="32" spans="1:15" x14ac:dyDescent="0.25">
      <c r="A32" s="8"/>
      <c r="B32" s="8"/>
      <c r="C32" s="8"/>
      <c r="D32" s="8"/>
      <c r="E32" s="11" t="str">
        <f>E3</f>
        <v>HRK</v>
      </c>
      <c r="F32" s="24"/>
      <c r="G32" s="11" t="str">
        <f t="shared" ref="G32:G44" si="3">G3</f>
        <v>€</v>
      </c>
      <c r="H32" s="11"/>
      <c r="I32" s="8"/>
      <c r="M32" s="12" t="str">
        <f>E32</f>
        <v>HRK</v>
      </c>
      <c r="N32" s="12"/>
      <c r="O32" s="12" t="str">
        <f t="shared" ref="O32:O44" si="4">G32</f>
        <v>€</v>
      </c>
    </row>
    <row r="33" spans="1:15" ht="18.75" x14ac:dyDescent="0.3">
      <c r="A33" s="13" t="str">
        <f t="shared" ref="A33:A44" si="5">A4</f>
        <v>Moderno frizure</v>
      </c>
      <c r="B33" s="15"/>
      <c r="C33" s="15"/>
      <c r="D33" s="26" t="e">
        <f>D4</f>
        <v>#REF!</v>
      </c>
      <c r="E33" s="26"/>
      <c r="F33" s="15"/>
      <c r="G33" s="16">
        <f t="shared" si="3"/>
        <v>16</v>
      </c>
      <c r="H33" s="16"/>
      <c r="I33" s="8"/>
      <c r="J33" s="13" t="str">
        <f t="shared" ref="J33:J44" si="6">A33</f>
        <v>Moderno frizure</v>
      </c>
      <c r="K33" s="14"/>
      <c r="L33" s="14"/>
      <c r="M33" s="17" t="e">
        <f>D33</f>
        <v>#REF!</v>
      </c>
      <c r="N33" s="18"/>
      <c r="O33" s="16">
        <f t="shared" si="4"/>
        <v>16</v>
      </c>
    </row>
    <row r="34" spans="1:15" x14ac:dyDescent="0.25">
      <c r="A34" s="18" t="str">
        <f t="shared" si="5"/>
        <v>Šišanje škarama (duga kosa):</v>
      </c>
      <c r="B34" s="15"/>
      <c r="C34" s="15"/>
      <c r="D34" s="15"/>
      <c r="E34" s="19" t="e">
        <f t="shared" ref="E34:E44" si="7">E5</f>
        <v>#REF!</v>
      </c>
      <c r="F34" s="15"/>
      <c r="G34" s="16">
        <f t="shared" si="3"/>
        <v>16</v>
      </c>
      <c r="H34" s="16"/>
      <c r="I34" s="8"/>
      <c r="J34" s="18" t="str">
        <f t="shared" si="6"/>
        <v>Šišanje škarama (duga kosa):</v>
      </c>
      <c r="M34" s="19" t="e">
        <f t="shared" ref="M34:M44" si="8">E34</f>
        <v>#REF!</v>
      </c>
      <c r="O34" s="16">
        <f t="shared" si="4"/>
        <v>16</v>
      </c>
    </row>
    <row r="35" spans="1:15" x14ac:dyDescent="0.25">
      <c r="A35" s="18" t="str">
        <f t="shared" si="5"/>
        <v>Pranje kose:</v>
      </c>
      <c r="B35" s="15"/>
      <c r="C35" s="15"/>
      <c r="D35" s="15"/>
      <c r="E35" s="19" t="e">
        <f t="shared" si="7"/>
        <v>#REF!</v>
      </c>
      <c r="F35" s="15"/>
      <c r="G35" s="16">
        <f t="shared" si="3"/>
        <v>3</v>
      </c>
      <c r="H35" s="16"/>
      <c r="I35" s="8"/>
      <c r="J35" s="18" t="str">
        <f t="shared" si="6"/>
        <v>Pranje kose:</v>
      </c>
      <c r="M35" s="19" t="e">
        <f t="shared" si="8"/>
        <v>#REF!</v>
      </c>
      <c r="O35" s="16">
        <f t="shared" si="4"/>
        <v>3</v>
      </c>
    </row>
    <row r="36" spans="1:15" x14ac:dyDescent="0.25">
      <c r="A36" s="18" t="str">
        <f t="shared" si="5"/>
        <v>Brijanje glave:</v>
      </c>
      <c r="B36" s="15"/>
      <c r="C36" s="15"/>
      <c r="D36" s="15"/>
      <c r="E36" s="19" t="e">
        <f t="shared" si="7"/>
        <v>#REF!</v>
      </c>
      <c r="F36" s="15"/>
      <c r="G36" s="16">
        <f t="shared" si="3"/>
        <v>9</v>
      </c>
      <c r="H36" s="16"/>
      <c r="I36" s="8"/>
      <c r="J36" s="18" t="str">
        <f t="shared" si="6"/>
        <v>Brijanje glave:</v>
      </c>
      <c r="M36" s="19" t="e">
        <f t="shared" si="8"/>
        <v>#REF!</v>
      </c>
      <c r="O36" s="16">
        <f t="shared" si="4"/>
        <v>9</v>
      </c>
    </row>
    <row r="37" spans="1:15" x14ac:dyDescent="0.25">
      <c r="A37" s="18" t="str">
        <f t="shared" si="5"/>
        <v>Brijanje brade:</v>
      </c>
      <c r="B37" s="15"/>
      <c r="C37" s="15"/>
      <c r="D37" s="15"/>
      <c r="E37" s="19" t="e">
        <f t="shared" si="7"/>
        <v>#REF!</v>
      </c>
      <c r="F37" s="15"/>
      <c r="G37" s="16">
        <f t="shared" si="3"/>
        <v>8</v>
      </c>
      <c r="H37" s="16"/>
      <c r="I37" s="8"/>
      <c r="J37" s="18" t="str">
        <f t="shared" si="6"/>
        <v>Brijanje brade:</v>
      </c>
      <c r="M37" s="19" t="e">
        <f t="shared" si="8"/>
        <v>#REF!</v>
      </c>
      <c r="O37" s="16">
        <f t="shared" si="4"/>
        <v>8</v>
      </c>
    </row>
    <row r="38" spans="1:15" x14ac:dyDescent="0.25">
      <c r="A38" s="18" t="str">
        <f t="shared" si="5"/>
        <v>Uređivanje kratke brade:</v>
      </c>
      <c r="B38" s="15"/>
      <c r="C38" s="15"/>
      <c r="D38" s="15"/>
      <c r="E38" s="19" t="e">
        <f t="shared" si="7"/>
        <v>#REF!</v>
      </c>
      <c r="F38" s="15"/>
      <c r="G38" s="16">
        <f t="shared" si="3"/>
        <v>12</v>
      </c>
      <c r="H38" s="16"/>
      <c r="I38" s="8"/>
      <c r="J38" s="18" t="str">
        <f t="shared" si="6"/>
        <v>Uređivanje kratke brade:</v>
      </c>
      <c r="M38" s="19" t="e">
        <f t="shared" si="8"/>
        <v>#REF!</v>
      </c>
      <c r="O38" s="16">
        <f t="shared" si="4"/>
        <v>12</v>
      </c>
    </row>
    <row r="39" spans="1:15" x14ac:dyDescent="0.25">
      <c r="A39" s="18" t="str">
        <f t="shared" si="5"/>
        <v>Uređivanje srednje duge brade:</v>
      </c>
      <c r="B39" s="15"/>
      <c r="C39" s="15"/>
      <c r="D39" s="15"/>
      <c r="E39" s="19" t="e">
        <f t="shared" si="7"/>
        <v>#REF!</v>
      </c>
      <c r="F39" s="15"/>
      <c r="G39" s="16">
        <f t="shared" si="3"/>
        <v>14</v>
      </c>
      <c r="H39" s="16"/>
      <c r="I39" s="8"/>
      <c r="J39" s="18" t="str">
        <f t="shared" si="6"/>
        <v>Uređivanje srednje duge brade:</v>
      </c>
      <c r="M39" s="19" t="e">
        <f t="shared" si="8"/>
        <v>#REF!</v>
      </c>
      <c r="O39" s="16">
        <f t="shared" si="4"/>
        <v>14</v>
      </c>
    </row>
    <row r="40" spans="1:15" x14ac:dyDescent="0.25">
      <c r="A40" s="18" t="str">
        <f t="shared" si="5"/>
        <v>Uređivanje dugačke brade:</v>
      </c>
      <c r="B40" s="15"/>
      <c r="C40" s="15"/>
      <c r="D40" s="15"/>
      <c r="E40" s="19" t="e">
        <f t="shared" si="7"/>
        <v>#REF!</v>
      </c>
      <c r="F40" s="15"/>
      <c r="G40" s="16">
        <f t="shared" si="3"/>
        <v>18</v>
      </c>
      <c r="H40" s="16"/>
      <c r="I40" s="8"/>
      <c r="J40" s="18" t="str">
        <f t="shared" si="6"/>
        <v>Uređivanje dugačke brade:</v>
      </c>
      <c r="M40" s="19" t="e">
        <f t="shared" si="8"/>
        <v>#REF!</v>
      </c>
      <c r="O40" s="16">
        <f t="shared" si="4"/>
        <v>18</v>
      </c>
    </row>
    <row r="41" spans="1:15" x14ac:dyDescent="0.25">
      <c r="A41" s="18" t="e">
        <f t="shared" si="5"/>
        <v>#REF!</v>
      </c>
      <c r="B41" s="15"/>
      <c r="C41" s="15"/>
      <c r="D41" s="15"/>
      <c r="E41" s="19" t="e">
        <f t="shared" si="7"/>
        <v>#REF!</v>
      </c>
      <c r="F41" s="15"/>
      <c r="G41" s="16" t="e">
        <f t="shared" si="3"/>
        <v>#REF!</v>
      </c>
      <c r="H41" s="16"/>
      <c r="I41" s="8"/>
      <c r="J41" s="18" t="e">
        <f t="shared" si="6"/>
        <v>#REF!</v>
      </c>
      <c r="M41" s="19" t="e">
        <f t="shared" si="8"/>
        <v>#REF!</v>
      </c>
      <c r="O41" s="16" t="e">
        <f t="shared" si="4"/>
        <v>#REF!</v>
      </c>
    </row>
    <row r="42" spans="1:15" x14ac:dyDescent="0.25">
      <c r="A42" s="18" t="e">
        <f t="shared" si="5"/>
        <v>#REF!</v>
      </c>
      <c r="B42" s="15"/>
      <c r="C42" s="15"/>
      <c r="D42" s="15"/>
      <c r="E42" s="19" t="e">
        <f t="shared" si="7"/>
        <v>#REF!</v>
      </c>
      <c r="F42" s="15"/>
      <c r="G42" s="16" t="e">
        <f t="shared" si="3"/>
        <v>#REF!</v>
      </c>
      <c r="H42" s="16"/>
      <c r="I42" s="8"/>
      <c r="J42" s="18" t="e">
        <f t="shared" si="6"/>
        <v>#REF!</v>
      </c>
      <c r="M42" s="19" t="e">
        <f t="shared" si="8"/>
        <v>#REF!</v>
      </c>
      <c r="O42" s="16" t="e">
        <f t="shared" si="4"/>
        <v>#REF!</v>
      </c>
    </row>
    <row r="43" spans="1:15" x14ac:dyDescent="0.25">
      <c r="A43" s="18" t="e">
        <f t="shared" si="5"/>
        <v>#REF!</v>
      </c>
      <c r="B43" s="15"/>
      <c r="C43" s="15"/>
      <c r="D43" s="15"/>
      <c r="E43" s="19" t="e">
        <f t="shared" si="7"/>
        <v>#REF!</v>
      </c>
      <c r="F43" s="15"/>
      <c r="G43" s="16" t="e">
        <f t="shared" si="3"/>
        <v>#REF!</v>
      </c>
      <c r="H43" s="16"/>
      <c r="I43" s="8"/>
      <c r="J43" s="18" t="e">
        <f t="shared" si="6"/>
        <v>#REF!</v>
      </c>
      <c r="M43" s="19" t="e">
        <f t="shared" si="8"/>
        <v>#REF!</v>
      </c>
      <c r="O43" s="16" t="e">
        <f t="shared" si="4"/>
        <v>#REF!</v>
      </c>
    </row>
    <row r="44" spans="1:15" x14ac:dyDescent="0.25">
      <c r="A44" s="18" t="e">
        <f t="shared" si="5"/>
        <v>#REF!</v>
      </c>
      <c r="B44" s="15"/>
      <c r="C44" s="15"/>
      <c r="D44" s="15"/>
      <c r="E44" s="19" t="e">
        <f t="shared" si="7"/>
        <v>#REF!</v>
      </c>
      <c r="F44" s="15"/>
      <c r="G44" s="16" t="e">
        <f t="shared" si="3"/>
        <v>#REF!</v>
      </c>
      <c r="H44" s="16"/>
      <c r="I44" s="8"/>
      <c r="J44" s="18" t="e">
        <f t="shared" si="6"/>
        <v>#REF!</v>
      </c>
      <c r="M44" s="19" t="e">
        <f t="shared" si="8"/>
        <v>#REF!</v>
      </c>
      <c r="O44" s="16" t="e">
        <f t="shared" si="4"/>
        <v>#REF!</v>
      </c>
    </row>
    <row r="46" spans="1:15" ht="18.75" x14ac:dyDescent="0.3">
      <c r="A46" s="6" t="str">
        <f>A17</f>
        <v xml:space="preserve">Plaćanje: gotovina, kartica, </v>
      </c>
      <c r="B46" s="6"/>
      <c r="C46" s="6"/>
      <c r="D46" s="6"/>
      <c r="E46" s="6"/>
      <c r="F46" s="6"/>
      <c r="G46" s="6"/>
      <c r="H46" s="6"/>
      <c r="I46" s="6"/>
      <c r="J46" s="6" t="str">
        <f>A46</f>
        <v xml:space="preserve">Plaćanje: gotovina, kartica, </v>
      </c>
    </row>
    <row r="47" spans="1:15" ht="17.25" x14ac:dyDescent="0.3">
      <c r="B47" s="21" t="str">
        <f>B18</f>
        <v>NFC, GooglePay, ApllePay</v>
      </c>
      <c r="K47" s="21" t="str">
        <f>K18</f>
        <v>NFC, GooglePay, ApllePay</v>
      </c>
    </row>
    <row r="50" spans="8:8" ht="8.25" customHeight="1" x14ac:dyDescent="0.25"/>
    <row r="51" spans="8:8" ht="9" customHeight="1" x14ac:dyDescent="0.25">
      <c r="H51" s="25"/>
    </row>
  </sheetData>
  <mergeCells count="6">
    <mergeCell ref="D33:E33"/>
    <mergeCell ref="A1:B2"/>
    <mergeCell ref="J1:K2"/>
    <mergeCell ref="D4:E4"/>
    <mergeCell ref="A30:B31"/>
    <mergeCell ref="J30:K31"/>
  </mergeCells>
  <pageMargins left="0.51180555555555496" right="0.51180555555555496" top="0.74791666666666701" bottom="0.7479166666666670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5" x14ac:dyDescent="0.25"/>
  <cols>
    <col min="1" max="1025" width="8.4257812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Radnja</vt:lpstr>
      <vt:lpstr>Letak 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Oxyness</dc:creator>
  <dc:description/>
  <cp:lastModifiedBy>HP</cp:lastModifiedBy>
  <cp:revision>2</cp:revision>
  <cp:lastPrinted>2026-08-31T07:15:08Z</cp:lastPrinted>
  <dcterms:created xsi:type="dcterms:W3CDTF">2022-10-14T11:23:55Z</dcterms:created>
  <dcterms:modified xsi:type="dcterms:W3CDTF">2026-08-31T07:18:11Z</dcterms:modified>
  <dc:language>hr-HR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
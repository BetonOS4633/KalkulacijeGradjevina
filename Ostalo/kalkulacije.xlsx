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KalkulacijeGradjevina\Ostalo\"/>
    </mc:Choice>
  </mc:AlternateContent>
  <xr:revisionPtr revIDLastSave="0" documentId="13_ncr:1_{4B573500-195D-44B4-9314-9382B4B8F8D6}" xr6:coauthVersionLast="47" xr6:coauthVersionMax="47" xr10:uidLastSave="{00000000-0000-0000-0000-000000000000}"/>
  <bookViews>
    <workbookView xWindow="-120" yWindow="-120" windowWidth="29040" windowHeight="15720" xr2:uid="{1A899C27-4981-4013-83D0-612D28855781}"/>
  </bookViews>
  <sheets>
    <sheet name="Lis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9" i="1" l="1"/>
  <c r="I29" i="1"/>
  <c r="Q29" i="1"/>
  <c r="Q28" i="1"/>
  <c r="L29" i="1"/>
  <c r="L28" i="1"/>
  <c r="G29" i="1"/>
  <c r="G28" i="1"/>
  <c r="I26" i="1"/>
  <c r="I25" i="1"/>
  <c r="I24" i="1"/>
  <c r="I23" i="1"/>
  <c r="I22" i="1"/>
  <c r="I21" i="1"/>
  <c r="I17" i="1"/>
  <c r="I16" i="1"/>
  <c r="I15" i="1"/>
  <c r="I13" i="1"/>
  <c r="N18" i="1"/>
  <c r="N17" i="1"/>
  <c r="N16" i="1"/>
  <c r="N15" i="1"/>
  <c r="N13" i="1"/>
  <c r="N26" i="1"/>
  <c r="N25" i="1"/>
  <c r="N24" i="1"/>
  <c r="N23" i="1"/>
  <c r="N22" i="1"/>
  <c r="N21" i="1"/>
  <c r="S26" i="1"/>
  <c r="S25" i="1"/>
  <c r="S24" i="1"/>
  <c r="S23" i="1"/>
  <c r="S22" i="1"/>
  <c r="S21" i="1"/>
  <c r="S18" i="1"/>
  <c r="S17" i="1"/>
  <c r="S16" i="1"/>
  <c r="S15" i="1"/>
  <c r="S13" i="1"/>
  <c r="S10" i="1"/>
  <c r="S9" i="1"/>
  <c r="S8" i="1"/>
  <c r="S7" i="1"/>
  <c r="S6" i="1"/>
  <c r="N10" i="1"/>
  <c r="N9" i="1"/>
  <c r="N8" i="1"/>
  <c r="N7" i="1"/>
  <c r="N6" i="1"/>
  <c r="I10" i="1"/>
  <c r="I9" i="1"/>
  <c r="I8" i="1"/>
  <c r="I7" i="1"/>
  <c r="I6" i="1"/>
  <c r="D25" i="1"/>
  <c r="D24" i="1"/>
  <c r="D23" i="1"/>
  <c r="D22" i="1"/>
  <c r="D21" i="1"/>
  <c r="D17" i="1"/>
  <c r="D16" i="1"/>
  <c r="D15" i="1"/>
  <c r="D14" i="1"/>
  <c r="D13" i="1"/>
  <c r="S4" i="1"/>
  <c r="N4" i="1"/>
  <c r="I4" i="1"/>
  <c r="D4" i="1"/>
  <c r="D10" i="1"/>
  <c r="D9" i="1"/>
  <c r="B16" i="1"/>
  <c r="D7" i="1"/>
  <c r="B17" i="1"/>
  <c r="B15" i="1"/>
  <c r="B14" i="1"/>
  <c r="B13" i="1"/>
  <c r="Q18" i="1"/>
  <c r="G10" i="1"/>
  <c r="L10" i="1" s="1"/>
  <c r="Q10" i="1" s="1"/>
  <c r="G9" i="1"/>
  <c r="L9" i="1" s="1"/>
  <c r="Q9" i="1" s="1"/>
  <c r="G8" i="1"/>
  <c r="L8" i="1" s="1"/>
  <c r="Q8" i="1" s="1"/>
  <c r="G7" i="1"/>
  <c r="L7" i="1" s="1"/>
  <c r="Q7" i="1" s="1"/>
  <c r="G6" i="1"/>
  <c r="L6" i="1" s="1"/>
  <c r="Q6" i="1" s="1"/>
  <c r="D6" i="1"/>
  <c r="D8" i="1"/>
  <c r="S14" i="1"/>
  <c r="N14" i="1"/>
  <c r="I14" i="1"/>
  <c r="D18" i="1" l="1"/>
  <c r="I18" i="1"/>
  <c r="I28" i="1" s="1"/>
  <c r="I11" i="1"/>
  <c r="N11" i="1"/>
  <c r="N28" i="1" s="1"/>
  <c r="N29" i="1" s="1"/>
  <c r="S11" i="1"/>
  <c r="S28" i="1" s="1"/>
  <c r="D26" i="1"/>
  <c r="D28" i="1" s="1"/>
  <c r="D11" i="1"/>
  <c r="B24" i="1"/>
  <c r="G24" i="1" s="1"/>
  <c r="L24" i="1" s="1"/>
  <c r="Q24" i="1" s="1"/>
  <c r="G16" i="1"/>
  <c r="L16" i="1" s="1"/>
  <c r="Q16" i="1" s="1"/>
  <c r="G17" i="1"/>
  <c r="L17" i="1" s="1"/>
  <c r="Q17" i="1" s="1"/>
  <c r="B25" i="1"/>
  <c r="G25" i="1" s="1"/>
  <c r="L25" i="1" s="1"/>
  <c r="Q25" i="1" s="1"/>
  <c r="B23" i="1"/>
  <c r="G23" i="1" s="1"/>
  <c r="L23" i="1" s="1"/>
  <c r="Q23" i="1" s="1"/>
  <c r="G15" i="1"/>
  <c r="L15" i="1" s="1"/>
  <c r="Q15" i="1" s="1"/>
  <c r="G14" i="1"/>
  <c r="L14" i="1" s="1"/>
  <c r="Q14" i="1" s="1"/>
  <c r="B22" i="1"/>
  <c r="G22" i="1" s="1"/>
  <c r="L22" i="1" s="1"/>
  <c r="Q22" i="1" s="1"/>
  <c r="B21" i="1"/>
  <c r="G21" i="1" s="1"/>
  <c r="L21" i="1" s="1"/>
  <c r="Q21" i="1" s="1"/>
  <c r="G13" i="1"/>
  <c r="L13" i="1" s="1"/>
  <c r="Q13" i="1" s="1"/>
  <c r="D29" i="1" l="1"/>
  <c r="D31" i="1" s="1"/>
  <c r="S31" i="1"/>
  <c r="N31" i="1"/>
  <c r="I31" i="1"/>
</calcChain>
</file>

<file path=xl/sharedStrings.xml><?xml version="1.0" encoding="utf-8"?>
<sst xmlns="http://schemas.openxmlformats.org/spreadsheetml/2006/main" count="32" uniqueCount="25">
  <si>
    <t>dolazak</t>
  </si>
  <si>
    <t>broj rupa</t>
  </si>
  <si>
    <t>cijena bušenja:</t>
  </si>
  <si>
    <t>1. cigla sa vodom</t>
  </si>
  <si>
    <t>2. cigla suho</t>
  </si>
  <si>
    <t>3. beton bez zaštite</t>
  </si>
  <si>
    <t>4. beton sa zaštitom</t>
  </si>
  <si>
    <t>5. beton na suho</t>
  </si>
  <si>
    <t>bliže  &lt;20km</t>
  </si>
  <si>
    <t>dalje 20-40km</t>
  </si>
  <si>
    <t>40km&lt;</t>
  </si>
  <si>
    <t>ostali</t>
  </si>
  <si>
    <t>6. partner da</t>
  </si>
  <si>
    <t>promjer rupe mm</t>
  </si>
  <si>
    <t>dubina ukupna cm</t>
  </si>
  <si>
    <t>ankerisanje ne</t>
  </si>
  <si>
    <t>ankerisanje (0-NE  1-DA)</t>
  </si>
  <si>
    <t>vrsta bušenja</t>
  </si>
  <si>
    <t>ankerisanje č. tipla</t>
  </si>
  <si>
    <t>ankesrisanje kemijskom</t>
  </si>
  <si>
    <t>Ukupno bez rabata</t>
  </si>
  <si>
    <t>Nepoznato</t>
  </si>
  <si>
    <t>UKUPNO za naplatit:</t>
  </si>
  <si>
    <t>partner da-9</t>
  </si>
  <si>
    <t>401-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</si>
</sst>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€-1]_-;\-* #,##0.00\ [$€-1]_-;_-* &quot;-&quot;??\ [$€-1]_-;_-@_-"/>
  </numFmts>
  <fonts count="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">
    <xf numFmtId="0" fontId="0" fillId="0" borderId="0" xfId="0"/>
    <xf numFmtId="9" fontId="0" fillId="0" borderId="0" xfId="0" applyNumberFormat="1"/>
    <xf numFmtId="9" fontId="0" fillId="0" borderId="0" xfId="1" applyFont="1"/>
    <xf numFmtId="0" fontId="0" fillId="0" borderId="0" xfId="0" applyAlignment="1">
      <alignment horizontal="right"/>
    </xf>
    <xf numFmtId="164" fontId="0" fillId="0" borderId="0" xfId="0" applyNumberFormat="1"/>
  </cellXfs>
  <cellStyles count="2">
    <cellStyle name="Normalno" xfId="0" builtinId="0"/>
    <cellStyle name="Postota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sustav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6D419-5947-4DD5-A3DD-6DE0C11E4084}">
  <dimension ref="A4:S62"/>
  <sheetViews>
    <sheetView tabSelected="1" topLeftCell="A4" workbookViewId="0">
      <selection activeCell="M10" sqref="M10"/>
    </sheetView>
  </sheetViews>
  <sheetFormatPr defaultRowHeight="15" x14ac:dyDescent="0.25"/>
  <cols>
    <col min="1" max="1" width="5.28515625" customWidth="1"/>
    <col min="2" max="2" width="22.5703125" customWidth="1"/>
    <col min="4" max="4" width="11" bestFit="1" customWidth="1"/>
    <col min="7" max="7" width="15.5703125" customWidth="1"/>
    <col min="12" max="12" width="15.140625" customWidth="1"/>
    <col min="17" max="17" width="16.140625" customWidth="1"/>
  </cols>
  <sheetData>
    <row r="4" spans="2:19" x14ac:dyDescent="0.25">
      <c r="B4" t="s">
        <v>0</v>
      </c>
      <c r="C4">
        <v>1</v>
      </c>
      <c r="D4">
        <f>IF(C4=1,$C$56,IF(C4=2,$C$57,2*$C$58*C4))</f>
        <v>20</v>
      </c>
      <c r="G4" t="s">
        <v>0</v>
      </c>
      <c r="H4">
        <v>2</v>
      </c>
      <c r="I4">
        <f>IF(H4=1,$C$56,IF(H4=2,$C$57,2*$C$58*H4))</f>
        <v>40</v>
      </c>
      <c r="L4" t="s">
        <v>0</v>
      </c>
      <c r="M4">
        <v>1</v>
      </c>
      <c r="N4">
        <f>IF(M4=1,$C$56,IF(M4=2,$C$57,2*$C$58*M4))</f>
        <v>20</v>
      </c>
      <c r="Q4" t="s">
        <v>0</v>
      </c>
      <c r="R4">
        <v>1</v>
      </c>
      <c r="S4">
        <f>IF(R4=1,$C$56,IF(R4=2,$C$57,2*$C$58*R4))</f>
        <v>20</v>
      </c>
    </row>
    <row r="6" spans="2:19" x14ac:dyDescent="0.25">
      <c r="B6" t="s">
        <v>13</v>
      </c>
      <c r="C6">
        <v>168</v>
      </c>
      <c r="D6">
        <f>C6/10</f>
        <v>16.8</v>
      </c>
      <c r="G6" t="str">
        <f>B6</f>
        <v>promjer rupe mm</v>
      </c>
      <c r="H6">
        <v>350</v>
      </c>
      <c r="I6">
        <f>H6/10</f>
        <v>35</v>
      </c>
      <c r="L6" t="str">
        <f t="shared" ref="L6:L10" si="0">G6</f>
        <v>promjer rupe mm</v>
      </c>
      <c r="M6">
        <v>82</v>
      </c>
      <c r="N6">
        <f>M6/10</f>
        <v>8.1999999999999993</v>
      </c>
      <c r="Q6" t="str">
        <f t="shared" ref="Q6:Q10" si="1">L6</f>
        <v>promjer rupe mm</v>
      </c>
      <c r="R6">
        <v>100</v>
      </c>
      <c r="S6">
        <f>R6/10</f>
        <v>10</v>
      </c>
    </row>
    <row r="7" spans="2:19" x14ac:dyDescent="0.25">
      <c r="B7" t="s">
        <v>17</v>
      </c>
      <c r="C7">
        <v>3</v>
      </c>
      <c r="D7">
        <f>VLOOKUP(C7,$A$37:$C$42,3,FALSE)</f>
        <v>0.18</v>
      </c>
      <c r="G7" t="str">
        <f t="shared" ref="G7:G10" si="2">B7</f>
        <v>vrsta bušenja</v>
      </c>
      <c r="H7">
        <v>1</v>
      </c>
      <c r="I7">
        <f>VLOOKUP(H7,$A$37:$C$42,3,FALSE)</f>
        <v>0.08</v>
      </c>
      <c r="L7" t="str">
        <f t="shared" si="0"/>
        <v>vrsta bušenja</v>
      </c>
      <c r="M7">
        <v>3</v>
      </c>
      <c r="N7">
        <f>VLOOKUP(M7,$A$37:$C$42,3,FALSE)</f>
        <v>0.18</v>
      </c>
      <c r="Q7" t="str">
        <f t="shared" si="1"/>
        <v>vrsta bušenja</v>
      </c>
      <c r="R7">
        <v>2</v>
      </c>
      <c r="S7">
        <f>VLOOKUP(R7,$A$37:$C$42,3,FALSE)</f>
        <v>0.11</v>
      </c>
    </row>
    <row r="8" spans="2:19" x14ac:dyDescent="0.25">
      <c r="B8" t="s">
        <v>14</v>
      </c>
      <c r="C8">
        <v>20</v>
      </c>
      <c r="D8">
        <f>C8*1</f>
        <v>20</v>
      </c>
      <c r="G8" t="str">
        <f t="shared" si="2"/>
        <v>dubina ukupna cm</v>
      </c>
      <c r="H8">
        <v>105</v>
      </c>
      <c r="I8">
        <f>H8*1</f>
        <v>105</v>
      </c>
      <c r="L8" t="str">
        <f t="shared" si="0"/>
        <v>dubina ukupna cm</v>
      </c>
      <c r="M8">
        <v>60</v>
      </c>
      <c r="N8">
        <f>M8*1</f>
        <v>60</v>
      </c>
      <c r="Q8" t="str">
        <f t="shared" si="1"/>
        <v>dubina ukupna cm</v>
      </c>
      <c r="R8">
        <v>20</v>
      </c>
      <c r="S8">
        <f>R8*1</f>
        <v>20</v>
      </c>
    </row>
    <row r="9" spans="2:19" x14ac:dyDescent="0.25">
      <c r="B9" t="s">
        <v>16</v>
      </c>
      <c r="C9">
        <v>1</v>
      </c>
      <c r="D9">
        <f>VLOOKUP(C9,$A$60:$C$62,3,FALSE)*C10</f>
        <v>30</v>
      </c>
      <c r="G9" t="str">
        <f t="shared" si="2"/>
        <v>ankerisanje (0-NE  1-DA)</v>
      </c>
      <c r="I9">
        <f>VLOOKUP(H9,$A$60:$C$62,3,FALSE)*H10</f>
        <v>0</v>
      </c>
      <c r="L9" t="str">
        <f t="shared" si="0"/>
        <v>ankerisanje (0-NE  1-DA)</v>
      </c>
      <c r="M9">
        <v>0</v>
      </c>
      <c r="N9">
        <f>VLOOKUP(M9,$A$60:$C$62,3,FALSE)*M10</f>
        <v>0</v>
      </c>
      <c r="Q9" t="str">
        <f t="shared" si="1"/>
        <v>ankerisanje (0-NE  1-DA)</v>
      </c>
      <c r="R9">
        <v>0</v>
      </c>
      <c r="S9">
        <f>VLOOKUP(R9,$A$60:$C$62,3,FALSE)*R10</f>
        <v>0</v>
      </c>
    </row>
    <row r="10" spans="2:19" x14ac:dyDescent="0.25">
      <c r="B10" t="s">
        <v>1</v>
      </c>
      <c r="C10">
        <v>3</v>
      </c>
      <c r="D10">
        <f>C10</f>
        <v>3</v>
      </c>
      <c r="G10" t="str">
        <f t="shared" si="2"/>
        <v>broj rupa</v>
      </c>
      <c r="H10">
        <v>1</v>
      </c>
      <c r="I10">
        <f>H10</f>
        <v>1</v>
      </c>
      <c r="L10" t="str">
        <f t="shared" si="0"/>
        <v>broj rupa</v>
      </c>
      <c r="M10">
        <v>4</v>
      </c>
      <c r="N10">
        <f>M10</f>
        <v>4</v>
      </c>
      <c r="Q10" t="str">
        <f t="shared" si="1"/>
        <v>broj rupa</v>
      </c>
      <c r="R10">
        <v>1</v>
      </c>
      <c r="S10">
        <f>R10</f>
        <v>1</v>
      </c>
    </row>
    <row r="11" spans="2:19" x14ac:dyDescent="0.25">
      <c r="D11">
        <f>IF(C10&gt;0,(D10*30+D8*D10*D7*D6+D9),0)</f>
        <v>301.44</v>
      </c>
      <c r="I11">
        <f>IF(H10&gt;0,(I10*30+I8*I10*I7*I6+I9),0)</f>
        <v>324</v>
      </c>
      <c r="N11">
        <f>IF(M10&gt;0,(N10*30+N8*N10*N7*N6+N9),0)</f>
        <v>474.23999999999995</v>
      </c>
      <c r="S11">
        <f>IF(R10&gt;0,(S10*30+S8*S10*S7*S6+S9),0)</f>
        <v>52</v>
      </c>
    </row>
    <row r="13" spans="2:19" x14ac:dyDescent="0.25">
      <c r="B13" t="str">
        <f>B6</f>
        <v>promjer rupe mm</v>
      </c>
      <c r="C13">
        <v>62</v>
      </c>
      <c r="D13">
        <f>C13/10</f>
        <v>6.2</v>
      </c>
      <c r="G13" t="str">
        <f t="shared" ref="G13:G17" si="3">B13</f>
        <v>promjer rupe mm</v>
      </c>
      <c r="H13">
        <v>250</v>
      </c>
      <c r="I13">
        <f>H13/10</f>
        <v>25</v>
      </c>
      <c r="L13" t="str">
        <f t="shared" ref="L13:L17" si="4">G13</f>
        <v>promjer rupe mm</v>
      </c>
      <c r="M13">
        <v>11</v>
      </c>
      <c r="N13">
        <f>M13/10</f>
        <v>1.1000000000000001</v>
      </c>
      <c r="Q13" t="str">
        <f t="shared" ref="Q13:Q17" si="5">L13</f>
        <v>promjer rupe mm</v>
      </c>
      <c r="R13">
        <v>11</v>
      </c>
      <c r="S13">
        <f>R13/10</f>
        <v>1.1000000000000001</v>
      </c>
    </row>
    <row r="14" spans="2:19" x14ac:dyDescent="0.25">
      <c r="B14" t="str">
        <f t="shared" ref="B14:B17" si="6">B7</f>
        <v>vrsta bušenja</v>
      </c>
      <c r="C14">
        <v>3</v>
      </c>
      <c r="D14">
        <f>VLOOKUP(C14,$A$37:$C$42,3,FALSE)</f>
        <v>0.18</v>
      </c>
      <c r="G14" t="str">
        <f t="shared" si="3"/>
        <v>vrsta bušenja</v>
      </c>
      <c r="H14">
        <v>1</v>
      </c>
      <c r="I14">
        <f>VLOOKUP(H14,$A$37:$C$42,3,FALSE)</f>
        <v>0.08</v>
      </c>
      <c r="L14" t="str">
        <f t="shared" si="4"/>
        <v>vrsta bušenja</v>
      </c>
      <c r="M14">
        <v>0</v>
      </c>
      <c r="N14">
        <f>VLOOKUP(M14,$A$37:$C$42,3,FALSE)</f>
        <v>0</v>
      </c>
      <c r="Q14" t="str">
        <f t="shared" si="5"/>
        <v>vrsta bušenja</v>
      </c>
      <c r="R14">
        <v>0</v>
      </c>
      <c r="S14">
        <f>VLOOKUP(R14,$A$37:$C$42,3,FALSE)</f>
        <v>0</v>
      </c>
    </row>
    <row r="15" spans="2:19" x14ac:dyDescent="0.25">
      <c r="B15" t="str">
        <f t="shared" si="6"/>
        <v>dubina ukupna cm</v>
      </c>
      <c r="C15">
        <v>20</v>
      </c>
      <c r="D15">
        <f>C15*1</f>
        <v>20</v>
      </c>
      <c r="G15" t="str">
        <f t="shared" si="3"/>
        <v>dubina ukupna cm</v>
      </c>
      <c r="H15">
        <v>105</v>
      </c>
      <c r="I15">
        <f>H15*1</f>
        <v>105</v>
      </c>
      <c r="L15" t="str">
        <f t="shared" si="4"/>
        <v>dubina ukupna cm</v>
      </c>
      <c r="M15">
        <v>105</v>
      </c>
      <c r="N15">
        <f>M15*1</f>
        <v>105</v>
      </c>
      <c r="Q15" t="str">
        <f t="shared" si="5"/>
        <v>dubina ukupna cm</v>
      </c>
      <c r="R15">
        <v>105</v>
      </c>
      <c r="S15">
        <f>R15*1</f>
        <v>105</v>
      </c>
    </row>
    <row r="16" spans="2:19" x14ac:dyDescent="0.25">
      <c r="B16" t="str">
        <f>B9</f>
        <v>ankerisanje (0-NE  1-DA)</v>
      </c>
      <c r="C16">
        <v>1</v>
      </c>
      <c r="D16">
        <f>VLOOKUP(C16,$A$60:$C$62,3,FALSE)*C17</f>
        <v>10</v>
      </c>
      <c r="G16" t="str">
        <f t="shared" si="3"/>
        <v>ankerisanje (0-NE  1-DA)</v>
      </c>
      <c r="H16">
        <v>0</v>
      </c>
      <c r="I16">
        <f>VLOOKUP(H16,$A$60:$C$62,3,FALSE)*H17</f>
        <v>0</v>
      </c>
      <c r="L16" t="str">
        <f t="shared" si="4"/>
        <v>ankerisanje (0-NE  1-DA)</v>
      </c>
      <c r="M16">
        <v>0</v>
      </c>
      <c r="N16">
        <f>VLOOKUP(M16,$A$60:$C$62,3,FALSE)*M17</f>
        <v>0</v>
      </c>
      <c r="Q16" t="str">
        <f t="shared" si="5"/>
        <v>ankerisanje (0-NE  1-DA)</v>
      </c>
      <c r="R16">
        <v>0</v>
      </c>
      <c r="S16">
        <f>VLOOKUP(R16,$A$60:$C$62,3,FALSE)*R17</f>
        <v>0</v>
      </c>
    </row>
    <row r="17" spans="2:19" x14ac:dyDescent="0.25">
      <c r="B17" t="str">
        <f t="shared" si="6"/>
        <v>broj rupa</v>
      </c>
      <c r="C17">
        <v>1</v>
      </c>
      <c r="D17">
        <f>C17</f>
        <v>1</v>
      </c>
      <c r="G17" t="str">
        <f t="shared" si="3"/>
        <v>broj rupa</v>
      </c>
      <c r="H17">
        <v>1</v>
      </c>
      <c r="I17">
        <f>H17</f>
        <v>1</v>
      </c>
      <c r="L17" t="str">
        <f t="shared" si="4"/>
        <v>broj rupa</v>
      </c>
      <c r="M17">
        <v>0</v>
      </c>
      <c r="N17">
        <f>M17</f>
        <v>0</v>
      </c>
      <c r="Q17" t="str">
        <f t="shared" si="5"/>
        <v>broj rupa</v>
      </c>
      <c r="R17">
        <v>0</v>
      </c>
      <c r="S17">
        <f>R17</f>
        <v>0</v>
      </c>
    </row>
    <row r="18" spans="2:19" x14ac:dyDescent="0.25">
      <c r="D18">
        <f>IF(C17&gt;0,(D17*30+D15*D17*D14*D13+D16),0)</f>
        <v>62.319999999999993</v>
      </c>
      <c r="I18">
        <f>IF(H17&gt;0,(I17*30+I15*I17*I14*I13+I16),0)</f>
        <v>240</v>
      </c>
      <c r="N18">
        <f>IF(M17&gt;0,(N17*30+N15*N17*N14*N13+N16),0)</f>
        <v>0</v>
      </c>
      <c r="Q18">
        <f t="shared" ref="Q18" si="7">L18</f>
        <v>0</v>
      </c>
      <c r="S18">
        <f>IF(R17&gt;0,(S17*30+S15*S17*S14*S13+S16),0)</f>
        <v>0</v>
      </c>
    </row>
    <row r="21" spans="2:19" x14ac:dyDescent="0.25">
      <c r="B21" t="str">
        <f>B13</f>
        <v>promjer rupe mm</v>
      </c>
      <c r="C21">
        <v>110</v>
      </c>
      <c r="D21">
        <f>C21/10</f>
        <v>11</v>
      </c>
      <c r="G21" t="str">
        <f t="shared" ref="G21:G25" si="8">B21</f>
        <v>promjer rupe mm</v>
      </c>
      <c r="H21">
        <v>0</v>
      </c>
      <c r="I21">
        <f>H21/10</f>
        <v>0</v>
      </c>
      <c r="L21" t="str">
        <f t="shared" ref="L21:L25" si="9">G21</f>
        <v>promjer rupe mm</v>
      </c>
      <c r="M21">
        <v>0</v>
      </c>
      <c r="N21">
        <f>M21/10</f>
        <v>0</v>
      </c>
      <c r="Q21" t="str">
        <f t="shared" ref="Q21:Q25" si="10">L21</f>
        <v>promjer rupe mm</v>
      </c>
      <c r="R21">
        <v>0</v>
      </c>
      <c r="S21">
        <f>R21/10</f>
        <v>0</v>
      </c>
    </row>
    <row r="22" spans="2:19" x14ac:dyDescent="0.25">
      <c r="B22" t="str">
        <f t="shared" ref="B22:B25" si="11">B14</f>
        <v>vrsta bušenja</v>
      </c>
      <c r="C22">
        <v>3</v>
      </c>
      <c r="D22">
        <f>VLOOKUP(C22,$A$37:$C$42,3,FALSE)</f>
        <v>0.18</v>
      </c>
      <c r="G22" t="str">
        <f t="shared" si="8"/>
        <v>vrsta bušenja</v>
      </c>
      <c r="H22">
        <v>0</v>
      </c>
      <c r="I22">
        <f>VLOOKUP(H22,$A$37:$C$42,3,FALSE)</f>
        <v>0</v>
      </c>
      <c r="L22" t="str">
        <f t="shared" si="9"/>
        <v>vrsta bušenja</v>
      </c>
      <c r="M22">
        <v>0</v>
      </c>
      <c r="N22">
        <f>VLOOKUP(M22,$A$37:$C$42,3,FALSE)</f>
        <v>0</v>
      </c>
      <c r="Q22" t="str">
        <f t="shared" si="10"/>
        <v>vrsta bušenja</v>
      </c>
      <c r="R22">
        <v>0</v>
      </c>
      <c r="S22">
        <f>VLOOKUP(R22,$A$37:$C$42,3,FALSE)</f>
        <v>0</v>
      </c>
    </row>
    <row r="23" spans="2:19" x14ac:dyDescent="0.25">
      <c r="B23" t="str">
        <f t="shared" si="11"/>
        <v>dubina ukupna cm</v>
      </c>
      <c r="C23">
        <v>60</v>
      </c>
      <c r="D23">
        <f>C23*1</f>
        <v>60</v>
      </c>
      <c r="G23" t="str">
        <f t="shared" si="8"/>
        <v>dubina ukupna cm</v>
      </c>
      <c r="H23">
        <v>0</v>
      </c>
      <c r="I23">
        <f>H23*1</f>
        <v>0</v>
      </c>
      <c r="L23" t="str">
        <f t="shared" si="9"/>
        <v>dubina ukupna cm</v>
      </c>
      <c r="M23">
        <v>0</v>
      </c>
      <c r="N23">
        <f>M23*1</f>
        <v>0</v>
      </c>
      <c r="Q23" t="str">
        <f t="shared" si="10"/>
        <v>dubina ukupna cm</v>
      </c>
      <c r="R23">
        <v>0</v>
      </c>
      <c r="S23">
        <f>R23*1</f>
        <v>0</v>
      </c>
    </row>
    <row r="24" spans="2:19" x14ac:dyDescent="0.25">
      <c r="B24" t="str">
        <f t="shared" si="11"/>
        <v>ankerisanje (0-NE  1-DA)</v>
      </c>
      <c r="C24">
        <v>1</v>
      </c>
      <c r="D24">
        <f>VLOOKUP(C24,$A$60:$C$62,3,FALSE)*C25</f>
        <v>10</v>
      </c>
      <c r="G24" t="str">
        <f t="shared" si="8"/>
        <v>ankerisanje (0-NE  1-DA)</v>
      </c>
      <c r="H24">
        <v>0</v>
      </c>
      <c r="I24">
        <f>VLOOKUP(H24,$A$60:$C$62,3,FALSE)*H25</f>
        <v>0</v>
      </c>
      <c r="L24" t="str">
        <f t="shared" si="9"/>
        <v>ankerisanje (0-NE  1-DA)</v>
      </c>
      <c r="M24">
        <v>1</v>
      </c>
      <c r="N24">
        <f>VLOOKUP(M24,$A$60:$C$62,3,FALSE)*M25</f>
        <v>0</v>
      </c>
      <c r="Q24" t="str">
        <f t="shared" si="10"/>
        <v>ankerisanje (0-NE  1-DA)</v>
      </c>
      <c r="R24">
        <v>0</v>
      </c>
      <c r="S24">
        <f>VLOOKUP(R24,$A$60:$C$62,3,FALSE)*R25</f>
        <v>0</v>
      </c>
    </row>
    <row r="25" spans="2:19" x14ac:dyDescent="0.25">
      <c r="B25" t="str">
        <f t="shared" si="11"/>
        <v>broj rupa</v>
      </c>
      <c r="C25">
        <v>1</v>
      </c>
      <c r="D25">
        <f>C25</f>
        <v>1</v>
      </c>
      <c r="G25" t="str">
        <f t="shared" si="8"/>
        <v>broj rupa</v>
      </c>
      <c r="H25">
        <v>0</v>
      </c>
      <c r="I25">
        <f>H25</f>
        <v>0</v>
      </c>
      <c r="L25" t="str">
        <f t="shared" si="9"/>
        <v>broj rupa</v>
      </c>
      <c r="M25">
        <v>0</v>
      </c>
      <c r="N25">
        <f>M25</f>
        <v>0</v>
      </c>
      <c r="Q25" t="str">
        <f t="shared" si="10"/>
        <v>broj rupa</v>
      </c>
      <c r="R25">
        <v>0</v>
      </c>
      <c r="S25">
        <f>R25</f>
        <v>0</v>
      </c>
    </row>
    <row r="26" spans="2:19" x14ac:dyDescent="0.25">
      <c r="D26">
        <f>IF(C25&gt;0,(D25*30+D23*D25*D22*D21+D24),0)</f>
        <v>158.79999999999998</v>
      </c>
      <c r="I26">
        <f>IF(H25&gt;0,(I25*30+I23*I25*I22*I21+I24),0)</f>
        <v>0</v>
      </c>
      <c r="N26">
        <f>IF(M25&gt;0,(N25*30+N23*N25*N22*N21+N24),0)</f>
        <v>0</v>
      </c>
      <c r="S26">
        <f>IF(R25&gt;0,(S25*30+S23*S25*S22*S21+S24),0)</f>
        <v>0</v>
      </c>
    </row>
    <row r="28" spans="2:19" x14ac:dyDescent="0.25">
      <c r="B28" t="s">
        <v>20</v>
      </c>
      <c r="D28">
        <f>IF((D26+D18+D11+D4)&lt;80,80,D26+D18+D11+D4)</f>
        <v>542.55999999999995</v>
      </c>
      <c r="G28" t="str">
        <f>B28</f>
        <v>Ukupno bez rabata</v>
      </c>
      <c r="I28">
        <f>IF((I26+I18+I11+I4)&lt;80,80,I26+I18+I11+I4)</f>
        <v>604</v>
      </c>
      <c r="L28" t="str">
        <f>G28</f>
        <v>Ukupno bez rabata</v>
      </c>
      <c r="N28">
        <f>IF((N26+N18+N11+N4)&lt;80,80,N26+N18+N11+N4)</f>
        <v>494.23999999999995</v>
      </c>
      <c r="Q28" t="str">
        <f>L28</f>
        <v>Ukupno bez rabata</v>
      </c>
      <c r="S28">
        <f>IF((S26+S18+S11+S4)&lt;80,80,S26+S18+S11+S4)</f>
        <v>80</v>
      </c>
    </row>
    <row r="29" spans="2:19" x14ac:dyDescent="0.25">
      <c r="B29" t="s">
        <v>23</v>
      </c>
      <c r="C29">
        <v>0</v>
      </c>
      <c r="D29" s="2">
        <f>IF(C29=9,20%,IF(D28&lt;$B$47,$C$47%,IF(D28&lt;$B$48,$C$48%,IF(D28&lt;$B$49,$C$49%,IF(D28&lt;$B$50,$C$50%,IF(D28&lt;$B$51,$C$51%,$C$52%))))))</f>
        <v>0.25</v>
      </c>
      <c r="G29" t="str">
        <f>B29</f>
        <v>partner da-9</v>
      </c>
      <c r="I29" s="2">
        <f>IF(H29=9,20%,IF(I28&lt;$B$47,$C$47%,IF(I28&lt;$B$48,$C$48%,IF(I28&lt;$B$49,$C$49%,IF(I28&lt;$B$50,$C$50%,IF(I28&lt;$B$51,$C$51%,$C$52%))))))</f>
        <v>0.25</v>
      </c>
      <c r="L29" t="str">
        <f>G29</f>
        <v>partner da-9</v>
      </c>
      <c r="M29">
        <v>9</v>
      </c>
      <c r="N29" s="2">
        <f>IF(M29=9,20%,IF(N28&lt;$B$47,$C$47%,IF(N28&lt;$B$48,$C$48%,IF(N28&lt;$B$49,$C$49%,IF(N28&lt;$B$50,$C$50%,IF(N28&lt;$B$51,$C$51%,$C$52%))))))</f>
        <v>0.2</v>
      </c>
      <c r="Q29" t="str">
        <f>L29</f>
        <v>partner da-9</v>
      </c>
      <c r="S29" s="2">
        <f>IF(R29=9,20%,IF(S28&lt;$B$47,$C$47%,IF(S28&lt;$B$48,$C$48%,IF(S28&lt;$B$49,$C$49%,IF(S28&lt;$B$50,$C$50%,IF(S28&lt;$B$51,$C$51%,$C$52%))))))</f>
        <v>0</v>
      </c>
    </row>
    <row r="30" spans="2:19" x14ac:dyDescent="0.25">
      <c r="D30" s="1"/>
      <c r="I30" s="1"/>
      <c r="N30" s="1"/>
      <c r="S30" s="1"/>
    </row>
    <row r="31" spans="2:19" x14ac:dyDescent="0.25">
      <c r="C31" s="3" t="s">
        <v>22</v>
      </c>
      <c r="D31" s="4">
        <f>D28-D29*D28</f>
        <v>406.91999999999996</v>
      </c>
      <c r="G31" s="3"/>
      <c r="H31" s="3" t="s">
        <v>22</v>
      </c>
      <c r="I31" s="4">
        <f>I28-I29*I28</f>
        <v>453</v>
      </c>
      <c r="M31" s="3" t="s">
        <v>22</v>
      </c>
      <c r="N31" s="4">
        <f>N28-N29*N28</f>
        <v>395.39199999999994</v>
      </c>
      <c r="R31" s="3" t="s">
        <v>22</v>
      </c>
      <c r="S31" s="4">
        <f>S28-S29*S28</f>
        <v>80</v>
      </c>
    </row>
    <row r="35" spans="1:3" x14ac:dyDescent="0.25">
      <c r="B35" t="s">
        <v>2</v>
      </c>
    </row>
    <row r="37" spans="1:3" x14ac:dyDescent="0.25">
      <c r="A37">
        <v>0</v>
      </c>
      <c r="B37" t="s">
        <v>21</v>
      </c>
      <c r="C37">
        <v>0</v>
      </c>
    </row>
    <row r="38" spans="1:3" x14ac:dyDescent="0.25">
      <c r="A38">
        <v>1</v>
      </c>
      <c r="B38" t="s">
        <v>3</v>
      </c>
      <c r="C38">
        <v>0.08</v>
      </c>
    </row>
    <row r="39" spans="1:3" x14ac:dyDescent="0.25">
      <c r="A39">
        <v>2</v>
      </c>
      <c r="B39" t="s">
        <v>4</v>
      </c>
      <c r="C39">
        <v>0.11</v>
      </c>
    </row>
    <row r="40" spans="1:3" x14ac:dyDescent="0.25">
      <c r="A40">
        <v>3</v>
      </c>
      <c r="B40" t="s">
        <v>5</v>
      </c>
      <c r="C40">
        <v>0.18</v>
      </c>
    </row>
    <row r="41" spans="1:3" x14ac:dyDescent="0.25">
      <c r="A41">
        <v>4</v>
      </c>
      <c r="B41" t="s">
        <v>6</v>
      </c>
      <c r="C41">
        <v>0.22</v>
      </c>
    </row>
    <row r="42" spans="1:3" x14ac:dyDescent="0.25">
      <c r="A42">
        <v>5</v>
      </c>
      <c r="B42" t="s">
        <v>7</v>
      </c>
      <c r="C42">
        <v>0.3</v>
      </c>
    </row>
    <row r="44" spans="1:3" x14ac:dyDescent="0.25">
      <c r="C44" s="1"/>
    </row>
    <row r="45" spans="1:3" x14ac:dyDescent="0.25">
      <c r="C45" s="1"/>
    </row>
    <row r="46" spans="1:3" x14ac:dyDescent="0.25">
      <c r="B46" t="s">
        <v>11</v>
      </c>
      <c r="C46" s="1"/>
    </row>
    <row r="47" spans="1:3" x14ac:dyDescent="0.25">
      <c r="A47">
        <v>1</v>
      </c>
      <c r="B47">
        <v>121</v>
      </c>
      <c r="C47">
        <v>0</v>
      </c>
    </row>
    <row r="48" spans="1:3" x14ac:dyDescent="0.25">
      <c r="A48">
        <v>2</v>
      </c>
      <c r="B48">
        <v>171</v>
      </c>
      <c r="C48">
        <v>5</v>
      </c>
    </row>
    <row r="49" spans="1:3" x14ac:dyDescent="0.25">
      <c r="A49">
        <v>3</v>
      </c>
      <c r="B49">
        <v>201</v>
      </c>
      <c r="C49">
        <v>10</v>
      </c>
    </row>
    <row r="50" spans="1:3" x14ac:dyDescent="0.25">
      <c r="A50">
        <v>4</v>
      </c>
      <c r="B50">
        <v>301</v>
      </c>
      <c r="C50">
        <v>15</v>
      </c>
    </row>
    <row r="51" spans="1:3" x14ac:dyDescent="0.25">
      <c r="A51">
        <v>5</v>
      </c>
      <c r="B51">
        <v>401</v>
      </c>
      <c r="C51">
        <v>20</v>
      </c>
    </row>
    <row r="52" spans="1:3" x14ac:dyDescent="0.25">
      <c r="A52">
        <v>6</v>
      </c>
      <c r="B52" t="s">
        <v>24</v>
      </c>
      <c r="C52">
        <v>25</v>
      </c>
    </row>
    <row r="53" spans="1:3" x14ac:dyDescent="0.25">
      <c r="A53">
        <v>9</v>
      </c>
      <c r="B53" t="s">
        <v>12</v>
      </c>
      <c r="C53">
        <v>21</v>
      </c>
    </row>
    <row r="55" spans="1:3" x14ac:dyDescent="0.25">
      <c r="B55" t="s">
        <v>0</v>
      </c>
    </row>
    <row r="56" spans="1:3" x14ac:dyDescent="0.25">
      <c r="A56">
        <v>1</v>
      </c>
      <c r="B56" t="s">
        <v>8</v>
      </c>
      <c r="C56">
        <v>20</v>
      </c>
    </row>
    <row r="57" spans="1:3" x14ac:dyDescent="0.25">
      <c r="A57">
        <v>2</v>
      </c>
      <c r="B57" t="s">
        <v>9</v>
      </c>
      <c r="C57">
        <v>40</v>
      </c>
    </row>
    <row r="58" spans="1:3" x14ac:dyDescent="0.25">
      <c r="A58">
        <v>3</v>
      </c>
      <c r="B58" t="s">
        <v>10</v>
      </c>
      <c r="C58">
        <v>0.45</v>
      </c>
    </row>
    <row r="60" spans="1:3" x14ac:dyDescent="0.25">
      <c r="A60">
        <v>0</v>
      </c>
      <c r="B60" t="s">
        <v>15</v>
      </c>
      <c r="C60">
        <v>0</v>
      </c>
    </row>
    <row r="61" spans="1:3" x14ac:dyDescent="0.25">
      <c r="A61">
        <v>1</v>
      </c>
      <c r="B61" t="s">
        <v>18</v>
      </c>
      <c r="C61">
        <v>10</v>
      </c>
    </row>
    <row r="62" spans="1:3" x14ac:dyDescent="0.25">
      <c r="A62">
        <v>2</v>
      </c>
      <c r="B62" t="s">
        <v>19</v>
      </c>
      <c r="C62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2026-08-28T08:27:59Z</dcterms:created>
  <dcterms:modified xsi:type="dcterms:W3CDTF">2026-08-28T13:09:47Z</dcterms:modified>
</cp:coreProperties>
</file>
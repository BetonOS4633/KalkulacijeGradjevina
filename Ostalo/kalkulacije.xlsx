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T-ICT\Documents\GitHub\KalkulacijeGradjevina\Ostalo\"/>
    </mc:Choice>
  </mc:AlternateContent>
  <bookViews>
    <workbookView xWindow="-120" yWindow="-120" windowWidth="29040" windowHeight="15720" activeTab="1"/>
  </bookViews>
  <sheets>
    <sheet name="Bušenje" sheetId="1" r:id="rId1"/>
    <sheet name="Rezanje strop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2" i="2" l="1"/>
  <c r="G81" i="2"/>
  <c r="D45" i="2"/>
  <c r="A17" i="2"/>
  <c r="A45" i="2" s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9" i="2"/>
  <c r="E46" i="2"/>
  <c r="E48" i="2"/>
  <c r="E47" i="2"/>
  <c r="H76" i="2" l="1"/>
  <c r="H75" i="2"/>
  <c r="H74" i="2"/>
  <c r="G76" i="2"/>
  <c r="G75" i="2"/>
  <c r="G74" i="2"/>
  <c r="F76" i="2"/>
  <c r="F75" i="2"/>
  <c r="F74" i="2"/>
  <c r="H68" i="2"/>
  <c r="G68" i="2"/>
  <c r="F61" i="2"/>
  <c r="D38" i="2"/>
  <c r="D52" i="2" s="1"/>
  <c r="A21" i="2"/>
  <c r="A28" i="2" s="1"/>
  <c r="A35" i="2" s="1"/>
  <c r="A42" i="2" s="1"/>
  <c r="A49" i="2" s="1"/>
  <c r="A20" i="2"/>
  <c r="A27" i="2" s="1"/>
  <c r="A34" i="2" s="1"/>
  <c r="A41" i="2" s="1"/>
  <c r="A48" i="2" s="1"/>
  <c r="A19" i="2"/>
  <c r="A26" i="2" s="1"/>
  <c r="A33" i="2" s="1"/>
  <c r="A40" i="2" s="1"/>
  <c r="A47" i="2" s="1"/>
  <c r="A18" i="2"/>
  <c r="A25" i="2" s="1"/>
  <c r="A32" i="2" s="1"/>
  <c r="A39" i="2" s="1"/>
  <c r="A46" i="2" s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42" i="2"/>
  <c r="E41" i="2"/>
  <c r="E40" i="2"/>
  <c r="E39" i="2"/>
  <c r="B9" i="2"/>
  <c r="D7" i="2"/>
  <c r="D9" i="2" s="1"/>
  <c r="D31" i="2" s="1"/>
  <c r="R7" i="2"/>
  <c r="U7" i="2"/>
  <c r="T7" i="2"/>
  <c r="S7" i="2"/>
  <c r="Q7" i="2"/>
  <c r="P7" i="2"/>
  <c r="O7" i="2"/>
  <c r="N7" i="2"/>
  <c r="M7" i="2"/>
  <c r="L7" i="2"/>
  <c r="K7" i="2"/>
  <c r="J7" i="2"/>
  <c r="I7" i="2"/>
  <c r="H7" i="2"/>
  <c r="G7" i="2"/>
  <c r="G12" i="2" s="1"/>
  <c r="F7" i="2"/>
  <c r="E7" i="2"/>
  <c r="B10" i="2"/>
  <c r="B13" i="2"/>
  <c r="B12" i="2"/>
  <c r="B11" i="2"/>
  <c r="C30" i="1"/>
  <c r="S30" i="1"/>
  <c r="N30" i="1"/>
  <c r="I30" i="1"/>
  <c r="D30" i="1"/>
  <c r="I21" i="1"/>
  <c r="N21" i="1"/>
  <c r="S21" i="1"/>
  <c r="S12" i="1"/>
  <c r="N12" i="1"/>
  <c r="I12" i="1"/>
  <c r="D11" i="1"/>
  <c r="N28" i="1"/>
  <c r="S28" i="1"/>
  <c r="S19" i="1"/>
  <c r="N19" i="1"/>
  <c r="I19" i="1"/>
  <c r="I28" i="1"/>
  <c r="D28" i="1"/>
  <c r="D19" i="1"/>
  <c r="S10" i="1"/>
  <c r="N10" i="1"/>
  <c r="I10" i="1"/>
  <c r="D10" i="1"/>
  <c r="H12" i="1"/>
  <c r="M12" i="1" s="1"/>
  <c r="R12" i="1" s="1"/>
  <c r="R21" i="1"/>
  <c r="C21" i="1"/>
  <c r="D9" i="1"/>
  <c r="B19" i="1"/>
  <c r="I18" i="1"/>
  <c r="D8" i="1"/>
  <c r="D12" i="1" s="1"/>
  <c r="D27" i="1"/>
  <c r="I27" i="1"/>
  <c r="N27" i="1"/>
  <c r="S27" i="1"/>
  <c r="S18" i="1"/>
  <c r="N18" i="1"/>
  <c r="D18" i="1"/>
  <c r="B27" i="1"/>
  <c r="G27" i="1" s="1"/>
  <c r="L27" i="1" s="1"/>
  <c r="Q27" i="1" s="1"/>
  <c r="B18" i="1"/>
  <c r="G18" i="1" s="1"/>
  <c r="L18" i="1" s="1"/>
  <c r="Q18" i="1" s="1"/>
  <c r="Q9" i="1"/>
  <c r="L9" i="1"/>
  <c r="N9" i="1"/>
  <c r="S9" i="1"/>
  <c r="I9" i="1"/>
  <c r="G9" i="1"/>
  <c r="D7" i="1"/>
  <c r="G33" i="1"/>
  <c r="L33" i="1" s="1"/>
  <c r="Q33" i="1" s="1"/>
  <c r="G32" i="1"/>
  <c r="L32" i="1" s="1"/>
  <c r="Q32" i="1" s="1"/>
  <c r="I29" i="1"/>
  <c r="I26" i="1"/>
  <c r="I25" i="1"/>
  <c r="I24" i="1"/>
  <c r="I20" i="1"/>
  <c r="I17" i="1"/>
  <c r="I15" i="1"/>
  <c r="N20" i="1"/>
  <c r="N17" i="1"/>
  <c r="N15" i="1"/>
  <c r="N29" i="1"/>
  <c r="N26" i="1"/>
  <c r="N25" i="1"/>
  <c r="N24" i="1"/>
  <c r="S29" i="1"/>
  <c r="S26" i="1"/>
  <c r="S25" i="1"/>
  <c r="S24" i="1"/>
  <c r="S20" i="1"/>
  <c r="S17" i="1"/>
  <c r="S15" i="1"/>
  <c r="S11" i="1"/>
  <c r="S8" i="1"/>
  <c r="S7" i="1"/>
  <c r="S6" i="1"/>
  <c r="N11" i="1"/>
  <c r="N8" i="1"/>
  <c r="N7" i="1"/>
  <c r="N6" i="1"/>
  <c r="I11" i="1"/>
  <c r="I8" i="1"/>
  <c r="I7" i="1"/>
  <c r="I6" i="1"/>
  <c r="D29" i="1"/>
  <c r="D26" i="1"/>
  <c r="D25" i="1"/>
  <c r="D24" i="1"/>
  <c r="D20" i="1"/>
  <c r="D17" i="1"/>
  <c r="D21" i="1" s="1"/>
  <c r="D16" i="1"/>
  <c r="D15" i="1"/>
  <c r="S4" i="1"/>
  <c r="N4" i="1"/>
  <c r="I4" i="1"/>
  <c r="D4" i="1"/>
  <c r="B20" i="1"/>
  <c r="B17" i="1"/>
  <c r="B16" i="1"/>
  <c r="B15" i="1"/>
  <c r="G11" i="1"/>
  <c r="L11" i="1" s="1"/>
  <c r="Q11" i="1" s="1"/>
  <c r="G10" i="1"/>
  <c r="L10" i="1" s="1"/>
  <c r="Q10" i="1" s="1"/>
  <c r="G8" i="1"/>
  <c r="L8" i="1" s="1"/>
  <c r="Q8" i="1" s="1"/>
  <c r="G7" i="1"/>
  <c r="L7" i="1" s="1"/>
  <c r="Q7" i="1" s="1"/>
  <c r="G6" i="1"/>
  <c r="L6" i="1" s="1"/>
  <c r="Q6" i="1" s="1"/>
  <c r="D6" i="1"/>
  <c r="S16" i="1"/>
  <c r="N16" i="1"/>
  <c r="I16" i="1"/>
  <c r="A24" i="2" l="1"/>
  <c r="A31" i="2" s="1"/>
  <c r="A38" i="2" s="1"/>
  <c r="A56" i="2"/>
  <c r="F71" i="2"/>
  <c r="A55" i="2"/>
  <c r="G71" i="2"/>
  <c r="H71" i="2"/>
  <c r="A54" i="2"/>
  <c r="H70" i="2"/>
  <c r="G70" i="2"/>
  <c r="F70" i="2"/>
  <c r="A53" i="2"/>
  <c r="U53" i="2" s="1"/>
  <c r="F69" i="2"/>
  <c r="G69" i="2"/>
  <c r="H69" i="2"/>
  <c r="J10" i="2"/>
  <c r="J32" i="2" s="1"/>
  <c r="J13" i="2"/>
  <c r="J35" i="2" s="1"/>
  <c r="J12" i="2"/>
  <c r="J34" i="2" s="1"/>
  <c r="J11" i="2"/>
  <c r="J33" i="2" s="1"/>
  <c r="I12" i="2"/>
  <c r="I34" i="2" s="1"/>
  <c r="I11" i="2"/>
  <c r="I33" i="2" s="1"/>
  <c r="I13" i="2"/>
  <c r="I35" i="2" s="1"/>
  <c r="I10" i="2"/>
  <c r="I32" i="2" s="1"/>
  <c r="H13" i="2"/>
  <c r="H35" i="2" s="1"/>
  <c r="H10" i="2"/>
  <c r="H32" i="2" s="1"/>
  <c r="H11" i="2"/>
  <c r="H33" i="2" s="1"/>
  <c r="H12" i="2"/>
  <c r="H34" i="2" s="1"/>
  <c r="G11" i="2"/>
  <c r="G33" i="2" s="1"/>
  <c r="G13" i="2"/>
  <c r="G35" i="2" s="1"/>
  <c r="G34" i="2"/>
  <c r="G10" i="2"/>
  <c r="G32" i="2" s="1"/>
  <c r="F13" i="2"/>
  <c r="F35" i="2" s="1"/>
  <c r="F12" i="2"/>
  <c r="F34" i="2" s="1"/>
  <c r="F11" i="2"/>
  <c r="F33" i="2" s="1"/>
  <c r="F10" i="2"/>
  <c r="F32" i="2" s="1"/>
  <c r="E12" i="2"/>
  <c r="E34" i="2" s="1"/>
  <c r="E11" i="2"/>
  <c r="E33" i="2" s="1"/>
  <c r="E10" i="2"/>
  <c r="E32" i="2" s="1"/>
  <c r="E13" i="2"/>
  <c r="E35" i="2" s="1"/>
  <c r="R11" i="2"/>
  <c r="R33" i="2" s="1"/>
  <c r="R12" i="2"/>
  <c r="R34" i="2" s="1"/>
  <c r="R10" i="2"/>
  <c r="R32" i="2" s="1"/>
  <c r="R13" i="2"/>
  <c r="R35" i="2" s="1"/>
  <c r="U10" i="2"/>
  <c r="U32" i="2" s="1"/>
  <c r="U12" i="2"/>
  <c r="U34" i="2" s="1"/>
  <c r="U11" i="2"/>
  <c r="U33" i="2" s="1"/>
  <c r="U13" i="2"/>
  <c r="U35" i="2" s="1"/>
  <c r="T11" i="2"/>
  <c r="T33" i="2" s="1"/>
  <c r="T12" i="2"/>
  <c r="T34" i="2" s="1"/>
  <c r="T10" i="2"/>
  <c r="T32" i="2" s="1"/>
  <c r="T13" i="2"/>
  <c r="T35" i="2" s="1"/>
  <c r="S12" i="2"/>
  <c r="S34" i="2" s="1"/>
  <c r="S13" i="2"/>
  <c r="S35" i="2" s="1"/>
  <c r="S10" i="2"/>
  <c r="S32" i="2" s="1"/>
  <c r="S11" i="2"/>
  <c r="S33" i="2" s="1"/>
  <c r="Q10" i="2"/>
  <c r="Q32" i="2" s="1"/>
  <c r="Q12" i="2"/>
  <c r="Q34" i="2" s="1"/>
  <c r="Q13" i="2"/>
  <c r="Q35" i="2" s="1"/>
  <c r="Q11" i="2"/>
  <c r="Q33" i="2" s="1"/>
  <c r="P11" i="2"/>
  <c r="P33" i="2" s="1"/>
  <c r="P12" i="2"/>
  <c r="P34" i="2" s="1"/>
  <c r="P13" i="2"/>
  <c r="P35" i="2" s="1"/>
  <c r="P10" i="2"/>
  <c r="P32" i="2" s="1"/>
  <c r="O13" i="2"/>
  <c r="O35" i="2" s="1"/>
  <c r="O12" i="2"/>
  <c r="O34" i="2" s="1"/>
  <c r="O10" i="2"/>
  <c r="O32" i="2" s="1"/>
  <c r="O11" i="2"/>
  <c r="O33" i="2" s="1"/>
  <c r="N11" i="2"/>
  <c r="N33" i="2" s="1"/>
  <c r="N10" i="2"/>
  <c r="N32" i="2" s="1"/>
  <c r="N13" i="2"/>
  <c r="N35" i="2" s="1"/>
  <c r="N12" i="2"/>
  <c r="N34" i="2" s="1"/>
  <c r="M11" i="2"/>
  <c r="M33" i="2" s="1"/>
  <c r="M10" i="2"/>
  <c r="M32" i="2" s="1"/>
  <c r="M12" i="2"/>
  <c r="M34" i="2" s="1"/>
  <c r="M13" i="2"/>
  <c r="M35" i="2" s="1"/>
  <c r="L13" i="2"/>
  <c r="L35" i="2" s="1"/>
  <c r="L10" i="2"/>
  <c r="L32" i="2" s="1"/>
  <c r="L12" i="2"/>
  <c r="L34" i="2" s="1"/>
  <c r="L11" i="2"/>
  <c r="L33" i="2" s="1"/>
  <c r="K12" i="2"/>
  <c r="K34" i="2" s="1"/>
  <c r="K13" i="2"/>
  <c r="K35" i="2" s="1"/>
  <c r="K10" i="2"/>
  <c r="K32" i="2" s="1"/>
  <c r="K11" i="2"/>
  <c r="K33" i="2" s="1"/>
  <c r="H30" i="1"/>
  <c r="H21" i="1"/>
  <c r="M21" i="1" s="1"/>
  <c r="N32" i="1"/>
  <c r="N33" i="1" s="1"/>
  <c r="B28" i="1"/>
  <c r="G28" i="1" s="1"/>
  <c r="L28" i="1" s="1"/>
  <c r="Q28" i="1" s="1"/>
  <c r="G19" i="1"/>
  <c r="L19" i="1" s="1"/>
  <c r="Q19" i="1" s="1"/>
  <c r="G20" i="1"/>
  <c r="L20" i="1" s="1"/>
  <c r="Q20" i="1" s="1"/>
  <c r="B29" i="1"/>
  <c r="G29" i="1" s="1"/>
  <c r="L29" i="1" s="1"/>
  <c r="Q29" i="1" s="1"/>
  <c r="B26" i="1"/>
  <c r="G26" i="1" s="1"/>
  <c r="L26" i="1" s="1"/>
  <c r="Q26" i="1" s="1"/>
  <c r="G17" i="1"/>
  <c r="L17" i="1" s="1"/>
  <c r="Q17" i="1" s="1"/>
  <c r="G16" i="1"/>
  <c r="L16" i="1" s="1"/>
  <c r="Q16" i="1" s="1"/>
  <c r="B25" i="1"/>
  <c r="G25" i="1" s="1"/>
  <c r="L25" i="1" s="1"/>
  <c r="Q25" i="1" s="1"/>
  <c r="B24" i="1"/>
  <c r="G24" i="1" s="1"/>
  <c r="L24" i="1" s="1"/>
  <c r="Q24" i="1" s="1"/>
  <c r="G15" i="1"/>
  <c r="L15" i="1" s="1"/>
  <c r="Q15" i="1" s="1"/>
  <c r="A52" i="2" l="1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M30" i="1"/>
  <c r="L30" i="1"/>
  <c r="R30" i="1" s="1"/>
  <c r="I32" i="1"/>
  <c r="D32" i="1"/>
  <c r="D33" i="1" s="1"/>
  <c r="D34" i="1" s="1"/>
  <c r="S32" i="1"/>
  <c r="N34" i="1"/>
  <c r="I33" i="1" l="1"/>
  <c r="I34" i="1" s="1"/>
  <c r="S33" i="1"/>
  <c r="S34" i="1" s="1"/>
</calcChain>
</file>

<file path=xl/sharedStrings.xml><?xml version="1.0" encoding="utf-8"?>
<sst xmlns="http://schemas.openxmlformats.org/spreadsheetml/2006/main" count="72" uniqueCount="60">
  <si>
    <t>dolazak</t>
  </si>
  <si>
    <t>broj rupa</t>
  </si>
  <si>
    <t>cijena bušenja:</t>
  </si>
  <si>
    <t>1. cigla sa vodom</t>
  </si>
  <si>
    <t>2. cigla suho</t>
  </si>
  <si>
    <t>5. beton na suho</t>
  </si>
  <si>
    <t>bliže  &lt;20km</t>
  </si>
  <si>
    <t>ostali</t>
  </si>
  <si>
    <t>6. partner da</t>
  </si>
  <si>
    <t>promjer rupe mm</t>
  </si>
  <si>
    <t>dubina ukupna cm</t>
  </si>
  <si>
    <t>ankerisanje ne</t>
  </si>
  <si>
    <t>vrsta bušenja</t>
  </si>
  <si>
    <t>ankerisanje č. tipla</t>
  </si>
  <si>
    <t>ankesrisanje kemijskom</t>
  </si>
  <si>
    <t>Ukupno bez rabata</t>
  </si>
  <si>
    <t>Nepoznato</t>
  </si>
  <si>
    <t>UKUPNO za naplatit:</t>
  </si>
  <si>
    <t>partner da-9</t>
  </si>
  <si>
    <t>401-</t>
  </si>
  <si>
    <t>cijena zaštite</t>
  </si>
  <si>
    <t>zaštita (0-NE; 1-DA)</t>
  </si>
  <si>
    <t>3. beton s vodom</t>
  </si>
  <si>
    <t>dalje 21-40km</t>
  </si>
  <si>
    <t>41km&lt;</t>
  </si>
  <si>
    <t xml:space="preserve">ankerisanje </t>
  </si>
  <si>
    <t>Ukupno:</t>
  </si>
  <si>
    <t>Kalkulacija rezanje rupa:</t>
  </si>
  <si>
    <t>kg</t>
  </si>
  <si>
    <t>Težina betona 1m3:</t>
  </si>
  <si>
    <t xml:space="preserve">Debljina u cm: </t>
  </si>
  <si>
    <t>1m2</t>
  </si>
  <si>
    <t>cijena reza</t>
  </si>
  <si>
    <t>komadi 40-60kg</t>
  </si>
  <si>
    <t>2,25*2,25</t>
  </si>
  <si>
    <t>2,00*2,00</t>
  </si>
  <si>
    <t>2,50*2,50</t>
  </si>
  <si>
    <t>otvor dimenzije u metrima</t>
  </si>
  <si>
    <t>cijena dana</t>
  </si>
  <si>
    <t>cijena rupe</t>
  </si>
  <si>
    <t>cijena rupa</t>
  </si>
  <si>
    <t>cijena rezanja</t>
  </si>
  <si>
    <t>promjer rupe</t>
  </si>
  <si>
    <t>broj redova bloka</t>
  </si>
  <si>
    <t>broj koluma bloka</t>
  </si>
  <si>
    <t>veličina rezne ploče u mm</t>
  </si>
  <si>
    <t>debljina zida u mm</t>
  </si>
  <si>
    <t>težina bloka u kg</t>
  </si>
  <si>
    <t>formula za over cut u mm</t>
  </si>
  <si>
    <t>20cm</t>
  </si>
  <si>
    <t>25cm</t>
  </si>
  <si>
    <t>30cm</t>
  </si>
  <si>
    <t>površina</t>
  </si>
  <si>
    <t>težina u kg</t>
  </si>
  <si>
    <t>cijena po otvoru</t>
  </si>
  <si>
    <t>rezanje na komade od 40-60kg</t>
  </si>
  <si>
    <t>za lift</t>
  </si>
  <si>
    <t>rezanje zida u podrumu beton 1,2*2,6*0,2</t>
  </si>
  <si>
    <t>reznje zida prozor beton po otvoru 1,0*1,0*,35</t>
  </si>
  <si>
    <t>rezanje zida (prozor) opeka otvoru 1,0*1,0*35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</si>
</sst>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kn&quot;_-;\-* #,##0.00\ &quot;kn&quot;_-;_-* &quot;-&quot;??\ &quot;kn&quot;_-;_-@_-"/>
    <numFmt numFmtId="43" formatCode="_-* #,##0.00_-;\-* #,##0.00_-;_-* &quot;-&quot;??_-;_-@_-"/>
    <numFmt numFmtId="164" formatCode="_-* #,##0.00\ [$€-1]_-;\-* #,##0.00\ [$€-1]_-;_-* &quot;-&quot;??\ [$€-1]_-;_-@_-"/>
    <numFmt numFmtId="165" formatCode="0.0"/>
    <numFmt numFmtId="166" formatCode="_-* #,##0.00\ [$€-41A]_-;\-* #,##0.00\ [$€-41A]_-;_-* &quot;-&quot;??\ [$€-41A]_-;_-@_-"/>
    <numFmt numFmtId="167" formatCode="#,##0\ [$€-1];[Red]\-#,##0\ [$€-1]"/>
    <numFmt numFmtId="168" formatCode="#,##0.00_ ;\-#,##0.00\ 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164" fontId="3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3" applyNumberFormat="1" applyFont="1"/>
    <xf numFmtId="166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/>
    <xf numFmtId="1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opLeftCell="A11" workbookViewId="0">
      <selection activeCell="C30" sqref="C30"/>
    </sheetView>
  </sheetViews>
  <sheetFormatPr defaultRowHeight="14.5" x14ac:dyDescent="0.35"/>
  <cols>
    <col min="1" max="1" width="5.26953125" customWidth="1"/>
    <col min="2" max="2" width="22.54296875" customWidth="1"/>
    <col min="4" max="4" width="11" bestFit="1" customWidth="1"/>
    <col min="7" max="7" width="22.453125" customWidth="1"/>
    <col min="12" max="12" width="22.81640625" customWidth="1"/>
    <col min="17" max="17" width="22.26953125" customWidth="1"/>
  </cols>
  <sheetData>
    <row r="1" spans="1:19" x14ac:dyDescent="0.35">
      <c r="A1" t="s">
        <v>27</v>
      </c>
    </row>
    <row r="4" spans="1:19" x14ac:dyDescent="0.35">
      <c r="B4" t="s">
        <v>0</v>
      </c>
      <c r="C4">
        <v>1</v>
      </c>
      <c r="D4">
        <f>IF(C4=1,$M$43,IF(C4=2,$M$44,2*$M$45*C4))</f>
        <v>20</v>
      </c>
      <c r="G4" t="s">
        <v>0</v>
      </c>
      <c r="H4">
        <v>2</v>
      </c>
      <c r="I4">
        <f>IF(H4=1,$M$43,IF(H4=2,$M$44,2*$M$45*H4))</f>
        <v>40</v>
      </c>
      <c r="L4" t="s">
        <v>0</v>
      </c>
      <c r="M4">
        <v>1</v>
      </c>
      <c r="N4">
        <f>IF(M4=1,$M$43,IF(M4=2,$M$44,2*$M$45*M4))</f>
        <v>20</v>
      </c>
      <c r="Q4" t="s">
        <v>0</v>
      </c>
      <c r="R4">
        <v>1</v>
      </c>
      <c r="S4">
        <f>IF(R4=1,$M$43,IF(R4=2,$M$44,2*$M$45*R4))</f>
        <v>20</v>
      </c>
    </row>
    <row r="6" spans="1:19" x14ac:dyDescent="0.35">
      <c r="B6" s="5" t="s">
        <v>9</v>
      </c>
      <c r="C6">
        <v>168</v>
      </c>
      <c r="D6">
        <f>C6/10</f>
        <v>16.8</v>
      </c>
      <c r="G6" t="str">
        <f>B6</f>
        <v>promjer rupe mm</v>
      </c>
      <c r="H6">
        <v>350</v>
      </c>
      <c r="I6">
        <f>H6/10</f>
        <v>35</v>
      </c>
      <c r="L6" t="str">
        <f t="shared" ref="L6:L11" si="0">G6</f>
        <v>promjer rupe mm</v>
      </c>
      <c r="M6">
        <v>82</v>
      </c>
      <c r="N6">
        <f>M6/10</f>
        <v>8.1999999999999993</v>
      </c>
      <c r="Q6" t="str">
        <f t="shared" ref="Q6:Q11" si="1">L6</f>
        <v>promjer rupe mm</v>
      </c>
      <c r="R6">
        <v>112</v>
      </c>
      <c r="S6">
        <f>R6/10</f>
        <v>11.2</v>
      </c>
    </row>
    <row r="7" spans="1:19" x14ac:dyDescent="0.35">
      <c r="B7" s="5" t="s">
        <v>12</v>
      </c>
      <c r="C7">
        <v>3</v>
      </c>
      <c r="D7">
        <f>VLOOKUP(C7,$A$41:$C$45,3,FALSE)</f>
        <v>0.17</v>
      </c>
      <c r="G7" t="str">
        <f t="shared" ref="G7:G11" si="2">B7</f>
        <v>vrsta bušenja</v>
      </c>
      <c r="H7">
        <v>1</v>
      </c>
      <c r="I7">
        <f>VLOOKUP(H7,$A$41:$C$45,3,FALSE)</f>
        <v>0.08</v>
      </c>
      <c r="L7" t="str">
        <f t="shared" si="0"/>
        <v>vrsta bušenja</v>
      </c>
      <c r="M7">
        <v>3</v>
      </c>
      <c r="N7">
        <f>VLOOKUP(M7,$A$41:$C$45,3,FALSE)</f>
        <v>0.17</v>
      </c>
      <c r="Q7" t="str">
        <f t="shared" si="1"/>
        <v>vrsta bušenja</v>
      </c>
      <c r="R7">
        <v>3</v>
      </c>
      <c r="S7">
        <f>VLOOKUP(R7,$A$41:$C$45,3,FALSE)</f>
        <v>0.17</v>
      </c>
    </row>
    <row r="8" spans="1:19" x14ac:dyDescent="0.35">
      <c r="B8" s="5" t="s">
        <v>10</v>
      </c>
      <c r="C8">
        <v>25</v>
      </c>
      <c r="D8">
        <f>C8*1</f>
        <v>25</v>
      </c>
      <c r="G8" t="str">
        <f t="shared" si="2"/>
        <v>dubina ukupna cm</v>
      </c>
      <c r="H8">
        <v>105</v>
      </c>
      <c r="I8">
        <f>H8*1</f>
        <v>105</v>
      </c>
      <c r="L8" t="str">
        <f t="shared" si="0"/>
        <v>dubina ukupna cm</v>
      </c>
      <c r="M8">
        <v>55</v>
      </c>
      <c r="N8">
        <f>M8*1</f>
        <v>55</v>
      </c>
      <c r="Q8" t="str">
        <f t="shared" si="1"/>
        <v>dubina ukupna cm</v>
      </c>
      <c r="R8">
        <v>30</v>
      </c>
      <c r="S8">
        <f>R8*1</f>
        <v>30</v>
      </c>
    </row>
    <row r="9" spans="1:19" x14ac:dyDescent="0.35">
      <c r="B9" s="5" t="s">
        <v>21</v>
      </c>
      <c r="C9">
        <v>0</v>
      </c>
      <c r="D9">
        <f>IF(C9=0,0,IF(C9=1,C11*$C$39,n/a))</f>
        <v>0</v>
      </c>
      <c r="G9" t="str">
        <f>B9</f>
        <v>zaštita (0-NE; 1-DA)</v>
      </c>
      <c r="H9">
        <v>0</v>
      </c>
      <c r="I9">
        <f>H9*$C$39</f>
        <v>0</v>
      </c>
      <c r="L9" t="str">
        <f>B9</f>
        <v>zaštita (0-NE; 1-DA)</v>
      </c>
      <c r="M9">
        <v>0</v>
      </c>
      <c r="N9">
        <f>M9*$C$39</f>
        <v>0</v>
      </c>
      <c r="Q9" t="str">
        <f>B9</f>
        <v>zaštita (0-NE; 1-DA)</v>
      </c>
      <c r="R9">
        <v>1</v>
      </c>
      <c r="S9">
        <f>R9*$C$39</f>
        <v>15</v>
      </c>
    </row>
    <row r="10" spans="1:19" x14ac:dyDescent="0.35">
      <c r="B10" s="5" t="s">
        <v>25</v>
      </c>
      <c r="C10">
        <v>1</v>
      </c>
      <c r="D10">
        <f>VLOOKUP(C10,$K$38:$M$40,3,FALSE)</f>
        <v>10</v>
      </c>
      <c r="G10" t="str">
        <f t="shared" si="2"/>
        <v xml:space="preserve">ankerisanje </v>
      </c>
      <c r="H10">
        <v>2</v>
      </c>
      <c r="I10">
        <f>VLOOKUP(H10,$K$38:$M$40,3,FALSE)</f>
        <v>20</v>
      </c>
      <c r="L10" t="str">
        <f t="shared" si="0"/>
        <v xml:space="preserve">ankerisanje </v>
      </c>
      <c r="M10">
        <v>1</v>
      </c>
      <c r="N10">
        <f>VLOOKUP(M10,$K$38:$M$40,3,FALSE)</f>
        <v>10</v>
      </c>
      <c r="Q10" t="str">
        <f t="shared" si="1"/>
        <v xml:space="preserve">ankerisanje </v>
      </c>
      <c r="R10">
        <v>1</v>
      </c>
      <c r="S10">
        <f>VLOOKUP(R10,$K$38:$M$40,3,FALSE)</f>
        <v>10</v>
      </c>
    </row>
    <row r="11" spans="1:19" x14ac:dyDescent="0.35">
      <c r="B11" s="5" t="s">
        <v>1</v>
      </c>
      <c r="C11">
        <v>3</v>
      </c>
      <c r="D11">
        <f>C11</f>
        <v>3</v>
      </c>
      <c r="G11" t="str">
        <f t="shared" si="2"/>
        <v>broj rupa</v>
      </c>
      <c r="H11">
        <v>1</v>
      </c>
      <c r="I11">
        <f>H11</f>
        <v>1</v>
      </c>
      <c r="L11" t="str">
        <f t="shared" si="0"/>
        <v>broj rupa</v>
      </c>
      <c r="M11">
        <v>4</v>
      </c>
      <c r="N11">
        <f>M11</f>
        <v>4</v>
      </c>
      <c r="Q11" t="str">
        <f t="shared" si="1"/>
        <v>broj rupa</v>
      </c>
      <c r="R11">
        <v>1</v>
      </c>
      <c r="S11">
        <f>R11</f>
        <v>1</v>
      </c>
    </row>
    <row r="12" spans="1:19" x14ac:dyDescent="0.35">
      <c r="C12" s="6" t="s">
        <v>26</v>
      </c>
      <c r="D12">
        <f>IF(D11&gt;0,(D11*($C$38+D8*D7*D6+D9+D10)),0)</f>
        <v>304.20000000000005</v>
      </c>
      <c r="H12" t="str">
        <f>C12</f>
        <v>Ukupno:</v>
      </c>
      <c r="I12">
        <f>IF(I11&gt;0,(I11*($C$38+I8*I7*I6+I9+I10)),0)</f>
        <v>334</v>
      </c>
      <c r="M12" t="str">
        <f>H12</f>
        <v>Ukupno:</v>
      </c>
      <c r="N12">
        <f>IF(N11&gt;0,(N11*($C$38+N8*N7*N6+N9+N10)),0)</f>
        <v>426.68</v>
      </c>
      <c r="R12" t="str">
        <f>M12</f>
        <v>Ukupno:</v>
      </c>
      <c r="S12">
        <f>IF(S11&gt;0,(S11*($C$38+S8*S7*S6+S9+S10)),0)</f>
        <v>102.12</v>
      </c>
    </row>
    <row r="15" spans="1:19" x14ac:dyDescent="0.35">
      <c r="B15" t="str">
        <f t="shared" ref="B15:B20" si="3">B6</f>
        <v>promjer rupe mm</v>
      </c>
      <c r="C15">
        <v>62</v>
      </c>
      <c r="D15">
        <f>C15/10</f>
        <v>6.2</v>
      </c>
      <c r="G15" t="str">
        <f t="shared" ref="G15:G20" si="4">B15</f>
        <v>promjer rupe mm</v>
      </c>
      <c r="H15">
        <v>250</v>
      </c>
      <c r="I15">
        <f>H15/10</f>
        <v>25</v>
      </c>
      <c r="L15" t="str">
        <f t="shared" ref="L15:L20" si="5">G15</f>
        <v>promjer rupe mm</v>
      </c>
      <c r="M15">
        <v>52</v>
      </c>
      <c r="N15">
        <f>M15/10</f>
        <v>5.2</v>
      </c>
      <c r="Q15" t="str">
        <f t="shared" ref="Q15:Q20" si="6">L15</f>
        <v>promjer rupe mm</v>
      </c>
      <c r="R15">
        <v>100</v>
      </c>
      <c r="S15">
        <f>R15/10</f>
        <v>10</v>
      </c>
    </row>
    <row r="16" spans="1:19" x14ac:dyDescent="0.35">
      <c r="B16" t="str">
        <f t="shared" si="3"/>
        <v>vrsta bušenja</v>
      </c>
      <c r="C16">
        <v>3</v>
      </c>
      <c r="D16">
        <f>VLOOKUP(C16,$A$41:$C$45,3,FALSE)</f>
        <v>0.17</v>
      </c>
      <c r="G16" t="str">
        <f t="shared" si="4"/>
        <v>vrsta bušenja</v>
      </c>
      <c r="H16">
        <v>1</v>
      </c>
      <c r="I16">
        <f>VLOOKUP(H16,$A$41:$C$45,3,FALSE)</f>
        <v>0.08</v>
      </c>
      <c r="L16" t="str">
        <f t="shared" si="5"/>
        <v>vrsta bušenja</v>
      </c>
      <c r="M16">
        <v>4</v>
      </c>
      <c r="N16">
        <f>VLOOKUP(M16,$A$41:$C$45,3,FALSE)</f>
        <v>0.3</v>
      </c>
      <c r="Q16" t="str">
        <f t="shared" si="6"/>
        <v>vrsta bušenja</v>
      </c>
      <c r="R16">
        <v>1</v>
      </c>
      <c r="S16">
        <f>VLOOKUP(R16,$A$41:$C$45,3,FALSE)</f>
        <v>0.08</v>
      </c>
    </row>
    <row r="17" spans="2:19" x14ac:dyDescent="0.35">
      <c r="B17" t="str">
        <f t="shared" si="3"/>
        <v>dubina ukupna cm</v>
      </c>
      <c r="C17">
        <v>25</v>
      </c>
      <c r="D17">
        <f>C17*1</f>
        <v>25</v>
      </c>
      <c r="G17" t="str">
        <f t="shared" si="4"/>
        <v>dubina ukupna cm</v>
      </c>
      <c r="H17">
        <v>105</v>
      </c>
      <c r="I17">
        <f>H17*1</f>
        <v>105</v>
      </c>
      <c r="L17" t="str">
        <f t="shared" si="5"/>
        <v>dubina ukupna cm</v>
      </c>
      <c r="M17">
        <v>20</v>
      </c>
      <c r="N17">
        <f>M17*1</f>
        <v>20</v>
      </c>
      <c r="Q17" t="str">
        <f t="shared" si="6"/>
        <v>dubina ukupna cm</v>
      </c>
      <c r="R17">
        <v>25</v>
      </c>
      <c r="S17">
        <f>R17*1</f>
        <v>25</v>
      </c>
    </row>
    <row r="18" spans="2:19" x14ac:dyDescent="0.35">
      <c r="B18" t="str">
        <f t="shared" si="3"/>
        <v>zaštita (0-NE; 1-DA)</v>
      </c>
      <c r="C18">
        <v>0</v>
      </c>
      <c r="D18">
        <f>C18*$C$39</f>
        <v>0</v>
      </c>
      <c r="G18" t="str">
        <f>B18</f>
        <v>zaštita (0-NE; 1-DA)</v>
      </c>
      <c r="H18">
        <v>0</v>
      </c>
      <c r="I18">
        <f>H18*$C$39</f>
        <v>0</v>
      </c>
      <c r="L18" t="str">
        <f>G18</f>
        <v>zaštita (0-NE; 1-DA)</v>
      </c>
      <c r="M18">
        <v>0</v>
      </c>
      <c r="N18">
        <f>M18*$C$39</f>
        <v>0</v>
      </c>
      <c r="Q18" t="str">
        <f>L18</f>
        <v>zaštita (0-NE; 1-DA)</v>
      </c>
      <c r="R18">
        <v>0</v>
      </c>
      <c r="S18">
        <f>R18*$C$39</f>
        <v>0</v>
      </c>
    </row>
    <row r="19" spans="2:19" x14ac:dyDescent="0.35">
      <c r="B19" t="str">
        <f t="shared" si="3"/>
        <v xml:space="preserve">ankerisanje </v>
      </c>
      <c r="C19">
        <v>1</v>
      </c>
      <c r="D19">
        <f>VLOOKUP(C19,$K$38:$M$40,3,FALSE)</f>
        <v>10</v>
      </c>
      <c r="G19" t="str">
        <f t="shared" si="4"/>
        <v xml:space="preserve">ankerisanje </v>
      </c>
      <c r="H19">
        <v>2</v>
      </c>
      <c r="I19">
        <f>VLOOKUP(H19,$K$38:$M$40,3,FALSE)</f>
        <v>20</v>
      </c>
      <c r="L19" t="str">
        <f t="shared" si="5"/>
        <v xml:space="preserve">ankerisanje </v>
      </c>
      <c r="M19">
        <v>0</v>
      </c>
      <c r="N19">
        <f>VLOOKUP(M19,$K$38:$M$40,3,FALSE)</f>
        <v>0</v>
      </c>
      <c r="Q19" t="str">
        <f t="shared" si="6"/>
        <v xml:space="preserve">ankerisanje </v>
      </c>
      <c r="R19">
        <v>0</v>
      </c>
      <c r="S19">
        <f>VLOOKUP(R19,$K$38:$M$40,3,FALSE)</f>
        <v>0</v>
      </c>
    </row>
    <row r="20" spans="2:19" x14ac:dyDescent="0.35">
      <c r="B20" t="str">
        <f t="shared" si="3"/>
        <v>broj rupa</v>
      </c>
      <c r="C20">
        <v>1</v>
      </c>
      <c r="D20">
        <f>C20</f>
        <v>1</v>
      </c>
      <c r="G20" t="str">
        <f t="shared" si="4"/>
        <v>broj rupa</v>
      </c>
      <c r="H20">
        <v>1</v>
      </c>
      <c r="I20">
        <f>H20</f>
        <v>1</v>
      </c>
      <c r="L20" t="str">
        <f t="shared" si="5"/>
        <v>broj rupa</v>
      </c>
      <c r="M20">
        <v>0</v>
      </c>
      <c r="N20">
        <f>M20</f>
        <v>0</v>
      </c>
      <c r="Q20" t="str">
        <f t="shared" si="6"/>
        <v>broj rupa</v>
      </c>
      <c r="R20">
        <v>0</v>
      </c>
      <c r="S20">
        <f>R20</f>
        <v>0</v>
      </c>
    </row>
    <row r="21" spans="2:19" x14ac:dyDescent="0.35">
      <c r="C21" t="str">
        <f>C12</f>
        <v>Ukupno:</v>
      </c>
      <c r="D21">
        <f>IF(D20&gt;0,(D20*($C$38+D17*D16*D15+D18+D19)),0)</f>
        <v>56.35</v>
      </c>
      <c r="H21" t="str">
        <f>C21</f>
        <v>Ukupno:</v>
      </c>
      <c r="I21">
        <f>IF(I20&gt;0,(I20*($C$38+I17*I16*I15+I18+I19)),0)</f>
        <v>250</v>
      </c>
      <c r="M21" t="str">
        <f>H21</f>
        <v>Ukupno:</v>
      </c>
      <c r="N21">
        <f>IF(N20&gt;0,(N20*($C$38+N17*N16*N15+N18+N19)),0)</f>
        <v>0</v>
      </c>
      <c r="R21">
        <f>L21</f>
        <v>0</v>
      </c>
      <c r="S21">
        <f>IF(S20&gt;0,(S20*($C$38+S17*S16*S15+S18+S19)),0)</f>
        <v>0</v>
      </c>
    </row>
    <row r="24" spans="2:19" x14ac:dyDescent="0.35">
      <c r="B24" t="str">
        <f>B15</f>
        <v>promjer rupe mm</v>
      </c>
      <c r="C24">
        <v>110</v>
      </c>
      <c r="D24">
        <f>C24/10</f>
        <v>11</v>
      </c>
      <c r="G24" t="str">
        <f t="shared" ref="G24:G29" si="7">B24</f>
        <v>promjer rupe mm</v>
      </c>
      <c r="H24">
        <v>0</v>
      </c>
      <c r="I24">
        <f>H24/10</f>
        <v>0</v>
      </c>
      <c r="L24" t="str">
        <f t="shared" ref="L24:L29" si="8">G24</f>
        <v>promjer rupe mm</v>
      </c>
      <c r="M24">
        <v>52</v>
      </c>
      <c r="N24">
        <f>M24/10</f>
        <v>5.2</v>
      </c>
      <c r="Q24" t="str">
        <f t="shared" ref="Q24:Q29" si="9">L24</f>
        <v>promjer rupe mm</v>
      </c>
      <c r="R24">
        <v>0</v>
      </c>
      <c r="S24">
        <f>R24/10</f>
        <v>0</v>
      </c>
    </row>
    <row r="25" spans="2:19" x14ac:dyDescent="0.35">
      <c r="B25" t="str">
        <f>B16</f>
        <v>vrsta bušenja</v>
      </c>
      <c r="C25">
        <v>3</v>
      </c>
      <c r="D25">
        <f>VLOOKUP(C25,$A$41:$C$45,3,FALSE)</f>
        <v>0.17</v>
      </c>
      <c r="G25" t="str">
        <f t="shared" si="7"/>
        <v>vrsta bušenja</v>
      </c>
      <c r="H25">
        <v>0</v>
      </c>
      <c r="I25">
        <f>VLOOKUP(H25,$A$41:$C$45,3,FALSE)</f>
        <v>0</v>
      </c>
      <c r="L25" t="str">
        <f t="shared" si="8"/>
        <v>vrsta bušenja</v>
      </c>
      <c r="M25">
        <v>2</v>
      </c>
      <c r="N25">
        <f>VLOOKUP(M25,$A$41:$C$45,3,FALSE)</f>
        <v>0.11</v>
      </c>
      <c r="Q25" t="str">
        <f t="shared" si="9"/>
        <v>vrsta bušenja</v>
      </c>
      <c r="R25">
        <v>0</v>
      </c>
      <c r="S25">
        <f>VLOOKUP(R25,$A$41:$C$45,3,FALSE)</f>
        <v>0</v>
      </c>
    </row>
    <row r="26" spans="2:19" x14ac:dyDescent="0.35">
      <c r="B26" t="str">
        <f>B17</f>
        <v>dubina ukupna cm</v>
      </c>
      <c r="C26">
        <v>60</v>
      </c>
      <c r="D26">
        <f>C26*1</f>
        <v>60</v>
      </c>
      <c r="G26" t="str">
        <f t="shared" si="7"/>
        <v>dubina ukupna cm</v>
      </c>
      <c r="H26">
        <v>0</v>
      </c>
      <c r="I26">
        <f>H26*1</f>
        <v>0</v>
      </c>
      <c r="L26" t="str">
        <f t="shared" si="8"/>
        <v>dubina ukupna cm</v>
      </c>
      <c r="M26">
        <v>35</v>
      </c>
      <c r="N26">
        <f>M26*1</f>
        <v>35</v>
      </c>
      <c r="Q26" t="str">
        <f t="shared" si="9"/>
        <v>dubina ukupna cm</v>
      </c>
      <c r="R26">
        <v>0</v>
      </c>
      <c r="S26">
        <f>R26*1</f>
        <v>0</v>
      </c>
    </row>
    <row r="27" spans="2:19" x14ac:dyDescent="0.35">
      <c r="B27" t="str">
        <f>B9</f>
        <v>zaštita (0-NE; 1-DA)</v>
      </c>
      <c r="C27">
        <v>0</v>
      </c>
      <c r="D27">
        <f>C27*$C$39</f>
        <v>0</v>
      </c>
      <c r="G27" t="str">
        <f>B27</f>
        <v>zaštita (0-NE; 1-DA)</v>
      </c>
      <c r="H27">
        <v>0</v>
      </c>
      <c r="I27">
        <f>H27*$C$39</f>
        <v>0</v>
      </c>
      <c r="L27" t="str">
        <f>G27</f>
        <v>zaštita (0-NE; 1-DA)</v>
      </c>
      <c r="M27">
        <v>0</v>
      </c>
      <c r="N27">
        <f>M27*$C$39</f>
        <v>0</v>
      </c>
      <c r="Q27" t="str">
        <f>L27</f>
        <v>zaštita (0-NE; 1-DA)</v>
      </c>
      <c r="R27">
        <v>0</v>
      </c>
      <c r="S27">
        <f>R27*$C$39</f>
        <v>0</v>
      </c>
    </row>
    <row r="28" spans="2:19" x14ac:dyDescent="0.35">
      <c r="B28" t="str">
        <f t="shared" ref="B28:B29" si="10">B19</f>
        <v xml:space="preserve">ankerisanje </v>
      </c>
      <c r="C28">
        <v>1</v>
      </c>
      <c r="D28">
        <f>VLOOKUP(C28,$K$38:$M$40,3,FALSE)</f>
        <v>10</v>
      </c>
      <c r="G28" t="str">
        <f t="shared" si="7"/>
        <v xml:space="preserve">ankerisanje </v>
      </c>
      <c r="H28">
        <v>0</v>
      </c>
      <c r="I28">
        <f>VLOOKUP(H28,$K$38:$M$40,3,FALSE)</f>
        <v>0</v>
      </c>
      <c r="L28" t="str">
        <f t="shared" si="8"/>
        <v xml:space="preserve">ankerisanje </v>
      </c>
      <c r="M28">
        <v>1</v>
      </c>
      <c r="N28">
        <f>VLOOKUP(M28,$K$38:$M$40,3,FALSE)</f>
        <v>10</v>
      </c>
      <c r="Q28" t="str">
        <f t="shared" si="9"/>
        <v xml:space="preserve">ankerisanje </v>
      </c>
      <c r="R28">
        <v>0</v>
      </c>
      <c r="S28">
        <f>VLOOKUP(R28,$K$38:$M$40,3,FALSE)</f>
        <v>0</v>
      </c>
    </row>
    <row r="29" spans="2:19" x14ac:dyDescent="0.35">
      <c r="B29" t="str">
        <f t="shared" si="10"/>
        <v>broj rupa</v>
      </c>
      <c r="C29">
        <v>0</v>
      </c>
      <c r="D29">
        <f>C29</f>
        <v>0</v>
      </c>
      <c r="G29" t="str">
        <f t="shared" si="7"/>
        <v>broj rupa</v>
      </c>
      <c r="H29">
        <v>0</v>
      </c>
      <c r="I29">
        <f>H29</f>
        <v>0</v>
      </c>
      <c r="L29" t="str">
        <f t="shared" si="8"/>
        <v>broj rupa</v>
      </c>
      <c r="M29">
        <v>0</v>
      </c>
      <c r="N29">
        <f>M29</f>
        <v>0</v>
      </c>
      <c r="Q29" t="str">
        <f t="shared" si="9"/>
        <v>broj rupa</v>
      </c>
      <c r="R29">
        <v>0</v>
      </c>
      <c r="S29">
        <f>R29</f>
        <v>0</v>
      </c>
    </row>
    <row r="30" spans="2:19" x14ac:dyDescent="0.35">
      <c r="C30" t="str">
        <f>C21</f>
        <v>Ukupno:</v>
      </c>
      <c r="D30">
        <f>IF(D29&gt;0,(D29*($C$38+D26*D25*D24+D27+D28)),0)</f>
        <v>0</v>
      </c>
      <c r="H30" t="str">
        <f>C30</f>
        <v>Ukupno:</v>
      </c>
      <c r="I30">
        <f>IF(I29&gt;0,(I29*($C$38+I26*I25*I24+I27+I28)),0)</f>
        <v>0</v>
      </c>
      <c r="L30" t="str">
        <f>H30</f>
        <v>Ukupno:</v>
      </c>
      <c r="M30" t="str">
        <f>H30</f>
        <v>Ukupno:</v>
      </c>
      <c r="N30">
        <f>IF(N29&gt;0,(N29*($C$38+N26*N25*N24+N27+N28)),0)</f>
        <v>0</v>
      </c>
      <c r="R30" t="str">
        <f>L30</f>
        <v>Ukupno:</v>
      </c>
      <c r="S30">
        <f>IF(S29&gt;0,(S29*($C$38+S26*S25*S24+S27+S28)),0)</f>
        <v>0</v>
      </c>
    </row>
    <row r="32" spans="2:19" x14ac:dyDescent="0.35">
      <c r="B32" t="s">
        <v>15</v>
      </c>
      <c r="D32">
        <f>IF((D30+D21+D12+D4)&lt;80,80,D30+D21+D12+D4)</f>
        <v>380.55000000000007</v>
      </c>
      <c r="G32" t="str">
        <f>B32</f>
        <v>Ukupno bez rabata</v>
      </c>
      <c r="I32">
        <f>IF((I30+I21+I12+I4)&lt;80,80,I30+I21+I12+I4)</f>
        <v>624</v>
      </c>
      <c r="L32" t="str">
        <f>G32</f>
        <v>Ukupno bez rabata</v>
      </c>
      <c r="N32">
        <f>IF((N30+N21+N12+N4)&lt;80,80,N30+N21+N12+N4)</f>
        <v>446.68</v>
      </c>
      <c r="Q32" t="str">
        <f>L32</f>
        <v>Ukupno bez rabata</v>
      </c>
      <c r="S32">
        <f>IF((S30+S21+S12+S4)&lt;80,80,S30+S21+S12+S4)</f>
        <v>122.12</v>
      </c>
    </row>
    <row r="33" spans="1:19" x14ac:dyDescent="0.35">
      <c r="B33" t="s">
        <v>18</v>
      </c>
      <c r="D33" s="2">
        <f>IF(C33=9,20%,IF(D32&lt;$G$39,$H$39%,IF(D32&lt;$G$40,$H$40%,IF(D32&lt;$G$41,$H$41%,IF(D32&lt;$G$42,$H$42%,IF(D32&lt;$G$43,$H$43%,$H$44%))))))</f>
        <v>0.2</v>
      </c>
      <c r="G33" t="str">
        <f>B33</f>
        <v>partner da-9</v>
      </c>
      <c r="I33" s="2">
        <f>IF(H33=9,20%,IF(I32&lt;$G$39,$H$39%,IF(I32&lt;$G$40,$H$40%,IF(I32&lt;$G$41,$H$41%,IF(I32&lt;$G$42,$H$42%,IF(I32&lt;$G$43,$H$43%,$H$44%))))))</f>
        <v>0.25</v>
      </c>
      <c r="L33" t="str">
        <f>G33</f>
        <v>partner da-9</v>
      </c>
      <c r="M33">
        <v>9</v>
      </c>
      <c r="N33" s="2">
        <f>IF(M33=9,20%,IF(N32&lt;$G$39,$H$39%,IF(N32&lt;$G$40,$H$40%,IF(N32&lt;$G$41,$H$41%,IF(N32&lt;$G$42,$H$42%,IF(N32&lt;$G$43,$H$43%,$H$44%))))))</f>
        <v>0.2</v>
      </c>
      <c r="Q33" t="str">
        <f>L33</f>
        <v>partner da-9</v>
      </c>
      <c r="R33">
        <v>0</v>
      </c>
      <c r="S33" s="2">
        <f>IF(R33=9,20%,IF(S32&lt;$G$39,$H$39%,IF(S32&lt;$G$40,$H$40%,IF(S32&lt;$G$41,$H$41%,IF(S32&lt;$G$42,$H$42%,IF(S32&lt;$G$43,$H$43%,$H$44%))))))</f>
        <v>0.05</v>
      </c>
    </row>
    <row r="34" spans="1:19" x14ac:dyDescent="0.35">
      <c r="C34" s="3" t="s">
        <v>17</v>
      </c>
      <c r="D34" s="7">
        <f>D32-D33*D32</f>
        <v>304.44000000000005</v>
      </c>
      <c r="G34" s="3"/>
      <c r="H34" s="3" t="s">
        <v>17</v>
      </c>
      <c r="I34" s="7">
        <f>I32-I33*I32</f>
        <v>468</v>
      </c>
      <c r="M34" s="3" t="s">
        <v>17</v>
      </c>
      <c r="N34" s="7">
        <f>N32-N33*N32</f>
        <v>357.34399999999999</v>
      </c>
      <c r="R34" s="3" t="s">
        <v>17</v>
      </c>
      <c r="S34" s="7">
        <f>S32-S33*S32</f>
        <v>116.01400000000001</v>
      </c>
    </row>
    <row r="38" spans="1:19" x14ac:dyDescent="0.35">
      <c r="B38" t="s">
        <v>2</v>
      </c>
      <c r="C38">
        <v>20</v>
      </c>
      <c r="G38" t="s">
        <v>7</v>
      </c>
      <c r="H38" s="1"/>
      <c r="K38">
        <v>0</v>
      </c>
      <c r="L38" t="s">
        <v>11</v>
      </c>
      <c r="M38">
        <v>0</v>
      </c>
    </row>
    <row r="39" spans="1:19" x14ac:dyDescent="0.35">
      <c r="B39" t="s">
        <v>20</v>
      </c>
      <c r="C39">
        <v>15</v>
      </c>
      <c r="F39">
        <v>1</v>
      </c>
      <c r="G39">
        <v>121</v>
      </c>
      <c r="H39">
        <v>0</v>
      </c>
      <c r="K39">
        <v>1</v>
      </c>
      <c r="L39" t="s">
        <v>13</v>
      </c>
      <c r="M39">
        <v>10</v>
      </c>
    </row>
    <row r="40" spans="1:19" x14ac:dyDescent="0.35">
      <c r="F40">
        <v>2</v>
      </c>
      <c r="G40">
        <v>171</v>
      </c>
      <c r="H40">
        <v>5</v>
      </c>
      <c r="K40">
        <v>2</v>
      </c>
      <c r="L40" t="s">
        <v>14</v>
      </c>
      <c r="M40">
        <v>20</v>
      </c>
    </row>
    <row r="41" spans="1:19" x14ac:dyDescent="0.35">
      <c r="A41">
        <v>0</v>
      </c>
      <c r="B41" t="s">
        <v>16</v>
      </c>
      <c r="C41">
        <v>0</v>
      </c>
      <c r="F41">
        <v>3</v>
      </c>
      <c r="G41">
        <v>201</v>
      </c>
      <c r="H41">
        <v>10</v>
      </c>
    </row>
    <row r="42" spans="1:19" x14ac:dyDescent="0.35">
      <c r="A42">
        <v>1</v>
      </c>
      <c r="B42" t="s">
        <v>3</v>
      </c>
      <c r="C42">
        <v>0.08</v>
      </c>
      <c r="F42">
        <v>4</v>
      </c>
      <c r="G42">
        <v>301</v>
      </c>
      <c r="H42">
        <v>15</v>
      </c>
      <c r="L42" t="s">
        <v>0</v>
      </c>
    </row>
    <row r="43" spans="1:19" x14ac:dyDescent="0.35">
      <c r="A43">
        <v>2</v>
      </c>
      <c r="B43" t="s">
        <v>4</v>
      </c>
      <c r="C43">
        <v>0.11</v>
      </c>
      <c r="F43">
        <v>5</v>
      </c>
      <c r="G43">
        <v>401</v>
      </c>
      <c r="H43">
        <v>20</v>
      </c>
      <c r="K43">
        <v>1</v>
      </c>
      <c r="L43" t="s">
        <v>6</v>
      </c>
      <c r="M43">
        <v>20</v>
      </c>
    </row>
    <row r="44" spans="1:19" x14ac:dyDescent="0.35">
      <c r="A44">
        <v>3</v>
      </c>
      <c r="B44" t="s">
        <v>22</v>
      </c>
      <c r="C44">
        <v>0.17</v>
      </c>
      <c r="F44">
        <v>6</v>
      </c>
      <c r="G44" t="s">
        <v>19</v>
      </c>
      <c r="H44">
        <v>25</v>
      </c>
      <c r="K44">
        <v>2</v>
      </c>
      <c r="L44" t="s">
        <v>23</v>
      </c>
      <c r="M44">
        <v>40</v>
      </c>
    </row>
    <row r="45" spans="1:19" x14ac:dyDescent="0.35">
      <c r="A45">
        <v>4</v>
      </c>
      <c r="B45" t="s">
        <v>5</v>
      </c>
      <c r="C45">
        <v>0.3</v>
      </c>
      <c r="F45">
        <v>9</v>
      </c>
      <c r="G45" t="s">
        <v>8</v>
      </c>
      <c r="H45">
        <v>21</v>
      </c>
      <c r="K45">
        <v>3</v>
      </c>
      <c r="L45" t="s">
        <v>24</v>
      </c>
      <c r="M45">
        <v>0.45</v>
      </c>
    </row>
    <row r="47" spans="1:19" x14ac:dyDescent="0.35">
      <c r="C47" s="1"/>
    </row>
    <row r="48" spans="1:19" x14ac:dyDescent="0.35">
      <c r="C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tabSelected="1" topLeftCell="A69" workbookViewId="0">
      <selection activeCell="G82" sqref="G82"/>
    </sheetView>
  </sheetViews>
  <sheetFormatPr defaultRowHeight="14.5" x14ac:dyDescent="0.35"/>
  <cols>
    <col min="1" max="1" width="14.81640625" customWidth="1"/>
    <col min="3" max="3" width="6.453125" customWidth="1"/>
    <col min="4" max="4" width="12" bestFit="1" customWidth="1"/>
    <col min="5" max="5" width="11.1796875" customWidth="1"/>
    <col min="6" max="6" width="12.1796875" customWidth="1"/>
    <col min="7" max="7" width="11.1796875" customWidth="1"/>
    <col min="8" max="8" width="13" customWidth="1"/>
    <col min="9" max="9" width="11" bestFit="1" customWidth="1"/>
    <col min="10" max="16" width="11.1796875" bestFit="1" customWidth="1"/>
    <col min="17" max="17" width="11.1796875" style="18" bestFit="1" customWidth="1"/>
    <col min="18" max="20" width="11.1796875" bestFit="1" customWidth="1"/>
    <col min="21" max="21" width="12.7265625" customWidth="1"/>
  </cols>
  <sheetData>
    <row r="1" spans="1:21" x14ac:dyDescent="0.35">
      <c r="B1" t="s">
        <v>28</v>
      </c>
    </row>
    <row r="2" spans="1:21" x14ac:dyDescent="0.35">
      <c r="A2" t="s">
        <v>29</v>
      </c>
      <c r="C2">
        <v>2600</v>
      </c>
      <c r="D2" t="s">
        <v>28</v>
      </c>
      <c r="G2" s="3" t="s">
        <v>38</v>
      </c>
      <c r="H2" s="14">
        <v>500</v>
      </c>
      <c r="K2" s="3" t="s">
        <v>39</v>
      </c>
      <c r="L2" s="15">
        <v>2.2000000000000002</v>
      </c>
      <c r="O2" s="3" t="s">
        <v>32</v>
      </c>
      <c r="P2" s="14">
        <v>3</v>
      </c>
    </row>
    <row r="3" spans="1:21" x14ac:dyDescent="0.35">
      <c r="K3" s="3" t="s">
        <v>42</v>
      </c>
      <c r="L3">
        <v>142</v>
      </c>
    </row>
    <row r="4" spans="1:21" x14ac:dyDescent="0.35">
      <c r="M4" t="s">
        <v>33</v>
      </c>
    </row>
    <row r="5" spans="1:21" x14ac:dyDescent="0.35">
      <c r="A5" s="8"/>
      <c r="B5" s="8"/>
      <c r="C5" s="3" t="s">
        <v>37</v>
      </c>
      <c r="D5" s="9">
        <v>1</v>
      </c>
      <c r="E5">
        <v>0.5</v>
      </c>
      <c r="F5">
        <v>0.5</v>
      </c>
      <c r="G5">
        <v>0.5</v>
      </c>
      <c r="H5">
        <v>0.75</v>
      </c>
      <c r="I5">
        <v>1</v>
      </c>
      <c r="J5">
        <v>1</v>
      </c>
      <c r="K5">
        <v>1.25</v>
      </c>
      <c r="L5">
        <v>1.25</v>
      </c>
      <c r="M5">
        <v>1.5</v>
      </c>
      <c r="N5">
        <v>1.5</v>
      </c>
      <c r="O5">
        <v>1.75</v>
      </c>
      <c r="P5">
        <v>1.75</v>
      </c>
      <c r="Q5" s="18">
        <v>2</v>
      </c>
      <c r="R5">
        <v>2</v>
      </c>
      <c r="S5">
        <v>2.25</v>
      </c>
      <c r="T5">
        <v>2.25</v>
      </c>
      <c r="U5">
        <v>2.5</v>
      </c>
    </row>
    <row r="6" spans="1:21" x14ac:dyDescent="0.35">
      <c r="A6" s="8"/>
      <c r="B6" s="8"/>
      <c r="D6" s="9">
        <v>1</v>
      </c>
      <c r="E6">
        <v>0.5</v>
      </c>
      <c r="F6">
        <v>0.75</v>
      </c>
      <c r="G6">
        <v>1</v>
      </c>
      <c r="H6">
        <v>1</v>
      </c>
      <c r="I6">
        <v>1</v>
      </c>
      <c r="J6">
        <v>1.25</v>
      </c>
      <c r="K6">
        <v>1.25</v>
      </c>
      <c r="L6">
        <v>1.5</v>
      </c>
      <c r="M6">
        <v>1.5</v>
      </c>
      <c r="N6">
        <v>1.75</v>
      </c>
      <c r="O6">
        <v>1.75</v>
      </c>
      <c r="P6">
        <v>2</v>
      </c>
      <c r="Q6" s="18">
        <v>2</v>
      </c>
      <c r="R6">
        <v>2.25</v>
      </c>
      <c r="S6">
        <v>2.25</v>
      </c>
      <c r="T6">
        <v>2.5</v>
      </c>
      <c r="U6">
        <v>2.5</v>
      </c>
    </row>
    <row r="7" spans="1:21" x14ac:dyDescent="0.35">
      <c r="A7" s="8"/>
      <c r="B7" s="8"/>
      <c r="D7">
        <f>D5*D6</f>
        <v>1</v>
      </c>
      <c r="E7">
        <f>E6*E5</f>
        <v>0.25</v>
      </c>
      <c r="F7">
        <f t="shared" ref="F7:U7" si="0">F6*F5</f>
        <v>0.375</v>
      </c>
      <c r="G7">
        <f t="shared" si="0"/>
        <v>0.5</v>
      </c>
      <c r="H7">
        <f t="shared" si="0"/>
        <v>0.75</v>
      </c>
      <c r="I7">
        <f t="shared" si="0"/>
        <v>1</v>
      </c>
      <c r="J7">
        <f t="shared" si="0"/>
        <v>1.25</v>
      </c>
      <c r="K7">
        <f t="shared" si="0"/>
        <v>1.5625</v>
      </c>
      <c r="L7">
        <f t="shared" si="0"/>
        <v>1.875</v>
      </c>
      <c r="M7">
        <f t="shared" si="0"/>
        <v>2.25</v>
      </c>
      <c r="N7">
        <f t="shared" si="0"/>
        <v>2.625</v>
      </c>
      <c r="O7">
        <f t="shared" si="0"/>
        <v>3.0625</v>
      </c>
      <c r="P7">
        <f t="shared" si="0"/>
        <v>3.5</v>
      </c>
      <c r="Q7" s="18">
        <f t="shared" si="0"/>
        <v>4</v>
      </c>
      <c r="R7">
        <f t="shared" si="0"/>
        <v>4.5</v>
      </c>
      <c r="S7">
        <f t="shared" si="0"/>
        <v>5.0625</v>
      </c>
      <c r="T7">
        <f t="shared" si="0"/>
        <v>5.625</v>
      </c>
      <c r="U7">
        <f t="shared" si="0"/>
        <v>6.25</v>
      </c>
    </row>
    <row r="8" spans="1:21" x14ac:dyDescent="0.35">
      <c r="A8" s="8" t="s">
        <v>30</v>
      </c>
      <c r="B8" s="8" t="s">
        <v>31</v>
      </c>
    </row>
    <row r="9" spans="1:21" x14ac:dyDescent="0.35">
      <c r="A9" s="10">
        <v>35</v>
      </c>
      <c r="B9">
        <f>A9*$C$2/100</f>
        <v>910</v>
      </c>
      <c r="D9">
        <f>D7*A9/100*C2</f>
        <v>909.99999999999989</v>
      </c>
    </row>
    <row r="10" spans="1:21" x14ac:dyDescent="0.35">
      <c r="A10" s="8">
        <v>20</v>
      </c>
      <c r="B10">
        <f>A10*$C$2/100</f>
        <v>520</v>
      </c>
      <c r="E10">
        <f>E$7*$A$10/100*$C$2</f>
        <v>130</v>
      </c>
      <c r="F10">
        <f t="shared" ref="F10:U10" si="1">F$7*$A$10/100*$C$2</f>
        <v>195</v>
      </c>
      <c r="G10">
        <f t="shared" si="1"/>
        <v>260</v>
      </c>
      <c r="H10">
        <f t="shared" si="1"/>
        <v>390</v>
      </c>
      <c r="I10">
        <f t="shared" si="1"/>
        <v>520</v>
      </c>
      <c r="J10">
        <f t="shared" si="1"/>
        <v>650</v>
      </c>
      <c r="K10">
        <f t="shared" si="1"/>
        <v>812.5</v>
      </c>
      <c r="L10">
        <f t="shared" si="1"/>
        <v>975</v>
      </c>
      <c r="M10">
        <f t="shared" si="1"/>
        <v>1170</v>
      </c>
      <c r="N10">
        <f t="shared" si="1"/>
        <v>1365</v>
      </c>
      <c r="O10">
        <f t="shared" si="1"/>
        <v>1592.5000000000002</v>
      </c>
      <c r="P10">
        <f t="shared" si="1"/>
        <v>1819.9999999999998</v>
      </c>
      <c r="Q10" s="18">
        <f t="shared" si="1"/>
        <v>2080</v>
      </c>
      <c r="R10">
        <f t="shared" si="1"/>
        <v>2340</v>
      </c>
      <c r="S10">
        <f t="shared" si="1"/>
        <v>2632.5</v>
      </c>
      <c r="T10">
        <f t="shared" si="1"/>
        <v>2925</v>
      </c>
      <c r="U10">
        <f t="shared" si="1"/>
        <v>3250</v>
      </c>
    </row>
    <row r="11" spans="1:21" x14ac:dyDescent="0.35">
      <c r="A11" s="8">
        <v>25</v>
      </c>
      <c r="B11">
        <f>A11*$C$2/100</f>
        <v>650</v>
      </c>
      <c r="E11">
        <f>E$7*$A$11/100*$C$2</f>
        <v>162.5</v>
      </c>
      <c r="F11">
        <f t="shared" ref="F11:U11" si="2">F$7*$A$11/100*$C$2</f>
        <v>243.75</v>
      </c>
      <c r="G11">
        <f t="shared" si="2"/>
        <v>325</v>
      </c>
      <c r="H11">
        <f t="shared" si="2"/>
        <v>487.5</v>
      </c>
      <c r="I11">
        <f t="shared" si="2"/>
        <v>650</v>
      </c>
      <c r="J11">
        <f t="shared" si="2"/>
        <v>812.5</v>
      </c>
      <c r="K11">
        <f t="shared" si="2"/>
        <v>1015.625</v>
      </c>
      <c r="L11">
        <f t="shared" si="2"/>
        <v>1218.75</v>
      </c>
      <c r="M11">
        <f t="shared" si="2"/>
        <v>1462.5</v>
      </c>
      <c r="N11">
        <f t="shared" si="2"/>
        <v>1706.25</v>
      </c>
      <c r="O11">
        <f t="shared" si="2"/>
        <v>1990.625</v>
      </c>
      <c r="P11">
        <f t="shared" si="2"/>
        <v>2275</v>
      </c>
      <c r="Q11" s="18">
        <f t="shared" si="2"/>
        <v>2600</v>
      </c>
      <c r="R11">
        <f t="shared" si="2"/>
        <v>2925</v>
      </c>
      <c r="S11">
        <f t="shared" si="2"/>
        <v>3290.625</v>
      </c>
      <c r="T11">
        <f t="shared" si="2"/>
        <v>3656.25</v>
      </c>
      <c r="U11">
        <f t="shared" si="2"/>
        <v>4062.5</v>
      </c>
    </row>
    <row r="12" spans="1:21" x14ac:dyDescent="0.35">
      <c r="A12" s="8">
        <v>30</v>
      </c>
      <c r="B12">
        <f>A12*$C$2/100</f>
        <v>780</v>
      </c>
      <c r="E12">
        <f>E$7*$A$12/100*$C$2</f>
        <v>195</v>
      </c>
      <c r="F12">
        <f t="shared" ref="F12:U12" si="3">F$7*$A$12/100*$C$2</f>
        <v>292.5</v>
      </c>
      <c r="G12">
        <f>G$7*$A$12/100*$C$2</f>
        <v>390</v>
      </c>
      <c r="H12">
        <f t="shared" si="3"/>
        <v>585</v>
      </c>
      <c r="I12">
        <f t="shared" si="3"/>
        <v>780</v>
      </c>
      <c r="J12">
        <f t="shared" si="3"/>
        <v>975</v>
      </c>
      <c r="K12">
        <f t="shared" si="3"/>
        <v>1218.75</v>
      </c>
      <c r="L12">
        <f t="shared" si="3"/>
        <v>1462.5</v>
      </c>
      <c r="M12">
        <f t="shared" si="3"/>
        <v>1755.0000000000002</v>
      </c>
      <c r="N12">
        <f t="shared" si="3"/>
        <v>2047.5</v>
      </c>
      <c r="O12">
        <f t="shared" si="3"/>
        <v>2388.75</v>
      </c>
      <c r="P12">
        <f t="shared" si="3"/>
        <v>2730</v>
      </c>
      <c r="Q12" s="18">
        <f t="shared" si="3"/>
        <v>3120</v>
      </c>
      <c r="R12">
        <f t="shared" si="3"/>
        <v>3510.0000000000005</v>
      </c>
      <c r="S12">
        <f t="shared" si="3"/>
        <v>3948.75</v>
      </c>
      <c r="T12">
        <f t="shared" si="3"/>
        <v>4387.5</v>
      </c>
      <c r="U12">
        <f t="shared" si="3"/>
        <v>4875</v>
      </c>
    </row>
    <row r="13" spans="1:21" x14ac:dyDescent="0.35">
      <c r="A13" s="8">
        <v>35</v>
      </c>
      <c r="B13">
        <f>A13*$C$2/100</f>
        <v>910</v>
      </c>
      <c r="E13">
        <f>E$7*$A$13/100*$C$2</f>
        <v>227.49999999999997</v>
      </c>
      <c r="F13">
        <f t="shared" ref="F13:U13" si="4">F$7*$A$13/100*$C$2</f>
        <v>341.25</v>
      </c>
      <c r="G13">
        <f t="shared" si="4"/>
        <v>454.99999999999994</v>
      </c>
      <c r="H13">
        <f t="shared" si="4"/>
        <v>682.5</v>
      </c>
      <c r="I13">
        <f t="shared" si="4"/>
        <v>909.99999999999989</v>
      </c>
      <c r="J13">
        <f t="shared" si="4"/>
        <v>1137.5</v>
      </c>
      <c r="K13">
        <f t="shared" si="4"/>
        <v>1421.875</v>
      </c>
      <c r="L13">
        <f t="shared" si="4"/>
        <v>1706.25</v>
      </c>
      <c r="M13">
        <f t="shared" si="4"/>
        <v>2047.5</v>
      </c>
      <c r="N13">
        <f t="shared" si="4"/>
        <v>2388.75</v>
      </c>
      <c r="O13">
        <f t="shared" si="4"/>
        <v>2786.8749999999995</v>
      </c>
      <c r="P13">
        <f t="shared" si="4"/>
        <v>3185.0000000000005</v>
      </c>
      <c r="Q13" s="18">
        <f t="shared" si="4"/>
        <v>3639.9999999999995</v>
      </c>
      <c r="R13">
        <f t="shared" si="4"/>
        <v>4095</v>
      </c>
      <c r="S13">
        <f t="shared" si="4"/>
        <v>4606.875</v>
      </c>
      <c r="T13">
        <f t="shared" si="4"/>
        <v>5118.75</v>
      </c>
      <c r="U13">
        <f t="shared" si="4"/>
        <v>5687.5</v>
      </c>
    </row>
    <row r="16" spans="1:21" x14ac:dyDescent="0.35">
      <c r="D16" t="s">
        <v>43</v>
      </c>
    </row>
    <row r="17" spans="1:21" x14ac:dyDescent="0.35">
      <c r="A17" s="25">
        <f>A9</f>
        <v>35</v>
      </c>
      <c r="D17" s="9">
        <v>3</v>
      </c>
    </row>
    <row r="18" spans="1:21" x14ac:dyDescent="0.35">
      <c r="A18" s="8">
        <f>A10</f>
        <v>20</v>
      </c>
      <c r="E18" s="13">
        <v>2</v>
      </c>
      <c r="F18" s="13">
        <v>2</v>
      </c>
      <c r="G18" s="13">
        <v>2</v>
      </c>
      <c r="H18" s="13">
        <v>3</v>
      </c>
      <c r="I18" s="13">
        <v>4</v>
      </c>
      <c r="J18" s="13">
        <v>4</v>
      </c>
      <c r="K18" s="13">
        <v>5</v>
      </c>
      <c r="L18" s="13">
        <v>5</v>
      </c>
      <c r="M18" s="13">
        <v>6</v>
      </c>
      <c r="N18" s="13">
        <v>6</v>
      </c>
      <c r="O18" s="13">
        <v>7</v>
      </c>
      <c r="P18" s="13">
        <v>7</v>
      </c>
      <c r="Q18" s="19">
        <v>8</v>
      </c>
      <c r="R18" s="13">
        <v>8</v>
      </c>
      <c r="S18" s="13">
        <v>9</v>
      </c>
      <c r="T18" s="13">
        <v>9</v>
      </c>
      <c r="U18" s="13">
        <v>10</v>
      </c>
    </row>
    <row r="19" spans="1:21" x14ac:dyDescent="0.35">
      <c r="A19" s="8">
        <f t="shared" ref="A19:A21" si="5">A11</f>
        <v>25</v>
      </c>
      <c r="E19" s="13">
        <v>2</v>
      </c>
      <c r="F19" s="13">
        <v>2</v>
      </c>
      <c r="G19" s="13">
        <v>2</v>
      </c>
      <c r="H19" s="13">
        <v>3</v>
      </c>
      <c r="I19" s="13">
        <v>4</v>
      </c>
      <c r="J19" s="13">
        <v>4</v>
      </c>
      <c r="K19" s="13">
        <v>5</v>
      </c>
      <c r="L19" s="13">
        <v>6</v>
      </c>
      <c r="M19" s="13">
        <v>6</v>
      </c>
      <c r="N19" s="13">
        <v>6</v>
      </c>
      <c r="O19" s="13">
        <v>8</v>
      </c>
      <c r="P19" s="13">
        <v>8</v>
      </c>
      <c r="Q19" s="19">
        <v>8</v>
      </c>
      <c r="R19" s="13">
        <v>8</v>
      </c>
      <c r="S19" s="13">
        <v>9</v>
      </c>
      <c r="T19" s="13">
        <v>10</v>
      </c>
      <c r="U19" s="13">
        <v>10</v>
      </c>
    </row>
    <row r="20" spans="1:21" x14ac:dyDescent="0.35">
      <c r="A20" s="8">
        <f t="shared" si="5"/>
        <v>30</v>
      </c>
      <c r="E20" s="13">
        <v>2</v>
      </c>
      <c r="F20" s="13">
        <v>2</v>
      </c>
      <c r="G20" s="13">
        <v>2</v>
      </c>
      <c r="H20" s="13">
        <v>3</v>
      </c>
      <c r="I20" s="13">
        <v>4</v>
      </c>
      <c r="J20" s="13">
        <v>5</v>
      </c>
      <c r="K20" s="13">
        <v>5</v>
      </c>
      <c r="L20" s="13">
        <v>6</v>
      </c>
      <c r="M20" s="13">
        <v>7</v>
      </c>
      <c r="N20" s="13">
        <v>7</v>
      </c>
      <c r="O20" s="13">
        <v>8</v>
      </c>
      <c r="P20" s="13">
        <v>8</v>
      </c>
      <c r="Q20" s="19">
        <v>9</v>
      </c>
      <c r="R20" s="13">
        <v>9</v>
      </c>
      <c r="S20" s="13">
        <v>10</v>
      </c>
      <c r="T20" s="13">
        <v>11</v>
      </c>
      <c r="U20" s="13">
        <v>11</v>
      </c>
    </row>
    <row r="21" spans="1:21" x14ac:dyDescent="0.35">
      <c r="A21" s="8">
        <f t="shared" si="5"/>
        <v>35</v>
      </c>
      <c r="E21" s="13">
        <v>2</v>
      </c>
      <c r="F21" s="13">
        <v>2</v>
      </c>
      <c r="G21" s="13">
        <v>2</v>
      </c>
      <c r="H21" s="13">
        <v>4</v>
      </c>
      <c r="I21" s="13">
        <v>5</v>
      </c>
      <c r="J21" s="13">
        <v>5</v>
      </c>
      <c r="K21" s="13">
        <v>5</v>
      </c>
      <c r="L21" s="13">
        <v>7</v>
      </c>
      <c r="M21" s="13">
        <v>7</v>
      </c>
      <c r="N21" s="13">
        <v>7</v>
      </c>
      <c r="O21" s="13">
        <v>9</v>
      </c>
      <c r="P21" s="13">
        <v>9</v>
      </c>
      <c r="Q21" s="19">
        <v>10</v>
      </c>
      <c r="R21" s="13">
        <v>10</v>
      </c>
      <c r="S21" s="13">
        <v>10</v>
      </c>
      <c r="T21" s="13">
        <v>11</v>
      </c>
      <c r="U21" s="13">
        <v>12</v>
      </c>
    </row>
    <row r="22" spans="1:21" x14ac:dyDescent="0.35">
      <c r="A22" s="8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9"/>
      <c r="R22" s="13"/>
      <c r="S22" s="13"/>
      <c r="T22" s="13"/>
      <c r="U22" s="13"/>
    </row>
    <row r="23" spans="1:21" x14ac:dyDescent="0.35">
      <c r="D23" s="16" t="s">
        <v>44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9"/>
      <c r="R23" s="13"/>
      <c r="S23" s="13"/>
      <c r="T23" s="13"/>
      <c r="U23" s="13"/>
    </row>
    <row r="24" spans="1:21" x14ac:dyDescent="0.35">
      <c r="A24" s="25">
        <f>A17</f>
        <v>35</v>
      </c>
      <c r="D24" s="9">
        <v>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9"/>
      <c r="R24" s="13"/>
      <c r="S24" s="13"/>
      <c r="T24" s="13"/>
      <c r="U24" s="13"/>
    </row>
    <row r="25" spans="1:21" x14ac:dyDescent="0.35">
      <c r="A25" s="8">
        <f>A18</f>
        <v>20</v>
      </c>
      <c r="E25" s="13">
        <v>2</v>
      </c>
      <c r="F25" s="13">
        <v>3</v>
      </c>
      <c r="G25" s="13">
        <v>3</v>
      </c>
      <c r="H25" s="13">
        <v>4</v>
      </c>
      <c r="I25" s="13">
        <v>4</v>
      </c>
      <c r="J25" s="13">
        <v>4</v>
      </c>
      <c r="K25" s="13">
        <v>5</v>
      </c>
      <c r="L25" s="13">
        <v>6</v>
      </c>
      <c r="M25" s="13">
        <v>6</v>
      </c>
      <c r="N25" s="13">
        <v>7</v>
      </c>
      <c r="O25" s="13">
        <v>7</v>
      </c>
      <c r="P25" s="13">
        <v>8</v>
      </c>
      <c r="Q25" s="19">
        <v>8</v>
      </c>
      <c r="R25" s="13">
        <v>9</v>
      </c>
      <c r="S25" s="13">
        <v>9</v>
      </c>
      <c r="T25" s="13">
        <v>10</v>
      </c>
      <c r="U25" s="13">
        <v>10</v>
      </c>
    </row>
    <row r="26" spans="1:21" x14ac:dyDescent="0.35">
      <c r="A26" s="8">
        <f>A19</f>
        <v>25</v>
      </c>
      <c r="E26" s="13">
        <v>2</v>
      </c>
      <c r="F26" s="13">
        <v>3</v>
      </c>
      <c r="G26" s="13">
        <v>4</v>
      </c>
      <c r="H26" s="13">
        <v>4</v>
      </c>
      <c r="I26" s="13">
        <v>4</v>
      </c>
      <c r="J26" s="13">
        <v>5</v>
      </c>
      <c r="K26" s="13">
        <v>6</v>
      </c>
      <c r="L26" s="13">
        <v>6</v>
      </c>
      <c r="M26" s="13">
        <v>7</v>
      </c>
      <c r="N26" s="13">
        <v>7</v>
      </c>
      <c r="O26" s="13">
        <v>8</v>
      </c>
      <c r="P26" s="13">
        <v>9</v>
      </c>
      <c r="Q26" s="19">
        <v>9</v>
      </c>
      <c r="R26" s="13">
        <v>9</v>
      </c>
      <c r="S26" s="13">
        <v>10</v>
      </c>
      <c r="T26" s="13">
        <v>10</v>
      </c>
      <c r="U26" s="13">
        <v>11</v>
      </c>
    </row>
    <row r="27" spans="1:21" x14ac:dyDescent="0.35">
      <c r="A27" s="8">
        <f>A20</f>
        <v>30</v>
      </c>
      <c r="E27" s="13">
        <v>3</v>
      </c>
      <c r="F27" s="13">
        <v>4</v>
      </c>
      <c r="G27" s="13">
        <v>5</v>
      </c>
      <c r="H27" s="13">
        <v>5</v>
      </c>
      <c r="I27" s="13">
        <v>5</v>
      </c>
      <c r="J27" s="13">
        <v>5</v>
      </c>
      <c r="K27" s="13">
        <v>7</v>
      </c>
      <c r="L27" s="13">
        <v>8</v>
      </c>
      <c r="M27" s="13">
        <v>7</v>
      </c>
      <c r="N27" s="13">
        <v>7</v>
      </c>
      <c r="O27" s="13">
        <v>9</v>
      </c>
      <c r="P27" s="13">
        <v>9</v>
      </c>
      <c r="Q27" s="19">
        <v>9</v>
      </c>
      <c r="R27" s="13">
        <v>9</v>
      </c>
      <c r="S27" s="13">
        <v>10</v>
      </c>
      <c r="T27" s="13">
        <v>11</v>
      </c>
      <c r="U27" s="13">
        <v>12</v>
      </c>
    </row>
    <row r="28" spans="1:21" x14ac:dyDescent="0.35">
      <c r="A28" s="8">
        <f>A21</f>
        <v>35</v>
      </c>
      <c r="E28" s="13">
        <v>3</v>
      </c>
      <c r="F28" s="13">
        <v>5</v>
      </c>
      <c r="G28" s="13">
        <v>5</v>
      </c>
      <c r="H28" s="13">
        <v>5</v>
      </c>
      <c r="I28" s="13">
        <v>5</v>
      </c>
      <c r="J28" s="13">
        <v>6</v>
      </c>
      <c r="K28" s="13">
        <v>8</v>
      </c>
      <c r="L28" s="13">
        <v>7</v>
      </c>
      <c r="M28" s="13">
        <v>8</v>
      </c>
      <c r="N28" s="13">
        <v>8</v>
      </c>
      <c r="O28" s="13">
        <v>9</v>
      </c>
      <c r="P28" s="13">
        <v>10</v>
      </c>
      <c r="Q28" s="19">
        <v>10</v>
      </c>
      <c r="R28" s="13">
        <v>10</v>
      </c>
      <c r="S28" s="13">
        <v>11</v>
      </c>
      <c r="T28" s="13">
        <v>12</v>
      </c>
      <c r="U28" s="13">
        <v>13</v>
      </c>
    </row>
    <row r="29" spans="1:21" x14ac:dyDescent="0.35">
      <c r="A29" s="8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9"/>
      <c r="R29" s="13"/>
      <c r="S29" s="13"/>
      <c r="T29" s="13"/>
      <c r="U29" s="13"/>
    </row>
    <row r="30" spans="1:21" x14ac:dyDescent="0.35">
      <c r="D30" t="s">
        <v>47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20"/>
      <c r="R30" s="8"/>
      <c r="S30" s="8"/>
      <c r="T30" s="8"/>
      <c r="U30" s="8"/>
    </row>
    <row r="31" spans="1:21" x14ac:dyDescent="0.35">
      <c r="A31" s="25">
        <f>A24</f>
        <v>35</v>
      </c>
      <c r="D31" s="12">
        <f>D9/(D17*D24)</f>
        <v>101.1111111111111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0"/>
      <c r="R31" s="8"/>
      <c r="S31" s="8"/>
      <c r="T31" s="8"/>
      <c r="U31" s="8"/>
    </row>
    <row r="32" spans="1:21" x14ac:dyDescent="0.35">
      <c r="A32" s="8">
        <f>A25</f>
        <v>20</v>
      </c>
      <c r="E32" s="12">
        <f t="shared" ref="E32:F35" si="6">E10/(E18*E25)</f>
        <v>32.5</v>
      </c>
      <c r="F32" s="12">
        <f t="shared" si="6"/>
        <v>32.5</v>
      </c>
      <c r="G32" s="12">
        <f t="shared" ref="G32:U32" si="7">G10/(G18*G25)</f>
        <v>43.333333333333336</v>
      </c>
      <c r="H32" s="12">
        <f t="shared" si="7"/>
        <v>32.5</v>
      </c>
      <c r="I32" s="12">
        <f t="shared" si="7"/>
        <v>32.5</v>
      </c>
      <c r="J32" s="12">
        <f t="shared" si="7"/>
        <v>40.625</v>
      </c>
      <c r="K32" s="12">
        <f t="shared" si="7"/>
        <v>32.5</v>
      </c>
      <c r="L32" s="12">
        <f t="shared" si="7"/>
        <v>32.5</v>
      </c>
      <c r="M32" s="12">
        <f t="shared" si="7"/>
        <v>32.5</v>
      </c>
      <c r="N32" s="12">
        <f t="shared" si="7"/>
        <v>32.5</v>
      </c>
      <c r="O32" s="12">
        <f t="shared" si="7"/>
        <v>32.500000000000007</v>
      </c>
      <c r="P32" s="12">
        <f t="shared" si="7"/>
        <v>32.499999999999993</v>
      </c>
      <c r="Q32" s="21">
        <f t="shared" si="7"/>
        <v>32.5</v>
      </c>
      <c r="R32" s="12">
        <f t="shared" si="7"/>
        <v>32.5</v>
      </c>
      <c r="S32" s="12">
        <f t="shared" si="7"/>
        <v>32.5</v>
      </c>
      <c r="T32" s="12">
        <f t="shared" si="7"/>
        <v>32.5</v>
      </c>
      <c r="U32" s="12">
        <f t="shared" si="7"/>
        <v>32.5</v>
      </c>
    </row>
    <row r="33" spans="1:21" x14ac:dyDescent="0.35">
      <c r="A33" s="8">
        <f>A26</f>
        <v>25</v>
      </c>
      <c r="E33" s="12">
        <f t="shared" si="6"/>
        <v>40.625</v>
      </c>
      <c r="F33" s="12">
        <f t="shared" si="6"/>
        <v>40.625</v>
      </c>
      <c r="G33" s="12">
        <f t="shared" ref="G33:U33" si="8">G11/(G19*G26)</f>
        <v>40.625</v>
      </c>
      <c r="H33" s="12">
        <f t="shared" si="8"/>
        <v>40.625</v>
      </c>
      <c r="I33" s="12">
        <f t="shared" si="8"/>
        <v>40.625</v>
      </c>
      <c r="J33" s="12">
        <f t="shared" si="8"/>
        <v>40.625</v>
      </c>
      <c r="K33" s="12">
        <f t="shared" si="8"/>
        <v>33.854166666666664</v>
      </c>
      <c r="L33" s="12">
        <f t="shared" si="8"/>
        <v>33.854166666666664</v>
      </c>
      <c r="M33" s="12">
        <f t="shared" si="8"/>
        <v>34.821428571428569</v>
      </c>
      <c r="N33" s="12">
        <f t="shared" si="8"/>
        <v>40.625</v>
      </c>
      <c r="O33" s="12">
        <f t="shared" si="8"/>
        <v>31.103515625</v>
      </c>
      <c r="P33" s="12">
        <f t="shared" si="8"/>
        <v>31.597222222222221</v>
      </c>
      <c r="Q33" s="21">
        <f t="shared" si="8"/>
        <v>36.111111111111114</v>
      </c>
      <c r="R33" s="12">
        <f t="shared" si="8"/>
        <v>40.625</v>
      </c>
      <c r="S33" s="12">
        <f t="shared" si="8"/>
        <v>36.5625</v>
      </c>
      <c r="T33" s="12">
        <f t="shared" si="8"/>
        <v>36.5625</v>
      </c>
      <c r="U33" s="12">
        <f t="shared" si="8"/>
        <v>36.93181818181818</v>
      </c>
    </row>
    <row r="34" spans="1:21" x14ac:dyDescent="0.35">
      <c r="A34" s="8">
        <f>A27</f>
        <v>30</v>
      </c>
      <c r="E34" s="12">
        <f t="shared" si="6"/>
        <v>32.5</v>
      </c>
      <c r="F34" s="12">
        <f t="shared" si="6"/>
        <v>36.5625</v>
      </c>
      <c r="G34" s="12">
        <f t="shared" ref="G34:T34" si="9">G12/(G20*G27)</f>
        <v>39</v>
      </c>
      <c r="H34" s="12">
        <f t="shared" si="9"/>
        <v>39</v>
      </c>
      <c r="I34" s="12">
        <f t="shared" si="9"/>
        <v>39</v>
      </c>
      <c r="J34" s="12">
        <f t="shared" si="9"/>
        <v>39</v>
      </c>
      <c r="K34" s="12">
        <f t="shared" si="9"/>
        <v>34.821428571428569</v>
      </c>
      <c r="L34" s="12">
        <f t="shared" si="9"/>
        <v>30.46875</v>
      </c>
      <c r="M34" s="12">
        <f t="shared" si="9"/>
        <v>35.816326530612251</v>
      </c>
      <c r="N34" s="12">
        <f t="shared" si="9"/>
        <v>41.785714285714285</v>
      </c>
      <c r="O34" s="12">
        <f t="shared" si="9"/>
        <v>33.177083333333336</v>
      </c>
      <c r="P34" s="12">
        <f t="shared" si="9"/>
        <v>37.916666666666664</v>
      </c>
      <c r="Q34" s="21">
        <f t="shared" si="9"/>
        <v>38.518518518518519</v>
      </c>
      <c r="R34" s="12">
        <f t="shared" si="9"/>
        <v>43.333333333333336</v>
      </c>
      <c r="S34" s="12">
        <f t="shared" si="9"/>
        <v>39.487499999999997</v>
      </c>
      <c r="T34" s="12">
        <f t="shared" si="9"/>
        <v>36.260330578512395</v>
      </c>
      <c r="U34" s="12">
        <f t="shared" ref="U34" si="10">U12/(U20*U27)</f>
        <v>36.93181818181818</v>
      </c>
    </row>
    <row r="35" spans="1:21" x14ac:dyDescent="0.35">
      <c r="A35" s="8">
        <f>A28</f>
        <v>35</v>
      </c>
      <c r="E35" s="12">
        <f t="shared" si="6"/>
        <v>37.916666666666664</v>
      </c>
      <c r="F35" s="12">
        <f t="shared" si="6"/>
        <v>34.125</v>
      </c>
      <c r="G35" s="12">
        <f t="shared" ref="G35:T35" si="11">G13/(G21*G28)</f>
        <v>45.499999999999993</v>
      </c>
      <c r="H35" s="12">
        <f t="shared" si="11"/>
        <v>34.125</v>
      </c>
      <c r="I35" s="12">
        <f t="shared" si="11"/>
        <v>36.4</v>
      </c>
      <c r="J35" s="12">
        <f t="shared" si="11"/>
        <v>37.916666666666664</v>
      </c>
      <c r="K35" s="12">
        <f t="shared" si="11"/>
        <v>35.546875</v>
      </c>
      <c r="L35" s="12">
        <f t="shared" si="11"/>
        <v>34.821428571428569</v>
      </c>
      <c r="M35" s="12">
        <f t="shared" si="11"/>
        <v>36.5625</v>
      </c>
      <c r="N35" s="12">
        <f t="shared" si="11"/>
        <v>42.65625</v>
      </c>
      <c r="O35" s="12">
        <f t="shared" si="11"/>
        <v>34.40586419753086</v>
      </c>
      <c r="P35" s="12">
        <f t="shared" si="11"/>
        <v>35.388888888888893</v>
      </c>
      <c r="Q35" s="21">
        <f t="shared" si="11"/>
        <v>36.4</v>
      </c>
      <c r="R35" s="12">
        <f t="shared" si="11"/>
        <v>40.950000000000003</v>
      </c>
      <c r="S35" s="12">
        <f t="shared" si="11"/>
        <v>41.88068181818182</v>
      </c>
      <c r="T35" s="12">
        <f t="shared" si="11"/>
        <v>38.778409090909093</v>
      </c>
      <c r="U35" s="12">
        <f t="shared" ref="U35" si="12">U13/(U21*U28)</f>
        <v>36.458333333333336</v>
      </c>
    </row>
    <row r="37" spans="1:21" x14ac:dyDescent="0.35">
      <c r="D37" t="s">
        <v>1</v>
      </c>
    </row>
    <row r="38" spans="1:21" x14ac:dyDescent="0.35">
      <c r="A38" s="25">
        <f>A31</f>
        <v>35</v>
      </c>
      <c r="D38" s="12">
        <f>(D17+1)*2+(D24-1)*2</f>
        <v>12</v>
      </c>
    </row>
    <row r="39" spans="1:21" x14ac:dyDescent="0.35">
      <c r="A39" s="8">
        <f>A32</f>
        <v>20</v>
      </c>
      <c r="E39" s="12">
        <f>(E18+1)*2+(E25-1)*2</f>
        <v>8</v>
      </c>
      <c r="F39" s="12">
        <f t="shared" ref="F39:U39" si="13">(F18+1)*2+(F25-1)*2</f>
        <v>10</v>
      </c>
      <c r="G39" s="12">
        <f t="shared" si="13"/>
        <v>10</v>
      </c>
      <c r="H39" s="12">
        <f t="shared" si="13"/>
        <v>14</v>
      </c>
      <c r="I39" s="12">
        <f t="shared" si="13"/>
        <v>16</v>
      </c>
      <c r="J39" s="12">
        <f t="shared" si="13"/>
        <v>16</v>
      </c>
      <c r="K39" s="12">
        <f t="shared" si="13"/>
        <v>20</v>
      </c>
      <c r="L39" s="12">
        <f t="shared" si="13"/>
        <v>22</v>
      </c>
      <c r="M39" s="12">
        <f t="shared" si="13"/>
        <v>24</v>
      </c>
      <c r="N39" s="12">
        <f t="shared" si="13"/>
        <v>26</v>
      </c>
      <c r="O39" s="12">
        <f t="shared" si="13"/>
        <v>28</v>
      </c>
      <c r="P39" s="12">
        <f t="shared" si="13"/>
        <v>30</v>
      </c>
      <c r="Q39" s="21">
        <f t="shared" si="13"/>
        <v>32</v>
      </c>
      <c r="R39" s="12">
        <f t="shared" si="13"/>
        <v>34</v>
      </c>
      <c r="S39" s="12">
        <f t="shared" si="13"/>
        <v>36</v>
      </c>
      <c r="T39" s="12">
        <f t="shared" si="13"/>
        <v>38</v>
      </c>
      <c r="U39" s="12">
        <f t="shared" si="13"/>
        <v>40</v>
      </c>
    </row>
    <row r="40" spans="1:21" x14ac:dyDescent="0.35">
      <c r="A40" s="8">
        <f t="shared" ref="A40:A42" si="14">A33</f>
        <v>25</v>
      </c>
      <c r="E40" s="12">
        <f>(E19+1)*2+(E26-1)*2</f>
        <v>8</v>
      </c>
      <c r="F40" s="12">
        <f t="shared" ref="F40:U40" si="15">(F19+1)*2+(F26-1)*2</f>
        <v>10</v>
      </c>
      <c r="G40" s="12">
        <f t="shared" si="15"/>
        <v>12</v>
      </c>
      <c r="H40" s="12">
        <f t="shared" si="15"/>
        <v>14</v>
      </c>
      <c r="I40" s="12">
        <f t="shared" si="15"/>
        <v>16</v>
      </c>
      <c r="J40" s="12">
        <f t="shared" si="15"/>
        <v>18</v>
      </c>
      <c r="K40" s="12">
        <f t="shared" si="15"/>
        <v>22</v>
      </c>
      <c r="L40" s="12">
        <f t="shared" si="15"/>
        <v>24</v>
      </c>
      <c r="M40" s="12">
        <f t="shared" si="15"/>
        <v>26</v>
      </c>
      <c r="N40" s="12">
        <f t="shared" si="15"/>
        <v>26</v>
      </c>
      <c r="O40" s="12">
        <f t="shared" si="15"/>
        <v>32</v>
      </c>
      <c r="P40" s="12">
        <f t="shared" si="15"/>
        <v>34</v>
      </c>
      <c r="Q40" s="21">
        <f t="shared" si="15"/>
        <v>34</v>
      </c>
      <c r="R40" s="12">
        <f t="shared" si="15"/>
        <v>34</v>
      </c>
      <c r="S40" s="12">
        <f t="shared" si="15"/>
        <v>38</v>
      </c>
      <c r="T40" s="12">
        <f t="shared" si="15"/>
        <v>40</v>
      </c>
      <c r="U40" s="12">
        <f t="shared" si="15"/>
        <v>42</v>
      </c>
    </row>
    <row r="41" spans="1:21" x14ac:dyDescent="0.35">
      <c r="A41" s="8">
        <f t="shared" si="14"/>
        <v>30</v>
      </c>
      <c r="E41" s="12">
        <f>(E20+1)*2+(E27-1)*2</f>
        <v>10</v>
      </c>
      <c r="F41" s="12">
        <f t="shared" ref="F41:U41" si="16">(F20+1)*2+(F27-1)*2</f>
        <v>12</v>
      </c>
      <c r="G41" s="12">
        <f t="shared" si="16"/>
        <v>14</v>
      </c>
      <c r="H41" s="12">
        <f t="shared" si="16"/>
        <v>16</v>
      </c>
      <c r="I41" s="12">
        <f t="shared" si="16"/>
        <v>18</v>
      </c>
      <c r="J41" s="12">
        <f t="shared" si="16"/>
        <v>20</v>
      </c>
      <c r="K41" s="12">
        <f t="shared" si="16"/>
        <v>24</v>
      </c>
      <c r="L41" s="12">
        <f t="shared" si="16"/>
        <v>28</v>
      </c>
      <c r="M41" s="12">
        <f t="shared" si="16"/>
        <v>28</v>
      </c>
      <c r="N41" s="12">
        <f t="shared" si="16"/>
        <v>28</v>
      </c>
      <c r="O41" s="12">
        <f t="shared" si="16"/>
        <v>34</v>
      </c>
      <c r="P41" s="12">
        <f t="shared" si="16"/>
        <v>34</v>
      </c>
      <c r="Q41" s="21">
        <f t="shared" si="16"/>
        <v>36</v>
      </c>
      <c r="R41" s="12">
        <f t="shared" si="16"/>
        <v>36</v>
      </c>
      <c r="S41" s="12">
        <f t="shared" si="16"/>
        <v>40</v>
      </c>
      <c r="T41" s="12">
        <f t="shared" si="16"/>
        <v>44</v>
      </c>
      <c r="U41" s="12">
        <f t="shared" si="16"/>
        <v>46</v>
      </c>
    </row>
    <row r="42" spans="1:21" x14ac:dyDescent="0.35">
      <c r="A42" s="8">
        <f t="shared" si="14"/>
        <v>35</v>
      </c>
      <c r="E42" s="12">
        <f>(E21+1)*2+(E28-1)*2</f>
        <v>10</v>
      </c>
      <c r="F42" s="12">
        <f t="shared" ref="F42:U42" si="17">(F21+1)*2+(F28-1)*2</f>
        <v>14</v>
      </c>
      <c r="G42" s="12">
        <f t="shared" si="17"/>
        <v>14</v>
      </c>
      <c r="H42" s="12">
        <f t="shared" si="17"/>
        <v>18</v>
      </c>
      <c r="I42" s="12">
        <f t="shared" si="17"/>
        <v>20</v>
      </c>
      <c r="J42" s="12">
        <f t="shared" si="17"/>
        <v>22</v>
      </c>
      <c r="K42" s="12">
        <f t="shared" si="17"/>
        <v>26</v>
      </c>
      <c r="L42" s="12">
        <f t="shared" si="17"/>
        <v>28</v>
      </c>
      <c r="M42" s="12">
        <f t="shared" si="17"/>
        <v>30</v>
      </c>
      <c r="N42" s="12">
        <f t="shared" si="17"/>
        <v>30</v>
      </c>
      <c r="O42" s="12">
        <f t="shared" si="17"/>
        <v>36</v>
      </c>
      <c r="P42" s="12">
        <f t="shared" si="17"/>
        <v>38</v>
      </c>
      <c r="Q42" s="21">
        <f t="shared" si="17"/>
        <v>40</v>
      </c>
      <c r="R42" s="12">
        <f t="shared" si="17"/>
        <v>40</v>
      </c>
      <c r="S42" s="12">
        <f t="shared" si="17"/>
        <v>42</v>
      </c>
      <c r="T42" s="12">
        <f t="shared" si="17"/>
        <v>46</v>
      </c>
      <c r="U42" s="12">
        <f t="shared" si="17"/>
        <v>50</v>
      </c>
    </row>
    <row r="44" spans="1:21" x14ac:dyDescent="0.35">
      <c r="D44" t="s">
        <v>41</v>
      </c>
    </row>
    <row r="45" spans="1:21" x14ac:dyDescent="0.35">
      <c r="A45" s="25">
        <f>A17</f>
        <v>35</v>
      </c>
      <c r="D45" s="4">
        <f>$P$2*$A$45*((D17+1)*D5+(D24+1)*D6)</f>
        <v>840</v>
      </c>
    </row>
    <row r="46" spans="1:21" x14ac:dyDescent="0.35">
      <c r="A46" s="8">
        <f>A39</f>
        <v>20</v>
      </c>
      <c r="E46" s="4">
        <f>$P$2*$A$46*((E18+1)*E5+(E25+1)*E6)</f>
        <v>180</v>
      </c>
      <c r="F46" s="4">
        <f t="shared" ref="F46:U46" si="18">$P$2*$A$46*((F18+1)*F5+(F25+1)*F6)</f>
        <v>270</v>
      </c>
      <c r="G46" s="4">
        <f t="shared" si="18"/>
        <v>330</v>
      </c>
      <c r="H46" s="4">
        <f t="shared" si="18"/>
        <v>480</v>
      </c>
      <c r="I46" s="4">
        <f t="shared" si="18"/>
        <v>600</v>
      </c>
      <c r="J46" s="4">
        <f t="shared" si="18"/>
        <v>675</v>
      </c>
      <c r="K46" s="4">
        <f t="shared" si="18"/>
        <v>900</v>
      </c>
      <c r="L46" s="4">
        <f t="shared" si="18"/>
        <v>1080</v>
      </c>
      <c r="M46" s="4">
        <f t="shared" si="18"/>
        <v>1260</v>
      </c>
      <c r="N46" s="4">
        <f t="shared" si="18"/>
        <v>1470</v>
      </c>
      <c r="O46" s="4">
        <f t="shared" si="18"/>
        <v>1680</v>
      </c>
      <c r="P46" s="4">
        <f t="shared" si="18"/>
        <v>1920</v>
      </c>
      <c r="Q46" s="4">
        <f t="shared" si="18"/>
        <v>2160</v>
      </c>
      <c r="R46" s="4">
        <f t="shared" si="18"/>
        <v>2430</v>
      </c>
      <c r="S46" s="4">
        <f t="shared" si="18"/>
        <v>2700</v>
      </c>
      <c r="T46" s="4">
        <f t="shared" si="18"/>
        <v>3000</v>
      </c>
      <c r="U46" s="4">
        <f t="shared" si="18"/>
        <v>3300</v>
      </c>
    </row>
    <row r="47" spans="1:21" x14ac:dyDescent="0.35">
      <c r="A47" s="8">
        <f t="shared" ref="A47:A49" si="19">A40</f>
        <v>25</v>
      </c>
      <c r="E47" s="4">
        <f>$P$2*$A$47*((E19+1)*E5+(E26+1)*E6)</f>
        <v>225</v>
      </c>
      <c r="F47" s="4">
        <f t="shared" ref="F47:U47" si="20">$P$2*$A$47*((F19+1)*F5+(F26+1)*F6)</f>
        <v>337.5</v>
      </c>
      <c r="G47" s="4">
        <f t="shared" si="20"/>
        <v>487.5</v>
      </c>
      <c r="H47" s="4">
        <f t="shared" si="20"/>
        <v>600</v>
      </c>
      <c r="I47" s="4">
        <f t="shared" si="20"/>
        <v>750</v>
      </c>
      <c r="J47" s="4">
        <f t="shared" si="20"/>
        <v>937.5</v>
      </c>
      <c r="K47" s="4">
        <f t="shared" si="20"/>
        <v>1218.75</v>
      </c>
      <c r="L47" s="4">
        <f t="shared" si="20"/>
        <v>1443.75</v>
      </c>
      <c r="M47" s="4">
        <f t="shared" si="20"/>
        <v>1687.5</v>
      </c>
      <c r="N47" s="4">
        <f t="shared" si="20"/>
        <v>1837.5</v>
      </c>
      <c r="O47" s="4">
        <f t="shared" si="20"/>
        <v>2362.5</v>
      </c>
      <c r="P47" s="4">
        <f t="shared" si="20"/>
        <v>2681.25</v>
      </c>
      <c r="Q47" s="4">
        <f t="shared" si="20"/>
        <v>2850</v>
      </c>
      <c r="R47" s="4">
        <f t="shared" si="20"/>
        <v>3037.5</v>
      </c>
      <c r="S47" s="4">
        <f t="shared" si="20"/>
        <v>3543.75</v>
      </c>
      <c r="T47" s="4">
        <f t="shared" si="20"/>
        <v>3918.75</v>
      </c>
      <c r="U47" s="4">
        <f t="shared" si="20"/>
        <v>4312.5</v>
      </c>
    </row>
    <row r="48" spans="1:21" x14ac:dyDescent="0.35">
      <c r="A48" s="8">
        <f t="shared" si="19"/>
        <v>30</v>
      </c>
      <c r="E48" s="4">
        <f>$P$2*$A$48*((E20+1)*E5+(E27+1)*E6)</f>
        <v>315</v>
      </c>
      <c r="F48" s="4">
        <f t="shared" ref="F48:U48" si="21">$P$2*$A$48*((F20+1)*F5+(F27+1)*F6)</f>
        <v>472.5</v>
      </c>
      <c r="G48" s="4">
        <f t="shared" si="21"/>
        <v>675</v>
      </c>
      <c r="H48" s="4">
        <f t="shared" si="21"/>
        <v>810</v>
      </c>
      <c r="I48" s="4">
        <f t="shared" si="21"/>
        <v>990</v>
      </c>
      <c r="J48" s="4">
        <f t="shared" si="21"/>
        <v>1215</v>
      </c>
      <c r="K48" s="4">
        <f t="shared" si="21"/>
        <v>1575</v>
      </c>
      <c r="L48" s="4">
        <f t="shared" si="21"/>
        <v>2002.5</v>
      </c>
      <c r="M48" s="4">
        <f t="shared" si="21"/>
        <v>2160</v>
      </c>
      <c r="N48" s="4">
        <f t="shared" si="21"/>
        <v>2340</v>
      </c>
      <c r="O48" s="4">
        <f t="shared" si="21"/>
        <v>2992.5</v>
      </c>
      <c r="P48" s="4">
        <f t="shared" si="21"/>
        <v>3217.5</v>
      </c>
      <c r="Q48" s="4">
        <f t="shared" si="21"/>
        <v>3600</v>
      </c>
      <c r="R48" s="4">
        <f t="shared" si="21"/>
        <v>3825</v>
      </c>
      <c r="S48" s="4">
        <f t="shared" si="21"/>
        <v>4455</v>
      </c>
      <c r="T48" s="4">
        <f t="shared" si="21"/>
        <v>5130</v>
      </c>
      <c r="U48" s="4">
        <f t="shared" si="21"/>
        <v>5625</v>
      </c>
    </row>
    <row r="49" spans="1:21" x14ac:dyDescent="0.35">
      <c r="A49" s="8">
        <f t="shared" si="19"/>
        <v>35</v>
      </c>
      <c r="E49" s="4">
        <f>$P$2*$A$49*((E21+1)*E5+(E28+1)*E6)</f>
        <v>367.5</v>
      </c>
      <c r="F49" s="4">
        <f t="shared" ref="F49:U49" si="22">$P$2*$A$49*((F21+1)*F5+(F28+1)*F6)</f>
        <v>630</v>
      </c>
      <c r="G49" s="4">
        <f t="shared" si="22"/>
        <v>787.5</v>
      </c>
      <c r="H49" s="4">
        <f t="shared" si="22"/>
        <v>1023.75</v>
      </c>
      <c r="I49" s="4">
        <f t="shared" si="22"/>
        <v>1260</v>
      </c>
      <c r="J49" s="4">
        <f t="shared" si="22"/>
        <v>1548.75</v>
      </c>
      <c r="K49" s="4">
        <f t="shared" si="22"/>
        <v>1968.75</v>
      </c>
      <c r="L49" s="4">
        <f t="shared" si="22"/>
        <v>2310</v>
      </c>
      <c r="M49" s="4">
        <f t="shared" si="22"/>
        <v>2677.5</v>
      </c>
      <c r="N49" s="4">
        <f t="shared" si="22"/>
        <v>2913.75</v>
      </c>
      <c r="O49" s="4">
        <f t="shared" si="22"/>
        <v>3675</v>
      </c>
      <c r="P49" s="4">
        <f t="shared" si="22"/>
        <v>4147.5</v>
      </c>
      <c r="Q49" s="4">
        <f t="shared" si="22"/>
        <v>4620</v>
      </c>
      <c r="R49" s="4">
        <f t="shared" si="22"/>
        <v>4908.75</v>
      </c>
      <c r="S49" s="4">
        <f t="shared" si="22"/>
        <v>5433.75</v>
      </c>
      <c r="T49" s="4">
        <f t="shared" si="22"/>
        <v>6247.5</v>
      </c>
      <c r="U49" s="4">
        <f t="shared" si="22"/>
        <v>7087.5</v>
      </c>
    </row>
    <row r="51" spans="1:21" x14ac:dyDescent="0.35">
      <c r="A51" t="s">
        <v>40</v>
      </c>
    </row>
    <row r="52" spans="1:21" x14ac:dyDescent="0.35">
      <c r="A52" s="10">
        <f>A45</f>
        <v>35</v>
      </c>
      <c r="D52" s="15">
        <f>$A$53*D38*$L$2*$L$3/100</f>
        <v>749.76</v>
      </c>
    </row>
    <row r="53" spans="1:21" x14ac:dyDescent="0.35">
      <c r="A53" s="8">
        <f>A46</f>
        <v>20</v>
      </c>
      <c r="D53" s="15"/>
      <c r="E53" s="15">
        <f>$A$53*E39*$L$2*$L$3/100</f>
        <v>499.84</v>
      </c>
      <c r="F53" s="15">
        <f t="shared" ref="F53:T53" si="23">$A$53*F39*$L$2*$L$3/100</f>
        <v>624.80000000000007</v>
      </c>
      <c r="G53" s="15">
        <f t="shared" si="23"/>
        <v>624.80000000000007</v>
      </c>
      <c r="H53" s="15">
        <f t="shared" si="23"/>
        <v>874.72</v>
      </c>
      <c r="I53" s="15">
        <f t="shared" si="23"/>
        <v>999.68</v>
      </c>
      <c r="J53" s="15">
        <f t="shared" si="23"/>
        <v>999.68</v>
      </c>
      <c r="K53" s="15">
        <f t="shared" si="23"/>
        <v>1249.6000000000001</v>
      </c>
      <c r="L53" s="15">
        <f t="shared" si="23"/>
        <v>1374.5600000000004</v>
      </c>
      <c r="M53" s="15">
        <f t="shared" si="23"/>
        <v>1499.52</v>
      </c>
      <c r="N53" s="15">
        <f t="shared" si="23"/>
        <v>1624.48</v>
      </c>
      <c r="O53" s="15">
        <f t="shared" si="23"/>
        <v>1749.44</v>
      </c>
      <c r="P53" s="15">
        <f t="shared" si="23"/>
        <v>1874.4</v>
      </c>
      <c r="Q53" s="22">
        <f t="shared" si="23"/>
        <v>1999.36</v>
      </c>
      <c r="R53" s="15">
        <f t="shared" si="23"/>
        <v>2124.3200000000002</v>
      </c>
      <c r="S53" s="15">
        <f t="shared" si="23"/>
        <v>2249.2800000000002</v>
      </c>
      <c r="T53" s="15">
        <f t="shared" si="23"/>
        <v>2374.2400000000002</v>
      </c>
      <c r="U53" s="15">
        <f>$A$53*U39*$L$2*$L$3/100</f>
        <v>2499.2000000000003</v>
      </c>
    </row>
    <row r="54" spans="1:21" x14ac:dyDescent="0.35">
      <c r="A54" s="8">
        <f t="shared" ref="A54:A56" si="24">A47</f>
        <v>25</v>
      </c>
      <c r="D54" s="15"/>
      <c r="E54" s="15">
        <f>$A$54*E40*$L$2*$L$3/100</f>
        <v>624.80000000000007</v>
      </c>
      <c r="F54" s="15">
        <f t="shared" ref="F54:U54" si="25">$A$54*F40*$L$2*$L$3/100</f>
        <v>781</v>
      </c>
      <c r="G54" s="15">
        <f t="shared" si="25"/>
        <v>937.2</v>
      </c>
      <c r="H54" s="15">
        <f t="shared" si="25"/>
        <v>1093.4000000000001</v>
      </c>
      <c r="I54" s="15">
        <f t="shared" si="25"/>
        <v>1249.6000000000001</v>
      </c>
      <c r="J54" s="15">
        <f t="shared" si="25"/>
        <v>1405.8000000000002</v>
      </c>
      <c r="K54" s="15">
        <f t="shared" si="25"/>
        <v>1718.2</v>
      </c>
      <c r="L54" s="15">
        <f t="shared" si="25"/>
        <v>1874.4</v>
      </c>
      <c r="M54" s="15">
        <f t="shared" si="25"/>
        <v>2030.6000000000004</v>
      </c>
      <c r="N54" s="15">
        <f t="shared" si="25"/>
        <v>2030.6000000000004</v>
      </c>
      <c r="O54" s="15">
        <f t="shared" si="25"/>
        <v>2499.2000000000003</v>
      </c>
      <c r="P54" s="15">
        <f t="shared" si="25"/>
        <v>2655.4000000000005</v>
      </c>
      <c r="Q54" s="22">
        <f t="shared" si="25"/>
        <v>2655.4000000000005</v>
      </c>
      <c r="R54" s="15">
        <f t="shared" si="25"/>
        <v>2655.4000000000005</v>
      </c>
      <c r="S54" s="15">
        <f t="shared" si="25"/>
        <v>2967.8</v>
      </c>
      <c r="T54" s="15">
        <f t="shared" si="25"/>
        <v>3124</v>
      </c>
      <c r="U54" s="15">
        <f t="shared" si="25"/>
        <v>3280.2</v>
      </c>
    </row>
    <row r="55" spans="1:21" x14ac:dyDescent="0.35">
      <c r="A55" s="8">
        <f t="shared" si="24"/>
        <v>30</v>
      </c>
      <c r="D55" s="15"/>
      <c r="E55" s="15">
        <f>$A$55*E41*$L$2*$L$3/100</f>
        <v>937.2</v>
      </c>
      <c r="F55" s="15">
        <f t="shared" ref="F55:U55" si="26">$A$55*F41*$L$2*$L$3/100</f>
        <v>1124.6400000000001</v>
      </c>
      <c r="G55" s="15">
        <f t="shared" si="26"/>
        <v>1312.0800000000004</v>
      </c>
      <c r="H55" s="15">
        <f t="shared" si="26"/>
        <v>1499.52</v>
      </c>
      <c r="I55" s="15">
        <f t="shared" si="26"/>
        <v>1686.96</v>
      </c>
      <c r="J55" s="15">
        <f t="shared" si="26"/>
        <v>1874.4</v>
      </c>
      <c r="K55" s="15">
        <f t="shared" si="26"/>
        <v>2249.2800000000002</v>
      </c>
      <c r="L55" s="15">
        <f t="shared" si="26"/>
        <v>2624.1600000000008</v>
      </c>
      <c r="M55" s="15">
        <f t="shared" si="26"/>
        <v>2624.1600000000008</v>
      </c>
      <c r="N55" s="15">
        <f t="shared" si="26"/>
        <v>2624.1600000000008</v>
      </c>
      <c r="O55" s="15">
        <f t="shared" si="26"/>
        <v>3186.48</v>
      </c>
      <c r="P55" s="15">
        <f t="shared" si="26"/>
        <v>3186.48</v>
      </c>
      <c r="Q55" s="22">
        <f t="shared" si="26"/>
        <v>3373.92</v>
      </c>
      <c r="R55" s="15">
        <f t="shared" si="26"/>
        <v>3373.92</v>
      </c>
      <c r="S55" s="15">
        <f t="shared" si="26"/>
        <v>3748.8</v>
      </c>
      <c r="T55" s="15">
        <f t="shared" si="26"/>
        <v>4123.68</v>
      </c>
      <c r="U55" s="15">
        <f t="shared" si="26"/>
        <v>4311.1200000000008</v>
      </c>
    </row>
    <row r="56" spans="1:21" x14ac:dyDescent="0.35">
      <c r="A56" s="8">
        <f t="shared" si="24"/>
        <v>35</v>
      </c>
      <c r="D56" s="15"/>
      <c r="E56" s="15">
        <f>$A$56*E42*$L$2*$L$3/100</f>
        <v>1093.4000000000001</v>
      </c>
      <c r="F56" s="15">
        <f t="shared" ref="F56:U56" si="27">$A$56*F42*$L$2*$L$3/100</f>
        <v>1530.76</v>
      </c>
      <c r="G56" s="15">
        <f t="shared" si="27"/>
        <v>1530.76</v>
      </c>
      <c r="H56" s="15">
        <f t="shared" si="27"/>
        <v>1968.12</v>
      </c>
      <c r="I56" s="15">
        <f t="shared" si="27"/>
        <v>2186.8000000000002</v>
      </c>
      <c r="J56" s="15">
        <f t="shared" si="27"/>
        <v>2405.4800000000005</v>
      </c>
      <c r="K56" s="15">
        <f t="shared" si="27"/>
        <v>2842.8400000000006</v>
      </c>
      <c r="L56" s="15">
        <f t="shared" si="27"/>
        <v>3061.52</v>
      </c>
      <c r="M56" s="15">
        <f t="shared" si="27"/>
        <v>3280.2</v>
      </c>
      <c r="N56" s="15">
        <f t="shared" si="27"/>
        <v>3280.2</v>
      </c>
      <c r="O56" s="15">
        <f t="shared" si="27"/>
        <v>3936.24</v>
      </c>
      <c r="P56" s="15">
        <f t="shared" si="27"/>
        <v>4154.920000000001</v>
      </c>
      <c r="Q56" s="22">
        <f t="shared" si="27"/>
        <v>4373.6000000000004</v>
      </c>
      <c r="R56" s="15">
        <f t="shared" si="27"/>
        <v>4373.6000000000004</v>
      </c>
      <c r="S56" s="15">
        <f t="shared" si="27"/>
        <v>4592.2800000000007</v>
      </c>
      <c r="T56" s="15">
        <f t="shared" si="27"/>
        <v>5029.6400000000003</v>
      </c>
      <c r="U56" s="15">
        <f t="shared" si="27"/>
        <v>5467.0000000000009</v>
      </c>
    </row>
    <row r="61" spans="1:21" x14ac:dyDescent="0.35">
      <c r="D61" t="s">
        <v>48</v>
      </c>
      <c r="F61" s="11">
        <f>F62/2-SQRT((F62/2)*(F62/2)-F63*F63)</f>
        <v>135.42486889354092</v>
      </c>
    </row>
    <row r="62" spans="1:21" x14ac:dyDescent="0.35">
      <c r="D62" t="s">
        <v>45</v>
      </c>
      <c r="F62" s="9">
        <v>800</v>
      </c>
    </row>
    <row r="63" spans="1:21" x14ac:dyDescent="0.35">
      <c r="D63" t="s">
        <v>46</v>
      </c>
      <c r="F63" s="9">
        <v>300</v>
      </c>
    </row>
    <row r="67" spans="2:12" x14ac:dyDescent="0.35">
      <c r="F67" s="8" t="s">
        <v>35</v>
      </c>
      <c r="G67" s="8" t="s">
        <v>34</v>
      </c>
      <c r="H67" s="8" t="s">
        <v>36</v>
      </c>
    </row>
    <row r="68" spans="2:12" x14ac:dyDescent="0.35">
      <c r="E68" t="s">
        <v>52</v>
      </c>
      <c r="F68" s="24">
        <v>4</v>
      </c>
      <c r="G68" s="24">
        <f>2.25*2.25</f>
        <v>5.0625</v>
      </c>
      <c r="H68" s="24">
        <f>2.5*2.5</f>
        <v>6.25</v>
      </c>
    </row>
    <row r="69" spans="2:12" x14ac:dyDescent="0.35">
      <c r="B69" t="s">
        <v>54</v>
      </c>
      <c r="E69" t="s">
        <v>49</v>
      </c>
      <c r="F69" s="4">
        <f>Q46+$H$2</f>
        <v>2660</v>
      </c>
      <c r="G69" s="15">
        <f>S46+$H$2</f>
        <v>3200</v>
      </c>
      <c r="H69" s="4">
        <f>U46+$H$2</f>
        <v>3800</v>
      </c>
      <c r="J69" s="4"/>
      <c r="K69" s="15"/>
      <c r="L69" s="4"/>
    </row>
    <row r="70" spans="2:12" x14ac:dyDescent="0.35">
      <c r="B70" t="s">
        <v>56</v>
      </c>
      <c r="E70" t="s">
        <v>50</v>
      </c>
      <c r="F70" s="4">
        <f t="shared" ref="F70:F71" si="28">Q47+$H$2</f>
        <v>3350</v>
      </c>
      <c r="G70" s="15">
        <f>S47+$H$2</f>
        <v>4043.75</v>
      </c>
      <c r="H70" s="4">
        <f t="shared" ref="H70:H71" si="29">U47+$H$2</f>
        <v>4812.5</v>
      </c>
      <c r="J70" s="4"/>
      <c r="K70" s="15"/>
      <c r="L70" s="4"/>
    </row>
    <row r="71" spans="2:12" x14ac:dyDescent="0.35">
      <c r="E71" t="s">
        <v>51</v>
      </c>
      <c r="F71" s="4">
        <f t="shared" si="28"/>
        <v>4100</v>
      </c>
      <c r="G71" s="15">
        <f>S48+$H$2</f>
        <v>4955</v>
      </c>
      <c r="H71" s="4">
        <f t="shared" si="29"/>
        <v>6125</v>
      </c>
      <c r="J71" s="4"/>
      <c r="K71" s="15"/>
      <c r="L71" s="4"/>
    </row>
    <row r="73" spans="2:12" x14ac:dyDescent="0.35">
      <c r="E73" t="s">
        <v>53</v>
      </c>
    </row>
    <row r="74" spans="2:12" x14ac:dyDescent="0.35">
      <c r="E74" t="s">
        <v>49</v>
      </c>
      <c r="F74" s="8">
        <f>Q10</f>
        <v>2080</v>
      </c>
      <c r="G74" s="23">
        <f>S10</f>
        <v>2632.5</v>
      </c>
      <c r="H74" s="23">
        <f>U10</f>
        <v>3250</v>
      </c>
    </row>
    <row r="75" spans="2:12" x14ac:dyDescent="0.35">
      <c r="E75" t="s">
        <v>50</v>
      </c>
      <c r="F75" s="8">
        <f t="shared" ref="F75:F76" si="30">Q11</f>
        <v>2600</v>
      </c>
      <c r="G75" s="23">
        <f t="shared" ref="G75:G76" si="31">S11</f>
        <v>3290.625</v>
      </c>
      <c r="H75" s="23">
        <f t="shared" ref="H75:H76" si="32">U11</f>
        <v>4062.5</v>
      </c>
    </row>
    <row r="76" spans="2:12" x14ac:dyDescent="0.35">
      <c r="E76" t="s">
        <v>51</v>
      </c>
      <c r="F76" s="8">
        <f t="shared" si="30"/>
        <v>3120</v>
      </c>
      <c r="G76" s="23">
        <f t="shared" si="31"/>
        <v>3948.75</v>
      </c>
      <c r="H76" s="23">
        <f t="shared" si="32"/>
        <v>4875</v>
      </c>
    </row>
    <row r="78" spans="2:12" x14ac:dyDescent="0.35">
      <c r="D78" t="s">
        <v>55</v>
      </c>
    </row>
    <row r="80" spans="2:12" x14ac:dyDescent="0.35">
      <c r="B80" t="s">
        <v>59</v>
      </c>
      <c r="G80" s="17">
        <v>250</v>
      </c>
    </row>
    <row r="81" spans="2:7" x14ac:dyDescent="0.35">
      <c r="B81" t="s">
        <v>58</v>
      </c>
      <c r="G81" s="17">
        <f>8*35*P2</f>
        <v>840</v>
      </c>
    </row>
    <row r="82" spans="2:7" x14ac:dyDescent="0.35">
      <c r="B82" t="s">
        <v>57</v>
      </c>
      <c r="E82" s="4"/>
      <c r="G82" s="4">
        <f>(120*4+260*5)*0.2*P2</f>
        <v>1068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Bušenje</vt:lpstr>
      <vt:lpstr>Rezanje stropa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HT-ICT</cp:lastModifiedBy>
  <cp:lastPrinted>2026-08-31T16:08:40Z</cp:lastPrinted>
  <dcterms:created xsi:type="dcterms:W3CDTF">2026-08-28T08:27:59Z</dcterms:created>
  <dcterms:modified xsi:type="dcterms:W3CDTF">2026-08-31T21:58:29Z</dcterms:modified>
</cp:coreProperties>
</file>
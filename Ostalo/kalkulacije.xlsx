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GitHub\KalkulacijeGradjevina\Ostalo\"/>
    </mc:Choice>
  </mc:AlternateContent>
  <xr:revisionPtr revIDLastSave="0" documentId="13_ncr:1_{34E2A3CC-05F4-4804-B74F-D2DF317274A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Bušenje" sheetId="1" r:id="rId1"/>
    <sheet name="Rezanje strop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8" i="2" l="1"/>
  <c r="B18" i="2"/>
  <c r="P6" i="2"/>
  <c r="P8" i="2"/>
  <c r="H11" i="2"/>
  <c r="D60" i="2"/>
  <c r="H9" i="2"/>
  <c r="H12" i="2" s="1"/>
  <c r="D47" i="2"/>
  <c r="D40" i="2"/>
  <c r="D53" i="2"/>
  <c r="D25" i="2"/>
  <c r="D32" i="2"/>
  <c r="A17" i="2"/>
  <c r="C14" i="2"/>
  <c r="G91" i="2"/>
  <c r="G90" i="2"/>
  <c r="A54" i="2"/>
  <c r="H77" i="2" l="1"/>
  <c r="G77" i="2"/>
  <c r="H7" i="2"/>
  <c r="A30" i="2"/>
  <c r="A37" i="2" s="1"/>
  <c r="A44" i="2" s="1"/>
  <c r="A51" i="2" s="1"/>
  <c r="A58" i="2" s="1"/>
  <c r="A29" i="2"/>
  <c r="A36" i="2" s="1"/>
  <c r="A43" i="2" s="1"/>
  <c r="A50" i="2" s="1"/>
  <c r="A57" i="2" s="1"/>
  <c r="A28" i="2"/>
  <c r="A35" i="2" s="1"/>
  <c r="A42" i="2" s="1"/>
  <c r="A49" i="2" s="1"/>
  <c r="A56" i="2" s="1"/>
  <c r="A27" i="2"/>
  <c r="A34" i="2" s="1"/>
  <c r="A41" i="2" s="1"/>
  <c r="A48" i="2" s="1"/>
  <c r="A55" i="2" s="1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51" i="2"/>
  <c r="E50" i="2"/>
  <c r="E49" i="2"/>
  <c r="E48" i="2"/>
  <c r="D8" i="2"/>
  <c r="D12" i="2" s="1"/>
  <c r="H6" i="2" s="1"/>
  <c r="R16" i="2"/>
  <c r="U16" i="2"/>
  <c r="T16" i="2"/>
  <c r="S16" i="2"/>
  <c r="Q16" i="2"/>
  <c r="P16" i="2"/>
  <c r="O16" i="2"/>
  <c r="N16" i="2"/>
  <c r="M16" i="2"/>
  <c r="L16" i="2"/>
  <c r="K16" i="2"/>
  <c r="J16" i="2"/>
  <c r="I16" i="2"/>
  <c r="H16" i="2"/>
  <c r="G16" i="2"/>
  <c r="G21" i="2" s="1"/>
  <c r="F16" i="2"/>
  <c r="E16" i="2"/>
  <c r="B19" i="2"/>
  <c r="B22" i="2"/>
  <c r="B21" i="2"/>
  <c r="B20" i="2"/>
  <c r="D11" i="1"/>
  <c r="N28" i="1"/>
  <c r="S28" i="1"/>
  <c r="S19" i="1"/>
  <c r="N19" i="1"/>
  <c r="I19" i="1"/>
  <c r="I28" i="1"/>
  <c r="D28" i="1"/>
  <c r="D19" i="1"/>
  <c r="S10" i="1"/>
  <c r="N10" i="1"/>
  <c r="I10" i="1"/>
  <c r="D10" i="1"/>
  <c r="H12" i="1"/>
  <c r="M12" i="1" s="1"/>
  <c r="R12" i="1" s="1"/>
  <c r="R21" i="1"/>
  <c r="C21" i="1"/>
  <c r="C30" i="1" s="1"/>
  <c r="D9" i="1"/>
  <c r="B19" i="1"/>
  <c r="I18" i="1"/>
  <c r="D8" i="1"/>
  <c r="D27" i="1"/>
  <c r="I27" i="1"/>
  <c r="N27" i="1"/>
  <c r="S27" i="1"/>
  <c r="S18" i="1"/>
  <c r="N18" i="1"/>
  <c r="D18" i="1"/>
  <c r="B27" i="1"/>
  <c r="G27" i="1" s="1"/>
  <c r="L27" i="1" s="1"/>
  <c r="Q27" i="1" s="1"/>
  <c r="B18" i="1"/>
  <c r="G18" i="1" s="1"/>
  <c r="L18" i="1" s="1"/>
  <c r="Q18" i="1" s="1"/>
  <c r="Q9" i="1"/>
  <c r="L9" i="1"/>
  <c r="N9" i="1"/>
  <c r="S9" i="1"/>
  <c r="I9" i="1"/>
  <c r="G9" i="1"/>
  <c r="D7" i="1"/>
  <c r="G33" i="1"/>
  <c r="L33" i="1" s="1"/>
  <c r="Q33" i="1" s="1"/>
  <c r="G32" i="1"/>
  <c r="L32" i="1" s="1"/>
  <c r="Q32" i="1" s="1"/>
  <c r="I29" i="1"/>
  <c r="I30" i="1" s="1"/>
  <c r="I26" i="1"/>
  <c r="I25" i="1"/>
  <c r="I24" i="1"/>
  <c r="I20" i="1"/>
  <c r="I21" i="1" s="1"/>
  <c r="I17" i="1"/>
  <c r="I15" i="1"/>
  <c r="N20" i="1"/>
  <c r="N21" i="1" s="1"/>
  <c r="N17" i="1"/>
  <c r="N15" i="1"/>
  <c r="N29" i="1"/>
  <c r="N30" i="1" s="1"/>
  <c r="N26" i="1"/>
  <c r="N25" i="1"/>
  <c r="N24" i="1"/>
  <c r="S29" i="1"/>
  <c r="S30" i="1" s="1"/>
  <c r="S26" i="1"/>
  <c r="S25" i="1"/>
  <c r="S24" i="1"/>
  <c r="S20" i="1"/>
  <c r="S21" i="1" s="1"/>
  <c r="S17" i="1"/>
  <c r="S15" i="1"/>
  <c r="S11" i="1"/>
  <c r="S12" i="1" s="1"/>
  <c r="S8" i="1"/>
  <c r="S7" i="1"/>
  <c r="S6" i="1"/>
  <c r="N11" i="1"/>
  <c r="N12" i="1" s="1"/>
  <c r="N8" i="1"/>
  <c r="N7" i="1"/>
  <c r="N6" i="1"/>
  <c r="I11" i="1"/>
  <c r="I12" i="1" s="1"/>
  <c r="I8" i="1"/>
  <c r="I7" i="1"/>
  <c r="I6" i="1"/>
  <c r="D29" i="1"/>
  <c r="D30" i="1" s="1"/>
  <c r="D26" i="1"/>
  <c r="D25" i="1"/>
  <c r="D24" i="1"/>
  <c r="D20" i="1"/>
  <c r="D17" i="1"/>
  <c r="D21" i="1" s="1"/>
  <c r="D16" i="1"/>
  <c r="D15" i="1"/>
  <c r="S4" i="1"/>
  <c r="N4" i="1"/>
  <c r="I4" i="1"/>
  <c r="D4" i="1"/>
  <c r="B20" i="1"/>
  <c r="B17" i="1"/>
  <c r="B16" i="1"/>
  <c r="B15" i="1"/>
  <c r="G11" i="1"/>
  <c r="L11" i="1" s="1"/>
  <c r="Q11" i="1" s="1"/>
  <c r="G10" i="1"/>
  <c r="L10" i="1" s="1"/>
  <c r="Q10" i="1" s="1"/>
  <c r="G8" i="1"/>
  <c r="L8" i="1" s="1"/>
  <c r="Q8" i="1" s="1"/>
  <c r="G7" i="1"/>
  <c r="L7" i="1" s="1"/>
  <c r="Q7" i="1" s="1"/>
  <c r="G6" i="1"/>
  <c r="L6" i="1" s="1"/>
  <c r="Q6" i="1" s="1"/>
  <c r="D6" i="1"/>
  <c r="S16" i="1"/>
  <c r="N16" i="1"/>
  <c r="I16" i="1"/>
  <c r="D12" i="1" l="1"/>
  <c r="G58" i="2"/>
  <c r="U58" i="2"/>
  <c r="S58" i="2"/>
  <c r="J58" i="2"/>
  <c r="I58" i="2"/>
  <c r="R58" i="2"/>
  <c r="H58" i="2"/>
  <c r="O58" i="2"/>
  <c r="P58" i="2"/>
  <c r="F58" i="2"/>
  <c r="Q58" i="2"/>
  <c r="T58" i="2"/>
  <c r="N58" i="2"/>
  <c r="M58" i="2"/>
  <c r="L58" i="2"/>
  <c r="K58" i="2"/>
  <c r="E58" i="2"/>
  <c r="L57" i="2"/>
  <c r="R57" i="2"/>
  <c r="I57" i="2"/>
  <c r="U57" i="2"/>
  <c r="H80" i="2" s="1"/>
  <c r="T57" i="2"/>
  <c r="S57" i="2"/>
  <c r="G80" i="2" s="1"/>
  <c r="Q57" i="2"/>
  <c r="F80" i="2" s="1"/>
  <c r="P57" i="2"/>
  <c r="O57" i="2"/>
  <c r="N57" i="2"/>
  <c r="M57" i="2"/>
  <c r="K57" i="2"/>
  <c r="J57" i="2"/>
  <c r="H57" i="2"/>
  <c r="G57" i="2"/>
  <c r="F57" i="2"/>
  <c r="E57" i="2"/>
  <c r="T56" i="2"/>
  <c r="S56" i="2"/>
  <c r="G79" i="2" s="1"/>
  <c r="R56" i="2"/>
  <c r="Q56" i="2"/>
  <c r="F79" i="2" s="1"/>
  <c r="O56" i="2"/>
  <c r="N56" i="2"/>
  <c r="M56" i="2"/>
  <c r="L56" i="2"/>
  <c r="K56" i="2"/>
  <c r="I56" i="2"/>
  <c r="H56" i="2"/>
  <c r="G56" i="2"/>
  <c r="F56" i="2"/>
  <c r="P56" i="2"/>
  <c r="U56" i="2"/>
  <c r="H79" i="2" s="1"/>
  <c r="E56" i="2"/>
  <c r="J56" i="2"/>
  <c r="Q55" i="2"/>
  <c r="F78" i="2" s="1"/>
  <c r="P55" i="2"/>
  <c r="O55" i="2"/>
  <c r="M55" i="2"/>
  <c r="L55" i="2"/>
  <c r="K55" i="2"/>
  <c r="J55" i="2"/>
  <c r="I55" i="2"/>
  <c r="F55" i="2"/>
  <c r="G55" i="2"/>
  <c r="U55" i="2"/>
  <c r="H78" i="2" s="1"/>
  <c r="S55" i="2"/>
  <c r="G78" i="2" s="1"/>
  <c r="R55" i="2"/>
  <c r="E55" i="2"/>
  <c r="T55" i="2"/>
  <c r="N55" i="2"/>
  <c r="H55" i="2"/>
  <c r="A65" i="2"/>
  <c r="A64" i="2"/>
  <c r="A63" i="2"/>
  <c r="A62" i="2"/>
  <c r="J19" i="2"/>
  <c r="J41" i="2" s="1"/>
  <c r="J22" i="2"/>
  <c r="J44" i="2" s="1"/>
  <c r="J21" i="2"/>
  <c r="J43" i="2" s="1"/>
  <c r="J20" i="2"/>
  <c r="J42" i="2" s="1"/>
  <c r="I21" i="2"/>
  <c r="I43" i="2" s="1"/>
  <c r="I20" i="2"/>
  <c r="I42" i="2" s="1"/>
  <c r="I22" i="2"/>
  <c r="I44" i="2" s="1"/>
  <c r="I19" i="2"/>
  <c r="I41" i="2" s="1"/>
  <c r="H22" i="2"/>
  <c r="H44" i="2" s="1"/>
  <c r="H19" i="2"/>
  <c r="H41" i="2" s="1"/>
  <c r="H20" i="2"/>
  <c r="H42" i="2" s="1"/>
  <c r="H21" i="2"/>
  <c r="H43" i="2" s="1"/>
  <c r="G20" i="2"/>
  <c r="G42" i="2" s="1"/>
  <c r="G22" i="2"/>
  <c r="G44" i="2" s="1"/>
  <c r="G43" i="2"/>
  <c r="G19" i="2"/>
  <c r="G41" i="2" s="1"/>
  <c r="F22" i="2"/>
  <c r="F44" i="2" s="1"/>
  <c r="F21" i="2"/>
  <c r="F43" i="2" s="1"/>
  <c r="F20" i="2"/>
  <c r="F42" i="2" s="1"/>
  <c r="F19" i="2"/>
  <c r="F41" i="2" s="1"/>
  <c r="E21" i="2"/>
  <c r="E43" i="2" s="1"/>
  <c r="E20" i="2"/>
  <c r="E42" i="2" s="1"/>
  <c r="E19" i="2"/>
  <c r="E41" i="2" s="1"/>
  <c r="E22" i="2"/>
  <c r="E44" i="2" s="1"/>
  <c r="R20" i="2"/>
  <c r="R42" i="2" s="1"/>
  <c r="R21" i="2"/>
  <c r="R43" i="2" s="1"/>
  <c r="R19" i="2"/>
  <c r="R41" i="2" s="1"/>
  <c r="R22" i="2"/>
  <c r="R44" i="2" s="1"/>
  <c r="U19" i="2"/>
  <c r="U21" i="2"/>
  <c r="U20" i="2"/>
  <c r="U22" i="2"/>
  <c r="U44" i="2" s="1"/>
  <c r="T20" i="2"/>
  <c r="T42" i="2" s="1"/>
  <c r="T21" i="2"/>
  <c r="T43" i="2" s="1"/>
  <c r="T19" i="2"/>
  <c r="T41" i="2" s="1"/>
  <c r="T22" i="2"/>
  <c r="T44" i="2" s="1"/>
  <c r="S21" i="2"/>
  <c r="S22" i="2"/>
  <c r="S44" i="2" s="1"/>
  <c r="S19" i="2"/>
  <c r="S20" i="2"/>
  <c r="Q19" i="2"/>
  <c r="Q21" i="2"/>
  <c r="Q22" i="2"/>
  <c r="Q44" i="2" s="1"/>
  <c r="Q20" i="2"/>
  <c r="P20" i="2"/>
  <c r="P42" i="2" s="1"/>
  <c r="P21" i="2"/>
  <c r="P43" i="2" s="1"/>
  <c r="P22" i="2"/>
  <c r="P44" i="2" s="1"/>
  <c r="P19" i="2"/>
  <c r="P41" i="2" s="1"/>
  <c r="O22" i="2"/>
  <c r="O44" i="2" s="1"/>
  <c r="O21" i="2"/>
  <c r="O43" i="2" s="1"/>
  <c r="O19" i="2"/>
  <c r="O41" i="2" s="1"/>
  <c r="O20" i="2"/>
  <c r="O42" i="2" s="1"/>
  <c r="N20" i="2"/>
  <c r="N42" i="2" s="1"/>
  <c r="N19" i="2"/>
  <c r="N41" i="2" s="1"/>
  <c r="N22" i="2"/>
  <c r="N44" i="2" s="1"/>
  <c r="N21" i="2"/>
  <c r="N43" i="2" s="1"/>
  <c r="M20" i="2"/>
  <c r="M42" i="2" s="1"/>
  <c r="M19" i="2"/>
  <c r="M41" i="2" s="1"/>
  <c r="M21" i="2"/>
  <c r="M43" i="2" s="1"/>
  <c r="M22" i="2"/>
  <c r="M44" i="2" s="1"/>
  <c r="L22" i="2"/>
  <c r="L44" i="2" s="1"/>
  <c r="L19" i="2"/>
  <c r="L41" i="2" s="1"/>
  <c r="L21" i="2"/>
  <c r="L43" i="2" s="1"/>
  <c r="L20" i="2"/>
  <c r="L42" i="2" s="1"/>
  <c r="K21" i="2"/>
  <c r="K43" i="2" s="1"/>
  <c r="K22" i="2"/>
  <c r="K44" i="2" s="1"/>
  <c r="K19" i="2"/>
  <c r="K41" i="2" s="1"/>
  <c r="K20" i="2"/>
  <c r="K42" i="2" s="1"/>
  <c r="H30" i="1"/>
  <c r="H21" i="1"/>
  <c r="M21" i="1" s="1"/>
  <c r="N32" i="1"/>
  <c r="N33" i="1" s="1"/>
  <c r="B28" i="1"/>
  <c r="G28" i="1" s="1"/>
  <c r="L28" i="1" s="1"/>
  <c r="Q28" i="1" s="1"/>
  <c r="G19" i="1"/>
  <c r="L19" i="1" s="1"/>
  <c r="Q19" i="1" s="1"/>
  <c r="G20" i="1"/>
  <c r="L20" i="1" s="1"/>
  <c r="Q20" i="1" s="1"/>
  <c r="B29" i="1"/>
  <c r="G29" i="1" s="1"/>
  <c r="L29" i="1" s="1"/>
  <c r="Q29" i="1" s="1"/>
  <c r="B26" i="1"/>
  <c r="G26" i="1" s="1"/>
  <c r="L26" i="1" s="1"/>
  <c r="Q26" i="1" s="1"/>
  <c r="G17" i="1"/>
  <c r="L17" i="1" s="1"/>
  <c r="Q17" i="1" s="1"/>
  <c r="G16" i="1"/>
  <c r="L16" i="1" s="1"/>
  <c r="Q16" i="1" s="1"/>
  <c r="B25" i="1"/>
  <c r="G25" i="1" s="1"/>
  <c r="L25" i="1" s="1"/>
  <c r="Q25" i="1" s="1"/>
  <c r="B24" i="1"/>
  <c r="G24" i="1" s="1"/>
  <c r="L24" i="1" s="1"/>
  <c r="Q24" i="1" s="1"/>
  <c r="G15" i="1"/>
  <c r="L15" i="1" s="1"/>
  <c r="Q15" i="1" s="1"/>
  <c r="U62" i="2" l="1"/>
  <c r="U41" i="2"/>
  <c r="H83" i="2"/>
  <c r="U43" i="2"/>
  <c r="H85" i="2"/>
  <c r="U42" i="2"/>
  <c r="H84" i="2"/>
  <c r="S43" i="2"/>
  <c r="G85" i="2"/>
  <c r="S41" i="2"/>
  <c r="G83" i="2"/>
  <c r="S42" i="2"/>
  <c r="G84" i="2"/>
  <c r="Q41" i="2"/>
  <c r="F83" i="2"/>
  <c r="Q43" i="2"/>
  <c r="F85" i="2"/>
  <c r="Q42" i="2"/>
  <c r="F84" i="2"/>
  <c r="A61" i="2"/>
  <c r="E65" i="2"/>
  <c r="F65" i="2"/>
  <c r="G65" i="2"/>
  <c r="H65" i="2"/>
  <c r="I65" i="2"/>
  <c r="J65" i="2"/>
  <c r="K65" i="2"/>
  <c r="L65" i="2"/>
  <c r="M65" i="2"/>
  <c r="N65" i="2"/>
  <c r="O65" i="2"/>
  <c r="P65" i="2"/>
  <c r="Q65" i="2"/>
  <c r="R65" i="2"/>
  <c r="S65" i="2"/>
  <c r="T65" i="2"/>
  <c r="U65" i="2"/>
  <c r="E64" i="2"/>
  <c r="F64" i="2"/>
  <c r="G64" i="2"/>
  <c r="H64" i="2"/>
  <c r="I64" i="2"/>
  <c r="J64" i="2"/>
  <c r="K64" i="2"/>
  <c r="L64" i="2"/>
  <c r="M64" i="2"/>
  <c r="N64" i="2"/>
  <c r="O64" i="2"/>
  <c r="P64" i="2"/>
  <c r="Q64" i="2"/>
  <c r="R64" i="2"/>
  <c r="S64" i="2"/>
  <c r="T64" i="2"/>
  <c r="U64" i="2"/>
  <c r="E63" i="2"/>
  <c r="F63" i="2"/>
  <c r="G63" i="2"/>
  <c r="H63" i="2"/>
  <c r="I63" i="2"/>
  <c r="J63" i="2"/>
  <c r="K63" i="2"/>
  <c r="L63" i="2"/>
  <c r="M63" i="2"/>
  <c r="N63" i="2"/>
  <c r="O63" i="2"/>
  <c r="P63" i="2"/>
  <c r="Q63" i="2"/>
  <c r="R63" i="2"/>
  <c r="S63" i="2"/>
  <c r="T63" i="2"/>
  <c r="U63" i="2"/>
  <c r="E62" i="2"/>
  <c r="F62" i="2"/>
  <c r="G62" i="2"/>
  <c r="H62" i="2"/>
  <c r="I62" i="2"/>
  <c r="J62" i="2"/>
  <c r="K62" i="2"/>
  <c r="L62" i="2"/>
  <c r="M62" i="2"/>
  <c r="N62" i="2"/>
  <c r="O62" i="2"/>
  <c r="P62" i="2"/>
  <c r="Q62" i="2"/>
  <c r="R62" i="2"/>
  <c r="S62" i="2"/>
  <c r="T62" i="2"/>
  <c r="M30" i="1"/>
  <c r="L30" i="1"/>
  <c r="R30" i="1" s="1"/>
  <c r="I32" i="1"/>
  <c r="D32" i="1"/>
  <c r="D33" i="1" s="1"/>
  <c r="D34" i="1" s="1"/>
  <c r="S32" i="1"/>
  <c r="N34" i="1"/>
  <c r="I33" i="1" l="1"/>
  <c r="I34" i="1" s="1"/>
  <c r="S33" i="1"/>
  <c r="S34" i="1" s="1"/>
</calcChain>
</file>

<file path=xl/sharedStrings.xml><?xml version="1.0" encoding="utf-8"?>
<sst xmlns="http://schemas.openxmlformats.org/spreadsheetml/2006/main" count="76" uniqueCount="64">
  <si>
    <t>dolazak</t>
  </si>
  <si>
    <t>broj rupa</t>
  </si>
  <si>
    <t>cijena bušenja:</t>
  </si>
  <si>
    <t>1. cigla sa vodom</t>
  </si>
  <si>
    <t>2. cigla suho</t>
  </si>
  <si>
    <t>5. beton na suho</t>
  </si>
  <si>
    <t>bliže  &lt;20km</t>
  </si>
  <si>
    <t>ostali</t>
  </si>
  <si>
    <t>6. partner da</t>
  </si>
  <si>
    <t>promjer rupe mm</t>
  </si>
  <si>
    <t>dubina ukupna cm</t>
  </si>
  <si>
    <t>ankerisanje ne</t>
  </si>
  <si>
    <t>vrsta bušenja</t>
  </si>
  <si>
    <t>ankerisanje č. tipla</t>
  </si>
  <si>
    <t>ankesrisanje kemijskom</t>
  </si>
  <si>
    <t>Ukupno bez rabata</t>
  </si>
  <si>
    <t>Nepoznato</t>
  </si>
  <si>
    <t>UKUPNO za naplatit:</t>
  </si>
  <si>
    <t>partner da-9</t>
  </si>
  <si>
    <t>401-</t>
  </si>
  <si>
    <t>cijena zaštite</t>
  </si>
  <si>
    <t>zaštita (0-NE; 1-DA)</t>
  </si>
  <si>
    <t>3. beton s vodom</t>
  </si>
  <si>
    <t>dalje 21-40km</t>
  </si>
  <si>
    <t>41km&lt;</t>
  </si>
  <si>
    <t xml:space="preserve">ankerisanje </t>
  </si>
  <si>
    <t>Ukupno:</t>
  </si>
  <si>
    <t>Kalkulacija rezanje rupa:</t>
  </si>
  <si>
    <t>kg</t>
  </si>
  <si>
    <t>Težina betona 1m3:</t>
  </si>
  <si>
    <t xml:space="preserve">Debljina u cm: </t>
  </si>
  <si>
    <t>1m2</t>
  </si>
  <si>
    <t>komadi 40-60kg</t>
  </si>
  <si>
    <t>2,25*2,25</t>
  </si>
  <si>
    <t>2,00*2,00</t>
  </si>
  <si>
    <t>2,50*2,50</t>
  </si>
  <si>
    <t>otvor dimenzije u metrima</t>
  </si>
  <si>
    <t>20cm</t>
  </si>
  <si>
    <t>25cm</t>
  </si>
  <si>
    <t>30cm</t>
  </si>
  <si>
    <t>površina</t>
  </si>
  <si>
    <t>težina u kg</t>
  </si>
  <si>
    <t>cijena po otvoru</t>
  </si>
  <si>
    <t>rezanje na komade od 40-60kg</t>
  </si>
  <si>
    <t>za lift</t>
  </si>
  <si>
    <t>rezanje zida u podrumu beton 1,2*2,6*0,2</t>
  </si>
  <si>
    <t>reznje zida prozor beton po otvoru 1,0*1,0*,35</t>
  </si>
  <si>
    <t>rezanje zida (prozor) opeka otvoru 1,0*1,0*35</t>
  </si>
  <si>
    <t>m2=</t>
  </si>
  <si>
    <t>Jediniučna cijena rezanja:</t>
  </si>
  <si>
    <t>Jedinična cijena bušenja</t>
  </si>
  <si>
    <t>Broj redova bloka:</t>
  </si>
  <si>
    <t xml:space="preserve">Broj koluma blok: </t>
  </si>
  <si>
    <t xml:space="preserve">Cijena rezanja: </t>
  </si>
  <si>
    <t xml:space="preserve">Cijena rupa: </t>
  </si>
  <si>
    <t xml:space="preserve">Težina bloka u kg: </t>
  </si>
  <si>
    <t>Broj rupa kod rastera :</t>
  </si>
  <si>
    <t xml:space="preserve">Težina ukupna u kg: </t>
  </si>
  <si>
    <t>Cijena dana</t>
  </si>
  <si>
    <t xml:space="preserve">Formula za over cut u mm: </t>
  </si>
  <si>
    <t>Veličina rezne ploče u mm:</t>
  </si>
  <si>
    <t xml:space="preserve">Debljina zida u mm: </t>
  </si>
  <si>
    <t xml:space="preserve">Dodatni poslovi: </t>
  </si>
  <si>
    <t>Ukupan iznos: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</si>
</sst>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* #,##0.00\ &quot;kn&quot;_-;\-* #,##0.00\ &quot;kn&quot;_-;_-* &quot;-&quot;??\ &quot;kn&quot;_-;_-@_-"/>
    <numFmt numFmtId="43" formatCode="_-* #,##0.00_-;\-* #,##0.00_-;_-* &quot;-&quot;??_-;_-@_-"/>
    <numFmt numFmtId="164" formatCode="_-* #,##0.00\ [$€-1]_-;\-* #,##0.00\ [$€-1]_-;_-* &quot;-&quot;??\ [$€-1]_-;_-@_-"/>
    <numFmt numFmtId="165" formatCode="0.0"/>
    <numFmt numFmtId="166" formatCode="_-* #,##0.00\ [$€-41A]_-;\-* #,##0.00\ [$€-41A]_-;_-* &quot;-&quot;??\ [$€-41A]_-;_-@_-"/>
    <numFmt numFmtId="167" formatCode="#,##0\ [$€-1];[Red]\-#,##0\ [$€-1]"/>
    <numFmt numFmtId="168" formatCode="#,##0.00_ ;\-#,##0.00\ "/>
  </numFmts>
  <fonts count="6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4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sz val="11"/>
      <color rgb="FFC00000"/>
      <name val="Calibri"/>
      <family val="2"/>
      <charset val="238"/>
      <scheme val="minor"/>
    </font>
    <font>
      <sz val="11"/>
      <name val="Calibri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1">
    <xf numFmtId="0" fontId="0" fillId="0" borderId="0" xfId="0"/>
    <xf numFmtId="9" fontId="0" fillId="0" borderId="0" xfId="0" applyNumberFormat="1"/>
    <xf numFmtId="9" fontId="0" fillId="0" borderId="0" xfId="1" applyFont="1"/>
    <xf numFmtId="0" fontId="0" fillId="0" borderId="0" xfId="0" applyAlignment="1">
      <alignment horizontal="right"/>
    </xf>
    <xf numFmtId="164" fontId="0" fillId="0" borderId="0" xfId="0" applyNumberFormat="1"/>
    <xf numFmtId="0" fontId="2" fillId="0" borderId="0" xfId="0" applyFont="1"/>
    <xf numFmtId="0" fontId="2" fillId="0" borderId="0" xfId="0" applyFont="1" applyAlignment="1">
      <alignment horizontal="right"/>
    </xf>
    <xf numFmtId="164" fontId="3" fillId="0" borderId="0" xfId="0" applyNumberFormat="1" applyFont="1"/>
    <xf numFmtId="0" fontId="0" fillId="0" borderId="0" xfId="0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left"/>
    </xf>
    <xf numFmtId="167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165" fontId="0" fillId="2" borderId="0" xfId="0" applyNumberFormat="1" applyFill="1" applyAlignment="1">
      <alignment horizontal="center"/>
    </xf>
    <xf numFmtId="166" fontId="0" fillId="2" borderId="0" xfId="0" applyNumberFormat="1" applyFill="1"/>
    <xf numFmtId="1" fontId="0" fillId="0" borderId="0" xfId="0" applyNumberFormat="1" applyAlignment="1">
      <alignment horizontal="center"/>
    </xf>
    <xf numFmtId="168" fontId="0" fillId="0" borderId="0" xfId="2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164" fontId="4" fillId="0" borderId="0" xfId="3" applyNumberFormat="1" applyFont="1"/>
    <xf numFmtId="166" fontId="4" fillId="0" borderId="0" xfId="0" applyNumberFormat="1" applyFont="1"/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</cellXfs>
  <cellStyles count="4">
    <cellStyle name="Normalno" xfId="0" builtinId="0"/>
    <cellStyle name="Postotak" xfId="1" builtinId="5"/>
    <cellStyle name="Valuta" xfId="3" builtinId="4"/>
    <cellStyle name="Zarez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sustav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8"/>
  <sheetViews>
    <sheetView topLeftCell="A11" workbookViewId="0">
      <selection activeCell="C30" sqref="C30"/>
    </sheetView>
  </sheetViews>
  <sheetFormatPr defaultRowHeight="15" x14ac:dyDescent="0.25"/>
  <cols>
    <col min="1" max="1" width="5.28515625" customWidth="1"/>
    <col min="2" max="2" width="22.5703125" customWidth="1"/>
    <col min="4" max="4" width="11" bestFit="1" customWidth="1"/>
    <col min="7" max="7" width="22.42578125" customWidth="1"/>
    <col min="12" max="12" width="22.85546875" customWidth="1"/>
    <col min="17" max="17" width="22.28515625" customWidth="1"/>
  </cols>
  <sheetData>
    <row r="1" spans="1:19" x14ac:dyDescent="0.25">
      <c r="A1" t="s">
        <v>27</v>
      </c>
    </row>
    <row r="4" spans="1:19" x14ac:dyDescent="0.25">
      <c r="B4" t="s">
        <v>0</v>
      </c>
      <c r="C4">
        <v>1</v>
      </c>
      <c r="D4">
        <f>IF(C4=1,$M$43,IF(C4=2,$M$44,2*$M$45*C4))</f>
        <v>20</v>
      </c>
      <c r="G4" t="s">
        <v>0</v>
      </c>
      <c r="H4">
        <v>2</v>
      </c>
      <c r="I4">
        <f>IF(H4=1,$M$43,IF(H4=2,$M$44,2*$M$45*H4))</f>
        <v>40</v>
      </c>
      <c r="L4" t="s">
        <v>0</v>
      </c>
      <c r="M4">
        <v>1</v>
      </c>
      <c r="N4">
        <f>IF(M4=1,$M$43,IF(M4=2,$M$44,2*$M$45*M4))</f>
        <v>20</v>
      </c>
      <c r="Q4" t="s">
        <v>0</v>
      </c>
      <c r="R4">
        <v>1</v>
      </c>
      <c r="S4">
        <f>IF(R4=1,$M$43,IF(R4=2,$M$44,2*$M$45*R4))</f>
        <v>20</v>
      </c>
    </row>
    <row r="6" spans="1:19" x14ac:dyDescent="0.25">
      <c r="B6" s="5" t="s">
        <v>9</v>
      </c>
      <c r="C6">
        <v>168</v>
      </c>
      <c r="D6">
        <f>C6/10</f>
        <v>16.8</v>
      </c>
      <c r="G6" t="str">
        <f>B6</f>
        <v>promjer rupe mm</v>
      </c>
      <c r="H6">
        <v>350</v>
      </c>
      <c r="I6">
        <f>H6/10</f>
        <v>35</v>
      </c>
      <c r="L6" t="str">
        <f t="shared" ref="L6:L11" si="0">G6</f>
        <v>promjer rupe mm</v>
      </c>
      <c r="M6">
        <v>82</v>
      </c>
      <c r="N6">
        <f>M6/10</f>
        <v>8.1999999999999993</v>
      </c>
      <c r="Q6" t="str">
        <f t="shared" ref="Q6:Q11" si="1">L6</f>
        <v>promjer rupe mm</v>
      </c>
      <c r="R6">
        <v>112</v>
      </c>
      <c r="S6">
        <f>R6/10</f>
        <v>11.2</v>
      </c>
    </row>
    <row r="7" spans="1:19" x14ac:dyDescent="0.25">
      <c r="B7" s="5" t="s">
        <v>12</v>
      </c>
      <c r="C7">
        <v>3</v>
      </c>
      <c r="D7">
        <f>VLOOKUP(C7,$A$41:$C$45,3,FALSE)</f>
        <v>0.17</v>
      </c>
      <c r="G7" t="str">
        <f t="shared" ref="G7:G11" si="2">B7</f>
        <v>vrsta bušenja</v>
      </c>
      <c r="H7">
        <v>1</v>
      </c>
      <c r="I7">
        <f>VLOOKUP(H7,$A$41:$C$45,3,FALSE)</f>
        <v>0.08</v>
      </c>
      <c r="L7" t="str">
        <f t="shared" si="0"/>
        <v>vrsta bušenja</v>
      </c>
      <c r="M7">
        <v>3</v>
      </c>
      <c r="N7">
        <f>VLOOKUP(M7,$A$41:$C$45,3,FALSE)</f>
        <v>0.17</v>
      </c>
      <c r="Q7" t="str">
        <f t="shared" si="1"/>
        <v>vrsta bušenja</v>
      </c>
      <c r="R7">
        <v>3</v>
      </c>
      <c r="S7">
        <f>VLOOKUP(R7,$A$41:$C$45,3,FALSE)</f>
        <v>0.17</v>
      </c>
    </row>
    <row r="8" spans="1:19" x14ac:dyDescent="0.25">
      <c r="B8" s="5" t="s">
        <v>10</v>
      </c>
      <c r="C8">
        <v>25</v>
      </c>
      <c r="D8">
        <f>C8*1</f>
        <v>25</v>
      </c>
      <c r="G8" t="str">
        <f t="shared" si="2"/>
        <v>dubina ukupna cm</v>
      </c>
      <c r="H8">
        <v>105</v>
      </c>
      <c r="I8">
        <f>H8*1</f>
        <v>105</v>
      </c>
      <c r="L8" t="str">
        <f t="shared" si="0"/>
        <v>dubina ukupna cm</v>
      </c>
      <c r="M8">
        <v>55</v>
      </c>
      <c r="N8">
        <f>M8*1</f>
        <v>55</v>
      </c>
      <c r="Q8" t="str">
        <f t="shared" si="1"/>
        <v>dubina ukupna cm</v>
      </c>
      <c r="R8">
        <v>30</v>
      </c>
      <c r="S8">
        <f>R8*1</f>
        <v>30</v>
      </c>
    </row>
    <row r="9" spans="1:19" x14ac:dyDescent="0.25">
      <c r="B9" s="5" t="s">
        <v>21</v>
      </c>
      <c r="C9">
        <v>0</v>
      </c>
      <c r="D9">
        <f>IF(C9=0,0,IF(C9=1,C11*$C$39,n/a))</f>
        <v>0</v>
      </c>
      <c r="G9" t="str">
        <f>B9</f>
        <v>zaštita (0-NE; 1-DA)</v>
      </c>
      <c r="H9">
        <v>0</v>
      </c>
      <c r="I9">
        <f>H9*$C$39</f>
        <v>0</v>
      </c>
      <c r="L9" t="str">
        <f>B9</f>
        <v>zaštita (0-NE; 1-DA)</v>
      </c>
      <c r="M9">
        <v>0</v>
      </c>
      <c r="N9">
        <f>M9*$C$39</f>
        <v>0</v>
      </c>
      <c r="Q9" t="str">
        <f>B9</f>
        <v>zaštita (0-NE; 1-DA)</v>
      </c>
      <c r="R9">
        <v>1</v>
      </c>
      <c r="S9">
        <f>R9*$C$39</f>
        <v>15</v>
      </c>
    </row>
    <row r="10" spans="1:19" x14ac:dyDescent="0.25">
      <c r="B10" s="5" t="s">
        <v>25</v>
      </c>
      <c r="C10">
        <v>1</v>
      </c>
      <c r="D10">
        <f>VLOOKUP(C10,$K$38:$M$40,3,FALSE)</f>
        <v>10</v>
      </c>
      <c r="G10" t="str">
        <f t="shared" si="2"/>
        <v xml:space="preserve">ankerisanje </v>
      </c>
      <c r="H10">
        <v>2</v>
      </c>
      <c r="I10">
        <f>VLOOKUP(H10,$K$38:$M$40,3,FALSE)</f>
        <v>20</v>
      </c>
      <c r="L10" t="str">
        <f t="shared" si="0"/>
        <v xml:space="preserve">ankerisanje </v>
      </c>
      <c r="M10">
        <v>1</v>
      </c>
      <c r="N10">
        <f>VLOOKUP(M10,$K$38:$M$40,3,FALSE)</f>
        <v>10</v>
      </c>
      <c r="Q10" t="str">
        <f t="shared" si="1"/>
        <v xml:space="preserve">ankerisanje </v>
      </c>
      <c r="R10">
        <v>1</v>
      </c>
      <c r="S10">
        <f>VLOOKUP(R10,$K$38:$M$40,3,FALSE)</f>
        <v>10</v>
      </c>
    </row>
    <row r="11" spans="1:19" x14ac:dyDescent="0.25">
      <c r="B11" s="5" t="s">
        <v>1</v>
      </c>
      <c r="C11">
        <v>3</v>
      </c>
      <c r="D11">
        <f>C11</f>
        <v>3</v>
      </c>
      <c r="G11" t="str">
        <f t="shared" si="2"/>
        <v>broj rupa</v>
      </c>
      <c r="H11">
        <v>1</v>
      </c>
      <c r="I11">
        <f>H11</f>
        <v>1</v>
      </c>
      <c r="L11" t="str">
        <f t="shared" si="0"/>
        <v>broj rupa</v>
      </c>
      <c r="M11">
        <v>4</v>
      </c>
      <c r="N11">
        <f>M11</f>
        <v>4</v>
      </c>
      <c r="Q11" t="str">
        <f t="shared" si="1"/>
        <v>broj rupa</v>
      </c>
      <c r="R11">
        <v>1</v>
      </c>
      <c r="S11">
        <f>R11</f>
        <v>1</v>
      </c>
    </row>
    <row r="12" spans="1:19" x14ac:dyDescent="0.25">
      <c r="C12" s="6" t="s">
        <v>26</v>
      </c>
      <c r="D12">
        <f>IF(D11&gt;0,(D11*($C$38+D8*D7*D6+D9+D10)),0)</f>
        <v>304.20000000000005</v>
      </c>
      <c r="H12" t="str">
        <f>C12</f>
        <v>Ukupno:</v>
      </c>
      <c r="I12">
        <f>IF(I11&gt;0,(I11*($C$38+I8*I7*I6+I9+I10)),0)</f>
        <v>334</v>
      </c>
      <c r="M12" t="str">
        <f>H12</f>
        <v>Ukupno:</v>
      </c>
      <c r="N12">
        <f>IF(N11&gt;0,(N11*($C$38+N8*N7*N6+N9+N10)),0)</f>
        <v>426.68</v>
      </c>
      <c r="R12" t="str">
        <f>M12</f>
        <v>Ukupno:</v>
      </c>
      <c r="S12">
        <f>IF(S11&gt;0,(S11*($C$38+S8*S7*S6+S9+S10)),0)</f>
        <v>102.12</v>
      </c>
    </row>
    <row r="15" spans="1:19" x14ac:dyDescent="0.25">
      <c r="B15" t="str">
        <f t="shared" ref="B15:B20" si="3">B6</f>
        <v>promjer rupe mm</v>
      </c>
      <c r="C15">
        <v>62</v>
      </c>
      <c r="D15">
        <f>C15/10</f>
        <v>6.2</v>
      </c>
      <c r="G15" t="str">
        <f t="shared" ref="G15:G20" si="4">B15</f>
        <v>promjer rupe mm</v>
      </c>
      <c r="H15">
        <v>250</v>
      </c>
      <c r="I15">
        <f>H15/10</f>
        <v>25</v>
      </c>
      <c r="L15" t="str">
        <f t="shared" ref="L15:L20" si="5">G15</f>
        <v>promjer rupe mm</v>
      </c>
      <c r="M15">
        <v>52</v>
      </c>
      <c r="N15">
        <f>M15/10</f>
        <v>5.2</v>
      </c>
      <c r="Q15" t="str">
        <f t="shared" ref="Q15:Q20" si="6">L15</f>
        <v>promjer rupe mm</v>
      </c>
      <c r="R15">
        <v>100</v>
      </c>
      <c r="S15">
        <f>R15/10</f>
        <v>10</v>
      </c>
    </row>
    <row r="16" spans="1:19" x14ac:dyDescent="0.25">
      <c r="B16" t="str">
        <f t="shared" si="3"/>
        <v>vrsta bušenja</v>
      </c>
      <c r="C16">
        <v>3</v>
      </c>
      <c r="D16">
        <f>VLOOKUP(C16,$A$41:$C$45,3,FALSE)</f>
        <v>0.17</v>
      </c>
      <c r="G16" t="str">
        <f t="shared" si="4"/>
        <v>vrsta bušenja</v>
      </c>
      <c r="H16">
        <v>1</v>
      </c>
      <c r="I16">
        <f>VLOOKUP(H16,$A$41:$C$45,3,FALSE)</f>
        <v>0.08</v>
      </c>
      <c r="L16" t="str">
        <f t="shared" si="5"/>
        <v>vrsta bušenja</v>
      </c>
      <c r="M16">
        <v>4</v>
      </c>
      <c r="N16">
        <f>VLOOKUP(M16,$A$41:$C$45,3,FALSE)</f>
        <v>0.3</v>
      </c>
      <c r="Q16" t="str">
        <f t="shared" si="6"/>
        <v>vrsta bušenja</v>
      </c>
      <c r="R16">
        <v>1</v>
      </c>
      <c r="S16">
        <f>VLOOKUP(R16,$A$41:$C$45,3,FALSE)</f>
        <v>0.08</v>
      </c>
    </row>
    <row r="17" spans="2:19" x14ac:dyDescent="0.25">
      <c r="B17" t="str">
        <f t="shared" si="3"/>
        <v>dubina ukupna cm</v>
      </c>
      <c r="C17">
        <v>25</v>
      </c>
      <c r="D17">
        <f>C17*1</f>
        <v>25</v>
      </c>
      <c r="G17" t="str">
        <f t="shared" si="4"/>
        <v>dubina ukupna cm</v>
      </c>
      <c r="H17">
        <v>105</v>
      </c>
      <c r="I17">
        <f>H17*1</f>
        <v>105</v>
      </c>
      <c r="L17" t="str">
        <f t="shared" si="5"/>
        <v>dubina ukupna cm</v>
      </c>
      <c r="M17">
        <v>20</v>
      </c>
      <c r="N17">
        <f>M17*1</f>
        <v>20</v>
      </c>
      <c r="Q17" t="str">
        <f t="shared" si="6"/>
        <v>dubina ukupna cm</v>
      </c>
      <c r="R17">
        <v>25</v>
      </c>
      <c r="S17">
        <f>R17*1</f>
        <v>25</v>
      </c>
    </row>
    <row r="18" spans="2:19" x14ac:dyDescent="0.25">
      <c r="B18" t="str">
        <f t="shared" si="3"/>
        <v>zaštita (0-NE; 1-DA)</v>
      </c>
      <c r="C18">
        <v>0</v>
      </c>
      <c r="D18">
        <f>C18*$C$39</f>
        <v>0</v>
      </c>
      <c r="G18" t="str">
        <f>B18</f>
        <v>zaštita (0-NE; 1-DA)</v>
      </c>
      <c r="H18">
        <v>0</v>
      </c>
      <c r="I18">
        <f>H18*$C$39</f>
        <v>0</v>
      </c>
      <c r="L18" t="str">
        <f>G18</f>
        <v>zaštita (0-NE; 1-DA)</v>
      </c>
      <c r="M18">
        <v>0</v>
      </c>
      <c r="N18">
        <f>M18*$C$39</f>
        <v>0</v>
      </c>
      <c r="Q18" t="str">
        <f>L18</f>
        <v>zaštita (0-NE; 1-DA)</v>
      </c>
      <c r="R18">
        <v>0</v>
      </c>
      <c r="S18">
        <f>R18*$C$39</f>
        <v>0</v>
      </c>
    </row>
    <row r="19" spans="2:19" x14ac:dyDescent="0.25">
      <c r="B19" t="str">
        <f t="shared" si="3"/>
        <v xml:space="preserve">ankerisanje </v>
      </c>
      <c r="C19">
        <v>1</v>
      </c>
      <c r="D19">
        <f>VLOOKUP(C19,$K$38:$M$40,3,FALSE)</f>
        <v>10</v>
      </c>
      <c r="G19" t="str">
        <f t="shared" si="4"/>
        <v xml:space="preserve">ankerisanje </v>
      </c>
      <c r="H19">
        <v>2</v>
      </c>
      <c r="I19">
        <f>VLOOKUP(H19,$K$38:$M$40,3,FALSE)</f>
        <v>20</v>
      </c>
      <c r="L19" t="str">
        <f t="shared" si="5"/>
        <v xml:space="preserve">ankerisanje </v>
      </c>
      <c r="M19">
        <v>0</v>
      </c>
      <c r="N19">
        <f>VLOOKUP(M19,$K$38:$M$40,3,FALSE)</f>
        <v>0</v>
      </c>
      <c r="Q19" t="str">
        <f t="shared" si="6"/>
        <v xml:space="preserve">ankerisanje </v>
      </c>
      <c r="R19">
        <v>0</v>
      </c>
      <c r="S19">
        <f>VLOOKUP(R19,$K$38:$M$40,3,FALSE)</f>
        <v>0</v>
      </c>
    </row>
    <row r="20" spans="2:19" x14ac:dyDescent="0.25">
      <c r="B20" t="str">
        <f t="shared" si="3"/>
        <v>broj rupa</v>
      </c>
      <c r="C20">
        <v>1</v>
      </c>
      <c r="D20">
        <f>C20</f>
        <v>1</v>
      </c>
      <c r="G20" t="str">
        <f t="shared" si="4"/>
        <v>broj rupa</v>
      </c>
      <c r="H20">
        <v>1</v>
      </c>
      <c r="I20">
        <f>H20</f>
        <v>1</v>
      </c>
      <c r="L20" t="str">
        <f t="shared" si="5"/>
        <v>broj rupa</v>
      </c>
      <c r="M20">
        <v>0</v>
      </c>
      <c r="N20">
        <f>M20</f>
        <v>0</v>
      </c>
      <c r="Q20" t="str">
        <f t="shared" si="6"/>
        <v>broj rupa</v>
      </c>
      <c r="R20">
        <v>0</v>
      </c>
      <c r="S20">
        <f>R20</f>
        <v>0</v>
      </c>
    </row>
    <row r="21" spans="2:19" x14ac:dyDescent="0.25">
      <c r="C21" t="str">
        <f>C12</f>
        <v>Ukupno:</v>
      </c>
      <c r="D21">
        <f>IF(D20&gt;0,(D20*($C$38+D17*D16*D15+D18+D19)),0)</f>
        <v>56.35</v>
      </c>
      <c r="H21" t="str">
        <f>C21</f>
        <v>Ukupno:</v>
      </c>
      <c r="I21">
        <f>IF(I20&gt;0,(I20*($C$38+I17*I16*I15+I18+I19)),0)</f>
        <v>250</v>
      </c>
      <c r="M21" t="str">
        <f>H21</f>
        <v>Ukupno:</v>
      </c>
      <c r="N21">
        <f>IF(N20&gt;0,(N20*($C$38+N17*N16*N15+N18+N19)),0)</f>
        <v>0</v>
      </c>
      <c r="R21">
        <f>L21</f>
        <v>0</v>
      </c>
      <c r="S21">
        <f>IF(S20&gt;0,(S20*($C$38+S17*S16*S15+S18+S19)),0)</f>
        <v>0</v>
      </c>
    </row>
    <row r="24" spans="2:19" x14ac:dyDescent="0.25">
      <c r="B24" t="str">
        <f>B15</f>
        <v>promjer rupe mm</v>
      </c>
      <c r="C24">
        <v>110</v>
      </c>
      <c r="D24">
        <f>C24/10</f>
        <v>11</v>
      </c>
      <c r="G24" t="str">
        <f t="shared" ref="G24:G29" si="7">B24</f>
        <v>promjer rupe mm</v>
      </c>
      <c r="H24">
        <v>0</v>
      </c>
      <c r="I24">
        <f>H24/10</f>
        <v>0</v>
      </c>
      <c r="L24" t="str">
        <f t="shared" ref="L24:L29" si="8">G24</f>
        <v>promjer rupe mm</v>
      </c>
      <c r="M24">
        <v>52</v>
      </c>
      <c r="N24">
        <f>M24/10</f>
        <v>5.2</v>
      </c>
      <c r="Q24" t="str">
        <f t="shared" ref="Q24:Q29" si="9">L24</f>
        <v>promjer rupe mm</v>
      </c>
      <c r="R24">
        <v>0</v>
      </c>
      <c r="S24">
        <f>R24/10</f>
        <v>0</v>
      </c>
    </row>
    <row r="25" spans="2:19" x14ac:dyDescent="0.25">
      <c r="B25" t="str">
        <f>B16</f>
        <v>vrsta bušenja</v>
      </c>
      <c r="C25">
        <v>3</v>
      </c>
      <c r="D25">
        <f>VLOOKUP(C25,$A$41:$C$45,3,FALSE)</f>
        <v>0.17</v>
      </c>
      <c r="G25" t="str">
        <f t="shared" si="7"/>
        <v>vrsta bušenja</v>
      </c>
      <c r="H25">
        <v>0</v>
      </c>
      <c r="I25">
        <f>VLOOKUP(H25,$A$41:$C$45,3,FALSE)</f>
        <v>0</v>
      </c>
      <c r="L25" t="str">
        <f t="shared" si="8"/>
        <v>vrsta bušenja</v>
      </c>
      <c r="M25">
        <v>2</v>
      </c>
      <c r="N25">
        <f>VLOOKUP(M25,$A$41:$C$45,3,FALSE)</f>
        <v>0.11</v>
      </c>
      <c r="Q25" t="str">
        <f t="shared" si="9"/>
        <v>vrsta bušenja</v>
      </c>
      <c r="R25">
        <v>0</v>
      </c>
      <c r="S25">
        <f>VLOOKUP(R25,$A$41:$C$45,3,FALSE)</f>
        <v>0</v>
      </c>
    </row>
    <row r="26" spans="2:19" x14ac:dyDescent="0.25">
      <c r="B26" t="str">
        <f>B17</f>
        <v>dubina ukupna cm</v>
      </c>
      <c r="C26">
        <v>60</v>
      </c>
      <c r="D26">
        <f>C26*1</f>
        <v>60</v>
      </c>
      <c r="G26" t="str">
        <f t="shared" si="7"/>
        <v>dubina ukupna cm</v>
      </c>
      <c r="H26">
        <v>0</v>
      </c>
      <c r="I26">
        <f>H26*1</f>
        <v>0</v>
      </c>
      <c r="L26" t="str">
        <f t="shared" si="8"/>
        <v>dubina ukupna cm</v>
      </c>
      <c r="M26">
        <v>35</v>
      </c>
      <c r="N26">
        <f>M26*1</f>
        <v>35</v>
      </c>
      <c r="Q26" t="str">
        <f t="shared" si="9"/>
        <v>dubina ukupna cm</v>
      </c>
      <c r="R26">
        <v>0</v>
      </c>
      <c r="S26">
        <f>R26*1</f>
        <v>0</v>
      </c>
    </row>
    <row r="27" spans="2:19" x14ac:dyDescent="0.25">
      <c r="B27" t="str">
        <f>B9</f>
        <v>zaštita (0-NE; 1-DA)</v>
      </c>
      <c r="C27">
        <v>0</v>
      </c>
      <c r="D27">
        <f>C27*$C$39</f>
        <v>0</v>
      </c>
      <c r="G27" t="str">
        <f>B27</f>
        <v>zaštita (0-NE; 1-DA)</v>
      </c>
      <c r="H27">
        <v>0</v>
      </c>
      <c r="I27">
        <f>H27*$C$39</f>
        <v>0</v>
      </c>
      <c r="L27" t="str">
        <f>G27</f>
        <v>zaštita (0-NE; 1-DA)</v>
      </c>
      <c r="M27">
        <v>0</v>
      </c>
      <c r="N27">
        <f>M27*$C$39</f>
        <v>0</v>
      </c>
      <c r="Q27" t="str">
        <f>L27</f>
        <v>zaštita (0-NE; 1-DA)</v>
      </c>
      <c r="R27">
        <v>0</v>
      </c>
      <c r="S27">
        <f>R27*$C$39</f>
        <v>0</v>
      </c>
    </row>
    <row r="28" spans="2:19" x14ac:dyDescent="0.25">
      <c r="B28" t="str">
        <f t="shared" ref="B28:B29" si="10">B19</f>
        <v xml:space="preserve">ankerisanje </v>
      </c>
      <c r="C28">
        <v>1</v>
      </c>
      <c r="D28">
        <f>VLOOKUP(C28,$K$38:$M$40,3,FALSE)</f>
        <v>10</v>
      </c>
      <c r="G28" t="str">
        <f t="shared" si="7"/>
        <v xml:space="preserve">ankerisanje </v>
      </c>
      <c r="H28">
        <v>0</v>
      </c>
      <c r="I28">
        <f>VLOOKUP(H28,$K$38:$M$40,3,FALSE)</f>
        <v>0</v>
      </c>
      <c r="L28" t="str">
        <f t="shared" si="8"/>
        <v xml:space="preserve">ankerisanje </v>
      </c>
      <c r="M28">
        <v>1</v>
      </c>
      <c r="N28">
        <f>VLOOKUP(M28,$K$38:$M$40,3,FALSE)</f>
        <v>10</v>
      </c>
      <c r="Q28" t="str">
        <f t="shared" si="9"/>
        <v xml:space="preserve">ankerisanje </v>
      </c>
      <c r="R28">
        <v>0</v>
      </c>
      <c r="S28">
        <f>VLOOKUP(R28,$K$38:$M$40,3,FALSE)</f>
        <v>0</v>
      </c>
    </row>
    <row r="29" spans="2:19" x14ac:dyDescent="0.25">
      <c r="B29" t="str">
        <f t="shared" si="10"/>
        <v>broj rupa</v>
      </c>
      <c r="C29">
        <v>0</v>
      </c>
      <c r="D29">
        <f>C29</f>
        <v>0</v>
      </c>
      <c r="G29" t="str">
        <f t="shared" si="7"/>
        <v>broj rupa</v>
      </c>
      <c r="H29">
        <v>0</v>
      </c>
      <c r="I29">
        <f>H29</f>
        <v>0</v>
      </c>
      <c r="L29" t="str">
        <f t="shared" si="8"/>
        <v>broj rupa</v>
      </c>
      <c r="M29">
        <v>0</v>
      </c>
      <c r="N29">
        <f>M29</f>
        <v>0</v>
      </c>
      <c r="Q29" t="str">
        <f t="shared" si="9"/>
        <v>broj rupa</v>
      </c>
      <c r="R29">
        <v>0</v>
      </c>
      <c r="S29">
        <f>R29</f>
        <v>0</v>
      </c>
    </row>
    <row r="30" spans="2:19" x14ac:dyDescent="0.25">
      <c r="C30" t="str">
        <f>C21</f>
        <v>Ukupno:</v>
      </c>
      <c r="D30">
        <f>IF(D29&gt;0,(D29*($C$38+D26*D25*D24+D27+D28)),0)</f>
        <v>0</v>
      </c>
      <c r="H30" t="str">
        <f>C30</f>
        <v>Ukupno:</v>
      </c>
      <c r="I30">
        <f>IF(I29&gt;0,(I29*($C$38+I26*I25*I24+I27+I28)),0)</f>
        <v>0</v>
      </c>
      <c r="L30" t="str">
        <f>H30</f>
        <v>Ukupno:</v>
      </c>
      <c r="M30" t="str">
        <f>H30</f>
        <v>Ukupno:</v>
      </c>
      <c r="N30">
        <f>IF(N29&gt;0,(N29*($C$38+N26*N25*N24+N27+N28)),0)</f>
        <v>0</v>
      </c>
      <c r="R30" t="str">
        <f>L30</f>
        <v>Ukupno:</v>
      </c>
      <c r="S30">
        <f>IF(S29&gt;0,(S29*($C$38+S26*S25*S24+S27+S28)),0)</f>
        <v>0</v>
      </c>
    </row>
    <row r="32" spans="2:19" x14ac:dyDescent="0.25">
      <c r="B32" t="s">
        <v>15</v>
      </c>
      <c r="D32">
        <f>IF((D30+D21+D12+D4)&lt;80,80,D30+D21+D12+D4)</f>
        <v>380.55000000000007</v>
      </c>
      <c r="G32" t="str">
        <f>B32</f>
        <v>Ukupno bez rabata</v>
      </c>
      <c r="I32">
        <f>IF((I30+I21+I12+I4)&lt;80,80,I30+I21+I12+I4)</f>
        <v>624</v>
      </c>
      <c r="L32" t="str">
        <f>G32</f>
        <v>Ukupno bez rabata</v>
      </c>
      <c r="N32">
        <f>IF((N30+N21+N12+N4)&lt;80,80,N30+N21+N12+N4)</f>
        <v>446.68</v>
      </c>
      <c r="Q32" t="str">
        <f>L32</f>
        <v>Ukupno bez rabata</v>
      </c>
      <c r="S32">
        <f>IF((S30+S21+S12+S4)&lt;80,80,S30+S21+S12+S4)</f>
        <v>122.12</v>
      </c>
    </row>
    <row r="33" spans="1:19" x14ac:dyDescent="0.25">
      <c r="B33" t="s">
        <v>18</v>
      </c>
      <c r="D33" s="2">
        <f>IF(C33=9,20%,IF(D32&lt;$G$39,$H$39%,IF(D32&lt;$G$40,$H$40%,IF(D32&lt;$G$41,$H$41%,IF(D32&lt;$G$42,$H$42%,IF(D32&lt;$G$43,$H$43%,$H$44%))))))</f>
        <v>0.2</v>
      </c>
      <c r="G33" t="str">
        <f>B33</f>
        <v>partner da-9</v>
      </c>
      <c r="I33" s="2">
        <f>IF(H33=9,20%,IF(I32&lt;$G$39,$H$39%,IF(I32&lt;$G$40,$H$40%,IF(I32&lt;$G$41,$H$41%,IF(I32&lt;$G$42,$H$42%,IF(I32&lt;$G$43,$H$43%,$H$44%))))))</f>
        <v>0.25</v>
      </c>
      <c r="L33" t="str">
        <f>G33</f>
        <v>partner da-9</v>
      </c>
      <c r="M33">
        <v>9</v>
      </c>
      <c r="N33" s="2">
        <f>IF(M33=9,20%,IF(N32&lt;$G$39,$H$39%,IF(N32&lt;$G$40,$H$40%,IF(N32&lt;$G$41,$H$41%,IF(N32&lt;$G$42,$H$42%,IF(N32&lt;$G$43,$H$43%,$H$44%))))))</f>
        <v>0.2</v>
      </c>
      <c r="Q33" t="str">
        <f>L33</f>
        <v>partner da-9</v>
      </c>
      <c r="R33">
        <v>0</v>
      </c>
      <c r="S33" s="2">
        <f>IF(R33=9,20%,IF(S32&lt;$G$39,$H$39%,IF(S32&lt;$G$40,$H$40%,IF(S32&lt;$G$41,$H$41%,IF(S32&lt;$G$42,$H$42%,IF(S32&lt;$G$43,$H$43%,$H$44%))))))</f>
        <v>0.05</v>
      </c>
    </row>
    <row r="34" spans="1:19" x14ac:dyDescent="0.25">
      <c r="C34" s="3" t="s">
        <v>17</v>
      </c>
      <c r="D34" s="7">
        <f>D32-D33*D32</f>
        <v>304.44000000000005</v>
      </c>
      <c r="G34" s="3"/>
      <c r="H34" s="3" t="s">
        <v>17</v>
      </c>
      <c r="I34" s="7">
        <f>I32-I33*I32</f>
        <v>468</v>
      </c>
      <c r="M34" s="3" t="s">
        <v>17</v>
      </c>
      <c r="N34" s="7">
        <f>N32-N33*N32</f>
        <v>357.34399999999999</v>
      </c>
      <c r="R34" s="3" t="s">
        <v>17</v>
      </c>
      <c r="S34" s="7">
        <f>S32-S33*S32</f>
        <v>116.01400000000001</v>
      </c>
    </row>
    <row r="38" spans="1:19" x14ac:dyDescent="0.25">
      <c r="B38" t="s">
        <v>2</v>
      </c>
      <c r="C38">
        <v>20</v>
      </c>
      <c r="G38" t="s">
        <v>7</v>
      </c>
      <c r="H38" s="1"/>
      <c r="K38">
        <v>0</v>
      </c>
      <c r="L38" t="s">
        <v>11</v>
      </c>
      <c r="M38">
        <v>0</v>
      </c>
    </row>
    <row r="39" spans="1:19" x14ac:dyDescent="0.25">
      <c r="B39" t="s">
        <v>20</v>
      </c>
      <c r="C39">
        <v>15</v>
      </c>
      <c r="F39">
        <v>1</v>
      </c>
      <c r="G39">
        <v>121</v>
      </c>
      <c r="H39">
        <v>0</v>
      </c>
      <c r="K39">
        <v>1</v>
      </c>
      <c r="L39" t="s">
        <v>13</v>
      </c>
      <c r="M39">
        <v>10</v>
      </c>
    </row>
    <row r="40" spans="1:19" x14ac:dyDescent="0.25">
      <c r="F40">
        <v>2</v>
      </c>
      <c r="G40">
        <v>171</v>
      </c>
      <c r="H40">
        <v>5</v>
      </c>
      <c r="K40">
        <v>2</v>
      </c>
      <c r="L40" t="s">
        <v>14</v>
      </c>
      <c r="M40">
        <v>20</v>
      </c>
    </row>
    <row r="41" spans="1:19" x14ac:dyDescent="0.25">
      <c r="A41">
        <v>0</v>
      </c>
      <c r="B41" t="s">
        <v>16</v>
      </c>
      <c r="C41">
        <v>0</v>
      </c>
      <c r="F41">
        <v>3</v>
      </c>
      <c r="G41">
        <v>201</v>
      </c>
      <c r="H41">
        <v>10</v>
      </c>
    </row>
    <row r="42" spans="1:19" x14ac:dyDescent="0.25">
      <c r="A42">
        <v>1</v>
      </c>
      <c r="B42" t="s">
        <v>3</v>
      </c>
      <c r="C42">
        <v>0.08</v>
      </c>
      <c r="F42">
        <v>4</v>
      </c>
      <c r="G42">
        <v>301</v>
      </c>
      <c r="H42">
        <v>15</v>
      </c>
      <c r="L42" t="s">
        <v>0</v>
      </c>
    </row>
    <row r="43" spans="1:19" x14ac:dyDescent="0.25">
      <c r="A43">
        <v>2</v>
      </c>
      <c r="B43" t="s">
        <v>4</v>
      </c>
      <c r="C43">
        <v>0.11</v>
      </c>
      <c r="F43">
        <v>5</v>
      </c>
      <c r="G43">
        <v>401</v>
      </c>
      <c r="H43">
        <v>20</v>
      </c>
      <c r="K43">
        <v>1</v>
      </c>
      <c r="L43" t="s">
        <v>6</v>
      </c>
      <c r="M43">
        <v>20</v>
      </c>
    </row>
    <row r="44" spans="1:19" x14ac:dyDescent="0.25">
      <c r="A44">
        <v>3</v>
      </c>
      <c r="B44" t="s">
        <v>22</v>
      </c>
      <c r="C44">
        <v>0.17</v>
      </c>
      <c r="F44">
        <v>6</v>
      </c>
      <c r="G44" t="s">
        <v>19</v>
      </c>
      <c r="H44">
        <v>25</v>
      </c>
      <c r="K44">
        <v>2</v>
      </c>
      <c r="L44" t="s">
        <v>23</v>
      </c>
      <c r="M44">
        <v>40</v>
      </c>
    </row>
    <row r="45" spans="1:19" x14ac:dyDescent="0.25">
      <c r="A45">
        <v>4</v>
      </c>
      <c r="B45" t="s">
        <v>5</v>
      </c>
      <c r="C45">
        <v>0.3</v>
      </c>
      <c r="F45">
        <v>9</v>
      </c>
      <c r="G45" t="s">
        <v>8</v>
      </c>
      <c r="H45">
        <v>21</v>
      </c>
      <c r="K45">
        <v>3</v>
      </c>
      <c r="L45" t="s">
        <v>24</v>
      </c>
      <c r="M45">
        <v>0.45</v>
      </c>
    </row>
    <row r="47" spans="1:19" x14ac:dyDescent="0.25">
      <c r="C47" s="1"/>
    </row>
    <row r="48" spans="1:19" x14ac:dyDescent="0.25">
      <c r="C4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91"/>
  <sheetViews>
    <sheetView tabSelected="1" workbookViewId="0">
      <selection activeCell="L4" sqref="L4"/>
    </sheetView>
  </sheetViews>
  <sheetFormatPr defaultRowHeight="15" x14ac:dyDescent="0.25"/>
  <cols>
    <col min="1" max="1" width="14.85546875" customWidth="1"/>
    <col min="3" max="3" width="6.42578125" customWidth="1"/>
    <col min="4" max="4" width="12" bestFit="1" customWidth="1"/>
    <col min="5" max="5" width="11.140625" customWidth="1"/>
    <col min="6" max="6" width="12.140625" customWidth="1"/>
    <col min="7" max="7" width="11.140625" customWidth="1"/>
    <col min="8" max="8" width="13" customWidth="1"/>
    <col min="9" max="9" width="11" bestFit="1" customWidth="1"/>
    <col min="10" max="16" width="11.140625" bestFit="1" customWidth="1"/>
    <col min="17" max="17" width="11.140625" style="17" bestFit="1" customWidth="1"/>
    <col min="18" max="20" width="11.140625" bestFit="1" customWidth="1"/>
    <col min="21" max="21" width="12.7109375" customWidth="1"/>
  </cols>
  <sheetData>
    <row r="1" spans="1:21" x14ac:dyDescent="0.25">
      <c r="B1" t="s">
        <v>28</v>
      </c>
      <c r="P1">
        <v>2.2000000000000002</v>
      </c>
    </row>
    <row r="2" spans="1:21" x14ac:dyDescent="0.25">
      <c r="A2" t="s">
        <v>29</v>
      </c>
      <c r="C2" s="9">
        <v>2600</v>
      </c>
      <c r="D2" t="s">
        <v>28</v>
      </c>
      <c r="G2" s="3" t="s">
        <v>58</v>
      </c>
      <c r="H2" s="27">
        <v>0</v>
      </c>
      <c r="K2" s="3" t="s">
        <v>50</v>
      </c>
      <c r="L2" s="28">
        <v>2.2000000000000002</v>
      </c>
      <c r="O2" s="3" t="s">
        <v>49</v>
      </c>
      <c r="P2" s="27">
        <v>2.2000000000000002</v>
      </c>
    </row>
    <row r="3" spans="1:21" x14ac:dyDescent="0.25">
      <c r="K3" s="3" t="s">
        <v>9</v>
      </c>
      <c r="L3" s="9">
        <v>102</v>
      </c>
    </row>
    <row r="4" spans="1:21" x14ac:dyDescent="0.25">
      <c r="M4" t="s">
        <v>32</v>
      </c>
    </row>
    <row r="6" spans="1:21" x14ac:dyDescent="0.25">
      <c r="A6" s="8"/>
      <c r="B6" s="10"/>
      <c r="C6" s="25" t="s">
        <v>36</v>
      </c>
      <c r="D6" s="10">
        <v>0.6</v>
      </c>
      <c r="G6" s="25" t="s">
        <v>55</v>
      </c>
      <c r="H6" s="12">
        <f>D12/(D10*D11)</f>
        <v>58.5</v>
      </c>
      <c r="O6" s="3" t="s">
        <v>59</v>
      </c>
      <c r="P6" s="11">
        <f>P7/2-SQRT((P7/2)*(P7/2)-((D9*10)*(D9*10)))</f>
        <v>87.750100080080074</v>
      </c>
    </row>
    <row r="7" spans="1:21" x14ac:dyDescent="0.25">
      <c r="D7" s="10">
        <v>0.6</v>
      </c>
      <c r="G7" s="25" t="s">
        <v>56</v>
      </c>
      <c r="H7" s="22">
        <f>(D10+1)*2+(D11-1)*2</f>
        <v>8</v>
      </c>
      <c r="O7" s="3" t="s">
        <v>60</v>
      </c>
      <c r="P7" s="9">
        <v>800</v>
      </c>
    </row>
    <row r="8" spans="1:21" x14ac:dyDescent="0.25">
      <c r="C8" t="s">
        <v>48</v>
      </c>
      <c r="D8" s="8">
        <f>D6*D7</f>
        <v>0.36</v>
      </c>
      <c r="H8" s="8"/>
      <c r="O8" s="3" t="s">
        <v>61</v>
      </c>
      <c r="P8" s="9">
        <f>D9*10</f>
        <v>250</v>
      </c>
    </row>
    <row r="9" spans="1:21" x14ac:dyDescent="0.25">
      <c r="C9" s="25" t="s">
        <v>30</v>
      </c>
      <c r="D9" s="10">
        <v>25</v>
      </c>
      <c r="G9" s="25" t="s">
        <v>53</v>
      </c>
      <c r="H9" s="29">
        <f>$P$2*D9*((D10+1)*D6+(D11+1)*D7)</f>
        <v>198</v>
      </c>
      <c r="N9" s="15"/>
    </row>
    <row r="10" spans="1:21" x14ac:dyDescent="0.25">
      <c r="C10" s="25" t="s">
        <v>51</v>
      </c>
      <c r="D10" s="10">
        <v>2</v>
      </c>
      <c r="G10" s="25" t="s">
        <v>62</v>
      </c>
      <c r="H10" s="29">
        <v>200</v>
      </c>
    </row>
    <row r="11" spans="1:21" x14ac:dyDescent="0.25">
      <c r="C11" s="25" t="s">
        <v>52</v>
      </c>
      <c r="D11" s="10">
        <v>2</v>
      </c>
      <c r="G11" s="25" t="s">
        <v>54</v>
      </c>
      <c r="H11" s="30">
        <f>$D$9*H7*$L$2*$L$3/100</f>
        <v>448.80000000000007</v>
      </c>
    </row>
    <row r="12" spans="1:21" x14ac:dyDescent="0.25">
      <c r="C12" s="26" t="s">
        <v>57</v>
      </c>
      <c r="D12" s="22">
        <f>D8*D9/100*C2</f>
        <v>234</v>
      </c>
      <c r="G12" s="25" t="s">
        <v>63</v>
      </c>
      <c r="H12" s="4">
        <f>H9+H10+H11</f>
        <v>846.80000000000007</v>
      </c>
    </row>
    <row r="14" spans="1:21" x14ac:dyDescent="0.25">
      <c r="C14" s="3" t="str">
        <f>C6</f>
        <v>otvor dimenzije u metrima</v>
      </c>
      <c r="E14">
        <v>0.5</v>
      </c>
      <c r="F14">
        <v>0.5</v>
      </c>
      <c r="G14">
        <v>0.5</v>
      </c>
      <c r="H14">
        <v>0.75</v>
      </c>
      <c r="I14">
        <v>1</v>
      </c>
      <c r="J14">
        <v>1</v>
      </c>
      <c r="K14">
        <v>1.25</v>
      </c>
      <c r="L14">
        <v>1.25</v>
      </c>
      <c r="M14">
        <v>1.5</v>
      </c>
      <c r="N14">
        <v>1.5</v>
      </c>
      <c r="O14">
        <v>1.75</v>
      </c>
      <c r="P14">
        <v>1.75</v>
      </c>
      <c r="Q14" s="17">
        <v>2</v>
      </c>
      <c r="R14">
        <v>2</v>
      </c>
      <c r="S14">
        <v>2.25</v>
      </c>
      <c r="T14">
        <v>2.25</v>
      </c>
      <c r="U14">
        <v>2.5</v>
      </c>
    </row>
    <row r="15" spans="1:21" x14ac:dyDescent="0.25">
      <c r="A15" s="8"/>
      <c r="B15" s="8"/>
      <c r="E15">
        <v>0.5</v>
      </c>
      <c r="F15">
        <v>0.75</v>
      </c>
      <c r="G15">
        <v>1</v>
      </c>
      <c r="H15">
        <v>1</v>
      </c>
      <c r="I15">
        <v>1</v>
      </c>
      <c r="J15">
        <v>1.25</v>
      </c>
      <c r="K15">
        <v>1.25</v>
      </c>
      <c r="L15">
        <v>1.5</v>
      </c>
      <c r="M15">
        <v>1.5</v>
      </c>
      <c r="N15">
        <v>1.75</v>
      </c>
      <c r="O15">
        <v>1.75</v>
      </c>
      <c r="P15">
        <v>2</v>
      </c>
      <c r="Q15" s="17">
        <v>2</v>
      </c>
      <c r="R15">
        <v>2.25</v>
      </c>
      <c r="S15">
        <v>2.25</v>
      </c>
      <c r="T15">
        <v>2.5</v>
      </c>
      <c r="U15">
        <v>2.5</v>
      </c>
    </row>
    <row r="16" spans="1:21" x14ac:dyDescent="0.25">
      <c r="A16" s="8"/>
      <c r="B16" s="8"/>
      <c r="E16">
        <f>E15*E14</f>
        <v>0.25</v>
      </c>
      <c r="F16">
        <f t="shared" ref="F16:U16" si="0">F15*F14</f>
        <v>0.375</v>
      </c>
      <c r="G16">
        <f t="shared" si="0"/>
        <v>0.5</v>
      </c>
      <c r="H16">
        <f t="shared" si="0"/>
        <v>0.75</v>
      </c>
      <c r="I16">
        <f t="shared" si="0"/>
        <v>1</v>
      </c>
      <c r="J16">
        <f t="shared" si="0"/>
        <v>1.25</v>
      </c>
      <c r="K16">
        <f t="shared" si="0"/>
        <v>1.5625</v>
      </c>
      <c r="L16">
        <f t="shared" si="0"/>
        <v>1.875</v>
      </c>
      <c r="M16">
        <f t="shared" si="0"/>
        <v>2.25</v>
      </c>
      <c r="N16">
        <f t="shared" si="0"/>
        <v>2.625</v>
      </c>
      <c r="O16">
        <f t="shared" si="0"/>
        <v>3.0625</v>
      </c>
      <c r="P16">
        <f t="shared" si="0"/>
        <v>3.5</v>
      </c>
      <c r="Q16" s="17">
        <f t="shared" si="0"/>
        <v>4</v>
      </c>
      <c r="R16">
        <f t="shared" si="0"/>
        <v>4.5</v>
      </c>
      <c r="S16">
        <f t="shared" si="0"/>
        <v>5.0625</v>
      </c>
      <c r="T16">
        <f t="shared" si="0"/>
        <v>5.625</v>
      </c>
      <c r="U16">
        <f t="shared" si="0"/>
        <v>6.25</v>
      </c>
    </row>
    <row r="17" spans="1:21" x14ac:dyDescent="0.25">
      <c r="A17" t="str">
        <f>C9</f>
        <v xml:space="preserve">Debljina u cm: </v>
      </c>
      <c r="B17" s="8" t="s">
        <v>31</v>
      </c>
    </row>
    <row r="18" spans="1:21" x14ac:dyDescent="0.25">
      <c r="A18" s="10">
        <f>D9</f>
        <v>25</v>
      </c>
      <c r="B18">
        <f>D9*$C$2/100</f>
        <v>650</v>
      </c>
    </row>
    <row r="19" spans="1:21" x14ac:dyDescent="0.25">
      <c r="A19" s="8">
        <v>20</v>
      </c>
      <c r="B19">
        <f>A19*$C$2/100</f>
        <v>520</v>
      </c>
      <c r="E19">
        <f>E$16*$A$19/100*$C$2</f>
        <v>130</v>
      </c>
      <c r="F19">
        <f t="shared" ref="F19:U19" si="1">F$16*$A$19/100*$C$2</f>
        <v>195</v>
      </c>
      <c r="G19">
        <f t="shared" si="1"/>
        <v>260</v>
      </c>
      <c r="H19">
        <f t="shared" si="1"/>
        <v>390</v>
      </c>
      <c r="I19">
        <f t="shared" si="1"/>
        <v>520</v>
      </c>
      <c r="J19">
        <f t="shared" si="1"/>
        <v>650</v>
      </c>
      <c r="K19">
        <f t="shared" si="1"/>
        <v>812.5</v>
      </c>
      <c r="L19">
        <f t="shared" si="1"/>
        <v>975</v>
      </c>
      <c r="M19">
        <f t="shared" si="1"/>
        <v>1170</v>
      </c>
      <c r="N19">
        <f t="shared" si="1"/>
        <v>1365</v>
      </c>
      <c r="O19">
        <f t="shared" si="1"/>
        <v>1592.5000000000002</v>
      </c>
      <c r="P19">
        <f t="shared" si="1"/>
        <v>1819.9999999999998</v>
      </c>
      <c r="Q19" s="17">
        <f t="shared" si="1"/>
        <v>2080</v>
      </c>
      <c r="R19">
        <f t="shared" si="1"/>
        <v>2340</v>
      </c>
      <c r="S19">
        <f t="shared" si="1"/>
        <v>2632.5</v>
      </c>
      <c r="T19">
        <f t="shared" si="1"/>
        <v>2925</v>
      </c>
      <c r="U19">
        <f t="shared" si="1"/>
        <v>3250</v>
      </c>
    </row>
    <row r="20" spans="1:21" x14ac:dyDescent="0.25">
      <c r="A20" s="8">
        <v>25</v>
      </c>
      <c r="B20">
        <f>A20*$C$2/100</f>
        <v>650</v>
      </c>
      <c r="E20">
        <f>E$16*$A$20/100*$C$2</f>
        <v>162.5</v>
      </c>
      <c r="F20">
        <f t="shared" ref="F20:U20" si="2">F$16*$A$20/100*$C$2</f>
        <v>243.75</v>
      </c>
      <c r="G20">
        <f t="shared" si="2"/>
        <v>325</v>
      </c>
      <c r="H20">
        <f t="shared" si="2"/>
        <v>487.5</v>
      </c>
      <c r="I20">
        <f t="shared" si="2"/>
        <v>650</v>
      </c>
      <c r="J20">
        <f t="shared" si="2"/>
        <v>812.5</v>
      </c>
      <c r="K20">
        <f t="shared" si="2"/>
        <v>1015.625</v>
      </c>
      <c r="L20">
        <f t="shared" si="2"/>
        <v>1218.75</v>
      </c>
      <c r="M20">
        <f t="shared" si="2"/>
        <v>1462.5</v>
      </c>
      <c r="N20">
        <f t="shared" si="2"/>
        <v>1706.25</v>
      </c>
      <c r="O20">
        <f t="shared" si="2"/>
        <v>1990.625</v>
      </c>
      <c r="P20">
        <f t="shared" si="2"/>
        <v>2275</v>
      </c>
      <c r="Q20" s="17">
        <f t="shared" si="2"/>
        <v>2600</v>
      </c>
      <c r="R20">
        <f t="shared" si="2"/>
        <v>2925</v>
      </c>
      <c r="S20">
        <f t="shared" si="2"/>
        <v>3290.625</v>
      </c>
      <c r="T20">
        <f t="shared" si="2"/>
        <v>3656.25</v>
      </c>
      <c r="U20">
        <f t="shared" si="2"/>
        <v>4062.5</v>
      </c>
    </row>
    <row r="21" spans="1:21" x14ac:dyDescent="0.25">
      <c r="A21" s="8">
        <v>30</v>
      </c>
      <c r="B21">
        <f>A21*$C$2/100</f>
        <v>780</v>
      </c>
      <c r="E21">
        <f>E$16*$A$21/100*$C$2</f>
        <v>195</v>
      </c>
      <c r="F21">
        <f t="shared" ref="F21:U21" si="3">F$16*$A$21/100*$C$2</f>
        <v>292.5</v>
      </c>
      <c r="G21">
        <f>G$16*$A$21/100*$C$2</f>
        <v>390</v>
      </c>
      <c r="H21">
        <f t="shared" si="3"/>
        <v>585</v>
      </c>
      <c r="I21">
        <f t="shared" si="3"/>
        <v>780</v>
      </c>
      <c r="J21">
        <f t="shared" si="3"/>
        <v>975</v>
      </c>
      <c r="K21">
        <f t="shared" si="3"/>
        <v>1218.75</v>
      </c>
      <c r="L21">
        <f t="shared" si="3"/>
        <v>1462.5</v>
      </c>
      <c r="M21">
        <f t="shared" si="3"/>
        <v>1755.0000000000002</v>
      </c>
      <c r="N21">
        <f t="shared" si="3"/>
        <v>2047.5</v>
      </c>
      <c r="O21">
        <f t="shared" si="3"/>
        <v>2388.75</v>
      </c>
      <c r="P21">
        <f t="shared" si="3"/>
        <v>2730</v>
      </c>
      <c r="Q21" s="17">
        <f t="shared" si="3"/>
        <v>3120</v>
      </c>
      <c r="R21">
        <f t="shared" si="3"/>
        <v>3510.0000000000005</v>
      </c>
      <c r="S21">
        <f t="shared" si="3"/>
        <v>3948.75</v>
      </c>
      <c r="T21">
        <f t="shared" si="3"/>
        <v>4387.5</v>
      </c>
      <c r="U21">
        <f t="shared" si="3"/>
        <v>4875</v>
      </c>
    </row>
    <row r="22" spans="1:21" x14ac:dyDescent="0.25">
      <c r="A22" s="8">
        <v>35</v>
      </c>
      <c r="B22">
        <f>A22*$C$2/100</f>
        <v>910</v>
      </c>
      <c r="E22">
        <f>E$16*$A$22/100*$C$2</f>
        <v>227.49999999999997</v>
      </c>
      <c r="F22">
        <f t="shared" ref="F22:U22" si="4">F$16*$A$22/100*$C$2</f>
        <v>341.25</v>
      </c>
      <c r="G22">
        <f t="shared" si="4"/>
        <v>454.99999999999994</v>
      </c>
      <c r="H22">
        <f t="shared" si="4"/>
        <v>682.5</v>
      </c>
      <c r="I22">
        <f t="shared" si="4"/>
        <v>909.99999999999989</v>
      </c>
      <c r="J22">
        <f t="shared" si="4"/>
        <v>1137.5</v>
      </c>
      <c r="K22">
        <f t="shared" si="4"/>
        <v>1421.875</v>
      </c>
      <c r="L22">
        <f t="shared" si="4"/>
        <v>1706.25</v>
      </c>
      <c r="M22">
        <f t="shared" si="4"/>
        <v>2047.5</v>
      </c>
      <c r="N22">
        <f t="shared" si="4"/>
        <v>2388.75</v>
      </c>
      <c r="O22">
        <f t="shared" si="4"/>
        <v>2786.8749999999995</v>
      </c>
      <c r="P22">
        <f t="shared" si="4"/>
        <v>3185.0000000000005</v>
      </c>
      <c r="Q22" s="17">
        <f t="shared" si="4"/>
        <v>3639.9999999999995</v>
      </c>
      <c r="R22">
        <f t="shared" si="4"/>
        <v>4095</v>
      </c>
      <c r="S22">
        <f t="shared" si="4"/>
        <v>4606.875</v>
      </c>
      <c r="T22">
        <f t="shared" si="4"/>
        <v>5118.75</v>
      </c>
      <c r="U22">
        <f t="shared" si="4"/>
        <v>5687.5</v>
      </c>
    </row>
    <row r="25" spans="1:21" x14ac:dyDescent="0.25">
      <c r="D25" t="str">
        <f>C10</f>
        <v>Broj redova bloka:</v>
      </c>
    </row>
    <row r="26" spans="1:21" x14ac:dyDescent="0.25">
      <c r="A26" s="24"/>
    </row>
    <row r="27" spans="1:21" x14ac:dyDescent="0.25">
      <c r="A27" s="8">
        <f>A19</f>
        <v>20</v>
      </c>
      <c r="E27" s="13">
        <v>2</v>
      </c>
      <c r="F27" s="13">
        <v>2</v>
      </c>
      <c r="G27" s="13">
        <v>2</v>
      </c>
      <c r="H27" s="13">
        <v>3</v>
      </c>
      <c r="I27" s="13">
        <v>4</v>
      </c>
      <c r="J27" s="13">
        <v>4</v>
      </c>
      <c r="K27" s="13">
        <v>5</v>
      </c>
      <c r="L27" s="13">
        <v>5</v>
      </c>
      <c r="M27" s="13">
        <v>6</v>
      </c>
      <c r="N27" s="13">
        <v>6</v>
      </c>
      <c r="O27" s="13">
        <v>7</v>
      </c>
      <c r="P27" s="13">
        <v>7</v>
      </c>
      <c r="Q27" s="18">
        <v>8</v>
      </c>
      <c r="R27" s="13">
        <v>8</v>
      </c>
      <c r="S27" s="13">
        <v>9</v>
      </c>
      <c r="T27" s="13">
        <v>9</v>
      </c>
      <c r="U27" s="13">
        <v>10</v>
      </c>
    </row>
    <row r="28" spans="1:21" x14ac:dyDescent="0.25">
      <c r="A28" s="8">
        <f t="shared" ref="A28:A30" si="5">A20</f>
        <v>25</v>
      </c>
      <c r="E28" s="13">
        <v>2</v>
      </c>
      <c r="F28" s="13">
        <v>2</v>
      </c>
      <c r="G28" s="13">
        <v>2</v>
      </c>
      <c r="H28" s="13">
        <v>3</v>
      </c>
      <c r="I28" s="13">
        <v>4</v>
      </c>
      <c r="J28" s="13">
        <v>4</v>
      </c>
      <c r="K28" s="13">
        <v>5</v>
      </c>
      <c r="L28" s="13">
        <v>6</v>
      </c>
      <c r="M28" s="13">
        <v>6</v>
      </c>
      <c r="N28" s="13">
        <v>6</v>
      </c>
      <c r="O28" s="13">
        <v>8</v>
      </c>
      <c r="P28" s="13">
        <v>8</v>
      </c>
      <c r="Q28" s="18">
        <v>8</v>
      </c>
      <c r="R28" s="13">
        <v>8</v>
      </c>
      <c r="S28" s="13">
        <v>9</v>
      </c>
      <c r="T28" s="13">
        <v>10</v>
      </c>
      <c r="U28" s="13">
        <v>10</v>
      </c>
    </row>
    <row r="29" spans="1:21" x14ac:dyDescent="0.25">
      <c r="A29" s="8">
        <f t="shared" si="5"/>
        <v>30</v>
      </c>
      <c r="E29" s="13">
        <v>2</v>
      </c>
      <c r="F29" s="13">
        <v>2</v>
      </c>
      <c r="G29" s="13">
        <v>2</v>
      </c>
      <c r="H29" s="13">
        <v>3</v>
      </c>
      <c r="I29" s="13">
        <v>4</v>
      </c>
      <c r="J29" s="13">
        <v>5</v>
      </c>
      <c r="K29" s="13">
        <v>5</v>
      </c>
      <c r="L29" s="13">
        <v>6</v>
      </c>
      <c r="M29" s="13">
        <v>7</v>
      </c>
      <c r="N29" s="13">
        <v>7</v>
      </c>
      <c r="O29" s="13">
        <v>8</v>
      </c>
      <c r="P29" s="13">
        <v>8</v>
      </c>
      <c r="Q29" s="18">
        <v>9</v>
      </c>
      <c r="R29" s="13">
        <v>9</v>
      </c>
      <c r="S29" s="13">
        <v>10</v>
      </c>
      <c r="T29" s="13">
        <v>11</v>
      </c>
      <c r="U29" s="13">
        <v>11</v>
      </c>
    </row>
    <row r="30" spans="1:21" x14ac:dyDescent="0.25">
      <c r="A30" s="8">
        <f t="shared" si="5"/>
        <v>35</v>
      </c>
      <c r="E30" s="13">
        <v>2</v>
      </c>
      <c r="F30" s="13">
        <v>2</v>
      </c>
      <c r="G30" s="13">
        <v>2</v>
      </c>
      <c r="H30" s="13">
        <v>4</v>
      </c>
      <c r="I30" s="13">
        <v>5</v>
      </c>
      <c r="J30" s="13">
        <v>5</v>
      </c>
      <c r="K30" s="13">
        <v>5</v>
      </c>
      <c r="L30" s="13">
        <v>7</v>
      </c>
      <c r="M30" s="13">
        <v>7</v>
      </c>
      <c r="N30" s="13">
        <v>7</v>
      </c>
      <c r="O30" s="13">
        <v>9</v>
      </c>
      <c r="P30" s="13">
        <v>9</v>
      </c>
      <c r="Q30" s="18">
        <v>10</v>
      </c>
      <c r="R30" s="13">
        <v>10</v>
      </c>
      <c r="S30" s="13">
        <v>10</v>
      </c>
      <c r="T30" s="13">
        <v>11</v>
      </c>
      <c r="U30" s="13">
        <v>12</v>
      </c>
    </row>
    <row r="31" spans="1:21" x14ac:dyDescent="0.25">
      <c r="A31" s="8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8"/>
      <c r="R31" s="13"/>
      <c r="S31" s="13"/>
      <c r="T31" s="13"/>
      <c r="U31" s="13"/>
    </row>
    <row r="32" spans="1:21" x14ac:dyDescent="0.25">
      <c r="D32" t="str">
        <f>C11</f>
        <v xml:space="preserve">Broj koluma blok: </v>
      </c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8"/>
      <c r="R32" s="13"/>
      <c r="S32" s="13"/>
      <c r="T32" s="13"/>
      <c r="U32" s="13"/>
    </row>
    <row r="33" spans="1:21" x14ac:dyDescent="0.25">
      <c r="A33" s="24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8"/>
      <c r="R33" s="13"/>
      <c r="S33" s="13"/>
      <c r="T33" s="13"/>
      <c r="U33" s="13"/>
    </row>
    <row r="34" spans="1:21" x14ac:dyDescent="0.25">
      <c r="A34" s="8">
        <f>A27</f>
        <v>20</v>
      </c>
      <c r="E34" s="13">
        <v>2</v>
      </c>
      <c r="F34" s="13">
        <v>3</v>
      </c>
      <c r="G34" s="13">
        <v>3</v>
      </c>
      <c r="H34" s="13">
        <v>4</v>
      </c>
      <c r="I34" s="13">
        <v>4</v>
      </c>
      <c r="J34" s="13">
        <v>4</v>
      </c>
      <c r="K34" s="13">
        <v>5</v>
      </c>
      <c r="L34" s="13">
        <v>6</v>
      </c>
      <c r="M34" s="13">
        <v>6</v>
      </c>
      <c r="N34" s="13">
        <v>7</v>
      </c>
      <c r="O34" s="13">
        <v>7</v>
      </c>
      <c r="P34" s="13">
        <v>8</v>
      </c>
      <c r="Q34" s="18">
        <v>8</v>
      </c>
      <c r="R34" s="13">
        <v>9</v>
      </c>
      <c r="S34" s="13">
        <v>9</v>
      </c>
      <c r="T34" s="13">
        <v>10</v>
      </c>
      <c r="U34" s="13">
        <v>10</v>
      </c>
    </row>
    <row r="35" spans="1:21" x14ac:dyDescent="0.25">
      <c r="A35" s="8">
        <f>A28</f>
        <v>25</v>
      </c>
      <c r="E35" s="13">
        <v>2</v>
      </c>
      <c r="F35" s="13">
        <v>3</v>
      </c>
      <c r="G35" s="13">
        <v>4</v>
      </c>
      <c r="H35" s="13">
        <v>4</v>
      </c>
      <c r="I35" s="13">
        <v>4</v>
      </c>
      <c r="J35" s="13">
        <v>5</v>
      </c>
      <c r="K35" s="13">
        <v>6</v>
      </c>
      <c r="L35" s="13">
        <v>6</v>
      </c>
      <c r="M35" s="13">
        <v>7</v>
      </c>
      <c r="N35" s="13">
        <v>7</v>
      </c>
      <c r="O35" s="13">
        <v>8</v>
      </c>
      <c r="P35" s="13">
        <v>9</v>
      </c>
      <c r="Q35" s="18">
        <v>9</v>
      </c>
      <c r="R35" s="13">
        <v>9</v>
      </c>
      <c r="S35" s="13">
        <v>10</v>
      </c>
      <c r="T35" s="13">
        <v>10</v>
      </c>
      <c r="U35" s="13">
        <v>11</v>
      </c>
    </row>
    <row r="36" spans="1:21" x14ac:dyDescent="0.25">
      <c r="A36" s="8">
        <f>A29</f>
        <v>30</v>
      </c>
      <c r="E36" s="13">
        <v>3</v>
      </c>
      <c r="F36" s="13">
        <v>4</v>
      </c>
      <c r="G36" s="13">
        <v>5</v>
      </c>
      <c r="H36" s="13">
        <v>5</v>
      </c>
      <c r="I36" s="13">
        <v>5</v>
      </c>
      <c r="J36" s="13">
        <v>5</v>
      </c>
      <c r="K36" s="13">
        <v>7</v>
      </c>
      <c r="L36" s="13">
        <v>8</v>
      </c>
      <c r="M36" s="13">
        <v>7</v>
      </c>
      <c r="N36" s="13">
        <v>7</v>
      </c>
      <c r="O36" s="13">
        <v>9</v>
      </c>
      <c r="P36" s="13">
        <v>9</v>
      </c>
      <c r="Q36" s="18">
        <v>9</v>
      </c>
      <c r="R36" s="13">
        <v>9</v>
      </c>
      <c r="S36" s="13">
        <v>10</v>
      </c>
      <c r="T36" s="13">
        <v>11</v>
      </c>
      <c r="U36" s="13">
        <v>12</v>
      </c>
    </row>
    <row r="37" spans="1:21" x14ac:dyDescent="0.25">
      <c r="A37" s="8">
        <f>A30</f>
        <v>35</v>
      </c>
      <c r="E37" s="13">
        <v>3</v>
      </c>
      <c r="F37" s="13">
        <v>5</v>
      </c>
      <c r="G37" s="13">
        <v>5</v>
      </c>
      <c r="H37" s="13">
        <v>5</v>
      </c>
      <c r="I37" s="13">
        <v>5</v>
      </c>
      <c r="J37" s="13">
        <v>6</v>
      </c>
      <c r="K37" s="13">
        <v>8</v>
      </c>
      <c r="L37" s="13">
        <v>7</v>
      </c>
      <c r="M37" s="13">
        <v>8</v>
      </c>
      <c r="N37" s="13">
        <v>8</v>
      </c>
      <c r="O37" s="13">
        <v>9</v>
      </c>
      <c r="P37" s="13">
        <v>10</v>
      </c>
      <c r="Q37" s="18">
        <v>10</v>
      </c>
      <c r="R37" s="13">
        <v>10</v>
      </c>
      <c r="S37" s="13">
        <v>11</v>
      </c>
      <c r="T37" s="13">
        <v>12</v>
      </c>
      <c r="U37" s="13">
        <v>13</v>
      </c>
    </row>
    <row r="38" spans="1:21" x14ac:dyDescent="0.25">
      <c r="A38" s="8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8"/>
      <c r="R38" s="13"/>
      <c r="S38" s="13"/>
      <c r="T38" s="13"/>
      <c r="U38" s="13"/>
    </row>
    <row r="39" spans="1:21" x14ac:dyDescent="0.25"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19"/>
      <c r="R39" s="8"/>
      <c r="S39" s="8"/>
      <c r="T39" s="8"/>
      <c r="U39" s="8"/>
    </row>
    <row r="40" spans="1:21" x14ac:dyDescent="0.25">
      <c r="A40" s="24"/>
      <c r="D40" t="str">
        <f>G6</f>
        <v xml:space="preserve">Težina bloka u kg: </v>
      </c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19"/>
      <c r="R40" s="8"/>
      <c r="S40" s="8"/>
      <c r="T40" s="8"/>
      <c r="U40" s="8"/>
    </row>
    <row r="41" spans="1:21" x14ac:dyDescent="0.25">
      <c r="A41" s="8">
        <f>A34</f>
        <v>20</v>
      </c>
      <c r="E41" s="12">
        <f t="shared" ref="E41:F44" si="6">E19/(E27*E34)</f>
        <v>32.5</v>
      </c>
      <c r="F41" s="12">
        <f t="shared" si="6"/>
        <v>32.5</v>
      </c>
      <c r="G41" s="12">
        <f t="shared" ref="G41:U41" si="7">G19/(G27*G34)</f>
        <v>43.333333333333336</v>
      </c>
      <c r="H41" s="12">
        <f t="shared" si="7"/>
        <v>32.5</v>
      </c>
      <c r="I41" s="12">
        <f t="shared" si="7"/>
        <v>32.5</v>
      </c>
      <c r="J41" s="12">
        <f t="shared" si="7"/>
        <v>40.625</v>
      </c>
      <c r="K41" s="12">
        <f t="shared" si="7"/>
        <v>32.5</v>
      </c>
      <c r="L41" s="12">
        <f t="shared" si="7"/>
        <v>32.5</v>
      </c>
      <c r="M41" s="12">
        <f t="shared" si="7"/>
        <v>32.5</v>
      </c>
      <c r="N41" s="12">
        <f t="shared" si="7"/>
        <v>32.5</v>
      </c>
      <c r="O41" s="12">
        <f t="shared" si="7"/>
        <v>32.500000000000007</v>
      </c>
      <c r="P41" s="12">
        <f t="shared" si="7"/>
        <v>32.499999999999993</v>
      </c>
      <c r="Q41" s="20">
        <f t="shared" si="7"/>
        <v>32.5</v>
      </c>
      <c r="R41" s="12">
        <f t="shared" si="7"/>
        <v>32.5</v>
      </c>
      <c r="S41" s="12">
        <f t="shared" si="7"/>
        <v>32.5</v>
      </c>
      <c r="T41" s="12">
        <f t="shared" si="7"/>
        <v>32.5</v>
      </c>
      <c r="U41" s="12">
        <f t="shared" si="7"/>
        <v>32.5</v>
      </c>
    </row>
    <row r="42" spans="1:21" x14ac:dyDescent="0.25">
      <c r="A42" s="8">
        <f>A35</f>
        <v>25</v>
      </c>
      <c r="E42" s="12">
        <f t="shared" si="6"/>
        <v>40.625</v>
      </c>
      <c r="F42" s="12">
        <f t="shared" si="6"/>
        <v>40.625</v>
      </c>
      <c r="G42" s="12">
        <f t="shared" ref="G42:U42" si="8">G20/(G28*G35)</f>
        <v>40.625</v>
      </c>
      <c r="H42" s="12">
        <f t="shared" si="8"/>
        <v>40.625</v>
      </c>
      <c r="I42" s="12">
        <f t="shared" si="8"/>
        <v>40.625</v>
      </c>
      <c r="J42" s="12">
        <f t="shared" si="8"/>
        <v>40.625</v>
      </c>
      <c r="K42" s="12">
        <f t="shared" si="8"/>
        <v>33.854166666666664</v>
      </c>
      <c r="L42" s="12">
        <f t="shared" si="8"/>
        <v>33.854166666666664</v>
      </c>
      <c r="M42" s="12">
        <f t="shared" si="8"/>
        <v>34.821428571428569</v>
      </c>
      <c r="N42" s="12">
        <f t="shared" si="8"/>
        <v>40.625</v>
      </c>
      <c r="O42" s="12">
        <f t="shared" si="8"/>
        <v>31.103515625</v>
      </c>
      <c r="P42" s="12">
        <f t="shared" si="8"/>
        <v>31.597222222222221</v>
      </c>
      <c r="Q42" s="20">
        <f t="shared" si="8"/>
        <v>36.111111111111114</v>
      </c>
      <c r="R42" s="12">
        <f t="shared" si="8"/>
        <v>40.625</v>
      </c>
      <c r="S42" s="12">
        <f t="shared" si="8"/>
        <v>36.5625</v>
      </c>
      <c r="T42" s="12">
        <f t="shared" si="8"/>
        <v>36.5625</v>
      </c>
      <c r="U42" s="12">
        <f t="shared" si="8"/>
        <v>36.93181818181818</v>
      </c>
    </row>
    <row r="43" spans="1:21" x14ac:dyDescent="0.25">
      <c r="A43" s="8">
        <f>A36</f>
        <v>30</v>
      </c>
      <c r="E43" s="12">
        <f t="shared" si="6"/>
        <v>32.5</v>
      </c>
      <c r="F43" s="12">
        <f t="shared" si="6"/>
        <v>36.5625</v>
      </c>
      <c r="G43" s="12">
        <f t="shared" ref="G43:T43" si="9">G21/(G29*G36)</f>
        <v>39</v>
      </c>
      <c r="H43" s="12">
        <f t="shared" si="9"/>
        <v>39</v>
      </c>
      <c r="I43" s="12">
        <f t="shared" si="9"/>
        <v>39</v>
      </c>
      <c r="J43" s="12">
        <f t="shared" si="9"/>
        <v>39</v>
      </c>
      <c r="K43" s="12">
        <f t="shared" si="9"/>
        <v>34.821428571428569</v>
      </c>
      <c r="L43" s="12">
        <f t="shared" si="9"/>
        <v>30.46875</v>
      </c>
      <c r="M43" s="12">
        <f t="shared" si="9"/>
        <v>35.816326530612251</v>
      </c>
      <c r="N43" s="12">
        <f t="shared" si="9"/>
        <v>41.785714285714285</v>
      </c>
      <c r="O43" s="12">
        <f t="shared" si="9"/>
        <v>33.177083333333336</v>
      </c>
      <c r="P43" s="12">
        <f t="shared" si="9"/>
        <v>37.916666666666664</v>
      </c>
      <c r="Q43" s="20">
        <f t="shared" si="9"/>
        <v>38.518518518518519</v>
      </c>
      <c r="R43" s="12">
        <f t="shared" si="9"/>
        <v>43.333333333333336</v>
      </c>
      <c r="S43" s="12">
        <f t="shared" si="9"/>
        <v>39.487499999999997</v>
      </c>
      <c r="T43" s="12">
        <f t="shared" si="9"/>
        <v>36.260330578512395</v>
      </c>
      <c r="U43" s="12">
        <f t="shared" ref="U43" si="10">U21/(U29*U36)</f>
        <v>36.93181818181818</v>
      </c>
    </row>
    <row r="44" spans="1:21" x14ac:dyDescent="0.25">
      <c r="A44" s="8">
        <f>A37</f>
        <v>35</v>
      </c>
      <c r="E44" s="12">
        <f t="shared" si="6"/>
        <v>37.916666666666664</v>
      </c>
      <c r="F44" s="12">
        <f t="shared" si="6"/>
        <v>34.125</v>
      </c>
      <c r="G44" s="12">
        <f t="shared" ref="G44:T44" si="11">G22/(G30*G37)</f>
        <v>45.499999999999993</v>
      </c>
      <c r="H44" s="12">
        <f t="shared" si="11"/>
        <v>34.125</v>
      </c>
      <c r="I44" s="12">
        <f t="shared" si="11"/>
        <v>36.4</v>
      </c>
      <c r="J44" s="12">
        <f t="shared" si="11"/>
        <v>37.916666666666664</v>
      </c>
      <c r="K44" s="12">
        <f t="shared" si="11"/>
        <v>35.546875</v>
      </c>
      <c r="L44" s="12">
        <f t="shared" si="11"/>
        <v>34.821428571428569</v>
      </c>
      <c r="M44" s="12">
        <f t="shared" si="11"/>
        <v>36.5625</v>
      </c>
      <c r="N44" s="12">
        <f t="shared" si="11"/>
        <v>42.65625</v>
      </c>
      <c r="O44" s="12">
        <f t="shared" si="11"/>
        <v>34.40586419753086</v>
      </c>
      <c r="P44" s="12">
        <f t="shared" si="11"/>
        <v>35.388888888888893</v>
      </c>
      <c r="Q44" s="20">
        <f t="shared" si="11"/>
        <v>36.4</v>
      </c>
      <c r="R44" s="12">
        <f t="shared" si="11"/>
        <v>40.950000000000003</v>
      </c>
      <c r="S44" s="12">
        <f t="shared" si="11"/>
        <v>41.88068181818182</v>
      </c>
      <c r="T44" s="12">
        <f t="shared" si="11"/>
        <v>38.778409090909093</v>
      </c>
      <c r="U44" s="12">
        <f t="shared" ref="U44" si="12">U22/(U30*U37)</f>
        <v>36.458333333333336</v>
      </c>
    </row>
    <row r="47" spans="1:21" x14ac:dyDescent="0.25">
      <c r="A47" s="24"/>
      <c r="D47" t="str">
        <f>G7</f>
        <v>Broj rupa kod rastera :</v>
      </c>
    </row>
    <row r="48" spans="1:21" x14ac:dyDescent="0.25">
      <c r="A48" s="8">
        <f>A41</f>
        <v>20</v>
      </c>
      <c r="E48" s="12">
        <f>(E27+1)*2+(E34-1)*2</f>
        <v>8</v>
      </c>
      <c r="F48" s="12">
        <f t="shared" ref="F48:U48" si="13">(F27+1)*2+(F34-1)*2</f>
        <v>10</v>
      </c>
      <c r="G48" s="12">
        <f t="shared" si="13"/>
        <v>10</v>
      </c>
      <c r="H48" s="12">
        <f t="shared" si="13"/>
        <v>14</v>
      </c>
      <c r="I48" s="12">
        <f t="shared" si="13"/>
        <v>16</v>
      </c>
      <c r="J48" s="12">
        <f t="shared" si="13"/>
        <v>16</v>
      </c>
      <c r="K48" s="12">
        <f t="shared" si="13"/>
        <v>20</v>
      </c>
      <c r="L48" s="12">
        <f t="shared" si="13"/>
        <v>22</v>
      </c>
      <c r="M48" s="12">
        <f t="shared" si="13"/>
        <v>24</v>
      </c>
      <c r="N48" s="12">
        <f t="shared" si="13"/>
        <v>26</v>
      </c>
      <c r="O48" s="12">
        <f t="shared" si="13"/>
        <v>28</v>
      </c>
      <c r="P48" s="12">
        <f t="shared" si="13"/>
        <v>30</v>
      </c>
      <c r="Q48" s="20">
        <f t="shared" si="13"/>
        <v>32</v>
      </c>
      <c r="R48" s="12">
        <f t="shared" si="13"/>
        <v>34</v>
      </c>
      <c r="S48" s="12">
        <f t="shared" si="13"/>
        <v>36</v>
      </c>
      <c r="T48" s="12">
        <f t="shared" si="13"/>
        <v>38</v>
      </c>
      <c r="U48" s="12">
        <f t="shared" si="13"/>
        <v>40</v>
      </c>
    </row>
    <row r="49" spans="1:21" x14ac:dyDescent="0.25">
      <c r="A49" s="8">
        <f t="shared" ref="A49:A51" si="14">A42</f>
        <v>25</v>
      </c>
      <c r="E49" s="12">
        <f>(E28+1)*2+(E35-1)*2</f>
        <v>8</v>
      </c>
      <c r="F49" s="12">
        <f t="shared" ref="F49:U49" si="15">(F28+1)*2+(F35-1)*2</f>
        <v>10</v>
      </c>
      <c r="G49" s="12">
        <f t="shared" si="15"/>
        <v>12</v>
      </c>
      <c r="H49" s="12">
        <f t="shared" si="15"/>
        <v>14</v>
      </c>
      <c r="I49" s="12">
        <f t="shared" si="15"/>
        <v>16</v>
      </c>
      <c r="J49" s="12">
        <f t="shared" si="15"/>
        <v>18</v>
      </c>
      <c r="K49" s="12">
        <f t="shared" si="15"/>
        <v>22</v>
      </c>
      <c r="L49" s="12">
        <f t="shared" si="15"/>
        <v>24</v>
      </c>
      <c r="M49" s="12">
        <f t="shared" si="15"/>
        <v>26</v>
      </c>
      <c r="N49" s="12">
        <f t="shared" si="15"/>
        <v>26</v>
      </c>
      <c r="O49" s="12">
        <f t="shared" si="15"/>
        <v>32</v>
      </c>
      <c r="P49" s="12">
        <f t="shared" si="15"/>
        <v>34</v>
      </c>
      <c r="Q49" s="20">
        <f t="shared" si="15"/>
        <v>34</v>
      </c>
      <c r="R49" s="12">
        <f t="shared" si="15"/>
        <v>34</v>
      </c>
      <c r="S49" s="12">
        <f t="shared" si="15"/>
        <v>38</v>
      </c>
      <c r="T49" s="12">
        <f t="shared" si="15"/>
        <v>40</v>
      </c>
      <c r="U49" s="12">
        <f t="shared" si="15"/>
        <v>42</v>
      </c>
    </row>
    <row r="50" spans="1:21" x14ac:dyDescent="0.25">
      <c r="A50" s="8">
        <f t="shared" si="14"/>
        <v>30</v>
      </c>
      <c r="E50" s="12">
        <f>(E29+1)*2+(E36-1)*2</f>
        <v>10</v>
      </c>
      <c r="F50" s="12">
        <f t="shared" ref="F50:U50" si="16">(F29+1)*2+(F36-1)*2</f>
        <v>12</v>
      </c>
      <c r="G50" s="12">
        <f t="shared" si="16"/>
        <v>14</v>
      </c>
      <c r="H50" s="12">
        <f t="shared" si="16"/>
        <v>16</v>
      </c>
      <c r="I50" s="12">
        <f t="shared" si="16"/>
        <v>18</v>
      </c>
      <c r="J50" s="12">
        <f t="shared" si="16"/>
        <v>20</v>
      </c>
      <c r="K50" s="12">
        <f t="shared" si="16"/>
        <v>24</v>
      </c>
      <c r="L50" s="12">
        <f t="shared" si="16"/>
        <v>28</v>
      </c>
      <c r="M50" s="12">
        <f t="shared" si="16"/>
        <v>28</v>
      </c>
      <c r="N50" s="12">
        <f t="shared" si="16"/>
        <v>28</v>
      </c>
      <c r="O50" s="12">
        <f t="shared" si="16"/>
        <v>34</v>
      </c>
      <c r="P50" s="12">
        <f t="shared" si="16"/>
        <v>34</v>
      </c>
      <c r="Q50" s="20">
        <f t="shared" si="16"/>
        <v>36</v>
      </c>
      <c r="R50" s="12">
        <f t="shared" si="16"/>
        <v>36</v>
      </c>
      <c r="S50" s="12">
        <f t="shared" si="16"/>
        <v>40</v>
      </c>
      <c r="T50" s="12">
        <f t="shared" si="16"/>
        <v>44</v>
      </c>
      <c r="U50" s="12">
        <f t="shared" si="16"/>
        <v>46</v>
      </c>
    </row>
    <row r="51" spans="1:21" x14ac:dyDescent="0.25">
      <c r="A51" s="8">
        <f t="shared" si="14"/>
        <v>35</v>
      </c>
      <c r="E51" s="12">
        <f>(E30+1)*2+(E37-1)*2</f>
        <v>10</v>
      </c>
      <c r="F51" s="12">
        <f t="shared" ref="F51:U51" si="17">(F30+1)*2+(F37-1)*2</f>
        <v>14</v>
      </c>
      <c r="G51" s="12">
        <f t="shared" si="17"/>
        <v>14</v>
      </c>
      <c r="H51" s="12">
        <f t="shared" si="17"/>
        <v>18</v>
      </c>
      <c r="I51" s="12">
        <f t="shared" si="17"/>
        <v>20</v>
      </c>
      <c r="J51" s="12">
        <f t="shared" si="17"/>
        <v>22</v>
      </c>
      <c r="K51" s="12">
        <f t="shared" si="17"/>
        <v>26</v>
      </c>
      <c r="L51" s="12">
        <f t="shared" si="17"/>
        <v>28</v>
      </c>
      <c r="M51" s="12">
        <f t="shared" si="17"/>
        <v>30</v>
      </c>
      <c r="N51" s="12">
        <f t="shared" si="17"/>
        <v>30</v>
      </c>
      <c r="O51" s="12">
        <f t="shared" si="17"/>
        <v>36</v>
      </c>
      <c r="P51" s="12">
        <f t="shared" si="17"/>
        <v>38</v>
      </c>
      <c r="Q51" s="20">
        <f t="shared" si="17"/>
        <v>40</v>
      </c>
      <c r="R51" s="12">
        <f t="shared" si="17"/>
        <v>40</v>
      </c>
      <c r="S51" s="12">
        <f t="shared" si="17"/>
        <v>42</v>
      </c>
      <c r="T51" s="12">
        <f t="shared" si="17"/>
        <v>46</v>
      </c>
      <c r="U51" s="12">
        <f t="shared" si="17"/>
        <v>50</v>
      </c>
    </row>
    <row r="53" spans="1:21" x14ac:dyDescent="0.25">
      <c r="D53" t="str">
        <f>G9</f>
        <v xml:space="preserve">Cijena rezanja: </v>
      </c>
    </row>
    <row r="54" spans="1:21" x14ac:dyDescent="0.25">
      <c r="A54" s="24">
        <f>A26</f>
        <v>0</v>
      </c>
    </row>
    <row r="55" spans="1:21" x14ac:dyDescent="0.25">
      <c r="A55" s="8">
        <f>A48</f>
        <v>20</v>
      </c>
      <c r="E55" s="4">
        <f>$P$2*$A$55*((E27+1)*E14+(E34+1)*E15)</f>
        <v>132</v>
      </c>
      <c r="F55" s="4">
        <f t="shared" ref="F55:U55" si="18">$P$2*$A$55*((F27+1)*F14+(F34+1)*F15)</f>
        <v>198</v>
      </c>
      <c r="G55" s="4">
        <f t="shared" si="18"/>
        <v>242</v>
      </c>
      <c r="H55" s="4">
        <f t="shared" si="18"/>
        <v>352</v>
      </c>
      <c r="I55" s="4">
        <f t="shared" si="18"/>
        <v>440</v>
      </c>
      <c r="J55" s="4">
        <f t="shared" si="18"/>
        <v>495</v>
      </c>
      <c r="K55" s="4">
        <f t="shared" si="18"/>
        <v>660</v>
      </c>
      <c r="L55" s="4">
        <f t="shared" si="18"/>
        <v>792</v>
      </c>
      <c r="M55" s="4">
        <f t="shared" si="18"/>
        <v>924</v>
      </c>
      <c r="N55" s="4">
        <f t="shared" si="18"/>
        <v>1078</v>
      </c>
      <c r="O55" s="4">
        <f t="shared" si="18"/>
        <v>1232</v>
      </c>
      <c r="P55" s="4">
        <f t="shared" si="18"/>
        <v>1408</v>
      </c>
      <c r="Q55" s="4">
        <f t="shared" si="18"/>
        <v>1584</v>
      </c>
      <c r="R55" s="4">
        <f t="shared" si="18"/>
        <v>1782</v>
      </c>
      <c r="S55" s="4">
        <f t="shared" si="18"/>
        <v>1980</v>
      </c>
      <c r="T55" s="4">
        <f t="shared" si="18"/>
        <v>2200</v>
      </c>
      <c r="U55" s="4">
        <f t="shared" si="18"/>
        <v>2420</v>
      </c>
    </row>
    <row r="56" spans="1:21" x14ac:dyDescent="0.25">
      <c r="A56" s="8">
        <f t="shared" ref="A56:A58" si="19">A49</f>
        <v>25</v>
      </c>
      <c r="E56" s="4">
        <f>$P$2*$A$56*((E28+1)*E14+(E35+1)*E15)</f>
        <v>165.00000000000003</v>
      </c>
      <c r="F56" s="4">
        <f t="shared" ref="F56:U56" si="20">$P$2*$A$56*((F28+1)*F14+(F35+1)*F15)</f>
        <v>247.50000000000003</v>
      </c>
      <c r="G56" s="4">
        <f t="shared" si="20"/>
        <v>357.50000000000006</v>
      </c>
      <c r="H56" s="4">
        <f t="shared" si="20"/>
        <v>440.00000000000006</v>
      </c>
      <c r="I56" s="4">
        <f t="shared" si="20"/>
        <v>550.00000000000011</v>
      </c>
      <c r="J56" s="4">
        <f t="shared" si="20"/>
        <v>687.50000000000011</v>
      </c>
      <c r="K56" s="4">
        <f t="shared" si="20"/>
        <v>893.75000000000011</v>
      </c>
      <c r="L56" s="4">
        <f t="shared" si="20"/>
        <v>1058.7500000000002</v>
      </c>
      <c r="M56" s="4">
        <f t="shared" si="20"/>
        <v>1237.5000000000002</v>
      </c>
      <c r="N56" s="4">
        <f t="shared" si="20"/>
        <v>1347.5000000000002</v>
      </c>
      <c r="O56" s="4">
        <f t="shared" si="20"/>
        <v>1732.5000000000002</v>
      </c>
      <c r="P56" s="4">
        <f t="shared" si="20"/>
        <v>1966.2500000000002</v>
      </c>
      <c r="Q56" s="4">
        <f t="shared" si="20"/>
        <v>2090.0000000000005</v>
      </c>
      <c r="R56" s="4">
        <f t="shared" si="20"/>
        <v>2227.5000000000005</v>
      </c>
      <c r="S56" s="4">
        <f t="shared" si="20"/>
        <v>2598.7500000000005</v>
      </c>
      <c r="T56" s="4">
        <f t="shared" si="20"/>
        <v>2873.7500000000005</v>
      </c>
      <c r="U56" s="4">
        <f t="shared" si="20"/>
        <v>3162.5000000000005</v>
      </c>
    </row>
    <row r="57" spans="1:21" x14ac:dyDescent="0.25">
      <c r="A57" s="8">
        <f t="shared" si="19"/>
        <v>30</v>
      </c>
      <c r="E57" s="4">
        <f>$P$2*$A$57*((E29+1)*E14+(E36+1)*E15)</f>
        <v>231</v>
      </c>
      <c r="F57" s="4">
        <f t="shared" ref="F57:U57" si="21">$P$2*$A$57*((F29+1)*F14+(F36+1)*F15)</f>
        <v>346.5</v>
      </c>
      <c r="G57" s="4">
        <f t="shared" si="21"/>
        <v>495</v>
      </c>
      <c r="H57" s="4">
        <f t="shared" si="21"/>
        <v>594</v>
      </c>
      <c r="I57" s="4">
        <f t="shared" si="21"/>
        <v>726</v>
      </c>
      <c r="J57" s="4">
        <f t="shared" si="21"/>
        <v>891</v>
      </c>
      <c r="K57" s="4">
        <f t="shared" si="21"/>
        <v>1155</v>
      </c>
      <c r="L57" s="4">
        <f t="shared" si="21"/>
        <v>1468.5</v>
      </c>
      <c r="M57" s="4">
        <f t="shared" si="21"/>
        <v>1584</v>
      </c>
      <c r="N57" s="4">
        <f t="shared" si="21"/>
        <v>1716</v>
      </c>
      <c r="O57" s="4">
        <f t="shared" si="21"/>
        <v>2194.5</v>
      </c>
      <c r="P57" s="4">
        <f t="shared" si="21"/>
        <v>2359.5</v>
      </c>
      <c r="Q57" s="4">
        <f t="shared" si="21"/>
        <v>2640</v>
      </c>
      <c r="R57" s="4">
        <f t="shared" si="21"/>
        <v>2805</v>
      </c>
      <c r="S57" s="4">
        <f t="shared" si="21"/>
        <v>3267</v>
      </c>
      <c r="T57" s="4">
        <f t="shared" si="21"/>
        <v>3762</v>
      </c>
      <c r="U57" s="4">
        <f t="shared" si="21"/>
        <v>4125</v>
      </c>
    </row>
    <row r="58" spans="1:21" x14ac:dyDescent="0.25">
      <c r="A58" s="8">
        <f t="shared" si="19"/>
        <v>35</v>
      </c>
      <c r="E58" s="4">
        <f>$P$2*$A$58*((E30+1)*E14+(E37+1)*E15)</f>
        <v>269.5</v>
      </c>
      <c r="F58" s="4">
        <f t="shared" ref="F58:U58" si="22">$P$2*$A$58*((F30+1)*F14+(F37+1)*F15)</f>
        <v>462</v>
      </c>
      <c r="G58" s="4">
        <f t="shared" si="22"/>
        <v>577.5</v>
      </c>
      <c r="H58" s="4">
        <f t="shared" si="22"/>
        <v>750.75</v>
      </c>
      <c r="I58" s="4">
        <f t="shared" si="22"/>
        <v>924</v>
      </c>
      <c r="J58" s="4">
        <f t="shared" si="22"/>
        <v>1135.75</v>
      </c>
      <c r="K58" s="4">
        <f t="shared" si="22"/>
        <v>1443.75</v>
      </c>
      <c r="L58" s="4">
        <f t="shared" si="22"/>
        <v>1694</v>
      </c>
      <c r="M58" s="4">
        <f t="shared" si="22"/>
        <v>1963.5</v>
      </c>
      <c r="N58" s="4">
        <f t="shared" si="22"/>
        <v>2136.75</v>
      </c>
      <c r="O58" s="4">
        <f t="shared" si="22"/>
        <v>2695</v>
      </c>
      <c r="P58" s="4">
        <f t="shared" si="22"/>
        <v>3041.5</v>
      </c>
      <c r="Q58" s="4">
        <f t="shared" si="22"/>
        <v>3388</v>
      </c>
      <c r="R58" s="4">
        <f t="shared" si="22"/>
        <v>3599.75</v>
      </c>
      <c r="S58" s="4">
        <f t="shared" si="22"/>
        <v>3984.75</v>
      </c>
      <c r="T58" s="4">
        <f t="shared" si="22"/>
        <v>4581.5</v>
      </c>
      <c r="U58" s="4">
        <f t="shared" si="22"/>
        <v>5197.5</v>
      </c>
    </row>
    <row r="60" spans="1:21" x14ac:dyDescent="0.25">
      <c r="D60" t="str">
        <f>G11</f>
        <v xml:space="preserve">Cijena rupa: </v>
      </c>
    </row>
    <row r="61" spans="1:21" x14ac:dyDescent="0.25">
      <c r="A61" s="10">
        <f>A54</f>
        <v>0</v>
      </c>
    </row>
    <row r="62" spans="1:21" x14ac:dyDescent="0.25">
      <c r="A62" s="8">
        <f>A55</f>
        <v>20</v>
      </c>
      <c r="D62" s="14"/>
      <c r="E62" s="14">
        <f>$A$62*E48*$L$2*$L$3/100</f>
        <v>359.04</v>
      </c>
      <c r="F62" s="14">
        <f t="shared" ref="F62:T62" si="23">$A$62*F48*$L$2*$L$3/100</f>
        <v>448.80000000000007</v>
      </c>
      <c r="G62" s="14">
        <f t="shared" si="23"/>
        <v>448.80000000000007</v>
      </c>
      <c r="H62" s="14">
        <f t="shared" si="23"/>
        <v>628.32000000000005</v>
      </c>
      <c r="I62" s="14">
        <f t="shared" si="23"/>
        <v>718.08</v>
      </c>
      <c r="J62" s="14">
        <f t="shared" si="23"/>
        <v>718.08</v>
      </c>
      <c r="K62" s="14">
        <f t="shared" si="23"/>
        <v>897.60000000000014</v>
      </c>
      <c r="L62" s="14">
        <f t="shared" si="23"/>
        <v>987.36000000000013</v>
      </c>
      <c r="M62" s="14">
        <f t="shared" si="23"/>
        <v>1077.1199999999999</v>
      </c>
      <c r="N62" s="14">
        <f t="shared" si="23"/>
        <v>1166.8800000000001</v>
      </c>
      <c r="O62" s="14">
        <f t="shared" si="23"/>
        <v>1256.6400000000001</v>
      </c>
      <c r="P62" s="14">
        <f t="shared" si="23"/>
        <v>1346.4</v>
      </c>
      <c r="Q62" s="21">
        <f t="shared" si="23"/>
        <v>1436.16</v>
      </c>
      <c r="R62" s="14">
        <f t="shared" si="23"/>
        <v>1525.9200000000003</v>
      </c>
      <c r="S62" s="14">
        <f t="shared" si="23"/>
        <v>1615.6800000000003</v>
      </c>
      <c r="T62" s="14">
        <f t="shared" si="23"/>
        <v>1705.4400000000003</v>
      </c>
      <c r="U62" s="14">
        <f>$A$62*U48*$L$2*$L$3/100</f>
        <v>1795.2000000000003</v>
      </c>
    </row>
    <row r="63" spans="1:21" x14ac:dyDescent="0.25">
      <c r="A63" s="8">
        <f t="shared" ref="A63:A65" si="24">A56</f>
        <v>25</v>
      </c>
      <c r="D63" s="14"/>
      <c r="E63" s="14">
        <f>$A$63*E49*$L$2*$L$3/100</f>
        <v>448.80000000000007</v>
      </c>
      <c r="F63" s="14">
        <f t="shared" ref="F63:U63" si="25">$A$63*F49*$L$2*$L$3/100</f>
        <v>561</v>
      </c>
      <c r="G63" s="14">
        <f t="shared" si="25"/>
        <v>673.2</v>
      </c>
      <c r="H63" s="14">
        <f t="shared" si="25"/>
        <v>785.40000000000009</v>
      </c>
      <c r="I63" s="14">
        <f t="shared" si="25"/>
        <v>897.60000000000014</v>
      </c>
      <c r="J63" s="14">
        <f t="shared" si="25"/>
        <v>1009.8000000000002</v>
      </c>
      <c r="K63" s="14">
        <f t="shared" si="25"/>
        <v>1234.2</v>
      </c>
      <c r="L63" s="14">
        <f t="shared" si="25"/>
        <v>1346.4</v>
      </c>
      <c r="M63" s="14">
        <f t="shared" si="25"/>
        <v>1458.6000000000004</v>
      </c>
      <c r="N63" s="14">
        <f t="shared" si="25"/>
        <v>1458.6000000000004</v>
      </c>
      <c r="O63" s="14">
        <f t="shared" si="25"/>
        <v>1795.2000000000003</v>
      </c>
      <c r="P63" s="14">
        <f t="shared" si="25"/>
        <v>1907.4000000000003</v>
      </c>
      <c r="Q63" s="21">
        <f t="shared" si="25"/>
        <v>1907.4000000000003</v>
      </c>
      <c r="R63" s="14">
        <f t="shared" si="25"/>
        <v>1907.4000000000003</v>
      </c>
      <c r="S63" s="14">
        <f t="shared" si="25"/>
        <v>2131.8000000000002</v>
      </c>
      <c r="T63" s="14">
        <f t="shared" si="25"/>
        <v>2244</v>
      </c>
      <c r="U63" s="14">
        <f t="shared" si="25"/>
        <v>2356.1999999999998</v>
      </c>
    </row>
    <row r="64" spans="1:21" x14ac:dyDescent="0.25">
      <c r="A64" s="8">
        <f t="shared" si="24"/>
        <v>30</v>
      </c>
      <c r="D64" s="14"/>
      <c r="E64" s="14">
        <f>$A$64*E50*$L$2*$L$3/100</f>
        <v>673.2</v>
      </c>
      <c r="F64" s="14">
        <f t="shared" ref="F64:U64" si="26">$A$64*F50*$L$2*$L$3/100</f>
        <v>807.84000000000015</v>
      </c>
      <c r="G64" s="14">
        <f t="shared" si="26"/>
        <v>942.48000000000013</v>
      </c>
      <c r="H64" s="14">
        <f t="shared" si="26"/>
        <v>1077.1199999999999</v>
      </c>
      <c r="I64" s="14">
        <f t="shared" si="26"/>
        <v>1211.76</v>
      </c>
      <c r="J64" s="14">
        <f t="shared" si="26"/>
        <v>1346.4</v>
      </c>
      <c r="K64" s="14">
        <f t="shared" si="26"/>
        <v>1615.6800000000003</v>
      </c>
      <c r="L64" s="14">
        <f t="shared" si="26"/>
        <v>1884.9600000000003</v>
      </c>
      <c r="M64" s="14">
        <f t="shared" si="26"/>
        <v>1884.9600000000003</v>
      </c>
      <c r="N64" s="14">
        <f t="shared" si="26"/>
        <v>1884.9600000000003</v>
      </c>
      <c r="O64" s="14">
        <f t="shared" si="26"/>
        <v>2288.88</v>
      </c>
      <c r="P64" s="14">
        <f t="shared" si="26"/>
        <v>2288.88</v>
      </c>
      <c r="Q64" s="21">
        <f t="shared" si="26"/>
        <v>2423.52</v>
      </c>
      <c r="R64" s="14">
        <f t="shared" si="26"/>
        <v>2423.52</v>
      </c>
      <c r="S64" s="14">
        <f t="shared" si="26"/>
        <v>2692.8</v>
      </c>
      <c r="T64" s="14">
        <f t="shared" si="26"/>
        <v>2962.0800000000004</v>
      </c>
      <c r="U64" s="14">
        <f t="shared" si="26"/>
        <v>3096.7200000000007</v>
      </c>
    </row>
    <row r="65" spans="1:21" x14ac:dyDescent="0.25">
      <c r="A65" s="8">
        <f t="shared" si="24"/>
        <v>35</v>
      </c>
      <c r="D65" s="14"/>
      <c r="E65" s="14">
        <f>$A$65*E51*$L$2*$L$3/100</f>
        <v>785.40000000000009</v>
      </c>
      <c r="F65" s="14">
        <f t="shared" ref="F65:U65" si="27">$A$65*F51*$L$2*$L$3/100</f>
        <v>1099.56</v>
      </c>
      <c r="G65" s="14">
        <f t="shared" si="27"/>
        <v>1099.56</v>
      </c>
      <c r="H65" s="14">
        <f t="shared" si="27"/>
        <v>1413.72</v>
      </c>
      <c r="I65" s="14">
        <f t="shared" si="27"/>
        <v>1570.8000000000002</v>
      </c>
      <c r="J65" s="14">
        <f t="shared" si="27"/>
        <v>1727.8800000000003</v>
      </c>
      <c r="K65" s="14">
        <f t="shared" si="27"/>
        <v>2042.0400000000002</v>
      </c>
      <c r="L65" s="14">
        <f t="shared" si="27"/>
        <v>2199.12</v>
      </c>
      <c r="M65" s="14">
        <f t="shared" si="27"/>
        <v>2356.1999999999998</v>
      </c>
      <c r="N65" s="14">
        <f t="shared" si="27"/>
        <v>2356.1999999999998</v>
      </c>
      <c r="O65" s="14">
        <f t="shared" si="27"/>
        <v>2827.44</v>
      </c>
      <c r="P65" s="14">
        <f t="shared" si="27"/>
        <v>2984.5200000000004</v>
      </c>
      <c r="Q65" s="21">
        <f t="shared" si="27"/>
        <v>3141.6000000000004</v>
      </c>
      <c r="R65" s="14">
        <f t="shared" si="27"/>
        <v>3141.6000000000004</v>
      </c>
      <c r="S65" s="14">
        <f t="shared" si="27"/>
        <v>3298.6800000000007</v>
      </c>
      <c r="T65" s="14">
        <f t="shared" si="27"/>
        <v>3612.8400000000006</v>
      </c>
      <c r="U65" s="14">
        <f t="shared" si="27"/>
        <v>3927.0000000000005</v>
      </c>
    </row>
    <row r="76" spans="1:21" x14ac:dyDescent="0.25">
      <c r="F76" s="8" t="s">
        <v>34</v>
      </c>
      <c r="G76" s="8" t="s">
        <v>33</v>
      </c>
      <c r="H76" s="8" t="s">
        <v>35</v>
      </c>
    </row>
    <row r="77" spans="1:21" x14ac:dyDescent="0.25">
      <c r="E77" t="s">
        <v>40</v>
      </c>
      <c r="F77" s="23">
        <v>4</v>
      </c>
      <c r="G77" s="23">
        <f>2.25*2.25</f>
        <v>5.0625</v>
      </c>
      <c r="H77" s="23">
        <f>2.5*2.5</f>
        <v>6.25</v>
      </c>
    </row>
    <row r="78" spans="1:21" x14ac:dyDescent="0.25">
      <c r="B78" t="s">
        <v>42</v>
      </c>
      <c r="E78" t="s">
        <v>37</v>
      </c>
      <c r="F78" s="4">
        <f>Q55+$H$2</f>
        <v>1584</v>
      </c>
      <c r="G78" s="14">
        <f>S55+$H$2</f>
        <v>1980</v>
      </c>
      <c r="H78" s="4">
        <f>U55+$H$2</f>
        <v>2420</v>
      </c>
      <c r="J78" s="4"/>
      <c r="K78" s="14"/>
      <c r="L78" s="4"/>
    </row>
    <row r="79" spans="1:21" x14ac:dyDescent="0.25">
      <c r="B79" t="s">
        <v>44</v>
      </c>
      <c r="E79" t="s">
        <v>38</v>
      </c>
      <c r="F79" s="4">
        <f t="shared" ref="F79:F80" si="28">Q56+$H$2</f>
        <v>2090.0000000000005</v>
      </c>
      <c r="G79" s="14">
        <f>S56+$H$2</f>
        <v>2598.7500000000005</v>
      </c>
      <c r="H79" s="4">
        <f t="shared" ref="H79:H80" si="29">U56+$H$2</f>
        <v>3162.5000000000005</v>
      </c>
      <c r="J79" s="4"/>
      <c r="K79" s="14"/>
      <c r="L79" s="4"/>
    </row>
    <row r="80" spans="1:21" x14ac:dyDescent="0.25">
      <c r="E80" t="s">
        <v>39</v>
      </c>
      <c r="F80" s="4">
        <f t="shared" si="28"/>
        <v>2640</v>
      </c>
      <c r="G80" s="14">
        <f>S57+$H$2</f>
        <v>3267</v>
      </c>
      <c r="H80" s="4">
        <f t="shared" si="29"/>
        <v>4125</v>
      </c>
      <c r="J80" s="4"/>
      <c r="K80" s="14"/>
      <c r="L80" s="4"/>
    </row>
    <row r="82" spans="2:8" x14ac:dyDescent="0.25">
      <c r="E82" t="s">
        <v>41</v>
      </c>
    </row>
    <row r="83" spans="2:8" x14ac:dyDescent="0.25">
      <c r="E83" t="s">
        <v>37</v>
      </c>
      <c r="F83" s="8">
        <f>Q19</f>
        <v>2080</v>
      </c>
      <c r="G83" s="22">
        <f>S19</f>
        <v>2632.5</v>
      </c>
      <c r="H83" s="22">
        <f>U19</f>
        <v>3250</v>
      </c>
    </row>
    <row r="84" spans="2:8" x14ac:dyDescent="0.25">
      <c r="E84" t="s">
        <v>38</v>
      </c>
      <c r="F84" s="8">
        <f t="shared" ref="F84:F85" si="30">Q20</f>
        <v>2600</v>
      </c>
      <c r="G84" s="22">
        <f t="shared" ref="G84:G85" si="31">S20</f>
        <v>3290.625</v>
      </c>
      <c r="H84" s="22">
        <f t="shared" ref="H84:H85" si="32">U20</f>
        <v>4062.5</v>
      </c>
    </row>
    <row r="85" spans="2:8" x14ac:dyDescent="0.25">
      <c r="E85" t="s">
        <v>39</v>
      </c>
      <c r="F85" s="8">
        <f t="shared" si="30"/>
        <v>3120</v>
      </c>
      <c r="G85" s="22">
        <f t="shared" si="31"/>
        <v>3948.75</v>
      </c>
      <c r="H85" s="22">
        <f t="shared" si="32"/>
        <v>4875</v>
      </c>
    </row>
    <row r="87" spans="2:8" x14ac:dyDescent="0.25">
      <c r="D87" t="s">
        <v>43</v>
      </c>
    </row>
    <row r="89" spans="2:8" x14ac:dyDescent="0.25">
      <c r="B89" t="s">
        <v>47</v>
      </c>
      <c r="G89" s="16">
        <v>250</v>
      </c>
    </row>
    <row r="90" spans="2:8" x14ac:dyDescent="0.25">
      <c r="B90" t="s">
        <v>46</v>
      </c>
      <c r="G90" s="16">
        <f>8*35*P2</f>
        <v>616</v>
      </c>
    </row>
    <row r="91" spans="2:8" x14ac:dyDescent="0.25">
      <c r="B91" t="s">
        <v>45</v>
      </c>
      <c r="E91" s="4"/>
      <c r="G91" s="4">
        <f>(120*4+260*5)*0.2*P2</f>
        <v>783.2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Radni listovi</vt:lpstr>
      </vt:variant>
      <vt:variant>
        <vt:i4>2</vt:i4>
      </vt:variant>
    </vt:vector>
  </HeadingPairs>
  <TitlesOfParts>
    <vt:vector size="2" baseType="lpstr">
      <vt:lpstr>Bušenje</vt:lpstr>
      <vt:lpstr>Rezanje stropa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2026-08-31T16:08:40Z</cp:lastPrinted>
  <dcterms:created xsi:type="dcterms:W3CDTF">2026-08-28T08:27:59Z</dcterms:created>
  <dcterms:modified xsi:type="dcterms:W3CDTF">2026-09-01T08:27:42Z</dcterms:modified>
</cp:coreProperties>
</file>
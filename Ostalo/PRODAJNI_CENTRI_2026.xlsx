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4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tables/table14.xml" ContentType="application/vnd.openxmlformats-officedocument.spreadsheetml.table+xml"/>
  <Override PartName="/xl/comments5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F33B059-A90D-4352-8C9D-578573FE2C8F}" xr6:coauthVersionLast="47" xr6:coauthVersionMax="47" xr10:uidLastSave="{00000000-0000-0000-0000-000000000000}"/>
  <bookViews>
    <workbookView xWindow="28680" yWindow="-120" windowWidth="29040" windowHeight="15720" tabRatio="679" activeTab="2" xr2:uid="{00000000-000D-0000-FFFF-FFFF00000000}"/>
  </bookViews>
  <sheets>
    <sheet name="poduzeća" sheetId="3" r:id="rId1"/>
    <sheet name="plan" sheetId="1" r:id="rId2"/>
    <sheet name="rokovi" sheetId="2" r:id="rId3"/>
    <sheet name="intrastat" sheetId="21" r:id="rId4"/>
    <sheet name="pivotica" sheetId="10" state="hidden" r:id="rId5"/>
    <sheet name="pivot mj" sheetId="15" state="hidden" r:id="rId6"/>
    <sheet name="troškovi horvat" sheetId="13" state="hidden" r:id="rId7"/>
    <sheet name="NITKO" sheetId="18" state="hidden" r:id="rId8"/>
    <sheet name="rezulta_mj" sheetId="37" r:id="rId9"/>
    <sheet name="rezultat godišnji" sheetId="19" r:id="rId10"/>
    <sheet name="CJENIK" sheetId="20" r:id="rId11"/>
    <sheet name="cjenik osnivanja" sheetId="26" r:id="rId12"/>
    <sheet name="djelatnik" sheetId="4" r:id="rId13"/>
    <sheet name="upute za ugovor" sheetId="38" r:id="rId14"/>
  </sheets>
  <definedNames>
    <definedName name="_xlnm._FilterDatabase" localSheetId="0" hidden="1">poduzeća!$A$1:$AJ$122</definedName>
    <definedName name="Table2">poduzeća!$A$1:$AK$120</definedName>
  </definedNames>
  <calcPr calcId="191029"/>
  <pivotCaches>
    <pivotCache cacheId="0" r:id="rId15"/>
    <pivotCache cacheId="1" r:id="rId16"/>
    <pivotCache cacheId="2" r:id="rId17"/>
    <pivotCache cacheId="3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3" i="3" l="1"/>
  <c r="D207" i="2" s="1"/>
  <c r="B207" i="2"/>
  <c r="C207" i="2"/>
  <c r="E207" i="2"/>
  <c r="F207" i="2"/>
  <c r="G207" i="2"/>
  <c r="H207" i="2"/>
  <c r="B206" i="2"/>
  <c r="C206" i="2"/>
  <c r="E206" i="2"/>
  <c r="F206" i="2"/>
  <c r="G206" i="2"/>
  <c r="H206" i="2"/>
  <c r="B205" i="2"/>
  <c r="C205" i="2"/>
  <c r="E205" i="2"/>
  <c r="F205" i="2"/>
  <c r="G205" i="2"/>
  <c r="H205" i="2"/>
  <c r="B204" i="2"/>
  <c r="C204" i="2"/>
  <c r="E204" i="2"/>
  <c r="F204" i="2"/>
  <c r="G204" i="2"/>
  <c r="H204" i="2"/>
  <c r="B203" i="2"/>
  <c r="C203" i="2"/>
  <c r="E203" i="2"/>
  <c r="F203" i="2"/>
  <c r="G203" i="2"/>
  <c r="H203" i="2"/>
  <c r="B202" i="2"/>
  <c r="C202" i="2"/>
  <c r="E202" i="2"/>
  <c r="F202" i="2"/>
  <c r="G202" i="2"/>
  <c r="H202" i="2"/>
  <c r="B201" i="2"/>
  <c r="C201" i="2"/>
  <c r="E201" i="2"/>
  <c r="F201" i="2"/>
  <c r="G201" i="2"/>
  <c r="H201" i="2"/>
  <c r="B200" i="2"/>
  <c r="C200" i="2"/>
  <c r="E200" i="2"/>
  <c r="F200" i="2"/>
  <c r="G200" i="2"/>
  <c r="H200" i="2"/>
  <c r="B199" i="2"/>
  <c r="C199" i="2"/>
  <c r="E199" i="2"/>
  <c r="F199" i="2"/>
  <c r="G199" i="2"/>
  <c r="H199" i="2"/>
  <c r="B198" i="2"/>
  <c r="C198" i="2"/>
  <c r="E198" i="2"/>
  <c r="F198" i="2"/>
  <c r="G198" i="2"/>
  <c r="H198" i="2"/>
  <c r="B197" i="2"/>
  <c r="C197" i="2"/>
  <c r="E197" i="2"/>
  <c r="F197" i="2"/>
  <c r="G197" i="2"/>
  <c r="H197" i="2"/>
  <c r="B196" i="2"/>
  <c r="C196" i="2"/>
  <c r="E196" i="2"/>
  <c r="F196" i="2"/>
  <c r="G196" i="2"/>
  <c r="H196" i="2"/>
  <c r="B195" i="2"/>
  <c r="C195" i="2"/>
  <c r="E195" i="2"/>
  <c r="F195" i="2"/>
  <c r="G195" i="2"/>
  <c r="H195" i="2"/>
  <c r="AQ119" i="1"/>
  <c r="D201" i="3" l="1"/>
  <c r="D205" i="2" s="1"/>
  <c r="D202" i="3"/>
  <c r="D206" i="2" s="1"/>
  <c r="D6" i="3"/>
  <c r="AB86" i="1"/>
  <c r="AB198" i="1"/>
  <c r="AU187" i="1"/>
  <c r="Z92" i="1"/>
  <c r="D182" i="1"/>
  <c r="Z145" i="1"/>
  <c r="Z115" i="1"/>
  <c r="Y37" i="1"/>
  <c r="Y81" i="1" l="1"/>
  <c r="D200" i="3"/>
  <c r="B203" i="1"/>
  <c r="B204" i="1"/>
  <c r="B205" i="1"/>
  <c r="B206" i="1"/>
  <c r="B207" i="1"/>
  <c r="B208" i="1"/>
  <c r="B209" i="1"/>
  <c r="B210" i="1"/>
  <c r="B211" i="1"/>
  <c r="C204" i="1"/>
  <c r="C205" i="1"/>
  <c r="C206" i="1"/>
  <c r="C207" i="1"/>
  <c r="C208" i="1"/>
  <c r="C209" i="1"/>
  <c r="C210" i="1"/>
  <c r="C211" i="1"/>
  <c r="D203" i="1"/>
  <c r="D204" i="1"/>
  <c r="D205" i="1"/>
  <c r="D206" i="1"/>
  <c r="D207" i="1"/>
  <c r="D208" i="1"/>
  <c r="D209" i="1"/>
  <c r="D210" i="1"/>
  <c r="D211" i="1"/>
  <c r="AT203" i="1"/>
  <c r="AT204" i="1"/>
  <c r="AT205" i="1"/>
  <c r="AT206" i="1"/>
  <c r="AT207" i="1"/>
  <c r="AT208" i="1"/>
  <c r="AT209" i="1"/>
  <c r="AT210" i="1"/>
  <c r="AT211" i="1"/>
  <c r="AU203" i="1"/>
  <c r="AU204" i="1"/>
  <c r="AU205" i="1"/>
  <c r="AU206" i="1"/>
  <c r="AU207" i="1"/>
  <c r="AU208" i="1"/>
  <c r="AU209" i="1"/>
  <c r="AU210" i="1"/>
  <c r="AU211" i="1"/>
  <c r="AZ203" i="1"/>
  <c r="AZ204" i="1"/>
  <c r="AZ205" i="1"/>
  <c r="AZ206" i="1"/>
  <c r="AZ207" i="1"/>
  <c r="AZ208" i="1"/>
  <c r="AZ209" i="1"/>
  <c r="AZ210" i="1"/>
  <c r="AZ211" i="1"/>
  <c r="D97" i="1"/>
  <c r="D199" i="3"/>
  <c r="D198" i="3"/>
  <c r="D202" i="2" s="1"/>
  <c r="D197" i="3"/>
  <c r="D196" i="3"/>
  <c r="W131" i="1"/>
  <c r="W92" i="1"/>
  <c r="H214" i="1"/>
  <c r="B177" i="1"/>
  <c r="W160" i="1"/>
  <c r="W155" i="1"/>
  <c r="G214" i="1"/>
  <c r="V68" i="1"/>
  <c r="V174" i="1"/>
  <c r="V87" i="1"/>
  <c r="V29" i="1"/>
  <c r="V19" i="1"/>
  <c r="D130" i="3"/>
  <c r="AQ54" i="1"/>
  <c r="T54" i="1"/>
  <c r="AU54" i="1" s="1"/>
  <c r="T46" i="1"/>
  <c r="AQ186" i="1"/>
  <c r="F212" i="1"/>
  <c r="E212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B142" i="1"/>
  <c r="B213" i="1"/>
  <c r="C213" i="1"/>
  <c r="D213" i="1"/>
  <c r="AT213" i="1"/>
  <c r="AU213" i="1"/>
  <c r="AZ213" i="1"/>
  <c r="B212" i="1"/>
  <c r="D212" i="1"/>
  <c r="AT212" i="1"/>
  <c r="AU212" i="1"/>
  <c r="AZ212" i="1"/>
  <c r="B202" i="1"/>
  <c r="D202" i="1"/>
  <c r="AT202" i="1"/>
  <c r="AU202" i="1"/>
  <c r="AZ202" i="1"/>
  <c r="I22" i="19"/>
  <c r="I23" i="19"/>
  <c r="I24" i="19"/>
  <c r="I25" i="19"/>
  <c r="T8" i="1"/>
  <c r="B201" i="1"/>
  <c r="D201" i="1"/>
  <c r="AT201" i="1"/>
  <c r="AU201" i="1"/>
  <c r="AZ201" i="1"/>
  <c r="B200" i="1"/>
  <c r="D200" i="1"/>
  <c r="AT200" i="1"/>
  <c r="AU200" i="1"/>
  <c r="AZ200" i="1"/>
  <c r="B199" i="1"/>
  <c r="D199" i="1"/>
  <c r="AT199" i="1"/>
  <c r="AU199" i="1"/>
  <c r="AZ199" i="1"/>
  <c r="B198" i="1"/>
  <c r="D198" i="1"/>
  <c r="AT198" i="1"/>
  <c r="AU198" i="1"/>
  <c r="AZ198" i="1"/>
  <c r="D195" i="3"/>
  <c r="D194" i="3"/>
  <c r="D193" i="3"/>
  <c r="D192" i="3"/>
  <c r="D191" i="3"/>
  <c r="D190" i="3"/>
  <c r="C193" i="1" s="1"/>
  <c r="D189" i="3"/>
  <c r="AQ193" i="3"/>
  <c r="AP193" i="3"/>
  <c r="AQ192" i="3"/>
  <c r="AQ191" i="3"/>
  <c r="AP191" i="3"/>
  <c r="AP192" i="3"/>
  <c r="B197" i="1"/>
  <c r="D197" i="1"/>
  <c r="AT197" i="1"/>
  <c r="AU197" i="1"/>
  <c r="AZ197" i="1"/>
  <c r="B196" i="1"/>
  <c r="D196" i="1"/>
  <c r="AT196" i="1"/>
  <c r="AU196" i="1"/>
  <c r="AZ196" i="1"/>
  <c r="B195" i="1"/>
  <c r="D195" i="1"/>
  <c r="AT195" i="1"/>
  <c r="AU195" i="1"/>
  <c r="AZ195" i="1"/>
  <c r="B194" i="1"/>
  <c r="D194" i="1"/>
  <c r="AT194" i="1"/>
  <c r="AU194" i="1"/>
  <c r="AZ194" i="1"/>
  <c r="B193" i="1"/>
  <c r="D193" i="1"/>
  <c r="AT193" i="1"/>
  <c r="AU193" i="1"/>
  <c r="AZ193" i="1"/>
  <c r="S8" i="1"/>
  <c r="AR168" i="3"/>
  <c r="AR165" i="3"/>
  <c r="AR166" i="3"/>
  <c r="AR155" i="3"/>
  <c r="AR154" i="3"/>
  <c r="AR157" i="3"/>
  <c r="AR145" i="3"/>
  <c r="AR144" i="3"/>
  <c r="AR141" i="3"/>
  <c r="AR140" i="3"/>
  <c r="AR131" i="3"/>
  <c r="AR129" i="3"/>
  <c r="AR126" i="3"/>
  <c r="AR125" i="3"/>
  <c r="AR120" i="3"/>
  <c r="AR119" i="3"/>
  <c r="AR118" i="3"/>
  <c r="AR117" i="3"/>
  <c r="AR111" i="3"/>
  <c r="AR109" i="3"/>
  <c r="AR108" i="3"/>
  <c r="AR105" i="3"/>
  <c r="AR101" i="3"/>
  <c r="AR99" i="3"/>
  <c r="AR98" i="3"/>
  <c r="AR97" i="3"/>
  <c r="AR96" i="3"/>
  <c r="AR93" i="3"/>
  <c r="AR91" i="3"/>
  <c r="AR84" i="3"/>
  <c r="AR86" i="3"/>
  <c r="AR90" i="3"/>
  <c r="AR66" i="3"/>
  <c r="AR80" i="3"/>
  <c r="AR79" i="3"/>
  <c r="AR76" i="3"/>
  <c r="AR71" i="3"/>
  <c r="AR68" i="3"/>
  <c r="AR54" i="3"/>
  <c r="AR53" i="3"/>
  <c r="AR52" i="3"/>
  <c r="AR51" i="3"/>
  <c r="AR47" i="3"/>
  <c r="AR44" i="3"/>
  <c r="AR39" i="3"/>
  <c r="AR38" i="3"/>
  <c r="AR37" i="3"/>
  <c r="AR34" i="3"/>
  <c r="AR33" i="3"/>
  <c r="AR32" i="3"/>
  <c r="AR31" i="3"/>
  <c r="AR26" i="3"/>
  <c r="AR7" i="3"/>
  <c r="AR5" i="3"/>
  <c r="AR6" i="3"/>
  <c r="AR3" i="3"/>
  <c r="S157" i="1"/>
  <c r="P59" i="1"/>
  <c r="D189" i="1"/>
  <c r="F186" i="2"/>
  <c r="G186" i="2"/>
  <c r="H186" i="2"/>
  <c r="F187" i="2"/>
  <c r="G187" i="2"/>
  <c r="H187" i="2"/>
  <c r="F188" i="2"/>
  <c r="G188" i="2"/>
  <c r="H188" i="2"/>
  <c r="F189" i="2"/>
  <c r="G189" i="2"/>
  <c r="H189" i="2"/>
  <c r="F190" i="2"/>
  <c r="G190" i="2"/>
  <c r="H190" i="2"/>
  <c r="F191" i="2"/>
  <c r="G191" i="2"/>
  <c r="H191" i="2"/>
  <c r="F192" i="2"/>
  <c r="G192" i="2"/>
  <c r="H192" i="2"/>
  <c r="F193" i="2"/>
  <c r="G193" i="2"/>
  <c r="H193" i="2"/>
  <c r="F194" i="2"/>
  <c r="G194" i="2"/>
  <c r="H194" i="2"/>
  <c r="B187" i="2"/>
  <c r="B188" i="2"/>
  <c r="B189" i="2"/>
  <c r="B190" i="2"/>
  <c r="B191" i="2"/>
  <c r="B192" i="2"/>
  <c r="B193" i="2"/>
  <c r="B194" i="2"/>
  <c r="C187" i="2"/>
  <c r="C188" i="2"/>
  <c r="C189" i="2"/>
  <c r="C190" i="2"/>
  <c r="C191" i="2"/>
  <c r="C192" i="2"/>
  <c r="C193" i="2"/>
  <c r="C194" i="2"/>
  <c r="E187" i="2"/>
  <c r="E188" i="2"/>
  <c r="E189" i="2"/>
  <c r="E190" i="2"/>
  <c r="E191" i="2"/>
  <c r="E192" i="2"/>
  <c r="E193" i="2"/>
  <c r="E194" i="2"/>
  <c r="Q81" i="1"/>
  <c r="Q128" i="1"/>
  <c r="Q126" i="1"/>
  <c r="Q40" i="1"/>
  <c r="Q92" i="1"/>
  <c r="AH83" i="1"/>
  <c r="C203" i="1" l="1"/>
  <c r="D204" i="2"/>
  <c r="C202" i="1"/>
  <c r="D203" i="2"/>
  <c r="C200" i="1"/>
  <c r="D201" i="2"/>
  <c r="C199" i="1"/>
  <c r="D200" i="2"/>
  <c r="C198" i="1"/>
  <c r="D199" i="2"/>
  <c r="C197" i="1"/>
  <c r="D198" i="2"/>
  <c r="C196" i="1"/>
  <c r="D197" i="2"/>
  <c r="C195" i="1"/>
  <c r="D196" i="2"/>
  <c r="C194" i="1"/>
  <c r="D195" i="2"/>
  <c r="C212" i="1"/>
  <c r="C201" i="1"/>
  <c r="D194" i="2"/>
  <c r="D193" i="2"/>
  <c r="D188" i="3"/>
  <c r="D192" i="2" s="1"/>
  <c r="D49" i="1"/>
  <c r="B157" i="1"/>
  <c r="B190" i="1"/>
  <c r="D187" i="3"/>
  <c r="D191" i="2" s="1"/>
  <c r="D186" i="3"/>
  <c r="D190" i="2" s="1"/>
  <c r="B170" i="2" l="1"/>
  <c r="B161" i="2"/>
  <c r="M123" i="1"/>
  <c r="F122" i="1"/>
  <c r="B192" i="1"/>
  <c r="C192" i="1"/>
  <c r="D192" i="1"/>
  <c r="AT192" i="1"/>
  <c r="AU192" i="1"/>
  <c r="AZ192" i="1"/>
  <c r="B191" i="1"/>
  <c r="C191" i="1"/>
  <c r="D191" i="1"/>
  <c r="AT191" i="1"/>
  <c r="AU191" i="1"/>
  <c r="AZ191" i="1"/>
  <c r="D185" i="3"/>
  <c r="D189" i="2" s="1"/>
  <c r="B188" i="1"/>
  <c r="C31" i="2"/>
  <c r="C61" i="2"/>
  <c r="C95" i="2"/>
  <c r="C96" i="2"/>
  <c r="F184" i="2"/>
  <c r="G184" i="2"/>
  <c r="H184" i="2"/>
  <c r="F185" i="2"/>
  <c r="G185" i="2"/>
  <c r="H185" i="2"/>
  <c r="B186" i="2"/>
  <c r="C186" i="2"/>
  <c r="E186" i="2"/>
  <c r="B185" i="2"/>
  <c r="C185" i="2"/>
  <c r="E185" i="2"/>
  <c r="D18" i="1"/>
  <c r="B53" i="1"/>
  <c r="B49" i="1"/>
  <c r="C190" i="1" l="1"/>
  <c r="D190" i="1"/>
  <c r="AT190" i="1"/>
  <c r="AU190" i="1"/>
  <c r="AZ190" i="1"/>
  <c r="B189" i="1"/>
  <c r="C189" i="1"/>
  <c r="AT189" i="1"/>
  <c r="AU189" i="1"/>
  <c r="AZ189" i="1"/>
  <c r="C188" i="1"/>
  <c r="D188" i="1"/>
  <c r="AT188" i="1"/>
  <c r="AU188" i="1"/>
  <c r="AZ188" i="1"/>
  <c r="B187" i="1"/>
  <c r="D187" i="1"/>
  <c r="AT187" i="1"/>
  <c r="AZ187" i="1"/>
  <c r="B186" i="1"/>
  <c r="D186" i="1"/>
  <c r="AT186" i="1"/>
  <c r="AU186" i="1"/>
  <c r="AZ186" i="1"/>
  <c r="B185" i="1"/>
  <c r="D185" i="1"/>
  <c r="AT185" i="1"/>
  <c r="AU185" i="1"/>
  <c r="AZ185" i="1"/>
  <c r="B184" i="1"/>
  <c r="D184" i="1"/>
  <c r="AT184" i="1"/>
  <c r="AU184" i="1"/>
  <c r="AZ184" i="1"/>
  <c r="D184" i="3"/>
  <c r="D183" i="3"/>
  <c r="D182" i="3"/>
  <c r="D174" i="3"/>
  <c r="D175" i="3"/>
  <c r="D176" i="3"/>
  <c r="D177" i="3"/>
  <c r="D178" i="3"/>
  <c r="D179" i="3"/>
  <c r="D180" i="3"/>
  <c r="D181" i="3"/>
  <c r="C187" i="1" l="1"/>
  <c r="D188" i="2"/>
  <c r="C186" i="1"/>
  <c r="D187" i="2"/>
  <c r="C184" i="1"/>
  <c r="D185" i="2"/>
  <c r="C185" i="1"/>
  <c r="D186" i="2"/>
  <c r="B183" i="1"/>
  <c r="C183" i="1"/>
  <c r="D183" i="1"/>
  <c r="AT183" i="1"/>
  <c r="AU183" i="1"/>
  <c r="AZ183" i="1"/>
  <c r="H130" i="2"/>
  <c r="G130" i="2"/>
  <c r="F130" i="2"/>
  <c r="H129" i="2"/>
  <c r="G129" i="2"/>
  <c r="F129" i="2"/>
  <c r="H128" i="2"/>
  <c r="G128" i="2"/>
  <c r="F128" i="2"/>
  <c r="H121" i="2"/>
  <c r="G121" i="2"/>
  <c r="F121" i="2"/>
  <c r="H112" i="2"/>
  <c r="G112" i="2"/>
  <c r="F112" i="2"/>
  <c r="H107" i="2"/>
  <c r="G107" i="2"/>
  <c r="F107" i="2"/>
  <c r="H106" i="2"/>
  <c r="G106" i="2"/>
  <c r="F106" i="2"/>
  <c r="H98" i="2"/>
  <c r="G98" i="2"/>
  <c r="F98" i="2"/>
  <c r="H96" i="2"/>
  <c r="G96" i="2"/>
  <c r="F96" i="2"/>
  <c r="H95" i="2"/>
  <c r="G95" i="2"/>
  <c r="F95" i="2"/>
  <c r="H88" i="2"/>
  <c r="G88" i="2"/>
  <c r="F88" i="2"/>
  <c r="H87" i="2"/>
  <c r="G87" i="2"/>
  <c r="F87" i="2"/>
  <c r="D25" i="19" l="1"/>
  <c r="F25" i="19"/>
  <c r="H25" i="19"/>
  <c r="H181" i="2"/>
  <c r="H182" i="2"/>
  <c r="H183" i="2"/>
  <c r="F181" i="2"/>
  <c r="G181" i="2"/>
  <c r="F182" i="2"/>
  <c r="G182" i="2"/>
  <c r="F183" i="2"/>
  <c r="G183" i="2"/>
  <c r="AB82" i="1"/>
  <c r="Y155" i="1"/>
  <c r="AQ143" i="1"/>
  <c r="P142" i="1"/>
  <c r="P41" i="1"/>
  <c r="M92" i="1"/>
  <c r="J92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Y106" i="1"/>
  <c r="M129" i="1"/>
  <c r="AQ128" i="1"/>
  <c r="AN127" i="1"/>
  <c r="AH111" i="1"/>
  <c r="M180" i="1"/>
  <c r="V141" i="1"/>
  <c r="M122" i="1"/>
  <c r="J122" i="1"/>
  <c r="AK9" i="1"/>
  <c r="AE8" i="1"/>
  <c r="M167" i="1"/>
  <c r="V124" i="1"/>
  <c r="AU124" i="1"/>
  <c r="B184" i="2" l="1"/>
  <c r="C184" i="2"/>
  <c r="D184" i="2"/>
  <c r="E184" i="2"/>
  <c r="B183" i="2"/>
  <c r="C183" i="2"/>
  <c r="E183" i="2"/>
  <c r="B182" i="2"/>
  <c r="C182" i="2"/>
  <c r="E182" i="2"/>
  <c r="B181" i="1"/>
  <c r="D181" i="1"/>
  <c r="AT181" i="1"/>
  <c r="AU181" i="1"/>
  <c r="AZ181" i="1"/>
  <c r="B182" i="1"/>
  <c r="AZ182" i="1"/>
  <c r="C182" i="1"/>
  <c r="Y137" i="1"/>
  <c r="P137" i="1"/>
  <c r="D183" i="2" l="1"/>
  <c r="AH137" i="1"/>
  <c r="D182" i="2" l="1"/>
  <c r="C181" i="1"/>
  <c r="D105" i="3"/>
  <c r="AU149" i="1" l="1"/>
  <c r="AU152" i="1"/>
  <c r="AU156" i="1"/>
  <c r="AU175" i="1"/>
  <c r="AU178" i="1"/>
  <c r="AU5" i="1"/>
  <c r="AU6" i="1"/>
  <c r="J134" i="1" l="1"/>
  <c r="AQ82" i="1"/>
  <c r="AN82" i="1"/>
  <c r="AK82" i="1"/>
  <c r="AH82" i="1"/>
  <c r="AE82" i="1"/>
  <c r="Y82" i="1"/>
  <c r="V82" i="1"/>
  <c r="S82" i="1"/>
  <c r="P82" i="1"/>
  <c r="M82" i="1"/>
  <c r="J82" i="1"/>
  <c r="D76" i="1" l="1"/>
  <c r="D158" i="1"/>
  <c r="B72" i="1"/>
  <c r="AU53" i="1"/>
  <c r="B19" i="1"/>
  <c r="D28" i="3"/>
  <c r="F149" i="2"/>
  <c r="G149" i="2"/>
  <c r="H149" i="2"/>
  <c r="F150" i="2"/>
  <c r="G150" i="2"/>
  <c r="H150" i="2"/>
  <c r="F151" i="2"/>
  <c r="G151" i="2"/>
  <c r="H151" i="2"/>
  <c r="F152" i="2"/>
  <c r="G152" i="2"/>
  <c r="H152" i="2"/>
  <c r="F153" i="2"/>
  <c r="G153" i="2"/>
  <c r="H153" i="2"/>
  <c r="F154" i="2"/>
  <c r="G154" i="2"/>
  <c r="H154" i="2"/>
  <c r="F155" i="2"/>
  <c r="G155" i="2"/>
  <c r="H155" i="2"/>
  <c r="F156" i="2"/>
  <c r="G156" i="2"/>
  <c r="H156" i="2"/>
  <c r="F157" i="2"/>
  <c r="G157" i="2"/>
  <c r="H157" i="2"/>
  <c r="F158" i="2"/>
  <c r="G158" i="2"/>
  <c r="H158" i="2"/>
  <c r="F159" i="2"/>
  <c r="G159" i="2"/>
  <c r="H159" i="2"/>
  <c r="F160" i="2"/>
  <c r="G160" i="2"/>
  <c r="H160" i="2"/>
  <c r="F161" i="2"/>
  <c r="G161" i="2"/>
  <c r="H161" i="2"/>
  <c r="F162" i="2"/>
  <c r="G162" i="2"/>
  <c r="H162" i="2"/>
  <c r="F163" i="2"/>
  <c r="G163" i="2"/>
  <c r="H163" i="2"/>
  <c r="F164" i="2"/>
  <c r="G164" i="2"/>
  <c r="H164" i="2"/>
  <c r="F165" i="2"/>
  <c r="G165" i="2"/>
  <c r="H165" i="2"/>
  <c r="F166" i="2"/>
  <c r="G166" i="2"/>
  <c r="H166" i="2"/>
  <c r="F167" i="2"/>
  <c r="G167" i="2"/>
  <c r="H167" i="2"/>
  <c r="F168" i="2"/>
  <c r="G168" i="2"/>
  <c r="H168" i="2"/>
  <c r="F169" i="2"/>
  <c r="G169" i="2"/>
  <c r="H169" i="2"/>
  <c r="F170" i="2"/>
  <c r="G170" i="2"/>
  <c r="H170" i="2"/>
  <c r="F171" i="2"/>
  <c r="G171" i="2"/>
  <c r="H171" i="2"/>
  <c r="F172" i="2"/>
  <c r="G172" i="2"/>
  <c r="H172" i="2"/>
  <c r="F173" i="2"/>
  <c r="G173" i="2"/>
  <c r="H173" i="2"/>
  <c r="F174" i="2"/>
  <c r="G174" i="2"/>
  <c r="H174" i="2"/>
  <c r="F175" i="2"/>
  <c r="G175" i="2"/>
  <c r="H175" i="2"/>
  <c r="F176" i="2"/>
  <c r="G176" i="2"/>
  <c r="H176" i="2"/>
  <c r="F177" i="2"/>
  <c r="G177" i="2"/>
  <c r="H177" i="2"/>
  <c r="F178" i="2"/>
  <c r="G178" i="2"/>
  <c r="H178" i="2"/>
  <c r="F179" i="2"/>
  <c r="G179" i="2"/>
  <c r="H179" i="2"/>
  <c r="F180" i="2"/>
  <c r="G180" i="2"/>
  <c r="H180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9" i="2"/>
  <c r="H90" i="2"/>
  <c r="H91" i="2"/>
  <c r="H92" i="2"/>
  <c r="H93" i="2"/>
  <c r="H94" i="2"/>
  <c r="H97" i="2"/>
  <c r="H99" i="2"/>
  <c r="H100" i="2"/>
  <c r="H101" i="2"/>
  <c r="H102" i="2"/>
  <c r="H103" i="2"/>
  <c r="H104" i="2"/>
  <c r="H105" i="2"/>
  <c r="H108" i="2"/>
  <c r="H109" i="2"/>
  <c r="H110" i="2"/>
  <c r="H111" i="2"/>
  <c r="H113" i="2"/>
  <c r="H114" i="2"/>
  <c r="H115" i="2"/>
  <c r="H116" i="2"/>
  <c r="H117" i="2"/>
  <c r="H118" i="2"/>
  <c r="H119" i="2"/>
  <c r="H120" i="2"/>
  <c r="H122" i="2"/>
  <c r="H123" i="2"/>
  <c r="H124" i="2"/>
  <c r="H125" i="2"/>
  <c r="H126" i="2"/>
  <c r="H127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6" i="2"/>
  <c r="B181" i="2"/>
  <c r="C181" i="2"/>
  <c r="D181" i="2"/>
  <c r="E181" i="2"/>
  <c r="B180" i="2"/>
  <c r="C180" i="2"/>
  <c r="E180" i="2"/>
  <c r="B179" i="2"/>
  <c r="C179" i="2"/>
  <c r="E179" i="2"/>
  <c r="B178" i="2"/>
  <c r="C178" i="2"/>
  <c r="E178" i="2"/>
  <c r="D178" i="1"/>
  <c r="D179" i="1"/>
  <c r="D180" i="1"/>
  <c r="D169" i="1"/>
  <c r="D170" i="1"/>
  <c r="D171" i="1"/>
  <c r="D172" i="1"/>
  <c r="D173" i="1"/>
  <c r="D174" i="1"/>
  <c r="D175" i="1"/>
  <c r="D176" i="1"/>
  <c r="D177" i="1"/>
  <c r="B180" i="1"/>
  <c r="C180" i="1"/>
  <c r="AT180" i="1"/>
  <c r="AU180" i="1"/>
  <c r="AZ180" i="1"/>
  <c r="B179" i="1"/>
  <c r="AT179" i="1"/>
  <c r="AU179" i="1"/>
  <c r="AZ179" i="1"/>
  <c r="B178" i="1"/>
  <c r="AT178" i="1"/>
  <c r="AZ178" i="1"/>
  <c r="AT177" i="1"/>
  <c r="AU177" i="1"/>
  <c r="AZ177" i="1"/>
  <c r="D142" i="1" l="1"/>
  <c r="D103" i="1"/>
  <c r="B169" i="1"/>
  <c r="B164" i="1"/>
  <c r="J87" i="1"/>
  <c r="B74" i="1"/>
  <c r="D41" i="1"/>
  <c r="B102" i="1"/>
  <c r="P83" i="1"/>
  <c r="M83" i="1"/>
  <c r="J83" i="1"/>
  <c r="Y67" i="1"/>
  <c r="V67" i="1"/>
  <c r="S67" i="1"/>
  <c r="P67" i="1"/>
  <c r="M67" i="1"/>
  <c r="AB63" i="1"/>
  <c r="Y63" i="1"/>
  <c r="V63" i="1"/>
  <c r="S63" i="1"/>
  <c r="P63" i="1"/>
  <c r="M63" i="1"/>
  <c r="J63" i="1"/>
  <c r="AQ61" i="1"/>
  <c r="AN61" i="1"/>
  <c r="AK61" i="1"/>
  <c r="AH61" i="1"/>
  <c r="AE61" i="1"/>
  <c r="AB61" i="1"/>
  <c r="Y61" i="1"/>
  <c r="V61" i="1"/>
  <c r="S61" i="1"/>
  <c r="P61" i="1"/>
  <c r="M61" i="1"/>
  <c r="J61" i="1"/>
  <c r="S22" i="1"/>
  <c r="P22" i="1"/>
  <c r="M22" i="1"/>
  <c r="J22" i="1"/>
  <c r="AQ19" i="1"/>
  <c r="AN19" i="1"/>
  <c r="AK19" i="1"/>
  <c r="AH19" i="1"/>
  <c r="AE19" i="1"/>
  <c r="AB19" i="1"/>
  <c r="Y19" i="1"/>
  <c r="S19" i="1"/>
  <c r="P19" i="1"/>
  <c r="M19" i="1"/>
  <c r="Y18" i="1"/>
  <c r="V18" i="1"/>
  <c r="S18" i="1"/>
  <c r="P18" i="1"/>
  <c r="M18" i="1"/>
  <c r="J19" i="1"/>
  <c r="J18" i="1"/>
  <c r="J145" i="1"/>
  <c r="D141" i="1"/>
  <c r="AQ174" i="1"/>
  <c r="AQ168" i="1"/>
  <c r="AQ158" i="1"/>
  <c r="AQ155" i="1"/>
  <c r="AQ147" i="1"/>
  <c r="AQ141" i="1"/>
  <c r="AQ140" i="1"/>
  <c r="AQ139" i="1"/>
  <c r="AQ135" i="1"/>
  <c r="AQ132" i="1"/>
  <c r="AQ129" i="1"/>
  <c r="AQ127" i="1"/>
  <c r="AQ126" i="1"/>
  <c r="AQ123" i="1"/>
  <c r="AQ122" i="1"/>
  <c r="AQ116" i="1"/>
  <c r="AQ115" i="1"/>
  <c r="AQ112" i="1"/>
  <c r="AQ111" i="1"/>
  <c r="AQ102" i="1"/>
  <c r="AQ99" i="1"/>
  <c r="AQ93" i="1"/>
  <c r="AQ87" i="1"/>
  <c r="AQ81" i="1"/>
  <c r="AQ76" i="1"/>
  <c r="AQ71" i="1"/>
  <c r="AQ69" i="1"/>
  <c r="AQ68" i="1"/>
  <c r="AQ66" i="1"/>
  <c r="AQ56" i="1"/>
  <c r="AQ55" i="1"/>
  <c r="AQ50" i="1"/>
  <c r="AQ47" i="1"/>
  <c r="AQ43" i="1"/>
  <c r="AQ42" i="1"/>
  <c r="AQ41" i="1"/>
  <c r="AQ40" i="1"/>
  <c r="AQ37" i="1"/>
  <c r="AQ36" i="1"/>
  <c r="AQ35" i="1"/>
  <c r="AQ34" i="1"/>
  <c r="AQ29" i="1"/>
  <c r="AQ28" i="1"/>
  <c r="AQ14" i="1"/>
  <c r="AQ13" i="1"/>
  <c r="AQ9" i="1"/>
  <c r="AQ8" i="1"/>
  <c r="AN174" i="1"/>
  <c r="AN168" i="1"/>
  <c r="AN158" i="1"/>
  <c r="AN155" i="1"/>
  <c r="AN147" i="1"/>
  <c r="AN143" i="1"/>
  <c r="AN141" i="1"/>
  <c r="AN140" i="1"/>
  <c r="AN139" i="1"/>
  <c r="AN135" i="1"/>
  <c r="AN132" i="1"/>
  <c r="AN129" i="1"/>
  <c r="AN126" i="1"/>
  <c r="AN123" i="1"/>
  <c r="AN122" i="1"/>
  <c r="AN116" i="1"/>
  <c r="AN115" i="1"/>
  <c r="AN112" i="1"/>
  <c r="AN111" i="1"/>
  <c r="AN102" i="1"/>
  <c r="AN99" i="1"/>
  <c r="AN93" i="1"/>
  <c r="AN87" i="1"/>
  <c r="AN81" i="1"/>
  <c r="AN76" i="1"/>
  <c r="AN71" i="1"/>
  <c r="AN69" i="1"/>
  <c r="AN68" i="1"/>
  <c r="AN66" i="1"/>
  <c r="AN56" i="1"/>
  <c r="AN55" i="1"/>
  <c r="AN50" i="1"/>
  <c r="AN47" i="1"/>
  <c r="AN43" i="1"/>
  <c r="AN42" i="1"/>
  <c r="AN41" i="1"/>
  <c r="AN40" i="1"/>
  <c r="AN37" i="1"/>
  <c r="AN36" i="1"/>
  <c r="AN35" i="1"/>
  <c r="AN34" i="1"/>
  <c r="AN29" i="1"/>
  <c r="AN28" i="1"/>
  <c r="AN14" i="1"/>
  <c r="AN13" i="1"/>
  <c r="AN9" i="1"/>
  <c r="AN8" i="1"/>
  <c r="AK174" i="1"/>
  <c r="AK168" i="1"/>
  <c r="AK158" i="1"/>
  <c r="AK155" i="1"/>
  <c r="AK147" i="1"/>
  <c r="AK143" i="1"/>
  <c r="AK141" i="1"/>
  <c r="AK140" i="1"/>
  <c r="AK139" i="1"/>
  <c r="AK135" i="1"/>
  <c r="AK132" i="1"/>
  <c r="AK129" i="1"/>
  <c r="AK127" i="1"/>
  <c r="AK126" i="1"/>
  <c r="AK123" i="1"/>
  <c r="AK122" i="1"/>
  <c r="AK116" i="1"/>
  <c r="AK115" i="1"/>
  <c r="AK112" i="1"/>
  <c r="AK111" i="1"/>
  <c r="AK102" i="1"/>
  <c r="AK99" i="1"/>
  <c r="AK93" i="1"/>
  <c r="AK87" i="1"/>
  <c r="AK81" i="1"/>
  <c r="AK76" i="1"/>
  <c r="AK71" i="1"/>
  <c r="AK69" i="1"/>
  <c r="AK68" i="1"/>
  <c r="AK66" i="1"/>
  <c r="AK56" i="1"/>
  <c r="AK55" i="1"/>
  <c r="AK50" i="1"/>
  <c r="AK47" i="1"/>
  <c r="AK43" i="1"/>
  <c r="AK42" i="1"/>
  <c r="AK41" i="1"/>
  <c r="AK40" i="1"/>
  <c r="AK37" i="1"/>
  <c r="AK36" i="1"/>
  <c r="AK35" i="1"/>
  <c r="AK34" i="1"/>
  <c r="AK29" i="1"/>
  <c r="AK28" i="1"/>
  <c r="AK14" i="1"/>
  <c r="AK13" i="1"/>
  <c r="AK8" i="1"/>
  <c r="AH174" i="1"/>
  <c r="AH168" i="1"/>
  <c r="AH158" i="1"/>
  <c r="AH155" i="1"/>
  <c r="AH147" i="1"/>
  <c r="AH143" i="1"/>
  <c r="AH141" i="1"/>
  <c r="AH140" i="1"/>
  <c r="AH139" i="1"/>
  <c r="AH135" i="1"/>
  <c r="AH132" i="1"/>
  <c r="AH129" i="1"/>
  <c r="AH127" i="1"/>
  <c r="AH126" i="1"/>
  <c r="AH123" i="1"/>
  <c r="AH122" i="1"/>
  <c r="AH116" i="1"/>
  <c r="AH115" i="1"/>
  <c r="AH112" i="1"/>
  <c r="AH102" i="1"/>
  <c r="AH99" i="1"/>
  <c r="AH93" i="1"/>
  <c r="AH87" i="1"/>
  <c r="AH81" i="1"/>
  <c r="AH76" i="1"/>
  <c r="AH71" i="1"/>
  <c r="AH69" i="1"/>
  <c r="AH68" i="1"/>
  <c r="AH66" i="1"/>
  <c r="AH56" i="1"/>
  <c r="AH55" i="1"/>
  <c r="AH50" i="1"/>
  <c r="AH47" i="1"/>
  <c r="AH43" i="1"/>
  <c r="AH42" i="1"/>
  <c r="AH41" i="1"/>
  <c r="AH40" i="1"/>
  <c r="AH37" i="1"/>
  <c r="AH36" i="1"/>
  <c r="AH35" i="1"/>
  <c r="AH34" i="1"/>
  <c r="AH29" i="1"/>
  <c r="AH28" i="1"/>
  <c r="AH14" i="1"/>
  <c r="AH13" i="1"/>
  <c r="AH9" i="1"/>
  <c r="AH8" i="1"/>
  <c r="AE174" i="1"/>
  <c r="AE168" i="1"/>
  <c r="AE158" i="1"/>
  <c r="AE155" i="1"/>
  <c r="AE147" i="1"/>
  <c r="AE143" i="1"/>
  <c r="AE141" i="1"/>
  <c r="AE140" i="1"/>
  <c r="AE139" i="1"/>
  <c r="AE135" i="1"/>
  <c r="AE132" i="1"/>
  <c r="AE129" i="1"/>
  <c r="AE127" i="1"/>
  <c r="AE126" i="1"/>
  <c r="AE123" i="1"/>
  <c r="AE122" i="1"/>
  <c r="AE116" i="1"/>
  <c r="AE115" i="1"/>
  <c r="AE112" i="1"/>
  <c r="AE111" i="1"/>
  <c r="AE102" i="1"/>
  <c r="AE99" i="1"/>
  <c r="AE93" i="1"/>
  <c r="AE87" i="1"/>
  <c r="AE81" i="1"/>
  <c r="AE76" i="1"/>
  <c r="AE71" i="1"/>
  <c r="AE69" i="1"/>
  <c r="AE68" i="1"/>
  <c r="AE66" i="1"/>
  <c r="AE56" i="1"/>
  <c r="AE55" i="1"/>
  <c r="AE50" i="1"/>
  <c r="AE47" i="1"/>
  <c r="AE43" i="1"/>
  <c r="AE42" i="1"/>
  <c r="AE41" i="1"/>
  <c r="AE40" i="1"/>
  <c r="AE37" i="1"/>
  <c r="AE36" i="1"/>
  <c r="AE35" i="1"/>
  <c r="AE34" i="1"/>
  <c r="AE28" i="1"/>
  <c r="AE14" i="1"/>
  <c r="AE13" i="1"/>
  <c r="AE9" i="1"/>
  <c r="AB174" i="1"/>
  <c r="AB168" i="1"/>
  <c r="AB158" i="1"/>
  <c r="AB155" i="1"/>
  <c r="AB147" i="1"/>
  <c r="AB143" i="1"/>
  <c r="AB141" i="1"/>
  <c r="AB139" i="1"/>
  <c r="AB135" i="1"/>
  <c r="AB132" i="1"/>
  <c r="AB129" i="1"/>
  <c r="AB127" i="1"/>
  <c r="AB126" i="1"/>
  <c r="AB123" i="1"/>
  <c r="AB122" i="1"/>
  <c r="AB116" i="1"/>
  <c r="AB115" i="1"/>
  <c r="AB112" i="1"/>
  <c r="AB111" i="1"/>
  <c r="AB102" i="1"/>
  <c r="AB99" i="1"/>
  <c r="AB93" i="1"/>
  <c r="AB87" i="1"/>
  <c r="AB81" i="1"/>
  <c r="AB76" i="1"/>
  <c r="AB71" i="1"/>
  <c r="AB69" i="1"/>
  <c r="AB68" i="1"/>
  <c r="AB66" i="1"/>
  <c r="AB56" i="1"/>
  <c r="AB55" i="1"/>
  <c r="AB50" i="1"/>
  <c r="AB47" i="1"/>
  <c r="AB43" i="1"/>
  <c r="AB42" i="1"/>
  <c r="AB41" i="1"/>
  <c r="AB40" i="1"/>
  <c r="AB37" i="1"/>
  <c r="AB36" i="1"/>
  <c r="AB35" i="1"/>
  <c r="AB34" i="1"/>
  <c r="AB28" i="1"/>
  <c r="AB14" i="1"/>
  <c r="AB13" i="1"/>
  <c r="AB9" i="1"/>
  <c r="AB8" i="1"/>
  <c r="Y174" i="1"/>
  <c r="Y168" i="1"/>
  <c r="Y160" i="1"/>
  <c r="Y158" i="1"/>
  <c r="Y147" i="1"/>
  <c r="Y143" i="1"/>
  <c r="Y141" i="1"/>
  <c r="Y139" i="1"/>
  <c r="Y135" i="1"/>
  <c r="Y132" i="1"/>
  <c r="Y129" i="1"/>
  <c r="Y127" i="1"/>
  <c r="Y126" i="1"/>
  <c r="Y123" i="1"/>
  <c r="Y122" i="1"/>
  <c r="Y121" i="1"/>
  <c r="Y116" i="1"/>
  <c r="Y115" i="1"/>
  <c r="Y112" i="1"/>
  <c r="Y111" i="1"/>
  <c r="Y102" i="1"/>
  <c r="Y99" i="1"/>
  <c r="Y93" i="1"/>
  <c r="Y76" i="1"/>
  <c r="Y71" i="1"/>
  <c r="Y69" i="1"/>
  <c r="Y68" i="1"/>
  <c r="Y66" i="1"/>
  <c r="Y56" i="1"/>
  <c r="Y55" i="1"/>
  <c r="Y50" i="1"/>
  <c r="Y47" i="1"/>
  <c r="Y43" i="1"/>
  <c r="Y42" i="1"/>
  <c r="Y41" i="1"/>
  <c r="Y40" i="1"/>
  <c r="Y36" i="1"/>
  <c r="Y34" i="1"/>
  <c r="Y28" i="1"/>
  <c r="Y14" i="1"/>
  <c r="Y13" i="1"/>
  <c r="Y9" i="1"/>
  <c r="Y8" i="1"/>
  <c r="V171" i="1"/>
  <c r="V168" i="1"/>
  <c r="V160" i="1"/>
  <c r="V158" i="1"/>
  <c r="V155" i="1"/>
  <c r="V147" i="1"/>
  <c r="V143" i="1"/>
  <c r="V140" i="1"/>
  <c r="V139" i="1"/>
  <c r="V135" i="1"/>
  <c r="V132" i="1"/>
  <c r="V129" i="1"/>
  <c r="V127" i="1"/>
  <c r="V126" i="1"/>
  <c r="V123" i="1"/>
  <c r="V122" i="1"/>
  <c r="V121" i="1"/>
  <c r="V116" i="1"/>
  <c r="V115" i="1"/>
  <c r="V114" i="1"/>
  <c r="V112" i="1"/>
  <c r="V111" i="1"/>
  <c r="V102" i="1"/>
  <c r="V99" i="1"/>
  <c r="V93" i="1"/>
  <c r="V81" i="1"/>
  <c r="V71" i="1"/>
  <c r="V69" i="1"/>
  <c r="V66" i="1"/>
  <c r="V56" i="1"/>
  <c r="V55" i="1"/>
  <c r="V50" i="1"/>
  <c r="V47" i="1"/>
  <c r="V43" i="1"/>
  <c r="V42" i="1"/>
  <c r="V41" i="1"/>
  <c r="V40" i="1"/>
  <c r="V37" i="1"/>
  <c r="V36" i="1"/>
  <c r="V35" i="1"/>
  <c r="V34" i="1"/>
  <c r="V28" i="1"/>
  <c r="V14" i="1"/>
  <c r="V13" i="1"/>
  <c r="V9" i="1"/>
  <c r="V8" i="1"/>
  <c r="S174" i="1"/>
  <c r="S171" i="1"/>
  <c r="S168" i="1"/>
  <c r="S160" i="1"/>
  <c r="S158" i="1"/>
  <c r="S155" i="1"/>
  <c r="S147" i="1"/>
  <c r="S143" i="1"/>
  <c r="S142" i="1"/>
  <c r="S140" i="1"/>
  <c r="S139" i="1"/>
  <c r="S135" i="1"/>
  <c r="S132" i="1"/>
  <c r="S129" i="1"/>
  <c r="S127" i="1"/>
  <c r="S126" i="1"/>
  <c r="S123" i="1"/>
  <c r="S122" i="1"/>
  <c r="S121" i="1"/>
  <c r="S116" i="1"/>
  <c r="S115" i="1"/>
  <c r="S114" i="1"/>
  <c r="S112" i="1"/>
  <c r="S111" i="1"/>
  <c r="S102" i="1"/>
  <c r="S99" i="1"/>
  <c r="S93" i="1"/>
  <c r="S87" i="1"/>
  <c r="S81" i="1"/>
  <c r="S76" i="1"/>
  <c r="S71" i="1"/>
  <c r="S69" i="1"/>
  <c r="S68" i="1"/>
  <c r="S66" i="1"/>
  <c r="S56" i="1"/>
  <c r="S55" i="1"/>
  <c r="S50" i="1"/>
  <c r="S47" i="1"/>
  <c r="S43" i="1"/>
  <c r="S42" i="1"/>
  <c r="S41" i="1"/>
  <c r="S40" i="1"/>
  <c r="S37" i="1"/>
  <c r="S35" i="1"/>
  <c r="S34" i="1"/>
  <c r="S29" i="1"/>
  <c r="S28" i="1"/>
  <c r="S14" i="1"/>
  <c r="S13" i="1"/>
  <c r="S9" i="1"/>
  <c r="P174" i="1"/>
  <c r="P171" i="1"/>
  <c r="P168" i="1"/>
  <c r="P160" i="1"/>
  <c r="P158" i="1"/>
  <c r="P155" i="1"/>
  <c r="P147" i="1"/>
  <c r="P141" i="1"/>
  <c r="P140" i="1"/>
  <c r="P135" i="1"/>
  <c r="P132" i="1"/>
  <c r="P129" i="1"/>
  <c r="P127" i="1"/>
  <c r="P126" i="1"/>
  <c r="P123" i="1"/>
  <c r="P122" i="1"/>
  <c r="P121" i="1"/>
  <c r="P116" i="1"/>
  <c r="P115" i="1"/>
  <c r="P114" i="1"/>
  <c r="P111" i="1"/>
  <c r="P102" i="1"/>
  <c r="P99" i="1"/>
  <c r="P93" i="1"/>
  <c r="P87" i="1"/>
  <c r="P81" i="1"/>
  <c r="P76" i="1"/>
  <c r="P71" i="1"/>
  <c r="P69" i="1"/>
  <c r="P68" i="1"/>
  <c r="P66" i="1"/>
  <c r="P56" i="1"/>
  <c r="P55" i="1"/>
  <c r="P50" i="1"/>
  <c r="P47" i="1"/>
  <c r="P43" i="1"/>
  <c r="P42" i="1"/>
  <c r="P40" i="1"/>
  <c r="P37" i="1"/>
  <c r="P35" i="1"/>
  <c r="P34" i="1"/>
  <c r="P29" i="1"/>
  <c r="P28" i="1"/>
  <c r="P14" i="1"/>
  <c r="P13" i="1"/>
  <c r="P9" i="1"/>
  <c r="P8" i="1"/>
  <c r="B177" i="2"/>
  <c r="C177" i="2"/>
  <c r="E177" i="2"/>
  <c r="B176" i="1"/>
  <c r="AT176" i="1"/>
  <c r="AU176" i="1"/>
  <c r="AZ176" i="1"/>
  <c r="M174" i="1"/>
  <c r="M171" i="1"/>
  <c r="M168" i="1"/>
  <c r="M160" i="1"/>
  <c r="M158" i="1"/>
  <c r="M155" i="1"/>
  <c r="M147" i="1"/>
  <c r="M143" i="1"/>
  <c r="M142" i="1"/>
  <c r="M140" i="1"/>
  <c r="M135" i="1"/>
  <c r="M132" i="1"/>
  <c r="M127" i="1"/>
  <c r="M126" i="1"/>
  <c r="M121" i="1"/>
  <c r="M116" i="1"/>
  <c r="M115" i="1"/>
  <c r="M114" i="1"/>
  <c r="M112" i="1"/>
  <c r="M111" i="1"/>
  <c r="M102" i="1"/>
  <c r="M99" i="1"/>
  <c r="M93" i="1"/>
  <c r="M87" i="1"/>
  <c r="M81" i="1"/>
  <c r="M76" i="1"/>
  <c r="M71" i="1"/>
  <c r="M69" i="1"/>
  <c r="M68" i="1"/>
  <c r="M66" i="1"/>
  <c r="M56" i="1"/>
  <c r="M55" i="1"/>
  <c r="M50" i="1"/>
  <c r="M47" i="1"/>
  <c r="M43" i="1"/>
  <c r="M42" i="1"/>
  <c r="M41" i="1"/>
  <c r="M40" i="1"/>
  <c r="M37" i="1"/>
  <c r="M35" i="1"/>
  <c r="M34" i="1"/>
  <c r="M29" i="1"/>
  <c r="M28" i="1"/>
  <c r="M17" i="1"/>
  <c r="M14" i="1"/>
  <c r="M13" i="1"/>
  <c r="M9" i="1"/>
  <c r="M8" i="1"/>
  <c r="D157" i="1"/>
  <c r="D59" i="1"/>
  <c r="D72" i="1"/>
  <c r="D12" i="1"/>
  <c r="J143" i="1"/>
  <c r="J127" i="1"/>
  <c r="D101" i="1"/>
  <c r="J89" i="1"/>
  <c r="J9" i="1"/>
  <c r="J8" i="1"/>
  <c r="J28" i="1"/>
  <c r="D54" i="1"/>
  <c r="D180" i="2" l="1"/>
  <c r="C179" i="1"/>
  <c r="D172" i="3"/>
  <c r="C177" i="1" l="1"/>
  <c r="D178" i="2"/>
  <c r="C178" i="1"/>
  <c r="D179" i="2"/>
  <c r="J34" i="1"/>
  <c r="B78" i="1"/>
  <c r="B76" i="1"/>
  <c r="D51" i="1"/>
  <c r="D46" i="1"/>
  <c r="J93" i="1"/>
  <c r="D7" i="1"/>
  <c r="D128" i="1"/>
  <c r="J142" i="1"/>
  <c r="D6" i="1"/>
  <c r="D11" i="3" l="1"/>
  <c r="C14" i="1" s="1"/>
  <c r="D9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E122" i="1"/>
  <c r="F121" i="1"/>
  <c r="E121" i="1"/>
  <c r="F120" i="1"/>
  <c r="E120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D20" i="1"/>
  <c r="D26" i="1"/>
  <c r="J171" i="1" l="1"/>
  <c r="J174" i="1"/>
  <c r="J160" i="1"/>
  <c r="J168" i="1"/>
  <c r="J161" i="1"/>
  <c r="J158" i="1"/>
  <c r="J155" i="1"/>
  <c r="J147" i="1"/>
  <c r="D145" i="1"/>
  <c r="D86" i="1"/>
  <c r="D143" i="1"/>
  <c r="J141" i="1"/>
  <c r="J139" i="1"/>
  <c r="J135" i="1"/>
  <c r="J132" i="1"/>
  <c r="J129" i="1"/>
  <c r="J126" i="1"/>
  <c r="J140" i="1"/>
  <c r="J123" i="1"/>
  <c r="J121" i="1"/>
  <c r="J119" i="1"/>
  <c r="J116" i="1"/>
  <c r="J115" i="1"/>
  <c r="J114" i="1"/>
  <c r="J112" i="1"/>
  <c r="J111" i="1"/>
  <c r="J102" i="1" l="1"/>
  <c r="J99" i="1"/>
  <c r="D94" i="1"/>
  <c r="J81" i="1"/>
  <c r="J79" i="1" l="1"/>
  <c r="J76" i="1"/>
  <c r="J71" i="1"/>
  <c r="J69" i="1"/>
  <c r="J68" i="1"/>
  <c r="J66" i="1"/>
  <c r="J57" i="1"/>
  <c r="J56" i="1"/>
  <c r="J55" i="1"/>
  <c r="J50" i="1"/>
  <c r="J47" i="1"/>
  <c r="J43" i="1"/>
  <c r="J42" i="1"/>
  <c r="J41" i="1"/>
  <c r="J40" i="1"/>
  <c r="J37" i="1"/>
  <c r="J36" i="1"/>
  <c r="J35" i="1"/>
  <c r="J26" i="1"/>
  <c r="J29" i="1"/>
  <c r="J14" i="1"/>
  <c r="G11" i="3"/>
  <c r="J17" i="1"/>
  <c r="J13" i="1"/>
  <c r="D5" i="1" l="1"/>
  <c r="D8" i="1"/>
  <c r="D10" i="1"/>
  <c r="D11" i="1"/>
  <c r="D13" i="1"/>
  <c r="D14" i="1"/>
  <c r="D15" i="1"/>
  <c r="D16" i="1"/>
  <c r="D17" i="1"/>
  <c r="D19" i="1"/>
  <c r="D21" i="1"/>
  <c r="D22" i="1"/>
  <c r="D23" i="1"/>
  <c r="D24" i="1"/>
  <c r="D25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2" i="1"/>
  <c r="D43" i="1"/>
  <c r="D44" i="1"/>
  <c r="D45" i="1"/>
  <c r="D47" i="1"/>
  <c r="D48" i="1"/>
  <c r="D50" i="1"/>
  <c r="D52" i="1"/>
  <c r="D53" i="1"/>
  <c r="D55" i="1"/>
  <c r="D56" i="1"/>
  <c r="D57" i="1"/>
  <c r="D58" i="1"/>
  <c r="D60" i="1"/>
  <c r="D61" i="1"/>
  <c r="D62" i="1"/>
  <c r="D63" i="1"/>
  <c r="D64" i="1"/>
  <c r="D65" i="1"/>
  <c r="D66" i="1"/>
  <c r="D67" i="1"/>
  <c r="D68" i="1"/>
  <c r="D69" i="1"/>
  <c r="D70" i="1"/>
  <c r="D71" i="1"/>
  <c r="D73" i="1"/>
  <c r="D74" i="1"/>
  <c r="D75" i="1"/>
  <c r="D77" i="1"/>
  <c r="D78" i="1"/>
  <c r="D79" i="1"/>
  <c r="D80" i="1"/>
  <c r="D81" i="1"/>
  <c r="D82" i="1"/>
  <c r="D83" i="1"/>
  <c r="D84" i="1"/>
  <c r="D85" i="1"/>
  <c r="D87" i="1"/>
  <c r="D88" i="1"/>
  <c r="D89" i="1"/>
  <c r="D90" i="1"/>
  <c r="D91" i="1"/>
  <c r="D92" i="1"/>
  <c r="D93" i="1"/>
  <c r="D95" i="1"/>
  <c r="D96" i="1"/>
  <c r="D98" i="1"/>
  <c r="D99" i="1"/>
  <c r="D100" i="1"/>
  <c r="D102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4" i="1"/>
  <c r="D146" i="1"/>
  <c r="D147" i="1"/>
  <c r="D148" i="1"/>
  <c r="D149" i="1"/>
  <c r="D150" i="1"/>
  <c r="D151" i="1"/>
  <c r="D152" i="1"/>
  <c r="D153" i="1"/>
  <c r="D154" i="1"/>
  <c r="D155" i="1"/>
  <c r="D156" i="1"/>
  <c r="D159" i="1"/>
  <c r="D160" i="1"/>
  <c r="D161" i="1"/>
  <c r="D162" i="1"/>
  <c r="D163" i="1"/>
  <c r="D164" i="1"/>
  <c r="D165" i="1"/>
  <c r="D166" i="1"/>
  <c r="D167" i="1"/>
  <c r="D168" i="1"/>
  <c r="AO215" i="1" l="1"/>
  <c r="D92" i="3" l="1"/>
  <c r="D59" i="3"/>
  <c r="D27" i="3" l="1"/>
  <c r="D128" i="3" l="1"/>
  <c r="D70" i="3"/>
  <c r="D153" i="3"/>
  <c r="D43" i="3"/>
  <c r="D167" i="3"/>
  <c r="B135" i="1" l="1"/>
  <c r="B69" i="1" l="1"/>
  <c r="C12" i="2"/>
  <c r="D42" i="3" l="1"/>
  <c r="D52" i="3"/>
  <c r="D122" i="3" l="1"/>
  <c r="D89" i="3" l="1"/>
  <c r="B35" i="1" l="1"/>
  <c r="D147" i="3"/>
  <c r="D143" i="3" l="1"/>
  <c r="D80" i="3"/>
  <c r="D24" i="3" l="1"/>
  <c r="D137" i="3"/>
  <c r="D45" i="3"/>
  <c r="D10" i="3"/>
  <c r="D46" i="3"/>
  <c r="D66" i="3"/>
  <c r="D76" i="3"/>
  <c r="D114" i="3"/>
  <c r="D115" i="3"/>
  <c r="D123" i="3"/>
  <c r="D8" i="3"/>
  <c r="D17" i="3"/>
  <c r="D63" i="3"/>
  <c r="D16" i="3"/>
  <c r="D101" i="3"/>
  <c r="D34" i="3"/>
  <c r="D134" i="3"/>
  <c r="D62" i="3"/>
  <c r="D69" i="3"/>
  <c r="D55" i="3"/>
  <c r="D90" i="3"/>
  <c r="D119" i="3"/>
  <c r="D5" i="3"/>
  <c r="D112" i="3"/>
  <c r="D125" i="3"/>
  <c r="D150" i="3"/>
  <c r="D156" i="3"/>
  <c r="C159" i="1" s="1"/>
  <c r="D164" i="3"/>
  <c r="D120" i="3"/>
  <c r="D23" i="3"/>
  <c r="D60" i="3"/>
  <c r="D163" i="3"/>
  <c r="D160" i="3"/>
  <c r="D102" i="3"/>
  <c r="D67" i="3"/>
  <c r="D88" i="3"/>
  <c r="D49" i="3"/>
  <c r="D20" i="3"/>
  <c r="D124" i="3"/>
  <c r="D71" i="3"/>
  <c r="D39" i="3"/>
  <c r="D12" i="3"/>
  <c r="D38" i="3"/>
  <c r="D7" i="3"/>
  <c r="D84" i="3"/>
  <c r="D133" i="3"/>
  <c r="D145" i="3"/>
  <c r="C148" i="1" s="1"/>
  <c r="D159" i="3"/>
  <c r="D48" i="3"/>
  <c r="D121" i="3"/>
  <c r="D129" i="3"/>
  <c r="D21" i="3"/>
  <c r="D14" i="3"/>
  <c r="D154" i="3"/>
  <c r="D140" i="3"/>
  <c r="D9" i="3"/>
  <c r="D171" i="3"/>
  <c r="D22" i="3"/>
  <c r="D126" i="3"/>
  <c r="D142" i="3"/>
  <c r="D139" i="3"/>
  <c r="D61" i="3"/>
  <c r="D54" i="3"/>
  <c r="D73" i="3"/>
  <c r="D138" i="3"/>
  <c r="D97" i="3"/>
  <c r="D131" i="3"/>
  <c r="D141" i="3"/>
  <c r="D19" i="3"/>
  <c r="D30" i="3"/>
  <c r="D146" i="3"/>
  <c r="D161" i="3"/>
  <c r="D162" i="3"/>
  <c r="D18" i="3"/>
  <c r="D165" i="3"/>
  <c r="D103" i="3"/>
  <c r="D25" i="3"/>
  <c r="D91" i="3"/>
  <c r="D149" i="3"/>
  <c r="D72" i="3"/>
  <c r="D87" i="3"/>
  <c r="D110" i="3"/>
  <c r="D50" i="3"/>
  <c r="D151" i="3"/>
  <c r="D82" i="3"/>
  <c r="D93" i="3"/>
  <c r="D107" i="3"/>
  <c r="D168" i="3"/>
  <c r="D31" i="3"/>
  <c r="D95" i="3"/>
  <c r="D100" i="3"/>
  <c r="D117" i="3"/>
  <c r="D127" i="3"/>
  <c r="D36" i="3"/>
  <c r="D113" i="3"/>
  <c r="D106" i="3"/>
  <c r="D29" i="3"/>
  <c r="D104" i="3"/>
  <c r="D98" i="3"/>
  <c r="D152" i="3"/>
  <c r="D32" i="3"/>
  <c r="D4" i="3"/>
  <c r="D58" i="3"/>
  <c r="D170" i="3"/>
  <c r="D77" i="3"/>
  <c r="D47" i="3"/>
  <c r="D157" i="3"/>
  <c r="D26" i="3"/>
  <c r="D79" i="3"/>
  <c r="D94" i="3"/>
  <c r="D65" i="3"/>
  <c r="D40" i="3"/>
  <c r="D41" i="3"/>
  <c r="D108" i="3"/>
  <c r="D85" i="3"/>
  <c r="D81" i="3"/>
  <c r="D33" i="3"/>
  <c r="D166" i="3"/>
  <c r="D96" i="3"/>
  <c r="D173" i="3"/>
  <c r="D99" i="3"/>
  <c r="D136" i="3"/>
  <c r="D86" i="3"/>
  <c r="D3" i="3"/>
  <c r="D13" i="3"/>
  <c r="D75" i="3"/>
  <c r="D74" i="3"/>
  <c r="D57" i="3"/>
  <c r="D158" i="3"/>
  <c r="D169" i="3"/>
  <c r="D37" i="3"/>
  <c r="D56" i="3"/>
  <c r="D118" i="3"/>
  <c r="D2" i="3"/>
  <c r="D155" i="3"/>
  <c r="D116" i="3"/>
  <c r="D109" i="3"/>
  <c r="D135" i="3"/>
  <c r="D148" i="3"/>
  <c r="D132" i="3"/>
  <c r="D44" i="3"/>
  <c r="D53" i="3"/>
  <c r="D144" i="3"/>
  <c r="D51" i="3"/>
  <c r="D35" i="3"/>
  <c r="D68" i="3"/>
  <c r="D78" i="3"/>
  <c r="D64" i="3"/>
  <c r="D83" i="3"/>
  <c r="D15" i="3"/>
  <c r="D111" i="3"/>
  <c r="C176" i="1" l="1"/>
  <c r="D177" i="2"/>
  <c r="C90" i="1"/>
  <c r="C28" i="1"/>
  <c r="C8" i="1" l="1"/>
  <c r="E71" i="2" l="1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8" i="2" l="1"/>
  <c r="G141" i="2" l="1"/>
  <c r="G136" i="2"/>
  <c r="G131" i="2"/>
  <c r="G117" i="2"/>
  <c r="G115" i="2"/>
  <c r="G104" i="2"/>
  <c r="G102" i="2"/>
  <c r="G84" i="2"/>
  <c r="G83" i="2"/>
  <c r="G70" i="2"/>
  <c r="G56" i="2"/>
  <c r="F141" i="2"/>
  <c r="F136" i="2"/>
  <c r="F131" i="2"/>
  <c r="F117" i="2"/>
  <c r="F115" i="2"/>
  <c r="F104" i="2"/>
  <c r="F102" i="2"/>
  <c r="F84" i="2"/>
  <c r="F83" i="2"/>
  <c r="F70" i="2"/>
  <c r="F56" i="2"/>
  <c r="B138" i="1" l="1"/>
  <c r="F24" i="19" l="1"/>
  <c r="D24" i="19" l="1"/>
  <c r="H24" i="19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3" i="1"/>
  <c r="AZ84" i="1"/>
  <c r="AZ85" i="1"/>
  <c r="AZ86" i="1"/>
  <c r="AZ87" i="1"/>
  <c r="AZ88" i="1"/>
  <c r="AZ89" i="1"/>
  <c r="AZ90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5" i="1"/>
  <c r="G146" i="2"/>
  <c r="F146" i="2"/>
  <c r="G138" i="2"/>
  <c r="F138" i="2"/>
  <c r="G137" i="2"/>
  <c r="F137" i="2"/>
  <c r="G135" i="2"/>
  <c r="F135" i="2"/>
  <c r="G124" i="2"/>
  <c r="F124" i="2"/>
  <c r="G122" i="2"/>
  <c r="F122" i="2"/>
  <c r="G119" i="2"/>
  <c r="F119" i="2"/>
  <c r="G114" i="2"/>
  <c r="F114" i="2"/>
  <c r="G113" i="2"/>
  <c r="F113" i="2"/>
  <c r="G111" i="2"/>
  <c r="F111" i="2"/>
  <c r="G108" i="2"/>
  <c r="F108" i="2"/>
  <c r="G105" i="2"/>
  <c r="F105" i="2"/>
  <c r="G103" i="2"/>
  <c r="F103" i="2"/>
  <c r="G101" i="2"/>
  <c r="F101" i="2"/>
  <c r="G93" i="2"/>
  <c r="F93" i="2"/>
  <c r="G85" i="2"/>
  <c r="F85" i="2"/>
  <c r="G82" i="2"/>
  <c r="F82" i="2"/>
  <c r="G69" i="2"/>
  <c r="F69" i="2"/>
  <c r="G68" i="2"/>
  <c r="F68" i="2"/>
  <c r="G64" i="2"/>
  <c r="F64" i="2"/>
  <c r="G61" i="2"/>
  <c r="F61" i="2"/>
  <c r="G60" i="2"/>
  <c r="F60" i="2"/>
  <c r="G54" i="2"/>
  <c r="F54" i="2"/>
  <c r="G51" i="2"/>
  <c r="F51" i="2"/>
  <c r="G49" i="2"/>
  <c r="F49" i="2"/>
  <c r="G47" i="2"/>
  <c r="F47" i="2"/>
  <c r="G46" i="2"/>
  <c r="F46" i="2"/>
  <c r="G42" i="2"/>
  <c r="F42" i="2"/>
  <c r="G33" i="2"/>
  <c r="F33" i="2"/>
  <c r="G22" i="2"/>
  <c r="F22" i="2"/>
  <c r="G18" i="2"/>
  <c r="F18" i="2"/>
  <c r="G17" i="2"/>
  <c r="F17" i="2"/>
  <c r="G16" i="2"/>
  <c r="F16" i="2"/>
  <c r="G13" i="2"/>
  <c r="F13" i="2"/>
  <c r="G11" i="2"/>
  <c r="F11" i="2"/>
  <c r="G10" i="2"/>
  <c r="F10" i="2"/>
  <c r="G7" i="2"/>
  <c r="F7" i="2"/>
  <c r="E37" i="2" l="1"/>
  <c r="E44" i="2"/>
  <c r="B44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8" i="2"/>
  <c r="E39" i="2"/>
  <c r="E40" i="2"/>
  <c r="E41" i="2"/>
  <c r="E42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81" i="2"/>
  <c r="E82" i="2"/>
  <c r="E83" i="2"/>
  <c r="E84" i="2"/>
  <c r="E85" i="2"/>
  <c r="E86" i="2"/>
  <c r="E87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C7" i="2"/>
  <c r="C8" i="2"/>
  <c r="C9" i="2"/>
  <c r="C10" i="2"/>
  <c r="C1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6" i="2"/>
  <c r="F8" i="2" l="1"/>
  <c r="G8" i="2"/>
  <c r="F9" i="2"/>
  <c r="G9" i="2"/>
  <c r="F12" i="2"/>
  <c r="G12" i="2"/>
  <c r="F14" i="2"/>
  <c r="G14" i="2"/>
  <c r="F15" i="2"/>
  <c r="G15" i="2"/>
  <c r="F19" i="2"/>
  <c r="G19" i="2"/>
  <c r="F20" i="2"/>
  <c r="G20" i="2"/>
  <c r="F21" i="2"/>
  <c r="G21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3" i="2"/>
  <c r="G43" i="2"/>
  <c r="F44" i="2"/>
  <c r="G44" i="2"/>
  <c r="F45" i="2"/>
  <c r="G45" i="2"/>
  <c r="F48" i="2"/>
  <c r="G48" i="2"/>
  <c r="F50" i="2"/>
  <c r="G50" i="2"/>
  <c r="F52" i="2"/>
  <c r="G52" i="2"/>
  <c r="F53" i="2"/>
  <c r="G53" i="2"/>
  <c r="F55" i="2"/>
  <c r="G55" i="2"/>
  <c r="F57" i="2"/>
  <c r="G57" i="2"/>
  <c r="F58" i="2"/>
  <c r="G58" i="2"/>
  <c r="F59" i="2"/>
  <c r="G59" i="2"/>
  <c r="F62" i="2"/>
  <c r="G62" i="2"/>
  <c r="F63" i="2"/>
  <c r="G63" i="2"/>
  <c r="F65" i="2"/>
  <c r="G65" i="2"/>
  <c r="F66" i="2"/>
  <c r="G66" i="2"/>
  <c r="F67" i="2"/>
  <c r="G67" i="2"/>
  <c r="F81" i="2"/>
  <c r="G81" i="2"/>
  <c r="F86" i="2"/>
  <c r="G86" i="2"/>
  <c r="F89" i="2"/>
  <c r="G89" i="2"/>
  <c r="F90" i="2"/>
  <c r="G90" i="2"/>
  <c r="F91" i="2"/>
  <c r="G91" i="2"/>
  <c r="F92" i="2"/>
  <c r="G92" i="2"/>
  <c r="F94" i="2"/>
  <c r="G94" i="2"/>
  <c r="F97" i="2"/>
  <c r="G97" i="2"/>
  <c r="F99" i="2"/>
  <c r="G99" i="2"/>
  <c r="F100" i="2"/>
  <c r="G100" i="2"/>
  <c r="F109" i="2"/>
  <c r="G109" i="2"/>
  <c r="F110" i="2"/>
  <c r="G110" i="2"/>
  <c r="F116" i="2"/>
  <c r="G116" i="2"/>
  <c r="F118" i="2"/>
  <c r="G118" i="2"/>
  <c r="F120" i="2"/>
  <c r="G120" i="2"/>
  <c r="F123" i="2"/>
  <c r="G123" i="2"/>
  <c r="F125" i="2"/>
  <c r="G125" i="2"/>
  <c r="F126" i="2"/>
  <c r="G126" i="2"/>
  <c r="F127" i="2"/>
  <c r="G127" i="2"/>
  <c r="F132" i="2"/>
  <c r="G132" i="2"/>
  <c r="F133" i="2"/>
  <c r="G133" i="2"/>
  <c r="F134" i="2"/>
  <c r="G134" i="2"/>
  <c r="F139" i="2"/>
  <c r="G139" i="2"/>
  <c r="F140" i="2"/>
  <c r="G140" i="2"/>
  <c r="F142" i="2"/>
  <c r="G142" i="2"/>
  <c r="F143" i="2"/>
  <c r="G143" i="2"/>
  <c r="F144" i="2"/>
  <c r="G144" i="2"/>
  <c r="F145" i="2"/>
  <c r="G145" i="2"/>
  <c r="F147" i="2"/>
  <c r="G147" i="2"/>
  <c r="F148" i="2"/>
  <c r="G148" i="2"/>
  <c r="G6" i="2"/>
  <c r="F6" i="2"/>
  <c r="E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2" i="2"/>
  <c r="B163" i="2"/>
  <c r="B164" i="2"/>
  <c r="B165" i="2"/>
  <c r="B166" i="2"/>
  <c r="B167" i="2"/>
  <c r="B168" i="2"/>
  <c r="B169" i="2"/>
  <c r="B171" i="2"/>
  <c r="B172" i="2"/>
  <c r="B173" i="2"/>
  <c r="B174" i="2"/>
  <c r="B175" i="2"/>
  <c r="B176" i="2"/>
  <c r="B6" i="2"/>
  <c r="B5" i="1" l="1"/>
  <c r="AU139" i="1" l="1"/>
  <c r="AT139" i="1"/>
  <c r="AU30" i="1" l="1"/>
  <c r="AU7" i="1" l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40" i="1"/>
  <c r="AU141" i="1"/>
  <c r="AU142" i="1"/>
  <c r="AU143" i="1"/>
  <c r="AU144" i="1"/>
  <c r="AU145" i="1"/>
  <c r="AU146" i="1"/>
  <c r="AU147" i="1"/>
  <c r="AU148" i="1"/>
  <c r="AU150" i="1"/>
  <c r="AU151" i="1"/>
  <c r="AU153" i="1"/>
  <c r="AU154" i="1"/>
  <c r="AU155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3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5" i="1"/>
  <c r="D23" i="2"/>
  <c r="D24" i="2"/>
  <c r="D25" i="2"/>
  <c r="D26" i="2"/>
  <c r="D27" i="2"/>
  <c r="D29" i="2"/>
  <c r="D30" i="2"/>
  <c r="D31" i="2"/>
  <c r="D33" i="2"/>
  <c r="D37" i="2"/>
  <c r="D39" i="2"/>
  <c r="D40" i="2"/>
  <c r="D41" i="2"/>
  <c r="D42" i="2"/>
  <c r="D43" i="2"/>
  <c r="D44" i="2"/>
  <c r="D46" i="2"/>
  <c r="D47" i="2"/>
  <c r="D49" i="2"/>
  <c r="D51" i="2"/>
  <c r="D52" i="2"/>
  <c r="D54" i="2"/>
  <c r="D55" i="2"/>
  <c r="D56" i="2"/>
  <c r="D58" i="2"/>
  <c r="D60" i="2"/>
  <c r="D61" i="2"/>
  <c r="D62" i="2"/>
  <c r="D64" i="2"/>
  <c r="D65" i="2"/>
  <c r="D68" i="2"/>
  <c r="D69" i="2"/>
  <c r="D70" i="2"/>
  <c r="D71" i="2"/>
  <c r="D72" i="2"/>
  <c r="D74" i="2"/>
  <c r="D76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3" i="2"/>
  <c r="D95" i="2"/>
  <c r="D97" i="2"/>
  <c r="D98" i="2"/>
  <c r="D101" i="2"/>
  <c r="D102" i="2"/>
  <c r="D103" i="2"/>
  <c r="D104" i="2"/>
  <c r="D105" i="2"/>
  <c r="D106" i="2"/>
  <c r="D107" i="2"/>
  <c r="D108" i="2"/>
  <c r="D111" i="2"/>
  <c r="D112" i="2"/>
  <c r="D113" i="2"/>
  <c r="D114" i="2"/>
  <c r="D115" i="2"/>
  <c r="D116" i="2"/>
  <c r="D117" i="2"/>
  <c r="D119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5" i="2"/>
  <c r="D136" i="2"/>
  <c r="D137" i="2"/>
  <c r="D138" i="2"/>
  <c r="D139" i="2"/>
  <c r="D140" i="2"/>
  <c r="D141" i="2"/>
  <c r="D143" i="2"/>
  <c r="D144" i="2"/>
  <c r="D145" i="2"/>
  <c r="D146" i="2"/>
  <c r="D147" i="2"/>
  <c r="D149" i="2"/>
  <c r="D150" i="2"/>
  <c r="D152" i="2"/>
  <c r="D153" i="2"/>
  <c r="D154" i="2"/>
  <c r="D155" i="2"/>
  <c r="D156" i="2"/>
  <c r="D157" i="2"/>
  <c r="D160" i="2"/>
  <c r="D161" i="2"/>
  <c r="D163" i="2"/>
  <c r="D165" i="2"/>
  <c r="D166" i="2"/>
  <c r="D167" i="2"/>
  <c r="D168" i="2"/>
  <c r="D169" i="2"/>
  <c r="D170" i="2"/>
  <c r="D172" i="2"/>
  <c r="D173" i="2"/>
  <c r="D174" i="2"/>
  <c r="D175" i="2"/>
  <c r="D176" i="2"/>
  <c r="D10" i="2"/>
  <c r="D11" i="2"/>
  <c r="D13" i="2"/>
  <c r="D14" i="2"/>
  <c r="D15" i="2"/>
  <c r="D16" i="2"/>
  <c r="D17" i="2"/>
  <c r="D18" i="2"/>
  <c r="D19" i="2"/>
  <c r="D20" i="2"/>
  <c r="D21" i="2"/>
  <c r="D22" i="2"/>
  <c r="D7" i="2"/>
  <c r="D9" i="2"/>
  <c r="D159" i="2" l="1"/>
  <c r="C158" i="1"/>
  <c r="D151" i="2"/>
  <c r="C150" i="1"/>
  <c r="D63" i="2"/>
  <c r="C62" i="1"/>
  <c r="D8" i="2"/>
  <c r="C7" i="1"/>
  <c r="D158" i="2"/>
  <c r="C157" i="1"/>
  <c r="D142" i="2"/>
  <c r="C141" i="1"/>
  <c r="D134" i="2"/>
  <c r="C133" i="1"/>
  <c r="D118" i="2"/>
  <c r="C117" i="1"/>
  <c r="D110" i="2"/>
  <c r="C109" i="1"/>
  <c r="D94" i="2"/>
  <c r="C93" i="1"/>
  <c r="D38" i="2"/>
  <c r="C37" i="1"/>
  <c r="D96" i="2"/>
  <c r="C95" i="1"/>
  <c r="D32" i="2"/>
  <c r="C31" i="1"/>
  <c r="D109" i="2"/>
  <c r="C108" i="1"/>
  <c r="D77" i="2"/>
  <c r="C76" i="1"/>
  <c r="D53" i="2"/>
  <c r="C52" i="1"/>
  <c r="D45" i="2"/>
  <c r="C44" i="1"/>
  <c r="D120" i="2"/>
  <c r="C119" i="1"/>
  <c r="D164" i="2"/>
  <c r="C163" i="1"/>
  <c r="D148" i="2"/>
  <c r="C147" i="1"/>
  <c r="D100" i="2"/>
  <c r="C99" i="1"/>
  <c r="D92" i="2"/>
  <c r="C91" i="1"/>
  <c r="D36" i="2"/>
  <c r="C35" i="1"/>
  <c r="D28" i="2"/>
  <c r="C27" i="1"/>
  <c r="D171" i="2"/>
  <c r="C170" i="1"/>
  <c r="D99" i="2"/>
  <c r="C98" i="1"/>
  <c r="D75" i="2"/>
  <c r="C74" i="1"/>
  <c r="D67" i="2"/>
  <c r="C66" i="1"/>
  <c r="D59" i="2"/>
  <c r="C58" i="1"/>
  <c r="D35" i="2"/>
  <c r="C34" i="1"/>
  <c r="D12" i="2"/>
  <c r="C11" i="1"/>
  <c r="D162" i="2"/>
  <c r="C161" i="1"/>
  <c r="D66" i="2"/>
  <c r="C65" i="1"/>
  <c r="D50" i="2"/>
  <c r="C49" i="1"/>
  <c r="D34" i="2"/>
  <c r="C33" i="1"/>
  <c r="D48" i="2"/>
  <c r="C47" i="1"/>
  <c r="D73" i="2"/>
  <c r="C72" i="1"/>
  <c r="D57" i="2"/>
  <c r="C56" i="1"/>
  <c r="C5" i="1"/>
  <c r="D6" i="2"/>
  <c r="B6" i="1"/>
  <c r="C6" i="1"/>
  <c r="B7" i="1" l="1"/>
  <c r="AU214" i="1" l="1"/>
  <c r="G38" i="3" l="1"/>
  <c r="E26" i="26"/>
  <c r="E12" i="26"/>
  <c r="D67" i="20"/>
  <c r="H23" i="19"/>
  <c r="F23" i="19"/>
  <c r="D23" i="19"/>
  <c r="H22" i="19"/>
  <c r="D22" i="19"/>
  <c r="H21" i="19"/>
  <c r="C21" i="19"/>
  <c r="B21" i="19"/>
  <c r="H20" i="19"/>
  <c r="C20" i="19"/>
  <c r="I20" i="19" s="1"/>
  <c r="B20" i="19"/>
  <c r="H19" i="19"/>
  <c r="C19" i="19"/>
  <c r="I19" i="19" s="1"/>
  <c r="B19" i="19"/>
  <c r="C18" i="19"/>
  <c r="I18" i="19" s="1"/>
  <c r="B18" i="19"/>
  <c r="B11" i="19"/>
  <c r="C1152" i="37"/>
  <c r="B644" i="37"/>
  <c r="B1152" i="37" s="1"/>
  <c r="L12" i="37"/>
  <c r="N11" i="37"/>
  <c r="N10" i="37"/>
  <c r="N9" i="37"/>
  <c r="N8" i="37"/>
  <c r="N7" i="37"/>
  <c r="N6" i="37"/>
  <c r="N5" i="37"/>
  <c r="N4" i="37"/>
  <c r="N3" i="37"/>
  <c r="D86" i="13"/>
  <c r="F49" i="13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B23" i="15"/>
  <c r="AA22" i="15"/>
  <c r="Z22" i="15"/>
  <c r="AA21" i="15"/>
  <c r="Z21" i="15"/>
  <c r="B33" i="15" s="1"/>
  <c r="AA20" i="15"/>
  <c r="Z20" i="15"/>
  <c r="AA19" i="15"/>
  <c r="Z19" i="15"/>
  <c r="B31" i="15" s="1"/>
  <c r="AA18" i="15"/>
  <c r="Z18" i="15"/>
  <c r="AA17" i="15"/>
  <c r="Z17" i="15"/>
  <c r="AA16" i="15"/>
  <c r="Z16" i="15"/>
  <c r="AA15" i="15"/>
  <c r="Z15" i="15"/>
  <c r="AA14" i="15"/>
  <c r="Z14" i="15"/>
  <c r="AA13" i="15"/>
  <c r="Z13" i="15"/>
  <c r="H14" i="10"/>
  <c r="AW214" i="1"/>
  <c r="AV214" i="1"/>
  <c r="AR214" i="1"/>
  <c r="AQ214" i="1"/>
  <c r="AO214" i="1"/>
  <c r="AN214" i="1"/>
  <c r="AL214" i="1"/>
  <c r="AK214" i="1"/>
  <c r="AI214" i="1"/>
  <c r="AF214" i="1"/>
  <c r="AE214" i="1"/>
  <c r="AC214" i="1"/>
  <c r="AB214" i="1"/>
  <c r="Z214" i="1"/>
  <c r="W214" i="1"/>
  <c r="V214" i="1"/>
  <c r="T214" i="1"/>
  <c r="S214" i="1"/>
  <c r="Q214" i="1"/>
  <c r="P214" i="1"/>
  <c r="N214" i="1"/>
  <c r="M214" i="1"/>
  <c r="K214" i="1"/>
  <c r="F22" i="19" l="1"/>
  <c r="I21" i="19"/>
  <c r="D20" i="19"/>
  <c r="D18" i="19"/>
  <c r="D19" i="19"/>
  <c r="E67" i="20"/>
  <c r="B30" i="15"/>
  <c r="B29" i="15"/>
  <c r="J214" i="1"/>
  <c r="AH214" i="1"/>
  <c r="B32" i="15"/>
  <c r="D21" i="19"/>
  <c r="F19" i="19"/>
  <c r="F21" i="19"/>
  <c r="E20" i="19"/>
  <c r="F20" i="19"/>
  <c r="Z23" i="15"/>
  <c r="B36" i="15" l="1"/>
  <c r="B8" i="1" l="1"/>
  <c r="B9" i="1" l="1"/>
  <c r="C9" i="1"/>
  <c r="B10" i="1"/>
  <c r="C10" i="1"/>
  <c r="B11" i="1" l="1"/>
  <c r="B12" i="1" l="1"/>
  <c r="C12" i="1"/>
  <c r="C13" i="1" l="1"/>
  <c r="B13" i="1"/>
  <c r="B14" i="1" l="1"/>
  <c r="B15" i="1" l="1"/>
  <c r="C15" i="1"/>
  <c r="C16" i="1" l="1"/>
  <c r="B16" i="1"/>
  <c r="B17" i="1" l="1"/>
  <c r="C17" i="1"/>
  <c r="B18" i="1" l="1"/>
  <c r="C18" i="1"/>
  <c r="C19" i="1" l="1"/>
  <c r="B20" i="1" l="1"/>
  <c r="C20" i="1"/>
  <c r="B21" i="1" l="1"/>
  <c r="C21" i="1"/>
  <c r="B22" i="1" l="1"/>
  <c r="C22" i="1"/>
  <c r="B23" i="1" l="1"/>
  <c r="C23" i="1"/>
  <c r="C24" i="1" l="1"/>
  <c r="B24" i="1"/>
  <c r="C25" i="1" l="1"/>
  <c r="B25" i="1"/>
  <c r="B26" i="1" l="1"/>
  <c r="C26" i="1"/>
  <c r="B27" i="1" l="1"/>
  <c r="B28" i="1" l="1"/>
  <c r="B29" i="1" l="1"/>
  <c r="C29" i="1"/>
  <c r="B30" i="1" l="1"/>
  <c r="C30" i="1"/>
  <c r="B31" i="1" l="1"/>
  <c r="B32" i="1" l="1"/>
  <c r="C32" i="1"/>
  <c r="B33" i="1" l="1"/>
  <c r="B34" i="1" l="1"/>
  <c r="C36" i="1" l="1"/>
  <c r="B36" i="1"/>
  <c r="B37" i="1" l="1"/>
  <c r="B38" i="1" l="1"/>
  <c r="C38" i="1"/>
  <c r="B39" i="1" l="1"/>
  <c r="C39" i="1"/>
  <c r="B40" i="1" l="1"/>
  <c r="C40" i="1"/>
  <c r="B41" i="1" l="1"/>
  <c r="C41" i="1"/>
  <c r="C42" i="1" l="1"/>
  <c r="B42" i="1"/>
  <c r="C43" i="1" l="1"/>
  <c r="B43" i="1"/>
  <c r="B44" i="1" l="1"/>
  <c r="B45" i="1" l="1"/>
  <c r="C45" i="1"/>
  <c r="C46" i="1" l="1"/>
  <c r="B46" i="1"/>
  <c r="B47" i="1" l="1"/>
  <c r="C48" i="1" l="1"/>
  <c r="B48" i="1"/>
  <c r="C50" i="1" l="1"/>
  <c r="B50" i="1"/>
  <c r="C51" i="1" l="1"/>
  <c r="B51" i="1"/>
  <c r="B52" i="1" l="1"/>
  <c r="C53" i="1" l="1"/>
  <c r="C54" i="1" l="1"/>
  <c r="B54" i="1"/>
  <c r="C55" i="1" l="1"/>
  <c r="B55" i="1"/>
  <c r="B56" i="1" l="1"/>
  <c r="C57" i="1" l="1"/>
  <c r="B57" i="1"/>
  <c r="B58" i="1" l="1"/>
  <c r="B59" i="1" l="1"/>
  <c r="C59" i="1"/>
  <c r="B60" i="1" l="1"/>
  <c r="C60" i="1"/>
  <c r="B61" i="1" l="1"/>
  <c r="C61" i="1"/>
  <c r="B62" i="1" l="1"/>
  <c r="B63" i="1" l="1"/>
  <c r="C63" i="1"/>
  <c r="B64" i="1" l="1"/>
  <c r="C64" i="1"/>
  <c r="B65" i="1" l="1"/>
  <c r="B66" i="1" l="1"/>
  <c r="B67" i="1" l="1"/>
  <c r="C67" i="1"/>
  <c r="B68" i="1" l="1"/>
  <c r="C68" i="1"/>
  <c r="C69" i="1" l="1"/>
  <c r="B70" i="1" l="1"/>
  <c r="C70" i="1"/>
  <c r="B71" i="1" l="1"/>
  <c r="C71" i="1"/>
  <c r="B73" i="1" l="1"/>
  <c r="C73" i="1"/>
  <c r="C75" i="1" l="1"/>
  <c r="B75" i="1"/>
  <c r="B77" i="1" l="1"/>
  <c r="C77" i="1"/>
  <c r="C78" i="1" l="1"/>
  <c r="C79" i="1" l="1"/>
  <c r="B79" i="1"/>
  <c r="B80" i="1" l="1"/>
  <c r="C80" i="1"/>
  <c r="B81" i="1" l="1"/>
  <c r="C81" i="1"/>
  <c r="B82" i="1" l="1"/>
  <c r="C82" i="1"/>
  <c r="B83" i="1" l="1"/>
  <c r="C83" i="1"/>
  <c r="C84" i="1" l="1"/>
  <c r="B84" i="1"/>
  <c r="C85" i="1" l="1"/>
  <c r="B85" i="1"/>
  <c r="B86" i="1" l="1"/>
  <c r="C86" i="1"/>
  <c r="B87" i="1" l="1"/>
  <c r="C87" i="1"/>
  <c r="B88" i="1" l="1"/>
  <c r="C88" i="1"/>
  <c r="C89" i="1" l="1"/>
  <c r="B89" i="1"/>
  <c r="B90" i="1" l="1"/>
  <c r="B91" i="1" l="1"/>
  <c r="C92" i="1" l="1"/>
  <c r="B92" i="1"/>
  <c r="B93" i="1" l="1"/>
  <c r="B94" i="1" l="1"/>
  <c r="C94" i="1"/>
  <c r="B95" i="1" l="1"/>
  <c r="C96" i="1" l="1"/>
  <c r="B96" i="1"/>
  <c r="C97" i="1" l="1"/>
  <c r="B97" i="1"/>
  <c r="B98" i="1" l="1"/>
  <c r="B99" i="1" l="1"/>
  <c r="C100" i="1" l="1"/>
  <c r="B100" i="1"/>
  <c r="B101" i="1" l="1"/>
  <c r="C101" i="1"/>
  <c r="C102" i="1" l="1"/>
  <c r="C103" i="1" l="1"/>
  <c r="B103" i="1"/>
  <c r="C104" i="1" l="1"/>
  <c r="B104" i="1"/>
  <c r="B105" i="1" l="1"/>
  <c r="C105" i="1"/>
  <c r="B106" i="1" l="1"/>
  <c r="C106" i="1"/>
  <c r="C107" i="1" l="1"/>
  <c r="B107" i="1"/>
  <c r="B108" i="1" l="1"/>
  <c r="B109" i="1" l="1"/>
  <c r="C110" i="1" l="1"/>
  <c r="B110" i="1"/>
  <c r="B111" i="1" l="1"/>
  <c r="C111" i="1"/>
  <c r="B112" i="1" l="1"/>
  <c r="C112" i="1"/>
  <c r="C113" i="1" l="1"/>
  <c r="B113" i="1"/>
  <c r="C114" i="1" l="1"/>
  <c r="B114" i="1"/>
  <c r="B115" i="1" l="1"/>
  <c r="C115" i="1"/>
  <c r="B116" i="1" l="1"/>
  <c r="C116" i="1"/>
  <c r="B117" i="1" l="1"/>
  <c r="B118" i="1" l="1"/>
  <c r="C118" i="1"/>
  <c r="B119" i="1" l="1"/>
  <c r="C120" i="1" l="1"/>
  <c r="B120" i="1"/>
  <c r="C121" i="1" l="1"/>
  <c r="B121" i="1"/>
  <c r="C122" i="1" l="1"/>
  <c r="B122" i="1"/>
  <c r="B123" i="1" l="1"/>
  <c r="C123" i="1"/>
  <c r="B124" i="1" l="1"/>
  <c r="C124" i="1"/>
  <c r="C125" i="1" l="1"/>
  <c r="B125" i="1"/>
  <c r="B126" i="1" l="1"/>
  <c r="C126" i="1"/>
  <c r="C127" i="1" l="1"/>
  <c r="B127" i="1"/>
  <c r="B128" i="1" l="1"/>
  <c r="C128" i="1"/>
  <c r="B129" i="1" l="1"/>
  <c r="C129" i="1"/>
  <c r="C130" i="1" l="1"/>
  <c r="B130" i="1"/>
  <c r="C131" i="1" l="1"/>
  <c r="B131" i="1"/>
  <c r="C132" i="1" l="1"/>
  <c r="B132" i="1"/>
  <c r="B133" i="1" l="1"/>
  <c r="C134" i="1" l="1"/>
  <c r="B134" i="1"/>
  <c r="C135" i="1" l="1"/>
  <c r="B136" i="1" l="1"/>
  <c r="C136" i="1"/>
  <c r="C137" i="1" l="1"/>
  <c r="B137" i="1"/>
  <c r="C138" i="1" l="1"/>
  <c r="C139" i="1" l="1"/>
  <c r="B139" i="1"/>
  <c r="B140" i="1" l="1"/>
  <c r="C140" i="1"/>
  <c r="B141" i="1" l="1"/>
  <c r="C142" i="1" l="1"/>
  <c r="C143" i="1" l="1"/>
  <c r="B143" i="1"/>
  <c r="B144" i="1" l="1"/>
  <c r="C144" i="1"/>
  <c r="B145" i="1" l="1"/>
  <c r="C145" i="1"/>
  <c r="C146" i="1" l="1"/>
  <c r="B146" i="1"/>
  <c r="B147" i="1" l="1"/>
  <c r="B148" i="1" l="1"/>
  <c r="B149" i="1" l="1"/>
  <c r="C149" i="1"/>
  <c r="B150" i="1" l="1"/>
  <c r="C151" i="1" l="1"/>
  <c r="B151" i="1"/>
  <c r="C152" i="1" l="1"/>
  <c r="B152" i="1"/>
  <c r="B153" i="1" l="1"/>
  <c r="C153" i="1"/>
  <c r="B154" i="1" l="1"/>
  <c r="C154" i="1"/>
  <c r="C155" i="1" l="1"/>
  <c r="B155" i="1"/>
  <c r="C156" i="1" l="1"/>
  <c r="B156" i="1"/>
  <c r="B158" i="1" l="1"/>
  <c r="B159" i="1" l="1"/>
  <c r="C160" i="1" l="1"/>
  <c r="B160" i="1"/>
  <c r="B161" i="1" l="1"/>
  <c r="B162" i="1" l="1"/>
  <c r="C162" i="1"/>
  <c r="B163" i="1" l="1"/>
  <c r="C164" i="1" l="1"/>
  <c r="C165" i="1" l="1"/>
  <c r="B165" i="1"/>
  <c r="C166" i="1" l="1"/>
  <c r="B166" i="1"/>
  <c r="C167" i="1" l="1"/>
  <c r="B167" i="1"/>
  <c r="C168" i="1" l="1"/>
  <c r="B168" i="1"/>
  <c r="C169" i="1" l="1"/>
  <c r="B170" i="1" l="1"/>
  <c r="B171" i="1" l="1"/>
  <c r="C171" i="1"/>
  <c r="B172" i="1" l="1"/>
  <c r="C172" i="1"/>
  <c r="C173" i="1" l="1"/>
  <c r="B173" i="1"/>
  <c r="C174" i="1" l="1"/>
  <c r="B174" i="1"/>
  <c r="B175" i="1" l="1"/>
  <c r="C175" i="1"/>
  <c r="AX214" i="1" l="1"/>
  <c r="AY214" i="1"/>
  <c r="B38" i="15" l="1"/>
  <c r="AT22" i="1"/>
  <c r="AT214" i="1"/>
  <c r="Y2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HP</author>
    <author>Racunalo 1</author>
    <author>UredBM</author>
  </authors>
  <commentList>
    <comment ref="L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hoće EX broj
</t>
        </r>
      </text>
    </comment>
    <comment ref="L1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javljeno I gabrijeli yatra\en I telefon
</t>
        </r>
      </text>
    </comment>
    <comment ref="B34" authorId="2" shapeId="0" xr:uid="{00000000-0006-0000-0000-000003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BIO PET SOLUTION
</t>
        </r>
      </text>
    </comment>
    <comment ref="F34" authorId="2" shapeId="0" xr:uid="{00000000-0006-0000-0000-000004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delikandog@gmail.com
Zsolt Pereczes &lt;mialo.solution14@gmail.com&gt;
'+36 70 333 4163
'+420 608 006 018
</t>
        </r>
      </text>
    </comment>
    <comment ref="E39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E41" authorId="2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OSNIVA SE
</t>
        </r>
      </text>
    </comment>
    <comment ref="N41" authorId="1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HP:</t>
        </r>
        <r>
          <rPr>
            <sz val="9"/>
            <color indexed="81"/>
            <rFont val="Tahoma"/>
            <family val="2"/>
            <charset val="238"/>
          </rPr>
          <t xml:space="preserve">
TREBA PREDATI DOLAZE SLIJEDEĆI TJEDAN
</t>
        </r>
      </text>
    </comment>
    <comment ref="B60" authorId="2" shapeId="0" xr:uid="{00000000-0006-0000-0000-000008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predan p-pdv - obijeno zbog ne slanja éinjenica
- 3 put poslan dokument
- j.b babić</t>
        </r>
      </text>
    </comment>
    <comment ref="B67" authorId="2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šokorai
</t>
        </r>
      </text>
    </comment>
    <comment ref="J67" authorId="2" shapeId="0" xr:uid="{00000000-0006-0000-0000-00000A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ne ide u pdv dok ne preúe 300000 kn promet</t>
        </r>
      </text>
    </comment>
    <comment ref="L69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rekao da će se javiti iza nove godine
</t>
        </r>
      </text>
    </comment>
    <comment ref="L7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gabrijela će
</t>
        </r>
      </text>
    </comment>
    <comment ref="B9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istiée licenca</t>
        </r>
      </text>
    </comment>
    <comment ref="L9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éekam punomoá poreznu</t>
        </r>
      </text>
    </comment>
    <comment ref="E99" authorId="2" shapeId="0" xr:uid="{00000000-0006-0000-0000-00000F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u osnivanju
</t>
        </r>
      </text>
    </comment>
    <comment ref="L101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2x
</t>
        </r>
      </text>
    </comment>
    <comment ref="B120" authorId="2" shapeId="0" xr:uid="{00000000-0006-0000-0000-000011000000}">
      <text>
        <r>
          <rPr>
            <b/>
            <sz val="9"/>
            <rFont val="Tahoma"/>
            <family val="2"/>
            <charset val="238"/>
          </rPr>
          <t>Racunalo 1
rijeőavamo banku upitnik poslan
sber banka
- U BOLNICI</t>
        </r>
      </text>
    </comment>
    <comment ref="J121" authorId="2" shapeId="0" xr:uid="{00000000-0006-0000-0000-000012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bit áe
</t>
        </r>
      </text>
    </comment>
    <comment ref="U125" authorId="2" shapeId="0" xr:uid="{00000000-0006-0000-0000-000013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treba potpisati ugovor
300 eur / g najam adrese
</t>
        </r>
      </text>
    </comment>
    <comment ref="L12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nemožemo na poreznu
</t>
        </r>
      </text>
    </comment>
    <comment ref="D134" authorId="3" shapeId="0" xr:uid="{00000000-0006-0000-0000-000015000000}">
      <text>
        <r>
          <rPr>
            <b/>
            <sz val="9"/>
            <rFont val="Tahoma"/>
            <family val="2"/>
            <charset val="238"/>
          </rPr>
          <t>UredBM:</t>
        </r>
        <r>
          <rPr>
            <sz val="9"/>
            <rFont val="Tahoma"/>
            <family val="2"/>
            <charset val="238"/>
          </rPr>
          <t xml:space="preserve">
upitno- treba vidjeti da li želi knjigovodstvo dalje
</t>
        </r>
      </text>
    </comment>
    <comment ref="W134" authorId="3" shapeId="0" xr:uid="{00000000-0006-0000-0000-000016000000}">
      <text>
        <r>
          <rPr>
            <b/>
            <sz val="9"/>
            <rFont val="Tahoma"/>
            <family val="2"/>
            <charset val="238"/>
          </rPr>
          <t>UredBM:</t>
        </r>
        <r>
          <rPr>
            <sz val="9"/>
            <rFont val="Tahoma"/>
            <family val="2"/>
            <charset val="238"/>
          </rPr>
          <t xml:space="preserve">
upitno treba vidjeti cijenu i usluge
</t>
        </r>
      </text>
    </comment>
    <comment ref="L137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nemožemo poreznu odraditi
- trewba id sa yeascora</t>
        </r>
      </text>
    </comment>
    <comment ref="B14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poslan raskid ugovora sa 31.12.2025
</t>
        </r>
      </text>
    </comment>
    <comment ref="J140" authorId="2" shapeId="0" xr:uid="{00000000-0006-0000-0000-000019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treba ishodovati
</t>
        </r>
      </text>
    </comment>
    <comment ref="O140" authorId="2" shapeId="0" xr:uid="{00000000-0006-0000-0000-00001A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25.11.2022
</t>
        </r>
      </text>
    </comment>
    <comment ref="W150" authorId="2" shapeId="0" xr:uid="{00000000-0006-0000-0000-00001B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čičkai  ne želi napraviti završni jer mu nije plaćeno tako da ni mi ne možemo odraditi završni 2020
 </t>
        </r>
      </text>
    </comment>
    <comment ref="B200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TREBA IM PUNOMOĆ POSLATI U POREZNU I NEKAD IZLISTANJE KARTICE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Racunalo 1</author>
    <author>Korisnik</author>
    <author>HP</author>
    <author>Lenovo</author>
  </authors>
  <commentList>
    <comment ref="B8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ZAŠTO NE PLAĆA I ZAŠTO SMO PREŠLI NA MJESEČNO?
</t>
        </r>
      </text>
    </comment>
    <comment ref="J1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+20 dodatni poslovi
</t>
        </r>
      </text>
    </comment>
    <comment ref="T22" authorId="2" shapeId="0" xr:uid="{00000000-0006-0000-0100-000003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Raskid ugovora 30/4/26, otišao kod Melise
</t>
        </r>
      </text>
    </comment>
    <comment ref="Y29" authorId="3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126,5 - dok ne plati niőta
</t>
        </r>
      </text>
    </comment>
    <comment ref="AB29" authorId="3" shapeId="0" xr:uid="{00000000-0006-0000-0100-000005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126,5 - dok ne plati niőta
</t>
        </r>
      </text>
    </comment>
    <comment ref="AE29" authorId="3" shapeId="0" xr:uid="{00000000-0006-0000-0100-000006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126,5 - dok ne plati niőta
tu treba platiti 1.883,77
</t>
        </r>
      </text>
    </comment>
    <comment ref="N33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Korisnik:sa završnim
</t>
        </r>
      </text>
    </comment>
    <comment ref="F35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Nije plaćen najam u 2025
</t>
        </r>
      </text>
    </comment>
    <comment ref="M36" authorId="3" shapeId="0" xr:uid="{00000000-0006-0000-0100-000009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platili 2 puta certifikat
</t>
        </r>
      </text>
    </comment>
    <comment ref="Y37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dodaj ugovor na racun</t>
        </r>
      </text>
    </comment>
    <comment ref="G39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nešto nije u redu sa naplatom, nema svih mjeseci račun
</t>
        </r>
      </text>
    </comment>
    <comment ref="AH44" authorId="3" shapeId="0" xr:uid="{00000000-0006-0000-01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SJEDIŠTE
</t>
        </r>
      </text>
    </comment>
    <comment ref="G51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nema računa od  9-12mj
</t>
        </r>
      </text>
    </comment>
    <comment ref="F52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Dsa li treba brisati jer plaća mjesečno
</t>
        </r>
      </text>
    </comment>
    <comment ref="Q54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GABRIOJELA NIJE IZDALA RAČUN U 3. MJ
OVO SU TROŠKOVI UREDA OSIJEK
</t>
        </r>
      </text>
    </comment>
    <comment ref="T54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3 MJ GABRIJELA I ZAVRŠNI RAČUN LG</t>
        </r>
      </text>
    </comment>
    <comment ref="AQ54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+500 SJEDIŐTE
</t>
        </r>
      </text>
    </comment>
    <comment ref="B58" authorId="3" shapeId="0" xr:uid="{00000000-0006-0000-0100-000012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KAD PREPIŠU ĆE POČET RADIT</t>
        </r>
      </text>
    </comment>
    <comment ref="K58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REVOLUT ?
</t>
        </r>
      </text>
    </comment>
    <comment ref="N61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naplaćen i PO-SD</t>
        </r>
      </text>
    </comment>
    <comment ref="K63" authorId="3" shapeId="0" xr:uid="{00000000-0006-0000-0100-000015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+dgc</t>
        </r>
      </text>
    </comment>
    <comment ref="Y64" authorId="3" shapeId="0" xr:uid="{00000000-0006-0000-0100-000016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120 za završni i 6 mj*120
</t>
        </r>
      </text>
    </comment>
    <comment ref="B77" authorId="0" shapeId="0" xr:uid="{00000000-0006-0000-0100-000017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otkaz 29.09.2022
</t>
        </r>
      </text>
    </comment>
    <comment ref="Y81" authorId="3" shapeId="0" xr:uid="{00000000-0006-0000-0100-00001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SJEDIŠTE
</t>
        </r>
      </text>
    </comment>
    <comment ref="J82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dodatnih 50 za zakasnjelu dokumentaciju</t>
        </r>
      </text>
    </comment>
    <comment ref="AW89" authorId="0" shapeId="0" xr:uid="{00000000-0006-0000-0100-00001A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30.01.2022
</t>
        </r>
      </text>
    </comment>
    <comment ref="J100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dodatnih 20 za izradu trosarina</t>
        </r>
      </text>
    </comment>
    <comment ref="B101" authorId="0" shapeId="0" xr:uid="{00000000-0006-0000-0100-00001C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fakturiramo terracelan group kft - 5% manje
</t>
        </r>
      </text>
    </comment>
    <comment ref="P112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ispravak PDV 12/26</t>
        </r>
      </text>
    </comment>
    <comment ref="B119" authorId="3" shapeId="0" xr:uid="{00000000-0006-0000-0100-00001E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kp</t>
        </r>
      </text>
    </comment>
    <comment ref="M119" authorId="2" shapeId="0" xr:uid="{00000000-0006-0000-0100-00001F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50+50 završni 
</t>
        </r>
      </text>
    </comment>
    <comment ref="M122" authorId="3" shapeId="0" xr:uid="{00000000-0006-0000-0100-00002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SJEDIŐTE
</t>
        </r>
      </text>
    </comment>
    <comment ref="AW122" authorId="0" shapeId="0" xr:uid="{00000000-0006-0000-0100-000021000000}">
      <text>
        <r>
          <rPr>
            <b/>
            <sz val="9"/>
            <rFont val="Tahoma"/>
            <family val="2"/>
            <charset val="238"/>
          </rPr>
          <t xml:space="preserve">Racunal31.1231.12.2023
</t>
        </r>
        <r>
          <rPr>
            <sz val="9"/>
            <rFont val="Tahoma"/>
            <family val="2"/>
            <charset val="238"/>
          </rPr>
          <t xml:space="preserve">
</t>
        </r>
      </text>
    </comment>
    <comment ref="V124" authorId="3" shapeId="0" xr:uid="{00000000-0006-0000-0100-00002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+ SJEDIŐTE
</t>
        </r>
      </text>
    </comment>
    <comment ref="Y124" authorId="3" shapeId="0" xr:uid="{00000000-0006-0000-0100-000023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sjedište</t>
        </r>
      </text>
    </comment>
    <comment ref="M129" authorId="3" shapeId="0" xr:uid="{00000000-0006-0000-0100-00002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SJEDIŠTE
</t>
        </r>
      </text>
    </comment>
    <comment ref="Z131" authorId="3" shapeId="0" xr:uid="{00000000-0006-0000-0100-000025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zaračunala 14 eur više
</t>
        </r>
      </text>
    </comment>
    <comment ref="T138" authorId="1" shapeId="0" xr:uid="{00000000-0006-0000-0100-000026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TREBA STORNIRATI RAČUNE
</t>
        </r>
      </text>
    </comment>
    <comment ref="A140" authorId="0" shapeId="0" xr:uid="{00000000-0006-0000-0100-000027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uskoro se raskida ugovor
</t>
        </r>
      </text>
    </comment>
    <comment ref="Q145" authorId="2" shapeId="0" xr:uid="{00000000-0006-0000-0100-000028000000}">
      <text>
        <r>
          <rPr>
            <b/>
            <sz val="9"/>
            <color indexed="81"/>
            <rFont val="Tahoma"/>
            <family val="2"/>
            <charset val="238"/>
          </rPr>
          <t>HP:</t>
        </r>
        <r>
          <rPr>
            <sz val="9"/>
            <color indexed="81"/>
            <rFont val="Tahoma"/>
            <family val="2"/>
            <charset val="238"/>
          </rPr>
          <t xml:space="preserve">
3 minimaxa?</t>
        </r>
      </text>
    </comment>
    <comment ref="T149" authorId="1" shapeId="0" xr:uid="{00000000-0006-0000-0100-000029000000}">
      <text>
        <r>
          <rPr>
            <b/>
            <sz val="9"/>
            <color indexed="81"/>
            <rFont val="Tahoma"/>
            <family val="2"/>
          </rPr>
          <t>Korisnik:</t>
        </r>
        <r>
          <rPr>
            <sz val="9"/>
            <color indexed="81"/>
            <rFont val="Tahoma"/>
            <family val="2"/>
          </rPr>
          <t xml:space="preserve">
NIJE IZDAN RAČUN U 3 MJ
</t>
        </r>
      </text>
    </comment>
    <comment ref="Y149" authorId="3" shapeId="0" xr:uid="{00000000-0006-0000-0100-00002A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RAÉUN IZDAN U 4 MJ GREŐKOM
</t>
        </r>
      </text>
    </comment>
    <comment ref="B150" authorId="3" shapeId="0" xr:uid="{00000000-0006-0000-0100-00002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Platili su sve do 01.04.2026.</t>
        </r>
      </text>
    </comment>
    <comment ref="S157" authorId="3" shapeId="0" xr:uid="{00000000-0006-0000-0100-00002C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+ minimacx od 2 mjeseca
</t>
        </r>
      </text>
    </comment>
    <comment ref="M167" authorId="3" shapeId="0" xr:uid="{00000000-0006-0000-0100-00002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+150+45
150 KNJ MINIALNO 
45 - SJEDIŐTE
</t>
        </r>
      </text>
    </comment>
    <comment ref="Q167" authorId="3" shapeId="0" xr:uid="{00000000-0006-0000-0100-00002E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nije izdana faktura
</t>
        </r>
      </text>
    </comment>
    <comment ref="AB175" authorId="3" shapeId="0" xr:uid="{00000000-0006-0000-0100-00002F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330 - GODINA
120 MINIMAX
</t>
        </r>
      </text>
    </comment>
    <comment ref="M179" authorId="3" shapeId="0" xr:uid="{00000000-0006-0000-0100-00003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2024
</t>
        </r>
      </text>
    </comment>
    <comment ref="S179" authorId="3" shapeId="0" xr:uid="{00000000-0006-0000-0100-00003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2025
</t>
        </r>
      </text>
    </comment>
    <comment ref="M180" authorId="3" shapeId="0" xr:uid="{00000000-0006-0000-0100-00003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+SJEDIŐTE
</t>
        </r>
      </text>
    </comment>
    <comment ref="G182" authorId="2" shapeId="0" xr:uid="{00000000-0006-0000-0100-000033000000}">
      <text>
        <r>
          <rPr>
            <b/>
            <sz val="9"/>
            <color indexed="81"/>
            <rFont val="Tahoma"/>
            <family val="2"/>
            <charset val="238"/>
          </rPr>
          <t>HP:</t>
        </r>
        <r>
          <rPr>
            <sz val="9"/>
            <color indexed="81"/>
            <rFont val="Tahoma"/>
            <family val="2"/>
            <charset val="238"/>
          </rPr>
          <t xml:space="preserve">
dug 2025
</t>
        </r>
      </text>
    </comment>
    <comment ref="B194" authorId="3" shapeId="0" xr:uid="{00000000-0006-0000-0100-000034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B198" authorId="3" shapeId="0" xr:uid="{00000000-0006-0000-0100-000035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+sjedište
+ 550 OSNIVANJE
</t>
        </r>
      </text>
    </comment>
    <comment ref="AC198" authorId="3" shapeId="0" xr:uid="{00000000-0006-0000-0100-000036000000}">
      <text>
        <r>
          <rPr>
            <b/>
            <sz val="9"/>
            <color indexed="81"/>
            <rFont val="Tahoma"/>
            <family val="2"/>
            <charset val="238"/>
          </rPr>
          <t>Lenovo:</t>
        </r>
        <r>
          <rPr>
            <sz val="9"/>
            <color indexed="81"/>
            <rFont val="Tahoma"/>
            <family val="2"/>
            <charset val="238"/>
          </rPr>
          <t xml:space="preserve">
+ knjigovodstvo - kad potpišemo ugovor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Racunalo 1</author>
    <author>Lenovo</author>
  </authors>
  <commentList>
    <comment ref="N44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treba tražiti povrat pdv-a
</t>
        </r>
      </text>
    </comment>
    <comment ref="B48" authorId="0" shapeId="0" xr:uid="{00000000-0006-0000-0200-000002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14.04.- završni kod gabrijele
</t>
        </r>
      </text>
    </comment>
    <comment ref="A56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plaćamo b. na fina stiku pbz 
</t>
        </r>
      </text>
    </comment>
    <comment ref="T61" authorId="1" shapeId="0" xr:uid="{00000000-0006-0000-0200-000004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skini punomoć
</t>
        </r>
      </text>
    </comment>
    <comment ref="A70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erste i kent i u podravskoj  - plaćamo sve</t>
        </r>
      </text>
    </comment>
    <comment ref="B82" authorId="0" shapeId="0" xr:uid="{00000000-0006-0000-0200-000006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nije potpisao utjerujemo dug
</t>
        </r>
      </text>
    </comment>
    <comment ref="S89" authorId="1" shapeId="0" xr:uid="{00000000-0006-0000-0200-000007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provjeri status knj za sve njegove / magyar viz, csasiopea/* nobil….
</t>
        </r>
      </text>
    </comment>
    <comment ref="D93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martina
</t>
        </r>
      </text>
    </comment>
    <comment ref="G94" authorId="0" shapeId="0" xr:uid="{00000000-0006-0000-0200-000009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treba dobiti kategorizaciju</t>
        </r>
      </text>
    </comment>
    <comment ref="B98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ima svoj fin a stick - na sudu su treba e-građani
neto ne isplaćujemo samo doprinose - hub
</t>
        </r>
      </text>
    </comment>
    <comment ref="B102" authorId="0" shapeId="0" xr:uid="{00000000-0006-0000-0200-00000B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podaci one drive</t>
        </r>
      </text>
    </comment>
    <comment ref="B115" authorId="0" shapeId="0" xr:uid="{00000000-0006-0000-0200-00000C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tražiti dokumente / za plaćanje poslati hub obrazac
</t>
        </r>
      </text>
    </comment>
    <comment ref="B117" authorId="0" shapeId="0" xr:uid="{00000000-0006-0000-0200-00000D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šalje inf za izdavanje računa
</t>
        </r>
      </text>
    </comment>
    <comment ref="B131" authorId="0" shapeId="0" xr:uid="{00000000-0006-0000-0200-00000E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ima banku učitavamo sepu on autorizira
Mi izdajemo račune na osnovi njegovih podataka
</t>
        </r>
      </text>
    </comment>
    <comment ref="B136" authorId="0" shapeId="0" xr:uid="{00000000-0006-0000-0200-00000F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šalje se hub - plaća</t>
        </r>
      </text>
    </comment>
    <comment ref="M151" authorId="1" shapeId="0" xr:uid="{00000000-0006-0000-0200-000010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treba zaduűiti najamninu 1 g i treba dogovoriti plaáanje</t>
        </r>
      </text>
    </comment>
    <comment ref="A152" authorId="0" shapeId="0" xr:uid="{00000000-0006-0000-0200-000011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isto kao i za verebi</t>
        </r>
      </text>
    </comment>
    <comment ref="G158" authorId="0" shapeId="0" xr:uid="{00000000-0006-0000-0200-000012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u postupku traűenja
</t>
        </r>
      </text>
    </comment>
    <comment ref="B161" authorId="0" shapeId="0" xr:uid="{00000000-0006-0000-0200-000013000000}">
      <text>
        <r>
          <rPr>
            <b/>
            <sz val="9"/>
            <color indexed="81"/>
            <rFont val="Tahoma"/>
            <family val="2"/>
            <charset val="238"/>
          </rPr>
          <t>Racunalo 1:</t>
        </r>
        <r>
          <rPr>
            <sz val="9"/>
            <color indexed="81"/>
            <rFont val="Tahoma"/>
            <family val="2"/>
            <charset val="238"/>
          </rPr>
          <t xml:space="preserve">
šalje račune da izdamo, malo je težak sa plaćanjem
radi na povezivanju webshopa i minimaxa
</t>
        </r>
      </text>
    </comment>
    <comment ref="B162" authorId="1" shapeId="0" xr:uid="{00000000-0006-0000-0200-000014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</t>
        </r>
      </text>
    </comment>
    <comment ref="I162" authorId="1" shapeId="0" xr:uid="{00000000-0006-0000-0200-000015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2023 - nismo predali ako viái predat áemo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Racunalo 1</author>
  </authors>
  <commentList>
    <comment ref="B84" authorId="0" shapeId="0" xr:uid="{00000000-0006-0000-0800-000001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160 knjigovodstvo
+15 saop</t>
        </r>
      </text>
    </comment>
    <comment ref="B89" authorId="1" shapeId="0" xr:uid="{00000000-0006-0000-0800-000002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+izvadak iz sudskog registra+12 eur
</t>
        </r>
      </text>
    </comment>
    <comment ref="B96" authorId="0" shapeId="0" xr:uid="{00000000-0006-0000-0800-000003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410 knjigovodstvo
5 sudski izvadak
</t>
        </r>
      </text>
    </comment>
    <comment ref="B120" authorId="0" shapeId="0" xr:uid="{00000000-0006-0000-0800-000004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75 knjigovodstvo
+ 75 završni račun
</t>
        </r>
      </text>
    </comment>
    <comment ref="B124" authorId="0" shapeId="0" xr:uid="{00000000-0006-0000-0800-000005000000}">
      <text>
        <r>
          <rPr>
            <b/>
            <sz val="9"/>
            <rFont val="Tahoma"/>
            <family val="2"/>
            <charset val="238"/>
          </rPr>
          <t>Lenovo:</t>
        </r>
        <r>
          <rPr>
            <sz val="9"/>
            <rFont val="Tahoma"/>
            <family val="2"/>
            <charset val="238"/>
          </rPr>
          <t xml:space="preserve">
75 knjigovodstvo
+ 75 završni 2022</t>
        </r>
      </text>
    </comment>
    <comment ref="C155" authorId="1" shapeId="0" xr:uid="{00000000-0006-0000-0800-000006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završni 2022
</t>
        </r>
      </text>
    </comment>
    <comment ref="B630" authorId="1" shapeId="0" xr:uid="{00000000-0006-0000-0800-000007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+SJEDIŠTE
</t>
        </r>
      </text>
    </comment>
    <comment ref="B644" authorId="1" shapeId="0" xr:uid="{00000000-0006-0000-0800-000008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95+500 SJEDIŠTE
</t>
        </r>
      </text>
    </comment>
    <comment ref="B683" authorId="1" shapeId="0" xr:uid="{00000000-0006-0000-0800-000009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isteklo 1 godina
</t>
        </r>
      </text>
    </comment>
    <comment ref="B723" authorId="1" shapeId="0" xr:uid="{00000000-0006-0000-0800-00000A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30 kn + 30 minimax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Racunalo 1</author>
  </authors>
  <commentList>
    <comment ref="D10" authorId="0" shapeId="0" xr:uid="{00000000-0006-0000-0A00-000001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ovisi o situaciji
</t>
        </r>
      </text>
    </comment>
    <comment ref="D11" authorId="0" shapeId="0" xr:uid="{00000000-0006-0000-0A00-000002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sjedište
</t>
        </r>
      </text>
    </comment>
    <comment ref="D17" authorId="0" shapeId="0" xr:uid="{00000000-0006-0000-0A00-000003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ako je jd.o.o. -10 kn
</t>
        </r>
      </text>
    </comment>
    <comment ref="D38" authorId="0" shapeId="0" xr:uid="{00000000-0006-0000-0A00-000004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1 mj knjigovodstva
</t>
        </r>
      </text>
    </comment>
    <comment ref="D51" authorId="0" shapeId="0" xr:uid="{00000000-0006-0000-0A00-000005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po ugovoru varijabilno
</t>
        </r>
      </text>
    </comment>
    <comment ref="D54" authorId="0" shapeId="0" xr:uid="{00000000-0006-0000-0A00-000006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po satu
</t>
        </r>
      </text>
    </comment>
    <comment ref="D55" authorId="0" shapeId="0" xr:uid="{00000000-0006-0000-0A00-000007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po dogovoru tj ugovoru za određeni posao
</t>
        </r>
      </text>
    </comment>
    <comment ref="D57" authorId="0" shapeId="0" xr:uid="{00000000-0006-0000-0A00-000008000000}">
      <text>
        <r>
          <rPr>
            <b/>
            <sz val="9"/>
            <rFont val="Tahoma"/>
            <family val="2"/>
            <charset val="238"/>
          </rPr>
          <t xml:space="preserve">Racunalo 1:
ovisi o paketu
</t>
        </r>
      </text>
    </comment>
    <comment ref="D61" authorId="0" shapeId="0" xr:uid="{00000000-0006-0000-0A00-000009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ovisi koliko komada  1=150
</t>
        </r>
      </text>
    </comment>
  </commentList>
</comments>
</file>

<file path=xl/sharedStrings.xml><?xml version="1.0" encoding="utf-8"?>
<sst xmlns="http://schemas.openxmlformats.org/spreadsheetml/2006/main" count="7990" uniqueCount="2112">
  <si>
    <t>šifra</t>
  </si>
  <si>
    <t>naziv</t>
  </si>
  <si>
    <t>vrsta aktivan</t>
  </si>
  <si>
    <t>tko vodi</t>
  </si>
  <si>
    <t>oib</t>
  </si>
  <si>
    <t>e-mail adresa</t>
  </si>
  <si>
    <t>tefon broj</t>
  </si>
  <si>
    <t>mb</t>
  </si>
  <si>
    <t>nkd</t>
  </si>
  <si>
    <t>MJESEČNI PDV</t>
  </si>
  <si>
    <t>PLAĆA</t>
  </si>
  <si>
    <t>fina certifikat</t>
  </si>
  <si>
    <t>intrastat primka</t>
  </si>
  <si>
    <t>intrastat otprema</t>
  </si>
  <si>
    <t>putni</t>
  </si>
  <si>
    <t>Jezik</t>
  </si>
  <si>
    <t>ostalo</t>
  </si>
  <si>
    <t>ugovor</t>
  </si>
  <si>
    <t>PROBLEMI POREZNA ITD..</t>
  </si>
  <si>
    <t>završni porezna</t>
  </si>
  <si>
    <t>završni fina</t>
  </si>
  <si>
    <t>opz stat</t>
  </si>
  <si>
    <t>pd ipo</t>
  </si>
  <si>
    <t>datum od</t>
  </si>
  <si>
    <t>datum do</t>
  </si>
  <si>
    <t>sjedište datum</t>
  </si>
  <si>
    <t>planirano iznos</t>
  </si>
  <si>
    <t>cim</t>
  </si>
  <si>
    <t xml:space="preserve">Fuj </t>
  </si>
  <si>
    <t>mjeseci za obračun paušala</t>
  </si>
  <si>
    <t>da</t>
  </si>
  <si>
    <t>ne</t>
  </si>
  <si>
    <t>iznos</t>
  </si>
  <si>
    <t>Kristina Vezaj &lt;kristina.vezaj@gmail.com&gt;</t>
  </si>
  <si>
    <t>ima</t>
  </si>
  <si>
    <t>NEMA</t>
  </si>
  <si>
    <t>Zsuzsanna Sukiné &lt;sukizsuzsa@gmail.com&gt;</t>
  </si>
  <si>
    <t>ne treba</t>
  </si>
  <si>
    <t>m-da</t>
  </si>
  <si>
    <t>BRIGITA</t>
  </si>
  <si>
    <t>Illés Eszter &lt;info@olaszkemping.hu&gt;</t>
  </si>
  <si>
    <t>primka / oprema</t>
  </si>
  <si>
    <t>nema</t>
  </si>
  <si>
    <t>mobilnost385@gmail.com</t>
  </si>
  <si>
    <t>DA</t>
  </si>
  <si>
    <t>Alpha adria charter d.o.o.</t>
  </si>
  <si>
    <t>domokos.i82@gmail.com</t>
  </si>
  <si>
    <t>zokafr@gmail.com</t>
  </si>
  <si>
    <t>POREZNA 2018 KONTOLA</t>
  </si>
  <si>
    <t>os ig</t>
  </si>
  <si>
    <t>andocsi.janos@gmail.com
sagitta.cons.doo@gmail.com - Andoči tar Melinda</t>
  </si>
  <si>
    <t>registar stvarnih vlasnika?</t>
  </si>
  <si>
    <t>AGRO PMD d.o.o.</t>
  </si>
  <si>
    <t>ARPAD VECSEY</t>
  </si>
  <si>
    <t>vecsey.arpad@gmail.com</t>
  </si>
  <si>
    <t>akarmi1971@gmail.com</t>
  </si>
  <si>
    <t>ANITA MOLNAR</t>
  </si>
  <si>
    <t>Molnár Károly &lt;gmolnark@gmail.com&gt;</t>
  </si>
  <si>
    <t>PREDANO 25.01.2021</t>
  </si>
  <si>
    <t>madar.peter2@gmail.com</t>
  </si>
  <si>
    <t>ComVin Agro d.o.o.</t>
  </si>
  <si>
    <t>info.so.consulting@gmail.com</t>
  </si>
  <si>
    <t>bm in</t>
  </si>
  <si>
    <t>galistvan70@gmail.com</t>
  </si>
  <si>
    <t>ENG</t>
  </si>
  <si>
    <t>nema/ liberland 100 eur / month - revolut</t>
  </si>
  <si>
    <t>Antal János &lt;janos.antal@anlux.hu&gt;
ANTAL ÉS ANTAL KFT-Magyar Lajosné &lt;konyveles@anlux.hu&gt;
Robert Ali &lt;raugrouphr@gmail.com&gt;
Sándor B. Varga &lt;b.vargaplast@gmail.com&gt;
Kiszeli Zoltán &lt;kiszko82@gmail.com&gt;</t>
  </si>
  <si>
    <t>tanja tandara &lt;tttanjatandara5@gmail.com&gt;</t>
  </si>
  <si>
    <t>Sailing Investment d.o.o.</t>
  </si>
  <si>
    <t>0916026135 Kristof Peter Horvath</t>
  </si>
  <si>
    <t>POREZNA KONTROLA</t>
  </si>
  <si>
    <t>Vital Group d.o.o.</t>
  </si>
  <si>
    <t>os r10</t>
  </si>
  <si>
    <t>info@gmholding.hu</t>
  </si>
  <si>
    <t>po naplaćenoj</t>
  </si>
  <si>
    <t>os r10/MJ</t>
  </si>
  <si>
    <t>NOBILIS KRISTOF</t>
  </si>
  <si>
    <t>TREBA PREDAZI ZAVRŠNE</t>
  </si>
  <si>
    <t>LOGO PUŽ j.d.o.o</t>
  </si>
  <si>
    <t>marija.bakovic90@gmail.com</t>
  </si>
  <si>
    <t>Kresimir Serdar &lt;kresimir.serdar@barkod.hr&gt;</t>
  </si>
  <si>
    <t>kovacsp@makroteam.hu</t>
  </si>
  <si>
    <t>os jjs333</t>
  </si>
  <si>
    <t>AGRIFERT j.d.o.o.</t>
  </si>
  <si>
    <t>Dalmatia Asset Operation d.o.o.</t>
  </si>
  <si>
    <t>ANDOR GYORGY FARKAS</t>
  </si>
  <si>
    <t>andor.farkas975@gmail.com</t>
  </si>
  <si>
    <t>agroadria.international@gmail.com</t>
  </si>
  <si>
    <t>LENCSE ZOLTÁN</t>
  </si>
  <si>
    <t>SIMON PETER</t>
  </si>
  <si>
    <t>vogelprojekt.hr@gmail.com</t>
  </si>
  <si>
    <t>SANSA MACHINE d.o.o.</t>
  </si>
  <si>
    <t>info@bboil.hr</t>
  </si>
  <si>
    <t>sz.virag.aniko@gmail.com</t>
  </si>
  <si>
    <t>Vktor Bencze &lt;benczewiktor@gmail.com&gt;</t>
  </si>
  <si>
    <t>info.zlatna@gmail.com</t>
  </si>
  <si>
    <t>BB YACHT obrt vl baka bela</t>
  </si>
  <si>
    <t>bbyachtkopacevo@gmail.com</t>
  </si>
  <si>
    <t>LASZLO.TOTH.LT@T-ONLINE.HU</t>
  </si>
  <si>
    <t>Szabó Gyula &lt;jules67@t-online.hu&gt;</t>
  </si>
  <si>
    <t>tel: 0036-30 201 3505</t>
  </si>
  <si>
    <t>gorant512@gmail.com
lukatatalovic2020@gmail.com</t>
  </si>
  <si>
    <t>FRANCOS j.d.o.o.</t>
  </si>
  <si>
    <t>francosjdoo@gmail.com</t>
  </si>
  <si>
    <t>regina_wurst@yahoo.co.uk</t>
  </si>
  <si>
    <t>mlm.transport0707@gmail.com</t>
  </si>
  <si>
    <t>Serafini d.o.o</t>
  </si>
  <si>
    <t>62.01</t>
  </si>
  <si>
    <t>danijel.rota@gmail.com</t>
  </si>
  <si>
    <t>01.50</t>
  </si>
  <si>
    <t>ATTILA ScHNEIDER</t>
  </si>
  <si>
    <t>villa19tribunj@gmail.com</t>
  </si>
  <si>
    <t>BOLE VL.BOŠNJAK ŽELJKO</t>
  </si>
  <si>
    <t>boleizradakljuceva@gmail.com</t>
  </si>
  <si>
    <t>TERRAMARE OBRT. Tunde odor</t>
  </si>
  <si>
    <t>verebi</t>
  </si>
  <si>
    <t>40 eur mjesečno</t>
  </si>
  <si>
    <t>AŠ MAGNET VL. ČABARKAPA MLADEN</t>
  </si>
  <si>
    <t>autoskola.magnet2@gmail.com</t>
  </si>
  <si>
    <t>VVK BIJELO PLAVI</t>
  </si>
  <si>
    <t>nikica.boduljak@gmail.com</t>
  </si>
  <si>
    <t>Novila market d.o.o</t>
  </si>
  <si>
    <t>novilamarket@gmail.com</t>
  </si>
  <si>
    <t>BERNADETT VINCZE</t>
  </si>
  <si>
    <t>Bernadett Vincze &lt;vinczebernadett315@gmail.com&gt;</t>
  </si>
  <si>
    <t>kruno.martinovic1979@gmail.com</t>
  </si>
  <si>
    <t>TOTH PETER</t>
  </si>
  <si>
    <t>janos.giber@gmail.com</t>
  </si>
  <si>
    <t>NE</t>
  </si>
  <si>
    <t>lc.petramikus@gmail.com</t>
  </si>
  <si>
    <t>2023PINETA@GMAIL.COM</t>
  </si>
  <si>
    <t>Whynot Xdaldm &lt;imgx246w@gmail.com&gt;</t>
  </si>
  <si>
    <t>TRGO-KOP d.o.o.</t>
  </si>
  <si>
    <t>mbaban@trgokop.com</t>
  </si>
  <si>
    <t>HR</t>
  </si>
  <si>
    <t>svi</t>
  </si>
  <si>
    <t>Mediterranean homes j.d.o.o.</t>
  </si>
  <si>
    <t>szabo gabor / Kristina +36305878027</t>
  </si>
  <si>
    <t>BUCCANEER d.o.o.</t>
  </si>
  <si>
    <t>SANDORFI YACHTING</t>
  </si>
  <si>
    <t>info@prikolice.co</t>
  </si>
  <si>
    <t>Obrt Bambo, vl. Toni Puljek</t>
  </si>
  <si>
    <t>tpuljek@hotmail.com</t>
  </si>
  <si>
    <t>BO.V.AT j.d.o.o.</t>
  </si>
  <si>
    <t>ve.miletic@gmail.com</t>
  </si>
  <si>
    <t>Vodi vesna gratis</t>
  </si>
  <si>
    <t>Nyugat epitö KFT</t>
  </si>
  <si>
    <t>ostvareno je ono za što smo izdali račine</t>
  </si>
  <si>
    <t xml:space="preserve">plan je usmeni dogovor </t>
  </si>
  <si>
    <t>ne ovdje nego u poduzećima</t>
  </si>
  <si>
    <t>ostvareno je ono što je plaćeno</t>
  </si>
  <si>
    <t>KOMITENT</t>
  </si>
  <si>
    <t>active</t>
  </si>
  <si>
    <t>ugovoreno</t>
  </si>
  <si>
    <t>1-PC</t>
  </si>
  <si>
    <t>1planiran</t>
  </si>
  <si>
    <t>1.ost</t>
  </si>
  <si>
    <t>2-PC</t>
  </si>
  <si>
    <t>2planirano</t>
  </si>
  <si>
    <t>2.ost</t>
  </si>
  <si>
    <t>3-PC</t>
  </si>
  <si>
    <t>3 plan</t>
  </si>
  <si>
    <t>3. ost</t>
  </si>
  <si>
    <t>4-PC</t>
  </si>
  <si>
    <t>4 plan</t>
  </si>
  <si>
    <t>4 ost</t>
  </si>
  <si>
    <t>5 - PC</t>
  </si>
  <si>
    <t>5 plan</t>
  </si>
  <si>
    <t>5 ost</t>
  </si>
  <si>
    <t>6-PC</t>
  </si>
  <si>
    <t>6 plan</t>
  </si>
  <si>
    <t>6.ost</t>
  </si>
  <si>
    <t>7-PC</t>
  </si>
  <si>
    <t>7 plan</t>
  </si>
  <si>
    <t>7 ost</t>
  </si>
  <si>
    <t>8-PC</t>
  </si>
  <si>
    <t>8plan</t>
  </si>
  <si>
    <t>8.ost</t>
  </si>
  <si>
    <t>9-PC</t>
  </si>
  <si>
    <t>9plan</t>
  </si>
  <si>
    <t>9 ost</t>
  </si>
  <si>
    <t>10-PC</t>
  </si>
  <si>
    <t>10plan</t>
  </si>
  <si>
    <t>10 ost</t>
  </si>
  <si>
    <t>11-PC</t>
  </si>
  <si>
    <t>11plan</t>
  </si>
  <si>
    <t>11 ost</t>
  </si>
  <si>
    <t>12-PC</t>
  </si>
  <si>
    <t>12plan</t>
  </si>
  <si>
    <t>12 ost</t>
  </si>
  <si>
    <t>ukupno planirano</t>
  </si>
  <si>
    <t>ukupno ostvareno</t>
  </si>
  <si>
    <t>PC-SJ</t>
  </si>
  <si>
    <t>ostvareno iznos u toku godine</t>
  </si>
  <si>
    <t>0</t>
  </si>
  <si>
    <t>2-1</t>
  </si>
  <si>
    <t>2-2</t>
  </si>
  <si>
    <t>1-2</t>
  </si>
  <si>
    <t>1-1</t>
  </si>
  <si>
    <t>1-4</t>
  </si>
  <si>
    <t>1-5</t>
  </si>
  <si>
    <t>1-6</t>
  </si>
  <si>
    <t>2-3</t>
  </si>
  <si>
    <t>NIKOLINA</t>
  </si>
  <si>
    <t>plaće_</t>
  </si>
  <si>
    <t>pdv_</t>
  </si>
  <si>
    <t>filteri</t>
  </si>
  <si>
    <t>1 mj</t>
  </si>
  <si>
    <t>2mj</t>
  </si>
  <si>
    <t>3mj</t>
  </si>
  <si>
    <t>4mj</t>
  </si>
  <si>
    <t>5mj</t>
  </si>
  <si>
    <t>7mj</t>
  </si>
  <si>
    <t>8mj</t>
  </si>
  <si>
    <t>e-mail</t>
  </si>
  <si>
    <t>plaće</t>
  </si>
  <si>
    <t>MJ_pdv</t>
  </si>
  <si>
    <t>dogovoreno</t>
  </si>
  <si>
    <t>plaće_1</t>
  </si>
  <si>
    <t>pdv_1</t>
  </si>
  <si>
    <t>OPZ STAT</t>
  </si>
  <si>
    <t>plaće_2</t>
  </si>
  <si>
    <t>pdv_2</t>
  </si>
  <si>
    <t>izvj</t>
  </si>
  <si>
    <t>pdv_3</t>
  </si>
  <si>
    <t>izvještaji</t>
  </si>
  <si>
    <t>plaće_5</t>
  </si>
  <si>
    <t>pdv_5</t>
  </si>
  <si>
    <t>plaće_6</t>
  </si>
  <si>
    <t>pdv_6</t>
  </si>
  <si>
    <t>snu obrazac</t>
  </si>
  <si>
    <t>plaće_7</t>
  </si>
  <si>
    <t>pdv_7</t>
  </si>
  <si>
    <t>plaće_8</t>
  </si>
  <si>
    <t>pdv_8</t>
  </si>
  <si>
    <t>plaće_9</t>
  </si>
  <si>
    <t>pdv_9</t>
  </si>
  <si>
    <t>plaće_10</t>
  </si>
  <si>
    <t>pdv_10</t>
  </si>
  <si>
    <t>plaće_11</t>
  </si>
  <si>
    <t>pdv_11</t>
  </si>
  <si>
    <t>plaće_12</t>
  </si>
  <si>
    <t>pdv_12</t>
  </si>
  <si>
    <t>ostalo2</t>
  </si>
  <si>
    <t>MJESECI</t>
  </si>
  <si>
    <t>IME</t>
  </si>
  <si>
    <t>VRSTA</t>
  </si>
  <si>
    <t>AKTIVNO</t>
  </si>
  <si>
    <t>01.</t>
  </si>
  <si>
    <t>02.</t>
  </si>
  <si>
    <t>03.</t>
  </si>
  <si>
    <t>04.</t>
  </si>
  <si>
    <t>05.</t>
  </si>
  <si>
    <t>06.</t>
  </si>
  <si>
    <t>07.</t>
  </si>
  <si>
    <t>08.</t>
  </si>
  <si>
    <t>09.</t>
  </si>
  <si>
    <t>010.</t>
  </si>
  <si>
    <t>011.</t>
  </si>
  <si>
    <t>012.</t>
  </si>
  <si>
    <t xml:space="preserve">PRIMKA </t>
  </si>
  <si>
    <t>D</t>
  </si>
  <si>
    <t>AGRO PMD</t>
  </si>
  <si>
    <t>GUMENET</t>
  </si>
  <si>
    <t>ukupno sa r1</t>
  </si>
  <si>
    <t>tko</t>
  </si>
  <si>
    <t>Row Labels</t>
  </si>
  <si>
    <t>Sum of Oszlop7</t>
  </si>
  <si>
    <t>Count of 12plan</t>
  </si>
  <si>
    <t>Sum of 1ostvaren</t>
  </si>
  <si>
    <t>Ana</t>
  </si>
  <si>
    <t>ANA</t>
  </si>
  <si>
    <t>Gabrijela</t>
  </si>
  <si>
    <t>GABRIJELA</t>
  </si>
  <si>
    <t>KP/GABRIJELA</t>
  </si>
  <si>
    <t>Laura</t>
  </si>
  <si>
    <t>KP/LAURA</t>
  </si>
  <si>
    <t>LAURA</t>
  </si>
  <si>
    <t>MARINA</t>
  </si>
  <si>
    <t>MARINA/SPLIT</t>
  </si>
  <si>
    <t>MATEJ</t>
  </si>
  <si>
    <t>NITKO</t>
  </si>
  <si>
    <t>OTT</t>
  </si>
  <si>
    <t>Grand Total</t>
  </si>
  <si>
    <t>Sum of ukupno sa r1</t>
  </si>
  <si>
    <t>(blank)</t>
  </si>
  <si>
    <t>Count of naziv</t>
  </si>
  <si>
    <t>Sum of PDV_P</t>
  </si>
  <si>
    <t>Sum of PLAĆA_P</t>
  </si>
  <si>
    <t>12.mj</t>
  </si>
  <si>
    <t>12.mj2</t>
  </si>
  <si>
    <t>11.mj</t>
  </si>
  <si>
    <t>11.mj2</t>
  </si>
  <si>
    <t>10.mj</t>
  </si>
  <si>
    <t>10.mj2</t>
  </si>
  <si>
    <t>9.mj</t>
  </si>
  <si>
    <t>9.mj2</t>
  </si>
  <si>
    <t>8. mj</t>
  </si>
  <si>
    <t>8mj.</t>
  </si>
  <si>
    <t>Count of 7plan</t>
  </si>
  <si>
    <t>Sum of 7 ostvareno</t>
  </si>
  <si>
    <t>Broj od 6 plan</t>
  </si>
  <si>
    <t>Zbroj od 6ostvareno</t>
  </si>
  <si>
    <t>Count of 5 plan</t>
  </si>
  <si>
    <t>Sum of 5 OSTVARENO</t>
  </si>
  <si>
    <t>Count of 4 plan2</t>
  </si>
  <si>
    <t>Sum of 4 OSTVARENO3</t>
  </si>
  <si>
    <t>Count of 3 plan</t>
  </si>
  <si>
    <t>Sum of 3ostvareno</t>
  </si>
  <si>
    <t>Count of 2planirano</t>
  </si>
  <si>
    <t>Sum of 2 ostvareno</t>
  </si>
  <si>
    <t>Count of 1planiran</t>
  </si>
  <si>
    <t>ukupno</t>
  </si>
  <si>
    <t xml:space="preserve">prosjek </t>
  </si>
  <si>
    <t>KP/MATEJ</t>
  </si>
  <si>
    <t>Ivan P.</t>
  </si>
  <si>
    <t>radnik</t>
  </si>
  <si>
    <t>PROSJEK PODUZEĆA</t>
  </si>
  <si>
    <t xml:space="preserve">OSTVARENO </t>
  </si>
  <si>
    <t>PLANIRANO</t>
  </si>
  <si>
    <t>Obračun troškova za režije</t>
  </si>
  <si>
    <t>Ivana Gundulića 28</t>
  </si>
  <si>
    <t>31000 Osijek</t>
  </si>
  <si>
    <t>22.10.</t>
  </si>
  <si>
    <t>YX</t>
  </si>
  <si>
    <t>Damir Horvat režije</t>
  </si>
  <si>
    <t>Column1</t>
  </si>
  <si>
    <t>Column2</t>
  </si>
  <si>
    <t>Column3</t>
  </si>
  <si>
    <t>Column4</t>
  </si>
  <si>
    <t>uplata</t>
  </si>
  <si>
    <t>preplata</t>
  </si>
  <si>
    <t xml:space="preserve">Hep toplinarstvo </t>
  </si>
  <si>
    <t>01.mj</t>
  </si>
  <si>
    <t>02.mj</t>
  </si>
  <si>
    <t>Hep toplinarstvo</t>
  </si>
  <si>
    <t>04.mj</t>
  </si>
  <si>
    <t>Pričuva</t>
  </si>
  <si>
    <t>05.mj</t>
  </si>
  <si>
    <t>06.mj</t>
  </si>
  <si>
    <t>Vodovodne usluge</t>
  </si>
  <si>
    <t>HEP ELEKTRA</t>
  </si>
  <si>
    <t>03.mj</t>
  </si>
  <si>
    <t>vodovodne usluge</t>
  </si>
  <si>
    <t>07.mj</t>
  </si>
  <si>
    <t>08.mj</t>
  </si>
  <si>
    <t>10 mj</t>
  </si>
  <si>
    <t>11 mj</t>
  </si>
  <si>
    <t>12 mj</t>
  </si>
  <si>
    <t>08 mj</t>
  </si>
  <si>
    <t>09 mj</t>
  </si>
  <si>
    <t>11 mj.</t>
  </si>
  <si>
    <t>hep toplinarstvo</t>
  </si>
  <si>
    <t>12. mj</t>
  </si>
  <si>
    <t>PRIČUVA</t>
  </si>
  <si>
    <t>01.2021</t>
  </si>
  <si>
    <t>01. mj.</t>
  </si>
  <si>
    <t>260,4 PR</t>
  </si>
  <si>
    <t>HEP TOPLINARSTVO</t>
  </si>
  <si>
    <t>02.2021</t>
  </si>
  <si>
    <t>81,71 PR</t>
  </si>
  <si>
    <t xml:space="preserve">pričuva </t>
  </si>
  <si>
    <t>04.2021</t>
  </si>
  <si>
    <t>03.2021</t>
  </si>
  <si>
    <t>042021</t>
  </si>
  <si>
    <t>06.2021</t>
  </si>
  <si>
    <t>05.2021</t>
  </si>
  <si>
    <t>07/2021</t>
  </si>
  <si>
    <t>05/2021</t>
  </si>
  <si>
    <t>pričuva</t>
  </si>
  <si>
    <t>06/2021</t>
  </si>
  <si>
    <t>08/2021</t>
  </si>
  <si>
    <t>09/2021</t>
  </si>
  <si>
    <t>Ime i prezime</t>
  </si>
  <si>
    <t>status</t>
  </si>
  <si>
    <t>FCR DEAL CONCEPT J.D.O.O.</t>
  </si>
  <si>
    <t>VGY TRADE J.D.O.O.</t>
  </si>
  <si>
    <t>KOLLAR J.d.o.o</t>
  </si>
  <si>
    <t>Agro-DL d.o.o</t>
  </si>
  <si>
    <t>Agro- X d.o.o</t>
  </si>
  <si>
    <t>DUBROVNIK DIAMOND j.d.o.o.</t>
  </si>
  <si>
    <t>ENNA ROSA J.D.O.O.</t>
  </si>
  <si>
    <t>ZLATNA DINJA</t>
  </si>
  <si>
    <t>BARDI TRADE J.D.O.O.</t>
  </si>
  <si>
    <t>FOIL PRODUCT J.D.O.O.</t>
  </si>
  <si>
    <t>STEFINO TRADE D.O.O</t>
  </si>
  <si>
    <t>Directive j d.o.o.</t>
  </si>
  <si>
    <t>Down Town j.d.o.o</t>
  </si>
  <si>
    <t>DAZOL TRANS D.O.O.</t>
  </si>
  <si>
    <t>TAYLOR TRADE j.d.o.o.</t>
  </si>
  <si>
    <t>MANZARO GTR j.d.o.o.</t>
  </si>
  <si>
    <t xml:space="preserve">KG TRADE DOO/gabi trans </t>
  </si>
  <si>
    <t>INTERNATIONAL LINE D.O.O</t>
  </si>
  <si>
    <t>GEZA-TRADE j.d.o.o.</t>
  </si>
  <si>
    <t>Mayer Istvan</t>
  </si>
  <si>
    <t>TB NEKRETNINE</t>
  </si>
  <si>
    <t>HR-DRONE D.O.O</t>
  </si>
  <si>
    <t>ŠPAJZ J.D.O.O.</t>
  </si>
  <si>
    <t>ČUŠPAJZ J.D.O.O.</t>
  </si>
  <si>
    <t>Market place d.o.o</t>
  </si>
  <si>
    <t>RRD D.O.O.</t>
  </si>
  <si>
    <t>GENERAL BUILDERS D.O.O.</t>
  </si>
  <si>
    <t>PRIMA GROUP TRADING HOUSE J.D.O.O.</t>
  </si>
  <si>
    <t>DIVERSIS</t>
  </si>
  <si>
    <t>TELLMAN ELECTRIC CAR</t>
  </si>
  <si>
    <t>ISKA "Z"</t>
  </si>
  <si>
    <t>Fortrina j.d.o.o.</t>
  </si>
  <si>
    <t>Primus kft.</t>
  </si>
  <si>
    <t>EVOLVIUM</t>
  </si>
  <si>
    <t>Teatrum trade</t>
  </si>
  <si>
    <t>JWA GROUP SPOL SRO</t>
  </si>
  <si>
    <t>Kollektiv Konstruktor d.o.o.</t>
  </si>
  <si>
    <t>Kem Kem d.o.o.</t>
  </si>
  <si>
    <t>Tim valores d.o.o.</t>
  </si>
  <si>
    <t>TOS D.O.O.</t>
  </si>
  <si>
    <t>DAILY DRIVE J.D.O.O.</t>
  </si>
  <si>
    <t>Marsabit</t>
  </si>
  <si>
    <t>Melisa</t>
  </si>
  <si>
    <t>Nikolina</t>
  </si>
  <si>
    <t>Marijana</t>
  </si>
  <si>
    <t>Timea</t>
  </si>
  <si>
    <t>Brigita</t>
  </si>
  <si>
    <t>pc</t>
  </si>
  <si>
    <t xml:space="preserve">planirano </t>
  </si>
  <si>
    <t>ostvareno</t>
  </si>
  <si>
    <t>mjesec</t>
  </si>
  <si>
    <t>PC</t>
  </si>
  <si>
    <t>Knjig</t>
  </si>
  <si>
    <t>Prihod</t>
  </si>
  <si>
    <t>mjeseci</t>
  </si>
  <si>
    <t>Prosjek</t>
  </si>
  <si>
    <t>Sum of ostvareno</t>
  </si>
  <si>
    <t>1-3</t>
  </si>
  <si>
    <t>Matej</t>
  </si>
  <si>
    <t>KP/Laura</t>
  </si>
  <si>
    <t>KP/Gabrijela</t>
  </si>
  <si>
    <t>Godina</t>
  </si>
  <si>
    <t>Planirano</t>
  </si>
  <si>
    <t>Ostvareno</t>
  </si>
  <si>
    <t>povećanje u odnosu na planirano</t>
  </si>
  <si>
    <t>Ostvareno kp</t>
  </si>
  <si>
    <t>Povećanje u odnosu na promet</t>
  </si>
  <si>
    <t>broj zaposlenih</t>
  </si>
  <si>
    <t>povećanje u broju zaposlenih</t>
  </si>
  <si>
    <t>dobit u postotku</t>
  </si>
  <si>
    <t>Usluge</t>
  </si>
  <si>
    <t>PODVRSTA HU</t>
  </si>
  <si>
    <t>PODVRSTA hr</t>
  </si>
  <si>
    <t>KN</t>
  </si>
  <si>
    <t>EUR</t>
  </si>
  <si>
    <t>KREIRANJE CIJENE</t>
  </si>
  <si>
    <t>Troškovi prijepisa j.d.o.o./d.o.o.</t>
  </si>
  <si>
    <t>Birósági köldség</t>
  </si>
  <si>
    <t>sudske pristojbe</t>
  </si>
  <si>
    <t>közjegyzö</t>
  </si>
  <si>
    <t>Javni bilježnik</t>
  </si>
  <si>
    <t>tolmács</t>
  </si>
  <si>
    <t>sudski tumač</t>
  </si>
  <si>
    <t>Management D-Invoice</t>
  </si>
  <si>
    <t>Management d-invoice</t>
  </si>
  <si>
    <t>Cég ára</t>
  </si>
  <si>
    <t>Cijena poduzeća</t>
  </si>
  <si>
    <t>székhely</t>
  </si>
  <si>
    <t>Sjedište / god</t>
  </si>
  <si>
    <t>Osnivanje novog poduzeća D.O.O./J.D.O.O.</t>
  </si>
  <si>
    <t>Statistika</t>
  </si>
  <si>
    <t>statistika</t>
  </si>
  <si>
    <t>javni bilježnik</t>
  </si>
  <si>
    <t>Sudski tumač</t>
  </si>
  <si>
    <t>Management d-invoice d.o.o.</t>
  </si>
  <si>
    <t>töke</t>
  </si>
  <si>
    <t>temeljni kapital</t>
  </si>
  <si>
    <t>bank köldség</t>
  </si>
  <si>
    <t>troškovi banke</t>
  </si>
  <si>
    <t>székhely szólgáltatás 1 év</t>
  </si>
  <si>
    <t>sjedište /god</t>
  </si>
  <si>
    <t>Knjigovodstvo klijenta nerezidenti iznajmljivači</t>
  </si>
  <si>
    <t>p1</t>
  </si>
  <si>
    <t>Knjigovodstvo klijenta nerezidenti kft</t>
  </si>
  <si>
    <t>Knjiženje udruga</t>
  </si>
  <si>
    <t>Knjiženje obrtnika bez pdv-a</t>
  </si>
  <si>
    <t>1/P3</t>
  </si>
  <si>
    <t>Knjiženje obrtnika u pdv</t>
  </si>
  <si>
    <t>Kniženje poduzeća /* vođenje</t>
  </si>
  <si>
    <t>p2</t>
  </si>
  <si>
    <t>Prijave i odjave djelatnika</t>
  </si>
  <si>
    <t>Savjetovanje BEZ PDV</t>
  </si>
  <si>
    <t>P3</t>
  </si>
  <si>
    <t>plaće do 2 djelatnika</t>
  </si>
  <si>
    <t>p4/P3</t>
  </si>
  <si>
    <t>plaće do 5 djelatnika</t>
  </si>
  <si>
    <t>plaće do 10 djelatnika</t>
  </si>
  <si>
    <t>plaće više od 20 djelatnika</t>
  </si>
  <si>
    <t>Završni rad j.d.o.o bez pdv-A</t>
  </si>
  <si>
    <t>knjiženje po ugovoru u pdv-u</t>
  </si>
  <si>
    <t>p4</t>
  </si>
  <si>
    <t>knjiženje skladišta</t>
  </si>
  <si>
    <t>Savjetovanje SA PDV</t>
  </si>
  <si>
    <t>p4/</t>
  </si>
  <si>
    <t>Izvještaj</t>
  </si>
  <si>
    <t>kontrola salda konti</t>
  </si>
  <si>
    <t>Završni rad U SUSTAVU pdv-A</t>
  </si>
  <si>
    <t>vođenje posebnih tablica</t>
  </si>
  <si>
    <t>izdavanje računa - do 5 računa mj</t>
  </si>
  <si>
    <t>Izdavanje računa - do 10 računa mj</t>
  </si>
  <si>
    <t>Izdavanje računa - do 20 računa mj</t>
  </si>
  <si>
    <t>Izdavanje računa - do iznad 20 računa mj</t>
  </si>
  <si>
    <t>Saop najam programa 1 korisnik</t>
  </si>
  <si>
    <t>1 korisnik saop +</t>
  </si>
  <si>
    <t>Virtualni ured</t>
  </si>
  <si>
    <t>Usluga managementa dnevni</t>
  </si>
  <si>
    <t>Vođenje poreznog postupka</t>
  </si>
  <si>
    <t>komunikacija sa poreznom/mio/hzz/ hz/fina/banke</t>
  </si>
  <si>
    <t>komunikacija sa poreznom/mio/hzz/ hz/fina</t>
  </si>
  <si>
    <t>Prijevod</t>
  </si>
  <si>
    <t>Prijevodi / stranici</t>
  </si>
  <si>
    <t>Prijevod po narudžbi</t>
  </si>
  <si>
    <t>Saop najam programa</t>
  </si>
  <si>
    <t>IT management</t>
  </si>
  <si>
    <t>Edukacije</t>
  </si>
  <si>
    <t>Edukacije po projektu</t>
  </si>
  <si>
    <t>Edukacija "Knjigovođa u oblacima"</t>
  </si>
  <si>
    <t>Manevi pošta 2h tjedno</t>
  </si>
  <si>
    <t>pecsét</t>
  </si>
  <si>
    <t>pečat</t>
  </si>
  <si>
    <t>Izrada pečata</t>
  </si>
  <si>
    <t>Ažuriranje podataka u banci</t>
  </si>
  <si>
    <t>Tablice banke za kredit/leasing</t>
  </si>
  <si>
    <t>j.d.o.o. / egyszerüsitet KFT</t>
  </si>
  <si>
    <t>d.o.o./kft</t>
  </si>
  <si>
    <t>Adatok</t>
  </si>
  <si>
    <t>1. tulajdonos személyiigazolvány</t>
  </si>
  <si>
    <t>2. Tulajdonos OIB száma</t>
  </si>
  <si>
    <t>aktivan</t>
  </si>
  <si>
    <t>neaktivan</t>
  </si>
  <si>
    <t>aktivan gabi</t>
  </si>
  <si>
    <t>aktivan laura</t>
  </si>
  <si>
    <t>za preuzeti</t>
  </si>
  <si>
    <t>ŠIFRA</t>
  </si>
  <si>
    <t>analitika</t>
  </si>
  <si>
    <t>SJEDIŠTE</t>
  </si>
  <si>
    <t>ZAVRŠNI</t>
  </si>
  <si>
    <t>KP/ANA</t>
  </si>
  <si>
    <t>TIMEA</t>
  </si>
  <si>
    <t>IVAN VIDA</t>
  </si>
  <si>
    <t>DANIJELA KELEMEN</t>
  </si>
  <si>
    <t>KP NANA</t>
  </si>
  <si>
    <t xml:space="preserve"> </t>
  </si>
  <si>
    <t>iroda@donadome.hu</t>
  </si>
  <si>
    <t>vinczebernadett315@gmail.com</t>
  </si>
  <si>
    <t>VESNA</t>
  </si>
  <si>
    <t>TIMEA/KP</t>
  </si>
  <si>
    <t>Djelatnost</t>
  </si>
  <si>
    <t>snu</t>
  </si>
  <si>
    <t>njega tijela</t>
  </si>
  <si>
    <t>smještaj</t>
  </si>
  <si>
    <t>183,75</t>
  </si>
  <si>
    <t>riješeno</t>
  </si>
  <si>
    <t>savjetovanje</t>
  </si>
  <si>
    <t>izgradnja</t>
  </si>
  <si>
    <t>20.3.2023</t>
  </si>
  <si>
    <t>računovodstvene usluge</t>
  </si>
  <si>
    <t>1485091</t>
  </si>
  <si>
    <t>prodaja na veliko</t>
  </si>
  <si>
    <t>iznajmljivanje (leasing)</t>
  </si>
  <si>
    <t>4611748</t>
  </si>
  <si>
    <t>15.3.2023</t>
  </si>
  <si>
    <t>prodaja sportske opreme</t>
  </si>
  <si>
    <t>206,25</t>
  </si>
  <si>
    <t>4049837</t>
  </si>
  <si>
    <t>račun preko Vital group doo</t>
  </si>
  <si>
    <t>prodaja na malo</t>
  </si>
  <si>
    <t>4880773</t>
  </si>
  <si>
    <t>keramičarske usluge</t>
  </si>
  <si>
    <t>4910761</t>
  </si>
  <si>
    <t>4633423</t>
  </si>
  <si>
    <t>4676971</t>
  </si>
  <si>
    <t>odmarališta</t>
  </si>
  <si>
    <t>proizvodnja od drva</t>
  </si>
  <si>
    <t>1.3.2023</t>
  </si>
  <si>
    <t>28.2.2023</t>
  </si>
  <si>
    <t>103,13</t>
  </si>
  <si>
    <t>5222907</t>
  </si>
  <si>
    <t>23.3.2023</t>
  </si>
  <si>
    <t>27.3.2023</t>
  </si>
  <si>
    <t>24.2.2023</t>
  </si>
  <si>
    <t>4008839</t>
  </si>
  <si>
    <t>usluge savjetovanja</t>
  </si>
  <si>
    <t>96,25</t>
  </si>
  <si>
    <t>21.3.2023</t>
  </si>
  <si>
    <t>2793318</t>
  </si>
  <si>
    <t>4556488</t>
  </si>
  <si>
    <t>4882563</t>
  </si>
  <si>
    <t>primka</t>
  </si>
  <si>
    <t>563,75</t>
  </si>
  <si>
    <t>prodaja na malo (online)</t>
  </si>
  <si>
    <t>243,33</t>
  </si>
  <si>
    <t>4324714</t>
  </si>
  <si>
    <t>5256011</t>
  </si>
  <si>
    <t>Organizacija izvedbe projekata za zgrade</t>
  </si>
  <si>
    <t>1.1.2022</t>
  </si>
  <si>
    <t>4118391</t>
  </si>
  <si>
    <t>putnička agencija</t>
  </si>
  <si>
    <t>20.8.2020</t>
  </si>
  <si>
    <t>5082811</t>
  </si>
  <si>
    <t>nekretnine</t>
  </si>
  <si>
    <t>Povucizakulturu - udruga</t>
  </si>
  <si>
    <t>Djelatnosti ostalih članskih organizac</t>
  </si>
  <si>
    <t>93,82</t>
  </si>
  <si>
    <t>2646676</t>
  </si>
  <si>
    <t>iznajmljivanje</t>
  </si>
  <si>
    <t>10.12.2020</t>
  </si>
  <si>
    <t>68,75</t>
  </si>
  <si>
    <t>1000+pdv/ 46.90</t>
  </si>
  <si>
    <t>187,5</t>
  </si>
  <si>
    <t>9.12.2020</t>
  </si>
  <si>
    <t>2903,83</t>
  </si>
  <si>
    <t>13.3.2021</t>
  </si>
  <si>
    <t>487,31</t>
  </si>
  <si>
    <t>Homes Privlaka Beach &lt;beachhomes.privlaka@gmail.com&gt;</t>
  </si>
  <si>
    <t>kampovi</t>
  </si>
  <si>
    <t>7.7.2021</t>
  </si>
  <si>
    <t>94,25</t>
  </si>
  <si>
    <t>15.11.2021</t>
  </si>
  <si>
    <t>14.7.2021</t>
  </si>
  <si>
    <t>22.2.2023</t>
  </si>
  <si>
    <t>23.2.2023</t>
  </si>
  <si>
    <t>zdravstvena zaštita</t>
  </si>
  <si>
    <t>15.1.2022</t>
  </si>
  <si>
    <t>21.2.2023</t>
  </si>
  <si>
    <t>posredovanje</t>
  </si>
  <si>
    <t>1.11.2021</t>
  </si>
  <si>
    <t>151,25</t>
  </si>
  <si>
    <t>192,5</t>
  </si>
  <si>
    <t>smještaJ</t>
  </si>
  <si>
    <t>145,83</t>
  </si>
  <si>
    <t>3.3.2022</t>
  </si>
  <si>
    <t>trgovina motocikala</t>
  </si>
  <si>
    <t>180,5</t>
  </si>
  <si>
    <t>uslužna djelatnost</t>
  </si>
  <si>
    <t>90,75</t>
  </si>
  <si>
    <t>5448140</t>
  </si>
  <si>
    <t>Djelatnosti ostalih članskih organizacija, d. n.</t>
  </si>
  <si>
    <t>DR. Laszlo Fenyes &lt;fenyes1@icloud.com&gt; ne slati mailove</t>
  </si>
  <si>
    <t>30.6.2022</t>
  </si>
  <si>
    <t>proizvodnja ulja</t>
  </si>
  <si>
    <t>515,63</t>
  </si>
  <si>
    <t>82,5</t>
  </si>
  <si>
    <t>1.12.2022</t>
  </si>
  <si>
    <t>proizvodnja (deterđenti)</t>
  </si>
  <si>
    <t>obrazovanje i poučavanje</t>
  </si>
  <si>
    <t>iznajmljivanje (plovna vozila)</t>
  </si>
  <si>
    <t>1.2.2024</t>
  </si>
  <si>
    <t>1.1.2023</t>
  </si>
  <si>
    <t>SZABÓ GYULA</t>
  </si>
  <si>
    <t>41,25</t>
  </si>
  <si>
    <t>312,5</t>
  </si>
  <si>
    <t>82,95</t>
  </si>
  <si>
    <t>1.5.2023</t>
  </si>
  <si>
    <t>prijevoz robe</t>
  </si>
  <si>
    <t>165,9</t>
  </si>
  <si>
    <t>5019451</t>
  </si>
  <si>
    <t>programiranje</t>
  </si>
  <si>
    <t>5585490</t>
  </si>
  <si>
    <t>mješovita proizvodnja</t>
  </si>
  <si>
    <t>5745004</t>
  </si>
  <si>
    <t>proizvodnja brava</t>
  </si>
  <si>
    <t>132,73</t>
  </si>
  <si>
    <t>90481003</t>
  </si>
  <si>
    <t>62,5</t>
  </si>
  <si>
    <t>98607758</t>
  </si>
  <si>
    <t>1.6.2023</t>
  </si>
  <si>
    <t>5787319</t>
  </si>
  <si>
    <t>5787416</t>
  </si>
  <si>
    <t>vozačka škola</t>
  </si>
  <si>
    <t>Djelatnosti sportskih klubova</t>
  </si>
  <si>
    <t>37,5</t>
  </si>
  <si>
    <t>destiliranje</t>
  </si>
  <si>
    <t>161,25</t>
  </si>
  <si>
    <t>17.8.2023</t>
  </si>
  <si>
    <t>5818397</t>
  </si>
  <si>
    <t>=+36 20 9333350, 391/608-6733
bivői knjigovoúőa e-konto lea vukoviá 0921991451</t>
  </si>
  <si>
    <t>3950417</t>
  </si>
  <si>
    <t>1.10.2023</t>
  </si>
  <si>
    <t>usluge održavanja krajolika</t>
  </si>
  <si>
    <t>15.12.2023</t>
  </si>
  <si>
    <t>Zsuzsanna Cseh &lt;cseh.zsuzsanna@oms24.hu&gt;</t>
  </si>
  <si>
    <t>01.01.2024</t>
  </si>
  <si>
    <t>Obrada podat.,usluge poslužit.i djel.povezane</t>
  </si>
  <si>
    <t>Vincze János +36-30-4392129</t>
  </si>
  <si>
    <t>5669642</t>
  </si>
  <si>
    <t>5669936</t>
  </si>
  <si>
    <t>leasing</t>
  </si>
  <si>
    <t>5453976</t>
  </si>
  <si>
    <t>5607108</t>
  </si>
  <si>
    <t>5670381</t>
  </si>
  <si>
    <t>elektro radovi</t>
  </si>
  <si>
    <t>1.1.2024</t>
  </si>
  <si>
    <t>iznajmljivanje (plovnih vozila)</t>
  </si>
  <si>
    <t>Szocsics Marko
Mobile +36 30 879 6755
Kártyás Anna +36 30 181 2900</t>
  </si>
  <si>
    <t>1.4.2024</t>
  </si>
  <si>
    <t>Muci d.o.o.</t>
  </si>
  <si>
    <t>1.5.2024</t>
  </si>
  <si>
    <t>nema još</t>
  </si>
  <si>
    <t>1.6.2024</t>
  </si>
  <si>
    <t>gelencsir Attila gelencserati@gmail.com</t>
  </si>
  <si>
    <t>Aradi Daniel /Eszter eszter.aradi@tagoremed.hu</t>
  </si>
  <si>
    <t>iznajmljivanje (nekretnine)</t>
  </si>
  <si>
    <t>szabo.judit@aresprime.hu</t>
  </si>
  <si>
    <t>01.06.2024</t>
  </si>
  <si>
    <t>gprodanovic@gmail.com</t>
  </si>
  <si>
    <t>prevlačenje metala</t>
  </si>
  <si>
    <t>KERSTAR KFT</t>
  </si>
  <si>
    <t>Zsofia Reka Bognar</t>
  </si>
  <si>
    <t>batkft@gmail.com</t>
  </si>
  <si>
    <t>55.90</t>
  </si>
  <si>
    <t>+36209447842</t>
  </si>
  <si>
    <t>Zita Perchy</t>
  </si>
  <si>
    <t>perchyzita08@gmail.com</t>
  </si>
  <si>
    <t>DUNAASSISTBAU@GMAIL.COM</t>
  </si>
  <si>
    <t>42.22</t>
  </si>
  <si>
    <t>gradnja vodova</t>
  </si>
  <si>
    <t>5988616</t>
  </si>
  <si>
    <t>Kapitány Zoltán &lt;kapitany.zoltan@vivapalazzo.hu&gt;; Háklár László &lt;haklar.laszlo@fensthermkontakt.hu&gt;? Kis-Simon Gábor &lt;kis-simon.gabor@vivapalazzo.hu&gt;
Háklár László
Fenstherm Kontakt Kft
+36 20 3610483</t>
  </si>
  <si>
    <t>77.34</t>
  </si>
  <si>
    <t>4937830</t>
  </si>
  <si>
    <t>45.11</t>
  </si>
  <si>
    <t>prodaja automobila</t>
  </si>
  <si>
    <t>MICHAL/EVA BOHAČ</t>
  </si>
  <si>
    <t>evkamore2712@gmail.com</t>
  </si>
  <si>
    <t>Knjiženje po ugovoru nije obveznik pdva</t>
  </si>
  <si>
    <t>Manevi pošta</t>
  </si>
  <si>
    <t>HELLA'91 KFT</t>
  </si>
  <si>
    <t>Gergely László &lt;gergely.laszlo@drszam.hu&gt;</t>
  </si>
  <si>
    <t>+36702770708</t>
  </si>
  <si>
    <t>NISKOGRADNAJ VODOVO</t>
  </si>
  <si>
    <t>Szigeti Gyöngyi - Deckman C-Belt Kft. &lt;konyveles@cbelt.hu&gt;</t>
  </si>
  <si>
    <t xml:space="preserve">konyveles@cbelt.hu
+36 30 494 5557
www.deckman.hu
</t>
  </si>
  <si>
    <t>4220 vodovodne cijevi0</t>
  </si>
  <si>
    <t>PAHACO.KFT@GMAIL.COM</t>
  </si>
  <si>
    <t>3314 POPRAVAK EL OPREME</t>
  </si>
  <si>
    <t>LIGA PROTIV RAKA BARANJA</t>
  </si>
  <si>
    <t>brankabiz@yahoo.com</t>
  </si>
  <si>
    <t>+385992094000</t>
  </si>
  <si>
    <t>BESPLATNO</t>
  </si>
  <si>
    <t>kreativnikolektivi@gmail.com</t>
  </si>
  <si>
    <t>+385995470790</t>
  </si>
  <si>
    <t>5610 - Djelatnosti restorana i ostalih objekata za pripremu i usluživanje hrane</t>
  </si>
  <si>
    <t>KREATIVNI KOLEKTIV d.o.o.</t>
  </si>
  <si>
    <t>45 eur mjesečno</t>
  </si>
  <si>
    <t>CEDRUM PROJEKT j.d.o.o.</t>
  </si>
  <si>
    <t>+36706101880</t>
  </si>
  <si>
    <t>05861985</t>
  </si>
  <si>
    <t>7022, Savjetovanje u vezi s poslovanjem i ostalim upravljanjem</t>
  </si>
  <si>
    <t>WESTLAKE YACHT CHARTER d.o.o.</t>
  </si>
  <si>
    <t>Zsolt Feher</t>
  </si>
  <si>
    <t>´01778044671</t>
  </si>
  <si>
    <t>feher@laptop.hu</t>
  </si>
  <si>
    <t>+36209432855</t>
  </si>
  <si>
    <t>NANAADRIA j.d.o.o.</t>
  </si>
  <si>
    <t>5. Új cég tevékenység körei</t>
  </si>
  <si>
    <t>6. e-mail cím (cégnek)</t>
  </si>
  <si>
    <t>7. telefon szám (cégnek)</t>
  </si>
  <si>
    <t>Podaci</t>
  </si>
  <si>
    <t>4. Cég neve</t>
  </si>
  <si>
    <t>3. Székhely/ cim:</t>
  </si>
  <si>
    <t>1. Osobna iskaznica vlasnika/ putnovnica</t>
  </si>
  <si>
    <t>2. OIB vlasnika (u koliko neam mi rješavamo)</t>
  </si>
  <si>
    <t>3. adresa sjediőta</t>
  </si>
  <si>
    <t>4. Naziv poduzeća/ jedinstveni ( stranica: www.sudreg.pravosudje.hr)</t>
  </si>
  <si>
    <t>5. Popis djelatnosti</t>
  </si>
  <si>
    <t>6. e-mail adresa poduzeća</t>
  </si>
  <si>
    <t>7. telefonski broj</t>
  </si>
  <si>
    <t>ukrainski</t>
  </si>
  <si>
    <t>судовий збір</t>
  </si>
  <si>
    <t>статистика</t>
  </si>
  <si>
    <t>державний нотаріус</t>
  </si>
  <si>
    <t>судовий перекладач</t>
  </si>
  <si>
    <t>послуги d-invoice d.o.o.</t>
  </si>
  <si>
    <t>статутний капітал</t>
  </si>
  <si>
    <t>комісія банку</t>
  </si>
  <si>
    <t>реєстрація фірми на нашу адресу /річна плата</t>
  </si>
  <si>
    <t>печатка</t>
  </si>
  <si>
    <t>Дані для створення фірми</t>
  </si>
  <si>
    <t>1.Посвідчення особи власника/ паспорт</t>
  </si>
  <si>
    <t>2.ОІВ власника /якщо не має, можемо допомогти)</t>
  </si>
  <si>
    <t>3.Адреса реєстрації</t>
  </si>
  <si>
    <t>4.Назва компанії</t>
  </si>
  <si>
    <t>5.Вид діяльності</t>
  </si>
  <si>
    <t>6.e-mail адреса фірми</t>
  </si>
  <si>
    <t>7.Номер телефону (хорватський)</t>
  </si>
  <si>
    <t>MJA MARITIMUS d.o.o.</t>
  </si>
  <si>
    <t>mjamare.info@gmail.com</t>
  </si>
  <si>
    <t>06002811</t>
  </si>
  <si>
    <t>77.21</t>
  </si>
  <si>
    <t>77.21 Iznajmljivanje i davanje u zakup (leasing) opreme za
rekreaciju i sport</t>
  </si>
  <si>
    <t>+36 30 690 2000</t>
  </si>
  <si>
    <t>+3620619-4226</t>
  </si>
  <si>
    <t>nagyadamvill@gmail.com</t>
  </si>
  <si>
    <t>5sedmina@gmail.com</t>
  </si>
  <si>
    <t>+385977899025</t>
  </si>
  <si>
    <t>info@wmd.hr, wmd@wmd.hr</t>
  </si>
  <si>
    <t>098/981 5033 ilija</t>
  </si>
  <si>
    <t>ANEX - OBRT ANA PREVIŠIĆ - F</t>
  </si>
  <si>
    <t>FRANŠIZA</t>
  </si>
  <si>
    <t>izvj_2</t>
  </si>
  <si>
    <t>plaće_3</t>
  </si>
  <si>
    <t>plaće_4</t>
  </si>
  <si>
    <t>pdv_4</t>
  </si>
  <si>
    <t>IZVJ4</t>
  </si>
  <si>
    <t>izvj42</t>
  </si>
  <si>
    <t>6mj</t>
  </si>
  <si>
    <t>IZVJ_6</t>
  </si>
  <si>
    <t>izvj_7</t>
  </si>
  <si>
    <t>9mj</t>
  </si>
  <si>
    <t>izvještaj_8</t>
  </si>
  <si>
    <t>izvj_9</t>
  </si>
  <si>
    <t>izvj_10</t>
  </si>
  <si>
    <t>izvj_11</t>
  </si>
  <si>
    <t>kelemen.h.peter@gmail.com</t>
  </si>
  <si>
    <t>+36703722250</t>
  </si>
  <si>
    <t>KA-RLO d.o.o.</t>
  </si>
  <si>
    <t>+385957266641</t>
  </si>
  <si>
    <t>Gergely d.o.o.</t>
  </si>
  <si>
    <t>Vižlin d.o.o.</t>
  </si>
  <si>
    <t>info@vizlin.hr</t>
  </si>
  <si>
    <t>+48509727127</t>
  </si>
  <si>
    <t>+491781482742</t>
  </si>
  <si>
    <t>CRUDA NAVITAS d.o.o.</t>
  </si>
  <si>
    <t>FREIGEIST d.o.o.</t>
  </si>
  <si>
    <t>Radzeer d.o.o.</t>
  </si>
  <si>
    <t>mmarkowski@fuelforce.p
info@crudanavitas.hr</t>
  </si>
  <si>
    <t>SANDRA</t>
  </si>
  <si>
    <t>LAURA /IVA INAN.</t>
  </si>
  <si>
    <t>KP/VESNA</t>
  </si>
  <si>
    <t>38 grad</t>
  </si>
  <si>
    <t xml:space="preserve">
ib@38grad.ch (Ivan Batinić)</t>
  </si>
  <si>
    <t>najam ureda 350/mj+pdv</t>
  </si>
  <si>
    <t>NEMES ATTILA / ZOLTAN PINETA</t>
  </si>
  <si>
    <t>HU</t>
  </si>
  <si>
    <t>03398803319</t>
  </si>
  <si>
    <t xml:space="preserve">mobilnost385@gmail.com, 
</t>
  </si>
  <si>
    <t>+36 30 977 2293</t>
  </si>
  <si>
    <t>Speed Box j.d.o.o.</t>
  </si>
  <si>
    <t xml:space="preserve">aleksa.juric1@gmail.com
</t>
  </si>
  <si>
    <t>+381601337031</t>
  </si>
  <si>
    <t>Tom Karoserije j.d.o.o</t>
  </si>
  <si>
    <t>tomkaroserije@gmail.com</t>
  </si>
  <si>
    <t>SILLER HANDELS GMBH</t>
  </si>
  <si>
    <t>+36709309549</t>
  </si>
  <si>
    <t>dg.elektro25@gmail.com</t>
  </si>
  <si>
    <t>sansamachinedoo@gmail.com</t>
  </si>
  <si>
    <t>almadianiko64@gmail.com</t>
  </si>
  <si>
    <t>vincze.janos3@gmail.com</t>
  </si>
  <si>
    <t>+36309773774</t>
  </si>
  <si>
    <t>40 SJEDIŠTE / MJ</t>
  </si>
  <si>
    <t>FRANCHISIA j.d.o.o.</t>
  </si>
  <si>
    <t>partner@franchisia.hr</t>
  </si>
  <si>
    <t>+385958235375</t>
  </si>
  <si>
    <t>Euro6 Truck d.o.o.</t>
  </si>
  <si>
    <t>+36307905966</t>
  </si>
  <si>
    <t>euro6truckdoo@gmail.com</t>
  </si>
  <si>
    <t>Creative Group d.o.o.</t>
  </si>
  <si>
    <t>50- JOPPD +2 EUR / DJELATNIKU</t>
  </si>
  <si>
    <t>PhasedConnect d.o.o.</t>
  </si>
  <si>
    <t>InvMDLD d.o.o.</t>
  </si>
  <si>
    <t xml:space="preserve"> +3620 267 3100</t>
  </si>
  <si>
    <t>BEYONDI d.o.o.</t>
  </si>
  <si>
    <t>office@beyondi.co</t>
  </si>
  <si>
    <t>LASZLO BERTOK</t>
  </si>
  <si>
    <t>bertok77@gmail.com</t>
  </si>
  <si>
    <t>cijena od 01.01.2026</t>
  </si>
  <si>
    <t>ANITA BERECZ-CZAP</t>
  </si>
  <si>
    <t>cannianni1 &lt;canita131313@gmail.com&gt;</t>
  </si>
  <si>
    <t>40 SJEDIŠTE / MJ - plaáa 1 godiőnje u 7.mj</t>
  </si>
  <si>
    <t>NE TREBA</t>
  </si>
  <si>
    <t>IMA</t>
  </si>
  <si>
    <t>NE ZNAM</t>
  </si>
  <si>
    <t>SAN</t>
  </si>
  <si>
    <t>NIK</t>
  </si>
  <si>
    <t>HU/HR</t>
  </si>
  <si>
    <t>PRIPREMLJEN</t>
  </si>
  <si>
    <t>PREDANO</t>
  </si>
  <si>
    <t>TREBA PODIĆI</t>
  </si>
  <si>
    <t>.</t>
  </si>
  <si>
    <t>popoviboris@gmail.com</t>
  </si>
  <si>
    <t>lajmirdoo@gmail.com</t>
  </si>
  <si>
    <t>istvan.pinter gmail &lt;istvan.pinter@gmail.com&gt;</t>
  </si>
  <si>
    <t>Rába Dominika &lt;dominika.raba@locomotivecee.hu&gt;
Barhács Zoltánné Joli barhacs.zoltanne@goldmann.co.hu
Sallai Barbara barbara.sallai@goldmann.co.hu
Gál Miklós &lt;miklos.gal@locomotivecee.hu&gt;</t>
  </si>
  <si>
    <t>treba e-mail</t>
  </si>
  <si>
    <t>aneks.obrt@gmail.com</t>
  </si>
  <si>
    <t>MARKO</t>
  </si>
  <si>
    <t>GABI</t>
  </si>
  <si>
    <t>da li završni 2025</t>
  </si>
  <si>
    <t>koszicsi2026@gmail.com</t>
  </si>
  <si>
    <t>00436605545524</t>
  </si>
  <si>
    <t>NTK</t>
  </si>
  <si>
    <t>LAU</t>
  </si>
  <si>
    <t>ZAV</t>
  </si>
  <si>
    <t>ANA_F</t>
  </si>
  <si>
    <t>SJE</t>
  </si>
  <si>
    <t>NIKA</t>
  </si>
  <si>
    <t>BRG</t>
  </si>
  <si>
    <t>LAU/IV</t>
  </si>
  <si>
    <t>MARKO_F</t>
  </si>
  <si>
    <t>MARKO@D-INVOICE.HR</t>
  </si>
  <si>
    <t>Tesla Energy Technologies j.d.o.o.</t>
  </si>
  <si>
    <t>+385 97 627 0691</t>
  </si>
  <si>
    <t>szatefbaukft@gmail.com</t>
  </si>
  <si>
    <t>ü+36208011951 robert szarazi</t>
  </si>
  <si>
    <t>suko.consulting@gmail.com</t>
  </si>
  <si>
    <t>+36703835552</t>
  </si>
  <si>
    <t>63583576617</t>
  </si>
  <si>
    <t>ivangrcic@gmail.com</t>
  </si>
  <si>
    <t>+385976006311</t>
  </si>
  <si>
    <t>fiproject.hr@gmail.com</t>
  </si>
  <si>
    <t>IVAN_F</t>
  </si>
  <si>
    <t>5% OD PROMETA</t>
  </si>
  <si>
    <t>69201</t>
  </si>
  <si>
    <t>4764, 47630</t>
  </si>
  <si>
    <t>5590,55900</t>
  </si>
  <si>
    <t>4719, 47120</t>
  </si>
  <si>
    <t>7721, 77219</t>
  </si>
  <si>
    <t>7729, 77220</t>
  </si>
  <si>
    <t>5510, 55100</t>
  </si>
  <si>
    <t>4666, 46500</t>
  </si>
  <si>
    <t>7734,77340</t>
  </si>
  <si>
    <t>5590, 55900</t>
  </si>
  <si>
    <t>4778, 47550</t>
  </si>
  <si>
    <t>4690, 46900</t>
  </si>
  <si>
    <t>1101, 11010</t>
  </si>
  <si>
    <t>7734, 77340</t>
  </si>
  <si>
    <t>3314,33140</t>
  </si>
  <si>
    <t>6820,68200</t>
  </si>
  <si>
    <t>6311,63100</t>
  </si>
  <si>
    <t>4690,46900</t>
  </si>
  <si>
    <t>4619, 46190</t>
  </si>
  <si>
    <t>7990,79900</t>
  </si>
  <si>
    <t>4120,41000</t>
  </si>
  <si>
    <t>5610, 56120</t>
  </si>
  <si>
    <t>3511,35120</t>
  </si>
  <si>
    <t>bm kt3</t>
  </si>
  <si>
    <t>os r10/spl</t>
  </si>
  <si>
    <t>CRYSTAL HOLIDAY RESIDENCE d.o.o.</t>
  </si>
  <si>
    <t>SU-KO CONSULTING d.o.o.</t>
  </si>
  <si>
    <t>SAILVOY d.o.o.</t>
  </si>
  <si>
    <t>YIL d.o.o.</t>
  </si>
  <si>
    <t>PAHACO j.d.o.o.</t>
  </si>
  <si>
    <t>DEEP CONSTRUCT j.d.o.o.</t>
  </si>
  <si>
    <t>KONTROLEX d.o.o.</t>
  </si>
  <si>
    <t>URAN APARTMENTS j.d.o.o.</t>
  </si>
  <si>
    <t>SUTRA-TECH d.o.o.</t>
  </si>
  <si>
    <t>SAILINFO d.o.o.</t>
  </si>
  <si>
    <t>EKO TRON j.d.o.o.</t>
  </si>
  <si>
    <t>HUNOS j.d.o.o.</t>
  </si>
  <si>
    <t>VR CONSULTING d.o.o. - po naplaćenoj</t>
  </si>
  <si>
    <t>NZG 2025 j.do.o.</t>
  </si>
  <si>
    <t>+36309152299</t>
  </si>
  <si>
    <t>ugovor2</t>
  </si>
  <si>
    <t>ponuda</t>
  </si>
  <si>
    <t>DALI ZAVRŠNI 2025</t>
  </si>
  <si>
    <t>SZATEFBAU Kft - podružnica</t>
  </si>
  <si>
    <t>dogovor za završni</t>
  </si>
  <si>
    <t xml:space="preserve">waxosijek@gmail.com    protects.life.doo@gmail.com </t>
  </si>
  <si>
    <t>info@gergely.hr</t>
  </si>
  <si>
    <t>info@milavila.net</t>
  </si>
  <si>
    <t>vital.group.osijek@gmail.com</t>
  </si>
  <si>
    <t>+36304440301</t>
  </si>
  <si>
    <t>+385989519230</t>
  </si>
  <si>
    <t>Sandra franšizer</t>
  </si>
  <si>
    <t>IVA franšizer</t>
  </si>
  <si>
    <t>VESNA franšizer</t>
  </si>
  <si>
    <t>+385985694588</t>
  </si>
  <si>
    <t>+385977099405</t>
  </si>
  <si>
    <t>+36309418470</t>
  </si>
  <si>
    <t>66% - od prometa</t>
  </si>
  <si>
    <t>55+pdv</t>
  </si>
  <si>
    <t>"385915776024</t>
  </si>
  <si>
    <t>Seyfore</t>
  </si>
  <si>
    <t>e-računi.com</t>
  </si>
  <si>
    <t>login / password</t>
  </si>
  <si>
    <t>SZABOVIKR@HOTMAIL.COM
Renata1978</t>
  </si>
  <si>
    <t>sandra@d-invoice.hr</t>
  </si>
  <si>
    <t>iva@d-invoice.hr</t>
  </si>
  <si>
    <t>vesna@d-invoice.hr</t>
  </si>
  <si>
    <t>damir@all4wine.hr</t>
  </si>
  <si>
    <t>GRATIS</t>
  </si>
  <si>
    <t>pavlenskiapartman@gmail.com / lozinka 141000</t>
  </si>
  <si>
    <t>protects.life.doo@gmail.com / Pl2116</t>
  </si>
  <si>
    <t>zokafr@gmail.com /Zf2025</t>
  </si>
  <si>
    <t>francosjdoo@gmail.com / Vf2025</t>
  </si>
  <si>
    <t>danijel.svelec@gmail.com /Ds2025</t>
  </si>
  <si>
    <t>allsweet.info@gmail.com  / Dr2025</t>
  </si>
  <si>
    <t>odlazi 31.12.12</t>
  </si>
  <si>
    <t>kontrolex100@gmail.com
drwaitztamas@gmail.com (kőnyvelő)</t>
  </si>
  <si>
    <t>urogi.zsolt@gmail.com    /Uz2025</t>
  </si>
  <si>
    <t>agnes@siller.gmbh   As2025</t>
  </si>
  <si>
    <t>norbert.nyolcas@terraclean.hu   / Nn2025</t>
  </si>
  <si>
    <t>boleizradakljuceva@gmail.com    /Bz2025</t>
  </si>
  <si>
    <t>sami</t>
  </si>
  <si>
    <t>nije aktivan</t>
  </si>
  <si>
    <t>Ivan</t>
  </si>
  <si>
    <t>Fina</t>
  </si>
  <si>
    <t>agroadria.international@gmail.com   /Ag2025</t>
  </si>
  <si>
    <t>merbanking</t>
  </si>
  <si>
    <t>andocsi.janos@gmail.com   / Aj2025</t>
  </si>
  <si>
    <t>+36 203345892 Jozsef Paha Pap Jozsef</t>
  </si>
  <si>
    <t>info.so.consulting@gmail.com   Oms2025</t>
  </si>
  <si>
    <t>haklar.laszlo@fensthermkontakt.hu     /Hl2025</t>
  </si>
  <si>
    <t>edit.jordanne@puchner.hu   /Ej2025</t>
  </si>
  <si>
    <t>balogh.levente@euronetrt.hu mailto:forrai.lajos@gmail.com] mailto:nexxpertisekft@gmail.com,  gyukesz15@gmail.com</t>
  </si>
  <si>
    <t>miklos.gal@locomotivecee.hu  /Mg2025</t>
  </si>
  <si>
    <t>balogh.levente@euronetrt.hu  /Bl2025</t>
  </si>
  <si>
    <t>nemet.adrienn@gmail.com  /3xBlaBla</t>
  </si>
  <si>
    <t>office@gbr.hr  Nikolina sladin</t>
  </si>
  <si>
    <t>+385958950445</t>
  </si>
  <si>
    <t>balatoni.attila.hu@gmail.com    /Minimax2026</t>
  </si>
  <si>
    <t xml:space="preserve">danijel.svelec@gmail.com </t>
  </si>
  <si>
    <t>FI project d.o.o.</t>
  </si>
  <si>
    <t>szemeredi@kenlube.hu   /abcdef</t>
  </si>
  <si>
    <t>Sen desing sro</t>
  </si>
  <si>
    <t>+36309408246</t>
  </si>
  <si>
    <t>MedicalScan doo</t>
  </si>
  <si>
    <t>fiproject.hr@gmail.com    /vokhuT-zomnad-nexfy4</t>
  </si>
  <si>
    <t>mlm.transport0707@gmail.com    /ML0707</t>
  </si>
  <si>
    <t>Želi</t>
  </si>
  <si>
    <t>7 gotovo</t>
  </si>
  <si>
    <t>6 porezna</t>
  </si>
  <si>
    <t>sukizsuzsa@gmail.com/ Zs2025</t>
  </si>
  <si>
    <t>vecsey.arpad@gmail.com/ Av2025</t>
  </si>
  <si>
    <t>akarmi1971@gmail.com/Him2025</t>
  </si>
  <si>
    <t>galistvan70@gmail.com/Ig2025</t>
  </si>
  <si>
    <t>1.e mail minimax</t>
  </si>
  <si>
    <t>dg.elektro25@gmail.com/ValentinaGrguric.09</t>
  </si>
  <si>
    <t>info@gumewebshop.hr/Gm2025</t>
  </si>
  <si>
    <t>marijanovic.slavica@gmail.com/Sm2025</t>
  </si>
  <si>
    <t>MIKROeRAČUN</t>
  </si>
  <si>
    <t>e-računi.com MIKROeRAČUN</t>
  </si>
  <si>
    <t>info@gmholding.hu/ Mg2025</t>
  </si>
  <si>
    <t>beachhomes.privlaka@gmail.com/ Jm2025</t>
  </si>
  <si>
    <t>csekotib@gmail.com/Tc2025</t>
  </si>
  <si>
    <t>gelencserati@gmail.com/Ag2025</t>
  </si>
  <si>
    <t>2023PINETA@GMAIL.COM/ Ke2025</t>
  </si>
  <si>
    <t>andor.farkas975@gmail.com/Ag2025</t>
  </si>
  <si>
    <t>zoli.lencses@gmail.com  /Zl2025</t>
  </si>
  <si>
    <t>peter.simon@simonwellness.hu /Ps2025</t>
  </si>
  <si>
    <t>DUNAASSISTBAU@GMAIL.COM / Bd2025</t>
  </si>
  <si>
    <t>fenyes1@icloud.com/Lf2025</t>
  </si>
  <si>
    <t>villa19tribunj@gmail.com/As2025</t>
  </si>
  <si>
    <t>LASZLO.TOTH.LT@T-ONLINE.HU/ Lt2025</t>
  </si>
  <si>
    <t>mark.szocsics@wb.co.hu/Ms2025</t>
  </si>
  <si>
    <t>almadianiko64@gmail.com/Aa2025</t>
  </si>
  <si>
    <t>rev.tkiraly@gmail.com/ Tk2025</t>
  </si>
  <si>
    <t>vincze.janos3@gmail.com/Jv2025</t>
  </si>
  <si>
    <t>sz.virag.aniko@gmail.com/As2025</t>
  </si>
  <si>
    <t>Toth.peter.vis@gmail.com/Pt2025</t>
  </si>
  <si>
    <t>janos.giber@gmail.com/Jg2025</t>
  </si>
  <si>
    <t>imgx246w@gmail.com/Ee2025</t>
  </si>
  <si>
    <t xml:space="preserve">ibolya.szaszko64@gmail.com
SZASZKO Ibolya, </t>
  </si>
  <si>
    <t>regina_wurst@yahoo.co.uk/Jk2025</t>
  </si>
  <si>
    <t>suko.consulting@gmail.com/Hb2025</t>
  </si>
  <si>
    <t>kruno.martinovic1979@gmail.com/Km2025</t>
  </si>
  <si>
    <t>f1-poslan je e-mail za - ex brj</t>
  </si>
  <si>
    <t>konyveles@cbelt.hu/ Sg2025</t>
  </si>
  <si>
    <t>PAHACO.KFT@GMAIL.COM/Jip2025</t>
  </si>
  <si>
    <t>kreativnikolektivi@gmail.com/ Av2025</t>
  </si>
  <si>
    <t>podigni mu cijenu</t>
  </si>
  <si>
    <t>licenca njegova</t>
  </si>
  <si>
    <t>preko d-incoicea</t>
  </si>
  <si>
    <t>husztik.andras@gmail.com /Ha2025</t>
  </si>
  <si>
    <t>5sedmina@gmail.com   /Dp2025</t>
  </si>
  <si>
    <t>attilarusko@gmail.com   /Ra2025</t>
  </si>
  <si>
    <t>canita131313@gmail.com    /Ab2025</t>
  </si>
  <si>
    <t>szatefbaukft@gmail.com  /Sb2025</t>
  </si>
  <si>
    <t>virennyaralok@gmail.com   /Lb2025</t>
  </si>
  <si>
    <t>somlai.adrienn@kissepgep.hu  /Ki2025</t>
  </si>
  <si>
    <t>mikro e račun</t>
  </si>
  <si>
    <t>celia.blasszauer@medicalscan.hu/Cb2025</t>
  </si>
  <si>
    <t>madar.peter2@gmail.com     / Pm2025</t>
  </si>
  <si>
    <t>info.zlatna@gmail.com   /Zs2025 za sad na D-invoice</t>
  </si>
  <si>
    <t>neosalon-novi link posla</t>
  </si>
  <si>
    <t>istvan.pinter@gmail.com/Ip2025 - prebačeno ali je ostao na Mikroe računu</t>
  </si>
  <si>
    <t>Mikroeračun- porezna</t>
  </si>
  <si>
    <t>e-računi</t>
  </si>
  <si>
    <t>8 preko nas</t>
  </si>
  <si>
    <t>mjamare.info@gmail.com  /Af2025</t>
  </si>
  <si>
    <t>36</t>
  </si>
  <si>
    <t>njegova licenca</t>
  </si>
  <si>
    <t>ibolya.szaszko64@gmail.com/Is2025</t>
  </si>
  <si>
    <t>esztergludovatz@gmail.com/Newspirit12</t>
  </si>
  <si>
    <t>szafakormend@gmail.com/Gs2025 / mikro eračun</t>
  </si>
  <si>
    <t>zsolt</t>
  </si>
  <si>
    <t>dobit11-15 te</t>
  </si>
  <si>
    <t>nije obv</t>
  </si>
  <si>
    <t>mer banking</t>
  </si>
  <si>
    <t>jules67@t-online.hu /Gs2025/ Uo8tQIQtUTu6Yxn</t>
  </si>
  <si>
    <t>LMLand d.o.o.</t>
  </si>
  <si>
    <t>zoltan@sportimadok.hu
Lakatos Orsolya office manager
mobil: +36 20 940 2750
H-1095 Budapest, Soroksári út 110-112. E ép. 1 em.</t>
  </si>
  <si>
    <t>dgc/k</t>
  </si>
  <si>
    <t>dgc/f</t>
  </si>
  <si>
    <t>dgc</t>
  </si>
  <si>
    <t>wine4all j.d.o.o.</t>
  </si>
  <si>
    <t>ANDREA SZETEY</t>
  </si>
  <si>
    <t>SZETEY.ANDI@GMAIL.COM</t>
  </si>
  <si>
    <t>SZETEY.ANDI@GMAIL.COM/As2025</t>
  </si>
  <si>
    <t xml:space="preserve">LAU </t>
  </si>
  <si>
    <t>50(+10%)+PDV</t>
  </si>
  <si>
    <t>240(+10%) eur/mj  (zlatna školjka+bb yacht)</t>
  </si>
  <si>
    <t>sjedište planirano iznos</t>
  </si>
  <si>
    <t>`- na računu zlatna školjka</t>
  </si>
  <si>
    <t>300(+10%)+PDV  mj</t>
  </si>
  <si>
    <t>15,00 eur /kp po JOPPD obrascu</t>
  </si>
  <si>
    <t>187,50 (+10%) +pdv mj treba novi ugovor</t>
  </si>
  <si>
    <t>stečaj</t>
  </si>
  <si>
    <t>?120+pdv / istek ugovora sa 31.12.2025</t>
  </si>
  <si>
    <t>80(+10%)+PDV, UGOVOR DO 31.1.2026</t>
  </si>
  <si>
    <t>30(+10%)/mj</t>
  </si>
  <si>
    <t>150(+10%)/mj</t>
  </si>
  <si>
    <t>115(+10%)+pdv/mj</t>
  </si>
  <si>
    <t>100(+10%)+pdv/mj</t>
  </si>
  <si>
    <t>80 (+10%)+PDV/mj</t>
  </si>
  <si>
    <t>75(+10%)+ licenca minimax 20 eur+pdv/mj</t>
  </si>
  <si>
    <t>100(+10%)+PDV /mj</t>
  </si>
  <si>
    <t>100(+10%)+pdv /mj</t>
  </si>
  <si>
    <t>82,5(+10%) eur/mj</t>
  </si>
  <si>
    <t>360(+10%)+PDV /mj</t>
  </si>
  <si>
    <t>500(+10%) eur /mj</t>
  </si>
  <si>
    <t>82,5(+10%) eur /mj</t>
  </si>
  <si>
    <t>412,5 (+10%)eur /mj</t>
  </si>
  <si>
    <t>451 (+10%)eur/mj</t>
  </si>
  <si>
    <t>80 (+10%)eur + pdv /mj</t>
  </si>
  <si>
    <t>150 (+10%)+PDV /mj</t>
  </si>
  <si>
    <t>50(+10%)+pdv /mj</t>
  </si>
  <si>
    <t>400(+10%)  /mj</t>
  </si>
  <si>
    <t>72,6 (+10%) /mj</t>
  </si>
  <si>
    <t>100 (+10%) +pdv /mj</t>
  </si>
  <si>
    <t>106,18(+10%) + pdv /mj</t>
  </si>
  <si>
    <t>100 (+10%)+PDV /mj</t>
  </si>
  <si>
    <t>50 (+10%)+pdv /mj</t>
  </si>
  <si>
    <t>100 (+10%) +pdv eur /mj</t>
  </si>
  <si>
    <t>1500 (+10%) + pdv  /mj</t>
  </si>
  <si>
    <t>100 (+10%)+pdv /mj</t>
  </si>
  <si>
    <t>100,00 (+10%) +pdv /mj</t>
  </si>
  <si>
    <t>132,72 (+10%) +pdv /mj</t>
  </si>
  <si>
    <t>150 (+10%) + pdv /mj</t>
  </si>
  <si>
    <t>140 (+10%) +pdv /mj</t>
  </si>
  <si>
    <t>106,18 (+10%)+pdv /mj</t>
  </si>
  <si>
    <t>100,00+PDV /mj odlazi obračun zadnji 31.01.</t>
  </si>
  <si>
    <t>60(+10%) po mjesecu  do 06.2026 ima besplatno.</t>
  </si>
  <si>
    <t>40(+10%)+pdv /mj</t>
  </si>
  <si>
    <t>70(+10%)+pdv /mj</t>
  </si>
  <si>
    <t>150(+10%)+pdv /mj</t>
  </si>
  <si>
    <t>SZELESZANNE VIRAG ANIKO</t>
  </si>
  <si>
    <t>190(+10%)+pdv /mj</t>
  </si>
  <si>
    <t>50(+10%)</t>
  </si>
  <si>
    <t>100(+10%) /mj</t>
  </si>
  <si>
    <t xml:space="preserve">Katodna zaštita GORAN PRODANOVIĆ </t>
  </si>
  <si>
    <t xml:space="preserve">Irén Maria Hagyó </t>
  </si>
  <si>
    <t>50(+10%) /mj</t>
  </si>
  <si>
    <t>Istvan Zoltan Gal</t>
  </si>
  <si>
    <t>JÁNOS KORAN</t>
  </si>
  <si>
    <t>Kelemen Peter obrt</t>
  </si>
  <si>
    <t>100(+10%)+PDV /mj  A ONDA KAD KRENU RADITI 450 +PDV</t>
  </si>
  <si>
    <t>50(+10 %)+ 30 SJEDIŠTE / MJ</t>
  </si>
  <si>
    <t>gartis</t>
  </si>
  <si>
    <t>gratis</t>
  </si>
  <si>
    <t>66% + promet / 100 eur</t>
  </si>
  <si>
    <t>140 PAUŠAL / BEZ POVEĆANJA</t>
  </si>
  <si>
    <t>115(+10%) EUR /mj</t>
  </si>
  <si>
    <t>150(+10%)+pdv - BEZ LICENCE ZA MINIMAX</t>
  </si>
  <si>
    <t>50(+10%)+pdv obustava u zimskim mjesecima, 12-50, 03-50, 06-50, 07-50, 08-50,09-50</t>
  </si>
  <si>
    <t>50(10%) +30 SJEDIŠTE +PDV/ mj</t>
  </si>
  <si>
    <t>50%  i - 7 promet</t>
  </si>
  <si>
    <t>100/mj+ (10%)</t>
  </si>
  <si>
    <t>50+(10%) pdv</t>
  </si>
  <si>
    <t>200 (10%)+PDV</t>
  </si>
  <si>
    <t>50(+ 10%)pdv</t>
  </si>
  <si>
    <t>100(+10%)+pdv  /mj</t>
  </si>
  <si>
    <t>30 SJEDIŠTE +pdv / MJ</t>
  </si>
  <si>
    <t>30 SJEDIŠTE +pdv/ MJ</t>
  </si>
  <si>
    <t>???200 (+10%)+PDV/mj</t>
  </si>
  <si>
    <t xml:space="preserve">65(+10%)+PDV/mj </t>
  </si>
  <si>
    <t>30 SJEDIŠTE+pdv / MJ</t>
  </si>
  <si>
    <t>89,63 eur (+10%) +pdv /mj</t>
  </si>
  <si>
    <t>??? havi 40 eur pitaj gabrijelu</t>
  </si>
  <si>
    <t xml:space="preserve">NAGY ZSUZSANNA JOZSEFNE SUKI </t>
  </si>
  <si>
    <t>???250 eur/mj od  ///6. mj 100/mj  (+10%) /mj</t>
  </si>
  <si>
    <t>30(+10 %) /mj</t>
  </si>
  <si>
    <t>104,50 (+10%) /mj</t>
  </si>
  <si>
    <t>VILLAPARK PRIVLAKA d.o.o.</t>
  </si>
  <si>
    <t>robert.verebi@vr-consulting.hr,melissa.horvat21@gmail.com</t>
  </si>
  <si>
    <t xml:space="preserve">Verebi Robert' &lt;robert.verebi@vr-consulting.hr&gt;, </t>
  </si>
  <si>
    <t>dengabi@gmail.com</t>
  </si>
  <si>
    <t>nikolina@d-invoice.hr</t>
  </si>
  <si>
    <t>brigita@d-invoice.hr</t>
  </si>
  <si>
    <t>marko@d-invoice.hr</t>
  </si>
  <si>
    <t>melissa.horvat21@gmail.com</t>
  </si>
  <si>
    <t>ivan.grcic@d-invoice.hr</t>
  </si>
  <si>
    <t>leixonic2025@gmail.com</t>
  </si>
  <si>
    <t>50(+10%)+PDV /mj   / knjižimo do 31.12.2025</t>
  </si>
  <si>
    <t>preko zlatne školjke</t>
  </si>
  <si>
    <t>NEMES.ATTILA@EURONETRT.HU   /An2025</t>
  </si>
  <si>
    <t>info@tradinghouse.hr/ Kh2025</t>
  </si>
  <si>
    <t>FASTO S.R.O</t>
  </si>
  <si>
    <t>4120, 41000</t>
  </si>
  <si>
    <t>100 eur / month</t>
  </si>
  <si>
    <t>izgradnja (zgrade)</t>
  </si>
  <si>
    <t>MJESTO</t>
  </si>
  <si>
    <t>ADRESA</t>
  </si>
  <si>
    <t>IME DIREKTORA</t>
  </si>
  <si>
    <t>OIB DIREKTORA</t>
  </si>
  <si>
    <t>CIJENA</t>
  </si>
  <si>
    <t>DATUM UGOVORA</t>
  </si>
  <si>
    <t>05012307694</t>
  </si>
  <si>
    <t>Zagreb</t>
  </si>
  <si>
    <t>Perucka 23</t>
  </si>
  <si>
    <t>Vit Jedlicka</t>
  </si>
  <si>
    <t>20.01.2026.</t>
  </si>
  <si>
    <t>MODRY SLON S.R.O</t>
  </si>
  <si>
    <t>38344692247</t>
  </si>
  <si>
    <t>b.tosenovska@modryslon.cz</t>
  </si>
  <si>
    <t>Marek Halfar</t>
  </si>
  <si>
    <t>Opava</t>
  </si>
  <si>
    <t>Válečkova 0990</t>
  </si>
  <si>
    <t>tradinghousedoo@protonmail.com</t>
  </si>
  <si>
    <t>kontrolex100@gmail.com   /Panamera4S</t>
  </si>
  <si>
    <t>konyveles@anlux.hu/Ja2025</t>
  </si>
  <si>
    <t>anncsa97@gmail.com</t>
  </si>
  <si>
    <t>62941733641</t>
  </si>
  <si>
    <t>+36 70 654 3009</t>
  </si>
  <si>
    <t>Hodmezovasarhely</t>
  </si>
  <si>
    <t>Szegfu u 4-6</t>
  </si>
  <si>
    <t>ANETT FANNI PARAGI</t>
  </si>
  <si>
    <t>OMS24 ZRT</t>
  </si>
  <si>
    <t>cseh.zsuzsanna@oms24.hu /Zc2025</t>
  </si>
  <si>
    <t>sunergosdoo@gmail.com</t>
  </si>
  <si>
    <t>darinka.iwarm@gmail.com  
i.warm.doo@gmail.com
Péli Attila &lt;attila.peli76@gmail.com&gt;</t>
  </si>
  <si>
    <t>150(+10%)+pdv /mj   .Pričat će sa njim 170€</t>
  </si>
  <si>
    <t>160(+10%)+pdv /mj    . Ostaviti 160€?</t>
  </si>
  <si>
    <t>???? Pričati sa Laurom U CIJENI FENESTELA /BERN BETON</t>
  </si>
  <si>
    <t>90(+10%)+pdv /mj    .100€</t>
  </si>
  <si>
    <t>100€+pdv /mj    (100(+10%) EUR / HÓ  . Novi ne treba dizati)</t>
  </si>
  <si>
    <t>92€ +pdv /mj    (92(+10%) eur / mj)</t>
  </si>
  <si>
    <t>120€+25 minimax+pdv   (120(+10%)+PDV+ 25 A MINIMAX n bi dizala malo posla)</t>
  </si>
  <si>
    <t xml:space="preserve">150€ kad je aktivan kad nije 100€ </t>
  </si>
  <si>
    <t>45€+pdv    (40(+10%)+pdv /mj)</t>
  </si>
  <si>
    <t>100(+10%)+PDV +30 eur sjedište  / račune svaka 3 mjeseca / - sjedište ide godišnje a računi za knj. 3mjesečno 
platio sve do 31.12.2025 sjedište a knj do 9. mjeseca</t>
  </si>
  <si>
    <t xml:space="preserve">??? Pričat će za više     40(+10%)+30 minimax+pdv . </t>
  </si>
  <si>
    <t>darinka.iwarm@gmail.com   /Ap2025</t>
  </si>
  <si>
    <t xml:space="preserve">??? 75(+10%)+pdv /3mjesečni     </t>
  </si>
  <si>
    <t xml:space="preserve">???2 puta godišnje 600€     (100(10%)+pdv) . </t>
  </si>
  <si>
    <t>+385976119661 
 laszlo vinklar +36 70 670 7701</t>
  </si>
  <si>
    <t>Milena Stanišić &lt;milenastanisic@gmail.com&gt;; 
anđela prnjak &lt;andjelaprnjak@gmail.com&gt;;
Maja Dragojevic Bacic &lt;maja.dragojevic@synergia-consulting.hr&gt;</t>
  </si>
  <si>
    <t>Vit Jedlicka &lt;vit.jedlicka@gmail.com&gt; 
Office@liberland.org, sedlakovagabina@gmail.com</t>
  </si>
  <si>
    <t>robert.verebi@vr-consulting.hr,
melissa.horvat21@gmail.com</t>
  </si>
  <si>
    <t>robertmuszka90@gmail.com, 
westlakeceegroup@gmail.com</t>
  </si>
  <si>
    <t>Verebi Robert' &lt;robert.verebi@vr-consulting.hr&gt;,
melissa.horvat21@gmail.com</t>
  </si>
  <si>
    <t>DKATUSIC13@GMAIL.COM; 
info@teslaenergytechnologies.com</t>
  </si>
  <si>
    <t>ArtShop TerraMare &lt;terramareartshop@gmail.com&gt;
 Tünde Ódor &lt;odor.tunde.eneh@gmail.com&gt;</t>
  </si>
  <si>
    <t>nandor.gidofalvi@terraclean.hu
 norbert.nyolcas@terraclean.hu
norbert.nyolcaskallai@gmail.com
norbert.nyolcas@terraclean.hu, 
nandor.gidofalvi@gmail.com</t>
  </si>
  <si>
    <t>csd@airon.hu 
urogi.zsolt@gmail.com,  
dt@airon.hu</t>
  </si>
  <si>
    <t>rev.tkiraly@gmail.com,
 vigyazo@yahoo.com</t>
  </si>
  <si>
    <t>Simon Péter &lt;peter.simon@simonwellness.hu&gt;
 Simon Péter &lt;peter.simon@simonszauna.hu&gt;</t>
  </si>
  <si>
    <t>sandorfirobert@gmail.com,
melissa.horvat21@gmail.com</t>
  </si>
  <si>
    <t>kusic.rebeka@gmail.com
morana@mdldinv.com</t>
  </si>
  <si>
    <t>info@nzg2025.hr, 
zoltangrizak21@gmail.com</t>
  </si>
  <si>
    <t>neoconsyachting@gmail.com, 
melissa.horvat21@gmail.com</t>
  </si>
  <si>
    <t>szafakormend@gmail.com, 
szabo.gabor@szafa.hu</t>
  </si>
  <si>
    <t>Slavica Marijanović &lt;marijanovic.
slavica@gmail.com&gt; &lt;marijanis.osijek@gmail.com&gt;</t>
  </si>
  <si>
    <t>kusic.rebeka@gmail.com 
morana@mdldinv.com</t>
  </si>
  <si>
    <t>istvan@sokorai.hu; 
istvan.sokorai@skr.hu</t>
  </si>
  <si>
    <t xml:space="preserve">svpetarolive@gmail.com
 haukizoltan@gmail.com
</t>
  </si>
  <si>
    <t>csekotib@gmail.com
 mahaker2022@gmail.com (TIBOR)</t>
  </si>
  <si>
    <t>ipernar@yahoo.com, 
pavlenskiapartman@gmail.com</t>
  </si>
  <si>
    <t xml:space="preserve">Dr. Kincses István Ügyvédi Iroda &lt;kincsesugyvediiroda@t-online.hu&gt; 
Furákné Szabovik Renata &lt;szabovikr@hotmail.com&gt;, </t>
  </si>
  <si>
    <t>nemet.adrienn@gmail.com/ 
ada@mbc-marine.com</t>
  </si>
  <si>
    <t xml:space="preserve">info@agronomist.bio, 
dkatusic13@gmail.com 
info@teslaenergytechnologies.hr </t>
  </si>
  <si>
    <t xml:space="preserve">marina@agropmd.hr 
bata.renata@batatrans.com </t>
  </si>
  <si>
    <t>095 374-1988,
 '+42 0608131130</t>
  </si>
  <si>
    <t>+36 70 638 4998</t>
  </si>
  <si>
    <t>+36309499917,
 +385994488031 ovo ne znam jel točno</t>
  </si>
  <si>
    <t>somogyvári szilárd +3670 4333 816, 
tamas waitz 70/339-5068</t>
  </si>
  <si>
    <t>+385 913059885 / 
099/377 4440</t>
  </si>
  <si>
    <t>Rácz László +36 30 988 6841 és 
Almádi Anikó + 36 30 525 0727</t>
  </si>
  <si>
    <t>MILLICH TAMAS, millicht@gmail.com,
melissa.horvat21@gmail.com</t>
  </si>
  <si>
    <t>+36/70-339-50-68 Zsolt Bujdosó &lt;bacskakozmu@gmail.com&gt;  
70/339-5068 tamas waitz</t>
  </si>
  <si>
    <t>+36704526860
Anita Rajčić kontakt  - ovaj mail 
i/ili 091/569-5955 i/ili  022/445-094
Forrai Lajos 06704526826</t>
  </si>
  <si>
    <t>digitalni potpisi i PUNOMOĆI</t>
  </si>
  <si>
    <t>dgc- kod nas u ladici</t>
  </si>
  <si>
    <t>digitalni certifikat</t>
  </si>
  <si>
    <t>dgc/k  -kod klijenta</t>
  </si>
  <si>
    <t>dgc/f  -u fini nije podigao</t>
  </si>
  <si>
    <t>ponomoć porezna</t>
  </si>
  <si>
    <t>KLAUDIJA</t>
  </si>
  <si>
    <t>KLA</t>
  </si>
  <si>
    <t>KLAUDIA@D-INVOICE.HR</t>
  </si>
  <si>
    <t xml:space="preserve">7 gotovo </t>
  </si>
  <si>
    <t>e računi</t>
  </si>
  <si>
    <t>TREBA želi / preko nas</t>
  </si>
  <si>
    <t>sandra</t>
  </si>
  <si>
    <t>fina</t>
  </si>
  <si>
    <t>IVAN</t>
  </si>
  <si>
    <t>treba dogovoriti uvjete</t>
  </si>
  <si>
    <t>treba knjiženje 2025</t>
  </si>
  <si>
    <t>2 poslan e-mail 02.01.2026/ 8. preko nas</t>
  </si>
  <si>
    <t>2 email 24.12.2025 / 8 preko nas</t>
  </si>
  <si>
    <t xml:space="preserve">2. čekam email potvrdu 22.12.2025 / 8 preko nas / poslano ponovo 20.1.2025 </t>
  </si>
  <si>
    <t>7 gotovo /kućni broj</t>
  </si>
  <si>
    <t xml:space="preserve"> NJEGOVA LICENCA</t>
  </si>
  <si>
    <t>sjedište</t>
  </si>
  <si>
    <t>500+minimax+PDV/GODIŠNJE - javit će se za godišnji 4 mj.</t>
  </si>
  <si>
    <t>50,00(+10%)+minimax+pdv /mj</t>
  </si>
  <si>
    <t>2026  zatvara 31.12 ili prodaje/ 8 preko nas</t>
  </si>
  <si>
    <t>udruga</t>
  </si>
  <si>
    <t>nisu aktivni</t>
  </si>
  <si>
    <t>u 7 mj 220€ za knjigovodstvo+minimax 120€ - CIJELA GODINA</t>
  </si>
  <si>
    <t>50(+10%)+minimax+pdv /mj</t>
  </si>
  <si>
    <t>40(+10%)+minimax+pdv /mj</t>
  </si>
  <si>
    <t>50(+10%)+minimax+PDV / mj</t>
  </si>
  <si>
    <t>???70(+10%)+minimax+pdv /3mj</t>
  </si>
  <si>
    <t>115(+10%)+minimax+PDV</t>
  </si>
  <si>
    <t>???300€+minimax 120€ / GODINA-  2025. godina 50 plattila u 1 mj. 250 u 7mj</t>
  </si>
  <si>
    <t>F. ANA P.</t>
  </si>
  <si>
    <t>F. MARKO</t>
  </si>
  <si>
    <t>F. IVAN</t>
  </si>
  <si>
    <t>30EUR/ MJ + SAOP MINIMAX (ugovor se raskida uskoro)</t>
  </si>
  <si>
    <t>deepconstruct24@gmail.com /Rs2025 Romana Soki</t>
  </si>
  <si>
    <t>info@nzg2025.hr  /Zg2025 Zóltan Grizák</t>
  </si>
  <si>
    <t>robertmuszka90@gmail.com /Rm2025 RÓBERT MUSZKA</t>
  </si>
  <si>
    <t>novilamarket@gmail.com /Lv2025 Laszlo Vinklar</t>
  </si>
  <si>
    <t>baumhakl@gmail.com  /Kb2025 Baumhakl Kornél</t>
  </si>
  <si>
    <t>bestlogisticsdoo@gmail.com /Os2025 
OLEKSANDR SILADI</t>
  </si>
  <si>
    <t>bestlogisticsdoo@gmail.com OLEKSANDR SILADI</t>
  </si>
  <si>
    <t>2. mail čekamo klijenta da potvrdi, datum slanja linka</t>
  </si>
  <si>
    <t>deepconstruct24@gmail.com</t>
  </si>
  <si>
    <t>agnes: +436644330551, +36302492576
Laszlo: +36205246321</t>
  </si>
  <si>
    <t>+36309483360</t>
  </si>
  <si>
    <t>+36207782001</t>
  </si>
  <si>
    <t xml:space="preserve"> +36 30 5200 980</t>
  </si>
  <si>
    <t>+36309947636 VIBER</t>
  </si>
  <si>
    <t>+36706031889 Zsuzsi</t>
  </si>
  <si>
    <t>+36203961347- Sándor Majlath
+36 30 396 4262 - novi direktor</t>
  </si>
  <si>
    <t>vtinvest2025@gmail.com
buday.santha@gmail.com ZSOMBOR</t>
  </si>
  <si>
    <t>vtinvest2025@gmail.com /Sm2025</t>
  </si>
  <si>
    <t xml:space="preserve">30(+10%)/eur + MINIMAX mj - </t>
  </si>
  <si>
    <t>500(+10%)+minimax eur / godišnje obračun svaka 3 mj 550+120=670/4</t>
  </si>
  <si>
    <t>40€(+10%)+minimax+pdv/ mj- promijenili</t>
  </si>
  <si>
    <t>177(+10%)  -</t>
  </si>
  <si>
    <t>szeleszsuzsanna@EU-SOLAR.HU /Zs2025</t>
  </si>
  <si>
    <t>SZILIKAZSOLT@EU-SOLAR.HU,
 szeleszsuzsanna@eu-solar.hu, 
szeles.zsuzsanna81@gmail.com</t>
  </si>
  <si>
    <t>4 minimax čekamo</t>
  </si>
  <si>
    <t>5 minimax prebacio</t>
  </si>
  <si>
    <t xml:space="preserve">100(+10%)+pdv /mj </t>
  </si>
  <si>
    <t>50+PDV/MJ + 25 + PDV/za mjesece kad ima fiskalizaciju</t>
  </si>
  <si>
    <t>???800(+10%)+pdv /jednom god prodaje se pričat će sa njima Gabi</t>
  </si>
  <si>
    <t>2. poslan email 22.1.2026</t>
  </si>
  <si>
    <t>SZABÓ SAILING d.o.o.o.</t>
  </si>
  <si>
    <t>Beli Manastir</t>
  </si>
  <si>
    <t>ne znamo još</t>
  </si>
  <si>
    <t xml:space="preserve"> invoice@wb.co.hu)
Szocsics V. Márk &lt;mark.szocsics@wb.co.hu&gt;
zoltan.gyorky@wb.co.hu</t>
  </si>
  <si>
    <t xml:space="preserve">50(+10%)+pdv </t>
  </si>
  <si>
    <t>jednokratno godiőnje po dogovoru.. 600 eura godišnje-50 eura po mj</t>
  </si>
  <si>
    <t>NIJE PLATIO</t>
  </si>
  <si>
    <t>I13.01.2026</t>
  </si>
  <si>
    <t xml:space="preserve"> 02 MJESECA</t>
  </si>
  <si>
    <t xml:space="preserve">PO-SD, </t>
  </si>
  <si>
    <t>RADI BIVŠI KNJ</t>
  </si>
  <si>
    <t>F-DA</t>
  </si>
  <si>
    <t>pd-da</t>
  </si>
  <si>
    <t>3 klijent kliknuo mail</t>
  </si>
  <si>
    <t>6. porezna</t>
  </si>
  <si>
    <t>laura.magdic4@gmail.com</t>
  </si>
  <si>
    <t>+385 91 9335 401</t>
  </si>
  <si>
    <t>OPG Laura Magdić</t>
  </si>
  <si>
    <t>96089562406</t>
  </si>
  <si>
    <t>Osijek</t>
  </si>
  <si>
    <t>Vukovarska cesta 6</t>
  </si>
  <si>
    <t>01.02.2026</t>
  </si>
  <si>
    <t>Laura Magdić</t>
  </si>
  <si>
    <t>100 eur/ mj+PDV</t>
  </si>
  <si>
    <t>prim.roland.sec@gmail.com</t>
  </si>
  <si>
    <t>+36309783542</t>
  </si>
  <si>
    <t>Ribarska 10</t>
  </si>
  <si>
    <t>Roland Prim</t>
  </si>
  <si>
    <t>dgc/g</t>
  </si>
  <si>
    <t>Digital certifat poslovni certifikati.</t>
  </si>
  <si>
    <t>dgc/g kod Gabrijele</t>
  </si>
  <si>
    <t>dgc/m</t>
  </si>
  <si>
    <t>dgc/m -kod Marka</t>
  </si>
  <si>
    <t>BELLISSIMA j.d.o.o.</t>
  </si>
  <si>
    <t>ADRIA -FENCING j.d.o.o.</t>
  </si>
  <si>
    <t>AGRONOMIST d.o.o.</t>
  </si>
  <si>
    <t>BAR KOD SUSTAVI d.o.o.</t>
  </si>
  <si>
    <t>BB OIL d.o.o.</t>
  </si>
  <si>
    <t>CRO ENERGIJA d.o.o.</t>
  </si>
  <si>
    <t>DEICO franšizer IVAN</t>
  </si>
  <si>
    <t>DG-ELEKTRO j.d.o.o.</t>
  </si>
  <si>
    <t>D-INVOICE d.o.o.</t>
  </si>
  <si>
    <t>DOMOKOS j.d.o.o.</t>
  </si>
  <si>
    <t>Grentek bio refinery d.o.o.</t>
  </si>
  <si>
    <t>GUGA NATURA j.d.o.o</t>
  </si>
  <si>
    <t>GUMENET d.o.o.</t>
  </si>
  <si>
    <t>I-WARM d.o.o.</t>
  </si>
  <si>
    <t>KERAMIKA ZOKA j.d.o.o.</t>
  </si>
  <si>
    <t>Koszicsi j.d.o.o.</t>
  </si>
  <si>
    <t>LAJMIR j.d.o.o.</t>
  </si>
  <si>
    <t>LOGO CENTAR PETRA MIKUŠ d.o.o.</t>
  </si>
  <si>
    <t>M_CONSULTING d.o.o. frašizer</t>
  </si>
  <si>
    <t>MARIJANIS j.d.o.o.</t>
  </si>
  <si>
    <t>Martinović destilery j.d.o.o</t>
  </si>
  <si>
    <t>MILA YACHTING d.o.o.</t>
  </si>
  <si>
    <t>MLM Transport d.o.o.</t>
  </si>
  <si>
    <t>Neocons yachting d.o.o.</t>
  </si>
  <si>
    <t>N.E.S.T.  d.o.o.</t>
  </si>
  <si>
    <t>PINETA d.o.o.</t>
  </si>
  <si>
    <t>PopBor j.d.o.o.</t>
  </si>
  <si>
    <t>PRIKOLICE CO. j.d.o.o.</t>
  </si>
  <si>
    <t>MEDEM/ Promotop d.o.o.</t>
  </si>
  <si>
    <t>PROTECTS LIFE/WAX d.o.o.</t>
  </si>
  <si>
    <t>ProVir Apartments d.o.o.</t>
  </si>
  <si>
    <t>RACZ YACHTING d.o.o.</t>
  </si>
  <si>
    <t>Ready or Not d.o.o.</t>
  </si>
  <si>
    <t>RUSKO INVEST d.o.o.</t>
  </si>
  <si>
    <t>17653370550</t>
  </si>
  <si>
    <t>SAGITTA CONSULTING d.o.o.</t>
  </si>
  <si>
    <t>Sporteex Marketing KFT</t>
  </si>
  <si>
    <t>Sweet and Beauty j.d.o.o.</t>
  </si>
  <si>
    <t>Šibenik Shine d.o.o.</t>
  </si>
  <si>
    <t>TERRACLEAN GROUP KFT</t>
  </si>
  <si>
    <t>Trading house d.o.o.</t>
  </si>
  <si>
    <t>VOGEL PROJEKT d.o.o.</t>
  </si>
  <si>
    <t>VT - INVEST d.o.o.</t>
  </si>
  <si>
    <t>WMD d.o.o.</t>
  </si>
  <si>
    <t>78914413816</t>
  </si>
  <si>
    <t>ZLATNA ŠKOLJKA d.o.o.</t>
  </si>
  <si>
    <t>REVERTOR RESORT j.d.o.o.</t>
  </si>
  <si>
    <t>RAU GROUP d.o.o.</t>
  </si>
  <si>
    <t>HOME PLUS d.o.o.</t>
  </si>
  <si>
    <t>Freedom Square d.o.o.</t>
  </si>
  <si>
    <t>BetonOS vl. RUDOLF GERGELJ</t>
  </si>
  <si>
    <t>5SEDMINA j.d.o.o.</t>
  </si>
  <si>
    <t>ACTIVE SUMMER j.d.o.o.</t>
  </si>
  <si>
    <t>7. gotovo</t>
  </si>
  <si>
    <t>7.gotovo</t>
  </si>
  <si>
    <t>+36309288690 ,
+36304679424
k0nyvel0: +36304319122  Icu Morocsne</t>
  </si>
  <si>
    <t>sunergosdoo@gmail.com /Dh2025</t>
  </si>
  <si>
    <t>mikroeračun</t>
  </si>
  <si>
    <t>+385992144773</t>
  </si>
  <si>
    <t>+420608131130</t>
  </si>
  <si>
    <t>+36 20 9333350, 391/608-6733
bivši knjigovođa e-konto lea vuković 0921991451</t>
  </si>
  <si>
    <t>+385992136312  +385993815212
+36 8576430</t>
  </si>
  <si>
    <t>PO RADNJI</t>
  </si>
  <si>
    <t>laura.magdic4@gmail.com /Lm2025</t>
  </si>
  <si>
    <t>+36 306858480</t>
  </si>
  <si>
    <t>+385917520021</t>
  </si>
  <si>
    <t>+385914422025</t>
  </si>
  <si>
    <t>+385994009929</t>
  </si>
  <si>
    <t>+36303060521</t>
  </si>
  <si>
    <t>+36203236796</t>
  </si>
  <si>
    <t>+36307739678</t>
  </si>
  <si>
    <t>+38598524226</t>
  </si>
  <si>
    <t>+385998313959, marija baković</t>
  </si>
  <si>
    <t>55158133969</t>
  </si>
  <si>
    <t>+36302860912</t>
  </si>
  <si>
    <t>+36302310985</t>
  </si>
  <si>
    <t>+36703188011</t>
  </si>
  <si>
    <t xml:space="preserve">+381611666000 DANIEL SEKE KOVAČ </t>
  </si>
  <si>
    <t>+385994301710</t>
  </si>
  <si>
    <t>+36304814901 MARTIN GRECZI</t>
  </si>
  <si>
    <t>+36 30 946 4423</t>
  </si>
  <si>
    <t>+385911554083</t>
  </si>
  <si>
    <t>+36703351116</t>
  </si>
  <si>
    <t>+36 20 322 0031</t>
  </si>
  <si>
    <t>+385997755444</t>
  </si>
  <si>
    <t>+36 20 222 33 88</t>
  </si>
  <si>
    <t>+36706333016</t>
  </si>
  <si>
    <t>+36706061827</t>
  </si>
  <si>
    <t>+19736537052</t>
  </si>
  <si>
    <t>+385955947759</t>
  </si>
  <si>
    <t>+385916114206</t>
  </si>
  <si>
    <t>+36302891845</t>
  </si>
  <si>
    <t>+36205299734</t>
  </si>
  <si>
    <t>+36703285333</t>
  </si>
  <si>
    <t>+36303518181</t>
  </si>
  <si>
    <t>+385 91 2 4444 93</t>
  </si>
  <si>
    <t>+385995895238</t>
  </si>
  <si>
    <t>+36 30 3378586</t>
  </si>
  <si>
    <t>+385917368977 baka bela</t>
  </si>
  <si>
    <t>+385 95 800 8000</t>
  </si>
  <si>
    <t>+385919282378</t>
  </si>
  <si>
    <t>+385992201549</t>
  </si>
  <si>
    <t>+385953995540</t>
  </si>
  <si>
    <t>385913332037</t>
  </si>
  <si>
    <t>+385976270691</t>
  </si>
  <si>
    <t>+36302263662</t>
  </si>
  <si>
    <t>+36307321421</t>
  </si>
  <si>
    <t>+36307374383</t>
  </si>
  <si>
    <t>+385981900735</t>
  </si>
  <si>
    <t>+36703335533</t>
  </si>
  <si>
    <t>+385917633591</t>
  </si>
  <si>
    <t>+385915667554</t>
  </si>
  <si>
    <t>+38598/134-9039 Tatjana</t>
  </si>
  <si>
    <t>+385952001522</t>
  </si>
  <si>
    <t>+36308414418</t>
  </si>
  <si>
    <t>+36209542095</t>
  </si>
  <si>
    <t>+385911570611</t>
  </si>
  <si>
    <t>+36306528446</t>
  </si>
  <si>
    <t>+3670/609-24-96, ATTILA ROPSA</t>
  </si>
  <si>
    <t>+385919588293</t>
  </si>
  <si>
    <t>+36203365181</t>
  </si>
  <si>
    <t>+36309937055</t>
  </si>
  <si>
    <t>+385913597309 
+385981671626</t>
  </si>
  <si>
    <t>+36204568258</t>
  </si>
  <si>
    <t>+38531385101</t>
  </si>
  <si>
    <t>+421907307436</t>
  </si>
  <si>
    <t>+36302056362</t>
  </si>
  <si>
    <t xml:space="preserve">+42 190 736 6146 </t>
  </si>
  <si>
    <t>+385994777722</t>
  </si>
  <si>
    <t>+385989081950</t>
  </si>
  <si>
    <t>Akos: +36305079246</t>
  </si>
  <si>
    <t>6 POREZNA</t>
  </si>
  <si>
    <t>54482863185</t>
  </si>
  <si>
    <t>115(+10%)+pdv /mj</t>
  </si>
  <si>
    <t>bm KT3</t>
  </si>
  <si>
    <t>2024-2025 2024-200- KAD ZAVRŠIM GODINU IZDAM RAČUN</t>
  </si>
  <si>
    <t>+36 30 9369688 - SZABO ZOLTAN</t>
  </si>
  <si>
    <t>7.porezna</t>
  </si>
  <si>
    <t>Taki Home d.o.o.</t>
  </si>
  <si>
    <t>+36 609490038- judit meszaros</t>
  </si>
  <si>
    <t>+385 91 5571188</t>
  </si>
  <si>
    <t>+36 70 317 6996</t>
  </si>
  <si>
    <t>850+PDV ZA 3 PODUZEÁA</t>
  </si>
  <si>
    <t>55+MINIMAX</t>
  </si>
  <si>
    <t>OS R10</t>
  </si>
  <si>
    <t>KP/MARKO</t>
  </si>
  <si>
    <t>SLO</t>
  </si>
  <si>
    <t>ITA/HR</t>
  </si>
  <si>
    <t>gunzer@gunzer.com  /Zoli1969</t>
  </si>
  <si>
    <t>marina@agropmd.hr  /osijek2020</t>
  </si>
  <si>
    <t>nije predan niti 12 mj</t>
  </si>
  <si>
    <t>Formula bázis KFT -podružnica Laslovo</t>
  </si>
  <si>
    <t>formulabazis2014@gmail.com</t>
  </si>
  <si>
    <t>Sandor Jozsef Balovics / 00-36-30-528-4767</t>
  </si>
  <si>
    <t xml:space="preserve">150/MJ </t>
  </si>
  <si>
    <t>BM KT3</t>
  </si>
  <si>
    <t>ne predajemo dok ne plati</t>
  </si>
  <si>
    <t>POSLAN E-MAIL/NEŐTO KOD PREDAJE PDV-A NE ŐTIMA</t>
  </si>
  <si>
    <t>poslana molba za dokumentima</t>
  </si>
  <si>
    <t>poslan a obavijest za dokuemnte</t>
  </si>
  <si>
    <t>DOH - TZ- 1</t>
  </si>
  <si>
    <t>szabosailingteam@gmail.com</t>
  </si>
  <si>
    <t>szabosailingteam@gmail.com   Zs2025</t>
  </si>
  <si>
    <t>no</t>
  </si>
  <si>
    <t>15728896207</t>
  </si>
  <si>
    <t>96318811060</t>
  </si>
  <si>
    <t>1970742643</t>
  </si>
  <si>
    <t>18900328337</t>
  </si>
  <si>
    <t>92691248934</t>
  </si>
  <si>
    <t>97057049112</t>
  </si>
  <si>
    <t>7942284015</t>
  </si>
  <si>
    <t>51917163602</t>
  </si>
  <si>
    <t>25569097825</t>
  </si>
  <si>
    <t>89295456800</t>
  </si>
  <si>
    <t>67091284267</t>
  </si>
  <si>
    <t>85140091316</t>
  </si>
  <si>
    <t>78981962680</t>
  </si>
  <si>
    <t>15655737458</t>
  </si>
  <si>
    <t>95815959734</t>
  </si>
  <si>
    <t>24420062451</t>
  </si>
  <si>
    <t>72704058364</t>
  </si>
  <si>
    <t>64537186481</t>
  </si>
  <si>
    <t>8883590468</t>
  </si>
  <si>
    <t>36404257254</t>
  </si>
  <si>
    <t>59307521494</t>
  </si>
  <si>
    <t>93210368701</t>
  </si>
  <si>
    <t>47672288252</t>
  </si>
  <si>
    <t>04132576201</t>
  </si>
  <si>
    <t>comvinagro@gmail.com</t>
  </si>
  <si>
    <t>TZ-2</t>
  </si>
  <si>
    <t>pripremljne</t>
  </si>
  <si>
    <t>sansamachinedoo@gmail.com   /Emperor60</t>
  </si>
  <si>
    <t>+ 36 20 244 0064   Istvan</t>
  </si>
  <si>
    <t>03605231933</t>
  </si>
  <si>
    <t>00837299171</t>
  </si>
  <si>
    <t>57545933936</t>
  </si>
  <si>
    <t>72035631818</t>
  </si>
  <si>
    <t>22570463417</t>
  </si>
  <si>
    <t>094/9976639</t>
  </si>
  <si>
    <t>72595059965</t>
  </si>
  <si>
    <t>formulabazis2014@gmail.com/Sj2025</t>
  </si>
  <si>
    <t>TZ2</t>
  </si>
  <si>
    <t>TZ2 - OTVORITI NOVU GODINU</t>
  </si>
  <si>
    <t>TZ 2</t>
  </si>
  <si>
    <t xml:space="preserve">TZ 2 </t>
  </si>
  <si>
    <t>THE PHARM FARM VL LILIYA KOS OPG</t>
  </si>
  <si>
    <t>05256781218</t>
  </si>
  <si>
    <t>LILJAKA75@GMAIL.COM</t>
  </si>
  <si>
    <t>097 6310883</t>
  </si>
  <si>
    <t>01130, 01630</t>
  </si>
  <si>
    <t>uzgoj bilja</t>
  </si>
  <si>
    <t>ništa dok ne plati</t>
  </si>
  <si>
    <t>6. porezna gabi</t>
  </si>
  <si>
    <t>6 porezna - gabi</t>
  </si>
  <si>
    <t>+36 70 309 0023</t>
  </si>
  <si>
    <t>Börcsök Imre &lt;dr.borcsok.imre@gmail.com / adriafencing@gmail.com</t>
  </si>
  <si>
    <t>dgc/n</t>
  </si>
  <si>
    <t>dgc/n - postoji stari ali čekamo podatke za novog direktora</t>
  </si>
  <si>
    <t>dgc/p plaćeno ali čekamo novog direktora</t>
  </si>
  <si>
    <t>36703883070   +36 70 606 6247</t>
  </si>
  <si>
    <t>Fair Distributions d.o.o</t>
  </si>
  <si>
    <t>Laura Gergelj</t>
  </si>
  <si>
    <t>Sobieskeho 609/5</t>
  </si>
  <si>
    <t>52211435341</t>
  </si>
  <si>
    <t>VIKTOR BENCZE</t>
  </si>
  <si>
    <t>info@fairdistributions.com
bigleslie@protonmail.com</t>
  </si>
  <si>
    <t>+36307082618 Nagy László</t>
  </si>
  <si>
    <t>baumhakl@gmail.com 
Baumhakl Kornel</t>
  </si>
  <si>
    <t>57662004381</t>
  </si>
  <si>
    <t>szemeredi@kenlube.hu   akos.szemeredi@gmail.com</t>
  </si>
  <si>
    <t>zoltan.voros@femzol.sk Zoltán Vöros</t>
  </si>
  <si>
    <t>Zoltán Vörös</t>
  </si>
  <si>
    <t>+36302880521 Bakos Levente  "+36305782275 csaba bákos "</t>
  </si>
  <si>
    <t>Erdey Enikö Elemerivna</t>
  </si>
  <si>
    <t>Levente Bakos</t>
  </si>
  <si>
    <t>EGTS Europsak Grupacija PANONIJA</t>
  </si>
  <si>
    <t>ne izdajemo račun, U računato u Sagita konsalting 30(+10%)+pdv /mj</t>
  </si>
  <si>
    <t>DOH I TZ -1 -25.02.2025</t>
  </si>
  <si>
    <t>DOH - TZ- 1/ čekamo izvode 11.11.2025</t>
  </si>
  <si>
    <t>po_sd</t>
  </si>
  <si>
    <t>NPFR1 - PREDAN 25.02.2026</t>
  </si>
  <si>
    <t>PO-SD</t>
  </si>
  <si>
    <t>POLUGODIŠNJI- ZATRAŽENI - 28.02.2026 predan</t>
  </si>
  <si>
    <t>PO-SD, tz1</t>
  </si>
  <si>
    <t>POLUGODIŠNJI-25.02.2026</t>
  </si>
  <si>
    <t>nije poslala podatke</t>
  </si>
  <si>
    <t>JEDNOM GODIŠNJE PRED ZAVRŠNI - PLAĆA LILJA KOS</t>
  </si>
  <si>
    <t>DOH I DI PREDANO 28.02.2026</t>
  </si>
  <si>
    <t>Unita voltage szolgáltató KFT</t>
  </si>
  <si>
    <t>Rakozi utca 142</t>
  </si>
  <si>
    <t>9900 Körmend</t>
  </si>
  <si>
    <t>Zoltán Cebe</t>
  </si>
  <si>
    <t>zoltan.cebe@unitaltd.com</t>
  </si>
  <si>
    <t>+36 20 367 92 01 </t>
  </si>
  <si>
    <t>???</t>
  </si>
  <si>
    <t>bm r2</t>
  </si>
  <si>
    <t>gotov</t>
  </si>
  <si>
    <t>čekamo 4 mj</t>
  </si>
  <si>
    <t>?</t>
  </si>
  <si>
    <t>gotovo</t>
  </si>
  <si>
    <t>50(+10%)+minimax+PDV  GODIŠNJE 6 MJ./ nema ništa do daljnjega</t>
  </si>
  <si>
    <t>batkft@gmail.com    Prvomajska9</t>
  </si>
  <si>
    <t>14376611474</t>
  </si>
  <si>
    <t>+36707720080, +36706103068</t>
  </si>
  <si>
    <t>+36209182058 dt,
 +971585213808</t>
  </si>
  <si>
    <t xml:space="preserve">Némethy Péter &lt;nemethy.peter@lmland.hu&gt;
</t>
  </si>
  <si>
    <t>Oliver telefonszámai: +36704543548
+385 91 6385 808  +36 20 937 0660</t>
  </si>
  <si>
    <t>Almádi Yadht Club Kft plaća Cassiopea</t>
  </si>
  <si>
    <t>100€/mj+PDV račun od Cassiopea usluga savjetovanja</t>
  </si>
  <si>
    <t>Gergelj Laura</t>
  </si>
  <si>
    <t>209+pdv /mj</t>
  </si>
  <si>
    <t>+36204822008</t>
  </si>
  <si>
    <t>traviczky@gmail.com</t>
  </si>
  <si>
    <t>Cellmaxphone KFT</t>
  </si>
  <si>
    <t>tomalikjo@gmail.com</t>
  </si>
  <si>
    <t>Toma-Home Szolgáltató KFT</t>
  </si>
  <si>
    <t>Őcsény</t>
  </si>
  <si>
    <t>Fő utca 9.</t>
  </si>
  <si>
    <t>Tomalik Gábor</t>
  </si>
  <si>
    <t>+36203530470</t>
  </si>
  <si>
    <t>PD i GFI</t>
  </si>
  <si>
    <t>edvi.kinga@point-s.hu
info@gumewebshop.hr</t>
  </si>
  <si>
    <t>koszicsi2026@gmail.com  / Kc2025</t>
  </si>
  <si>
    <t>+36703383480</t>
  </si>
  <si>
    <t>info@radzeer.hr</t>
  </si>
  <si>
    <t xml:space="preserve">annamaria.karsai.abel@medicalscan.hu, orsolya.toth@medicalscan.hu, celia.blasszauer@medicalscan.hu, </t>
  </si>
  <si>
    <t>330+minimax +120 - jednom godišnje (februar)</t>
  </si>
  <si>
    <t xml:space="preserve"> +38598831468</t>
  </si>
  <si>
    <t>?? Ugovor 120€/mj</t>
  </si>
  <si>
    <t>BG7 Inžinjering d.o.o.</t>
  </si>
  <si>
    <t>gabor@bg7.hu</t>
  </si>
  <si>
    <t>????</t>
  </si>
  <si>
    <t>Gábor Bocz</t>
  </si>
  <si>
    <t>pd-predan
fina - nije ali mislim da ne treba?? - treba vidjeti kako</t>
  </si>
  <si>
    <t>11.04.2026 - predano sve</t>
  </si>
  <si>
    <t>24.03.2026 - predano</t>
  </si>
  <si>
    <t>08.04.2026 -  predana fina</t>
  </si>
  <si>
    <t>TZ2 -</t>
  </si>
  <si>
    <t>tz</t>
  </si>
  <si>
    <t>DOH - TZ- 1 - nije predano/ katarina űivkoviá - pdv-i ???? 031 223-764</t>
  </si>
  <si>
    <t>25.3.2026- predano sve</t>
  </si>
  <si>
    <t xml:space="preserve">TZ2 </t>
  </si>
  <si>
    <t>10.04.2026 - predano</t>
  </si>
  <si>
    <t>21.03.2025- sve predano pd, pd-ipo fina</t>
  </si>
  <si>
    <t>100€/mj+PDV - treba ugovor</t>
  </si>
  <si>
    <t>02.2027 500€/god+pdv+120 minimax</t>
  </si>
  <si>
    <t>treba gledati izvode i izdavati račune redovno</t>
  </si>
  <si>
    <t>čekamo dokumente skl - ure</t>
  </si>
  <si>
    <t>ü+36204136313</t>
  </si>
  <si>
    <t xml:space="preserve">agnes.peter@silleradvisory.com
laszlo.siller@silleradvisory.com
</t>
  </si>
  <si>
    <t>150€/mj(knjigovodstvo)+ 50€/mj(sjedište)- treba ugovor</t>
  </si>
  <si>
    <t xml:space="preserve"> +36706737188</t>
  </si>
  <si>
    <t>1- otvoriti minimax</t>
  </si>
  <si>
    <t>zoltan.voros@femzol.sk /</t>
  </si>
  <si>
    <t>2122545788</t>
  </si>
  <si>
    <t>94301 Stúrovo</t>
  </si>
  <si>
    <t>FemZol s.r.o.</t>
  </si>
  <si>
    <t>Vila Habib doo</t>
  </si>
  <si>
    <t>kiwidivat@gmail.com</t>
  </si>
  <si>
    <t>+36303380244</t>
  </si>
  <si>
    <t>Kornatska 29</t>
  </si>
  <si>
    <t>Danijela Petrović</t>
  </si>
  <si>
    <t>A.RES Secundus d.o.o.</t>
  </si>
  <si>
    <t>Ulica Ivana Lučića 2A</t>
  </si>
  <si>
    <t>Eszter Illés</t>
  </si>
  <si>
    <t>Kralja Tomislava 3</t>
  </si>
  <si>
    <t>Koppány Levente Börcsök</t>
  </si>
  <si>
    <t> 39759432625</t>
  </si>
  <si>
    <t>Felician Gergely</t>
  </si>
  <si>
    <t>1139 Budapest</t>
  </si>
  <si>
    <t>Béke tér 7 prizemlje 2. vrata</t>
  </si>
  <si>
    <t>Traviczky Albert</t>
  </si>
  <si>
    <t>Agro Adria International d.o.o.</t>
  </si>
  <si>
    <t>Makarska</t>
  </si>
  <si>
    <t>Ante Starčevića 32 etaža B/21</t>
  </si>
  <si>
    <t>Adrienn Kinga Német</t>
  </si>
  <si>
    <t>43807093118</t>
  </si>
  <si>
    <t>Beach-homes Privlaka j.d.o.o.</t>
  </si>
  <si>
    <t>beachhomes.privlaka@gmail.com</t>
  </si>
  <si>
    <t>Imre Nagy 2</t>
  </si>
  <si>
    <t>JUDIT MÉSZÁROS</t>
  </si>
  <si>
    <t>BEST LOGISTICS PARTNER d.o.o.</t>
  </si>
  <si>
    <t>OLEKSANDR SILADI</t>
  </si>
  <si>
    <t>Darda</t>
  </si>
  <si>
    <t>Ivana Meštrovića 43</t>
  </si>
  <si>
    <t>Gergelj Rudolf</t>
  </si>
  <si>
    <t>60536718657</t>
  </si>
  <si>
    <t>92836050023</t>
  </si>
  <si>
    <t>Rijeka</t>
  </si>
  <si>
    <t>Bože Vidasa 7</t>
  </si>
  <si>
    <t>Vesna Miletić</t>
  </si>
  <si>
    <t>JÁNOS VINCZE,</t>
  </si>
  <si>
    <t>Cardiorent j.d.o.o.</t>
  </si>
  <si>
    <t>esztergludovatz@gmail.com</t>
  </si>
  <si>
    <t>Eszter Aradi-Gludovátz</t>
  </si>
  <si>
    <t>Batina</t>
  </si>
  <si>
    <t>Planina zapad 146</t>
  </si>
  <si>
    <t>istvan.pinter@gmail.com</t>
  </si>
  <si>
    <t>ISTVÁN PINTÉR</t>
  </si>
  <si>
    <t>Kopačevo</t>
  </si>
  <si>
    <t>Ulica Ferenca Kiša 7</t>
  </si>
  <si>
    <t>delikandog@gmail.com</t>
  </si>
  <si>
    <t>Anita Erb</t>
  </si>
  <si>
    <t xml:space="preserve"> plaća EU solar</t>
  </si>
  <si>
    <t>PETRE ANDRAS BALAZS</t>
  </si>
  <si>
    <t> 00387472998</t>
  </si>
  <si>
    <t>info@crudanavitas.hr</t>
  </si>
  <si>
    <t>Split</t>
  </si>
  <si>
    <t>Smiljanićeva 2</t>
  </si>
  <si>
    <t>Adam Kazimierz Grom</t>
  </si>
  <si>
    <t>miklos.gal@locomotivecee.hu</t>
  </si>
  <si>
    <t>MIKLÓS GÁL</t>
  </si>
  <si>
    <t>patricia.jabuka@adriacatamaran.com</t>
  </si>
  <si>
    <t>Tribunj</t>
  </si>
  <si>
    <t>Jurjevgradska ulica 2</t>
  </si>
  <si>
    <t>Levente Ákos Balogh</t>
  </si>
  <si>
    <t>Mali Lošinj</t>
  </si>
  <si>
    <t>Vresikova 25</t>
  </si>
  <si>
    <t>Domagoj Grgurić</t>
  </si>
  <si>
    <t> 86017751097</t>
  </si>
  <si>
    <t>Sv. Ivana Krstitelja 15</t>
  </si>
  <si>
    <t>Briješće</t>
  </si>
  <si>
    <t>Vrtna ulica 35</t>
  </si>
  <si>
    <t>István Domokos</t>
  </si>
  <si>
    <t>Duna-assist bau d.o.o.</t>
  </si>
  <si>
    <t>dunaassistbau@gmail.com</t>
  </si>
  <si>
    <t>Bernadett Dr. Deák</t>
  </si>
  <si>
    <t>László Vörös</t>
  </si>
  <si>
    <t>Antunovac</t>
  </si>
  <si>
    <t>Ulica Petra Svačića 18</t>
  </si>
  <si>
    <t>FILIP MIHIĆ</t>
  </si>
  <si>
    <t> 51627023651</t>
  </si>
  <si>
    <t>Vijenac Salamona Henricha Gutmanna 4B</t>
  </si>
  <si>
    <t>Belišće</t>
  </si>
  <si>
    <t>MATEO CMRK</t>
  </si>
  <si>
    <t>Ulica Hrvatske Republike 18</t>
  </si>
  <si>
    <t>VLADO FRANCIŠKOVIĆ</t>
  </si>
  <si>
    <t>Trg slobode 2</t>
  </si>
  <si>
    <t>ipernar@yahoo.com</t>
  </si>
  <si>
    <t>Ivan Pernar</t>
  </si>
  <si>
    <t>Čepin</t>
  </si>
  <si>
    <t>Osječka 168</t>
  </si>
  <si>
    <t>PATRICIJA KRAINOVIĆ</t>
  </si>
  <si>
    <t>GRIN-CENTER j.d.o.o.</t>
  </si>
  <si>
    <t>Trg Ante Starčevića 10</t>
  </si>
  <si>
    <t>grincenter2021@gmail.com</t>
  </si>
  <si>
    <t>GÁBOR BORBÉLY</t>
  </si>
  <si>
    <t>Ulica sv. Benedikt</t>
  </si>
  <si>
    <t>Dajla (Grad Novigrad)</t>
  </si>
  <si>
    <t>gorant512@gmail.com</t>
  </si>
  <si>
    <t>GIULIA TATALOVIĆ</t>
  </si>
  <si>
    <t>HAUKI j.d.o.o.</t>
  </si>
  <si>
    <t>Sveti Petar Na Moru </t>
  </si>
  <si>
    <t>Sveti Petar na Moru 424</t>
  </si>
  <si>
    <t>svpetarolive@gmail.com</t>
  </si>
  <si>
    <t>Hanna Hauki</t>
  </si>
  <si>
    <t>Radnička cesta 50</t>
  </si>
  <si>
    <t>MORANA FRANKOVIĆ</t>
  </si>
  <si>
    <t>Europska avenija 22</t>
  </si>
  <si>
    <t>i.warm.doo@gmail.com</t>
  </si>
  <si>
    <t>ATTILA PÉLI</t>
  </si>
  <si>
    <t>JANOS GIBERT  Crystal obrt</t>
  </si>
  <si>
    <t>Koprivnička 25A</t>
  </si>
  <si>
    <t>Zoran Francišković</t>
  </si>
  <si>
    <t>Kiss inzinjering i Gradnja d.o.o.</t>
  </si>
  <si>
    <t>info@kissepuletgepeszkft.hu</t>
  </si>
  <si>
    <t>Imre Kiss</t>
  </si>
  <si>
    <t> 53247728364</t>
  </si>
  <si>
    <t>kontrolex100@gmail.com</t>
  </si>
  <si>
    <t>Szilárd Somogyvári</t>
  </si>
  <si>
    <t>KATALIN CSICSELY</t>
  </si>
  <si>
    <t>Popovačka ulica 24</t>
  </si>
  <si>
    <t>LJUBOMIR MAJSTOROVIĆ</t>
  </si>
  <si>
    <t>info@lmland.hu</t>
  </si>
  <si>
    <t>Péter Némethy</t>
  </si>
  <si>
    <t>26622309542 </t>
  </si>
  <si>
    <t>Josipa Jurja Strossmayera 173</t>
  </si>
  <si>
    <t>homeplusosijek@gmail.com</t>
  </si>
  <si>
    <t>LÁSZLÓ TIBOR</t>
  </si>
  <si>
    <t>Umaška 13</t>
  </si>
  <si>
    <t>marijanovic.slavica@gmail.com</t>
  </si>
  <si>
    <t>SLAVICA MARIJANOVIĆ</t>
  </si>
  <si>
    <t>31972291427</t>
  </si>
  <si>
    <t>Ulica dr. Franje Tuđmana 2</t>
  </si>
  <si>
    <t>Stari Jankovci</t>
  </si>
  <si>
    <t>KRUNOSLAV MARTINOVIĆ</t>
  </si>
  <si>
    <t>CELIA ETHEL BLASSZAUER</t>
  </si>
  <si>
    <t>čekam promjene u SR</t>
  </si>
  <si>
    <t>szafakormend@gmail.com</t>
  </si>
  <si>
    <t>GÁBOR SZABÓ</t>
  </si>
  <si>
    <t>Savska cesta 41</t>
  </si>
  <si>
    <t>Marcela Habarová</t>
  </si>
  <si>
    <t>Bizovac</t>
  </si>
  <si>
    <t>Ulica kralja Tomislava 117</t>
  </si>
  <si>
    <t>MARINKO LUJIĆ</t>
  </si>
  <si>
    <t>ibolya.szaszko64@gmail.com</t>
  </si>
  <si>
    <t>Suza</t>
  </si>
  <si>
    <t>Maršala Tita 101</t>
  </si>
  <si>
    <t>IBOLYA SZASZKÓ</t>
  </si>
  <si>
    <t>NÓRA NAGYNÉ POLGÁR</t>
  </si>
  <si>
    <t>Ul. 8. marta 47</t>
  </si>
  <si>
    <t>Kneževi Vinogradi</t>
  </si>
  <si>
    <t>József Péter Madar</t>
  </si>
  <si>
    <t>02561868846</t>
  </si>
  <si>
    <t>nam</t>
  </si>
  <si>
    <t>info@nzg2025.hr</t>
  </si>
  <si>
    <t>Zoltán Grizák</t>
  </si>
  <si>
    <t>00303993812</t>
  </si>
  <si>
    <t>PAHACO.kft@gmail.com</t>
  </si>
  <si>
    <t>József István Papp</t>
  </si>
  <si>
    <t>info@phasedconnect.com</t>
  </si>
  <si>
    <t>Donjodravska obala 20</t>
  </si>
  <si>
    <t>Boris Popović</t>
  </si>
  <si>
    <t>Osječka ulica 21</t>
  </si>
  <si>
    <t>28718529165</t>
  </si>
  <si>
    <t>Szilvia Nikolic</t>
  </si>
  <si>
    <t>promotoposijek@gmail.com</t>
  </si>
  <si>
    <t>Tamás Csendes</t>
  </si>
  <si>
    <t>protects.life.doo@gmail.com</t>
  </si>
  <si>
    <t>virennyaralok@gmail.com</t>
  </si>
  <si>
    <t>Novi Bezdan</t>
  </si>
  <si>
    <t>Toldi Mikloš</t>
  </si>
  <si>
    <t>info@razdeer.hr</t>
  </si>
  <si>
    <t>ANIKÓ ALMÁDI</t>
  </si>
  <si>
    <t>newraugroup@gmail.com</t>
  </si>
  <si>
    <t xml:space="preserve">Sudski registar - službeni mail </t>
  </si>
  <si>
    <t xml:space="preserve">Beli Manastir </t>
  </si>
  <si>
    <t>János ANTAL i Robert Ali</t>
  </si>
  <si>
    <t>61538340112 i 02735331183</t>
  </si>
  <si>
    <t>Republike 2</t>
  </si>
  <si>
    <t>MARTIN GRÉCZI</t>
  </si>
  <si>
    <t>fenyes1@icloud.com</t>
  </si>
  <si>
    <t>László József Dr.Fényes</t>
  </si>
  <si>
    <t>sagitta.cons.doo@gmail.com</t>
  </si>
  <si>
    <t>JANOŠ ANDOČI</t>
  </si>
  <si>
    <t>dgc/f Trogir</t>
  </si>
  <si>
    <t>69659562610</t>
  </si>
  <si>
    <t>Josipa Jurja Strossmayera 333</t>
  </si>
  <si>
    <t>PÉTER KOVÁCS</t>
  </si>
  <si>
    <t>sailinginvestment2018@gmail.com</t>
  </si>
  <si>
    <t>ÁKOS SZEMERÉDI</t>
  </si>
  <si>
    <t>laszlo.toth.lt@t-online.hu</t>
  </si>
  <si>
    <t>LÁSZLÓ TÓTH</t>
  </si>
  <si>
    <t>ISTVÁN NAGY</t>
  </si>
  <si>
    <t>Horvatovac 76B</t>
  </si>
  <si>
    <t>danijel.svelec@gmail.com</t>
  </si>
  <si>
    <t>DANIJEL ŠVELEC</t>
  </si>
  <si>
    <t>László Siller</t>
  </si>
  <si>
    <t>Novalja  (Austrija, 3422 Altenberg)</t>
  </si>
  <si>
    <t>Istarska ulica 36 (Gemeindeweg 47)</t>
  </si>
  <si>
    <t>SO CONSULTING d.o.o.</t>
  </si>
  <si>
    <t>Vladimira Nazora 61</t>
  </si>
  <si>
    <t>OTTO MIHÁLY STOLZ</t>
  </si>
  <si>
    <t>GERGELY BERTALAN</t>
  </si>
  <si>
    <t>Attila Péli</t>
  </si>
  <si>
    <t>rev.tkiraly@gmail.com</t>
  </si>
  <si>
    <t>Tibor Kiraly</t>
  </si>
  <si>
    <t>135. baranjske brigade 22</t>
  </si>
  <si>
    <t>MONIKA PARAT</t>
  </si>
  <si>
    <t>Bilice</t>
  </si>
  <si>
    <t>Stubalj 314</t>
  </si>
  <si>
    <t>csd@airon.hu</t>
  </si>
  <si>
    <t>TAMÁS DANKU</t>
  </si>
  <si>
    <t>1terraclean.group@gmail.com</t>
  </si>
  <si>
    <t>Norbert Nyolcas-Kállai</t>
  </si>
  <si>
    <t xml:space="preserve">Tenja </t>
  </si>
  <si>
    <t>Osječka 1A</t>
  </si>
  <si>
    <t>info@teslaenergytechnologies.com</t>
  </si>
  <si>
    <t>DAMIR KATUŠIĆ</t>
  </si>
  <si>
    <t>Ulica Petra Hektorovića 2</t>
  </si>
  <si>
    <t>info@tradinghouse.hr</t>
  </si>
  <si>
    <t>KRISTÓF PÉTER HORVÁTH</t>
  </si>
  <si>
    <t>gelencserati@gmail.com</t>
  </si>
  <si>
    <t>Attila Gelencsér</t>
  </si>
  <si>
    <t>Brisano</t>
  </si>
  <si>
    <t>VivaPalazzo d.o.o.</t>
  </si>
  <si>
    <t>info@vivapalazzo.hr</t>
  </si>
  <si>
    <t>László Háklár</t>
  </si>
  <si>
    <t>Repaški put 3</t>
  </si>
  <si>
    <t>Antonio Damjanović</t>
  </si>
  <si>
    <t>Osječka 16A</t>
  </si>
  <si>
    <t>vtinvest2025@gmail.com</t>
  </si>
  <si>
    <t>BENCE SZABÓ</t>
  </si>
  <si>
    <t>Ulica Ference Kiša</t>
  </si>
  <si>
    <t>robert@westlakeshop.com</t>
  </si>
  <si>
    <t>RÓBERT MUSZKA</t>
  </si>
  <si>
    <t>Dubrovačka 16</t>
  </si>
  <si>
    <t>Damir Zrno</t>
  </si>
  <si>
    <t>Bjelovar</t>
  </si>
  <si>
    <t>Agustina Harambašića 10</t>
  </si>
  <si>
    <t>ILIJA ĐIVIĆ</t>
  </si>
  <si>
    <t>BELA BAKA</t>
  </si>
  <si>
    <t>ZOLTÁN SZABÓ</t>
  </si>
  <si>
    <t>55+minimax</t>
  </si>
  <si>
    <t>Ulica Ference Kiša 7</t>
  </si>
  <si>
    <t>info@takihome.net</t>
  </si>
  <si>
    <t>ZOLTÁN TAKÁCS</t>
  </si>
  <si>
    <t>Belio Manastir (Mađarska, 7400 Kaposvár)</t>
  </si>
  <si>
    <t>Kralja Tomislava 3 (Szántó utca 5)</t>
  </si>
  <si>
    <t>SÁNDOR JÓZSEF BÁLOVICS</t>
  </si>
  <si>
    <t>info@fairdistributions.com</t>
  </si>
  <si>
    <t>račun plaća Almadi yacht club</t>
  </si>
  <si>
    <t>Prolaz Marije Krucifikse Kozulić 4</t>
  </si>
  <si>
    <t>Kristóf Miklós Nobilis</t>
  </si>
  <si>
    <t>zoli.lencses@gmail.com</t>
  </si>
  <si>
    <t>somlai.adrienn@kissepgep.hu</t>
  </si>
  <si>
    <t>attilarusko@gmail.com</t>
  </si>
  <si>
    <t>toth.peter.vis@gmail.com</t>
  </si>
  <si>
    <t>40(+10%)+10 minimax+pdv /mj</t>
  </si>
  <si>
    <t>100(+10%)+10 minimax+pdv /mj</t>
  </si>
  <si>
    <t>50(+10)+10 minimax+pdv /mj</t>
  </si>
  <si>
    <t>100(+10%)+ 10 minimax+PDV mj</t>
  </si>
  <si>
    <t>110 +10 MINIMAX+ PDV, vodimo do 30.4.2026</t>
  </si>
  <si>
    <t>Madár Józef Péter</t>
  </si>
  <si>
    <t>99544418666</t>
  </si>
  <si>
    <t>Zita Antal</t>
  </si>
  <si>
    <t>20165157667</t>
  </si>
  <si>
    <t>2111 Szada</t>
  </si>
  <si>
    <t>Vízmalom utca 20</t>
  </si>
  <si>
    <t>1073 Budapest</t>
  </si>
  <si>
    <t>Erzsebét körút 12</t>
  </si>
  <si>
    <t>Balás Gábor György</t>
  </si>
  <si>
    <t>90375787884</t>
  </si>
  <si>
    <t>Vizmalom utca 20</t>
  </si>
  <si>
    <t>45€+10 minimax+pdv   (40(+10%)+pdv /mj) raskid ugovora 30/4/26</t>
  </si>
  <si>
    <t>Južno predgrađe 38</t>
  </si>
  <si>
    <t>bata.renata@batatrans.com</t>
  </si>
  <si>
    <t>Imre Bata</t>
  </si>
  <si>
    <t>prihod po djelatniku</t>
  </si>
  <si>
    <t>+36303485000</t>
  </si>
  <si>
    <t>6-porezna</t>
  </si>
  <si>
    <t>gabor@bg7.hu /Gb2025</t>
  </si>
  <si>
    <t>150€ mj +50€ sjedište</t>
  </si>
  <si>
    <t xml:space="preserve">SUNREG / GRENECO d.o.o. </t>
  </si>
  <si>
    <t>100€/mj(knjg)+PDV (+ 200 menagment ) + 600€ sjedište u 12mj</t>
  </si>
  <si>
    <t>Gabor Bocs</t>
  </si>
  <si>
    <t>66016054423</t>
  </si>
  <si>
    <t>Eurofroszt</t>
  </si>
  <si>
    <t>80+pdv /mj</t>
  </si>
  <si>
    <t>PLAĆA MEDICALSCAN KFT 100 EUR</t>
  </si>
  <si>
    <t>porezna predan poslana 24.04.2025</t>
  </si>
  <si>
    <t>TREBA PRIPREMITI BILANCU ZA ZAVRŠNI / DOGOVOREN REZULTAT - GUBITAK KAKO JE</t>
  </si>
  <si>
    <t>SPREMNO ZA ZAVRŠNI</t>
  </si>
  <si>
    <t xml:space="preserve">predano fina/ 27.04.2026 </t>
  </si>
  <si>
    <t>14.4.2026- predano sve</t>
  </si>
  <si>
    <t>NIJE PLTIO NIŠTA NE RADIM</t>
  </si>
  <si>
    <t>29.4.2026- sve predano</t>
  </si>
  <si>
    <t xml:space="preserve">? </t>
  </si>
  <si>
    <t>25.4.2025 predano sve</t>
  </si>
  <si>
    <t>28.4.2026 predano sve</t>
  </si>
  <si>
    <t>ne možemo predati DOK NE ako ne dođe laura</t>
  </si>
  <si>
    <t>predano - i poslano</t>
  </si>
  <si>
    <t>????? 2024 /2023</t>
  </si>
  <si>
    <t>MOŽE IĆI</t>
  </si>
  <si>
    <t>???'</t>
  </si>
  <si>
    <t>15.04.2025 - predano sve</t>
  </si>
  <si>
    <t>tražiti povrat pdv-a</t>
  </si>
  <si>
    <t xml:space="preserve">1. </t>
  </si>
  <si>
    <t>direktorij predlošci na serveru</t>
  </si>
  <si>
    <t>2.</t>
  </si>
  <si>
    <t>otvori .doc</t>
  </si>
  <si>
    <t>3.</t>
  </si>
  <si>
    <t>mailing</t>
  </si>
  <si>
    <t>4.</t>
  </si>
  <si>
    <t>5.</t>
  </si>
  <si>
    <t>odaberi redni broj</t>
  </si>
  <si>
    <t>6.</t>
  </si>
  <si>
    <t>file / print / printer ili pdf</t>
  </si>
  <si>
    <t>prewiev result</t>
  </si>
  <si>
    <t>7.</t>
  </si>
  <si>
    <t>exit - bez snimanja</t>
  </si>
  <si>
    <t>ZA FRANŠIZU</t>
  </si>
  <si>
    <t>50% od prometa</t>
  </si>
  <si>
    <t>info@busenje.com</t>
  </si>
  <si>
    <t>pdv</t>
  </si>
  <si>
    <t>Kapitány Zoltán</t>
  </si>
  <si>
    <t>kapitany.zoltan@vivapalazzo.hu</t>
  </si>
  <si>
    <t>PONEKAD</t>
  </si>
  <si>
    <t>PON</t>
  </si>
  <si>
    <t>20039431173</t>
  </si>
  <si>
    <t>paganella60@gmail.com</t>
  </si>
  <si>
    <t>+36703305575</t>
  </si>
  <si>
    <t>jednom godišnje predaja tz obrazca 50€</t>
  </si>
  <si>
    <t>Hatvan</t>
  </si>
  <si>
    <t>Kosztolanyi ut 8</t>
  </si>
  <si>
    <t>Mihaly Tari Zoltán</t>
  </si>
  <si>
    <t>100+minimax+pdv / početak - KAD RADI..    LJETO/ ne vodimo više</t>
  </si>
  <si>
    <t>MAJA</t>
  </si>
  <si>
    <t>MAJA@D-INVOICE.HR</t>
  </si>
  <si>
    <t>CLEANING FACILITY MANAGEMENT d.o.o.</t>
  </si>
  <si>
    <t>gorant512@gmail.com. lukatatalovic2020@gmail.com</t>
  </si>
  <si>
    <t>+385 99 400 9929</t>
  </si>
  <si>
    <t>8 PREKO NAS</t>
  </si>
  <si>
    <t>mena</t>
  </si>
  <si>
    <t>81.21.0</t>
  </si>
  <si>
    <t>Ulica Matka Laginje 13</t>
  </si>
  <si>
    <t>Oprtalj - Portole</t>
  </si>
  <si>
    <t>MICHAEL BAUER</t>
  </si>
  <si>
    <t>79040669536 </t>
  </si>
  <si>
    <t>mario.bauer@live.com</t>
  </si>
  <si>
    <t>goran512@gmail.com /Gt2026</t>
  </si>
  <si>
    <t>Fuj 29.06.2026 sa pdv-om</t>
  </si>
  <si>
    <t xml:space="preserve">100(+10%)+PDV /mj </t>
  </si>
  <si>
    <t>VR-INVEST d.o.o.</t>
  </si>
  <si>
    <t>VR-NEKRETNINE d.o.o.</t>
  </si>
  <si>
    <t>VR - KRK d.o.o.</t>
  </si>
  <si>
    <t>ne izdajemoviše račun za nju dok ne plati 55(+10%)++minimax+pdv/mj</t>
  </si>
  <si>
    <t xml:space="preserve">dok ne plati nitko 100€/mj+PDV </t>
  </si>
  <si>
    <t>STOPIRAN</t>
  </si>
  <si>
    <t>STOP</t>
  </si>
  <si>
    <t>DÉNÁR KFT</t>
  </si>
  <si>
    <t>DECKMAN C-BELT KFT</t>
  </si>
  <si>
    <t>125€+pdv mjesečno/ plaća za cro energiju</t>
  </si>
  <si>
    <t>50(+10%) +pdv /mj - plaća sva 3 mjeseca</t>
  </si>
  <si>
    <t>59310128271</t>
  </si>
  <si>
    <t>+3859511554083</t>
  </si>
  <si>
    <t>M-da</t>
  </si>
  <si>
    <t>KNEŽEVI VINOGRADI</t>
  </si>
  <si>
    <t>8.MARTA 47</t>
  </si>
  <si>
    <t>SAGITA CONSULTING, OBRT  VL.JANOŠ ANDOČI PAUŠALNI OBRTNIK</t>
  </si>
  <si>
    <t>100 EUR / MJ0</t>
  </si>
  <si>
    <t xml:space="preserve">VivaPalazzo d.d., Podružnica Osijek </t>
  </si>
  <si>
    <t>Ishodovala je EX broj (50(+10 %)+10 minimax+pdv/mj)</t>
  </si>
  <si>
    <t>szilagyi.judit@vivapalazzo.hu/ Zk2025</t>
  </si>
  <si>
    <t>penzugy@vivapalazzo.hu, szilagyi.judit@vivapalazzo.hu</t>
  </si>
  <si>
    <t>takihome.doo@gmail.com</t>
  </si>
  <si>
    <t>andocsi.janos@gmail.com. Janos.andoci@skole.hr</t>
  </si>
  <si>
    <t>Janos.andoci@skole.hr, Ja2025</t>
  </si>
  <si>
    <t>a. Poslan e-mail</t>
  </si>
  <si>
    <t xml:space="preserve">gabor@bg7.hu, hr@bg7.hu </t>
  </si>
  <si>
    <t>gmolnark@gmail.com/Gm2025 - nije viőe ta őifra</t>
  </si>
  <si>
    <t>Jachimiám Tünde</t>
  </si>
  <si>
    <t>tunde@riso.hu</t>
  </si>
  <si>
    <t>+36203189876</t>
  </si>
  <si>
    <t>GRATIS/ ILI PO NARUDŽBI</t>
  </si>
  <si>
    <t>U HOTELU IMAJU JEDINICU</t>
  </si>
  <si>
    <t>762,50,</t>
  </si>
  <si>
    <t>Takács Lászlő Barna</t>
  </si>
  <si>
    <t>+36 20 318 9876</t>
  </si>
  <si>
    <t>po ponudi</t>
  </si>
  <si>
    <t>traviczky@gmail.com / Ar2025</t>
  </si>
  <si>
    <t>G46.50.21</t>
  </si>
  <si>
    <t>kt 3 BM</t>
  </si>
  <si>
    <t>41165132069</t>
  </si>
  <si>
    <t>57442386036</t>
  </si>
  <si>
    <t>F/GABRIJELA</t>
  </si>
  <si>
    <t>43692074524</t>
  </si>
  <si>
    <t>Vura Péter</t>
  </si>
  <si>
    <t>gyopar1975@gmail.com</t>
  </si>
  <si>
    <t>300/mj</t>
  </si>
  <si>
    <t>+36 302012522</t>
  </si>
  <si>
    <t>Budapest</t>
  </si>
  <si>
    <t>Szigetcsép 137</t>
  </si>
  <si>
    <t xml:space="preserve">Péter Vura </t>
  </si>
  <si>
    <t>55+ 10 minimax+pdv /mj</t>
  </si>
  <si>
    <t>GENERATE PROSYSTEM IPARI GYARTO  kft</t>
  </si>
  <si>
    <t>treba ishodovati</t>
  </si>
  <si>
    <t>sovágo csaba</t>
  </si>
  <si>
    <t>+36 30190 7306</t>
  </si>
  <si>
    <t>treba</t>
  </si>
  <si>
    <t xml:space="preserve">100+PDV </t>
  </si>
  <si>
    <t>HARGITA UTCA 89,</t>
  </si>
  <si>
    <t>HAJDUBOSZORMENY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</si>
</sst>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1A]"/>
  </numFmts>
  <fonts count="326">
    <font>
      <sz val="11"/>
      <color theme="1"/>
      <name val="Calibri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sz val="9"/>
      <color indexed="8"/>
      <name val="Arial"/>
      <family val="2"/>
      <charset val="238"/>
    </font>
    <font>
      <sz val="9"/>
      <color theme="1"/>
      <name val="Times New Roman"/>
      <family val="1"/>
      <charset val="238"/>
    </font>
    <font>
      <sz val="9"/>
      <color indexed="8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0"/>
      <color theme="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3366"/>
      <name val="Calibri"/>
      <family val="2"/>
      <charset val="238"/>
      <scheme val="minor"/>
    </font>
    <font>
      <sz val="11"/>
      <color rgb="FF500050"/>
      <name val="Calibri"/>
      <family val="2"/>
      <charset val="238"/>
      <scheme val="minor"/>
    </font>
    <font>
      <sz val="11"/>
      <color rgb="FF777777"/>
      <name val="Calibri"/>
      <family val="2"/>
      <charset val="238"/>
      <scheme val="minor"/>
    </font>
    <font>
      <sz val="9"/>
      <color rgb="FF003366"/>
      <name val="Arial"/>
      <family val="2"/>
      <charset val="238"/>
    </font>
    <font>
      <b/>
      <sz val="8"/>
      <color theme="1"/>
      <name val="Aptos"/>
      <family val="2"/>
    </font>
    <font>
      <sz val="12"/>
      <color theme="1"/>
      <name val="Times New Roman"/>
      <family val="1"/>
      <charset val="238"/>
    </font>
    <font>
      <sz val="11"/>
      <name val="Calibri"/>
      <family val="2"/>
      <charset val="238"/>
    </font>
    <font>
      <b/>
      <sz val="9"/>
      <name val="Tahoma"/>
      <family val="2"/>
      <charset val="238"/>
    </font>
    <font>
      <sz val="9"/>
      <name val="Tahoma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rgb="FF222222"/>
      <name val="Open Sans"/>
      <family val="2"/>
    </font>
    <font>
      <sz val="9"/>
      <color rgb="FF202849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3366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38"/>
      <scheme val="minor"/>
    </font>
    <font>
      <u/>
      <sz val="10"/>
      <color theme="10"/>
      <name val="Calibri"/>
      <family val="2"/>
      <charset val="238"/>
      <scheme val="minor"/>
    </font>
    <font>
      <u/>
      <sz val="9"/>
      <color theme="10"/>
      <name val="Calibri"/>
      <family val="2"/>
      <charset val="238"/>
      <scheme val="minor"/>
    </font>
    <font>
      <u/>
      <sz val="8"/>
      <color theme="10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sz val="9"/>
      <color rgb="FF003366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name val="Calibri"/>
      <family val="2"/>
      <charset val="238"/>
      <scheme val="minor"/>
    </font>
    <font>
      <sz val="11"/>
      <color rgb="FF262626"/>
      <name val="Segoe UI"/>
      <family val="2"/>
    </font>
    <font>
      <sz val="10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  <charset val="238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.5"/>
      <color rgb="FF00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  <family val="2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sz val="9"/>
      <color rgb="FF262626"/>
      <name val="Segoe UI"/>
      <family val="2"/>
    </font>
    <font>
      <sz val="11"/>
      <color rgb="FF262626"/>
      <name val="Segoe UI"/>
      <family val="2"/>
      <charset val="238"/>
    </font>
    <font>
      <sz val="11"/>
      <color rgb="FF262626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0"/>
      <color rgb="FF222222"/>
      <name val="Inherit"/>
    </font>
  </fonts>
  <fills count="37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4E9A"/>
        <bgColor indexed="64"/>
      </patternFill>
    </fill>
    <fill>
      <patternFill patternType="solid">
        <fgColor rgb="FF388600"/>
        <bgColor indexed="64"/>
      </patternFill>
    </fill>
    <fill>
      <patternFill patternType="solid">
        <fgColor rgb="FFE5F2F7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double">
        <color theme="4"/>
      </top>
      <bottom style="thin">
        <color theme="4" tint="0.39994506668294322"/>
      </bottom>
      <diagonal/>
    </border>
    <border>
      <left/>
      <right/>
      <top style="double">
        <color theme="4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double">
        <color theme="4"/>
      </top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4506668294322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95B3D7"/>
      </top>
      <bottom style="medium">
        <color rgb="FF95B3D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5B3D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4F81BD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208" fillId="0" borderId="0" applyNumberFormat="0" applyFill="0" applyBorder="0" applyAlignment="0" applyProtection="0"/>
    <xf numFmtId="0" fontId="218" fillId="0" borderId="0"/>
    <xf numFmtId="0" fontId="244" fillId="0" borderId="0"/>
  </cellStyleXfs>
  <cellXfs count="109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08" fillId="0" borderId="0" xfId="1"/>
    <xf numFmtId="14" fontId="0" fillId="0" borderId="0" xfId="0" applyNumberFormat="1"/>
    <xf numFmtId="0" fontId="0" fillId="2" borderId="0" xfId="0" applyFill="1"/>
    <xf numFmtId="0" fontId="212" fillId="2" borderId="2" xfId="0" applyFont="1" applyFill="1" applyBorder="1" applyAlignment="1">
      <alignment horizontal="center" vertical="center"/>
    </xf>
    <xf numFmtId="0" fontId="212" fillId="2" borderId="1" xfId="0" applyFont="1" applyFill="1" applyBorder="1" applyAlignment="1">
      <alignment horizontal="center" vertical="center"/>
    </xf>
    <xf numFmtId="4" fontId="212" fillId="2" borderId="1" xfId="0" applyNumberFormat="1" applyFont="1" applyFill="1" applyBorder="1" applyAlignment="1">
      <alignment horizontal="center" vertical="center"/>
    </xf>
    <xf numFmtId="0" fontId="212" fillId="2" borderId="3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2" xfId="0" applyBorder="1"/>
    <xf numFmtId="0" fontId="0" fillId="0" borderId="1" xfId="0" applyBorder="1"/>
    <xf numFmtId="4" fontId="0" fillId="0" borderId="1" xfId="0" applyNumberFormat="1" applyBorder="1"/>
    <xf numFmtId="0" fontId="0" fillId="0" borderId="3" xfId="0" applyBorder="1"/>
    <xf numFmtId="0" fontId="213" fillId="0" borderId="4" xfId="0" applyFont="1" applyBorder="1"/>
    <xf numFmtId="0" fontId="213" fillId="0" borderId="5" xfId="0" applyFont="1" applyBorder="1"/>
    <xf numFmtId="4" fontId="213" fillId="0" borderId="5" xfId="0" applyNumberFormat="1" applyFont="1" applyBorder="1"/>
    <xf numFmtId="0" fontId="213" fillId="0" borderId="6" xfId="0" applyFont="1" applyBorder="1"/>
    <xf numFmtId="4" fontId="0" fillId="0" borderId="0" xfId="0" applyNumberFormat="1"/>
    <xf numFmtId="0" fontId="212" fillId="2" borderId="0" xfId="0" applyFont="1" applyFill="1" applyAlignment="1">
      <alignment horizontal="center" vertical="center"/>
    </xf>
    <xf numFmtId="4" fontId="214" fillId="2" borderId="0" xfId="0" applyNumberFormat="1" applyFont="1" applyFill="1" applyAlignment="1">
      <alignment horizontal="center" vertical="center"/>
    </xf>
    <xf numFmtId="0" fontId="212" fillId="2" borderId="0" xfId="0" applyFont="1" applyFill="1" applyAlignment="1">
      <alignment horizontal="center" vertical="center" wrapText="1"/>
    </xf>
    <xf numFmtId="4" fontId="0" fillId="4" borderId="0" xfId="0" applyNumberFormat="1" applyFill="1"/>
    <xf numFmtId="0" fontId="215" fillId="0" borderId="0" xfId="0" applyFont="1" applyAlignment="1">
      <alignment horizontal="right"/>
    </xf>
    <xf numFmtId="0" fontId="215" fillId="0" borderId="0" xfId="0" applyFont="1"/>
    <xf numFmtId="4" fontId="215" fillId="0" borderId="0" xfId="0" applyNumberFormat="1" applyFont="1"/>
    <xf numFmtId="4" fontId="216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4" fontId="217" fillId="0" borderId="0" xfId="0" applyNumberFormat="1" applyFont="1"/>
    <xf numFmtId="4" fontId="0" fillId="0" borderId="7" xfId="0" applyNumberFormat="1" applyBorder="1" applyAlignment="1">
      <alignment horizontal="right" wrapText="1"/>
    </xf>
    <xf numFmtId="4" fontId="0" fillId="0" borderId="0" xfId="0" applyNumberFormat="1" applyAlignment="1">
      <alignment wrapText="1"/>
    </xf>
    <xf numFmtId="0" fontId="0" fillId="4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1" xfId="0" applyNumberFormat="1" applyBorder="1"/>
    <xf numFmtId="49" fontId="218" fillId="0" borderId="0" xfId="0" applyNumberFormat="1" applyFont="1" applyAlignment="1">
      <alignment wrapText="1"/>
    </xf>
    <xf numFmtId="4" fontId="218" fillId="0" borderId="0" xfId="0" applyNumberFormat="1" applyFont="1" applyAlignment="1">
      <alignment wrapText="1"/>
    </xf>
    <xf numFmtId="49" fontId="218" fillId="5" borderId="0" xfId="0" applyNumberFormat="1" applyFont="1" applyFill="1" applyAlignment="1">
      <alignment wrapText="1"/>
    </xf>
    <xf numFmtId="4" fontId="218" fillId="5" borderId="0" xfId="0" applyNumberFormat="1" applyFont="1" applyFill="1" applyAlignment="1">
      <alignment wrapText="1"/>
    </xf>
    <xf numFmtId="49" fontId="0" fillId="5" borderId="0" xfId="0" applyNumberFormat="1" applyFill="1" applyAlignment="1">
      <alignment wrapText="1"/>
    </xf>
    <xf numFmtId="4" fontId="0" fillId="5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6" borderId="0" xfId="0" applyNumberFormat="1" applyFill="1"/>
    <xf numFmtId="4" fontId="0" fillId="6" borderId="0" xfId="0" applyNumberFormat="1" applyFill="1" applyAlignment="1">
      <alignment wrapText="1"/>
    </xf>
    <xf numFmtId="4" fontId="0" fillId="6" borderId="0" xfId="0" applyNumberFormat="1" applyFill="1"/>
    <xf numFmtId="4" fontId="0" fillId="5" borderId="0" xfId="0" applyNumberFormat="1" applyFill="1"/>
    <xf numFmtId="4" fontId="0" fillId="7" borderId="0" xfId="0" applyNumberFormat="1" applyFill="1"/>
    <xf numFmtId="4" fontId="0" fillId="8" borderId="0" xfId="0" applyNumberFormat="1" applyFill="1" applyAlignment="1">
      <alignment wrapText="1"/>
    </xf>
    <xf numFmtId="4" fontId="214" fillId="0" borderId="0" xfId="0" applyNumberFormat="1" applyFont="1" applyAlignment="1">
      <alignment wrapText="1"/>
    </xf>
    <xf numFmtId="4" fontId="0" fillId="7" borderId="0" xfId="0" applyNumberFormat="1" applyFill="1" applyAlignment="1">
      <alignment wrapText="1"/>
    </xf>
    <xf numFmtId="0" fontId="219" fillId="0" borderId="8" xfId="0" applyFont="1" applyBorder="1"/>
    <xf numFmtId="0" fontId="220" fillId="0" borderId="8" xfId="0" applyFont="1" applyBorder="1"/>
    <xf numFmtId="0" fontId="221" fillId="0" borderId="9" xfId="0" applyFont="1" applyBorder="1"/>
    <xf numFmtId="0" fontId="220" fillId="0" borderId="8" xfId="0" applyFont="1" applyBorder="1" applyAlignment="1">
      <alignment horizontal="center"/>
    </xf>
    <xf numFmtId="0" fontId="210" fillId="0" borderId="1" xfId="0" applyFont="1" applyBorder="1" applyAlignment="1">
      <alignment horizontal="center"/>
    </xf>
    <xf numFmtId="0" fontId="222" fillId="0" borderId="9" xfId="0" applyFont="1" applyBorder="1" applyAlignment="1">
      <alignment wrapText="1"/>
    </xf>
    <xf numFmtId="0" fontId="220" fillId="0" borderId="9" xfId="0" applyFont="1" applyBorder="1" applyAlignment="1">
      <alignment horizontal="center"/>
    </xf>
    <xf numFmtId="0" fontId="223" fillId="0" borderId="9" xfId="0" applyFont="1" applyBorder="1" applyAlignment="1">
      <alignment wrapText="1"/>
    </xf>
    <xf numFmtId="0" fontId="211" fillId="0" borderId="1" xfId="0" applyFont="1" applyBorder="1" applyAlignment="1">
      <alignment horizontal="center"/>
    </xf>
    <xf numFmtId="0" fontId="224" fillId="0" borderId="9" xfId="0" applyFont="1" applyBorder="1"/>
    <xf numFmtId="0" fontId="225" fillId="0" borderId="9" xfId="0" applyFont="1" applyBorder="1" applyAlignment="1">
      <alignment wrapText="1"/>
    </xf>
    <xf numFmtId="0" fontId="219" fillId="0" borderId="9" xfId="0" applyFont="1" applyBorder="1"/>
    <xf numFmtId="0" fontId="220" fillId="0" borderId="9" xfId="0" applyFont="1" applyBorder="1"/>
    <xf numFmtId="0" fontId="219" fillId="0" borderId="10" xfId="0" applyFont="1" applyBorder="1"/>
    <xf numFmtId="0" fontId="220" fillId="0" borderId="10" xfId="0" applyFont="1" applyBorder="1"/>
    <xf numFmtId="4" fontId="0" fillId="2" borderId="0" xfId="0" applyNumberFormat="1" applyFill="1"/>
    <xf numFmtId="0" fontId="214" fillId="2" borderId="0" xfId="0" applyFont="1" applyFill="1"/>
    <xf numFmtId="0" fontId="0" fillId="8" borderId="0" xfId="0" applyFill="1"/>
    <xf numFmtId="4" fontId="0" fillId="8" borderId="0" xfId="0" applyNumberFormat="1" applyFill="1"/>
    <xf numFmtId="14" fontId="0" fillId="8" borderId="0" xfId="0" applyNumberFormat="1" applyFill="1"/>
    <xf numFmtId="1" fontId="0" fillId="0" borderId="0" xfId="0" applyNumberFormat="1"/>
    <xf numFmtId="0" fontId="0" fillId="4" borderId="0" xfId="0" applyFill="1" applyAlignment="1">
      <alignment horizontal="left"/>
    </xf>
    <xf numFmtId="4" fontId="226" fillId="4" borderId="5" xfId="0" applyNumberFormat="1" applyFont="1" applyFill="1" applyBorder="1" applyAlignment="1">
      <alignment horizontal="right" wrapText="1"/>
    </xf>
    <xf numFmtId="1" fontId="0" fillId="4" borderId="0" xfId="0" applyNumberFormat="1" applyFill="1"/>
    <xf numFmtId="4" fontId="227" fillId="0" borderId="0" xfId="0" applyNumberFormat="1" applyFont="1"/>
    <xf numFmtId="0" fontId="0" fillId="0" borderId="0" xfId="0" applyAlignment="1">
      <alignment horizontal="center"/>
    </xf>
    <xf numFmtId="0" fontId="228" fillId="0" borderId="11" xfId="0" applyFont="1" applyBorder="1" applyAlignment="1">
      <alignment wrapText="1"/>
    </xf>
    <xf numFmtId="0" fontId="228" fillId="0" borderId="12" xfId="0" applyFont="1" applyBorder="1" applyAlignment="1">
      <alignment wrapText="1"/>
    </xf>
    <xf numFmtId="0" fontId="228" fillId="0" borderId="0" xfId="0" applyFont="1" applyAlignment="1">
      <alignment wrapText="1"/>
    </xf>
    <xf numFmtId="0" fontId="228" fillId="0" borderId="13" xfId="0" applyFont="1" applyBorder="1" applyAlignment="1">
      <alignment wrapText="1"/>
    </xf>
    <xf numFmtId="0" fontId="229" fillId="0" borderId="1" xfId="0" applyFont="1" applyBorder="1" applyAlignment="1">
      <alignment horizontal="right" wrapText="1"/>
    </xf>
    <xf numFmtId="0" fontId="218" fillId="0" borderId="1" xfId="0" applyFont="1" applyBorder="1" applyAlignment="1">
      <alignment wrapText="1"/>
    </xf>
    <xf numFmtId="0" fontId="218" fillId="0" borderId="0" xfId="0" applyFont="1" applyAlignment="1">
      <alignment wrapText="1"/>
    </xf>
    <xf numFmtId="0" fontId="218" fillId="0" borderId="0" xfId="0" applyFont="1"/>
    <xf numFmtId="0" fontId="230" fillId="0" borderId="0" xfId="0" applyFont="1" applyAlignment="1">
      <alignment horizontal="center" wrapText="1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/>
    <xf numFmtId="0" fontId="0" fillId="6" borderId="0" xfId="0" applyFill="1"/>
    <xf numFmtId="0" fontId="0" fillId="5" borderId="0" xfId="0" applyFill="1"/>
    <xf numFmtId="14" fontId="0" fillId="0" borderId="0" xfId="0" applyNumberFormat="1" applyAlignment="1">
      <alignment wrapText="1"/>
    </xf>
    <xf numFmtId="0" fontId="0" fillId="9" borderId="0" xfId="0" applyFill="1"/>
    <xf numFmtId="0" fontId="218" fillId="0" borderId="0" xfId="0" applyFont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quotePrefix="1"/>
    <xf numFmtId="4" fontId="0" fillId="0" borderId="0" xfId="0" quotePrefix="1" applyNumberFormat="1" applyAlignment="1">
      <alignment wrapText="1"/>
    </xf>
    <xf numFmtId="3" fontId="0" fillId="0" borderId="0" xfId="0" quotePrefix="1" applyNumberFormat="1"/>
    <xf numFmtId="49" fontId="0" fillId="0" borderId="0" xfId="0" quotePrefix="1" applyNumberFormat="1"/>
    <xf numFmtId="16" fontId="0" fillId="0" borderId="0" xfId="0" quotePrefix="1" applyNumberFormat="1"/>
    <xf numFmtId="4" fontId="0" fillId="6" borderId="0" xfId="0" quotePrefix="1" applyNumberFormat="1" applyFill="1"/>
    <xf numFmtId="4" fontId="0" fillId="5" borderId="0" xfId="0" quotePrefix="1" applyNumberFormat="1" applyFill="1" applyAlignment="1">
      <alignment wrapText="1"/>
    </xf>
    <xf numFmtId="4" fontId="0" fillId="0" borderId="0" xfId="0" quotePrefix="1" applyNumberFormat="1"/>
    <xf numFmtId="49" fontId="0" fillId="8" borderId="0" xfId="0" quotePrefix="1" applyNumberFormat="1" applyFill="1" applyAlignment="1">
      <alignment wrapText="1"/>
    </xf>
    <xf numFmtId="16" fontId="0" fillId="7" borderId="0" xfId="0" quotePrefix="1" applyNumberFormat="1" applyFill="1"/>
    <xf numFmtId="49" fontId="0" fillId="0" borderId="0" xfId="0" quotePrefix="1" applyNumberFormat="1" applyAlignment="1">
      <alignment wrapText="1"/>
    </xf>
    <xf numFmtId="0" fontId="251" fillId="12" borderId="0" xfId="0" applyFont="1" applyFill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right"/>
    </xf>
    <xf numFmtId="4" fontId="257" fillId="0" borderId="16" xfId="0" applyNumberFormat="1" applyFont="1" applyBorder="1" applyAlignment="1">
      <alignment horizontal="right" wrapText="1"/>
    </xf>
    <xf numFmtId="14" fontId="0" fillId="0" borderId="0" xfId="0" applyNumberFormat="1" applyAlignment="1">
      <alignment horizontal="center"/>
    </xf>
    <xf numFmtId="0" fontId="247" fillId="0" borderId="0" xfId="0" applyFont="1" applyAlignment="1">
      <alignment wrapText="1"/>
    </xf>
    <xf numFmtId="4" fontId="0" fillId="0" borderId="0" xfId="0" applyNumberFormat="1" applyAlignment="1">
      <alignment horizontal="right" wrapText="1"/>
    </xf>
    <xf numFmtId="0" fontId="201" fillId="0" borderId="0" xfId="0" applyFont="1"/>
    <xf numFmtId="0" fontId="264" fillId="14" borderId="15" xfId="0" applyFont="1" applyFill="1" applyBorder="1" applyAlignment="1">
      <alignment horizontal="center" wrapText="1"/>
    </xf>
    <xf numFmtId="0" fontId="247" fillId="0" borderId="16" xfId="0" applyFont="1" applyBorder="1" applyAlignment="1">
      <alignment wrapText="1"/>
    </xf>
    <xf numFmtId="0" fontId="247" fillId="11" borderId="16" xfId="0" applyFont="1" applyFill="1" applyBorder="1" applyAlignment="1">
      <alignment wrapText="1"/>
    </xf>
    <xf numFmtId="0" fontId="247" fillId="11" borderId="17" xfId="0" applyFont="1" applyFill="1" applyBorder="1" applyAlignment="1">
      <alignment wrapText="1"/>
    </xf>
    <xf numFmtId="0" fontId="247" fillId="0" borderId="15" xfId="0" applyFont="1" applyBorder="1" applyAlignment="1">
      <alignment wrapText="1"/>
    </xf>
    <xf numFmtId="0" fontId="0" fillId="15" borderId="0" xfId="0" applyFill="1"/>
    <xf numFmtId="0" fontId="247" fillId="15" borderId="0" xfId="0" applyFont="1" applyFill="1" applyAlignment="1">
      <alignment wrapText="1"/>
    </xf>
    <xf numFmtId="0" fontId="208" fillId="0" borderId="0" xfId="1" applyBorder="1" applyAlignment="1">
      <alignment wrapText="1"/>
    </xf>
    <xf numFmtId="0" fontId="209" fillId="0" borderId="0" xfId="0" applyFont="1"/>
    <xf numFmtId="49" fontId="229" fillId="0" borderId="0" xfId="0" applyNumberFormat="1" applyFont="1" applyAlignment="1">
      <alignment vertical="top" wrapText="1"/>
    </xf>
    <xf numFmtId="0" fontId="0" fillId="8" borderId="0" xfId="0" quotePrefix="1" applyFill="1"/>
    <xf numFmtId="16" fontId="0" fillId="8" borderId="0" xfId="0" quotePrefix="1" applyNumberFormat="1" applyFill="1"/>
    <xf numFmtId="0" fontId="191" fillId="0" borderId="0" xfId="0" applyFont="1"/>
    <xf numFmtId="14" fontId="191" fillId="0" borderId="0" xfId="0" applyNumberFormat="1" applyFont="1"/>
    <xf numFmtId="4" fontId="257" fillId="11" borderId="15" xfId="0" applyNumberFormat="1" applyFont="1" applyFill="1" applyBorder="1" applyAlignment="1">
      <alignment horizontal="right" wrapText="1"/>
    </xf>
    <xf numFmtId="4" fontId="257" fillId="11" borderId="16" xfId="0" applyNumberFormat="1" applyFont="1" applyFill="1" applyBorder="1" applyAlignment="1">
      <alignment horizontal="right" wrapText="1"/>
    </xf>
    <xf numFmtId="4" fontId="256" fillId="11" borderId="17" xfId="0" applyNumberFormat="1" applyFont="1" applyFill="1" applyBorder="1" applyAlignment="1">
      <alignment wrapText="1"/>
    </xf>
    <xf numFmtId="0" fontId="0" fillId="21" borderId="0" xfId="0" applyFill="1"/>
    <xf numFmtId="0" fontId="218" fillId="22" borderId="0" xfId="0" applyFont="1" applyFill="1"/>
    <xf numFmtId="0" fontId="229" fillId="18" borderId="1" xfId="0" applyFont="1" applyFill="1" applyBorder="1" applyAlignment="1">
      <alignment horizontal="right" wrapText="1"/>
    </xf>
    <xf numFmtId="0" fontId="218" fillId="18" borderId="1" xfId="0" applyFont="1" applyFill="1" applyBorder="1" applyAlignment="1">
      <alignment wrapText="1"/>
    </xf>
    <xf numFmtId="0" fontId="170" fillId="0" borderId="0" xfId="0" applyFont="1"/>
    <xf numFmtId="16" fontId="138" fillId="8" borderId="0" xfId="0" quotePrefix="1" applyNumberFormat="1" applyFont="1" applyFill="1"/>
    <xf numFmtId="49" fontId="123" fillId="0" borderId="0" xfId="0" applyNumberFormat="1" applyFont="1"/>
    <xf numFmtId="0" fontId="208" fillId="0" borderId="0" xfId="1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49" fontId="248" fillId="0" borderId="0" xfId="0" applyNumberFormat="1" applyFont="1" applyAlignment="1">
      <alignment horizontal="center" vertical="top" wrapText="1"/>
    </xf>
    <xf numFmtId="49" fontId="158" fillId="0" borderId="0" xfId="0" applyNumberFormat="1" applyFont="1" applyAlignment="1">
      <alignment vertical="top"/>
    </xf>
    <xf numFmtId="0" fontId="114" fillId="0" borderId="0" xfId="0" applyFont="1"/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218" fillId="8" borderId="0" xfId="0" applyFont="1" applyFill="1" applyAlignment="1">
      <alignment horizontal="left" vertical="top"/>
    </xf>
    <xf numFmtId="0" fontId="113" fillId="8" borderId="0" xfId="0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108" fillId="29" borderId="18" xfId="0" applyFont="1" applyFill="1" applyBorder="1" applyAlignment="1">
      <alignment horizontal="left" vertical="top"/>
    </xf>
    <xf numFmtId="0" fontId="108" fillId="8" borderId="0" xfId="0" applyFont="1" applyFill="1" applyAlignment="1">
      <alignment horizontal="left" vertical="top"/>
    </xf>
    <xf numFmtId="0" fontId="107" fillId="8" borderId="0" xfId="0" applyFont="1" applyFill="1" applyAlignment="1">
      <alignment horizontal="left" vertical="top"/>
    </xf>
    <xf numFmtId="0" fontId="108" fillId="8" borderId="18" xfId="0" applyFont="1" applyFill="1" applyBorder="1" applyAlignment="1">
      <alignment horizontal="left" vertical="top"/>
    </xf>
    <xf numFmtId="0" fontId="116" fillId="8" borderId="0" xfId="0" applyFont="1" applyFill="1" applyAlignment="1">
      <alignment horizontal="left" vertical="top"/>
    </xf>
    <xf numFmtId="0" fontId="104" fillId="8" borderId="0" xfId="0" applyFont="1" applyFill="1" applyAlignment="1">
      <alignment horizontal="left" vertical="top"/>
    </xf>
    <xf numFmtId="0" fontId="103" fillId="8" borderId="0" xfId="0" applyFont="1" applyFill="1" applyAlignment="1">
      <alignment horizontal="left" vertical="top"/>
    </xf>
    <xf numFmtId="0" fontId="102" fillId="8" borderId="0" xfId="0" applyFont="1" applyFill="1" applyAlignment="1">
      <alignment horizontal="left" vertical="top"/>
    </xf>
    <xf numFmtId="0" fontId="0" fillId="25" borderId="0" xfId="0" applyFill="1" applyAlignment="1">
      <alignment horizontal="left" vertical="top"/>
    </xf>
    <xf numFmtId="0" fontId="102" fillId="25" borderId="0" xfId="0" applyFont="1" applyFill="1" applyAlignment="1">
      <alignment horizontal="left" vertical="top"/>
    </xf>
    <xf numFmtId="0" fontId="101" fillId="8" borderId="0" xfId="0" applyFont="1" applyFill="1" applyAlignment="1">
      <alignment horizontal="left" vertical="top"/>
    </xf>
    <xf numFmtId="0" fontId="101" fillId="25" borderId="0" xfId="0" applyFont="1" applyFill="1" applyAlignment="1">
      <alignment horizontal="left" vertical="top"/>
    </xf>
    <xf numFmtId="0" fontId="100" fillId="8" borderId="0" xfId="0" applyFont="1" applyFill="1" applyAlignment="1">
      <alignment horizontal="left" vertical="top"/>
    </xf>
    <xf numFmtId="0" fontId="99" fillId="25" borderId="0" xfId="0" applyFont="1" applyFill="1" applyAlignment="1">
      <alignment horizontal="left" vertical="top"/>
    </xf>
    <xf numFmtId="0" fontId="97" fillId="25" borderId="0" xfId="0" applyFont="1" applyFill="1" applyAlignment="1">
      <alignment horizontal="left" vertical="top"/>
    </xf>
    <xf numFmtId="0" fontId="97" fillId="8" borderId="0" xfId="0" applyFont="1" applyFill="1" applyAlignment="1">
      <alignment horizontal="left" vertical="top"/>
    </xf>
    <xf numFmtId="0" fontId="278" fillId="0" borderId="0" xfId="0" applyFont="1" applyAlignment="1">
      <alignment vertical="top"/>
    </xf>
    <xf numFmtId="14" fontId="218" fillId="0" borderId="0" xfId="0" applyNumberFormat="1" applyFont="1"/>
    <xf numFmtId="14" fontId="187" fillId="0" borderId="0" xfId="0" applyNumberFormat="1" applyFont="1"/>
    <xf numFmtId="14" fontId="163" fillId="0" borderId="0" xfId="0" applyNumberFormat="1" applyFont="1"/>
    <xf numFmtId="14" fontId="136" fillId="0" borderId="0" xfId="0" applyNumberFormat="1" applyFont="1"/>
    <xf numFmtId="14" fontId="209" fillId="0" borderId="0" xfId="0" applyNumberFormat="1" applyFont="1"/>
    <xf numFmtId="14" fontId="166" fillId="0" borderId="0" xfId="0" applyNumberFormat="1" applyFont="1"/>
    <xf numFmtId="0" fontId="165" fillId="0" borderId="0" xfId="0" applyFont="1"/>
    <xf numFmtId="14" fontId="218" fillId="0" borderId="0" xfId="0" applyNumberFormat="1" applyFont="1" applyAlignment="1">
      <alignment horizontal="right"/>
    </xf>
    <xf numFmtId="14" fontId="164" fillId="0" borderId="0" xfId="0" applyNumberFormat="1" applyFont="1"/>
    <xf numFmtId="14" fontId="149" fillId="0" borderId="0" xfId="0" applyNumberFormat="1" applyFont="1"/>
    <xf numFmtId="0" fontId="148" fillId="0" borderId="0" xfId="0" applyFont="1"/>
    <xf numFmtId="14" fontId="145" fillId="0" borderId="0" xfId="0" applyNumberFormat="1" applyFont="1"/>
    <xf numFmtId="14" fontId="117" fillId="0" borderId="0" xfId="0" applyNumberFormat="1" applyFont="1"/>
    <xf numFmtId="0" fontId="115" fillId="0" borderId="0" xfId="0" applyFont="1"/>
    <xf numFmtId="14" fontId="202" fillId="0" borderId="0" xfId="0" applyNumberFormat="1" applyFont="1"/>
    <xf numFmtId="14" fontId="199" fillId="0" borderId="0" xfId="0" applyNumberFormat="1" applyFont="1"/>
    <xf numFmtId="0" fontId="194" fillId="0" borderId="0" xfId="0" applyFont="1"/>
    <xf numFmtId="0" fontId="183" fillId="0" borderId="0" xfId="0" applyFont="1"/>
    <xf numFmtId="0" fontId="231" fillId="0" borderId="0" xfId="0" applyFont="1"/>
    <xf numFmtId="14" fontId="151" fillId="0" borderId="0" xfId="0" applyNumberFormat="1" applyFont="1" applyAlignment="1">
      <alignment wrapText="1"/>
    </xf>
    <xf numFmtId="14" fontId="148" fillId="0" borderId="0" xfId="0" applyNumberFormat="1" applyFont="1"/>
    <xf numFmtId="14" fontId="136" fillId="0" borderId="0" xfId="0" applyNumberFormat="1" applyFont="1" applyAlignment="1">
      <alignment horizontal="right"/>
    </xf>
    <xf numFmtId="14" fontId="115" fillId="0" borderId="0" xfId="0" applyNumberFormat="1" applyFont="1"/>
    <xf numFmtId="14" fontId="247" fillId="0" borderId="0" xfId="0" applyNumberFormat="1" applyFont="1"/>
    <xf numFmtId="14" fontId="188" fillId="0" borderId="0" xfId="0" applyNumberFormat="1" applyFont="1"/>
    <xf numFmtId="14" fontId="170" fillId="0" borderId="0" xfId="0" applyNumberFormat="1" applyFont="1"/>
    <xf numFmtId="14" fontId="200" fillId="0" borderId="0" xfId="0" applyNumberFormat="1" applyFont="1"/>
    <xf numFmtId="3" fontId="218" fillId="0" borderId="0" xfId="0" applyNumberFormat="1" applyFont="1"/>
    <xf numFmtId="14" fontId="125" fillId="0" borderId="0" xfId="0" applyNumberFormat="1" applyFont="1"/>
    <xf numFmtId="14" fontId="154" fillId="0" borderId="0" xfId="0" applyNumberFormat="1" applyFont="1"/>
    <xf numFmtId="0" fontId="112" fillId="0" borderId="0" xfId="0" applyFont="1"/>
    <xf numFmtId="14" fontId="198" fillId="0" borderId="0" xfId="0" applyNumberFormat="1" applyFont="1"/>
    <xf numFmtId="0" fontId="218" fillId="0" borderId="0" xfId="0" applyFont="1" applyAlignment="1">
      <alignment horizontal="right"/>
    </xf>
    <xf numFmtId="14" fontId="231" fillId="0" borderId="0" xfId="0" applyNumberFormat="1" applyFont="1"/>
    <xf numFmtId="14" fontId="231" fillId="0" borderId="1" xfId="0" applyNumberFormat="1" applyFont="1" applyBorder="1"/>
    <xf numFmtId="14" fontId="218" fillId="0" borderId="1" xfId="0" applyNumberFormat="1" applyFont="1" applyBorder="1"/>
    <xf numFmtId="0" fontId="163" fillId="0" borderId="0" xfId="0" applyFont="1"/>
    <xf numFmtId="14" fontId="141" fillId="0" borderId="0" xfId="0" applyNumberFormat="1" applyFont="1"/>
    <xf numFmtId="0" fontId="117" fillId="0" borderId="0" xfId="0" applyFont="1"/>
    <xf numFmtId="0" fontId="152" fillId="0" borderId="0" xfId="0" applyFont="1"/>
    <xf numFmtId="0" fontId="153" fillId="0" borderId="0" xfId="0" applyFont="1"/>
    <xf numFmtId="14" fontId="134" fillId="0" borderId="0" xfId="0" applyNumberFormat="1" applyFont="1"/>
    <xf numFmtId="0" fontId="159" fillId="0" borderId="0" xfId="0" applyFont="1"/>
    <xf numFmtId="0" fontId="169" fillId="0" borderId="0" xfId="0" applyFont="1"/>
    <xf numFmtId="14" fontId="218" fillId="0" borderId="0" xfId="0" applyNumberFormat="1" applyFont="1" applyAlignment="1">
      <alignment wrapText="1"/>
    </xf>
    <xf numFmtId="0" fontId="184" fillId="0" borderId="0" xfId="0" applyFont="1"/>
    <xf numFmtId="0" fontId="148" fillId="0" borderId="0" xfId="0" applyFont="1" applyAlignment="1">
      <alignment wrapText="1"/>
    </xf>
    <xf numFmtId="0" fontId="133" fillId="0" borderId="0" xfId="0" applyFont="1"/>
    <xf numFmtId="0" fontId="121" fillId="0" borderId="0" xfId="0" applyFont="1"/>
    <xf numFmtId="14" fontId="189" fillId="0" borderId="0" xfId="0" applyNumberFormat="1" applyFont="1"/>
    <xf numFmtId="0" fontId="188" fillId="0" borderId="0" xfId="0" applyFont="1"/>
    <xf numFmtId="14" fontId="177" fillId="0" borderId="0" xfId="0" applyNumberFormat="1" applyFont="1"/>
    <xf numFmtId="14" fontId="157" fillId="0" borderId="0" xfId="0" applyNumberFormat="1" applyFont="1"/>
    <xf numFmtId="0" fontId="128" fillId="0" borderId="0" xfId="0" applyFont="1"/>
    <xf numFmtId="14" fontId="183" fillId="0" borderId="0" xfId="0" applyNumberFormat="1" applyFont="1"/>
    <xf numFmtId="0" fontId="198" fillId="0" borderId="0" xfId="0" applyFont="1"/>
    <xf numFmtId="14" fontId="165" fillId="0" borderId="0" xfId="0" applyNumberFormat="1" applyFont="1"/>
    <xf numFmtId="14" fontId="271" fillId="0" borderId="0" xfId="0" applyNumberFormat="1" applyFont="1"/>
    <xf numFmtId="14" fontId="144" fillId="0" borderId="0" xfId="0" applyNumberFormat="1" applyFont="1"/>
    <xf numFmtId="14" fontId="133" fillId="0" borderId="0" xfId="0" applyNumberFormat="1" applyFont="1"/>
    <xf numFmtId="14" fontId="112" fillId="0" borderId="0" xfId="0" applyNumberFormat="1" applyFont="1"/>
    <xf numFmtId="14" fontId="159" fillId="0" borderId="0" xfId="0" applyNumberFormat="1" applyFont="1"/>
    <xf numFmtId="0" fontId="160" fillId="0" borderId="0" xfId="0" applyFont="1"/>
    <xf numFmtId="14" fontId="142" fillId="0" borderId="0" xfId="0" applyNumberFormat="1" applyFont="1"/>
    <xf numFmtId="14" fontId="120" fillId="0" borderId="0" xfId="0" applyNumberFormat="1" applyFont="1"/>
    <xf numFmtId="14" fontId="180" fillId="0" borderId="0" xfId="0" applyNumberFormat="1" applyFont="1"/>
    <xf numFmtId="14" fontId="196" fillId="0" borderId="0" xfId="0" applyNumberFormat="1" applyFont="1"/>
    <xf numFmtId="14" fontId="147" fillId="0" borderId="0" xfId="0" applyNumberFormat="1" applyFont="1"/>
    <xf numFmtId="14" fontId="161" fillId="0" borderId="0" xfId="0" applyNumberFormat="1" applyFont="1"/>
    <xf numFmtId="0" fontId="155" fillId="0" borderId="0" xfId="0" applyFont="1"/>
    <xf numFmtId="0" fontId="156" fillId="0" borderId="0" xfId="0" applyFont="1"/>
    <xf numFmtId="49" fontId="0" fillId="9" borderId="0" xfId="0" applyNumberFormat="1" applyFill="1" applyAlignment="1">
      <alignment vertical="top" wrapText="1"/>
    </xf>
    <xf numFmtId="49" fontId="0" fillId="25" borderId="0" xfId="0" applyNumberFormat="1" applyFill="1" applyAlignment="1">
      <alignment vertical="top"/>
    </xf>
    <xf numFmtId="49" fontId="218" fillId="0" borderId="0" xfId="0" applyNumberFormat="1" applyFont="1" applyAlignment="1">
      <alignment vertical="top"/>
    </xf>
    <xf numFmtId="49" fontId="217" fillId="0" borderId="0" xfId="0" applyNumberFormat="1" applyFont="1" applyAlignment="1">
      <alignment vertical="top"/>
    </xf>
    <xf numFmtId="49" fontId="229" fillId="8" borderId="0" xfId="0" applyNumberFormat="1" applyFont="1" applyFill="1" applyAlignment="1">
      <alignment vertical="top" wrapText="1"/>
    </xf>
    <xf numFmtId="49" fontId="237" fillId="25" borderId="0" xfId="0" applyNumberFormat="1" applyFont="1" applyFill="1" applyAlignment="1">
      <alignment vertical="top" wrapText="1"/>
    </xf>
    <xf numFmtId="49" fontId="237" fillId="0" borderId="0" xfId="0" applyNumberFormat="1" applyFont="1" applyAlignment="1">
      <alignment vertical="top" wrapText="1"/>
    </xf>
    <xf numFmtId="49" fontId="229" fillId="25" borderId="0" xfId="0" applyNumberFormat="1" applyFont="1" applyFill="1" applyAlignment="1">
      <alignment vertical="top" wrapText="1"/>
    </xf>
    <xf numFmtId="49" fontId="248" fillId="0" borderId="0" xfId="0" applyNumberFormat="1" applyFont="1" applyAlignment="1">
      <alignment horizontal="left" vertical="top" wrapText="1"/>
    </xf>
    <xf numFmtId="49" fontId="261" fillId="26" borderId="0" xfId="0" applyNumberFormat="1" applyFont="1" applyFill="1" applyAlignment="1">
      <alignment vertical="top"/>
    </xf>
    <xf numFmtId="49" fontId="235" fillId="0" borderId="0" xfId="0" applyNumberFormat="1" applyFont="1" applyAlignment="1">
      <alignment vertical="top" wrapText="1"/>
    </xf>
    <xf numFmtId="49" fontId="253" fillId="0" borderId="0" xfId="0" applyNumberFormat="1" applyFont="1" applyAlignment="1">
      <alignment vertical="top" wrapText="1"/>
    </xf>
    <xf numFmtId="49" fontId="167" fillId="0" borderId="0" xfId="0" applyNumberFormat="1" applyFont="1" applyAlignment="1">
      <alignment vertical="top"/>
    </xf>
    <xf numFmtId="49" fontId="0" fillId="0" borderId="0" xfId="0" applyNumberFormat="1" applyAlignment="1">
      <alignment vertical="top" wrapText="1"/>
    </xf>
    <xf numFmtId="49" fontId="233" fillId="0" borderId="0" xfId="0" applyNumberFormat="1" applyFont="1" applyAlignment="1">
      <alignment vertical="top"/>
    </xf>
    <xf numFmtId="49" fontId="229" fillId="9" borderId="0" xfId="0" applyNumberFormat="1" applyFont="1" applyFill="1" applyAlignment="1">
      <alignment vertical="top" wrapText="1"/>
    </xf>
    <xf numFmtId="49" fontId="207" fillId="0" borderId="0" xfId="0" applyNumberFormat="1" applyFont="1" applyAlignment="1">
      <alignment vertical="top"/>
    </xf>
    <xf numFmtId="49" fontId="162" fillId="0" borderId="0" xfId="0" applyNumberFormat="1" applyFont="1" applyAlignment="1">
      <alignment vertical="top" wrapText="1"/>
    </xf>
    <xf numFmtId="49" fontId="253" fillId="25" borderId="0" xfId="0" applyNumberFormat="1" applyFont="1" applyFill="1" applyAlignment="1">
      <alignment vertical="top" wrapText="1"/>
    </xf>
    <xf numFmtId="49" fontId="203" fillId="0" borderId="0" xfId="0" applyNumberFormat="1" applyFont="1" applyAlignment="1">
      <alignment vertical="top"/>
    </xf>
    <xf numFmtId="0" fontId="258" fillId="0" borderId="0" xfId="0" applyFont="1" applyAlignment="1">
      <alignment vertical="top"/>
    </xf>
    <xf numFmtId="49" fontId="109" fillId="0" borderId="0" xfId="0" applyNumberFormat="1" applyFont="1" applyAlignment="1">
      <alignment vertical="top"/>
    </xf>
    <xf numFmtId="49" fontId="197" fillId="0" borderId="0" xfId="0" applyNumberFormat="1" applyFont="1" applyAlignment="1">
      <alignment vertical="top"/>
    </xf>
    <xf numFmtId="49" fontId="0" fillId="25" borderId="0" xfId="0" applyNumberFormat="1" applyFill="1" applyAlignment="1">
      <alignment vertical="top" wrapText="1"/>
    </xf>
    <xf numFmtId="49" fontId="254" fillId="25" borderId="0" xfId="1" applyNumberFormat="1" applyFont="1" applyFill="1" applyAlignment="1">
      <alignment vertical="top" wrapText="1"/>
    </xf>
    <xf numFmtId="49" fontId="175" fillId="0" borderId="0" xfId="0" applyNumberFormat="1" applyFont="1" applyAlignment="1">
      <alignment vertical="top"/>
    </xf>
    <xf numFmtId="49" fontId="185" fillId="0" borderId="0" xfId="0" applyNumberFormat="1" applyFont="1" applyAlignment="1">
      <alignment vertical="top"/>
    </xf>
    <xf numFmtId="49" fontId="130" fillId="9" borderId="0" xfId="0" applyNumberFormat="1" applyFont="1" applyFill="1" applyAlignment="1">
      <alignment vertical="top"/>
    </xf>
    <xf numFmtId="49" fontId="123" fillId="0" borderId="0" xfId="0" applyNumberFormat="1" applyFont="1" applyAlignment="1">
      <alignment horizontal="right" vertical="top"/>
    </xf>
    <xf numFmtId="0" fontId="96" fillId="8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228" fillId="0" borderId="14" xfId="0" applyFont="1" applyBorder="1" applyAlignment="1">
      <alignment horizontal="center" vertical="top" wrapText="1"/>
    </xf>
    <xf numFmtId="0" fontId="268" fillId="0" borderId="0" xfId="0" applyFont="1" applyAlignment="1">
      <alignment vertical="top" wrapText="1"/>
    </xf>
    <xf numFmtId="0" fontId="24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right" vertical="top"/>
    </xf>
    <xf numFmtId="2" fontId="0" fillId="0" borderId="0" xfId="0" applyNumberFormat="1" applyAlignment="1">
      <alignment vertical="top"/>
    </xf>
    <xf numFmtId="2" fontId="214" fillId="0" borderId="0" xfId="0" applyNumberFormat="1" applyFont="1" applyAlignment="1">
      <alignment vertical="top"/>
    </xf>
    <xf numFmtId="0" fontId="0" fillId="4" borderId="0" xfId="0" applyFill="1" applyAlignment="1">
      <alignment vertical="top"/>
    </xf>
    <xf numFmtId="2" fontId="0" fillId="4" borderId="0" xfId="0" applyNumberFormat="1" applyFill="1" applyAlignment="1">
      <alignment vertical="top"/>
    </xf>
    <xf numFmtId="4" fontId="228" fillId="0" borderId="0" xfId="0" applyNumberFormat="1" applyFont="1" applyAlignment="1">
      <alignment horizontal="center" vertical="top" wrapText="1"/>
    </xf>
    <xf numFmtId="0" fontId="228" fillId="0" borderId="0" xfId="0" applyFont="1" applyAlignment="1">
      <alignment horizontal="center" vertical="top" wrapText="1"/>
    </xf>
    <xf numFmtId="0" fontId="230" fillId="0" borderId="0" xfId="0" applyFont="1" applyAlignment="1">
      <alignment horizontal="center" vertical="top" wrapText="1"/>
    </xf>
    <xf numFmtId="0" fontId="209" fillId="0" borderId="0" xfId="0" applyFont="1" applyAlignment="1">
      <alignment vertical="top"/>
    </xf>
    <xf numFmtId="0" fontId="269" fillId="0" borderId="0" xfId="0" applyFont="1" applyAlignment="1">
      <alignment horizontal="right" vertical="top" wrapText="1"/>
    </xf>
    <xf numFmtId="0" fontId="268" fillId="0" borderId="0" xfId="0" applyFont="1" applyAlignment="1">
      <alignment horizontal="right" vertical="top" wrapText="1"/>
    </xf>
    <xf numFmtId="2" fontId="269" fillId="0" borderId="0" xfId="0" applyNumberFormat="1" applyFont="1" applyAlignment="1">
      <alignment horizontal="right" vertical="top" wrapText="1"/>
    </xf>
    <xf numFmtId="2" fontId="209" fillId="0" borderId="1" xfId="0" applyNumberFormat="1" applyFont="1" applyBorder="1" applyAlignment="1">
      <alignment horizontal="right" vertical="top"/>
    </xf>
    <xf numFmtId="0" fontId="218" fillId="0" borderId="0" xfId="0" applyFont="1" applyAlignment="1">
      <alignment vertical="top"/>
    </xf>
    <xf numFmtId="4" fontId="209" fillId="0" borderId="0" xfId="0" applyNumberFormat="1" applyFont="1" applyAlignment="1">
      <alignment horizontal="right" vertical="top"/>
    </xf>
    <xf numFmtId="2" fontId="209" fillId="0" borderId="0" xfId="0" applyNumberFormat="1" applyFont="1" applyAlignment="1">
      <alignment horizontal="right" vertical="top"/>
    </xf>
    <xf numFmtId="4" fontId="218" fillId="0" borderId="0" xfId="0" applyNumberFormat="1" applyFont="1" applyAlignment="1">
      <alignment horizontal="right" vertical="top"/>
    </xf>
    <xf numFmtId="0" fontId="96" fillId="0" borderId="1" xfId="0" quotePrefix="1" applyFont="1" applyBorder="1" applyAlignment="1">
      <alignment horizontal="right" vertical="top"/>
    </xf>
    <xf numFmtId="2" fontId="218" fillId="0" borderId="0" xfId="0" applyNumberFormat="1" applyFont="1" applyAlignment="1">
      <alignment horizontal="right" vertical="top"/>
    </xf>
    <xf numFmtId="2" fontId="231" fillId="0" borderId="0" xfId="0" applyNumberFormat="1" applyFont="1" applyAlignment="1">
      <alignment horizontal="right" vertical="top"/>
    </xf>
    <xf numFmtId="0" fontId="247" fillId="0" borderId="0" xfId="0" quotePrefix="1" applyFont="1" applyAlignment="1">
      <alignment horizontal="right" vertical="top"/>
    </xf>
    <xf numFmtId="0" fontId="96" fillId="0" borderId="0" xfId="0" quotePrefix="1" applyFont="1" applyAlignment="1">
      <alignment horizontal="right" vertical="top"/>
    </xf>
    <xf numFmtId="16" fontId="96" fillId="0" borderId="0" xfId="0" quotePrefix="1" applyNumberFormat="1" applyFont="1" applyAlignment="1">
      <alignment horizontal="right" vertical="top"/>
    </xf>
    <xf numFmtId="2" fontId="218" fillId="0" borderId="0" xfId="0" applyNumberFormat="1" applyFont="1" applyAlignment="1">
      <alignment horizontal="right" vertical="top" wrapText="1"/>
    </xf>
    <xf numFmtId="2" fontId="279" fillId="0" borderId="0" xfId="0" applyNumberFormat="1" applyFont="1" applyAlignment="1">
      <alignment horizontal="right" vertical="top" wrapText="1"/>
    </xf>
    <xf numFmtId="2" fontId="209" fillId="0" borderId="0" xfId="0" applyNumberFormat="1" applyFont="1" applyAlignment="1">
      <alignment horizontal="right" vertical="top" wrapText="1"/>
    </xf>
    <xf numFmtId="16" fontId="96" fillId="0" borderId="1" xfId="0" quotePrefix="1" applyNumberFormat="1" applyFont="1" applyBorder="1" applyAlignment="1">
      <alignment horizontal="right" vertical="top"/>
    </xf>
    <xf numFmtId="0" fontId="218" fillId="0" borderId="0" xfId="0" applyFont="1" applyAlignment="1">
      <alignment horizontal="right" vertical="top"/>
    </xf>
    <xf numFmtId="2" fontId="96" fillId="0" borderId="0" xfId="0" applyNumberFormat="1" applyFont="1" applyAlignment="1">
      <alignment horizontal="right" vertical="top" wrapText="1"/>
    </xf>
    <xf numFmtId="2" fontId="150" fillId="0" borderId="0" xfId="0" applyNumberFormat="1" applyFont="1" applyAlignment="1">
      <alignment horizontal="right" vertical="top" wrapText="1"/>
    </xf>
    <xf numFmtId="2" fontId="192" fillId="0" borderId="0" xfId="0" applyNumberFormat="1" applyFont="1" applyAlignment="1">
      <alignment horizontal="right" vertical="top" wrapText="1"/>
    </xf>
    <xf numFmtId="2" fontId="231" fillId="0" borderId="0" xfId="0" applyNumberFormat="1" applyFont="1" applyAlignment="1">
      <alignment horizontal="right" vertical="top" wrapText="1"/>
    </xf>
    <xf numFmtId="16" fontId="205" fillId="0" borderId="0" xfId="0" quotePrefix="1" applyNumberFormat="1" applyFont="1" applyAlignment="1">
      <alignment horizontal="right" vertical="top"/>
    </xf>
    <xf numFmtId="4" fontId="0" fillId="0" borderId="0" xfId="0" applyNumberFormat="1" applyAlignment="1">
      <alignment vertical="top" wrapText="1"/>
    </xf>
    <xf numFmtId="2" fontId="268" fillId="0" borderId="0" xfId="0" applyNumberFormat="1" applyFont="1" applyAlignment="1">
      <alignment horizontal="right" vertical="top" wrapText="1"/>
    </xf>
    <xf numFmtId="14" fontId="268" fillId="0" borderId="0" xfId="0" applyNumberFormat="1" applyFont="1" applyAlignment="1">
      <alignment horizontal="right" vertical="top" wrapText="1"/>
    </xf>
    <xf numFmtId="2" fontId="248" fillId="0" borderId="0" xfId="0" applyNumberFormat="1" applyFont="1" applyAlignment="1">
      <alignment horizontal="right" vertical="top" wrapText="1"/>
    </xf>
    <xf numFmtId="49" fontId="218" fillId="0" borderId="0" xfId="0" applyNumberFormat="1" applyFont="1" applyAlignment="1">
      <alignment horizontal="right" vertical="top"/>
    </xf>
    <xf numFmtId="4" fontId="209" fillId="0" borderId="0" xfId="0" quotePrefix="1" applyNumberFormat="1" applyFont="1" applyAlignment="1">
      <alignment horizontal="right" vertical="top"/>
    </xf>
    <xf numFmtId="49" fontId="209" fillId="0" borderId="0" xfId="0" applyNumberFormat="1" applyFont="1" applyAlignment="1">
      <alignment horizontal="right" vertical="top"/>
    </xf>
    <xf numFmtId="4" fontId="205" fillId="0" borderId="0" xfId="0" quotePrefix="1" applyNumberFormat="1" applyFont="1" applyAlignment="1">
      <alignment horizontal="right" vertical="top"/>
    </xf>
    <xf numFmtId="2" fontId="233" fillId="0" borderId="0" xfId="0" applyNumberFormat="1" applyFont="1" applyAlignment="1">
      <alignment horizontal="right" vertical="top"/>
    </xf>
    <xf numFmtId="16" fontId="95" fillId="0" borderId="1" xfId="0" quotePrefix="1" applyNumberFormat="1" applyFont="1" applyBorder="1" applyAlignment="1">
      <alignment horizontal="right" vertical="top"/>
    </xf>
    <xf numFmtId="16" fontId="95" fillId="0" borderId="0" xfId="0" quotePrefix="1" applyNumberFormat="1" applyFont="1" applyAlignment="1">
      <alignment horizontal="right" vertical="top"/>
    </xf>
    <xf numFmtId="0" fontId="95" fillId="0" borderId="0" xfId="0" quotePrefix="1" applyFont="1" applyAlignment="1">
      <alignment horizontal="right" vertical="top"/>
    </xf>
    <xf numFmtId="2" fontId="95" fillId="0" borderId="0" xfId="0" applyNumberFormat="1" applyFont="1" applyAlignment="1">
      <alignment horizontal="right" vertical="top" wrapText="1"/>
    </xf>
    <xf numFmtId="0" fontId="95" fillId="0" borderId="0" xfId="0" applyFont="1" applyAlignment="1">
      <alignment horizontal="right" vertical="top"/>
    </xf>
    <xf numFmtId="0" fontId="95" fillId="0" borderId="1" xfId="0" quotePrefix="1" applyFont="1" applyBorder="1" applyAlignment="1">
      <alignment horizontal="right" vertical="top"/>
    </xf>
    <xf numFmtId="14" fontId="279" fillId="0" borderId="0" xfId="0" applyNumberFormat="1" applyFont="1" applyAlignment="1">
      <alignment horizontal="right" vertical="top"/>
    </xf>
    <xf numFmtId="0" fontId="279" fillId="0" borderId="0" xfId="0" applyFont="1" applyAlignment="1">
      <alignment horizontal="right" vertical="top"/>
    </xf>
    <xf numFmtId="0" fontId="228" fillId="0" borderId="11" xfId="0" applyFont="1" applyBorder="1" applyAlignment="1">
      <alignment horizontal="center" vertical="top" wrapText="1"/>
    </xf>
    <xf numFmtId="0" fontId="228" fillId="0" borderId="12" xfId="0" applyFont="1" applyBorder="1" applyAlignment="1">
      <alignment horizontal="center" vertical="top" wrapText="1"/>
    </xf>
    <xf numFmtId="49" fontId="228" fillId="0" borderId="12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" fontId="214" fillId="0" borderId="0" xfId="0" applyNumberFormat="1" applyFont="1" applyAlignment="1">
      <alignment horizontal="center" vertical="top" wrapText="1"/>
    </xf>
    <xf numFmtId="0" fontId="214" fillId="0" borderId="0" xfId="0" applyFont="1" applyAlignment="1">
      <alignment horizontal="center" vertical="top" wrapText="1"/>
    </xf>
    <xf numFmtId="2" fontId="234" fillId="0" borderId="0" xfId="0" applyNumberFormat="1" applyFont="1" applyAlignment="1">
      <alignment horizontal="center" vertical="top" wrapText="1"/>
    </xf>
    <xf numFmtId="14" fontId="280" fillId="0" borderId="0" xfId="0" applyNumberFormat="1" applyFont="1" applyAlignment="1">
      <alignment horizontal="center" vertical="top" wrapText="1"/>
    </xf>
    <xf numFmtId="49" fontId="207" fillId="0" borderId="0" xfId="0" applyNumberFormat="1" applyFont="1" applyAlignment="1">
      <alignment horizontal="center" vertical="center"/>
    </xf>
    <xf numFmtId="2" fontId="280" fillId="0" borderId="0" xfId="0" applyNumberFormat="1" applyFont="1" applyAlignment="1">
      <alignment horizontal="center" vertical="top" wrapText="1"/>
    </xf>
    <xf numFmtId="2" fontId="0" fillId="0" borderId="0" xfId="0" applyNumberFormat="1" applyAlignment="1">
      <alignment vertical="top" wrapText="1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horizontal="center" vertical="top" wrapText="1"/>
    </xf>
    <xf numFmtId="49" fontId="207" fillId="9" borderId="0" xfId="0" applyNumberFormat="1" applyFont="1" applyFill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209" fillId="4" borderId="0" xfId="0" applyFont="1" applyFill="1" applyAlignment="1">
      <alignment horizontal="center" vertical="top" wrapText="1"/>
    </xf>
    <xf numFmtId="0" fontId="214" fillId="8" borderId="0" xfId="0" applyFont="1" applyFill="1" applyAlignment="1">
      <alignment horizontal="center" vertical="top" wrapText="1"/>
    </xf>
    <xf numFmtId="0" fontId="214" fillId="8" borderId="0" xfId="0" applyFont="1" applyFill="1" applyAlignment="1">
      <alignment vertical="top" wrapText="1"/>
    </xf>
    <xf numFmtId="0" fontId="207" fillId="0" borderId="0" xfId="0" applyFont="1" applyAlignment="1">
      <alignment horizontal="center" vertical="top" wrapText="1"/>
    </xf>
    <xf numFmtId="0" fontId="270" fillId="0" borderId="0" xfId="0" applyFont="1" applyAlignment="1">
      <alignment vertical="top"/>
    </xf>
    <xf numFmtId="0" fontId="267" fillId="0" borderId="0" xfId="0" applyFont="1" applyAlignment="1">
      <alignment vertical="top"/>
    </xf>
    <xf numFmtId="0" fontId="273" fillId="0" borderId="0" xfId="0" applyFont="1" applyAlignment="1">
      <alignment vertical="top"/>
    </xf>
    <xf numFmtId="0" fontId="0" fillId="0" borderId="0" xfId="0" applyAlignment="1">
      <alignment vertical="center"/>
    </xf>
    <xf numFmtId="49" fontId="207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248" fillId="4" borderId="0" xfId="0" applyFont="1" applyFill="1" applyAlignment="1">
      <alignment horizontal="center" vertical="top" wrapText="1"/>
    </xf>
    <xf numFmtId="0" fontId="179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248" fillId="0" borderId="0" xfId="0" applyFont="1" applyAlignment="1">
      <alignment horizontal="center" vertical="top" wrapText="1"/>
    </xf>
    <xf numFmtId="14" fontId="208" fillId="0" borderId="0" xfId="1" applyNumberFormat="1" applyFill="1" applyAlignment="1">
      <alignment vertical="top"/>
    </xf>
    <xf numFmtId="0" fontId="0" fillId="4" borderId="0" xfId="0" applyFill="1" applyAlignment="1">
      <alignment horizontal="center" vertical="top"/>
    </xf>
    <xf numFmtId="0" fontId="95" fillId="0" borderId="0" xfId="0" applyFont="1" applyAlignment="1">
      <alignment vertical="top"/>
    </xf>
    <xf numFmtId="0" fontId="0" fillId="9" borderId="0" xfId="0" applyFill="1" applyAlignment="1">
      <alignment vertical="top"/>
    </xf>
    <xf numFmtId="0" fontId="248" fillId="0" borderId="0" xfId="0" applyFont="1" applyAlignment="1">
      <alignment horizontal="center" vertical="top"/>
    </xf>
    <xf numFmtId="0" fontId="208" fillId="0" borderId="0" xfId="1" applyFill="1" applyAlignment="1">
      <alignment vertical="top"/>
    </xf>
    <xf numFmtId="49" fontId="248" fillId="0" borderId="0" xfId="0" applyNumberFormat="1" applyFont="1" applyAlignment="1">
      <alignment vertical="top"/>
    </xf>
    <xf numFmtId="49" fontId="248" fillId="0" borderId="0" xfId="0" applyNumberFormat="1" applyFont="1" applyAlignment="1">
      <alignment horizontal="center" vertical="top"/>
    </xf>
    <xf numFmtId="0" fontId="243" fillId="6" borderId="0" xfId="0" applyFont="1" applyFill="1" applyAlignment="1">
      <alignment vertical="top"/>
    </xf>
    <xf numFmtId="0" fontId="248" fillId="0" borderId="0" xfId="0" applyFont="1" applyAlignment="1">
      <alignment vertical="top"/>
    </xf>
    <xf numFmtId="14" fontId="248" fillId="0" borderId="0" xfId="0" applyNumberFormat="1" applyFont="1" applyAlignment="1">
      <alignment horizontal="center" vertical="top"/>
    </xf>
    <xf numFmtId="0" fontId="218" fillId="0" borderId="0" xfId="0" applyFont="1" applyAlignment="1">
      <alignment horizontal="center" vertical="top"/>
    </xf>
    <xf numFmtId="49" fontId="218" fillId="0" borderId="0" xfId="0" quotePrefix="1" applyNumberFormat="1" applyFont="1" applyAlignment="1">
      <alignment horizontal="center" vertical="top"/>
    </xf>
    <xf numFmtId="14" fontId="218" fillId="0" borderId="0" xfId="0" applyNumberFormat="1" applyFont="1" applyAlignment="1">
      <alignment horizontal="center" vertical="top"/>
    </xf>
    <xf numFmtId="0" fontId="247" fillId="0" borderId="0" xfId="0" applyFont="1" applyAlignment="1">
      <alignment horizontal="center" vertical="top"/>
    </xf>
    <xf numFmtId="49" fontId="274" fillId="0" borderId="0" xfId="0" applyNumberFormat="1" applyFont="1" applyAlignment="1">
      <alignment horizontal="center" vertical="top" wrapText="1"/>
    </xf>
    <xf numFmtId="49" fontId="218" fillId="0" borderId="0" xfId="0" applyNumberFormat="1" applyFont="1" applyAlignment="1">
      <alignment horizontal="center" vertical="top"/>
    </xf>
    <xf numFmtId="0" fontId="171" fillId="0" borderId="0" xfId="0" applyFont="1" applyAlignment="1">
      <alignment horizontal="center" vertical="top"/>
    </xf>
    <xf numFmtId="0" fontId="94" fillId="0" borderId="0" xfId="0" applyFont="1" applyAlignment="1">
      <alignment vertical="top"/>
    </xf>
    <xf numFmtId="49" fontId="281" fillId="0" borderId="0" xfId="0" applyNumberFormat="1" applyFont="1" applyAlignment="1">
      <alignment horizontal="center" vertical="top" wrapText="1"/>
    </xf>
    <xf numFmtId="49" fontId="118" fillId="0" borderId="0" xfId="0" quotePrefix="1" applyNumberFormat="1" applyFont="1" applyAlignment="1">
      <alignment vertical="top"/>
    </xf>
    <xf numFmtId="0" fontId="143" fillId="4" borderId="0" xfId="0" applyFont="1" applyFill="1" applyAlignment="1">
      <alignment horizontal="center" vertical="top"/>
    </xf>
    <xf numFmtId="0" fontId="143" fillId="0" borderId="0" xfId="0" applyFont="1" applyAlignment="1">
      <alignment horizontal="center" vertical="top"/>
    </xf>
    <xf numFmtId="0" fontId="208" fillId="0" borderId="0" xfId="1" applyFill="1" applyAlignment="1">
      <alignment vertical="top" wrapText="1"/>
    </xf>
    <xf numFmtId="49" fontId="218" fillId="0" borderId="0" xfId="0" quotePrefix="1" applyNumberFormat="1" applyFont="1" applyAlignment="1">
      <alignment vertical="top"/>
    </xf>
    <xf numFmtId="0" fontId="170" fillId="0" borderId="0" xfId="0" applyFont="1" applyAlignment="1">
      <alignment horizontal="center" vertical="top"/>
    </xf>
    <xf numFmtId="0" fontId="119" fillId="4" borderId="0" xfId="0" applyFont="1" applyFill="1" applyAlignment="1">
      <alignment horizontal="center" vertical="top"/>
    </xf>
    <xf numFmtId="0" fontId="0" fillId="9" borderId="0" xfId="0" applyFill="1" applyAlignment="1">
      <alignment horizontal="center" vertical="top"/>
    </xf>
    <xf numFmtId="0" fontId="193" fillId="0" borderId="0" xfId="0" applyFont="1" applyAlignment="1">
      <alignment horizontal="center" vertical="top"/>
    </xf>
    <xf numFmtId="0" fontId="236" fillId="0" borderId="0" xfId="1" applyFont="1" applyFill="1" applyAlignment="1">
      <alignment vertical="top"/>
    </xf>
    <xf numFmtId="49" fontId="282" fillId="0" borderId="0" xfId="0" applyNumberFormat="1" applyFont="1" applyAlignment="1">
      <alignment horizontal="center" vertical="top"/>
    </xf>
    <xf numFmtId="0" fontId="107" fillId="0" borderId="0" xfId="0" applyFont="1" applyAlignment="1">
      <alignment vertical="top"/>
    </xf>
    <xf numFmtId="49" fontId="207" fillId="0" borderId="0" xfId="0" applyNumberFormat="1" applyFont="1" applyAlignment="1">
      <alignment horizontal="center" vertical="top" wrapText="1"/>
    </xf>
    <xf numFmtId="0" fontId="252" fillId="0" borderId="0" xfId="1" applyFont="1" applyFill="1" applyAlignment="1">
      <alignment horizontal="left" vertical="top" wrapText="1"/>
    </xf>
    <xf numFmtId="49" fontId="250" fillId="0" borderId="0" xfId="0" applyNumberFormat="1" applyFont="1" applyAlignment="1">
      <alignment horizontal="left" vertical="top" wrapText="1"/>
    </xf>
    <xf numFmtId="0" fontId="251" fillId="0" borderId="0" xfId="0" applyFont="1" applyAlignment="1">
      <alignment horizontal="center" vertical="top" wrapText="1"/>
    </xf>
    <xf numFmtId="0" fontId="248" fillId="0" borderId="0" xfId="0" applyFont="1" applyAlignment="1">
      <alignment horizontal="left" vertical="top" wrapText="1"/>
    </xf>
    <xf numFmtId="0" fontId="251" fillId="0" borderId="0" xfId="0" applyFont="1" applyAlignment="1">
      <alignment horizontal="left" vertical="top" wrapText="1"/>
    </xf>
    <xf numFmtId="0" fontId="251" fillId="12" borderId="0" xfId="0" applyFont="1" applyFill="1" applyAlignment="1">
      <alignment horizontal="center" vertical="top"/>
    </xf>
    <xf numFmtId="49" fontId="207" fillId="0" borderId="0" xfId="0" quotePrefix="1" applyNumberFormat="1" applyFont="1" applyAlignment="1">
      <alignment horizontal="center" vertical="top"/>
    </xf>
    <xf numFmtId="0" fontId="106" fillId="0" borderId="0" xfId="0" applyFont="1" applyAlignment="1">
      <alignment vertical="top"/>
    </xf>
    <xf numFmtId="0" fontId="0" fillId="5" borderId="0" xfId="0" applyFill="1" applyAlignment="1">
      <alignment vertical="top"/>
    </xf>
    <xf numFmtId="49" fontId="277" fillId="0" borderId="0" xfId="0" applyNumberFormat="1" applyFont="1" applyAlignment="1">
      <alignment horizontal="center" vertical="top" wrapText="1"/>
    </xf>
    <xf numFmtId="0" fontId="208" fillId="0" borderId="0" xfId="1" applyAlignment="1">
      <alignment vertical="top"/>
    </xf>
    <xf numFmtId="0" fontId="157" fillId="0" borderId="0" xfId="0" applyFont="1" applyAlignment="1">
      <alignment horizontal="center" vertical="top"/>
    </xf>
    <xf numFmtId="49" fontId="0" fillId="0" borderId="0" xfId="0" quotePrefix="1" applyNumberFormat="1" applyAlignment="1">
      <alignment vertical="top"/>
    </xf>
    <xf numFmtId="49" fontId="106" fillId="0" borderId="0" xfId="0" applyNumberFormat="1" applyFont="1" applyAlignment="1">
      <alignment vertical="top"/>
    </xf>
    <xf numFmtId="49" fontId="131" fillId="0" borderId="0" xfId="0" applyNumberFormat="1" applyFont="1" applyAlignment="1">
      <alignment horizontal="center" vertical="top"/>
    </xf>
    <xf numFmtId="0" fontId="170" fillId="0" borderId="0" xfId="0" applyFont="1" applyAlignment="1">
      <alignment vertical="top"/>
    </xf>
    <xf numFmtId="0" fontId="208" fillId="8" borderId="0" xfId="1" applyFill="1" applyAlignment="1">
      <alignment vertical="top"/>
    </xf>
    <xf numFmtId="0" fontId="167" fillId="0" borderId="0" xfId="0" applyFont="1" applyAlignment="1">
      <alignment vertical="top"/>
    </xf>
    <xf numFmtId="0" fontId="167" fillId="0" borderId="0" xfId="0" applyFont="1" applyAlignment="1">
      <alignment horizontal="center" vertical="top"/>
    </xf>
    <xf numFmtId="0" fontId="218" fillId="9" borderId="0" xfId="0" applyFont="1" applyFill="1" applyAlignment="1">
      <alignment horizontal="center" vertical="top"/>
    </xf>
    <xf numFmtId="49" fontId="214" fillId="0" borderId="0" xfId="0" applyNumberFormat="1" applyFont="1" applyAlignment="1">
      <alignment horizontal="center" vertical="top"/>
    </xf>
    <xf numFmtId="0" fontId="0" fillId="6" borderId="0" xfId="0" applyFill="1" applyAlignment="1">
      <alignment vertical="top"/>
    </xf>
    <xf numFmtId="49" fontId="283" fillId="0" borderId="0" xfId="0" applyNumberFormat="1" applyFont="1" applyAlignment="1">
      <alignment horizontal="center" vertical="top"/>
    </xf>
    <xf numFmtId="0" fontId="141" fillId="0" borderId="0" xfId="0" applyFont="1" applyAlignment="1">
      <alignment horizontal="center" vertical="top"/>
    </xf>
    <xf numFmtId="49" fontId="276" fillId="0" borderId="0" xfId="0" applyNumberFormat="1" applyFont="1" applyAlignment="1">
      <alignment horizontal="center" vertical="top" wrapText="1"/>
    </xf>
    <xf numFmtId="0" fontId="236" fillId="0" borderId="0" xfId="1" applyFont="1" applyFill="1" applyAlignment="1">
      <alignment vertical="top" wrapText="1"/>
    </xf>
    <xf numFmtId="49" fontId="131" fillId="8" borderId="0" xfId="0" applyNumberFormat="1" applyFont="1" applyFill="1" applyAlignment="1">
      <alignment horizontal="center" vertical="top"/>
    </xf>
    <xf numFmtId="49" fontId="207" fillId="9" borderId="0" xfId="0" applyNumberFormat="1" applyFont="1" applyFill="1" applyAlignment="1">
      <alignment horizontal="center" vertical="top"/>
    </xf>
    <xf numFmtId="0" fontId="170" fillId="9" borderId="0" xfId="0" applyFont="1" applyFill="1" applyAlignment="1">
      <alignment vertical="top"/>
    </xf>
    <xf numFmtId="14" fontId="218" fillId="9" borderId="0" xfId="0" applyNumberFormat="1" applyFont="1" applyFill="1" applyAlignment="1">
      <alignment horizontal="center" vertical="top"/>
    </xf>
    <xf numFmtId="0" fontId="105" fillId="0" borderId="0" xfId="0" applyFont="1" applyAlignment="1">
      <alignment vertical="top"/>
    </xf>
    <xf numFmtId="49" fontId="284" fillId="27" borderId="0" xfId="0" applyNumberFormat="1" applyFont="1" applyFill="1" applyAlignment="1">
      <alignment horizontal="center" vertical="top" wrapText="1"/>
    </xf>
    <xf numFmtId="49" fontId="168" fillId="0" borderId="0" xfId="0" applyNumberFormat="1" applyFont="1" applyAlignment="1">
      <alignment vertical="top"/>
    </xf>
    <xf numFmtId="49" fontId="233" fillId="0" borderId="0" xfId="0" quotePrefix="1" applyNumberFormat="1" applyFont="1" applyAlignment="1">
      <alignment horizontal="center" vertical="top" wrapText="1"/>
    </xf>
    <xf numFmtId="0" fontId="114" fillId="0" borderId="0" xfId="0" applyFont="1" applyAlignment="1">
      <alignment horizontal="center" vertical="top"/>
    </xf>
    <xf numFmtId="0" fontId="0" fillId="6" borderId="0" xfId="0" applyFill="1" applyAlignment="1">
      <alignment horizontal="center" vertical="top"/>
    </xf>
    <xf numFmtId="49" fontId="279" fillId="0" borderId="0" xfId="0" applyNumberFormat="1" applyFont="1" applyAlignment="1">
      <alignment horizontal="center" vertical="top" wrapText="1"/>
    </xf>
    <xf numFmtId="49" fontId="280" fillId="0" borderId="0" xfId="1" applyNumberFormat="1" applyFont="1" applyFill="1" applyAlignment="1">
      <alignment horizontal="center" vertical="top"/>
    </xf>
    <xf numFmtId="49" fontId="233" fillId="0" borderId="0" xfId="0" quotePrefix="1" applyNumberFormat="1" applyFont="1" applyAlignment="1">
      <alignment vertical="top"/>
    </xf>
    <xf numFmtId="49" fontId="284" fillId="0" borderId="0" xfId="0" applyNumberFormat="1" applyFont="1" applyAlignment="1">
      <alignment horizontal="center" vertical="top"/>
    </xf>
    <xf numFmtId="49" fontId="218" fillId="9" borderId="0" xfId="0" applyNumberFormat="1" applyFont="1" applyFill="1" applyAlignment="1">
      <alignment vertical="top"/>
    </xf>
    <xf numFmtId="0" fontId="171" fillId="9" borderId="0" xfId="0" applyFont="1" applyFill="1" applyAlignment="1">
      <alignment horizontal="center" vertical="top"/>
    </xf>
    <xf numFmtId="0" fontId="146" fillId="9" borderId="0" xfId="0" applyFont="1" applyFill="1" applyAlignment="1">
      <alignment vertical="top"/>
    </xf>
    <xf numFmtId="49" fontId="285" fillId="0" borderId="0" xfId="0" applyNumberFormat="1" applyFont="1" applyAlignment="1">
      <alignment horizontal="center" vertical="top"/>
    </xf>
    <xf numFmtId="0" fontId="184" fillId="0" borderId="0" xfId="0" applyFont="1" applyAlignment="1">
      <alignment horizontal="center" vertical="top"/>
    </xf>
    <xf numFmtId="49" fontId="190" fillId="0" borderId="0" xfId="0" applyNumberFormat="1" applyFont="1" applyAlignment="1">
      <alignment vertical="top"/>
    </xf>
    <xf numFmtId="0" fontId="115" fillId="0" borderId="0" xfId="0" applyFont="1" applyAlignment="1">
      <alignment horizontal="center" vertical="top"/>
    </xf>
    <xf numFmtId="0" fontId="248" fillId="4" borderId="0" xfId="0" applyFont="1" applyFill="1" applyAlignment="1">
      <alignment horizontal="center" vertical="top"/>
    </xf>
    <xf numFmtId="49" fontId="272" fillId="0" borderId="0" xfId="0" applyNumberFormat="1" applyFont="1" applyAlignment="1">
      <alignment horizontal="center" vertical="top" wrapText="1"/>
    </xf>
    <xf numFmtId="0" fontId="203" fillId="0" borderId="0" xfId="0" applyFont="1" applyAlignment="1">
      <alignment horizontal="center" vertical="top"/>
    </xf>
    <xf numFmtId="0" fontId="204" fillId="0" borderId="0" xfId="0" applyFont="1" applyAlignment="1">
      <alignment horizontal="center" vertical="top"/>
    </xf>
    <xf numFmtId="0" fontId="262" fillId="0" borderId="0" xfId="0" applyFont="1" applyAlignment="1">
      <alignment vertical="top"/>
    </xf>
    <xf numFmtId="49" fontId="280" fillId="0" borderId="0" xfId="0" applyNumberFormat="1" applyFont="1" applyAlignment="1">
      <alignment horizontal="center" vertical="top"/>
    </xf>
    <xf numFmtId="0" fontId="138" fillId="0" borderId="0" xfId="0" applyFont="1" applyAlignment="1">
      <alignment horizontal="center" vertical="top"/>
    </xf>
    <xf numFmtId="0" fontId="138" fillId="4" borderId="0" xfId="0" applyFont="1" applyFill="1" applyAlignment="1">
      <alignment horizontal="center" vertical="top"/>
    </xf>
    <xf numFmtId="49" fontId="98" fillId="0" borderId="0" xfId="0" applyNumberFormat="1" applyFont="1" applyAlignment="1">
      <alignment vertical="top"/>
    </xf>
    <xf numFmtId="0" fontId="186" fillId="0" borderId="0" xfId="0" applyFont="1" applyAlignment="1">
      <alignment horizontal="center" vertical="top"/>
    </xf>
    <xf numFmtId="0" fontId="193" fillId="9" borderId="0" xfId="0" applyFont="1" applyFill="1" applyAlignment="1">
      <alignment horizontal="center" vertical="top"/>
    </xf>
    <xf numFmtId="49" fontId="197" fillId="0" borderId="0" xfId="0" applyNumberFormat="1" applyFont="1" applyAlignment="1">
      <alignment horizontal="center" vertical="top"/>
    </xf>
    <xf numFmtId="0" fontId="197" fillId="0" borderId="0" xfId="0" applyFont="1" applyAlignment="1">
      <alignment horizontal="center" vertical="top"/>
    </xf>
    <xf numFmtId="0" fontId="127" fillId="4" borderId="0" xfId="0" applyFont="1" applyFill="1" applyAlignment="1">
      <alignment horizontal="center" vertical="top"/>
    </xf>
    <xf numFmtId="0" fontId="193" fillId="8" borderId="0" xfId="0" applyFont="1" applyFill="1" applyAlignment="1">
      <alignment horizontal="left" vertical="top"/>
    </xf>
    <xf numFmtId="0" fontId="232" fillId="0" borderId="0" xfId="0" applyFont="1" applyAlignment="1">
      <alignment horizontal="center" vertical="top"/>
    </xf>
    <xf numFmtId="49" fontId="242" fillId="0" borderId="0" xfId="0" applyNumberFormat="1" applyFont="1" applyAlignment="1">
      <alignment vertical="top" wrapText="1"/>
    </xf>
    <xf numFmtId="0" fontId="232" fillId="0" borderId="0" xfId="0" applyFont="1" applyAlignment="1">
      <alignment vertical="top"/>
    </xf>
    <xf numFmtId="14" fontId="232" fillId="0" borderId="0" xfId="0" applyNumberFormat="1" applyFont="1" applyAlignment="1">
      <alignment horizontal="center" vertical="top"/>
    </xf>
    <xf numFmtId="0" fontId="241" fillId="23" borderId="0" xfId="0" applyFont="1" applyFill="1" applyAlignment="1">
      <alignment vertical="top" wrapText="1"/>
    </xf>
    <xf numFmtId="49" fontId="174" fillId="0" borderId="0" xfId="0" applyNumberFormat="1" applyFont="1" applyAlignment="1">
      <alignment vertical="top"/>
    </xf>
    <xf numFmtId="49" fontId="124" fillId="0" borderId="0" xfId="0" applyNumberFormat="1" applyFont="1" applyAlignment="1">
      <alignment vertical="top"/>
    </xf>
    <xf numFmtId="0" fontId="173" fillId="0" borderId="0" xfId="0" applyFont="1" applyAlignment="1">
      <alignment horizontal="center" vertical="top"/>
    </xf>
    <xf numFmtId="0" fontId="218" fillId="24" borderId="0" xfId="0" applyFont="1" applyFill="1" applyAlignment="1">
      <alignment horizontal="center" vertical="top"/>
    </xf>
    <xf numFmtId="0" fontId="208" fillId="24" borderId="0" xfId="1" applyFill="1" applyAlignment="1">
      <alignment vertical="top"/>
    </xf>
    <xf numFmtId="14" fontId="218" fillId="24" borderId="0" xfId="0" applyNumberFormat="1" applyFont="1" applyFill="1" applyAlignment="1">
      <alignment horizontal="center" vertical="top"/>
    </xf>
    <xf numFmtId="0" fontId="218" fillId="0" borderId="0" xfId="0" quotePrefix="1" applyFont="1" applyAlignment="1">
      <alignment horizontal="center" vertical="top"/>
    </xf>
    <xf numFmtId="0" fontId="208" fillId="8" borderId="0" xfId="1" applyFill="1" applyAlignment="1">
      <alignment vertical="top" wrapText="1"/>
    </xf>
    <xf numFmtId="49" fontId="122" fillId="0" borderId="0" xfId="0" applyNumberFormat="1" applyFont="1" applyAlignment="1">
      <alignment vertical="top" wrapText="1"/>
    </xf>
    <xf numFmtId="0" fontId="208" fillId="25" borderId="0" xfId="1" applyFill="1" applyAlignment="1">
      <alignment vertical="top" wrapText="1"/>
    </xf>
    <xf numFmtId="49" fontId="135" fillId="0" borderId="0" xfId="0" applyNumberFormat="1" applyFont="1" applyAlignment="1">
      <alignment vertical="top"/>
    </xf>
    <xf numFmtId="0" fontId="175" fillId="0" borderId="0" xfId="0" applyFont="1" applyAlignment="1">
      <alignment horizontal="center" vertical="top"/>
    </xf>
    <xf numFmtId="0" fontId="110" fillId="25" borderId="0" xfId="0" applyFont="1" applyFill="1" applyAlignment="1">
      <alignment horizontal="left" vertical="top"/>
    </xf>
    <xf numFmtId="49" fontId="249" fillId="0" borderId="0" xfId="0" applyNumberFormat="1" applyFont="1" applyAlignment="1">
      <alignment horizontal="left" vertical="top" wrapText="1"/>
    </xf>
    <xf numFmtId="49" fontId="248" fillId="9" borderId="0" xfId="0" applyNumberFormat="1" applyFont="1" applyFill="1" applyAlignment="1">
      <alignment horizontal="center" vertical="top" wrapText="1"/>
    </xf>
    <xf numFmtId="49" fontId="137" fillId="0" borderId="0" xfId="0" applyNumberFormat="1" applyFont="1" applyAlignment="1">
      <alignment vertical="top"/>
    </xf>
    <xf numFmtId="0" fontId="137" fillId="0" borderId="0" xfId="0" applyFont="1" applyAlignment="1">
      <alignment horizontal="center" vertical="top"/>
    </xf>
    <xf numFmtId="0" fontId="136" fillId="0" borderId="0" xfId="0" applyFont="1" applyAlignment="1">
      <alignment horizontal="center" vertical="top"/>
    </xf>
    <xf numFmtId="49" fontId="247" fillId="0" borderId="0" xfId="0" applyNumberFormat="1" applyFont="1" applyAlignment="1">
      <alignment horizontal="center" vertical="top" wrapText="1"/>
    </xf>
    <xf numFmtId="0" fontId="132" fillId="0" borderId="0" xfId="0" applyFont="1" applyAlignment="1">
      <alignment horizontal="center" vertical="top"/>
    </xf>
    <xf numFmtId="0" fontId="139" fillId="0" borderId="0" xfId="0" applyFont="1" applyAlignment="1">
      <alignment horizontal="center" vertical="top"/>
    </xf>
    <xf numFmtId="49" fontId="107" fillId="0" borderId="0" xfId="0" applyNumberFormat="1" applyFont="1" applyAlignment="1">
      <alignment vertical="top"/>
    </xf>
    <xf numFmtId="0" fontId="218" fillId="0" borderId="0" xfId="0" applyFont="1" applyAlignment="1">
      <alignment horizontal="center" vertical="top" wrapText="1"/>
    </xf>
    <xf numFmtId="49" fontId="240" fillId="0" borderId="0" xfId="0" applyNumberFormat="1" applyFont="1" applyAlignment="1">
      <alignment horizontal="center" vertical="top"/>
    </xf>
    <xf numFmtId="16" fontId="218" fillId="0" borderId="0" xfId="0" applyNumberFormat="1" applyFont="1" applyAlignment="1">
      <alignment horizontal="center" vertical="top"/>
    </xf>
    <xf numFmtId="16" fontId="247" fillId="0" borderId="0" xfId="0" applyNumberFormat="1" applyFont="1" applyAlignment="1">
      <alignment horizontal="center" vertical="top"/>
    </xf>
    <xf numFmtId="49" fontId="233" fillId="0" borderId="0" xfId="0" applyNumberFormat="1" applyFont="1" applyAlignment="1">
      <alignment horizontal="center" vertical="top" wrapText="1"/>
    </xf>
    <xf numFmtId="49" fontId="239" fillId="0" borderId="0" xfId="0" applyNumberFormat="1" applyFont="1" applyAlignment="1">
      <alignment vertical="top"/>
    </xf>
    <xf numFmtId="49" fontId="283" fillId="9" borderId="0" xfId="0" applyNumberFormat="1" applyFont="1" applyFill="1" applyAlignment="1">
      <alignment horizontal="center" vertical="top" wrapText="1"/>
    </xf>
    <xf numFmtId="0" fontId="208" fillId="9" borderId="0" xfId="1" applyFill="1" applyAlignment="1">
      <alignment vertical="top" wrapText="1"/>
    </xf>
    <xf numFmtId="0" fontId="203" fillId="9" borderId="0" xfId="0" applyFont="1" applyFill="1" applyAlignment="1">
      <alignment horizontal="center" vertical="top"/>
    </xf>
    <xf numFmtId="49" fontId="218" fillId="9" borderId="0" xfId="0" quotePrefix="1" applyNumberFormat="1" applyFont="1" applyFill="1" applyAlignment="1">
      <alignment horizontal="center" vertical="top"/>
    </xf>
    <xf numFmtId="0" fontId="248" fillId="9" borderId="0" xfId="0" applyFont="1" applyFill="1" applyAlignment="1">
      <alignment horizontal="center" vertical="top" wrapText="1"/>
    </xf>
    <xf numFmtId="0" fontId="218" fillId="9" borderId="0" xfId="0" applyFont="1" applyFill="1" applyAlignment="1">
      <alignment vertical="top"/>
    </xf>
    <xf numFmtId="0" fontId="247" fillId="9" borderId="0" xfId="0" applyFont="1" applyFill="1" applyAlignment="1">
      <alignment horizontal="center" vertical="top"/>
    </xf>
    <xf numFmtId="0" fontId="130" fillId="9" borderId="0" xfId="0" applyFont="1" applyFill="1" applyAlignment="1">
      <alignment horizontal="center" vertical="top"/>
    </xf>
    <xf numFmtId="0" fontId="143" fillId="0" borderId="0" xfId="0" applyFont="1" applyAlignment="1">
      <alignment vertical="top"/>
    </xf>
    <xf numFmtId="49" fontId="195" fillId="0" borderId="0" xfId="0" applyNumberFormat="1" applyFont="1" applyAlignment="1">
      <alignment vertical="top"/>
    </xf>
    <xf numFmtId="49" fontId="0" fillId="9" borderId="0" xfId="0" applyNumberFormat="1" applyFill="1" applyAlignment="1">
      <alignment vertical="top"/>
    </xf>
    <xf numFmtId="0" fontId="178" fillId="9" borderId="0" xfId="0" applyFont="1" applyFill="1" applyAlignment="1">
      <alignment horizontal="center" vertical="top"/>
    </xf>
    <xf numFmtId="14" fontId="0" fillId="9" borderId="0" xfId="0" applyNumberFormat="1" applyFill="1" applyAlignment="1">
      <alignment horizontal="center" vertical="top"/>
    </xf>
    <xf numFmtId="0" fontId="93" fillId="0" borderId="0" xfId="0" applyFont="1" applyAlignment="1">
      <alignment vertical="top"/>
    </xf>
    <xf numFmtId="14" fontId="268" fillId="30" borderId="0" xfId="0" applyNumberFormat="1" applyFont="1" applyFill="1" applyAlignment="1">
      <alignment horizontal="right" vertical="top" wrapText="1"/>
    </xf>
    <xf numFmtId="2" fontId="268" fillId="30" borderId="0" xfId="0" applyNumberFormat="1" applyFont="1" applyFill="1" applyAlignment="1">
      <alignment horizontal="right" vertical="top" wrapText="1"/>
    </xf>
    <xf numFmtId="0" fontId="207" fillId="0" borderId="0" xfId="0" applyFont="1" applyAlignment="1">
      <alignment vertical="top"/>
    </xf>
    <xf numFmtId="49" fontId="93" fillId="0" borderId="0" xfId="0" applyNumberFormat="1" applyFont="1" applyAlignment="1">
      <alignment vertical="top"/>
    </xf>
    <xf numFmtId="0" fontId="92" fillId="0" borderId="0" xfId="0" applyFont="1" applyAlignment="1">
      <alignment vertical="top"/>
    </xf>
    <xf numFmtId="0" fontId="275" fillId="25" borderId="0" xfId="0" applyFont="1" applyFill="1" applyAlignment="1">
      <alignment vertical="top"/>
    </xf>
    <xf numFmtId="0" fontId="91" fillId="0" borderId="0" xfId="0" applyFont="1" applyAlignment="1">
      <alignment vertical="top"/>
    </xf>
    <xf numFmtId="0" fontId="90" fillId="0" borderId="0" xfId="0" applyFont="1" applyAlignment="1">
      <alignment vertical="top"/>
    </xf>
    <xf numFmtId="0" fontId="278" fillId="4" borderId="0" xfId="0" applyFont="1" applyFill="1" applyAlignment="1">
      <alignment vertical="top"/>
    </xf>
    <xf numFmtId="0" fontId="89" fillId="0" borderId="0" xfId="0" applyFont="1" applyAlignment="1">
      <alignment vertical="top"/>
    </xf>
    <xf numFmtId="0" fontId="89" fillId="9" borderId="0" xfId="0" applyFont="1" applyFill="1" applyAlignment="1">
      <alignment vertical="top"/>
    </xf>
    <xf numFmtId="0" fontId="89" fillId="0" borderId="0" xfId="0" applyFont="1" applyAlignment="1">
      <alignment vertical="top" wrapText="1"/>
    </xf>
    <xf numFmtId="0" fontId="208" fillId="9" borderId="0" xfId="1" quotePrefix="1" applyFill="1" applyAlignment="1">
      <alignment vertical="top" wrapText="1"/>
    </xf>
    <xf numFmtId="0" fontId="88" fillId="0" borderId="0" xfId="0" applyFont="1" applyAlignment="1">
      <alignment vertical="top"/>
    </xf>
    <xf numFmtId="0" fontId="87" fillId="8" borderId="0" xfId="0" applyFont="1" applyFill="1" applyAlignment="1">
      <alignment horizontal="left" vertical="top"/>
    </xf>
    <xf numFmtId="49" fontId="86" fillId="0" borderId="0" xfId="0" applyNumberFormat="1" applyFont="1" applyAlignment="1">
      <alignment vertical="top"/>
    </xf>
    <xf numFmtId="49" fontId="238" fillId="0" borderId="0" xfId="0" applyNumberFormat="1" applyFont="1" applyAlignment="1">
      <alignment vertical="top"/>
    </xf>
    <xf numFmtId="0" fontId="84" fillId="0" borderId="0" xfId="0" applyFont="1" applyAlignment="1">
      <alignment vertical="top"/>
    </xf>
    <xf numFmtId="0" fontId="84" fillId="0" borderId="0" xfId="0" applyFont="1" applyAlignment="1">
      <alignment vertical="top" wrapText="1"/>
    </xf>
    <xf numFmtId="16" fontId="83" fillId="0" borderId="1" xfId="0" quotePrefix="1" applyNumberFormat="1" applyFont="1" applyBorder="1" applyAlignment="1">
      <alignment horizontal="right" vertical="top"/>
    </xf>
    <xf numFmtId="16" fontId="83" fillId="0" borderId="0" xfId="0" quotePrefix="1" applyNumberFormat="1" applyFont="1" applyAlignment="1">
      <alignment horizontal="right" vertical="top"/>
    </xf>
    <xf numFmtId="2" fontId="82" fillId="0" borderId="0" xfId="0" applyNumberFormat="1" applyFont="1" applyAlignment="1">
      <alignment horizontal="right" vertical="top" wrapText="1"/>
    </xf>
    <xf numFmtId="49" fontId="219" fillId="0" borderId="0" xfId="0" quotePrefix="1" applyNumberFormat="1" applyFont="1" applyAlignment="1">
      <alignment vertical="top" wrapText="1"/>
    </xf>
    <xf numFmtId="49" fontId="242" fillId="0" borderId="0" xfId="0" quotePrefix="1" applyNumberFormat="1" applyFont="1" applyAlignment="1">
      <alignment vertical="top" wrapText="1"/>
    </xf>
    <xf numFmtId="0" fontId="290" fillId="0" borderId="0" xfId="1" applyFont="1" applyFill="1" applyAlignment="1">
      <alignment vertical="top" wrapText="1"/>
    </xf>
    <xf numFmtId="0" fontId="291" fillId="0" borderId="0" xfId="1" applyFont="1" applyFill="1" applyAlignment="1">
      <alignment vertical="top" wrapText="1"/>
    </xf>
    <xf numFmtId="0" fontId="292" fillId="0" borderId="0" xfId="1" applyFont="1" applyFill="1" applyAlignment="1">
      <alignment vertical="top" wrapText="1"/>
    </xf>
    <xf numFmtId="0" fontId="219" fillId="0" borderId="0" xfId="0" applyFont="1" applyAlignment="1">
      <alignment vertical="top" wrapText="1"/>
    </xf>
    <xf numFmtId="0" fontId="293" fillId="0" borderId="0" xfId="0" applyFont="1" applyAlignment="1">
      <alignment vertical="top" wrapText="1"/>
    </xf>
    <xf numFmtId="0" fontId="82" fillId="0" borderId="0" xfId="0" applyFont="1" applyAlignment="1">
      <alignment vertical="top" wrapText="1"/>
    </xf>
    <xf numFmtId="0" fontId="291" fillId="0" borderId="0" xfId="1" applyFont="1" applyAlignment="1">
      <alignment vertical="top" wrapText="1"/>
    </xf>
    <xf numFmtId="0" fontId="291" fillId="9" borderId="0" xfId="1" applyFont="1" applyFill="1" applyAlignment="1">
      <alignment vertical="top" wrapText="1"/>
    </xf>
    <xf numFmtId="0" fontId="82" fillId="0" borderId="0" xfId="0" applyFont="1" applyAlignment="1">
      <alignment vertical="top"/>
    </xf>
    <xf numFmtId="49" fontId="82" fillId="0" borderId="0" xfId="0" applyNumberFormat="1" applyFont="1" applyAlignment="1">
      <alignment vertical="top"/>
    </xf>
    <xf numFmtId="49" fontId="82" fillId="0" borderId="0" xfId="0" applyNumberFormat="1" applyFont="1" applyAlignment="1">
      <alignment vertical="top" wrapText="1"/>
    </xf>
    <xf numFmtId="49" fontId="219" fillId="0" borderId="0" xfId="0" applyNumberFormat="1" applyFont="1" applyAlignment="1">
      <alignment vertical="top" wrapText="1"/>
    </xf>
    <xf numFmtId="0" fontId="294" fillId="9" borderId="0" xfId="0" quotePrefix="1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18" fillId="8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208" fillId="25" borderId="0" xfId="1" applyFill="1" applyAlignment="1">
      <alignment vertical="top"/>
    </xf>
    <xf numFmtId="0" fontId="208" fillId="6" borderId="0" xfId="1" applyFill="1" applyAlignment="1">
      <alignment vertical="top"/>
    </xf>
    <xf numFmtId="0" fontId="87" fillId="8" borderId="0" xfId="0" applyFont="1" applyFill="1" applyAlignment="1">
      <alignment vertical="top"/>
    </xf>
    <xf numFmtId="0" fontId="248" fillId="8" borderId="0" xfId="0" applyFont="1" applyFill="1" applyAlignment="1">
      <alignment vertical="top" wrapText="1"/>
    </xf>
    <xf numFmtId="0" fontId="157" fillId="8" borderId="0" xfId="0" applyFont="1" applyFill="1" applyAlignment="1">
      <alignment vertical="top"/>
    </xf>
    <xf numFmtId="0" fontId="111" fillId="8" borderId="0" xfId="0" applyFont="1" applyFill="1" applyAlignment="1">
      <alignment vertical="top"/>
    </xf>
    <xf numFmtId="0" fontId="107" fillId="8" borderId="0" xfId="0" applyFont="1" applyFill="1" applyAlignment="1">
      <alignment vertical="top"/>
    </xf>
    <xf numFmtId="0" fontId="105" fillId="8" borderId="0" xfId="0" applyFont="1" applyFill="1" applyAlignment="1">
      <alignment vertical="top"/>
    </xf>
    <xf numFmtId="0" fontId="193" fillId="8" borderId="0" xfId="0" applyFont="1" applyFill="1" applyAlignment="1">
      <alignment vertical="top"/>
    </xf>
    <xf numFmtId="0" fontId="0" fillId="25" borderId="0" xfId="0" applyFill="1" applyAlignment="1">
      <alignment vertical="top"/>
    </xf>
    <xf numFmtId="0" fontId="104" fillId="8" borderId="0" xfId="0" applyFont="1" applyFill="1" applyAlignment="1">
      <alignment vertical="top"/>
    </xf>
    <xf numFmtId="0" fontId="208" fillId="31" borderId="0" xfId="1" applyFill="1" applyAlignment="1">
      <alignment vertical="top"/>
    </xf>
    <xf numFmtId="0" fontId="173" fillId="8" borderId="0" xfId="0" applyFont="1" applyFill="1" applyAlignment="1">
      <alignment vertical="top"/>
    </xf>
    <xf numFmtId="0" fontId="208" fillId="29" borderId="0" xfId="1" applyFill="1" applyAlignment="1">
      <alignment vertical="top"/>
    </xf>
    <xf numFmtId="0" fontId="171" fillId="9" borderId="0" xfId="0" applyFont="1" applyFill="1" applyAlignment="1">
      <alignment vertical="top"/>
    </xf>
    <xf numFmtId="0" fontId="193" fillId="9" borderId="0" xfId="0" applyFont="1" applyFill="1" applyAlignment="1">
      <alignment vertical="top"/>
    </xf>
    <xf numFmtId="0" fontId="219" fillId="9" borderId="0" xfId="0" applyFont="1" applyFill="1" applyAlignment="1">
      <alignment vertical="top" wrapText="1"/>
    </xf>
    <xf numFmtId="0" fontId="295" fillId="0" borderId="0" xfId="0" applyFont="1" applyAlignment="1">
      <alignment vertical="top" wrapText="1"/>
    </xf>
    <xf numFmtId="49" fontId="289" fillId="0" borderId="0" xfId="0" applyNumberFormat="1" applyFont="1" applyAlignment="1">
      <alignment vertical="top" wrapText="1"/>
    </xf>
    <xf numFmtId="49" fontId="219" fillId="9" borderId="0" xfId="0" applyNumberFormat="1" applyFont="1" applyFill="1" applyAlignment="1">
      <alignment vertical="top" wrapText="1"/>
    </xf>
    <xf numFmtId="49" fontId="210" fillId="0" borderId="0" xfId="0" applyNumberFormat="1" applyFont="1" applyAlignment="1">
      <alignment vertical="top"/>
    </xf>
    <xf numFmtId="0" fontId="207" fillId="0" borderId="0" xfId="0" applyFont="1"/>
    <xf numFmtId="0" fontId="82" fillId="8" borderId="0" xfId="0" applyFont="1" applyFill="1" applyAlignment="1">
      <alignment horizontal="left" vertical="top"/>
    </xf>
    <xf numFmtId="14" fontId="218" fillId="8" borderId="0" xfId="0" applyNumberFormat="1" applyFont="1" applyFill="1"/>
    <xf numFmtId="0" fontId="218" fillId="8" borderId="0" xfId="0" applyFont="1" applyFill="1"/>
    <xf numFmtId="0" fontId="297" fillId="0" borderId="1" xfId="0" applyFont="1" applyBorder="1" applyAlignment="1">
      <alignment horizontal="right" vertical="top" wrapText="1"/>
    </xf>
    <xf numFmtId="0" fontId="297" fillId="0" borderId="0" xfId="0" applyFont="1" applyAlignment="1">
      <alignment vertical="top" wrapText="1"/>
    </xf>
    <xf numFmtId="0" fontId="298" fillId="0" borderId="0" xfId="0" applyFont="1" applyAlignment="1">
      <alignment vertical="top" wrapText="1"/>
    </xf>
    <xf numFmtId="0" fontId="299" fillId="0" borderId="0" xfId="0" applyFont="1" applyAlignment="1">
      <alignment vertical="top" wrapText="1"/>
    </xf>
    <xf numFmtId="2" fontId="298" fillId="0" borderId="0" xfId="0" applyNumberFormat="1" applyFont="1" applyAlignment="1">
      <alignment horizontal="right" vertical="top" wrapText="1"/>
    </xf>
    <xf numFmtId="4" fontId="298" fillId="0" borderId="0" xfId="0" applyNumberFormat="1" applyFont="1" applyAlignment="1">
      <alignment horizontal="right" vertical="top"/>
    </xf>
    <xf numFmtId="0" fontId="298" fillId="0" borderId="0" xfId="0" applyFont="1" applyAlignment="1">
      <alignment horizontal="right" vertical="top" wrapText="1"/>
    </xf>
    <xf numFmtId="2" fontId="299" fillId="0" borderId="0" xfId="0" applyNumberFormat="1" applyFont="1" applyAlignment="1">
      <alignment horizontal="right" vertical="top" wrapText="1"/>
    </xf>
    <xf numFmtId="2" fontId="298" fillId="0" borderId="0" xfId="0" applyNumberFormat="1" applyFont="1" applyAlignment="1">
      <alignment horizontal="right" vertical="top"/>
    </xf>
    <xf numFmtId="2" fontId="299" fillId="0" borderId="0" xfId="0" applyNumberFormat="1" applyFont="1" applyAlignment="1">
      <alignment horizontal="right" vertical="top"/>
    </xf>
    <xf numFmtId="14" fontId="299" fillId="0" borderId="0" xfId="0" applyNumberFormat="1" applyFont="1" applyAlignment="1">
      <alignment horizontal="right" vertical="top"/>
    </xf>
    <xf numFmtId="0" fontId="299" fillId="0" borderId="0" xfId="0" applyFont="1" applyAlignment="1">
      <alignment horizontal="right" vertical="top"/>
    </xf>
    <xf numFmtId="0" fontId="297" fillId="0" borderId="19" xfId="0" applyFont="1" applyBorder="1" applyAlignment="1">
      <alignment horizontal="right" wrapText="1"/>
    </xf>
    <xf numFmtId="0" fontId="297" fillId="0" borderId="0" xfId="0" applyFont="1" applyAlignment="1">
      <alignment wrapText="1"/>
    </xf>
    <xf numFmtId="0" fontId="299" fillId="0" borderId="0" xfId="0" applyFont="1" applyAlignment="1">
      <alignment horizontal="center" wrapText="1"/>
    </xf>
    <xf numFmtId="0" fontId="299" fillId="0" borderId="0" xfId="0" applyFont="1" applyAlignment="1">
      <alignment wrapText="1"/>
    </xf>
    <xf numFmtId="0" fontId="299" fillId="0" borderId="0" xfId="0" applyFont="1"/>
    <xf numFmtId="0" fontId="299" fillId="8" borderId="0" xfId="0" applyFont="1" applyFill="1"/>
    <xf numFmtId="14" fontId="218" fillId="10" borderId="0" xfId="0" applyNumberFormat="1" applyFont="1" applyFill="1"/>
    <xf numFmtId="0" fontId="218" fillId="10" borderId="0" xfId="0" applyFont="1" applyFill="1"/>
    <xf numFmtId="0" fontId="81" fillId="25" borderId="0" xfId="0" applyFont="1" applyFill="1" applyAlignment="1">
      <alignment horizontal="left" vertical="top"/>
    </xf>
    <xf numFmtId="0" fontId="81" fillId="8" borderId="0" xfId="0" applyFont="1" applyFill="1" applyAlignment="1">
      <alignment horizontal="left" vertical="top"/>
    </xf>
    <xf numFmtId="0" fontId="81" fillId="8" borderId="0" xfId="0" applyFont="1" applyFill="1" applyAlignment="1">
      <alignment vertical="top"/>
    </xf>
    <xf numFmtId="0" fontId="81" fillId="9" borderId="0" xfId="0" applyFont="1" applyFill="1" applyAlignment="1">
      <alignment horizontal="left" vertical="top"/>
    </xf>
    <xf numFmtId="0" fontId="157" fillId="25" borderId="0" xfId="0" applyFont="1" applyFill="1" applyAlignment="1">
      <alignment horizontal="left" vertical="top"/>
    </xf>
    <xf numFmtId="0" fontId="103" fillId="25" borderId="0" xfId="0" applyFont="1" applyFill="1" applyAlignment="1">
      <alignment vertical="top"/>
    </xf>
    <xf numFmtId="0" fontId="248" fillId="25" borderId="0" xfId="0" applyFont="1" applyFill="1" applyAlignment="1">
      <alignment horizontal="left" vertical="top"/>
    </xf>
    <xf numFmtId="0" fontId="248" fillId="25" borderId="0" xfId="0" applyFont="1" applyFill="1" applyAlignment="1">
      <alignment vertical="top"/>
    </xf>
    <xf numFmtId="49" fontId="256" fillId="25" borderId="0" xfId="0" applyNumberFormat="1" applyFont="1" applyFill="1" applyAlignment="1">
      <alignment vertical="top"/>
    </xf>
    <xf numFmtId="49" fontId="206" fillId="0" borderId="0" xfId="0" applyNumberFormat="1" applyFont="1" applyAlignment="1">
      <alignment vertical="top"/>
    </xf>
    <xf numFmtId="0" fontId="81" fillId="21" borderId="0" xfId="0" applyFont="1" applyFill="1" applyAlignment="1">
      <alignment horizontal="left" vertical="top"/>
    </xf>
    <xf numFmtId="0" fontId="81" fillId="8" borderId="0" xfId="0" quotePrefix="1" applyFont="1" applyFill="1" applyAlignment="1">
      <alignment vertical="top"/>
    </xf>
    <xf numFmtId="0" fontId="81" fillId="9" borderId="18" xfId="0" applyFont="1" applyFill="1" applyBorder="1" applyAlignment="1">
      <alignment horizontal="left" vertical="top"/>
    </xf>
    <xf numFmtId="0" fontId="81" fillId="0" borderId="0" xfId="0" applyFont="1" applyAlignment="1">
      <alignment vertical="top"/>
    </xf>
    <xf numFmtId="0" fontId="209" fillId="25" borderId="0" xfId="0" applyFont="1" applyFill="1" applyAlignment="1">
      <alignment horizontal="left" vertical="top"/>
    </xf>
    <xf numFmtId="0" fontId="113" fillId="0" borderId="0" xfId="0" applyFont="1" applyAlignment="1">
      <alignment horizontal="left" vertical="top"/>
    </xf>
    <xf numFmtId="0" fontId="81" fillId="0" borderId="0" xfId="0" applyFont="1"/>
    <xf numFmtId="0" fontId="123" fillId="0" borderId="0" xfId="0" applyFont="1" applyAlignment="1">
      <alignment horizontal="center" vertical="center"/>
    </xf>
    <xf numFmtId="0" fontId="80" fillId="0" borderId="0" xfId="0" applyFont="1" applyAlignment="1">
      <alignment vertical="top"/>
    </xf>
    <xf numFmtId="0" fontId="208" fillId="0" borderId="0" xfId="1" applyAlignment="1">
      <alignment horizontal="left" vertical="top" wrapText="1"/>
    </xf>
    <xf numFmtId="0" fontId="79" fillId="8" borderId="0" xfId="0" applyFont="1" applyFill="1" applyAlignment="1">
      <alignment horizontal="left" vertical="top"/>
    </xf>
    <xf numFmtId="0" fontId="208" fillId="9" borderId="0" xfId="1" applyFill="1" applyAlignment="1">
      <alignment vertical="top"/>
    </xf>
    <xf numFmtId="0" fontId="78" fillId="0" borderId="0" xfId="0" quotePrefix="1" applyFont="1" applyAlignment="1">
      <alignment horizontal="right" vertical="top"/>
    </xf>
    <xf numFmtId="2" fontId="77" fillId="0" borderId="0" xfId="0" applyNumberFormat="1" applyFont="1" applyAlignment="1">
      <alignment horizontal="right" vertical="top"/>
    </xf>
    <xf numFmtId="0" fontId="76" fillId="8" borderId="0" xfId="0" applyFont="1" applyFill="1" applyAlignment="1">
      <alignment horizontal="left" vertical="top"/>
    </xf>
    <xf numFmtId="49" fontId="76" fillId="0" borderId="0" xfId="0" quotePrefix="1" applyNumberFormat="1" applyFont="1" applyAlignment="1">
      <alignment vertical="top"/>
    </xf>
    <xf numFmtId="49" fontId="209" fillId="0" borderId="0" xfId="1" applyNumberFormat="1" applyFont="1" applyAlignment="1">
      <alignment vertical="top"/>
    </xf>
    <xf numFmtId="49" fontId="207" fillId="0" borderId="0" xfId="0" quotePrefix="1" applyNumberFormat="1" applyFont="1" applyAlignment="1">
      <alignment vertical="top" wrapText="1"/>
    </xf>
    <xf numFmtId="0" fontId="75" fillId="0" borderId="0" xfId="0" applyFont="1" applyAlignment="1">
      <alignment vertical="top"/>
    </xf>
    <xf numFmtId="2" fontId="75" fillId="0" borderId="0" xfId="0" applyNumberFormat="1" applyFont="1" applyAlignment="1">
      <alignment horizontal="right" vertical="top" wrapText="1"/>
    </xf>
    <xf numFmtId="0" fontId="74" fillId="6" borderId="18" xfId="0" applyFont="1" applyFill="1" applyBorder="1" applyAlignment="1">
      <alignment horizontal="left" vertical="top"/>
    </xf>
    <xf numFmtId="0" fontId="73" fillId="25" borderId="0" xfId="0" applyFont="1" applyFill="1" applyAlignment="1">
      <alignment horizontal="left" vertical="top"/>
    </xf>
    <xf numFmtId="0" fontId="73" fillId="0" borderId="0" xfId="0" applyFont="1" applyAlignment="1">
      <alignment vertical="top"/>
    </xf>
    <xf numFmtId="0" fontId="72" fillId="0" borderId="0" xfId="0" applyFont="1" applyAlignment="1">
      <alignment vertical="top"/>
    </xf>
    <xf numFmtId="16" fontId="72" fillId="0" borderId="1" xfId="0" quotePrefix="1" applyNumberFormat="1" applyFont="1" applyBorder="1" applyAlignment="1">
      <alignment horizontal="right" vertical="top"/>
    </xf>
    <xf numFmtId="0" fontId="71" fillId="8" borderId="0" xfId="0" applyFont="1" applyFill="1"/>
    <xf numFmtId="14" fontId="71" fillId="8" borderId="0" xfId="0" applyNumberFormat="1" applyFont="1" applyFill="1"/>
    <xf numFmtId="14" fontId="71" fillId="7" borderId="0" xfId="0" applyNumberFormat="1" applyFont="1" applyFill="1"/>
    <xf numFmtId="14" fontId="299" fillId="0" borderId="0" xfId="0" applyNumberFormat="1" applyFont="1"/>
    <xf numFmtId="0" fontId="231" fillId="8" borderId="0" xfId="0" applyFont="1" applyFill="1"/>
    <xf numFmtId="0" fontId="71" fillId="0" borderId="0" xfId="0" applyFont="1" applyAlignment="1">
      <alignment horizontal="center" vertical="top"/>
    </xf>
    <xf numFmtId="0" fontId="70" fillId="6" borderId="18" xfId="0" applyFont="1" applyFill="1" applyBorder="1" applyAlignment="1">
      <alignment horizontal="left" vertical="top"/>
    </xf>
    <xf numFmtId="0" fontId="70" fillId="8" borderId="0" xfId="0" applyFont="1" applyFill="1" applyAlignment="1">
      <alignment horizontal="left" vertical="top"/>
    </xf>
    <xf numFmtId="14" fontId="208" fillId="8" borderId="0" xfId="1" applyNumberFormat="1" applyFill="1" applyAlignment="1">
      <alignment vertical="top"/>
    </xf>
    <xf numFmtId="0" fontId="209" fillId="6" borderId="0" xfId="0" applyFont="1" applyFill="1" applyAlignment="1">
      <alignment horizontal="left" vertical="top"/>
    </xf>
    <xf numFmtId="0" fontId="300" fillId="6" borderId="0" xfId="1" applyFont="1" applyFill="1" applyAlignment="1">
      <alignment vertical="top" wrapText="1"/>
    </xf>
    <xf numFmtId="49" fontId="218" fillId="9" borderId="0" xfId="0" applyNumberFormat="1" applyFont="1" applyFill="1" applyAlignment="1">
      <alignment horizontal="center" vertical="top"/>
    </xf>
    <xf numFmtId="49" fontId="0" fillId="9" borderId="0" xfId="0" applyNumberFormat="1" applyFill="1" applyAlignment="1">
      <alignment horizontal="center" vertical="top"/>
    </xf>
    <xf numFmtId="49" fontId="172" fillId="0" borderId="0" xfId="0" quotePrefix="1" applyNumberFormat="1" applyFont="1" applyAlignment="1">
      <alignment vertical="top"/>
    </xf>
    <xf numFmtId="0" fontId="69" fillId="8" borderId="0" xfId="0" applyFont="1" applyFill="1" applyAlignment="1">
      <alignment horizontal="left" vertical="top"/>
    </xf>
    <xf numFmtId="0" fontId="68" fillId="4" borderId="0" xfId="0" applyFont="1" applyFill="1" applyAlignment="1">
      <alignment horizontal="center" vertical="top"/>
    </xf>
    <xf numFmtId="0" fontId="0" fillId="10" borderId="0" xfId="0" applyFill="1" applyAlignment="1">
      <alignment horizontal="center" vertical="top"/>
    </xf>
    <xf numFmtId="0" fontId="0" fillId="28" borderId="0" xfId="0" applyFill="1" applyAlignment="1">
      <alignment horizontal="center" vertical="top"/>
    </xf>
    <xf numFmtId="0" fontId="68" fillId="0" borderId="0" xfId="0" applyFont="1" applyAlignment="1">
      <alignment horizontal="center" vertical="top"/>
    </xf>
    <xf numFmtId="0" fontId="85" fillId="10" borderId="0" xfId="0" applyFont="1" applyFill="1" applyAlignment="1">
      <alignment horizontal="center" vertical="top"/>
    </xf>
    <xf numFmtId="0" fontId="207" fillId="0" borderId="0" xfId="0" applyFont="1" applyAlignment="1">
      <alignment horizontal="left" vertical="top"/>
    </xf>
    <xf numFmtId="0" fontId="296" fillId="10" borderId="0" xfId="0" applyFont="1" applyFill="1" applyAlignment="1">
      <alignment vertical="top"/>
    </xf>
    <xf numFmtId="0" fontId="280" fillId="28" borderId="0" xfId="0" applyFont="1" applyFill="1" applyAlignment="1">
      <alignment vertical="top"/>
    </xf>
    <xf numFmtId="0" fontId="67" fillId="28" borderId="0" xfId="0" applyFont="1" applyFill="1" applyAlignment="1">
      <alignment horizontal="center" vertical="top"/>
    </xf>
    <xf numFmtId="49" fontId="67" fillId="0" borderId="0" xfId="0" applyNumberFormat="1" applyFont="1" applyAlignment="1">
      <alignment vertical="top"/>
    </xf>
    <xf numFmtId="49" fontId="217" fillId="0" borderId="0" xfId="0" applyNumberFormat="1" applyFont="1" applyAlignment="1">
      <alignment vertical="top" wrapText="1"/>
    </xf>
    <xf numFmtId="49" fontId="67" fillId="25" borderId="0" xfId="0" applyNumberFormat="1" applyFont="1" applyFill="1" applyAlignment="1">
      <alignment vertical="top"/>
    </xf>
    <xf numFmtId="49" fontId="67" fillId="8" borderId="0" xfId="0" applyNumberFormat="1" applyFont="1" applyFill="1" applyAlignment="1">
      <alignment vertical="top"/>
    </xf>
    <xf numFmtId="0" fontId="66" fillId="8" borderId="0" xfId="0" applyFont="1" applyFill="1" applyAlignment="1">
      <alignment horizontal="left" vertical="top"/>
    </xf>
    <xf numFmtId="49" fontId="66" fillId="0" borderId="0" xfId="0" applyNumberFormat="1" applyFont="1" applyAlignment="1">
      <alignment vertical="top" wrapText="1"/>
    </xf>
    <xf numFmtId="0" fontId="65" fillId="8" borderId="0" xfId="0" applyFont="1" applyFill="1" applyAlignment="1">
      <alignment vertical="top"/>
    </xf>
    <xf numFmtId="49" fontId="302" fillId="0" borderId="0" xfId="0" applyNumberFormat="1" applyFont="1" applyAlignment="1">
      <alignment vertical="top" wrapText="1"/>
    </xf>
    <xf numFmtId="49" fontId="65" fillId="0" borderId="0" xfId="0" quotePrefix="1" applyNumberFormat="1" applyFont="1" applyAlignment="1">
      <alignment vertical="top"/>
    </xf>
    <xf numFmtId="0" fontId="209" fillId="10" borderId="0" xfId="0" applyFont="1" applyFill="1" applyAlignment="1">
      <alignment horizontal="center" vertical="top"/>
    </xf>
    <xf numFmtId="0" fontId="129" fillId="0" borderId="0" xfId="0" applyFont="1" applyAlignment="1">
      <alignment horizontal="center" vertical="top"/>
    </xf>
    <xf numFmtId="1" fontId="218" fillId="0" borderId="0" xfId="0" applyNumberFormat="1" applyFont="1" applyAlignment="1">
      <alignment horizontal="center" vertical="top"/>
    </xf>
    <xf numFmtId="0" fontId="218" fillId="5" borderId="0" xfId="0" applyFont="1" applyFill="1" applyAlignment="1">
      <alignment horizontal="center" vertical="top"/>
    </xf>
    <xf numFmtId="0" fontId="129" fillId="9" borderId="0" xfId="0" applyFont="1" applyFill="1" applyAlignment="1">
      <alignment horizontal="center" vertical="top"/>
    </xf>
    <xf numFmtId="0" fontId="129" fillId="5" borderId="0" xfId="0" applyFont="1" applyFill="1" applyAlignment="1">
      <alignment horizontal="center" vertical="top"/>
    </xf>
    <xf numFmtId="1" fontId="129" fillId="0" borderId="0" xfId="0" applyNumberFormat="1" applyFont="1" applyAlignment="1">
      <alignment horizontal="center" vertical="top"/>
    </xf>
    <xf numFmtId="0" fontId="129" fillId="24" borderId="0" xfId="0" applyFont="1" applyFill="1" applyAlignment="1">
      <alignment horizontal="center" vertical="top"/>
    </xf>
    <xf numFmtId="49" fontId="301" fillId="0" borderId="0" xfId="0" applyNumberFormat="1" applyFont="1" applyAlignment="1">
      <alignment horizontal="center" vertical="top"/>
    </xf>
    <xf numFmtId="0" fontId="248" fillId="0" borderId="0" xfId="0" applyFont="1" applyAlignment="1">
      <alignment horizontal="left" vertical="top"/>
    </xf>
    <xf numFmtId="0" fontId="287" fillId="0" borderId="0" xfId="0" applyFont="1" applyAlignment="1">
      <alignment vertical="top"/>
    </xf>
    <xf numFmtId="49" fontId="287" fillId="0" borderId="0" xfId="0" applyNumberFormat="1" applyFont="1" applyAlignment="1">
      <alignment horizontal="center" vertical="top"/>
    </xf>
    <xf numFmtId="0" fontId="248" fillId="8" borderId="0" xfId="0" applyFont="1" applyFill="1" applyAlignment="1">
      <alignment horizontal="left" vertical="top"/>
    </xf>
    <xf numFmtId="0" fontId="248" fillId="8" borderId="0" xfId="0" applyFont="1" applyFill="1" applyAlignment="1">
      <alignment vertical="top"/>
    </xf>
    <xf numFmtId="0" fontId="288" fillId="0" borderId="0" xfId="0" applyFont="1" applyAlignment="1">
      <alignment vertical="top"/>
    </xf>
    <xf numFmtId="49" fontId="288" fillId="0" borderId="0" xfId="0" applyNumberFormat="1" applyFont="1" applyAlignment="1">
      <alignment horizontal="center" vertical="top"/>
    </xf>
    <xf numFmtId="49" fontId="302" fillId="0" borderId="0" xfId="0" quotePrefix="1" applyNumberFormat="1" applyFont="1" applyAlignment="1">
      <alignment vertical="top" wrapText="1"/>
    </xf>
    <xf numFmtId="49" fontId="65" fillId="24" borderId="0" xfId="0" quotePrefix="1" applyNumberFormat="1" applyFont="1" applyFill="1" applyAlignment="1">
      <alignment vertical="top" wrapText="1"/>
    </xf>
    <xf numFmtId="2" fontId="269" fillId="8" borderId="0" xfId="0" applyNumberFormat="1" applyFont="1" applyFill="1" applyAlignment="1">
      <alignment horizontal="right" vertical="top" wrapText="1"/>
    </xf>
    <xf numFmtId="2" fontId="209" fillId="8" borderId="0" xfId="0" applyNumberFormat="1" applyFont="1" applyFill="1" applyAlignment="1">
      <alignment horizontal="right" vertical="top"/>
    </xf>
    <xf numFmtId="2" fontId="218" fillId="8" borderId="0" xfId="0" applyNumberFormat="1" applyFont="1" applyFill="1" applyAlignment="1">
      <alignment horizontal="right" vertical="top"/>
    </xf>
    <xf numFmtId="2" fontId="218" fillId="8" borderId="0" xfId="0" applyNumberFormat="1" applyFont="1" applyFill="1" applyAlignment="1">
      <alignment horizontal="right" vertical="top" wrapText="1"/>
    </xf>
    <xf numFmtId="2" fontId="209" fillId="8" borderId="0" xfId="0" applyNumberFormat="1" applyFont="1" applyFill="1" applyAlignment="1">
      <alignment horizontal="right" vertical="top" wrapText="1"/>
    </xf>
    <xf numFmtId="2" fontId="75" fillId="8" borderId="0" xfId="0" applyNumberFormat="1" applyFont="1" applyFill="1" applyAlignment="1">
      <alignment horizontal="right" vertical="top" wrapText="1"/>
    </xf>
    <xf numFmtId="2" fontId="299" fillId="8" borderId="0" xfId="0" applyNumberFormat="1" applyFont="1" applyFill="1" applyAlignment="1">
      <alignment horizontal="right" vertical="top" wrapText="1"/>
    </xf>
    <xf numFmtId="0" fontId="64" fillId="0" borderId="0" xfId="0" applyFont="1" applyAlignment="1">
      <alignment vertical="top"/>
    </xf>
    <xf numFmtId="2" fontId="140" fillId="0" borderId="0" xfId="0" applyNumberFormat="1" applyFont="1" applyAlignment="1">
      <alignment horizontal="right" vertical="top" wrapText="1"/>
    </xf>
    <xf numFmtId="2" fontId="63" fillId="8" borderId="0" xfId="0" applyNumberFormat="1" applyFont="1" applyFill="1" applyAlignment="1">
      <alignment horizontal="right" vertical="top" wrapText="1"/>
    </xf>
    <xf numFmtId="2" fontId="64" fillId="0" borderId="0" xfId="0" applyNumberFormat="1" applyFont="1" applyAlignment="1">
      <alignment horizontal="right" vertical="top" wrapText="1"/>
    </xf>
    <xf numFmtId="16" fontId="62" fillId="0" borderId="0" xfId="0" quotePrefix="1" applyNumberFormat="1" applyFont="1" applyAlignment="1">
      <alignment horizontal="right" vertical="top"/>
    </xf>
    <xf numFmtId="49" fontId="61" fillId="0" borderId="0" xfId="0" quotePrefix="1" applyNumberFormat="1" applyFont="1" applyAlignment="1">
      <alignment vertical="top"/>
    </xf>
    <xf numFmtId="49" fontId="302" fillId="0" borderId="0" xfId="0" quotePrefix="1" applyNumberFormat="1" applyFont="1" applyAlignment="1">
      <alignment vertical="top"/>
    </xf>
    <xf numFmtId="49" fontId="61" fillId="0" borderId="0" xfId="0" applyNumberFormat="1" applyFont="1" applyAlignment="1">
      <alignment vertical="top"/>
    </xf>
    <xf numFmtId="49" fontId="61" fillId="9" borderId="0" xfId="0" applyNumberFormat="1" applyFont="1" applyFill="1" applyAlignment="1">
      <alignment vertical="top"/>
    </xf>
    <xf numFmtId="49" fontId="61" fillId="8" borderId="0" xfId="0" quotePrefix="1" applyNumberFormat="1" applyFont="1" applyFill="1" applyAlignment="1">
      <alignment vertical="top"/>
    </xf>
    <xf numFmtId="49" fontId="61" fillId="9" borderId="0" xfId="0" quotePrefix="1" applyNumberFormat="1" applyFont="1" applyFill="1" applyAlignment="1">
      <alignment vertical="top" wrapText="1"/>
    </xf>
    <xf numFmtId="49" fontId="209" fillId="0" borderId="0" xfId="1" quotePrefix="1" applyNumberFormat="1" applyFont="1" applyFill="1" applyAlignment="1">
      <alignment vertical="top" wrapText="1"/>
    </xf>
    <xf numFmtId="49" fontId="61" fillId="8" borderId="0" xfId="0" applyNumberFormat="1" applyFont="1" applyFill="1" applyAlignment="1">
      <alignment vertical="top"/>
    </xf>
    <xf numFmtId="0" fontId="248" fillId="21" borderId="0" xfId="0" applyFont="1" applyFill="1" applyAlignment="1">
      <alignment horizontal="left" vertical="top"/>
    </xf>
    <xf numFmtId="0" fontId="208" fillId="21" borderId="0" xfId="1" applyFill="1"/>
    <xf numFmtId="2" fontId="64" fillId="8" borderId="0" xfId="0" applyNumberFormat="1" applyFont="1" applyFill="1" applyAlignment="1">
      <alignment horizontal="right" vertical="top" wrapText="1"/>
    </xf>
    <xf numFmtId="0" fontId="60" fillId="0" borderId="0" xfId="0" quotePrefix="1" applyFont="1" applyAlignment="1">
      <alignment horizontal="right" vertical="top"/>
    </xf>
    <xf numFmtId="2" fontId="218" fillId="7" borderId="0" xfId="0" applyNumberFormat="1" applyFont="1" applyFill="1" applyAlignment="1">
      <alignment horizontal="right" vertical="top"/>
    </xf>
    <xf numFmtId="16" fontId="96" fillId="7" borderId="1" xfId="0" quotePrefix="1" applyNumberFormat="1" applyFont="1" applyFill="1" applyBorder="1" applyAlignment="1">
      <alignment horizontal="right" vertical="top"/>
    </xf>
    <xf numFmtId="0" fontId="59" fillId="0" borderId="0" xfId="0" applyFont="1" applyAlignment="1">
      <alignment vertical="top"/>
    </xf>
    <xf numFmtId="2" fontId="59" fillId="0" borderId="0" xfId="0" applyNumberFormat="1" applyFont="1" applyAlignment="1">
      <alignment horizontal="right" vertical="top" wrapText="1"/>
    </xf>
    <xf numFmtId="0" fontId="58" fillId="0" borderId="0" xfId="0" applyFont="1" applyAlignment="1">
      <alignment vertical="top"/>
    </xf>
    <xf numFmtId="0" fontId="58" fillId="0" borderId="0" xfId="0" applyFont="1" applyAlignment="1">
      <alignment horizontal="center" vertical="top"/>
    </xf>
    <xf numFmtId="0" fontId="248" fillId="0" borderId="0" xfId="0" applyFont="1" applyAlignment="1">
      <alignment horizontal="right" vertical="top" wrapText="1"/>
    </xf>
    <xf numFmtId="49" fontId="248" fillId="0" borderId="0" xfId="0" quotePrefix="1" applyNumberFormat="1" applyFont="1" applyAlignment="1">
      <alignment vertical="top"/>
    </xf>
    <xf numFmtId="0" fontId="58" fillId="8" borderId="0" xfId="0" applyFont="1" applyFill="1" applyAlignment="1">
      <alignment horizontal="left" vertical="top"/>
    </xf>
    <xf numFmtId="49" fontId="58" fillId="0" borderId="0" xfId="0" applyNumberFormat="1" applyFont="1" applyAlignment="1">
      <alignment vertical="top"/>
    </xf>
    <xf numFmtId="0" fontId="303" fillId="0" borderId="1" xfId="0" applyFont="1" applyBorder="1" applyAlignment="1">
      <alignment horizontal="right" vertical="top" wrapText="1"/>
    </xf>
    <xf numFmtId="0" fontId="303" fillId="0" borderId="0" xfId="0" applyFont="1" applyAlignment="1">
      <alignment vertical="top" wrapText="1"/>
    </xf>
    <xf numFmtId="0" fontId="304" fillId="0" borderId="0" xfId="0" applyFont="1" applyAlignment="1">
      <alignment vertical="top" wrapText="1"/>
    </xf>
    <xf numFmtId="0" fontId="305" fillId="0" borderId="0" xfId="0" applyFont="1" applyAlignment="1">
      <alignment vertical="top" wrapText="1"/>
    </xf>
    <xf numFmtId="4" fontId="304" fillId="0" borderId="0" xfId="0" applyNumberFormat="1" applyFont="1" applyAlignment="1">
      <alignment horizontal="right" vertical="top"/>
    </xf>
    <xf numFmtId="0" fontId="304" fillId="0" borderId="0" xfId="0" applyFont="1" applyAlignment="1">
      <alignment horizontal="right" vertical="top" wrapText="1"/>
    </xf>
    <xf numFmtId="2" fontId="305" fillId="0" borderId="0" xfId="0" applyNumberFormat="1" applyFont="1" applyAlignment="1">
      <alignment horizontal="right" vertical="top" wrapText="1"/>
    </xf>
    <xf numFmtId="2" fontId="304" fillId="0" borderId="0" xfId="0" applyNumberFormat="1" applyFont="1" applyAlignment="1">
      <alignment horizontal="right" vertical="top" wrapText="1"/>
    </xf>
    <xf numFmtId="2" fontId="304" fillId="0" borderId="0" xfId="0" applyNumberFormat="1" applyFont="1" applyAlignment="1">
      <alignment horizontal="right" vertical="top"/>
    </xf>
    <xf numFmtId="2" fontId="305" fillId="0" borderId="0" xfId="0" applyNumberFormat="1" applyFont="1" applyAlignment="1">
      <alignment horizontal="right" vertical="top"/>
    </xf>
    <xf numFmtId="14" fontId="305" fillId="0" borderId="0" xfId="0" applyNumberFormat="1" applyFont="1" applyAlignment="1">
      <alignment horizontal="right" vertical="top"/>
    </xf>
    <xf numFmtId="0" fontId="305" fillId="0" borderId="0" xfId="0" applyFont="1" applyAlignment="1">
      <alignment horizontal="right" vertical="top"/>
    </xf>
    <xf numFmtId="0" fontId="303" fillId="0" borderId="19" xfId="0" applyFont="1" applyBorder="1" applyAlignment="1">
      <alignment horizontal="right" wrapText="1"/>
    </xf>
    <xf numFmtId="0" fontId="303" fillId="0" borderId="0" xfId="0" applyFont="1" applyAlignment="1">
      <alignment wrapText="1"/>
    </xf>
    <xf numFmtId="0" fontId="305" fillId="0" borderId="0" xfId="0" applyFont="1" applyAlignment="1">
      <alignment horizontal="center" wrapText="1"/>
    </xf>
    <xf numFmtId="0" fontId="305" fillId="0" borderId="0" xfId="0" applyFont="1" applyAlignment="1">
      <alignment wrapText="1"/>
    </xf>
    <xf numFmtId="0" fontId="305" fillId="0" borderId="0" xfId="0" applyFont="1"/>
    <xf numFmtId="14" fontId="305" fillId="0" borderId="0" xfId="0" applyNumberFormat="1" applyFont="1"/>
    <xf numFmtId="2" fontId="218" fillId="0" borderId="1" xfId="0" applyNumberFormat="1" applyFont="1" applyBorder="1" applyAlignment="1">
      <alignment horizontal="right" vertical="top"/>
    </xf>
    <xf numFmtId="0" fontId="83" fillId="0" borderId="1" xfId="0" applyFont="1" applyBorder="1" applyAlignment="1">
      <alignment horizontal="right" vertical="top"/>
    </xf>
    <xf numFmtId="0" fontId="255" fillId="0" borderId="1" xfId="0" quotePrefix="1" applyFont="1" applyBorder="1" applyAlignment="1">
      <alignment horizontal="right" vertical="top"/>
    </xf>
    <xf numFmtId="16" fontId="58" fillId="0" borderId="0" xfId="0" quotePrefix="1" applyNumberFormat="1" applyFont="1" applyAlignment="1">
      <alignment horizontal="right" vertical="top"/>
    </xf>
    <xf numFmtId="0" fontId="83" fillId="0" borderId="1" xfId="0" quotePrefix="1" applyFont="1" applyBorder="1" applyAlignment="1">
      <alignment horizontal="right" vertical="top"/>
    </xf>
    <xf numFmtId="2" fontId="96" fillId="0" borderId="1" xfId="0" applyNumberFormat="1" applyFont="1" applyBorder="1" applyAlignment="1">
      <alignment horizontal="right" vertical="top"/>
    </xf>
    <xf numFmtId="2" fontId="209" fillId="8" borderId="1" xfId="0" applyNumberFormat="1" applyFont="1" applyFill="1" applyBorder="1" applyAlignment="1">
      <alignment horizontal="right" vertical="top"/>
    </xf>
    <xf numFmtId="16" fontId="57" fillId="0" borderId="1" xfId="0" quotePrefix="1" applyNumberFormat="1" applyFont="1" applyBorder="1" applyAlignment="1">
      <alignment horizontal="right" vertical="top"/>
    </xf>
    <xf numFmtId="2" fontId="57" fillId="0" borderId="0" xfId="0" applyNumberFormat="1" applyFont="1" applyAlignment="1">
      <alignment horizontal="right" vertical="top" wrapText="1"/>
    </xf>
    <xf numFmtId="0" fontId="57" fillId="0" borderId="0" xfId="0" applyFont="1" applyAlignment="1">
      <alignment vertical="top" wrapText="1"/>
    </xf>
    <xf numFmtId="0" fontId="57" fillId="0" borderId="0" xfId="0" quotePrefix="1" applyFont="1" applyAlignment="1">
      <alignment horizontal="right" vertical="top"/>
    </xf>
    <xf numFmtId="0" fontId="209" fillId="32" borderId="0" xfId="0" applyFont="1" applyFill="1" applyAlignment="1">
      <alignment horizontal="center" vertical="top" wrapText="1"/>
    </xf>
    <xf numFmtId="0" fontId="0" fillId="32" borderId="0" xfId="0" applyFill="1" applyAlignment="1">
      <alignment horizontal="center" vertical="top"/>
    </xf>
    <xf numFmtId="0" fontId="248" fillId="32" borderId="0" xfId="0" applyFont="1" applyFill="1" applyAlignment="1">
      <alignment horizontal="center" vertical="top"/>
    </xf>
    <xf numFmtId="0" fontId="218" fillId="32" borderId="0" xfId="0" applyFont="1" applyFill="1" applyAlignment="1">
      <alignment horizontal="center" vertical="top"/>
    </xf>
    <xf numFmtId="0" fontId="248" fillId="32" borderId="0" xfId="0" applyFont="1" applyFill="1" applyAlignment="1">
      <alignment horizontal="center" vertical="top" wrapText="1"/>
    </xf>
    <xf numFmtId="0" fontId="128" fillId="32" borderId="0" xfId="0" applyFont="1" applyFill="1" applyAlignment="1">
      <alignment horizontal="center" vertical="top"/>
    </xf>
    <xf numFmtId="0" fontId="193" fillId="32" borderId="0" xfId="0" applyFont="1" applyFill="1" applyAlignment="1">
      <alignment horizontal="center" vertical="top"/>
    </xf>
    <xf numFmtId="0" fontId="71" fillId="32" borderId="0" xfId="0" applyFont="1" applyFill="1" applyAlignment="1">
      <alignment horizontal="center" vertical="top"/>
    </xf>
    <xf numFmtId="0" fontId="139" fillId="32" borderId="0" xfId="0" applyFont="1" applyFill="1" applyAlignment="1">
      <alignment horizontal="center" vertical="top"/>
    </xf>
    <xf numFmtId="0" fontId="0" fillId="32" borderId="0" xfId="0" applyFill="1" applyAlignment="1">
      <alignment horizontal="center"/>
    </xf>
    <xf numFmtId="0" fontId="57" fillId="32" borderId="0" xfId="0" applyFont="1" applyFill="1" applyAlignment="1">
      <alignment horizontal="center" vertical="top"/>
    </xf>
    <xf numFmtId="0" fontId="57" fillId="0" borderId="0" xfId="0" applyFont="1" applyAlignment="1">
      <alignment horizontal="center" vertical="top"/>
    </xf>
    <xf numFmtId="0" fontId="56" fillId="18" borderId="0" xfId="0" applyFont="1" applyFill="1"/>
    <xf numFmtId="0" fontId="56" fillId="0" borderId="0" xfId="0" applyFont="1" applyAlignment="1">
      <alignment horizontal="center" vertical="top"/>
    </xf>
    <xf numFmtId="14" fontId="218" fillId="21" borderId="0" xfId="0" applyNumberFormat="1" applyFont="1" applyFill="1"/>
    <xf numFmtId="0" fontId="218" fillId="21" borderId="0" xfId="0" applyFont="1" applyFill="1"/>
    <xf numFmtId="14" fontId="183" fillId="8" borderId="0" xfId="0" applyNumberFormat="1" applyFont="1" applyFill="1"/>
    <xf numFmtId="14" fontId="299" fillId="8" borderId="0" xfId="0" applyNumberFormat="1" applyFont="1" applyFill="1"/>
    <xf numFmtId="0" fontId="243" fillId="0" borderId="0" xfId="0" applyFont="1" applyAlignment="1">
      <alignment vertical="center"/>
    </xf>
    <xf numFmtId="0" fontId="243" fillId="0" borderId="0" xfId="0" applyFont="1"/>
    <xf numFmtId="0" fontId="306" fillId="0" borderId="1" xfId="0" applyFont="1" applyBorder="1" applyAlignment="1">
      <alignment horizontal="right" vertical="top" wrapText="1"/>
    </xf>
    <xf numFmtId="0" fontId="306" fillId="0" borderId="0" xfId="0" applyFont="1" applyAlignment="1">
      <alignment vertical="top" wrapText="1"/>
    </xf>
    <xf numFmtId="0" fontId="244" fillId="0" borderId="0" xfId="0" applyFont="1" applyAlignment="1">
      <alignment vertical="top" wrapText="1"/>
    </xf>
    <xf numFmtId="0" fontId="247" fillId="0" borderId="0" xfId="0" applyFont="1" applyAlignment="1">
      <alignment vertical="top" wrapText="1"/>
    </xf>
    <xf numFmtId="2" fontId="244" fillId="0" borderId="0" xfId="0" applyNumberFormat="1" applyFont="1" applyAlignment="1">
      <alignment horizontal="right" vertical="top" wrapText="1"/>
    </xf>
    <xf numFmtId="4" fontId="244" fillId="0" borderId="0" xfId="0" applyNumberFormat="1" applyFont="1" applyAlignment="1">
      <alignment horizontal="right" vertical="top"/>
    </xf>
    <xf numFmtId="0" fontId="244" fillId="0" borderId="0" xfId="0" applyFont="1" applyAlignment="1">
      <alignment horizontal="right" vertical="top" wrapText="1"/>
    </xf>
    <xf numFmtId="2" fontId="247" fillId="0" borderId="0" xfId="0" applyNumberFormat="1" applyFont="1" applyAlignment="1">
      <alignment horizontal="right" vertical="top" wrapText="1"/>
    </xf>
    <xf numFmtId="0" fontId="247" fillId="0" borderId="0" xfId="0" applyFont="1" applyAlignment="1">
      <alignment horizontal="right" vertical="top" wrapText="1"/>
    </xf>
    <xf numFmtId="2" fontId="244" fillId="0" borderId="0" xfId="0" applyNumberFormat="1" applyFont="1" applyAlignment="1">
      <alignment horizontal="right" vertical="top"/>
    </xf>
    <xf numFmtId="2" fontId="247" fillId="0" borderId="0" xfId="0" applyNumberFormat="1" applyFont="1" applyAlignment="1">
      <alignment horizontal="right" vertical="top"/>
    </xf>
    <xf numFmtId="14" fontId="247" fillId="0" borderId="0" xfId="0" applyNumberFormat="1" applyFont="1" applyAlignment="1">
      <alignment horizontal="right" vertical="top"/>
    </xf>
    <xf numFmtId="0" fontId="247" fillId="0" borderId="0" xfId="0" applyFont="1" applyAlignment="1">
      <alignment horizontal="right" vertical="top"/>
    </xf>
    <xf numFmtId="0" fontId="55" fillId="21" borderId="0" xfId="0" applyFont="1" applyFill="1"/>
    <xf numFmtId="14" fontId="55" fillId="21" borderId="0" xfId="0" applyNumberFormat="1" applyFont="1" applyFill="1"/>
    <xf numFmtId="0" fontId="208" fillId="27" borderId="0" xfId="1" applyFill="1" applyAlignment="1">
      <alignment vertical="center" wrapText="1"/>
    </xf>
    <xf numFmtId="0" fontId="54" fillId="10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21" borderId="0" xfId="0" applyFill="1" applyAlignment="1">
      <alignment horizontal="center" vertical="top"/>
    </xf>
    <xf numFmtId="0" fontId="54" fillId="21" borderId="0" xfId="0" applyFont="1" applyFill="1" applyAlignment="1">
      <alignment horizontal="center" vertical="top"/>
    </xf>
    <xf numFmtId="0" fontId="54" fillId="8" borderId="0" xfId="0" applyFont="1" applyFill="1" applyAlignment="1">
      <alignment horizontal="center" vertical="top"/>
    </xf>
    <xf numFmtId="0" fontId="126" fillId="10" borderId="0" xfId="0" applyFont="1" applyFill="1" applyAlignment="1">
      <alignment horizontal="center" vertical="top"/>
    </xf>
    <xf numFmtId="0" fontId="137" fillId="10" borderId="0" xfId="0" applyFont="1" applyFill="1" applyAlignment="1">
      <alignment horizontal="center" vertical="top"/>
    </xf>
    <xf numFmtId="0" fontId="139" fillId="21" borderId="0" xfId="0" applyFont="1" applyFill="1" applyAlignment="1">
      <alignment horizontal="center" vertical="top"/>
    </xf>
    <xf numFmtId="0" fontId="178" fillId="10" borderId="0" xfId="0" applyFont="1" applyFill="1" applyAlignment="1">
      <alignment horizontal="center" vertical="top"/>
    </xf>
    <xf numFmtId="0" fontId="248" fillId="10" borderId="0" xfId="0" applyFont="1" applyFill="1" applyAlignment="1">
      <alignment horizontal="center" vertical="top"/>
    </xf>
    <xf numFmtId="0" fontId="181" fillId="8" borderId="0" xfId="0" applyFont="1" applyFill="1" applyAlignment="1">
      <alignment horizontal="center" vertical="top"/>
    </xf>
    <xf numFmtId="0" fontId="248" fillId="8" borderId="0" xfId="0" applyFont="1" applyFill="1" applyAlignment="1">
      <alignment horizontal="center" vertical="top"/>
    </xf>
    <xf numFmtId="0" fontId="218" fillId="8" borderId="0" xfId="0" applyFont="1" applyFill="1" applyAlignment="1">
      <alignment horizontal="center" vertical="top"/>
    </xf>
    <xf numFmtId="0" fontId="126" fillId="8" borderId="0" xfId="0" applyFont="1" applyFill="1" applyAlignment="1">
      <alignment horizontal="center" vertical="top"/>
    </xf>
    <xf numFmtId="0" fontId="248" fillId="8" borderId="0" xfId="0" applyFont="1" applyFill="1" applyAlignment="1">
      <alignment horizontal="center" vertical="top" wrapText="1"/>
    </xf>
    <xf numFmtId="0" fontId="190" fillId="8" borderId="0" xfId="0" applyFont="1" applyFill="1" applyAlignment="1">
      <alignment horizontal="center" vertical="top"/>
    </xf>
    <xf numFmtId="0" fontId="193" fillId="8" borderId="0" xfId="0" applyFont="1" applyFill="1" applyAlignment="1">
      <alignment horizontal="center" vertical="top"/>
    </xf>
    <xf numFmtId="0" fontId="53" fillId="0" borderId="0" xfId="0" applyFont="1" applyAlignment="1">
      <alignment horizontal="center" vertical="top"/>
    </xf>
    <xf numFmtId="49" fontId="51" fillId="0" borderId="0" xfId="0" applyNumberFormat="1" applyFont="1" applyAlignment="1">
      <alignment vertical="top"/>
    </xf>
    <xf numFmtId="0" fontId="229" fillId="4" borderId="1" xfId="0" applyFont="1" applyFill="1" applyBorder="1" applyAlignment="1">
      <alignment horizontal="right" wrapText="1"/>
    </xf>
    <xf numFmtId="0" fontId="218" fillId="4" borderId="1" xfId="0" applyFont="1" applyFill="1" applyBorder="1" applyAlignment="1">
      <alignment wrapText="1"/>
    </xf>
    <xf numFmtId="0" fontId="297" fillId="4" borderId="19" xfId="0" applyFont="1" applyFill="1" applyBorder="1" applyAlignment="1">
      <alignment horizontal="right" wrapText="1"/>
    </xf>
    <xf numFmtId="0" fontId="297" fillId="4" borderId="0" xfId="0" applyFont="1" applyFill="1" applyAlignment="1">
      <alignment wrapText="1"/>
    </xf>
    <xf numFmtId="0" fontId="50" fillId="0" borderId="0" xfId="0" quotePrefix="1" applyFont="1" applyAlignment="1">
      <alignment horizontal="right" vertical="top"/>
    </xf>
    <xf numFmtId="0" fontId="50" fillId="0" borderId="0" xfId="0" applyFont="1"/>
    <xf numFmtId="49" fontId="229" fillId="0" borderId="0" xfId="0" applyNumberFormat="1" applyFont="1" applyAlignment="1">
      <alignment wrapText="1"/>
    </xf>
    <xf numFmtId="0" fontId="50" fillId="0" borderId="0" xfId="0" applyFont="1" applyAlignment="1">
      <alignment horizontal="center"/>
    </xf>
    <xf numFmtId="0" fontId="50" fillId="0" borderId="0" xfId="0" quotePrefix="1" applyFont="1" applyAlignment="1">
      <alignment horizontal="center"/>
    </xf>
    <xf numFmtId="0" fontId="208" fillId="0" borderId="0" xfId="1" applyFill="1"/>
    <xf numFmtId="49" fontId="50" fillId="0" borderId="0" xfId="0" quotePrefix="1" applyNumberFormat="1" applyFont="1"/>
    <xf numFmtId="49" fontId="50" fillId="0" borderId="0" xfId="0" applyNumberFormat="1" applyFont="1" applyAlignment="1">
      <alignment horizontal="center"/>
    </xf>
    <xf numFmtId="0" fontId="50" fillId="0" borderId="0" xfId="0" applyFont="1" applyAlignment="1">
      <alignment horizontal="left"/>
    </xf>
    <xf numFmtId="14" fontId="50" fillId="0" borderId="0" xfId="0" applyNumberFormat="1" applyFont="1" applyAlignment="1">
      <alignment horizontal="center"/>
    </xf>
    <xf numFmtId="0" fontId="247" fillId="0" borderId="0" xfId="0" applyFont="1" applyAlignment="1">
      <alignment horizontal="center"/>
    </xf>
    <xf numFmtId="0" fontId="218" fillId="29" borderId="1" xfId="0" applyFont="1" applyFill="1" applyBorder="1" applyAlignment="1">
      <alignment wrapText="1"/>
    </xf>
    <xf numFmtId="0" fontId="218" fillId="9" borderId="1" xfId="0" applyFont="1" applyFill="1" applyBorder="1" applyAlignment="1">
      <alignment wrapText="1"/>
    </xf>
    <xf numFmtId="0" fontId="218" fillId="24" borderId="1" xfId="0" applyFont="1" applyFill="1" applyBorder="1" applyAlignment="1">
      <alignment wrapText="1"/>
    </xf>
    <xf numFmtId="0" fontId="297" fillId="24" borderId="0" xfId="0" applyFont="1" applyFill="1" applyAlignment="1">
      <alignment wrapText="1"/>
    </xf>
    <xf numFmtId="0" fontId="307" fillId="0" borderId="0" xfId="0" applyFont="1" applyAlignment="1">
      <alignment horizontal="right" vertical="top" wrapText="1"/>
    </xf>
    <xf numFmtId="0" fontId="307" fillId="0" borderId="0" xfId="0" applyFont="1" applyAlignment="1">
      <alignment vertical="top" wrapText="1"/>
    </xf>
    <xf numFmtId="0" fontId="308" fillId="0" borderId="0" xfId="0" applyFont="1" applyAlignment="1">
      <alignment vertical="top"/>
    </xf>
    <xf numFmtId="49" fontId="308" fillId="0" borderId="0" xfId="0" applyNumberFormat="1" applyFont="1" applyAlignment="1">
      <alignment horizontal="center" vertical="top"/>
    </xf>
    <xf numFmtId="0" fontId="248" fillId="6" borderId="0" xfId="0" applyFont="1" applyFill="1" applyAlignment="1">
      <alignment vertical="top"/>
    </xf>
    <xf numFmtId="0" fontId="248" fillId="18" borderId="0" xfId="0" applyFont="1" applyFill="1" applyAlignment="1">
      <alignment horizontal="left" vertical="top"/>
    </xf>
    <xf numFmtId="0" fontId="208" fillId="18" borderId="0" xfId="1" applyFill="1" applyAlignment="1">
      <alignment vertical="top"/>
    </xf>
    <xf numFmtId="0" fontId="49" fillId="0" borderId="0" xfId="0" applyFont="1" applyAlignment="1">
      <alignment vertical="top"/>
    </xf>
    <xf numFmtId="49" fontId="48" fillId="0" borderId="0" xfId="0" applyNumberFormat="1" applyFont="1" applyAlignment="1">
      <alignment vertical="top"/>
    </xf>
    <xf numFmtId="49" fontId="48" fillId="0" borderId="0" xfId="0" quotePrefix="1" applyNumberFormat="1" applyFont="1" applyAlignment="1">
      <alignment vertical="top"/>
    </xf>
    <xf numFmtId="0" fontId="301" fillId="27" borderId="0" xfId="0" applyFont="1" applyFill="1" applyAlignment="1">
      <alignment vertical="center" wrapText="1"/>
    </xf>
    <xf numFmtId="14" fontId="207" fillId="0" borderId="0" xfId="0" applyNumberFormat="1" applyFont="1" applyAlignment="1">
      <alignment horizontal="center" vertical="top"/>
    </xf>
    <xf numFmtId="0" fontId="303" fillId="0" borderId="19" xfId="0" applyFont="1" applyBorder="1" applyAlignment="1">
      <alignment horizontal="right" vertical="top" wrapText="1"/>
    </xf>
    <xf numFmtId="0" fontId="305" fillId="0" borderId="0" xfId="0" applyFont="1" applyAlignment="1">
      <alignment vertical="top"/>
    </xf>
    <xf numFmtId="4" fontId="305" fillId="0" borderId="0" xfId="0" applyNumberFormat="1" applyFont="1" applyAlignment="1">
      <alignment horizontal="right" vertical="top"/>
    </xf>
    <xf numFmtId="0" fontId="305" fillId="0" borderId="0" xfId="0" applyFont="1" applyAlignment="1">
      <alignment horizontal="right" vertical="top" wrapText="1"/>
    </xf>
    <xf numFmtId="0" fontId="47" fillId="4" borderId="0" xfId="0" applyFont="1" applyFill="1" applyAlignment="1">
      <alignment horizontal="center" vertical="top"/>
    </xf>
    <xf numFmtId="0" fontId="47" fillId="10" borderId="0" xfId="0" applyFont="1" applyFill="1" applyAlignment="1">
      <alignment horizontal="center" vertical="top"/>
    </xf>
    <xf numFmtId="0" fontId="46" fillId="4" borderId="0" xfId="0" applyFont="1" applyFill="1" applyAlignment="1">
      <alignment horizontal="center" vertical="top"/>
    </xf>
    <xf numFmtId="0" fontId="301" fillId="0" borderId="0" xfId="0" applyFont="1" applyAlignment="1">
      <alignment vertical="top"/>
    </xf>
    <xf numFmtId="49" fontId="45" fillId="0" borderId="0" xfId="0" applyNumberFormat="1" applyFont="1" applyAlignment="1">
      <alignment vertical="top" wrapText="1"/>
    </xf>
    <xf numFmtId="0" fontId="44" fillId="0" borderId="0" xfId="0" applyFont="1" applyAlignment="1">
      <alignment vertical="top"/>
    </xf>
    <xf numFmtId="2" fontId="298" fillId="8" borderId="0" xfId="0" applyNumberFormat="1" applyFont="1" applyFill="1" applyAlignment="1">
      <alignment horizontal="right" vertical="top"/>
    </xf>
    <xf numFmtId="0" fontId="43" fillId="0" borderId="0" xfId="0" quotePrefix="1" applyFont="1" applyAlignment="1">
      <alignment horizontal="right" vertical="top"/>
    </xf>
    <xf numFmtId="2" fontId="209" fillId="16" borderId="0" xfId="0" applyNumberFormat="1" applyFont="1" applyFill="1" applyAlignment="1">
      <alignment horizontal="right" vertical="top" wrapText="1"/>
    </xf>
    <xf numFmtId="2" fontId="218" fillId="16" borderId="0" xfId="0" applyNumberFormat="1" applyFont="1" applyFill="1" applyAlignment="1">
      <alignment horizontal="right" vertical="top" wrapText="1"/>
    </xf>
    <xf numFmtId="2" fontId="209" fillId="16" borderId="0" xfId="0" applyNumberFormat="1" applyFont="1" applyFill="1" applyAlignment="1">
      <alignment horizontal="right" vertical="top"/>
    </xf>
    <xf numFmtId="2" fontId="218" fillId="16" borderId="0" xfId="0" applyNumberFormat="1" applyFont="1" applyFill="1" applyAlignment="1">
      <alignment horizontal="right" vertical="top"/>
    </xf>
    <xf numFmtId="2" fontId="305" fillId="10" borderId="0" xfId="0" applyNumberFormat="1" applyFont="1" applyFill="1" applyAlignment="1">
      <alignment horizontal="right" vertical="top"/>
    </xf>
    <xf numFmtId="0" fontId="229" fillId="21" borderId="1" xfId="0" applyFont="1" applyFill="1" applyBorder="1" applyAlignment="1">
      <alignment horizontal="right" wrapText="1"/>
    </xf>
    <xf numFmtId="0" fontId="218" fillId="21" borderId="1" xfId="0" applyFont="1" applyFill="1" applyBorder="1" applyAlignment="1">
      <alignment wrapText="1"/>
    </xf>
    <xf numFmtId="0" fontId="55" fillId="8" borderId="0" xfId="0" applyFont="1" applyFill="1"/>
    <xf numFmtId="14" fontId="55" fillId="8" borderId="0" xfId="0" applyNumberFormat="1" applyFont="1" applyFill="1"/>
    <xf numFmtId="0" fontId="52" fillId="8" borderId="0" xfId="0" applyFont="1" applyFill="1"/>
    <xf numFmtId="0" fontId="42" fillId="0" borderId="0" xfId="0" applyFont="1"/>
    <xf numFmtId="0" fontId="247" fillId="8" borderId="0" xfId="0" applyFont="1" applyFill="1"/>
    <xf numFmtId="14" fontId="305" fillId="8" borderId="0" xfId="0" applyNumberFormat="1" applyFont="1" applyFill="1"/>
    <xf numFmtId="0" fontId="305" fillId="8" borderId="0" xfId="0" applyFont="1" applyFill="1"/>
    <xf numFmtId="2" fontId="209" fillId="10" borderId="0" xfId="0" applyNumberFormat="1" applyFont="1" applyFill="1" applyAlignment="1">
      <alignment horizontal="right" vertical="top"/>
    </xf>
    <xf numFmtId="2" fontId="218" fillId="10" borderId="0" xfId="0" applyNumberFormat="1" applyFont="1" applyFill="1" applyAlignment="1">
      <alignment horizontal="right" vertical="top"/>
    </xf>
    <xf numFmtId="2" fontId="41" fillId="0" borderId="0" xfId="0" applyNumberFormat="1" applyFont="1" applyAlignment="1">
      <alignment horizontal="right" vertical="top" wrapText="1"/>
    </xf>
    <xf numFmtId="2" fontId="209" fillId="10" borderId="0" xfId="0" applyNumberFormat="1" applyFont="1" applyFill="1" applyAlignment="1">
      <alignment horizontal="right" vertical="top" wrapText="1"/>
    </xf>
    <xf numFmtId="2" fontId="218" fillId="10" borderId="0" xfId="0" applyNumberFormat="1" applyFont="1" applyFill="1" applyAlignment="1">
      <alignment horizontal="right" vertical="top" wrapText="1"/>
    </xf>
    <xf numFmtId="2" fontId="298" fillId="10" borderId="0" xfId="0" applyNumberFormat="1" applyFont="1" applyFill="1" applyAlignment="1">
      <alignment horizontal="right" vertical="top"/>
    </xf>
    <xf numFmtId="2" fontId="304" fillId="10" borderId="0" xfId="0" applyNumberFormat="1" applyFont="1" applyFill="1" applyAlignment="1">
      <alignment horizontal="right" vertical="top"/>
    </xf>
    <xf numFmtId="2" fontId="244" fillId="10" borderId="0" xfId="0" applyNumberFormat="1" applyFont="1" applyFill="1" applyAlignment="1">
      <alignment horizontal="right" vertical="top"/>
    </xf>
    <xf numFmtId="0" fontId="41" fillId="0" borderId="0" xfId="0" applyFont="1" applyAlignment="1">
      <alignment horizontal="center" vertical="top"/>
    </xf>
    <xf numFmtId="0" fontId="218" fillId="0" borderId="1" xfId="0" applyFont="1" applyBorder="1" applyAlignment="1">
      <alignment vertical="top" wrapText="1"/>
    </xf>
    <xf numFmtId="0" fontId="40" fillId="0" borderId="0" xfId="0" applyFont="1" applyAlignment="1">
      <alignment vertical="top"/>
    </xf>
    <xf numFmtId="0" fontId="208" fillId="0" borderId="0" xfId="1" applyFill="1" applyAlignment="1">
      <alignment wrapText="1"/>
    </xf>
    <xf numFmtId="0" fontId="0" fillId="29" borderId="0" xfId="0" applyFill="1" applyAlignment="1">
      <alignment horizontal="left" vertical="top"/>
    </xf>
    <xf numFmtId="49" fontId="268" fillId="0" borderId="0" xfId="0" applyNumberFormat="1" applyFont="1" applyAlignment="1">
      <alignment horizontal="center" vertical="top"/>
    </xf>
    <xf numFmtId="49" fontId="39" fillId="25" borderId="0" xfId="0" applyNumberFormat="1" applyFont="1" applyFill="1" applyAlignment="1">
      <alignment vertical="top"/>
    </xf>
    <xf numFmtId="49" fontId="39" fillId="0" borderId="0" xfId="0" applyNumberFormat="1" applyFont="1" applyAlignment="1">
      <alignment vertical="top" wrapText="1"/>
    </xf>
    <xf numFmtId="0" fontId="301" fillId="0" borderId="0" xfId="0" applyFont="1"/>
    <xf numFmtId="2" fontId="311" fillId="0" borderId="0" xfId="0" applyNumberFormat="1" applyFont="1" applyAlignment="1">
      <alignment horizontal="right" vertical="top" wrapText="1"/>
    </xf>
    <xf numFmtId="2" fontId="312" fillId="0" borderId="0" xfId="0" applyNumberFormat="1" applyFont="1" applyAlignment="1">
      <alignment horizontal="right" vertical="top" wrapText="1"/>
    </xf>
    <xf numFmtId="2" fontId="310" fillId="0" borderId="1" xfId="0" applyNumberFormat="1" applyFont="1" applyBorder="1" applyAlignment="1">
      <alignment horizontal="right" vertical="top"/>
    </xf>
    <xf numFmtId="2" fontId="312" fillId="0" borderId="0" xfId="0" applyNumberFormat="1" applyFont="1" applyAlignment="1">
      <alignment horizontal="right" vertical="top"/>
    </xf>
    <xf numFmtId="2" fontId="310" fillId="0" borderId="0" xfId="0" applyNumberFormat="1" applyFont="1" applyAlignment="1">
      <alignment horizontal="right" vertical="top" wrapText="1"/>
    </xf>
    <xf numFmtId="0" fontId="38" fillId="0" borderId="0" xfId="0" applyFont="1" applyAlignment="1">
      <alignment vertical="top"/>
    </xf>
    <xf numFmtId="2" fontId="280" fillId="0" borderId="0" xfId="0" applyNumberFormat="1" applyFont="1" applyAlignment="1">
      <alignment horizontal="right" vertical="top" wrapText="1"/>
    </xf>
    <xf numFmtId="2" fontId="313" fillId="0" borderId="0" xfId="0" applyNumberFormat="1" applyFont="1" applyAlignment="1">
      <alignment horizontal="right" vertical="top" wrapText="1"/>
    </xf>
    <xf numFmtId="2" fontId="207" fillId="0" borderId="0" xfId="0" applyNumberFormat="1" applyFont="1" applyAlignment="1">
      <alignment horizontal="right" vertical="top" wrapText="1"/>
    </xf>
    <xf numFmtId="0" fontId="248" fillId="6" borderId="0" xfId="0" applyFont="1" applyFill="1" applyAlignment="1">
      <alignment horizontal="left" vertical="top"/>
    </xf>
    <xf numFmtId="49" fontId="221" fillId="0" borderId="0" xfId="0" applyNumberFormat="1" applyFont="1" applyAlignment="1">
      <alignment vertical="center"/>
    </xf>
    <xf numFmtId="49" fontId="309" fillId="0" borderId="0" xfId="0" applyNumberFormat="1" applyFont="1"/>
    <xf numFmtId="49" fontId="207" fillId="0" borderId="0" xfId="0" applyNumberFormat="1" applyFont="1"/>
    <xf numFmtId="49" fontId="314" fillId="0" borderId="0" xfId="0" applyNumberFormat="1" applyFont="1"/>
    <xf numFmtId="0" fontId="36" fillId="29" borderId="0" xfId="0" applyFont="1" applyFill="1" applyAlignment="1">
      <alignment horizontal="left" vertical="top"/>
    </xf>
    <xf numFmtId="0" fontId="35" fillId="0" borderId="0" xfId="0" applyFont="1" applyAlignment="1">
      <alignment horizontal="center" vertical="top"/>
    </xf>
    <xf numFmtId="0" fontId="34" fillId="0" borderId="0" xfId="0" applyFont="1" applyAlignment="1">
      <alignment vertical="top"/>
    </xf>
    <xf numFmtId="4" fontId="280" fillId="0" borderId="0" xfId="0" applyNumberFormat="1" applyFont="1" applyAlignment="1">
      <alignment vertical="top" wrapText="1"/>
    </xf>
    <xf numFmtId="0" fontId="33" fillId="0" borderId="0" xfId="0" quotePrefix="1" applyFont="1" applyAlignment="1">
      <alignment horizontal="right" vertical="top"/>
    </xf>
    <xf numFmtId="49" fontId="33" fillId="0" borderId="0" xfId="0" quotePrefix="1" applyNumberFormat="1" applyFont="1" applyAlignment="1">
      <alignment vertical="top"/>
    </xf>
    <xf numFmtId="2" fontId="305" fillId="10" borderId="0" xfId="0" applyNumberFormat="1" applyFont="1" applyFill="1" applyAlignment="1">
      <alignment horizontal="right" vertical="top" wrapText="1"/>
    </xf>
    <xf numFmtId="2" fontId="95" fillId="8" borderId="0" xfId="0" applyNumberFormat="1" applyFont="1" applyFill="1" applyAlignment="1">
      <alignment horizontal="right" vertical="top" wrapText="1"/>
    </xf>
    <xf numFmtId="0" fontId="315" fillId="0" borderId="0" xfId="0" applyFont="1" applyAlignment="1">
      <alignment wrapText="1"/>
    </xf>
    <xf numFmtId="0" fontId="316" fillId="0" borderId="0" xfId="0" applyFont="1" applyAlignment="1">
      <alignment horizontal="center" wrapText="1"/>
    </xf>
    <xf numFmtId="0" fontId="316" fillId="0" borderId="0" xfId="0" applyFont="1" applyAlignment="1">
      <alignment wrapText="1"/>
    </xf>
    <xf numFmtId="0" fontId="316" fillId="0" borderId="0" xfId="0" applyFont="1"/>
    <xf numFmtId="14" fontId="316" fillId="0" borderId="0" xfId="0" applyNumberFormat="1" applyFont="1"/>
    <xf numFmtId="14" fontId="209" fillId="8" borderId="0" xfId="0" applyNumberFormat="1" applyFont="1" applyFill="1" applyAlignment="1">
      <alignment horizontal="left"/>
    </xf>
    <xf numFmtId="0" fontId="316" fillId="8" borderId="0" xfId="0" applyFont="1" applyFill="1"/>
    <xf numFmtId="0" fontId="316" fillId="10" borderId="0" xfId="0" applyFont="1" applyFill="1"/>
    <xf numFmtId="14" fontId="316" fillId="8" borderId="0" xfId="0" applyNumberFormat="1" applyFont="1" applyFill="1"/>
    <xf numFmtId="0" fontId="305" fillId="10" borderId="0" xfId="0" applyFont="1" applyFill="1" applyAlignment="1">
      <alignment vertical="top" wrapText="1"/>
    </xf>
    <xf numFmtId="16" fontId="44" fillId="0" borderId="0" xfId="0" quotePrefix="1" applyNumberFormat="1" applyFont="1" applyAlignment="1">
      <alignment horizontal="right" vertical="top"/>
    </xf>
    <xf numFmtId="2" fontId="82" fillId="10" borderId="0" xfId="0" applyNumberFormat="1" applyFont="1" applyFill="1" applyAlignment="1">
      <alignment horizontal="right" vertical="top" wrapText="1"/>
    </xf>
    <xf numFmtId="0" fontId="31" fillId="0" borderId="0" xfId="0" applyFont="1" applyAlignment="1">
      <alignment vertical="top"/>
    </xf>
    <xf numFmtId="0" fontId="31" fillId="33" borderId="0" xfId="0" applyFont="1" applyFill="1"/>
    <xf numFmtId="0" fontId="31" fillId="33" borderId="0" xfId="0" applyFont="1" applyFill="1" applyAlignment="1">
      <alignment wrapText="1"/>
    </xf>
    <xf numFmtId="0" fontId="248" fillId="4" borderId="0" xfId="0" applyFont="1" applyFill="1" applyAlignment="1">
      <alignment vertical="top" wrapText="1"/>
    </xf>
    <xf numFmtId="0" fontId="268" fillId="4" borderId="0" xfId="0" applyFont="1" applyFill="1" applyAlignment="1">
      <alignment vertical="top" wrapText="1"/>
    </xf>
    <xf numFmtId="0" fontId="0" fillId="10" borderId="0" xfId="0" applyFill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0" fillId="10" borderId="0" xfId="0" applyFont="1" applyFill="1" applyAlignment="1">
      <alignment horizontal="center" vertical="top"/>
    </xf>
    <xf numFmtId="164" fontId="0" fillId="10" borderId="0" xfId="0" applyNumberFormat="1" applyFill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64" fontId="32" fillId="0" borderId="0" xfId="0" applyNumberFormat="1" applyFont="1" applyAlignment="1">
      <alignment horizontal="center" vertical="top"/>
    </xf>
    <xf numFmtId="164" fontId="0" fillId="0" borderId="0" xfId="0" applyNumberFormat="1"/>
    <xf numFmtId="14" fontId="0" fillId="34" borderId="0" xfId="0" applyNumberFormat="1" applyFill="1" applyAlignment="1">
      <alignment horizontal="center" vertical="top" wrapText="1"/>
    </xf>
    <xf numFmtId="0" fontId="207" fillId="0" borderId="0" xfId="0" applyFont="1" applyAlignment="1">
      <alignment horizontal="left"/>
    </xf>
    <xf numFmtId="0" fontId="30" fillId="0" borderId="0" xfId="0" applyFont="1" applyAlignment="1">
      <alignment horizontal="left" vertical="top"/>
    </xf>
    <xf numFmtId="0" fontId="0" fillId="35" borderId="0" xfId="0" applyFill="1" applyAlignment="1">
      <alignment horizontal="left" vertical="top" wrapText="1"/>
    </xf>
    <xf numFmtId="164" fontId="30" fillId="0" borderId="0" xfId="0" applyNumberFormat="1" applyFont="1" applyAlignment="1">
      <alignment horizontal="center" vertical="top"/>
    </xf>
    <xf numFmtId="0" fontId="301" fillId="27" borderId="0" xfId="0" applyFont="1" applyFill="1" applyAlignment="1">
      <alignment horizontal="left" vertical="center" wrapText="1"/>
    </xf>
    <xf numFmtId="0" fontId="30" fillId="0" borderId="0" xfId="0" applyFont="1" applyAlignment="1">
      <alignment horizontal="center" vertical="top" wrapText="1"/>
    </xf>
    <xf numFmtId="49" fontId="30" fillId="0" borderId="0" xfId="0" applyNumberFormat="1" applyFont="1" applyAlignment="1">
      <alignment horizontal="center" vertical="top"/>
    </xf>
    <xf numFmtId="0" fontId="30" fillId="0" borderId="0" xfId="0" applyFont="1" applyAlignment="1">
      <alignment vertical="top"/>
    </xf>
    <xf numFmtId="0" fontId="301" fillId="27" borderId="0" xfId="0" applyFont="1" applyFill="1" applyAlignment="1">
      <alignment vertical="center"/>
    </xf>
    <xf numFmtId="0" fontId="0" fillId="10" borderId="0" xfId="0" applyFill="1" applyAlignment="1">
      <alignment horizontal="left" vertical="top"/>
    </xf>
    <xf numFmtId="49" fontId="30" fillId="0" borderId="0" xfId="0" applyNumberFormat="1" applyFont="1" applyAlignment="1">
      <alignment vertical="top"/>
    </xf>
    <xf numFmtId="49" fontId="0" fillId="35" borderId="0" xfId="0" applyNumberFormat="1" applyFill="1" applyAlignment="1">
      <alignment horizontal="center" vertical="top"/>
    </xf>
    <xf numFmtId="49" fontId="301" fillId="0" borderId="0" xfId="0" applyNumberFormat="1" applyFont="1"/>
    <xf numFmtId="49" fontId="0" fillId="0" borderId="0" xfId="0" applyNumberFormat="1" applyAlignment="1">
      <alignment horizontal="left" vertical="top"/>
    </xf>
    <xf numFmtId="49" fontId="209" fillId="0" borderId="0" xfId="1" applyNumberFormat="1" applyFont="1" applyAlignment="1"/>
    <xf numFmtId="0" fontId="30" fillId="0" borderId="0" xfId="0" applyFont="1" applyAlignment="1">
      <alignment horizontal="center" vertical="top"/>
    </xf>
    <xf numFmtId="0" fontId="29" fillId="0" borderId="0" xfId="0" applyFont="1" applyAlignment="1">
      <alignment vertical="top"/>
    </xf>
    <xf numFmtId="0" fontId="218" fillId="10" borderId="0" xfId="0" applyFont="1" applyFill="1" applyAlignment="1">
      <alignment vertical="top"/>
    </xf>
    <xf numFmtId="4" fontId="193" fillId="10" borderId="0" xfId="0" applyNumberFormat="1" applyFont="1" applyFill="1" applyAlignment="1">
      <alignment horizontal="right" vertical="top" wrapText="1"/>
    </xf>
    <xf numFmtId="0" fontId="315" fillId="0" borderId="1" xfId="0" applyFont="1" applyBorder="1" applyAlignment="1">
      <alignment horizontal="right" vertical="top" wrapText="1"/>
    </xf>
    <xf numFmtId="0" fontId="315" fillId="0" borderId="0" xfId="0" applyFont="1" applyAlignment="1">
      <alignment vertical="top" wrapText="1"/>
    </xf>
    <xf numFmtId="0" fontId="316" fillId="0" borderId="0" xfId="0" applyFont="1" applyAlignment="1">
      <alignment vertical="top"/>
    </xf>
    <xf numFmtId="0" fontId="316" fillId="0" borderId="0" xfId="0" applyFont="1" applyAlignment="1">
      <alignment vertical="top" wrapText="1"/>
    </xf>
    <xf numFmtId="14" fontId="317" fillId="0" borderId="0" xfId="0" applyNumberFormat="1" applyFont="1" applyAlignment="1">
      <alignment horizontal="right" vertical="top" wrapText="1"/>
    </xf>
    <xf numFmtId="2" fontId="317" fillId="0" borderId="0" xfId="0" applyNumberFormat="1" applyFont="1" applyAlignment="1">
      <alignment horizontal="right" vertical="top" wrapText="1"/>
    </xf>
    <xf numFmtId="4" fontId="316" fillId="0" borderId="0" xfId="0" applyNumberFormat="1" applyFont="1" applyAlignment="1">
      <alignment horizontal="right" vertical="top"/>
    </xf>
    <xf numFmtId="0" fontId="316" fillId="0" borderId="0" xfId="0" applyFont="1" applyAlignment="1">
      <alignment horizontal="right" vertical="top"/>
    </xf>
    <xf numFmtId="2" fontId="316" fillId="0" borderId="0" xfId="0" applyNumberFormat="1" applyFont="1" applyAlignment="1">
      <alignment horizontal="right" vertical="top" wrapText="1"/>
    </xf>
    <xf numFmtId="0" fontId="316" fillId="0" borderId="0" xfId="0" applyFont="1" applyAlignment="1">
      <alignment horizontal="right" vertical="top" wrapText="1"/>
    </xf>
    <xf numFmtId="2" fontId="316" fillId="0" borderId="0" xfId="0" applyNumberFormat="1" applyFont="1" applyAlignment="1">
      <alignment horizontal="right" vertical="top"/>
    </xf>
    <xf numFmtId="2" fontId="317" fillId="0" borderId="0" xfId="0" applyNumberFormat="1" applyFont="1" applyAlignment="1">
      <alignment horizontal="right" vertical="top"/>
    </xf>
    <xf numFmtId="14" fontId="316" fillId="0" borderId="0" xfId="0" applyNumberFormat="1" applyFont="1" applyAlignment="1">
      <alignment horizontal="right" vertical="top"/>
    </xf>
    <xf numFmtId="0" fontId="318" fillId="0" borderId="0" xfId="0" applyFont="1" applyAlignment="1">
      <alignment vertical="top"/>
    </xf>
    <xf numFmtId="49" fontId="318" fillId="0" borderId="0" xfId="0" applyNumberFormat="1" applyFont="1" applyAlignment="1">
      <alignment horizontal="center"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horizontal="left" vertical="top"/>
    </xf>
    <xf numFmtId="0" fontId="321" fillId="0" borderId="0" xfId="0" applyFont="1"/>
    <xf numFmtId="49" fontId="316" fillId="0" borderId="0" xfId="0" applyNumberFormat="1" applyFont="1" applyAlignment="1">
      <alignment horizontal="center" vertical="top" wrapText="1"/>
    </xf>
    <xf numFmtId="2" fontId="209" fillId="4" borderId="0" xfId="0" applyNumberFormat="1" applyFont="1" applyFill="1" applyAlignment="1">
      <alignment horizontal="center" vertical="top" wrapText="1"/>
    </xf>
    <xf numFmtId="2" fontId="310" fillId="8" borderId="1" xfId="0" applyNumberFormat="1" applyFont="1" applyFill="1" applyBorder="1" applyAlignment="1">
      <alignment horizontal="right" vertical="top"/>
    </xf>
    <xf numFmtId="2" fontId="312" fillId="8" borderId="1" xfId="0" applyNumberFormat="1" applyFont="1" applyFill="1" applyBorder="1" applyAlignment="1">
      <alignment horizontal="right" vertical="top"/>
    </xf>
    <xf numFmtId="2" fontId="310" fillId="8" borderId="0" xfId="0" applyNumberFormat="1" applyFont="1" applyFill="1" applyAlignment="1">
      <alignment horizontal="right" vertical="top"/>
    </xf>
    <xf numFmtId="2" fontId="312" fillId="8" borderId="0" xfId="0" applyNumberFormat="1" applyFont="1" applyFill="1" applyAlignment="1">
      <alignment horizontal="right" vertical="top"/>
    </xf>
    <xf numFmtId="2" fontId="312" fillId="8" borderId="0" xfId="0" applyNumberFormat="1" applyFont="1" applyFill="1" applyAlignment="1">
      <alignment horizontal="right" vertical="top" wrapText="1"/>
    </xf>
    <xf numFmtId="2" fontId="310" fillId="8" borderId="0" xfId="0" applyNumberFormat="1" applyFont="1" applyFill="1" applyAlignment="1">
      <alignment horizontal="right" vertical="top" wrapText="1"/>
    </xf>
    <xf numFmtId="2" fontId="313" fillId="8" borderId="0" xfId="0" applyNumberFormat="1" applyFont="1" applyFill="1" applyAlignment="1">
      <alignment horizontal="right" vertical="top"/>
    </xf>
    <xf numFmtId="2" fontId="304" fillId="8" borderId="0" xfId="0" applyNumberFormat="1" applyFont="1" applyFill="1" applyAlignment="1">
      <alignment horizontal="right" vertical="top"/>
    </xf>
    <xf numFmtId="2" fontId="244" fillId="8" borderId="0" xfId="0" applyNumberFormat="1" applyFont="1" applyFill="1" applyAlignment="1">
      <alignment horizontal="right" vertical="top"/>
    </xf>
    <xf numFmtId="2" fontId="311" fillId="8" borderId="0" xfId="0" applyNumberFormat="1" applyFont="1" applyFill="1" applyAlignment="1">
      <alignment horizontal="right" vertical="top"/>
    </xf>
    <xf numFmtId="2" fontId="305" fillId="8" borderId="0" xfId="0" applyNumberFormat="1" applyFont="1" applyFill="1" applyAlignment="1">
      <alignment horizontal="right" vertical="top"/>
    </xf>
    <xf numFmtId="2" fontId="313" fillId="8" borderId="0" xfId="0" applyNumberFormat="1" applyFont="1" applyFill="1" applyAlignment="1">
      <alignment horizontal="right" vertical="top" wrapText="1"/>
    </xf>
    <xf numFmtId="2" fontId="316" fillId="8" borderId="0" xfId="0" applyNumberFormat="1" applyFont="1" applyFill="1" applyAlignment="1">
      <alignment horizontal="right" vertical="top"/>
    </xf>
    <xf numFmtId="2" fontId="33" fillId="0" borderId="0" xfId="0" applyNumberFormat="1" applyFont="1" applyAlignment="1">
      <alignment horizontal="right" vertical="top" wrapText="1"/>
    </xf>
    <xf numFmtId="0" fontId="261" fillId="0" borderId="0" xfId="0" applyFont="1"/>
    <xf numFmtId="2" fontId="218" fillId="8" borderId="1" xfId="0" applyNumberFormat="1" applyFont="1" applyFill="1" applyBorder="1" applyAlignment="1">
      <alignment horizontal="right" vertical="top"/>
    </xf>
    <xf numFmtId="2" fontId="305" fillId="8" borderId="0" xfId="0" applyNumberFormat="1" applyFont="1" applyFill="1" applyAlignment="1">
      <alignment horizontal="right" vertical="top" wrapText="1"/>
    </xf>
    <xf numFmtId="2" fontId="316" fillId="8" borderId="0" xfId="0" applyNumberFormat="1" applyFont="1" applyFill="1" applyAlignment="1">
      <alignment horizontal="right" vertical="top" wrapText="1"/>
    </xf>
    <xf numFmtId="0" fontId="304" fillId="8" borderId="0" xfId="0" applyFont="1" applyFill="1" applyAlignment="1">
      <alignment horizontal="right" vertical="top" wrapText="1"/>
    </xf>
    <xf numFmtId="2" fontId="247" fillId="8" borderId="0" xfId="0" applyNumberFormat="1" applyFont="1" applyFill="1" applyAlignment="1">
      <alignment horizontal="right" vertical="top" wrapText="1"/>
    </xf>
    <xf numFmtId="2" fontId="33" fillId="7" borderId="0" xfId="0" applyNumberFormat="1" applyFont="1" applyFill="1" applyAlignment="1">
      <alignment horizontal="right" vertical="top" wrapText="1"/>
    </xf>
    <xf numFmtId="2" fontId="25" fillId="8" borderId="0" xfId="0" applyNumberFormat="1" applyFont="1" applyFill="1" applyAlignment="1">
      <alignment horizontal="right" vertical="top" wrapText="1"/>
    </xf>
    <xf numFmtId="0" fontId="25" fillId="0" borderId="0" xfId="0" applyFont="1" applyAlignment="1">
      <alignment vertical="top" wrapText="1"/>
    </xf>
    <xf numFmtId="0" fontId="25" fillId="0" borderId="0" xfId="0" quotePrefix="1" applyFont="1" applyAlignment="1">
      <alignment vertical="top"/>
    </xf>
    <xf numFmtId="2" fontId="26" fillId="8" borderId="0" xfId="0" applyNumberFormat="1" applyFont="1" applyFill="1" applyAlignment="1">
      <alignment horizontal="right" vertical="top"/>
    </xf>
    <xf numFmtId="2" fontId="27" fillId="8" borderId="0" xfId="0" applyNumberFormat="1" applyFont="1" applyFill="1" applyAlignment="1">
      <alignment horizontal="right" vertical="top"/>
    </xf>
    <xf numFmtId="2" fontId="176" fillId="8" borderId="0" xfId="0" applyNumberFormat="1" applyFont="1" applyFill="1" applyAlignment="1">
      <alignment horizontal="right" vertical="top"/>
    </xf>
    <xf numFmtId="14" fontId="24" fillId="8" borderId="0" xfId="0" applyNumberFormat="1" applyFont="1" applyFill="1"/>
    <xf numFmtId="14" fontId="209" fillId="8" borderId="0" xfId="0" applyNumberFormat="1" applyFont="1" applyFill="1"/>
    <xf numFmtId="14" fontId="24" fillId="10" borderId="0" xfId="0" applyNumberFormat="1" applyFont="1" applyFill="1"/>
    <xf numFmtId="14" fontId="24" fillId="8" borderId="0" xfId="0" applyNumberFormat="1" applyFont="1" applyFill="1" applyAlignment="1">
      <alignment wrapText="1"/>
    </xf>
    <xf numFmtId="0" fontId="24" fillId="8" borderId="0" xfId="0" applyFont="1" applyFill="1" applyAlignment="1">
      <alignment horizontal="left" wrapText="1"/>
    </xf>
    <xf numFmtId="14" fontId="24" fillId="8" borderId="0" xfId="0" applyNumberFormat="1" applyFont="1" applyFill="1" applyAlignment="1">
      <alignment horizontal="left"/>
    </xf>
    <xf numFmtId="14" fontId="209" fillId="8" borderId="0" xfId="0" applyNumberFormat="1" applyFont="1" applyFill="1" applyAlignment="1">
      <alignment wrapText="1"/>
    </xf>
    <xf numFmtId="0" fontId="24" fillId="8" borderId="0" xfId="0" applyFont="1" applyFill="1" applyAlignment="1">
      <alignment horizontal="left"/>
    </xf>
    <xf numFmtId="14" fontId="24" fillId="8" borderId="0" xfId="0" applyNumberFormat="1" applyFont="1" applyFill="1" applyAlignment="1">
      <alignment horizontal="center" vertical="center" wrapText="1"/>
    </xf>
    <xf numFmtId="14" fontId="24" fillId="8" borderId="0" xfId="0" applyNumberFormat="1" applyFont="1" applyFill="1" applyAlignment="1">
      <alignment horizontal="center" wrapText="1"/>
    </xf>
    <xf numFmtId="14" fontId="24" fillId="8" borderId="0" xfId="0" applyNumberFormat="1" applyFont="1" applyFill="1" applyAlignment="1">
      <alignment horizontal="right" wrapText="1"/>
    </xf>
    <xf numFmtId="14" fontId="24" fillId="10" borderId="0" xfId="0" applyNumberFormat="1" applyFont="1" applyFill="1" applyAlignment="1">
      <alignment horizontal="left"/>
    </xf>
    <xf numFmtId="0" fontId="24" fillId="8" borderId="0" xfId="0" applyFont="1" applyFill="1"/>
    <xf numFmtId="14" fontId="24" fillId="10" borderId="0" xfId="0" applyNumberFormat="1" applyFont="1" applyFill="1" applyAlignment="1">
      <alignment horizontal="center" vertical="center" wrapText="1"/>
    </xf>
    <xf numFmtId="0" fontId="247" fillId="8" borderId="0" xfId="0" applyFont="1" applyFill="1" applyAlignment="1">
      <alignment horizontal="left"/>
    </xf>
    <xf numFmtId="0" fontId="24" fillId="10" borderId="0" xfId="0" applyFont="1" applyFill="1"/>
    <xf numFmtId="14" fontId="24" fillId="8" borderId="0" xfId="0" applyNumberFormat="1" applyFont="1" applyFill="1" applyAlignment="1">
      <alignment horizontal="right"/>
    </xf>
    <xf numFmtId="0" fontId="24" fillId="8" borderId="0" xfId="0" applyFont="1" applyFill="1" applyAlignment="1">
      <alignment wrapText="1"/>
    </xf>
    <xf numFmtId="0" fontId="248" fillId="8" borderId="0" xfId="0" applyFont="1" applyFill="1"/>
    <xf numFmtId="14" fontId="248" fillId="8" borderId="0" xfId="0" applyNumberFormat="1" applyFont="1" applyFill="1"/>
    <xf numFmtId="14" fontId="247" fillId="8" borderId="0" xfId="0" applyNumberFormat="1" applyFont="1" applyFill="1" applyAlignment="1">
      <alignment wrapText="1"/>
    </xf>
    <xf numFmtId="0" fontId="23" fillId="10" borderId="0" xfId="0" applyFont="1" applyFill="1"/>
    <xf numFmtId="0" fontId="22" fillId="10" borderId="0" xfId="0" applyFont="1" applyFill="1" applyAlignment="1">
      <alignment horizontal="left" vertical="top"/>
    </xf>
    <xf numFmtId="0" fontId="21" fillId="0" borderId="0" xfId="0" applyFont="1"/>
    <xf numFmtId="0" fontId="20" fillId="0" borderId="0" xfId="0" applyFont="1" applyAlignment="1">
      <alignment horizontal="center" vertical="top"/>
    </xf>
    <xf numFmtId="2" fontId="312" fillId="0" borderId="1" xfId="0" applyNumberFormat="1" applyFont="1" applyBorder="1" applyAlignment="1">
      <alignment horizontal="right" vertical="top"/>
    </xf>
    <xf numFmtId="2" fontId="209" fillId="9" borderId="0" xfId="0" applyNumberFormat="1" applyFont="1" applyFill="1" applyAlignment="1">
      <alignment horizontal="right" vertical="top" wrapText="1"/>
    </xf>
    <xf numFmtId="4" fontId="209" fillId="0" borderId="1" xfId="0" applyNumberFormat="1" applyFont="1" applyBorder="1" applyAlignment="1">
      <alignment horizontal="right" vertical="top"/>
    </xf>
    <xf numFmtId="4" fontId="218" fillId="0" borderId="1" xfId="0" applyNumberFormat="1" applyFont="1" applyBorder="1" applyAlignment="1">
      <alignment horizontal="right" vertical="top"/>
    </xf>
    <xf numFmtId="4" fontId="93" fillId="0" borderId="0" xfId="0" applyNumberFormat="1" applyFont="1" applyAlignment="1">
      <alignment horizontal="right" vertical="top"/>
    </xf>
    <xf numFmtId="4" fontId="193" fillId="0" borderId="0" xfId="0" applyNumberFormat="1" applyFont="1" applyAlignment="1">
      <alignment horizontal="right" vertical="top" wrapText="1"/>
    </xf>
    <xf numFmtId="4" fontId="233" fillId="0" borderId="0" xfId="0" applyNumberFormat="1" applyFont="1" applyAlignment="1">
      <alignment horizontal="right" vertical="top"/>
    </xf>
    <xf numFmtId="4" fontId="182" fillId="0" borderId="0" xfId="0" applyNumberFormat="1" applyFont="1" applyAlignment="1">
      <alignment horizontal="right" vertical="top"/>
    </xf>
    <xf numFmtId="4" fontId="209" fillId="0" borderId="0" xfId="0" applyNumberFormat="1" applyFont="1" applyAlignment="1">
      <alignment horizontal="right" vertical="top" wrapText="1"/>
    </xf>
    <xf numFmtId="0" fontId="209" fillId="0" borderId="0" xfId="0" applyFont="1" applyAlignment="1">
      <alignment horizontal="right" vertical="top" wrapText="1"/>
    </xf>
    <xf numFmtId="0" fontId="209" fillId="0" borderId="0" xfId="0" applyFont="1" applyAlignment="1">
      <alignment horizontal="right" vertical="top"/>
    </xf>
    <xf numFmtId="4" fontId="29" fillId="0" borderId="0" xfId="0" applyNumberFormat="1" applyFont="1" applyAlignment="1">
      <alignment horizontal="right" vertical="top"/>
    </xf>
    <xf numFmtId="4" fontId="96" fillId="0" borderId="0" xfId="0" applyNumberFormat="1" applyFont="1" applyAlignment="1">
      <alignment horizontal="right" vertical="top"/>
    </xf>
    <xf numFmtId="2" fontId="214" fillId="8" borderId="0" xfId="0" applyNumberFormat="1" applyFont="1" applyFill="1" applyAlignment="1">
      <alignment vertical="top"/>
    </xf>
    <xf numFmtId="2" fontId="298" fillId="8" borderId="0" xfId="0" applyNumberFormat="1" applyFont="1" applyFill="1" applyAlignment="1">
      <alignment horizontal="right" vertical="top" wrapText="1"/>
    </xf>
    <xf numFmtId="0" fontId="19" fillId="0" borderId="0" xfId="0" quotePrefix="1" applyFont="1" applyAlignment="1">
      <alignment horizontal="right" vertical="top"/>
    </xf>
    <xf numFmtId="4" fontId="22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208" fillId="0" borderId="0" xfId="1" applyAlignment="1">
      <alignment horizontal="center" vertical="top"/>
    </xf>
    <xf numFmtId="49" fontId="16" fillId="0" borderId="0" xfId="0" applyNumberFormat="1" applyFont="1" applyAlignment="1">
      <alignment horizontal="center" vertical="top"/>
    </xf>
    <xf numFmtId="0" fontId="15" fillId="0" borderId="0" xfId="0" applyFont="1" applyAlignment="1">
      <alignment vertical="top"/>
    </xf>
    <xf numFmtId="0" fontId="268" fillId="17" borderId="0" xfId="0" applyFont="1" applyFill="1" applyAlignment="1">
      <alignment vertical="top" wrapText="1"/>
    </xf>
    <xf numFmtId="4" fontId="248" fillId="0" borderId="0" xfId="0" applyNumberFormat="1" applyFont="1" applyAlignment="1">
      <alignment horizontal="right" vertical="top"/>
    </xf>
    <xf numFmtId="4" fontId="247" fillId="0" borderId="0" xfId="0" applyNumberFormat="1" applyFont="1" applyAlignment="1">
      <alignment horizontal="right" vertical="top"/>
    </xf>
    <xf numFmtId="0" fontId="248" fillId="0" borderId="0" xfId="0" applyFont="1" applyAlignment="1">
      <alignment horizontal="right" vertical="top"/>
    </xf>
    <xf numFmtId="2" fontId="248" fillId="0" borderId="0" xfId="0" applyNumberFormat="1" applyFont="1" applyAlignment="1">
      <alignment horizontal="right" vertical="top"/>
    </xf>
    <xf numFmtId="2" fontId="268" fillId="0" borderId="0" xfId="0" applyNumberFormat="1" applyFont="1" applyAlignment="1">
      <alignment horizontal="right" vertical="top"/>
    </xf>
    <xf numFmtId="14" fontId="248" fillId="0" borderId="0" xfId="0" applyNumberFormat="1" applyFont="1" applyAlignment="1">
      <alignment horizontal="right" vertical="top"/>
    </xf>
    <xf numFmtId="16" fontId="14" fillId="0" borderId="0" xfId="0" quotePrefix="1" applyNumberFormat="1" applyFont="1" applyAlignment="1">
      <alignment horizontal="right" vertical="top"/>
    </xf>
    <xf numFmtId="0" fontId="13" fillId="0" borderId="0" xfId="0" applyFont="1"/>
    <xf numFmtId="0" fontId="13" fillId="0" borderId="0" xfId="0" quotePrefix="1" applyFont="1" applyAlignment="1">
      <alignment horizontal="right" vertical="top"/>
    </xf>
    <xf numFmtId="0" fontId="322" fillId="27" borderId="0" xfId="0" applyFont="1" applyFill="1" applyAlignment="1">
      <alignment vertical="center" wrapText="1"/>
    </xf>
    <xf numFmtId="0" fontId="322" fillId="0" borderId="0" xfId="0" applyFont="1"/>
    <xf numFmtId="0" fontId="323" fillId="27" borderId="0" xfId="0" applyFont="1" applyFill="1" applyAlignment="1">
      <alignment vertical="top" wrapText="1"/>
    </xf>
    <xf numFmtId="0" fontId="301" fillId="0" borderId="0" xfId="0" applyFont="1" applyAlignment="1">
      <alignment vertical="center" wrapText="1"/>
    </xf>
    <xf numFmtId="4" fontId="218" fillId="10" borderId="0" xfId="0" applyNumberFormat="1" applyFont="1" applyFill="1" applyAlignment="1">
      <alignment horizontal="right" vertical="top"/>
    </xf>
    <xf numFmtId="49" fontId="12" fillId="0" borderId="0" xfId="0" applyNumberFormat="1" applyFont="1" applyAlignment="1">
      <alignment vertical="top"/>
    </xf>
    <xf numFmtId="2" fontId="279" fillId="16" borderId="0" xfId="0" applyNumberFormat="1" applyFont="1" applyFill="1" applyAlignment="1">
      <alignment horizontal="right" vertical="top" wrapText="1"/>
    </xf>
    <xf numFmtId="2" fontId="11" fillId="16" borderId="0" xfId="0" applyNumberFormat="1" applyFont="1" applyFill="1" applyAlignment="1">
      <alignment horizontal="right" vertical="top"/>
    </xf>
    <xf numFmtId="4" fontId="209" fillId="10" borderId="0" xfId="0" applyNumberFormat="1" applyFont="1" applyFill="1" applyAlignment="1">
      <alignment horizontal="right" vertical="top"/>
    </xf>
    <xf numFmtId="4" fontId="324" fillId="0" borderId="0" xfId="0" applyNumberFormat="1" applyFont="1" applyAlignment="1">
      <alignment horizontal="right" vertical="top"/>
    </xf>
    <xf numFmtId="4" fontId="324" fillId="16" borderId="0" xfId="0" applyNumberFormat="1" applyFont="1" applyFill="1" applyAlignment="1">
      <alignment horizontal="right" vertical="top"/>
    </xf>
    <xf numFmtId="0" fontId="11" fillId="0" borderId="0" xfId="0" applyFont="1" applyAlignment="1">
      <alignment vertical="top"/>
    </xf>
    <xf numFmtId="4" fontId="11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/>
    </xf>
    <xf numFmtId="0" fontId="9" fillId="0" borderId="0" xfId="0" applyFont="1"/>
    <xf numFmtId="49" fontId="8" fillId="0" borderId="0" xfId="0" applyNumberFormat="1" applyFont="1" applyAlignment="1">
      <alignment vertical="top"/>
    </xf>
    <xf numFmtId="4" fontId="218" fillId="10" borderId="1" xfId="0" applyNumberFormat="1" applyFont="1" applyFill="1" applyBorder="1" applyAlignment="1">
      <alignment horizontal="right" vertical="top"/>
    </xf>
    <xf numFmtId="2" fontId="209" fillId="8" borderId="0" xfId="0" quotePrefix="1" applyNumberFormat="1" applyFont="1" applyFill="1" applyAlignment="1">
      <alignment horizontal="right" vertical="top"/>
    </xf>
    <xf numFmtId="4" fontId="209" fillId="10" borderId="1" xfId="0" applyNumberFormat="1" applyFont="1" applyFill="1" applyBorder="1" applyAlignment="1">
      <alignment horizontal="right" vertical="top"/>
    </xf>
    <xf numFmtId="4" fontId="193" fillId="16" borderId="0" xfId="0" applyNumberFormat="1" applyFont="1" applyFill="1" applyAlignment="1">
      <alignment horizontal="right" vertical="top" wrapText="1"/>
    </xf>
    <xf numFmtId="4" fontId="304" fillId="10" borderId="0" xfId="0" applyNumberFormat="1" applyFont="1" applyFill="1" applyAlignment="1">
      <alignment horizontal="right" vertical="top"/>
    </xf>
    <xf numFmtId="14" fontId="268" fillId="21" borderId="0" xfId="0" applyNumberFormat="1" applyFont="1" applyFill="1" applyAlignment="1">
      <alignment horizontal="right" vertical="top" wrapText="1"/>
    </xf>
    <xf numFmtId="2" fontId="268" fillId="21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vertical="top"/>
    </xf>
    <xf numFmtId="2" fontId="209" fillId="7" borderId="0" xfId="0" applyNumberFormat="1" applyFont="1" applyFill="1" applyAlignment="1">
      <alignment horizontal="right" vertical="top"/>
    </xf>
    <xf numFmtId="2" fontId="317" fillId="8" borderId="0" xfId="0" applyNumberFormat="1" applyFont="1" applyFill="1" applyAlignment="1">
      <alignment horizontal="right" vertical="top"/>
    </xf>
    <xf numFmtId="0" fontId="6" fillId="0" borderId="0" xfId="0" quotePrefix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right" vertical="top" wrapText="1"/>
    </xf>
    <xf numFmtId="2" fontId="316" fillId="9" borderId="0" xfId="0" applyNumberFormat="1" applyFont="1" applyFill="1" applyAlignment="1">
      <alignment horizontal="right" vertical="top" wrapText="1"/>
    </xf>
    <xf numFmtId="0" fontId="208" fillId="0" borderId="0" xfId="1" applyAlignment="1">
      <alignment vertical="center"/>
    </xf>
    <xf numFmtId="0" fontId="314" fillId="0" borderId="0" xfId="0" applyFont="1"/>
    <xf numFmtId="0" fontId="325" fillId="36" borderId="20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248" fillId="4" borderId="0" xfId="0" applyNumberFormat="1" applyFont="1" applyFill="1" applyAlignment="1">
      <alignment horizontal="center" vertical="top" wrapText="1"/>
    </xf>
    <xf numFmtId="0" fontId="278" fillId="8" borderId="0" xfId="0" applyFont="1" applyFill="1" applyAlignment="1">
      <alignment vertical="top"/>
    </xf>
    <xf numFmtId="49" fontId="248" fillId="8" borderId="0" xfId="0" applyNumberFormat="1" applyFont="1" applyFill="1" applyAlignment="1">
      <alignment horizontal="left" vertical="top" wrapText="1"/>
    </xf>
    <xf numFmtId="49" fontId="248" fillId="8" borderId="0" xfId="0" applyNumberFormat="1" applyFont="1" applyFill="1" applyAlignment="1">
      <alignment horizontal="center" vertical="top" wrapText="1"/>
    </xf>
    <xf numFmtId="49" fontId="253" fillId="8" borderId="0" xfId="0" applyNumberFormat="1" applyFont="1" applyFill="1" applyAlignment="1">
      <alignment vertical="top" wrapText="1"/>
    </xf>
    <xf numFmtId="0" fontId="81" fillId="0" borderId="0" xfId="0" applyFont="1" applyAlignment="1">
      <alignment horizontal="left" vertical="top"/>
    </xf>
    <xf numFmtId="0" fontId="18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306" fillId="0" borderId="19" xfId="0" applyFont="1" applyBorder="1" applyAlignment="1">
      <alignment horizontal="right" wrapText="1"/>
    </xf>
    <xf numFmtId="0" fontId="306" fillId="0" borderId="0" xfId="0" applyFont="1" applyAlignment="1">
      <alignment wrapText="1"/>
    </xf>
    <xf numFmtId="0" fontId="247" fillId="0" borderId="0" xfId="0" applyFont="1" applyAlignment="1">
      <alignment horizontal="center" wrapText="1"/>
    </xf>
    <xf numFmtId="0" fontId="247" fillId="0" borderId="0" xfId="0" applyFont="1"/>
    <xf numFmtId="0" fontId="0" fillId="1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19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91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ál 2" xfId="3" xr:uid="{00000000-0005-0000-0000-000003000000}"/>
  </cellStyles>
  <dxfs count="262"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19" formatCode="d/m/yyyy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right" vertical="bottom" textRotation="0" wrapText="1" indent="0" justifyLastLine="0" shrinkToFit="0" readingOrder="0"/>
    </dxf>
    <dxf>
      <numFmt numFmtId="4" formatCode="#,##0.00"/>
      <alignment horizontal="right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right" vertical="top" textRotation="0" wrapText="1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</dxf>
    <dxf>
      <numFmt numFmtId="14" formatCode="0.00%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14" formatCode="0.00%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font>
        <b val="0"/>
        <i val="0"/>
        <strike val="0"/>
        <u val="none"/>
        <sz val="9"/>
        <color theme="1"/>
        <name val="Calibri"/>
        <scheme val="none"/>
      </font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border>
        <left/>
        <right/>
        <top style="thin">
          <color auto="1"/>
        </top>
        <bottom style="thin">
          <color auto="1"/>
        </bottom>
      </border>
    </dxf>
    <dxf>
      <numFmt numFmtId="4" formatCode="#,##0.00"/>
    </dxf>
    <dxf>
      <numFmt numFmtId="1" formatCode="0"/>
    </dxf>
    <dxf>
      <numFmt numFmtId="4" formatCode="#,##0.00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numFmt numFmtId="19" formatCode="d/m/yyyy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u val="none"/>
        <sz val="11"/>
        <name val="Calibri"/>
        <scheme val="none"/>
      </font>
      <numFmt numFmtId="0" formatCode="General"/>
      <fill>
        <patternFill patternType="solid">
          <fgColor indexed="64"/>
          <bgColor rgb="FF92D050"/>
        </patternFill>
      </fill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/>
      </fill>
    </dxf>
    <dxf>
      <font>
        <strike val="0"/>
        <u val="none"/>
        <sz val="11"/>
        <name val="Calibri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wrapText="1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wrapText="1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bottom" textRotation="0" wrapText="1" indent="0" justifyLastLine="0" shrinkToFit="0" readingOrder="0"/>
    </dxf>
    <dxf>
      <font>
        <b val="0"/>
        <i val="0"/>
        <strike val="0"/>
        <u val="none"/>
        <sz val="11"/>
        <color indexed="8"/>
        <name val="Calibri"/>
        <scheme val="none"/>
      </font>
      <numFmt numFmtId="0" formatCode="General"/>
      <fill>
        <patternFill patternType="none"/>
      </fill>
      <alignment wrapText="1"/>
    </dxf>
    <dxf>
      <font>
        <b val="0"/>
        <i val="0"/>
        <strike val="0"/>
        <u val="none"/>
        <sz val="11"/>
        <color indexed="8"/>
        <name val="Calibri"/>
        <scheme val="none"/>
      </font>
      <numFmt numFmtId="0" formatCode="General"/>
      <fill>
        <patternFill patternType="none"/>
      </fill>
      <alignment wrapText="1"/>
    </dxf>
    <dxf>
      <font>
        <b val="0"/>
        <i val="0"/>
        <strike val="0"/>
        <u val="none"/>
        <sz val="11"/>
        <color indexed="8"/>
        <name val="Calibri"/>
        <scheme val="none"/>
      </font>
      <fill>
        <patternFill patternType="none"/>
      </fill>
      <alignment horizontal="right" wrapText="1"/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alignment horizontal="center" vertical="top" textRotation="0" wrapText="0" indent="0" justifyLastLine="0" shrinkToFit="0" readingOrder="0"/>
    </dxf>
    <dxf>
      <numFmt numFmtId="19" formatCode="d/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65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65" formatCode="dd/mm/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alignment horizontal="center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alignment horizontal="center" vertical="top" textRotation="0" indent="0" justifyLastLine="0" shrinkToFit="0" readingOrder="0"/>
    </dxf>
    <dxf>
      <numFmt numFmtId="30" formatCode="@"/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color auto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strike val="0"/>
        <u val="none"/>
        <sz val="1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strike val="0"/>
        <u val="none"/>
        <sz val="1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/m/yyyy"/>
      <alignment horizontal="right" vertical="top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ont>
        <strike val="0"/>
        <u val="no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u val="no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ont>
        <b val="0"/>
        <i val="0"/>
        <strike val="0"/>
        <u val="none"/>
        <sz val="11"/>
        <color indexed="8"/>
        <name val="Calibri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outline="0"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'rezultat godišnji'!$B$18:$B$25</c:f>
              <c:numCache>
                <c:formatCode>#,##0.00</c:formatCode>
                <c:ptCount val="8"/>
                <c:pt idx="0">
                  <c:v>18985.484191688207</c:v>
                </c:pt>
                <c:pt idx="1">
                  <c:v>73437.263869556569</c:v>
                </c:pt>
                <c:pt idx="2">
                  <c:v>80041.161264664945</c:v>
                </c:pt>
                <c:pt idx="3">
                  <c:v>92031.484059123744</c:v>
                </c:pt>
                <c:pt idx="4">
                  <c:v>143000</c:v>
                </c:pt>
                <c:pt idx="5">
                  <c:v>213115</c:v>
                </c:pt>
                <c:pt idx="6">
                  <c:v>262500</c:v>
                </c:pt>
                <c:pt idx="7">
                  <c:v>167000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E-4798-A59D-EEF2D0963B36}"/>
            </c:ext>
          </c:extLst>
        </c:ser>
        <c:ser>
          <c:idx val="1"/>
          <c:order val="1"/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'rezultat godišnji'!$C$18:$C$25</c:f>
              <c:numCache>
                <c:formatCode>#,##0.00</c:formatCode>
                <c:ptCount val="8"/>
                <c:pt idx="0">
                  <c:v>21431.082388811559</c:v>
                </c:pt>
                <c:pt idx="1">
                  <c:v>74680.58593491085</c:v>
                </c:pt>
                <c:pt idx="2">
                  <c:v>96618.943461258037</c:v>
                </c:pt>
                <c:pt idx="3">
                  <c:v>116742.22840856366</c:v>
                </c:pt>
                <c:pt idx="4">
                  <c:v>194659</c:v>
                </c:pt>
                <c:pt idx="5">
                  <c:v>260000</c:v>
                </c:pt>
                <c:pt idx="6">
                  <c:v>247747.96</c:v>
                </c:pt>
                <c:pt idx="7">
                  <c:v>152000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E-4798-A59D-EEF2D0963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14587280"/>
        <c:axId val="-614590544"/>
      </c:lineChart>
      <c:catAx>
        <c:axId val="-614587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4590544"/>
        <c:crosses val="autoZero"/>
        <c:auto val="1"/>
        <c:lblAlgn val="ctr"/>
        <c:lblOffset val="100"/>
        <c:noMultiLvlLbl val="0"/>
      </c:catAx>
      <c:valAx>
        <c:axId val="-6145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458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85725</xdr:rowOff>
    </xdr:from>
    <xdr:to>
      <xdr:col>6</xdr:col>
      <xdr:colOff>85725</xdr:colOff>
      <xdr:row>41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DAJNI%20CENTRI%202023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unalo 1" refreshedDate="44456.541020717603" createdVersion="6" refreshedVersion="6" minRefreshableVersion="3" recordCount="118" xr:uid="{00000000-000A-0000-FFFF-FFFF00000000}">
  <cacheSource type="worksheet">
    <worksheetSource name="Table2"/>
  </cacheSource>
  <cacheFields count="25">
    <cacheField name="šifra" numFmtId="0">
      <sharedItems containsSemiMixedTypes="0" containsNonDate="0" containsString="0"/>
    </cacheField>
    <cacheField name="naziv" numFmtId="0">
      <sharedItems containsSemiMixedTypes="0" containsNonDate="0" containsString="0"/>
    </cacheField>
    <cacheField name="vrsta aktivan" numFmtId="0">
      <sharedItems containsSemiMixedTypes="0" containsNonDate="0" containsString="0"/>
    </cacheField>
    <cacheField name="tko vodi" numFmtId="0">
      <sharedItems containsBlank="1" count="14">
        <s v="NITKO"/>
        <s v="GABRIJELA"/>
        <s v="KP/GABRIJELA"/>
        <s v="LAURA"/>
        <s v="ANA"/>
        <s v="KP/LAURA"/>
        <s v="MARINA/SPLIT"/>
        <s v="MATEJ"/>
        <s v="KP/Matej" u="1"/>
        <m u="1"/>
        <s v="NIKOLINA" u="1"/>
        <s v="KP/Melisa" u="1"/>
        <s v="Melisa" u="1"/>
        <s v="Ivan P." u="1"/>
      </sharedItems>
    </cacheField>
    <cacheField name="oib" numFmtId="0">
      <sharedItems containsSemiMixedTypes="0" containsNonDate="0" containsString="0"/>
    </cacheField>
    <cacheField name="e-mail adresa" numFmtId="0">
      <sharedItems containsSemiMixedTypes="0" containsNonDate="0" containsString="0"/>
    </cacheField>
    <cacheField name="tefon broj" numFmtId="0">
      <sharedItems containsSemiMixedTypes="0" containsNonDate="0" containsString="0"/>
    </cacheField>
    <cacheField name="mb" numFmtId="0">
      <sharedItems containsSemiMixedTypes="0" containsNonDate="0" containsString="0"/>
    </cacheField>
    <cacheField name="nkd" numFmtId="0">
      <sharedItems containsSemiMixedTypes="0" containsNonDate="0" containsString="0"/>
    </cacheField>
    <cacheField name="MJESEČNI PDV" numFmtId="0">
      <sharedItems containsSemiMixedTypes="0" containsNonDate="0" containsString="0"/>
    </cacheField>
    <cacheField name="PLAĆA" numFmtId="0">
      <sharedItems containsSemiMixedTypes="0" containsNonDate="0" containsString="0"/>
    </cacheField>
    <cacheField name="fina certifikat" numFmtId="0">
      <sharedItems containsSemiMixedTypes="0" containsNonDate="0" containsString="0"/>
    </cacheField>
    <cacheField name="ugovor" numFmtId="0">
      <sharedItems containsSemiMixedTypes="0" containsNonDate="0" containsString="0"/>
    </cacheField>
    <cacheField name="PROBLEMI POREZNA ITD.." numFmtId="0">
      <sharedItems containsSemiMixedTypes="0" containsNonDate="0" containsString="0"/>
    </cacheField>
    <cacheField name="pdv id broj" numFmtId="0">
      <sharedItems containsSemiMixedTypes="0" containsNonDate="0" containsString="0"/>
    </cacheField>
    <cacheField name="PDV_P" numFmtId="0">
      <sharedItems containsSemiMixedTypes="0" containsNonDate="0" containsString="0"/>
    </cacheField>
    <cacheField name="PLAĆA_P" numFmtId="0">
      <sharedItems containsSemiMixedTypes="0" containsNonDate="0" containsString="0"/>
    </cacheField>
    <cacheField name="intrastat" numFmtId="0">
      <sharedItems containsSemiMixedTypes="0" containsNonDate="0" containsString="0"/>
    </cacheField>
    <cacheField name="putne" numFmtId="0">
      <sharedItems containsSemiMixedTypes="0" containsNonDate="0" containsString="0"/>
    </cacheField>
    <cacheField name="da li završni 2020" numFmtId="0">
      <sharedItems containsSemiMixedTypes="0" containsNonDate="0" containsString="0"/>
    </cacheField>
    <cacheField name="završni porezna" numFmtId="0">
      <sharedItems containsSemiMixedTypes="0" containsNonDate="0" containsString="0"/>
    </cacheField>
    <cacheField name="završni fina" numFmtId="0">
      <sharedItems containsSemiMixedTypes="0" containsNonDate="0" containsString="0"/>
    </cacheField>
    <cacheField name="opz stat" numFmtId="0">
      <sharedItems containsSemiMixedTypes="0" containsNonDate="0" containsString="0"/>
    </cacheField>
    <cacheField name="pd ipo" numFmtId="0">
      <sharedItems containsSemiMixedTypes="0" containsNonDate="0" containsString="0"/>
    </cacheField>
    <cacheField name="POHRNANA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unalo 1" refreshedDate="44580.452115856497" createdVersion="6" refreshedVersion="6" minRefreshableVersion="3" recordCount="128" xr:uid="{00000000-000A-0000-FFFF-FFFF01000000}">
  <cacheSource type="worksheet">
    <worksheetSource name="Table1"/>
  </cacheSource>
  <cacheFields count="35">
    <cacheField name="šifra" numFmtId="0">
      <sharedItems containsSemiMixedTypes="0" containsNonDate="0" containsString="0" containsNumber="1" containsInteger="1" minValue="1" maxValue="129"/>
    </cacheField>
    <cacheField name="KOMITENT" numFmtId="0">
      <sharedItems count="128">
        <s v="FCR DEAL CONCEPT J.D.O.O."/>
        <s v="VGY TRADE J.D.O.O."/>
        <s v="KOLLAR J.d.o.o"/>
        <s v="Agro-DL d.o.o"/>
        <s v="Agro- X d.o.o"/>
        <s v="DUBROVNIK DIAMOND j.d.o.o."/>
        <s v="ENNA ROSA J.D.O.O."/>
        <s v="ZLATNA DINJA"/>
        <s v="BARDI TRADE J.D.O.O."/>
        <s v="FOIL PRODUCT J.D.O.O."/>
        <s v="JS MENSOR"/>
        <s v="STEFINO TRADE D.O.O"/>
        <s v="VARNOR CAR J.D.O.O."/>
        <s v="BELLISSIMA"/>
        <s v="SUKI"/>
        <s v="Directive j d.o.o."/>
        <s v="FELICIDAD D.O.O"/>
        <s v="MONOTIL D.O.O"/>
        <s v="Down Town j.d.o.o"/>
        <s v="BUONA FORTUNA d. o. o."/>
        <s v="DAZOL TRANS D.O.O."/>
        <s v="TAYLOR TRADE j.d.o.o."/>
        <s v="WVAPES  d.o.o."/>
        <s v="MANZARO GTR j.d.o.o."/>
        <s v="KG TRADE DOO/gabi trans "/>
        <s v="SKV SVIJET KONZOLA I VIDEOIGARA DOO"/>
        <s v="D-INVOICE D.O.O."/>
        <s v="ICONICA D.O.O"/>
        <s v="BAŽI J.D.O.O"/>
        <s v="MAGYAR VIZEPITO ZRT."/>
        <s v="Alpha adria charter d.o.o."/>
        <s v="DOMOKOS J.D.O.O."/>
        <s v="HOME PLUS D.O.O"/>
        <s v="INTEGRIS D.O.O."/>
        <s v="INTERNATIONAL LINE D.O.O"/>
        <s v="KERAMIKA ZOKA J.D.O.O."/>
        <s v="Promo top"/>
        <s v="WAX d.o.o."/>
        <s v="TRANSBRAND D.O.O."/>
        <s v="NATUROS D.O.O."/>
        <s v="SAGITTA CONSULTING"/>
        <s v="GEZA-TRADE j.d.o.o."/>
        <s v="AGRICULTURAL MACHINES j.d.o.o."/>
        <s v="AGRIFERT j.d.o.o."/>
        <s v="AGRO PMD d.o.o."/>
        <s v="Andoči j.d.o.o."/>
        <s v="ARPAD VECSEY"/>
        <s v="Europe trading centar"/>
        <s v="Hagyó Irén Mária"/>
        <s v="Mayer Istvan"/>
        <s v="ANITA MOLNAR"/>
        <s v="NEST D.O.O."/>
        <s v="PET SOLUTION d.o.o."/>
        <s v="SO CONSULTING d.o.o."/>
        <s v="TB NEKRETNINE"/>
        <s v="HR-DRONE D.O.O"/>
        <s v="ŠPAJZ J.D.O.O."/>
        <s v="ČUŠPAJZ J.D.O.O."/>
        <s v="GUMENET D.O.O"/>
        <s v="white cristal kft"/>
        <s v="HOT GADET"/>
        <s v="Market place d.o.o"/>
        <s v="SAZOL TRANS"/>
        <s v="Istvan Gal"/>
        <s v="Puls direct D.O.O"/>
        <s v="MARIJANIS J.D.O.O"/>
        <s v="RRD D.O.O."/>
        <s v="GENERAL BUILDERS D.O.O."/>
        <s v="PRIMA GROUP TRADING HOUSE J.D.O.O."/>
        <s v="LEONOS j.d.o.o"/>
        <s v="Tihaos j.d.o.o."/>
        <s v="DIVERSIS"/>
        <s v="RAU GROUP D.O.O"/>
        <s v="MANEVI Kzrt"/>
        <s v="TELLMAN ELECTRIC CAR"/>
        <s v="ACTIVE SUMMER J.D.O.O."/>
        <s v="ISKA &quot;Z&quot;"/>
        <s v="LPBF MURTER D.O.O."/>
        <s v="Fortrina j.d.o.o."/>
        <s v="BBG WAVE - podružnica ZAGREB"/>
        <s v="Povucizakulturu - udruga "/>
        <s v="CALL GADGET J.D.O.O.O"/>
        <s v="DoRaN031 J.D.O.O."/>
        <s v="Sailing Investment d.o.o."/>
        <s v="Trading house d.o.o"/>
        <s v="Vital Group d.o.o."/>
        <s v="VT - INVEST D.O.O"/>
        <s v="CSIKI TRADE"/>
        <s v="SILVER KNIGHT"/>
        <s v="BBG WAVE kft"/>
        <s v="Ready or Not"/>
        <s v="Primus kft."/>
        <s v="EVOLVIUM"/>
        <s v="MANEVI ZRT Podrunica MANEVI HR"/>
        <s v="ZO-PE j.d.o.o."/>
        <s v="BEACH-HOMES PRIVLAKA J.D.O.O."/>
        <s v="Teatrum trade"/>
        <s v="Grin center"/>
        <s v="Pangea consulting"/>
        <s v="Sahin Vitamin Product d.o.o"/>
        <s v="JWA GROUP SPOL SRO"/>
        <s v="VR KRK"/>
        <s v="VR CONSULTING - po naplaćenoj"/>
        <s v="PARAGI D.O.O."/>
        <s v="NOBILIS KRISTOF"/>
        <s v="MANEVI JEGEROVA  D.O.O."/>
        <s v="Cassiopea d.o.o."/>
        <s v="Kollektiv Konstruktor d.o.o."/>
        <s v="Kem Kem d.o.o."/>
        <s v="Tim valores d.o.o."/>
        <s v="TOS D.O.O."/>
        <s v="MEDITERANIAN SEA SEELING. D.O.O."/>
        <s v="CONY-BM JDOO"/>
        <s v="CATT-OS JDOO"/>
        <s v="HUNOS J.D.O.O."/>
        <s v="DAILY DRIVE J.D.O.O."/>
        <s v="B-I-Z TELEP j.d.o.o."/>
        <s v="LOGO PUŽ j.d.o.o"/>
        <s v="BONI J.D.O.O."/>
        <s v="LEXTRON J.D.O.O."/>
        <s v="EKOTRON J.D.O.O."/>
        <s v="DIAMOND SKY J.D.O.O."/>
        <s v="BAR CODE SUSTAVI D.O.O."/>
        <s v="BERN Beton Kft"/>
        <s v="SAILINFO D.O.O."/>
        <s v="Marsabit"/>
        <s v="Fenestella International kft."/>
        <s v="Drava plastik d.o.o"/>
      </sharedItems>
    </cacheField>
    <cacheField name="active" numFmtId="0">
      <sharedItems count="9">
        <s v="NITKO"/>
        <s v="OTT"/>
        <s v="GABRIJELA"/>
        <s v="KP/GABRIJELA"/>
        <s v="ANA"/>
        <s v="LAURA"/>
        <s v="KP/LAURA"/>
        <s v="MARINA/SPLIT"/>
        <s v="MATEJ"/>
      </sharedItems>
    </cacheField>
    <cacheField name="ugovoreno" numFmtId="0">
      <sharedItems containsNonDate="0" containsMixedTypes="1" containsNumber="1" containsInteger="1" minValue="0" maxValue="1"/>
    </cacheField>
    <cacheField name="Fuj dug_x000a_31.10.2021" numFmtId="0">
      <sharedItems containsNonDate="0" containsBlank="1" containsMixedTypes="1" containsNumber="1" minValue="-250" maxValue="17500"/>
    </cacheField>
    <cacheField name="1planiran" numFmtId="4">
      <sharedItems containsNonDate="0" containsString="0" containsBlank="1" containsNumber="1" containsInteger="1" minValue="1" maxValue="11500" count="18">
        <m/>
        <n v="580"/>
        <n v="500"/>
        <n v="1000"/>
        <n v="400"/>
        <n v="800"/>
        <n v="750"/>
        <n v="850"/>
        <n v="1"/>
        <n v="11500"/>
        <n v="4500"/>
        <n v="200"/>
        <n v="3125"/>
        <n v="625"/>
        <n v="1800"/>
        <n v="1500"/>
        <n v="250"/>
        <n v="300"/>
      </sharedItems>
    </cacheField>
    <cacheField name="1ostvaren" numFmtId="4">
      <sharedItems containsNonDate="0" containsString="0" containsBlank="1" containsNumber="1" containsInteger="1" minValue="0" maxValue="11500"/>
    </cacheField>
    <cacheField name="2planirano" numFmtId="4">
      <sharedItems containsNonDate="0" containsString="0" containsBlank="1" containsNumber="1" containsInteger="1" minValue="1" maxValue="6000"/>
    </cacheField>
    <cacheField name="ostvareno 2" numFmtId="4">
      <sharedItems containsNonDate="0" containsString="0" containsBlank="1" containsNumber="1" containsInteger="1" minValue="200" maxValue="6800"/>
    </cacheField>
    <cacheField name="3 plan" numFmtId="4">
      <sharedItems containsNonDate="0" containsString="0" containsBlank="1" containsNumber="1" containsInteger="1" minValue="0" maxValue="6000"/>
    </cacheField>
    <cacheField name="3 plan2" numFmtId="4">
      <sharedItems containsNonDate="0" containsString="0" containsBlank="1" containsNumber="1" containsInteger="1" minValue="1" maxValue="10000"/>
    </cacheField>
    <cacheField name="4 plan" numFmtId="4">
      <sharedItems containsNonDate="0" containsString="0" containsBlank="1" containsNumber="1" containsInteger="1" minValue="1" maxValue="8000"/>
    </cacheField>
    <cacheField name="4 plan2" numFmtId="4">
      <sharedItems containsNonDate="0" containsString="0" containsBlank="1" containsNumber="1" containsInteger="1" minValue="-2000" maxValue="8000"/>
    </cacheField>
    <cacheField name="5 plan" numFmtId="4">
      <sharedItems containsNonDate="0" containsString="0" containsBlank="1" containsNumber="1" containsInteger="1" minValue="0" maxValue="6000"/>
    </cacheField>
    <cacheField name="5 plan2" numFmtId="4">
      <sharedItems containsNonDate="0" containsString="0" containsBlank="1" containsNumber="1" minValue="200" maxValue="6000"/>
    </cacheField>
    <cacheField name="6 plan" numFmtId="4">
      <sharedItems containsNonDate="0" containsString="0" containsBlank="1" containsNumber="1" containsInteger="1" minValue="1" maxValue="8000"/>
    </cacheField>
    <cacheField name="6 plan s" numFmtId="4">
      <sharedItems containsNonDate="0" containsString="0" containsBlank="1" containsNumber="1" containsInteger="1" minValue="200" maxValue="8000"/>
    </cacheField>
    <cacheField name="7plan" numFmtId="4">
      <sharedItems containsNonDate="0" containsString="0" containsBlank="1" containsNumber="1" containsInteger="1" minValue="1" maxValue="8000"/>
    </cacheField>
    <cacheField name="7 plan2" numFmtId="4">
      <sharedItems containsNonDate="0" containsString="0" containsBlank="1" containsNumber="1" containsInteger="1" minValue="200" maxValue="9300"/>
    </cacheField>
    <cacheField name="8plan" numFmtId="4">
      <sharedItems containsNonDate="0" containsString="0" containsBlank="1" containsNumber="1" containsInteger="1" minValue="0" maxValue="8000"/>
    </cacheField>
    <cacheField name="Oszlop3" numFmtId="4">
      <sharedItems containsNonDate="0" containsString="0" containsBlank="1" containsNumber="1" minValue="-6125" maxValue="11500"/>
    </cacheField>
    <cacheField name="9plan" numFmtId="4">
      <sharedItems containsNonDate="0" containsString="0" containsBlank="1" containsNumber="1" containsInteger="1" minValue="0" maxValue="8000"/>
    </cacheField>
    <cacheField name="Oszlop4" numFmtId="4">
      <sharedItems containsNonDate="0" containsString="0" containsBlank="1" containsNumber="1" containsInteger="1" minValue="1" maxValue="15300"/>
    </cacheField>
    <cacheField name="10plan" numFmtId="4">
      <sharedItems containsNonDate="0" containsString="0" containsBlank="1" containsNumber="1" minValue="0" maxValue="8000"/>
    </cacheField>
    <cacheField name="Oszlop5" numFmtId="4">
      <sharedItems containsNonDate="0" containsString="0" containsBlank="1" containsNumber="1" minValue="200" maxValue="11800"/>
    </cacheField>
    <cacheField name="11plan" numFmtId="4">
      <sharedItems containsNonDate="0" containsString="0" containsBlank="1" containsNumber="1" minValue="0" maxValue="8000"/>
    </cacheField>
    <cacheField name="Oszlop6" numFmtId="4">
      <sharedItems containsNonDate="0" containsString="0" containsBlank="1" containsNumber="1" minValue="200" maxValue="11500"/>
    </cacheField>
    <cacheField name="12plan" numFmtId="4">
      <sharedItems containsNonDate="0" containsString="0" containsBlank="1" containsNumber="1" minValue="0" maxValue="12500"/>
    </cacheField>
    <cacheField name="Oszlop7" numFmtId="4">
      <sharedItems containsNonDate="0" containsString="0" containsBlank="1" containsNumber="1" minValue="200" maxValue="11500"/>
    </cacheField>
    <cacheField name="ukupno planirano" numFmtId="4">
      <sharedItems containsNonDate="0" containsString="0" containsBlank="1" containsNumber="1" minValue="0" maxValue="74503"/>
    </cacheField>
    <cacheField name="ukupno ostvareno" numFmtId="4">
      <sharedItems containsNonDate="0" containsString="0" containsBlank="1" containsNumber="1" minValue="-4625" maxValue="91601"/>
    </cacheField>
    <cacheField name="završni" numFmtId="4">
      <sharedItems containsNonDate="0" containsString="0" containsBlank="1" containsNumber="1" containsInteger="1" minValue="0" maxValue="5000"/>
    </cacheField>
    <cacheField name="ostvareno iznos u toku godine" numFmtId="4">
      <sharedItems containsNonDate="0" containsString="0" containsBlank="1" containsNumber="1" containsInteger="1" minValue="660" maxValue="3500"/>
    </cacheField>
    <cacheField name="sjedište datum" numFmtId="14">
      <sharedItems containsNonDate="0" containsDate="1" containsString="0" containsBlank="1" minDate="2020-01-23T00:00:00" maxDate="2021-12-02T00:00:00"/>
    </cacheField>
    <cacheField name="planirano iznos" numFmtId="4">
      <sharedItems containsNonDate="0" containsString="0" containsBlank="1" containsNumber="1" containsInteger="1" minValue="66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unalo 1" refreshedDate="44741.614157523101" createdVersion="6" refreshedVersion="6" minRefreshableVersion="3" recordCount="10" xr:uid="{00000000-000A-0000-FFFF-FFFF02000000}">
  <cacheSource type="worksheet">
    <worksheetSource name="Table10"/>
  </cacheSource>
  <cacheFields count="2">
    <cacheField name="ukupno sa r1" numFmtId="4">
      <sharedItems containsSemiMixedTypes="0" containsNonDate="0" containsString="0"/>
    </cacheField>
    <cacheField name="tko" numFmtId="0">
      <sharedItems containsBlank="1" count="6">
        <s v="Ana"/>
        <s v="Gabrijela"/>
        <s v="Laura"/>
        <s v="MARINA"/>
        <s v="MATEJ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risnik" refreshedDate="45305.399707060198" createdVersion="6" refreshedVersion="6" minRefreshableVersion="3" recordCount="1150" xr:uid="{00000000-000A-0000-FFFF-FFFF03000000}">
  <cacheSource type="worksheet">
    <worksheetSource name="Table21" r:id="rId2"/>
  </cacheSource>
  <cacheFields count="4">
    <cacheField name="pc" numFmtId="0">
      <sharedItems containsBlank="1" count="11">
        <s v="2-1"/>
        <s v="1-2"/>
        <s v="1-4"/>
        <s v="1-3"/>
        <s v="2-2"/>
        <s v="1-1"/>
        <s v="0"/>
        <s v="1-6"/>
        <s v="1-5"/>
        <m/>
        <s v="2-3"/>
      </sharedItems>
    </cacheField>
    <cacheField name="planirano " numFmtId="4">
      <sharedItems containsSemiMixedTypes="0" containsNonDate="0" containsString="0"/>
    </cacheField>
    <cacheField name="ostvareno" numFmtId="4">
      <sharedItems containsSemiMixedTypes="0" containsNonDate="0" containsString="0"/>
    </cacheField>
    <cacheField name="mjesec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8">
  <r>
    <n v="1"/>
    <s v="FCR DEAL CONCEPT J.D.O.O."/>
    <n v="0"/>
    <x v="0"/>
    <s v="49472852864"/>
    <s v="fcrdealconcept@gmail.com"/>
    <m/>
    <n v="5011221"/>
    <n v="4690"/>
    <s v="da"/>
    <s v="ne"/>
    <s v="nema"/>
    <s v="500/3mj"/>
    <s v="Suspendiran pdv id - kontakt podaci"/>
    <s v="Suspendiran pdv id - kontakt podaci"/>
    <n v="1"/>
    <n v="0"/>
    <s v="ne"/>
    <s v="ne"/>
    <s v="ne"/>
    <m/>
    <m/>
    <m/>
    <m/>
    <m/>
  </r>
  <r>
    <n v="2"/>
    <s v="VGY TRADE J.D.O.O."/>
    <n v="0"/>
    <x v="0"/>
    <n v="43500487268"/>
    <m/>
    <m/>
    <m/>
    <m/>
    <s v="da"/>
    <s v="ne"/>
    <s v="nema"/>
    <s v="100 eur/1mj"/>
    <s v="NEMA NA STICKU"/>
    <m/>
    <n v="1"/>
    <n v="0"/>
    <s v="ne"/>
    <s v="ne"/>
    <s v="ne"/>
    <m/>
    <m/>
    <m/>
    <m/>
    <m/>
  </r>
  <r>
    <n v="3"/>
    <s v="KOLLAR J.d.o.o"/>
    <n v="0"/>
    <x v="0"/>
    <n v="57193509812"/>
    <s v="KOLLAR JDOO &lt;terezia.kriszt54@gmail.com&gt;"/>
    <s v="0036306254129"/>
    <m/>
    <m/>
    <s v="da"/>
    <s v="ne"/>
    <s v="nema"/>
    <s v="1300/mj sez +500 kad nije"/>
    <s v="NEMA NA STICKU"/>
    <m/>
    <n v="1"/>
    <n v="0"/>
    <s v="ne"/>
    <s v="ne"/>
    <s v="ne"/>
    <m/>
    <m/>
    <m/>
    <m/>
    <m/>
  </r>
  <r>
    <n v="4"/>
    <s v="Agro-DL d.o.o"/>
    <n v="0"/>
    <x v="0"/>
    <n v="85827290067"/>
    <s v="agro.dl2019@gmail.com"/>
    <m/>
    <m/>
    <m/>
    <s v="da"/>
    <s v="ne"/>
    <s v="nema"/>
    <s v="750,00 /1 mj"/>
    <m/>
    <s v="NEMA"/>
    <n v="1"/>
    <n v="0"/>
    <s v="ne"/>
    <s v="ne"/>
    <s v="ne"/>
    <m/>
    <m/>
    <m/>
    <m/>
    <m/>
  </r>
  <r>
    <n v="5"/>
    <s v="Agro- X d.o.o"/>
    <n v="0"/>
    <x v="0"/>
    <n v="7040911235"/>
    <s v="agro.dl2019@gmail.com"/>
    <m/>
    <m/>
    <m/>
    <s v="da"/>
    <s v="ne"/>
    <s v="nema"/>
    <s v="100 eur/mj"/>
    <s v="NEMA NA STICKU"/>
    <m/>
    <n v="1"/>
    <n v="0"/>
    <s v="ne"/>
    <s v="ne"/>
    <s v="ne"/>
    <m/>
    <m/>
    <m/>
    <m/>
    <m/>
  </r>
  <r>
    <n v="6"/>
    <s v="DUBROVNIK DIAMOND j.d.o.o."/>
    <n v="0"/>
    <x v="0"/>
    <n v="46869408875"/>
    <s v="krisztusz21@gmail.com"/>
    <m/>
    <m/>
    <m/>
    <s v="ne"/>
    <s v="ne"/>
    <s v="nema"/>
    <m/>
    <m/>
    <s v="IMA"/>
    <n v="0"/>
    <n v="0"/>
    <s v="ne"/>
    <s v="ne"/>
    <s v="ne"/>
    <m/>
    <m/>
    <m/>
    <m/>
    <m/>
  </r>
  <r>
    <n v="7"/>
    <s v="ENNA ROSA J.D.O.O."/>
    <n v="0"/>
    <x v="0"/>
    <n v="66248457712"/>
    <s v="enna.rosa.eu@gmail.com"/>
    <s v="36305320852"/>
    <n v="5011230"/>
    <n v="4661"/>
    <s v="da"/>
    <s v="ne"/>
    <s v="nema"/>
    <s v="500/1mj "/>
    <m/>
    <s v="IMA"/>
    <n v="1"/>
    <n v="0"/>
    <s v="ne"/>
    <s v="ne"/>
    <s v="da"/>
    <s v="dogovoren 2500 eur max 300 eur dobit"/>
    <m/>
    <m/>
    <m/>
    <m/>
  </r>
  <r>
    <n v="8"/>
    <s v="ZLATNA DINJA"/>
    <n v="0"/>
    <x v="0"/>
    <n v="56489011493"/>
    <s v="zlatna.dinja@gmail.com"/>
    <m/>
    <m/>
    <m/>
    <s v="da"/>
    <s v="ne"/>
    <s v="nema"/>
    <s v="500/MJ"/>
    <m/>
    <s v="Suspendiran - nije predan PDV"/>
    <n v="1"/>
    <n v="0"/>
    <s v="ne"/>
    <s v="ne"/>
    <s v="ne"/>
    <m/>
    <m/>
    <m/>
    <m/>
    <m/>
  </r>
  <r>
    <n v="9"/>
    <s v="BARDI TRADE J.D.O.O."/>
    <n v="0"/>
    <x v="0"/>
    <n v="98965364326"/>
    <s v="nyekicotto@gmail.com"/>
    <m/>
    <n v="4845510"/>
    <n v="4619"/>
    <s v="da"/>
    <s v="ne"/>
    <s v="otkazati"/>
    <s v="625/mj"/>
    <m/>
    <s v="IMA"/>
    <n v="1"/>
    <n v="0"/>
    <s v="ne"/>
    <s v="ne"/>
    <s v="ne"/>
    <m/>
    <m/>
    <m/>
    <m/>
    <m/>
  </r>
  <r>
    <n v="10"/>
    <s v="FOIL PRODUCT J.D.O.O."/>
    <n v="0"/>
    <x v="0"/>
    <n v="22087836893"/>
    <s v="koglerkaroly1945@gmail.com_x000a_lorinczzoltan1972@gmail.com"/>
    <s v="36301832757"/>
    <n v="4890558"/>
    <n v="4690"/>
    <s v="da"/>
    <s v="ne"/>
    <s v="ima"/>
    <s v="500/1mj"/>
    <s v="POREZNA KONTROLA 2017"/>
    <s v="IMA"/>
    <n v="1"/>
    <n v="0"/>
    <s v="ne"/>
    <s v="ne"/>
    <s v="da"/>
    <m/>
    <m/>
    <m/>
    <m/>
    <m/>
  </r>
  <r>
    <n v="11"/>
    <s v="JS MENSOR"/>
    <n v="1"/>
    <x v="1"/>
    <n v="19941838505"/>
    <s v="jeneigabor77@gmail.com"/>
    <s v="+36203123004"/>
    <n v="4925220"/>
    <n v="4211"/>
    <s v="da"/>
    <s v="da"/>
    <s v="ima"/>
    <s v="1000/1mj"/>
    <m/>
    <s v="IMA"/>
    <n v="1"/>
    <n v="1"/>
    <s v="ne"/>
    <s v="ne"/>
    <s v="da"/>
    <m/>
    <m/>
    <m/>
    <m/>
    <m/>
  </r>
  <r>
    <n v="12"/>
    <s v="STEFINO TRADE D.O.O"/>
    <n v="0"/>
    <x v="0"/>
    <s v="07629108570"/>
    <s v="stefinotrade@gmail.com"/>
    <m/>
    <n v="4845471"/>
    <n v="4619"/>
    <s v="da"/>
    <s v="ne"/>
    <s v="otkazati"/>
    <s v="500/1mj"/>
    <m/>
    <s v="IMA"/>
    <n v="1"/>
    <n v="0"/>
    <s v="ne"/>
    <s v="ne"/>
    <s v="ne"/>
    <m/>
    <m/>
    <m/>
    <m/>
    <m/>
  </r>
  <r>
    <n v="13"/>
    <s v="VARNOR CAR J.D.O.O."/>
    <n v="0"/>
    <x v="0"/>
    <n v="66616124482"/>
    <s v=" varnormarket.eu@gmail.com"/>
    <s v="36305320852"/>
    <n v="4760107"/>
    <n v="6201"/>
    <s v="da"/>
    <s v="ne"/>
    <s v="ima"/>
    <s v="500/1mj  prije smo 700/mj."/>
    <m/>
    <s v="IMA"/>
    <n v="1"/>
    <n v="0"/>
    <s v="ne"/>
    <s v="ne"/>
    <s v="da"/>
    <m/>
    <m/>
    <m/>
    <m/>
    <m/>
  </r>
  <r>
    <n v="14"/>
    <s v="BELLISSIMA"/>
    <n v="1"/>
    <x v="1"/>
    <s v="_x000a_15728896207"/>
    <s v="kristinavezaj@gmail.com"/>
    <s v="0952001522"/>
    <n v="4055861"/>
    <n v="9604"/>
    <s v="ne"/>
    <s v="da"/>
    <s v="ima"/>
    <s v="500/MJ"/>
    <m/>
    <s v="NEMA"/>
    <n v="0"/>
    <n v="1"/>
    <s v="ne"/>
    <s v="ne"/>
    <s v="da"/>
    <s v="treba biti u + mah 1500"/>
    <m/>
    <m/>
    <m/>
    <m/>
  </r>
  <r>
    <n v="15"/>
    <s v="SUKI"/>
    <n v="1"/>
    <x v="1"/>
    <n v="86376922906"/>
    <s v="sukizsuzsa@gmail.com"/>
    <s v="0036706061827"/>
    <n v="5071208"/>
    <n v="4690"/>
    <s v="da"/>
    <s v="ne"/>
    <s v="nema"/>
    <s v="500/3mj+ ako krenu onda podići cijene"/>
    <m/>
    <s v="IMA"/>
    <n v="1"/>
    <n v="0"/>
    <s v="ne"/>
    <s v="ne"/>
    <s v="da"/>
    <s v="Predan tz - 20 kreveta"/>
    <m/>
    <m/>
    <m/>
    <m/>
  </r>
  <r>
    <n v="16"/>
    <s v="Directive j d.o.o."/>
    <n v="0"/>
    <x v="0"/>
    <n v="69248337441"/>
    <s v="dj.harnal@gmail.com"/>
    <m/>
    <n v="5071208"/>
    <n v="4690"/>
    <s v="da"/>
    <s v="ne"/>
    <s v="otkazati"/>
    <s v="100 eur/ 1mj ns"/>
    <m/>
    <s v="suspenzija"/>
    <n v="1"/>
    <n v="0"/>
    <s v="ne"/>
    <s v="ne"/>
    <s v="ne"/>
    <m/>
    <m/>
    <m/>
    <m/>
    <m/>
  </r>
  <r>
    <n v="17"/>
    <s v="FELICIDAD D.O.O"/>
    <n v="3"/>
    <x v="2"/>
    <n v="32352094571"/>
    <s v="nyikolaj4@gmail.com"/>
    <s v="0036707719717"/>
    <s v="04860390"/>
    <n v="7022"/>
    <s v="da"/>
    <s v="ne"/>
    <s v="ima"/>
    <s v="500/ho"/>
    <m/>
    <s v="IMA"/>
    <n v="1"/>
    <n v="0"/>
    <s v="ne"/>
    <s v="ne"/>
    <s v="da"/>
    <s v="može ići"/>
    <m/>
    <m/>
    <m/>
    <m/>
  </r>
  <r>
    <n v="18"/>
    <s v="MONOTIL D.O.O"/>
    <n v="3"/>
    <x v="2"/>
    <n v="45984412875"/>
    <s v="monotildoo@gmail.com"/>
    <s v="0036703625374"/>
    <s v="04860373"/>
    <n v="4120"/>
    <s v="da"/>
    <s v="ne"/>
    <s v="ima"/>
    <s v="750/mj"/>
    <m/>
    <s v="IMA"/>
    <n v="1"/>
    <n v="0"/>
    <s v="ne"/>
    <s v="ne"/>
    <s v="da"/>
    <s v="može ići"/>
    <m/>
    <m/>
    <m/>
    <m/>
  </r>
  <r>
    <n v="19"/>
    <s v="Down Town j.d.o.o"/>
    <n v="2"/>
    <x v="3"/>
    <n v="23669898200"/>
    <s v="endrebarsibenik@gmail.com"/>
    <s v="36703332079"/>
    <s v="05082811"/>
    <n v="5610"/>
    <s v="ne"/>
    <s v="ne"/>
    <s v="ima"/>
    <s v="500/MJ+3*1500"/>
    <s v="stečaj 13. 01.2021"/>
    <s v="IMA"/>
    <n v="0"/>
    <n v="0"/>
    <s v="ne"/>
    <s v="ne"/>
    <s v="ne"/>
    <m/>
    <m/>
    <m/>
    <m/>
    <m/>
  </r>
  <r>
    <n v="20"/>
    <s v="BUONA FORTUNA d. o. o."/>
    <n v="1"/>
    <x v="1"/>
    <n v="60513048582"/>
    <s v="info@olaszkemping.hu"/>
    <s v="36703883070"/>
    <s v="02228076"/>
    <n v="7739"/>
    <s v="da"/>
    <s v="ne"/>
    <s v="ima"/>
    <s v="200/HÓ"/>
    <s v="POREZNA KONTROLA 2019 "/>
    <s v="ukinut 8.1.2020"/>
    <n v="1"/>
    <n v="0"/>
    <s v="ne"/>
    <s v="ne"/>
    <s v="ne"/>
    <s v="molili da predamo i 2020"/>
    <m/>
    <m/>
    <m/>
    <m/>
  </r>
  <r>
    <n v="21"/>
    <s v="DAZOL TRANS D.O.O."/>
    <n v="0"/>
    <x v="0"/>
    <n v="29241410238"/>
    <s v="dazoltransdoo@gmail.com_x000a_"/>
    <s v="0036204010571"/>
    <s v="05107261"/>
    <n v="4690"/>
    <s v="da"/>
    <s v="ne"/>
    <s v="ima"/>
    <s v="500,00/MJ"/>
    <m/>
    <s v="IMA"/>
    <n v="1"/>
    <n v="0"/>
    <s v="ne"/>
    <s v="ne"/>
    <s v="da"/>
    <m/>
    <m/>
    <m/>
    <m/>
    <m/>
  </r>
  <r>
    <n v="22"/>
    <s v="TAYLOR TRADE j.d.o.o."/>
    <n v="0"/>
    <x v="0"/>
    <n v="26234745603"/>
    <s v="taylor.europe2000@gmail.com"/>
    <s v="36305320852"/>
    <s v="04700708"/>
    <n v="4690"/>
    <s v="da"/>
    <s v="ne"/>
    <s v="ima"/>
    <s v="500/MJ"/>
    <s v="registar stvarnih vlasnika?"/>
    <s v="IMA"/>
    <n v="1"/>
    <n v="0"/>
    <s v="ne"/>
    <s v="ne"/>
    <s v="da"/>
    <m/>
    <m/>
    <m/>
    <m/>
    <m/>
  </r>
  <r>
    <n v="23"/>
    <s v="WVAPES  d.o.o."/>
    <n v="1"/>
    <x v="1"/>
    <n v="79058427561"/>
    <s v="waldherrszabolcs@gmail.com, waldherrt@gmail.com"/>
    <s v="36706123543"/>
    <s v="04427424_x000a_"/>
    <n v="7112"/>
    <s v="da"/>
    <s v="ne"/>
    <s v="ima"/>
    <s v="750,00/mj"/>
    <m/>
    <s v="IMA"/>
    <n v="1"/>
    <n v="0"/>
    <s v="ne"/>
    <s v="ne"/>
    <s v="da"/>
    <s v="može ići"/>
    <m/>
    <m/>
    <m/>
    <m/>
  </r>
  <r>
    <n v="24"/>
    <s v="MANZARO GTR j.d.o.o."/>
    <n v="0"/>
    <x v="0"/>
    <n v="34267663994"/>
    <s v="manzaro.global@gmail.com"/>
    <s v="0036703867167"/>
    <s v="05042364"/>
    <n v="4651"/>
    <s v="da"/>
    <s v="ne"/>
    <s v="ima"/>
    <s v="850,00/mj"/>
    <s v="PDV ID BROJ ?"/>
    <s v="IMA"/>
    <n v="1"/>
    <n v="0"/>
    <s v="ne"/>
    <s v="ne"/>
    <s v="da"/>
    <s v="može ići"/>
    <m/>
    <m/>
    <m/>
    <m/>
  </r>
  <r>
    <n v="25"/>
    <s v="KG TRADE DOO/gabi trans "/>
    <n v="0"/>
    <x v="0"/>
    <n v="29945680575"/>
    <s v="gkaplar@yandex.com"/>
    <s v="+381629761826"/>
    <s v="05167523"/>
    <n v="4690"/>
    <s v="da"/>
    <s v="ne"/>
    <s v="nema"/>
    <s v="1000/mj"/>
    <s v="PDV ID BROJ 28.04.2019 UKINUT"/>
    <s v="PDV ID BROJ 28.04.2019 UKINUT"/>
    <n v="1"/>
    <n v="0"/>
    <s v="ne"/>
    <s v="ne"/>
    <s v="ne"/>
    <m/>
    <m/>
    <m/>
    <m/>
    <m/>
  </r>
  <r>
    <n v="26"/>
    <s v="SKV SVIJET KONZOLA I VIDEOIGARA DOO"/>
    <n v="6"/>
    <x v="4"/>
    <n v="47196799893"/>
    <s v="levente.molnar@konzolvilag.hu"/>
    <s v="003620-299-7240"/>
    <m/>
    <m/>
    <s v="da"/>
    <s v="ne"/>
    <s v="nema"/>
    <s v="750/mj +5mj"/>
    <m/>
    <s v="?"/>
    <n v="1"/>
    <n v="0"/>
    <s v="ne"/>
    <s v="ne"/>
    <s v="da"/>
    <m/>
    <m/>
    <m/>
    <m/>
    <m/>
  </r>
  <r>
    <n v="27"/>
    <s v="D-INVOICE D.O.O."/>
    <n v="2"/>
    <x v="3"/>
    <n v="95114850977"/>
    <s v="mobilnost385@gmail.com"/>
    <s v="00385957266641"/>
    <m/>
    <m/>
    <s v="da"/>
    <s v="da"/>
    <s v="ima"/>
    <n v="0"/>
    <m/>
    <s v="IMA"/>
    <n v="1"/>
    <n v="1"/>
    <s v="ne"/>
    <s v="da"/>
    <s v="da"/>
    <s v="PREDAN"/>
    <m/>
    <m/>
    <m/>
    <m/>
  </r>
  <r>
    <n v="28"/>
    <s v="ICONICA D.O.O"/>
    <n v="5"/>
    <x v="5"/>
    <n v="53419251769"/>
    <s v="Dragica Kuktin &lt;kuktind@gmail.com&gt;_x000a_iconicadragica@gmail.com"/>
    <m/>
    <s v="05008379"/>
    <n v="4690"/>
    <s v="da"/>
    <s v="ne"/>
    <s v="ima"/>
    <s v="150 eur/1mj"/>
    <m/>
    <m/>
    <n v="1"/>
    <n v="0"/>
    <s v="ne"/>
    <s v="ne"/>
    <s v="da"/>
    <s v="1179 gubitak ok "/>
    <m/>
    <m/>
    <m/>
    <m/>
  </r>
  <r>
    <n v="29"/>
    <s v="BAŽI J.D.O.O"/>
    <n v="5"/>
    <x v="5"/>
    <n v="53180559017"/>
    <s v="rudolf.os2018@gmail.com"/>
    <m/>
    <s v="05037654"/>
    <n v="4690"/>
    <s v="da"/>
    <s v="ne"/>
    <s v="ima"/>
    <s v="100 eur/1mj"/>
    <m/>
    <m/>
    <n v="1"/>
    <n v="0"/>
    <s v="ne"/>
    <s v="ne"/>
    <s v="da"/>
    <s v="ok dogovoren"/>
    <m/>
    <m/>
    <m/>
    <m/>
  </r>
  <r>
    <n v="30"/>
    <s v="MAGYAR VIZEPITO ZRT."/>
    <n v="9"/>
    <x v="6"/>
    <n v="86896896888"/>
    <s v="iroda@donadome.hu"/>
    <s v="+36 20 9 222 608"/>
    <s v="NEMA"/>
    <n v="7022"/>
    <s v="da"/>
    <s v="ne"/>
    <s v="ne treba"/>
    <s v="500/MJ"/>
    <m/>
    <s v="IMA"/>
    <n v="1"/>
    <n v="0"/>
    <s v="ne"/>
    <s v="ne"/>
    <s v="ne"/>
    <m/>
    <m/>
    <m/>
    <m/>
    <m/>
  </r>
  <r>
    <n v="31"/>
    <s v="Alpha adria charter d.o.o."/>
    <n v="9"/>
    <x v="6"/>
    <n v="57699683738"/>
    <s v="nemet.adrienn@gmail.com"/>
    <s v="36309773774"/>
    <s v="04611748"/>
    <n v="7734"/>
    <s v="da"/>
    <s v="da"/>
    <s v="nema"/>
    <s v="750/mj +5mj"/>
    <m/>
    <s v="IMA"/>
    <n v="1"/>
    <n v="1"/>
    <s v="ne"/>
    <s v="ne"/>
    <s v="da"/>
    <s v="dogovorena dobit 140.000,0"/>
    <m/>
    <m/>
    <m/>
    <m/>
  </r>
  <r>
    <n v="32"/>
    <s v="DOMOKOS J.D.O.O."/>
    <n v="6"/>
    <x v="4"/>
    <n v="7942284015"/>
    <s v="domokos.i82@gmail.com"/>
    <s v="36203365181"/>
    <s v="04049837"/>
    <n v="4764"/>
    <s v="da"/>
    <s v="da"/>
    <s v="nema"/>
    <s v="1000/mj"/>
    <m/>
    <s v="IMA"/>
    <n v="1"/>
    <n v="1"/>
    <s v="ne"/>
    <s v="da"/>
    <s v="da"/>
    <s v="pripremljen čekamo poreznu"/>
    <m/>
    <s v="preda"/>
    <m/>
    <m/>
  </r>
  <r>
    <n v="33"/>
    <s v="HOME PLUS D.O.O"/>
    <n v="4"/>
    <x v="7"/>
    <n v="18241574410"/>
    <s v="rudolf.os2018@gmail.com"/>
    <s v="0994301710"/>
    <s v="04880773"/>
    <n v="4799"/>
    <s v="da"/>
    <s v="da"/>
    <s v="nema"/>
    <n v="1"/>
    <m/>
    <s v="IMA"/>
    <n v="1"/>
    <n v="1"/>
    <s v="ne"/>
    <s v="ne"/>
    <s v="da"/>
    <s v="može ići dobit iznad 200.000"/>
    <m/>
    <m/>
    <m/>
    <m/>
  </r>
  <r>
    <n v="34"/>
    <s v="INTEGRIS D.O.O."/>
    <n v="6"/>
    <x v="4"/>
    <n v="13592195390"/>
    <s v="Branimir.culo@integris.hr_x000a_Branimir.culo@mail.com_x000a_Branimirculo2@gmail.com"/>
    <s v="0952424442"/>
    <s v="04902688"/>
    <n v="4321"/>
    <s v="da"/>
    <s v="da"/>
    <s v="nema"/>
    <s v="1000/mj"/>
    <m/>
    <s v="IMA"/>
    <n v="1"/>
    <n v="1"/>
    <s v="ne"/>
    <s v="da"/>
    <s v="da"/>
    <s v="dogovoren"/>
    <m/>
    <m/>
    <m/>
    <m/>
  </r>
  <r>
    <n v="35"/>
    <s v="INTERNATIONAL LINE D.O.O"/>
    <n v="0"/>
    <x v="0"/>
    <n v="16157428650"/>
    <s v="rudolf.os2018@gmail.com"/>
    <s v="0994301710"/>
    <s v="05007984"/>
    <n v="7311"/>
    <s v="da"/>
    <s v="da"/>
    <s v="nema"/>
    <s v="11500/mj-PDV"/>
    <s v="INSPEKTOR ZNR 03.2020"/>
    <s v="IMA"/>
    <n v="1"/>
    <n v="1"/>
    <s v="ne"/>
    <s v="da"/>
    <s v="da"/>
    <s v="može ići"/>
    <m/>
    <m/>
    <m/>
    <m/>
  </r>
  <r>
    <n v="36"/>
    <s v="KERAMIKA ZOKA J.D.O.O."/>
    <n v="4"/>
    <x v="7"/>
    <n v="85005325176"/>
    <s v="zokafr@gmail.com"/>
    <s v="0912512172"/>
    <s v="04910761"/>
    <n v="4333"/>
    <s v="ne"/>
    <s v="da"/>
    <s v="nema"/>
    <s v="625/mj"/>
    <m/>
    <s v="NEMA"/>
    <n v="0"/>
    <n v="1"/>
    <s v="ne"/>
    <s v="da"/>
    <s v="da"/>
    <s v="nešto malo + može ići"/>
    <m/>
    <m/>
    <m/>
    <m/>
  </r>
  <r>
    <n v="37"/>
    <s v="Promo top"/>
    <n v="4"/>
    <x v="7"/>
    <n v="28718529165"/>
    <s v="rudolf.os2018@gmail.com"/>
    <s v="0994301710"/>
    <s v="04633423"/>
    <n v="4719"/>
    <s v="da"/>
    <s v="ne"/>
    <s v="nema"/>
    <n v="1"/>
    <m/>
    <s v="IMA"/>
    <n v="1"/>
    <n v="0"/>
    <s v="ne"/>
    <s v="ne"/>
    <s v="da"/>
    <s v="PREDAN"/>
    <s v="ÉEKAMO POTPIS"/>
    <m/>
    <m/>
    <m/>
  </r>
  <r>
    <n v="38"/>
    <s v="WAX d.o.o."/>
    <n v="4"/>
    <x v="7"/>
    <n v="46869408875"/>
    <s v="waxosijek@gmail.com"/>
    <s v="0994301710"/>
    <s v="04676971"/>
    <n v="4719"/>
    <s v="da"/>
    <s v="da"/>
    <s v="nema"/>
    <n v="1"/>
    <s v="POREZNA 2018 KONTOLA"/>
    <s v="IMA"/>
    <n v="1"/>
    <n v="1"/>
    <s v="ne"/>
    <s v="ne"/>
    <s v="da"/>
    <s v="predana"/>
    <s v="ÉEKAMO POTPIS"/>
    <m/>
    <m/>
    <m/>
  </r>
  <r>
    <n v="39"/>
    <s v="TRANSBRAND D.O.O."/>
    <n v="4"/>
    <x v="7"/>
    <n v="14275094065"/>
    <s v="lili.fanczi@gmail.com"/>
    <s v="+36309749762"/>
    <s v="05221170"/>
    <n v="4690"/>
    <s v="da"/>
    <s v="ne"/>
    <s v="nema"/>
    <s v="1000/mj"/>
    <m/>
    <s v="IMA"/>
    <n v="1"/>
    <n v="0"/>
    <s v="ne"/>
    <s v="ne"/>
    <s v="da"/>
    <s v="ne obračunati amortizaciju - ponovo usuglasiti dobit"/>
    <m/>
    <m/>
    <m/>
    <m/>
  </r>
  <r>
    <n v="40"/>
    <s v="NATUROS D.O.O."/>
    <n v="2"/>
    <x v="3"/>
    <s v="69606074367_x000a_"/>
    <s v="danijela.baban@naturos.hr_x000a_Patricia.Pauletic@pevex.hr"/>
    <s v="0914007987"/>
    <s v="02964660"/>
    <n v="1624"/>
    <s v="da"/>
    <s v="da"/>
    <s v="nema"/>
    <s v="1000/mj"/>
    <m/>
    <s v="IMA"/>
    <n v="1"/>
    <n v="1"/>
    <s v="ne"/>
    <s v="da"/>
    <s v="da"/>
    <s v="predano sve"/>
    <m/>
    <m/>
    <m/>
    <m/>
  </r>
  <r>
    <n v="41"/>
    <s v="SAGITTA CONSULTING"/>
    <n v="6"/>
    <x v="4"/>
    <n v="17653370550"/>
    <s v="andocsi.janos@gmail.com_x000a_sagitta.cons.doo@gmail.com - Andoči tar Melinda"/>
    <s v="0385911554083"/>
    <s v="05222907"/>
    <n v="7022"/>
    <s v="da"/>
    <s v="ne"/>
    <s v="nema"/>
    <s v="500/MJ"/>
    <s v="registar stvarnih vlasnika?"/>
    <s v="IMA"/>
    <n v="1"/>
    <n v="0"/>
    <s v="ne"/>
    <s v="ne"/>
    <s v="da"/>
    <s v="?"/>
    <m/>
    <m/>
    <m/>
    <m/>
  </r>
  <r>
    <n v="42"/>
    <s v="GEZA-TRADE j.d.o.o."/>
    <n v="0"/>
    <x v="0"/>
    <n v="79269693230"/>
    <s v="azerdesz1@gmail.com"/>
    <m/>
    <s v="04368584"/>
    <n v="4690"/>
    <s v="da"/>
    <s v="ne"/>
    <s v="nema"/>
    <s v="200/mj"/>
    <s v="registar stvarnih vlasnika?"/>
    <s v="IMA"/>
    <n v="1"/>
    <n v="0"/>
    <s v="ne"/>
    <s v="ne"/>
    <s v="ne"/>
    <m/>
    <m/>
    <m/>
    <m/>
    <m/>
  </r>
  <r>
    <n v="43"/>
    <s v="AGRICULTURAL MACHINES j.d.o.o."/>
    <n v="3"/>
    <x v="2"/>
    <n v="70025751990"/>
    <s v="laszlomedgyes5@gmail.com_x000a_somodi0319@freemail.hu_x000a_laszlomedgyes5@gmail.com"/>
    <s v="0036703695959- ne_x000a_'0036702781503_x000a_'0036708817750_x000a_'0036702781507"/>
    <s v="04515366"/>
    <n v="4690"/>
    <s v="da"/>
    <s v="ne"/>
    <s v="nema"/>
    <s v="200/mj"/>
    <s v="registar stvarnih vlasnika?"/>
    <s v="IMA"/>
    <n v="1"/>
    <n v="0"/>
    <s v="ne"/>
    <s v="ne"/>
    <s v="da"/>
    <s v="2400 gubitak - fale izvodi i plaćanje"/>
    <m/>
    <m/>
    <m/>
    <m/>
  </r>
  <r>
    <n v="44"/>
    <s v="AGRIFERT j.d.o.o."/>
    <n v="0"/>
    <x v="0"/>
    <n v="39566840054"/>
    <s v="info@menthol.hu_x000a_istvan.szecsenyi@mentholkft.t-online.hu_x000a_"/>
    <s v="0036309322533_x000a_szecsenyi gabor - 0036303980913 za izvode i uplate"/>
    <s v="04671228"/>
    <n v="4690"/>
    <s v="da"/>
    <s v="ne"/>
    <s v="nema"/>
    <s v="200/mj"/>
    <m/>
    <s v="IMA"/>
    <n v="1"/>
    <n v="0"/>
    <s v="ne"/>
    <s v="da"/>
    <s v="da"/>
    <s v="2152 dobit- fale izvodi"/>
    <m/>
    <m/>
    <m/>
    <m/>
  </r>
  <r>
    <n v="45"/>
    <s v="AGRO PMD d.o.o."/>
    <n v="6"/>
    <x v="4"/>
    <n v="9677499852"/>
    <s v="marina@agropmd.hr, "/>
    <s v="385913332037"/>
    <s v="04008839"/>
    <n v="4690"/>
    <s v="da"/>
    <s v="da"/>
    <s v="nema"/>
    <s v="3125/mj"/>
    <m/>
    <s v="IMA"/>
    <n v="1"/>
    <n v="1"/>
    <s v="da"/>
    <s v="ne"/>
    <s v="da"/>
    <s v="1.200.000,00 - nešto vidjeti da se smanji gubitak"/>
    <m/>
    <m/>
    <m/>
    <m/>
  </r>
  <r>
    <n v="46"/>
    <s v="Andoči j.d.o.o."/>
    <n v="1"/>
    <x v="1"/>
    <n v="84942563520"/>
    <s v="halasszilard@gmail.com"/>
    <s v="0036703127841"/>
    <s v="04160649"/>
    <n v="7022"/>
    <s v="da"/>
    <s v="ne"/>
    <s v="nema"/>
    <s v="500+pdv dok ne krenu raditi1250/mj+pdv_x000a_"/>
    <m/>
    <s v="IMA"/>
    <n v="1"/>
    <n v="0"/>
    <s v="ne"/>
    <s v="ne"/>
    <s v="da"/>
    <m/>
    <m/>
    <m/>
    <m/>
    <m/>
  </r>
  <r>
    <n v="47"/>
    <s v="ARPAD VECSEY"/>
    <n v="1"/>
    <x v="1"/>
    <n v="46037660813"/>
    <s v="vecsey.arpad@gmail.com"/>
    <s v="0036307374383"/>
    <m/>
    <n v="5590"/>
    <s v="da"/>
    <s v="ne"/>
    <s v="netreba"/>
    <s v="500/3mj"/>
    <m/>
    <s v="IMA"/>
    <n v="1"/>
    <n v="0"/>
    <s v="ne"/>
    <s v="ne"/>
    <s v="da"/>
    <s v="predai i tz1 i tz2"/>
    <s v="PREDANO"/>
    <m/>
    <m/>
    <m/>
  </r>
  <r>
    <n v="48"/>
    <s v="Europe trading centar"/>
    <n v="6"/>
    <x v="4"/>
    <n v="87402681149"/>
    <s v="joo.regina93@gmail.com_x000a_mtstechnologykft@hotmail.com"/>
    <s v="+36703180690"/>
    <s v="04676980"/>
    <n v="4619"/>
    <s v="da"/>
    <s v="ne"/>
    <s v="nema"/>
    <s v="625/mj"/>
    <m/>
    <m/>
    <n v="1"/>
    <n v="0"/>
    <s v="ne"/>
    <s v="ne"/>
    <s v="da"/>
    <s v="?"/>
    <m/>
    <m/>
    <m/>
    <m/>
  </r>
  <r>
    <n v="49"/>
    <s v="Hagyó Irén Mária"/>
    <n v="1"/>
    <x v="1"/>
    <n v="89566981034"/>
    <s v="akarmi1971@gmail.com"/>
    <s v="0069659664606"/>
    <m/>
    <n v="5520"/>
    <s v="da"/>
    <s v="ne"/>
    <s v="netreba"/>
    <s v="500/3mj"/>
    <m/>
    <s v="IMA"/>
    <n v="1"/>
    <n v="0"/>
    <s v="ne"/>
    <s v="ne"/>
    <s v="da"/>
    <s v="može ići"/>
    <m/>
    <m/>
    <m/>
    <m/>
  </r>
  <r>
    <n v="50"/>
    <s v="Mayer Istvan"/>
    <n v="0"/>
    <x v="0"/>
    <n v="35366053560"/>
    <s v="mstvn@t-online.hu"/>
    <m/>
    <m/>
    <n v="5520"/>
    <s v="da"/>
    <s v="ne"/>
    <s v="netreba"/>
    <s v="500/3mj"/>
    <m/>
    <s v="IMA"/>
    <n v="1"/>
    <n v="0"/>
    <s v="ne"/>
    <s v="ne"/>
    <s v="da"/>
    <s v="tz- broj kreveta u 2020 - nije vaűan nije viőe obveznik"/>
    <m/>
    <m/>
    <m/>
    <m/>
  </r>
  <r>
    <n v="51"/>
    <s v="ANITA MOLNAR"/>
    <n v="1"/>
    <x v="1"/>
    <n v="2049212829"/>
    <s v="g.molnar@gmail.com"/>
    <m/>
    <m/>
    <n v="5590"/>
    <s v="da"/>
    <s v="ne"/>
    <s v="netreba"/>
    <s v="500/3mj"/>
    <m/>
    <s v="IMA"/>
    <n v="1"/>
    <n v="0"/>
    <s v="ne"/>
    <s v="ne"/>
    <s v="da"/>
    <s v="PREDANO  i tz"/>
    <m/>
    <m/>
    <m/>
    <m/>
  </r>
  <r>
    <n v="52"/>
    <s v="NEST D.O.O."/>
    <n v="6"/>
    <x v="4"/>
    <n v="61155520044"/>
    <s v="madar.peter2@gmail.com"/>
    <s v="0036703188011"/>
    <s v="02793318"/>
    <n v="5520"/>
    <s v="da"/>
    <s v="ne"/>
    <s v="nema"/>
    <s v="500/MJ"/>
    <m/>
    <s v="IMA"/>
    <n v="1"/>
    <n v="0"/>
    <s v="ne"/>
    <s v="ne"/>
    <s v="da"/>
    <s v="može ići"/>
    <m/>
    <m/>
    <m/>
    <m/>
  </r>
  <r>
    <n v="53"/>
    <s v="PET SOLUTION d.o.o."/>
    <n v="6"/>
    <x v="4"/>
    <n v="88607313040"/>
    <s v="delikandog@gmail.com_x000a_Zsolt Pereczes &lt;mialo.solution14@gmail.com&gt;"/>
    <s v="+36 70 333 4163_x000a_'+420 608 006 018_x000a_"/>
    <s v="04556488"/>
    <n v="4799"/>
    <s v="ne"/>
    <s v="ne"/>
    <s v="ima"/>
    <s v="500/3mj"/>
    <s v="registar stvarnih vlasnika?"/>
    <s v="NEMA"/>
    <n v="0"/>
    <n v="0"/>
    <s v="ne"/>
    <s v="ne"/>
    <s v="da"/>
    <s v="?"/>
    <m/>
    <m/>
    <m/>
    <m/>
  </r>
  <r>
    <n v="54"/>
    <s v="SO CONSULTING d.o.o."/>
    <n v="6"/>
    <x v="4"/>
    <n v="67091284267"/>
    <s v="info.so.consulting@gmail.com"/>
    <s v="36706333016"/>
    <s v="04882563"/>
    <n v="7022"/>
    <s v="da"/>
    <s v="ne"/>
    <s v="nema"/>
    <s v="200/mj"/>
    <s v="registar stvarnih vlasnika?"/>
    <s v="suspendiran - dva ne odaziva na pisane pozive poreznoj"/>
    <n v="1"/>
    <n v="0"/>
    <s v="ne"/>
    <s v="ne"/>
    <s v="da"/>
    <s v="?"/>
    <m/>
    <m/>
    <m/>
    <m/>
  </r>
  <r>
    <n v="55"/>
    <s v="TB NEKRETNINE"/>
    <n v="0"/>
    <x v="0"/>
    <n v="98910021076"/>
    <s v="ipartelepek@gmail.com"/>
    <m/>
    <s v="02923327"/>
    <n v="6831"/>
    <s v="ne"/>
    <s v="ne"/>
    <s v="ima"/>
    <s v="500/3mj"/>
    <s v="registar stvarnih vlasnika?"/>
    <s v="NEMA"/>
    <n v="0"/>
    <n v="0"/>
    <s v="ne"/>
    <s v="ne"/>
    <s v="ne"/>
    <m/>
    <m/>
    <m/>
    <m/>
    <m/>
  </r>
  <r>
    <n v="57"/>
    <s v="HR-DRONE D.O.O"/>
    <n v="0"/>
    <x v="0"/>
    <n v="35189364067"/>
    <s v="hrdrone01@gmail.com _x000a_ipartelepek@gmail.com"/>
    <s v="+36 70 611 9981_x000a_'6203408071"/>
    <s v="04705157"/>
    <n v="4690"/>
    <s v="da"/>
    <s v="ne"/>
    <s v="nema"/>
    <s v="200/mj"/>
    <s v="NIJE ODOBREN PDV ID BROJ"/>
    <s v="NIJE ODOBREN PDV ID BROJ"/>
    <n v="1"/>
    <n v="0"/>
    <s v="ne"/>
    <s v="ne"/>
    <s v="ne"/>
    <m/>
    <m/>
    <m/>
    <m/>
    <m/>
  </r>
  <r>
    <n v="58"/>
    <s v="ŠPAJZ J.D.O.O."/>
    <n v="0"/>
    <x v="0"/>
    <n v="48699128512"/>
    <s v="spajz.os@gmail.com"/>
    <m/>
    <s v="04764757"/>
    <n v="5610"/>
    <s v="ne"/>
    <s v="da"/>
    <s v="nema"/>
    <s v="750/mj"/>
    <m/>
    <s v="poslan zahtjev"/>
    <n v="0"/>
    <n v="1"/>
    <s v="ne"/>
    <s v="ne"/>
    <s v="ne"/>
    <m/>
    <m/>
    <m/>
    <m/>
    <m/>
  </r>
  <r>
    <n v="59"/>
    <s v="ČUŠPAJZ J.D.O.O."/>
    <n v="0"/>
    <x v="0"/>
    <n v="17119334585"/>
    <s v="spajz.os@gmail.com"/>
    <m/>
    <s v="04975260"/>
    <n v="5610"/>
    <s v="ne"/>
    <s v="da"/>
    <s v="nema"/>
    <s v="750/mj"/>
    <m/>
    <s v="NEMA"/>
    <n v="0"/>
    <n v="1"/>
    <s v="ne"/>
    <s v="ne"/>
    <s v="ne"/>
    <m/>
    <m/>
    <m/>
    <m/>
    <m/>
  </r>
  <r>
    <n v="60"/>
    <s v="GUMENET D.O.O"/>
    <n v="6"/>
    <x v="4"/>
    <n v="15151568161"/>
    <s v="moorgabor@gmail.com "/>
    <s v="36309937055"/>
    <m/>
    <m/>
    <s v="da"/>
    <s v="da"/>
    <s v="ima"/>
    <s v="2500/1mj"/>
    <m/>
    <s v="IMA"/>
    <n v="1"/>
    <n v="1"/>
    <s v="ne"/>
    <s v="ne"/>
    <s v="da"/>
    <s v="25.000 - dobit ok može ići"/>
    <m/>
    <m/>
    <m/>
    <m/>
  </r>
  <r>
    <n v="61"/>
    <s v="white cristal kft"/>
    <n v="6"/>
    <x v="4"/>
    <n v="58815721573"/>
    <s v="White Crystal Kft. &lt;kkrisztian@jatekshop.eu&gt;"/>
    <s v="+36704286703"/>
    <m/>
    <m/>
    <s v="da"/>
    <s v="ne"/>
    <s v="ne treba"/>
    <s v="1000/mj"/>
    <m/>
    <s v="IMA"/>
    <n v="1"/>
    <n v="0"/>
    <s v="da"/>
    <s v="ne"/>
    <s v="ne"/>
    <m/>
    <m/>
    <m/>
    <m/>
    <m/>
  </r>
  <r>
    <n v="62"/>
    <s v="HOT GADET"/>
    <n v="3"/>
    <x v="2"/>
    <n v="66024839254"/>
    <s v="ipartelepek@gmail.com"/>
    <s v="0036-30-939-2770 ZSOLT"/>
    <s v="04996895"/>
    <n v="4690"/>
    <s v="ne"/>
    <s v="ne"/>
    <s v="nema"/>
    <s v="500/mj +5mj"/>
    <m/>
    <s v="Gotovo ne može dobiti nazad"/>
    <n v="0"/>
    <n v="0"/>
    <s v="ne"/>
    <s v="ne"/>
    <s v="ne"/>
    <m/>
    <m/>
    <m/>
    <m/>
    <m/>
  </r>
  <r>
    <n v="63"/>
    <s v="Market place d.o.o"/>
    <n v="0"/>
    <x v="0"/>
    <n v="69955246715"/>
    <m/>
    <m/>
    <s v="01991035"/>
    <n v="7734"/>
    <s v="ne"/>
    <s v="ne"/>
    <s v="otkazati"/>
    <s v="1100/mj + 5000 - za završni"/>
    <m/>
    <s v="Gotovo ne može dobiti nazad"/>
    <n v="0"/>
    <n v="0"/>
    <s v="ne"/>
    <s v="ne"/>
    <s v="ne"/>
    <m/>
    <m/>
    <m/>
    <m/>
    <m/>
  </r>
  <r>
    <n v="64"/>
    <s v="SAZOL TRANS"/>
    <n v="1"/>
    <x v="1"/>
    <n v="21428597692"/>
    <s v="sipec.darinka@net.hr"/>
    <s v="0915772843"/>
    <s v="05166713"/>
    <n v="4690"/>
    <s v="da"/>
    <s v="da"/>
    <s v="nema"/>
    <s v="0/mj"/>
    <s v="nemamo pristup zbog promjene vlasnika"/>
    <s v="NEMA"/>
    <n v="1"/>
    <n v="1"/>
    <s v="ne"/>
    <s v="ne"/>
    <s v="da"/>
    <m/>
    <m/>
    <m/>
    <m/>
    <m/>
  </r>
  <r>
    <n v="65"/>
    <s v="Istvan Gal"/>
    <n v="1"/>
    <x v="1"/>
    <n v="32106399954"/>
    <s v="galistvan70@gmail.com"/>
    <s v="0913597309"/>
    <m/>
    <n v="5590"/>
    <s v="da"/>
    <s v="ne"/>
    <s v="netreba"/>
    <s v="500/3mj"/>
    <m/>
    <s v="IMA"/>
    <n v="1"/>
    <n v="0"/>
    <s v="ne"/>
    <s v="ne"/>
    <s v="da"/>
    <s v="tz-broj kreveta 4"/>
    <m/>
    <m/>
    <m/>
    <m/>
  </r>
  <r>
    <n v="66"/>
    <s v="Puls direct D.O.O"/>
    <n v="4"/>
    <x v="7"/>
    <n v="67091284267"/>
    <s v="rudolf.os2018@gmail.com"/>
    <s v="0994301710"/>
    <s v="04324714"/>
    <s v="47.19"/>
    <s v="da"/>
    <s v="ne"/>
    <s v="nema"/>
    <n v="1"/>
    <m/>
    <s v="IMA"/>
    <n v="1"/>
    <n v="0"/>
    <s v="ne"/>
    <s v="ne"/>
    <s v="da"/>
    <s v="predana"/>
    <s v="čeka potpis"/>
    <m/>
    <s v="nema"/>
    <m/>
  </r>
  <r>
    <n v="67"/>
    <s v="MARIJANIS J.D.O.O"/>
    <n v="1"/>
    <x v="1"/>
    <n v="97263737727"/>
    <s v="marijanis.slavica@gmail.com"/>
    <s v="031385101"/>
    <s v="05256011"/>
    <n v="7112"/>
    <s v="ne"/>
    <s v="da"/>
    <s v="nema"/>
    <s v="500/mj"/>
    <m/>
    <s v="NEMA"/>
    <n v="0"/>
    <n v="1"/>
    <s v="ne"/>
    <s v="ne"/>
    <s v="da"/>
    <m/>
    <m/>
    <m/>
    <m/>
    <m/>
  </r>
  <r>
    <n v="68"/>
    <s v="RRD D.O.O."/>
    <n v="0"/>
    <x v="0"/>
    <n v="88894907107"/>
    <s v="otto19730720@gmail.com"/>
    <n v="36309771021"/>
    <m/>
    <m/>
    <s v="ne"/>
    <s v="ne"/>
    <s v="nema"/>
    <s v="2019/2500 KN I 1000 KN /MJ"/>
    <s v="POREZNA KONTROLA 2017"/>
    <s v="suspendiran - nije ostavio kontakt podatke"/>
    <n v="0"/>
    <n v="0"/>
    <s v="ne"/>
    <s v="ne"/>
    <s v="ne"/>
    <s v="ne radimo jer nemamo potpisani ugovor i odobnu"/>
    <m/>
    <m/>
    <m/>
    <m/>
  </r>
  <r>
    <n v="69"/>
    <s v="GENERAL BUILDERS D.O.O."/>
    <n v="0"/>
    <x v="0"/>
    <n v="32752014276"/>
    <s v="gb.hr.xx@gmail.coM_x000a_dombaidombai65@gmail.com"/>
    <s v="+36  301795939_x000a_+36308320418- Noemi"/>
    <s v="00944408"/>
    <n v="4322"/>
    <s v="da"/>
    <s v="ne"/>
    <s v="ima"/>
    <s v="1000/mj +2000 2019"/>
    <s v="VRAĆEN PDV ID"/>
    <s v="VRAĆEN PDV ID"/>
    <n v="1"/>
    <n v="0"/>
    <s v="ne"/>
    <s v="ne"/>
    <s v="da"/>
    <m/>
    <m/>
    <m/>
    <m/>
    <m/>
  </r>
  <r>
    <n v="70"/>
    <s v="PRIMA GROUP TRADING HOUSE J.D.O.O."/>
    <n v="4"/>
    <x v="7"/>
    <n v="73841010868"/>
    <s v="international.info.2016@gmail.com"/>
    <n v="36706343407"/>
    <s v="04733878"/>
    <n v="4690"/>
    <s v="da"/>
    <s v="ne"/>
    <s v="ima"/>
    <s v="500/3mj+2000 za 2019"/>
    <s v="szabo monika"/>
    <s v="IMA"/>
    <n v="1"/>
    <n v="0"/>
    <s v="ne"/>
    <s v="ne"/>
    <s v="da"/>
    <s v="može ići-20.000,00 gubitak"/>
    <m/>
    <m/>
    <m/>
    <m/>
  </r>
  <r>
    <n v="71"/>
    <s v="LEONOS j.d.o.o"/>
    <n v="4"/>
    <x v="7"/>
    <s v="06914228422_x000a_"/>
    <s v="gabor.varga@bilje.hr_x000a_euro.suport@gmail.com_x000a_valiget@gmail.com_x000a_sandor.varga@vpnasia.biz"/>
    <s v="031751400_x000a_099732001_x000a_+36707752714"/>
    <m/>
    <n v="4690"/>
    <s v="da"/>
    <s v="da"/>
    <s v="nema"/>
    <s v="nula"/>
    <m/>
    <s v="NEMA"/>
    <n v="1"/>
    <n v="1"/>
    <m/>
    <m/>
    <s v="da"/>
    <s v="može ići - dobit 1.300,00 kn"/>
    <m/>
    <m/>
    <m/>
    <m/>
  </r>
  <r>
    <n v="72"/>
    <s v="Tihaos j.d.o.o."/>
    <n v="6"/>
    <x v="4"/>
    <s v="07676769710"/>
    <s v="tihaosjdoo@gmail.com"/>
    <s v="36706119981"/>
    <m/>
    <n v="4690"/>
    <s v="da"/>
    <s v="ne"/>
    <s v="nema"/>
    <s v="nula"/>
    <s v="treba odraditi registraciju"/>
    <s v="NEMA"/>
    <n v="1"/>
    <n v="0"/>
    <m/>
    <m/>
    <s v="da"/>
    <s v="dogovoren gubitak iznad 10.000 kn"/>
    <m/>
    <m/>
    <m/>
    <m/>
  </r>
  <r>
    <n v="73"/>
    <s v="DIVERSIS"/>
    <n v="0"/>
    <x v="0"/>
    <n v="37330650846"/>
    <s v="dj.harnal@gmail.com"/>
    <m/>
    <m/>
    <m/>
    <s v="da"/>
    <s v="ne"/>
    <s v="nema"/>
    <s v="500/3MJ - KP"/>
    <m/>
    <s v="SUSPENDIRAN 09.03.2020"/>
    <n v="1"/>
    <n v="0"/>
    <s v="ne"/>
    <s v="ne"/>
    <s v="ne"/>
    <m/>
    <m/>
    <m/>
    <m/>
    <m/>
  </r>
  <r>
    <n v="74"/>
    <s v="RAU GROUP D.O.O"/>
    <n v="1"/>
    <x v="1"/>
    <n v="37079548034"/>
    <s v="b.vargaplast@gmail.com,"/>
    <s v="Varga Sándor _x000a_b.vargaplast@gmail.com  _x000a_janos.antal@anlux.hu  "/>
    <m/>
    <m/>
    <s v="da"/>
    <s v="ne"/>
    <s v="nema"/>
    <s v="750/hó"/>
    <m/>
    <m/>
    <n v="1"/>
    <n v="0"/>
    <s v="ne"/>
    <s v="ne"/>
    <s v="da"/>
    <m/>
    <m/>
    <m/>
    <m/>
    <m/>
  </r>
  <r>
    <n v="75"/>
    <s v="MANEVI KFT"/>
    <n v="4"/>
    <x v="7"/>
    <n v="70357925679"/>
    <s v="janos.antal@anlux.hu_x000a_gabor.besznyak@manevi.hu_x000a_kinga.zakar@manevi.hu_x000a_kiss.beatrix@hssc.hu_x000a_: Füstös Júlia (fustosj.solde@gmail.com_x000a_andras.krujber@manevi.hu"/>
    <n v="36202304196"/>
    <s v="??"/>
    <s v="??"/>
    <s v="da"/>
    <s v="ne"/>
    <s v="netreba"/>
    <s v="+36 30 245 3608 vagy bandit.andras@gmail.com _x000a_1500/mj"/>
    <m/>
    <m/>
    <n v="1"/>
    <n v="0"/>
    <s v="ne"/>
    <s v="ne"/>
    <s v="ne"/>
    <m/>
    <m/>
    <m/>
    <m/>
    <m/>
  </r>
  <r>
    <n v="76"/>
    <s v="TELLMAN ELECTRIC CAR"/>
    <n v="0"/>
    <x v="0"/>
    <n v="82338169596"/>
    <s v="euro.suport@gmail.com_x000a_sandor.varga@vpnasia.biz"/>
    <s v="099/636-8615_x000a_+36707752714"/>
    <n v="5200423"/>
    <n v="2910"/>
    <s v="ne"/>
    <s v="ne"/>
    <s v="nema"/>
    <s v="500/mj - odustali / 200 EUR"/>
    <m/>
    <m/>
    <n v="0"/>
    <n v="0"/>
    <s v="ne"/>
    <s v="ne"/>
    <s v="da"/>
    <s v="2019/2020 - čekamo google i facebok i zoom račune"/>
    <m/>
    <m/>
    <m/>
    <m/>
  </r>
  <r>
    <n v="77"/>
    <s v="ACTIVE SUMMER J.D.O.O."/>
    <n v="1"/>
    <x v="1"/>
    <n v="98248660755"/>
    <s v="info@olaszkemping.hu"/>
    <s v="'36703883070"/>
    <s v="05082811"/>
    <n v="5610"/>
    <s v="ne"/>
    <s v="ne"/>
    <s v="nema"/>
    <s v="500/MJ+3*1500"/>
    <m/>
    <m/>
    <n v="0"/>
    <n v="0"/>
    <s v="ne"/>
    <s v="ne"/>
    <s v="da"/>
    <s v="može ići"/>
    <m/>
    <m/>
    <m/>
    <m/>
  </r>
  <r>
    <n v="78"/>
    <s v="ISKA &quot;Z&quot;"/>
    <n v="0"/>
    <x v="0"/>
    <n v="44293565222"/>
    <s v="drexton2004@gmail.com,_x000a_sport89@freemail.hu_x000a_"/>
    <s v="+36305842036_x000a_'+36302598225"/>
    <n v="5293880"/>
    <n v="6820"/>
    <s v="da"/>
    <s v="ne"/>
    <s v="nema"/>
    <s v="TREBA POTPISATI UGOVOR  1000/mj do daljnjega 650/mj"/>
    <s v="NEMA IBAN"/>
    <s v="n"/>
    <n v="1"/>
    <n v="0"/>
    <m/>
    <m/>
    <s v="ne"/>
    <s v="čekamo da vidimo da li ćemo voditi ili ne"/>
    <m/>
    <m/>
    <m/>
    <m/>
  </r>
  <r>
    <n v="79"/>
    <s v="LPBF MURTER D.O.O."/>
    <n v="1"/>
    <x v="1"/>
    <n v="48596453407"/>
    <s v="lpbfdoo@gmail.com_x000a_Mracskó Erika mracsko.erika@eubility.eu_x000a_Josip Sladic_x000a_TRAVEL AGENCY  &quot;MURTER-KORNATI&quot; – ARTA_x000a_Address, Podvrtaje 65, 22243 Murter, Croatia_x000a_Phone: ++ 385 (0)22 436 544_x000a_Cell phone:  ++ 385 (0)91 590 5959_x000a_Web site: http://www.murter-kornati.com _x000a_"/>
    <s v="0036 306330297"/>
    <m/>
    <m/>
    <s v="da"/>
    <s v="ne"/>
    <s v="nema"/>
    <s v="1500/mj"/>
    <m/>
    <m/>
    <n v="1"/>
    <n v="0"/>
    <s v="ne"/>
    <s v="ne"/>
    <s v="da"/>
    <s v="GUBITAK 6000,00 KN- ok može ići - prvo kod njih na potpis a poslije predati."/>
    <m/>
    <m/>
    <m/>
    <m/>
  </r>
  <r>
    <n v="80"/>
    <s v="Fortrina j.d.o.o."/>
    <n v="0"/>
    <x v="0"/>
    <n v="4429356522"/>
    <s v="serika2011@gmail.com"/>
    <s v="+36703285855"/>
    <m/>
    <m/>
    <s v="ne"/>
    <s v="ne"/>
    <s v="nema"/>
    <s v="odustali treba zatvoriti poduzeće"/>
    <s v="NEMA IBAN"/>
    <m/>
    <n v="0"/>
    <n v="0"/>
    <m/>
    <m/>
    <s v="ne"/>
    <m/>
    <m/>
    <m/>
    <m/>
    <m/>
  </r>
  <r>
    <n v="81"/>
    <s v="BBG WAVE - podružnica ZAGREB"/>
    <n v="4"/>
    <x v="7"/>
    <n v="51261243383"/>
    <s v="pandur.ranka@bern.hu_x000a_drbirojudit@gondoldo.hu - pdv i raéuni"/>
    <s v="+3672511945_x000a_'+36203496656_x000a_'+36209464000 - bernard laszlo"/>
    <m/>
    <m/>
    <s v="da"/>
    <s v="ne"/>
    <s v="nema"/>
    <s v=" 1000/mj"/>
    <m/>
    <m/>
    <n v="1"/>
    <n v="0"/>
    <m/>
    <m/>
    <s v="da"/>
    <s v="do 20.02 - obečano samo treba utvrditi gubitak"/>
    <m/>
    <m/>
    <m/>
    <m/>
  </r>
  <r>
    <n v="82"/>
    <s v="Povucizakulturu - udruga "/>
    <n v="1"/>
    <x v="1"/>
    <n v="13190252412"/>
    <s v="tanja.tandara1@zg.t-com.hr"/>
    <s v="+385915776024"/>
    <n v="2646676"/>
    <s v="RNO: '0154215"/>
    <s v="ne"/>
    <s v="da"/>
    <s v="treba"/>
    <s v=" 500/2 za 1 godinu"/>
    <m/>
    <m/>
    <n v="0"/>
    <n v="1"/>
    <m/>
    <m/>
    <s v="da"/>
    <s v="ovo trebam pregledati"/>
    <m/>
    <m/>
    <m/>
    <m/>
  </r>
  <r>
    <n v="83"/>
    <s v="CALL GADGET J.D.O.O.O"/>
    <n v="3"/>
    <x v="2"/>
    <n v="26329351432"/>
    <s v="callgadget2020@gmail.com"/>
    <m/>
    <n v="5320275"/>
    <s v="46.90"/>
    <s v="da"/>
    <s v="ne"/>
    <s v="nema"/>
    <s v="750+PDV/MJ- gotovina"/>
    <m/>
    <m/>
    <n v="1"/>
    <n v="0"/>
    <m/>
    <m/>
    <s v="da"/>
    <s v="njereség 10.000,00 kn körü- ok"/>
    <m/>
    <m/>
    <m/>
    <m/>
  </r>
  <r>
    <n v="84"/>
    <s v="DoRaN031 J.D.O.O."/>
    <n v="3"/>
    <x v="2"/>
    <n v="6024223998"/>
    <s v="doran0312020@gmail.com"/>
    <s v="+36309392770"/>
    <n v="5323835"/>
    <s v="46.90"/>
    <s v="da"/>
    <s v="da"/>
    <s v="nema"/>
    <s v="dogovoriti 1000+pdv/ 500 KP"/>
    <m/>
    <s v="NEMOŰE ISHODOVATI PDV BROJ"/>
    <n v="1"/>
    <n v="1"/>
    <m/>
    <m/>
    <s v="da"/>
    <s v="možemo ići"/>
    <m/>
    <m/>
    <m/>
    <m/>
  </r>
  <r>
    <n v="85"/>
    <s v="Sailing Investment d.o.o."/>
    <n v="2"/>
    <x v="3"/>
    <n v="12907831775"/>
    <s v="herta@industrialoil.hu_x000a_szemeredi@kenlube.hu"/>
    <s v="Herta: +36 30 436 6432"/>
    <m/>
    <m/>
    <s v="da"/>
    <s v="ne"/>
    <s v="nema"/>
    <s v="300+PDV/MJ_x000a_300 eur / g. najam adrese"/>
    <m/>
    <m/>
    <n v="1"/>
    <n v="0"/>
    <m/>
    <m/>
    <s v="da"/>
    <s v="predano"/>
    <m/>
    <m/>
    <m/>
    <m/>
  </r>
  <r>
    <n v="86"/>
    <s v="Trading house d.o.o"/>
    <n v="4"/>
    <x v="7"/>
    <s v="99758375153"/>
    <s v="Trading House d.o.o. &lt;info@tradinghouse.hr&gt;_x000a_Gabi Juhász &lt;gabi.juhi77@gmail.com&gt;_x000a_ jenei.denes@carpathiantrade.eu_x000a_"/>
    <s v="Ü0916026135 Kristof Peter Horvath"/>
    <m/>
    <s v="1000+pdv"/>
    <s v="da"/>
    <s v="ne"/>
    <s v="nema"/>
    <s v="treba ugovor 2000 kn -2019 , 2020-2000kn 2021 -200/hó"/>
    <s v="POREZNA KONTROLA"/>
    <s v="SUSPENDIRAN"/>
    <n v="1"/>
    <n v="0"/>
    <m/>
    <m/>
    <s v="da"/>
    <s v="treba predati 2020-2000kn,  2021 -200/hó_x000a_"/>
    <m/>
    <m/>
    <m/>
    <m/>
  </r>
  <r>
    <n v="87"/>
    <s v="Vital Group d.o.o."/>
    <n v="4"/>
    <x v="7"/>
    <n v="45575918003"/>
    <s v="rudolf.os2018@gmail.com"/>
    <s v="0994301710"/>
    <m/>
    <m/>
    <s v="da"/>
    <s v="da"/>
    <s v="nema"/>
    <s v="treba ugovor"/>
    <m/>
    <m/>
    <n v="1"/>
    <n v="1"/>
    <m/>
    <m/>
    <s v="da"/>
    <s v="predati izjavu o neaktivnosti"/>
    <m/>
    <m/>
    <m/>
    <m/>
  </r>
  <r>
    <n v="88"/>
    <s v="VT - INVEST D.O.O"/>
    <n v="3"/>
    <x v="2"/>
    <n v="51878301205"/>
    <s v="buday.santha@gmail.com"/>
    <s v=":+36 30 396 4262 Sándor Mahier ili nekeko tako"/>
    <m/>
    <m/>
    <s v="ne"/>
    <s v="ne"/>
    <s v="nema"/>
    <s v="500/3ho"/>
    <m/>
    <m/>
    <n v="0"/>
    <n v="0"/>
    <m/>
    <m/>
    <s v="da"/>
    <s v="izjave o neaktivnosti predane2017/2018/2019/2020"/>
    <m/>
    <m/>
    <m/>
    <m/>
  </r>
  <r>
    <n v="89"/>
    <s v="CSIKI TRADE"/>
    <n v="3"/>
    <x v="2"/>
    <n v="29630649575"/>
    <s v="harnal "/>
    <s v="HARNAL / CALL GADGET"/>
    <m/>
    <m/>
    <s v="ne"/>
    <s v="ne"/>
    <s v="nema"/>
    <s v="ugovor 750 kn/ 100 eur"/>
    <m/>
    <m/>
    <n v="0"/>
    <n v="0"/>
    <m/>
    <m/>
    <s v="da"/>
    <s v="- izjava o neaktivnosti 2020 od 15.10.2020"/>
    <m/>
    <m/>
    <m/>
    <m/>
  </r>
  <r>
    <n v="90"/>
    <s v="SILVER KNIGHT"/>
    <n v="4"/>
    <x v="7"/>
    <n v="47616896856"/>
    <s v="info@tradinghouse.hr"/>
    <s v="Ü0916026135 Kristof Peter Horvath"/>
    <m/>
    <m/>
    <s v="da"/>
    <s v="ne"/>
    <s v="nema"/>
    <s v="1000/3ho"/>
    <m/>
    <m/>
    <n v="1"/>
    <n v="0"/>
    <m/>
    <m/>
    <s v="ne"/>
    <s v="radi od 15.02.2021"/>
    <m/>
    <m/>
    <m/>
    <m/>
  </r>
  <r>
    <n v="91"/>
    <s v="BBG WAVE kft"/>
    <n v="4"/>
    <x v="7"/>
    <n v="61967460994"/>
    <s v="pandur.ranka@bern.hu_x000a_drbirojudit@gondoldo.hu - pdv i raéuni"/>
    <s v="0036209372406"/>
    <m/>
    <m/>
    <s v="da"/>
    <s v="ne"/>
    <s v="nema"/>
    <s v="u dogovoru sa hr bbg w"/>
    <m/>
    <m/>
    <m/>
    <m/>
    <m/>
    <m/>
    <m/>
    <m/>
    <m/>
    <m/>
    <m/>
    <m/>
  </r>
  <r>
    <n v="92"/>
    <s v="Ready or Not"/>
    <n v="6"/>
    <x v="4"/>
    <n v="42338053282"/>
    <s v="info@gmholding.hu"/>
    <s v="0036304814901"/>
    <m/>
    <m/>
    <s v="da"/>
    <s v="ne"/>
    <s v="nema"/>
    <s v="500/ho, greci martin"/>
    <m/>
    <m/>
    <n v="1"/>
    <n v="0"/>
    <m/>
    <m/>
    <m/>
    <m/>
    <m/>
    <m/>
    <m/>
    <m/>
  </r>
  <r>
    <n v="93"/>
    <s v="Primus kft."/>
    <n v="0"/>
    <x v="0"/>
    <m/>
    <s v="Zoltán Nyírő &lt;pripares@gmail.com&gt;_x000a_&lt;almos.borbala@iriszoffice.hu - knjigovoúa u HU"/>
    <s v="003620 9504 517"/>
    <m/>
    <m/>
    <s v="da"/>
    <s v="ne"/>
    <s v="nema"/>
    <s v="Zoltan Nyiro - treba predati p-pdv"/>
    <m/>
    <m/>
    <n v="1"/>
    <n v="0"/>
    <m/>
    <m/>
    <m/>
    <m/>
    <m/>
    <m/>
    <m/>
    <m/>
  </r>
  <r>
    <n v="94"/>
    <s v="EVOLVIUM KFT"/>
    <n v="1"/>
    <x v="1"/>
    <m/>
    <s v="osztertamas@gmail.com _x000a_biro.gabor@birogabor.t-online.hu"/>
    <s v="ü0036702516989_x000a_ü-0036209628627 - Biro Gabor konyvelö"/>
    <m/>
    <m/>
    <s v="da"/>
    <s v="ne"/>
    <s v="nema"/>
    <s v="ÖSTER TAMÁS ISTO KAO I PRIMUS KFT "/>
    <m/>
    <m/>
    <n v="1"/>
    <n v="0"/>
    <m/>
    <m/>
    <m/>
    <m/>
    <m/>
    <m/>
    <m/>
    <m/>
  </r>
  <r>
    <n v="95"/>
    <s v="MANEVI ZRT Podrunica MANEVI HR"/>
    <n v="4"/>
    <x v="7"/>
    <n v="34780367346"/>
    <s v="KRUJBERT"/>
    <m/>
    <m/>
    <m/>
    <s v="da"/>
    <s v="ne"/>
    <s v="nema"/>
    <s v="500/ho - još dogovoriti"/>
    <m/>
    <m/>
    <n v="1"/>
    <n v="0"/>
    <m/>
    <m/>
    <m/>
    <m/>
    <m/>
    <m/>
    <m/>
    <m/>
  </r>
  <r>
    <n v="96"/>
    <s v="ZO-PE j.d.o.o."/>
    <n v="1"/>
    <x v="1"/>
    <n v="34072523452"/>
    <s v="zope2021@gmail.com"/>
    <m/>
    <m/>
    <m/>
    <s v="da"/>
    <s v="ne"/>
    <s v="nema"/>
    <s v="500/ kn"/>
    <m/>
    <m/>
    <n v="1"/>
    <n v="0"/>
    <m/>
    <m/>
    <m/>
    <m/>
    <m/>
    <m/>
    <m/>
    <m/>
  </r>
  <r>
    <n v="97"/>
    <s v="BEACH-HOMES PRIVLAKA J.D.O.O."/>
    <n v="1"/>
    <x v="1"/>
    <s v="ü43807093119"/>
    <m/>
    <m/>
    <m/>
    <m/>
    <s v="ne"/>
    <s v="da"/>
    <s v="nema"/>
    <s v="500+pdv _x000a_"/>
    <m/>
    <m/>
    <n v="0"/>
    <n v="1"/>
    <m/>
    <m/>
    <m/>
    <m/>
    <m/>
    <m/>
    <m/>
    <m/>
  </r>
  <r>
    <n v="98"/>
    <s v="Teatrum trade"/>
    <n v="1"/>
    <x v="1"/>
    <m/>
    <m/>
    <m/>
    <m/>
    <m/>
    <s v="ne"/>
    <s v="ne"/>
    <s v="nema"/>
    <s v="?"/>
    <m/>
    <m/>
    <n v="0"/>
    <n v="0"/>
    <m/>
    <m/>
    <m/>
    <m/>
    <m/>
    <m/>
    <m/>
    <m/>
  </r>
  <r>
    <n v="99"/>
    <s v="Grin center"/>
    <n v="2"/>
    <x v="3"/>
    <m/>
    <s v="csekotib@gmail.com"/>
    <s v="0036 306858480"/>
    <m/>
    <m/>
    <s v="ne"/>
    <s v="ne"/>
    <s v="nema"/>
    <s v="500/mjTibor Csekő  cseko tibor / stari geza trade"/>
    <m/>
    <m/>
    <n v="0"/>
    <n v="0"/>
    <m/>
    <m/>
    <m/>
    <m/>
    <m/>
    <m/>
    <m/>
    <m/>
  </r>
  <r>
    <n v="100"/>
    <s v="Pangea consulting"/>
    <n v="5"/>
    <x v="5"/>
    <m/>
    <m/>
    <m/>
    <m/>
    <m/>
    <s v="ne"/>
    <s v="ne"/>
    <s v="ima"/>
    <s v="branimir éulo Zavrőni 1000 kn"/>
    <m/>
    <m/>
    <n v="0"/>
    <n v="0"/>
    <m/>
    <m/>
    <s v="da"/>
    <m/>
    <m/>
    <m/>
    <m/>
    <m/>
  </r>
  <r>
    <n v="101"/>
    <s v="Sahin Vitamin Product d.o.o"/>
    <n v="6"/>
    <x v="4"/>
    <m/>
    <s v="infovitaminproduct@gmail.com"/>
    <s v="ü0036702959629"/>
    <m/>
    <m/>
    <s v="ne"/>
    <s v="ne"/>
    <s v="nema"/>
    <s v="Sahin Zsolt 500/hó"/>
    <m/>
    <m/>
    <n v="0"/>
    <n v="0"/>
    <m/>
    <m/>
    <m/>
    <m/>
    <m/>
    <m/>
    <m/>
    <m/>
  </r>
  <r>
    <n v="102"/>
    <s v="JWA GROUP SPOL SRO"/>
    <n v="1"/>
    <x v="1"/>
    <m/>
    <s v="jwagroup@gmail.com"/>
    <s v="421 915517979"/>
    <m/>
    <m/>
    <s v="ne"/>
    <s v="ne"/>
    <s v="nema"/>
    <s v="Jágerski Vilmos"/>
    <m/>
    <m/>
    <n v="0"/>
    <n v="0"/>
    <m/>
    <m/>
    <m/>
    <m/>
    <m/>
    <m/>
    <m/>
    <m/>
  </r>
  <r>
    <n v="103"/>
    <s v="VR KRK"/>
    <n v="2"/>
    <x v="3"/>
    <m/>
    <s v="robert.verebi@vr-krk.hr_x000a_edita.kalajdzic@gmail.com"/>
    <s v="99/5895238_x000a_'+36702194977"/>
    <m/>
    <m/>
    <s v="da"/>
    <s v="ne"/>
    <s v="nema"/>
    <s v="Robert Verebi"/>
    <m/>
    <m/>
    <n v="1"/>
    <n v="0"/>
    <m/>
    <m/>
    <m/>
    <m/>
    <m/>
    <m/>
    <m/>
    <m/>
  </r>
  <r>
    <n v="104"/>
    <s v="VR CONSULTING - po naplaćenoj"/>
    <n v="2"/>
    <x v="3"/>
    <m/>
    <s v="robert.verebi@vr-CONSULTING.hr_x000a_edita.kalajdzic@gmail.com"/>
    <s v="99/5895238_x000a_'+36702194977"/>
    <m/>
    <m/>
    <s v="da"/>
    <s v="ne"/>
    <s v="nema"/>
    <s v="Robert Verebi"/>
    <s v="po naplaćenoj"/>
    <m/>
    <n v="1"/>
    <n v="0"/>
    <m/>
    <m/>
    <m/>
    <m/>
    <m/>
    <m/>
    <m/>
    <m/>
  </r>
  <r>
    <n v="105"/>
    <s v="PARAGI D.O.O."/>
    <n v="2"/>
    <x v="3"/>
    <m/>
    <s v="paragi@epiteszmester.hu"/>
    <s v="+36 70 778 30 20"/>
    <m/>
    <m/>
    <s v="ne"/>
    <s v="ne"/>
    <s v="nema"/>
    <s v="Paragi István "/>
    <m/>
    <m/>
    <n v="0"/>
    <n v="0"/>
    <m/>
    <m/>
    <m/>
    <m/>
    <m/>
    <m/>
    <m/>
    <m/>
  </r>
  <r>
    <n v="106"/>
    <s v="NOBILIS KRISTOF"/>
    <n v="2"/>
    <x v="3"/>
    <m/>
    <s v="iroda@donadome.hu"/>
    <m/>
    <m/>
    <m/>
    <s v="ne"/>
    <s v="ne"/>
    <s v="nema"/>
    <s v="magyar vizepito"/>
    <m/>
    <m/>
    <n v="0"/>
    <n v="0"/>
    <m/>
    <m/>
    <m/>
    <m/>
    <m/>
    <m/>
    <m/>
    <m/>
  </r>
  <r>
    <n v="107"/>
    <s v="MANEVI JEGEROVA  D.O.O."/>
    <n v="4"/>
    <x v="7"/>
    <n v="69769519663"/>
    <s v="janos.antal@anlux.hu_x000a_gabor.besznyak@manevi.hu_x000a_kinga.zakar@manevi.hu_x000a_kiss.beatrix@hssc.hu_x000a_: Füstös Júlia (fustosj.solde@gmail.com_x000a_Farsang Csaba csaba.farsang@manevi.hu"/>
    <s v="36202304196_x000a_(tel :+3670 450 2008 ; email: csaba.farsang@manevi.hu)"/>
    <m/>
    <m/>
    <s v="da"/>
    <s v="ne"/>
    <s v="nema"/>
    <s v="manevi kft"/>
    <m/>
    <m/>
    <n v="1"/>
    <n v="0"/>
    <m/>
    <m/>
    <m/>
    <m/>
    <m/>
    <m/>
    <m/>
    <m/>
  </r>
  <r>
    <n v="108"/>
    <s v="Cassiopea d.o.o."/>
    <n v="2"/>
    <x v="3"/>
    <m/>
    <s v="iroda@donadome.hu"/>
    <m/>
    <m/>
    <m/>
    <s v="ne"/>
    <s v="ne"/>
    <s v="nema"/>
    <s v="500/mj"/>
    <m/>
    <m/>
    <n v="0"/>
    <n v="0"/>
    <m/>
    <m/>
    <m/>
    <m/>
    <m/>
    <m/>
    <m/>
    <m/>
  </r>
  <r>
    <n v="109"/>
    <s v="Kollektiv Konstruktor d.o.o."/>
    <n v="0"/>
    <x v="0"/>
    <m/>
    <s v="u stečajnom postupku - brisano_x000a_iroda@donadome.hu"/>
    <m/>
    <m/>
    <m/>
    <s v="ne"/>
    <s v="ne"/>
    <s v="nema"/>
    <s v="magyar vizepito"/>
    <m/>
    <m/>
    <n v="0"/>
    <n v="0"/>
    <m/>
    <m/>
    <m/>
    <m/>
    <m/>
    <m/>
    <m/>
    <m/>
  </r>
  <r>
    <n v="110"/>
    <s v="Kém Kém d.o.o."/>
    <n v="2"/>
    <x v="3"/>
    <m/>
    <s v="kemtibor@freemail.hu"/>
    <s v="ü36301438002"/>
    <m/>
    <m/>
    <s v="da"/>
    <s v="ne"/>
    <s v="nema"/>
    <s v="800/hó"/>
    <m/>
    <m/>
    <n v="1"/>
    <n v="0"/>
    <m/>
    <m/>
    <m/>
    <m/>
    <m/>
    <m/>
    <m/>
    <m/>
  </r>
  <r>
    <n v="111"/>
    <s v="Tim valores d.o.o."/>
    <n v="0"/>
    <x v="0"/>
    <m/>
    <s v="Irena Linasi &lt;irena.linasi@valores.si&gt;_x000a_: danijela.glinsek@valores.si"/>
    <s v="0038641797567"/>
    <m/>
    <m/>
    <s v="ne"/>
    <s v="ne"/>
    <s v="nema"/>
    <s v="500 usluga +750 knjigovodstvo"/>
    <m/>
    <m/>
    <n v="0"/>
    <n v="0"/>
    <m/>
    <m/>
    <m/>
    <m/>
    <m/>
    <m/>
    <m/>
    <m/>
  </r>
  <r>
    <n v="112"/>
    <s v="TOS D.O.O."/>
    <n v="2"/>
    <x v="3"/>
    <m/>
    <s v="MELITA.STOJANOVIC@TOS-OPREMA.HR"/>
    <s v="¸'385913268000"/>
    <m/>
    <m/>
    <s v="da"/>
    <s v="da"/>
    <s v="nema"/>
    <s v="4500+pdv"/>
    <m/>
    <m/>
    <n v="1"/>
    <n v="1"/>
    <m/>
    <m/>
    <m/>
    <m/>
    <m/>
    <m/>
    <m/>
    <m/>
  </r>
  <r>
    <n v="113"/>
    <m/>
    <n v="1"/>
    <x v="1"/>
    <m/>
    <m/>
    <s v="43807093118"/>
    <m/>
    <m/>
    <s v="ne"/>
    <s v="da"/>
    <s v="nema"/>
    <s v="500+pdv _x000a_"/>
    <m/>
    <m/>
    <n v="0"/>
    <n v="1"/>
    <m/>
    <m/>
    <m/>
    <m/>
    <m/>
    <m/>
    <m/>
    <m/>
  </r>
  <r>
    <n v="114"/>
    <s v="CONY-BM JDOO"/>
    <n v="3"/>
    <x v="2"/>
    <m/>
    <m/>
    <m/>
    <m/>
    <m/>
    <s v="ne"/>
    <s v="ne"/>
    <s v="nema"/>
    <s v="200*12+3500 - plaćeno do 09.2022"/>
    <m/>
    <m/>
    <n v="0"/>
    <n v="0"/>
    <m/>
    <m/>
    <m/>
    <m/>
    <m/>
    <m/>
    <m/>
    <m/>
  </r>
  <r>
    <n v="115"/>
    <s v="CATT-OS JDOO"/>
    <n v="1"/>
    <x v="1"/>
    <m/>
    <s v="cattos2020@gmail.com"/>
    <m/>
    <m/>
    <m/>
    <s v="da"/>
    <s v="ne"/>
    <s v="nema"/>
    <s v="NAŠE "/>
    <m/>
    <m/>
    <n v="1"/>
    <n v="0"/>
    <m/>
    <m/>
    <m/>
    <m/>
    <m/>
    <m/>
    <m/>
    <m/>
  </r>
  <r>
    <n v="116"/>
    <s v="HUNOS J.D.O.O."/>
    <n v="2"/>
    <x v="3"/>
    <m/>
    <m/>
    <m/>
    <m/>
    <m/>
    <s v="ne"/>
    <s v="ne"/>
    <s v="nema"/>
    <m/>
    <m/>
    <m/>
    <n v="0"/>
    <n v="0"/>
    <m/>
    <m/>
    <m/>
    <m/>
    <m/>
    <m/>
    <m/>
    <m/>
  </r>
  <r>
    <n v="117"/>
    <s v="DAILY DRIVE J.D.O.O."/>
    <n v="2"/>
    <x v="3"/>
    <n v="78776760572"/>
    <s v="DRIVERDAILY906@GMAIL.COM_x000a_KEMTIBOR@FREEMAIL.HU"/>
    <s v="ü36301438002"/>
    <m/>
    <m/>
    <s v="ne"/>
    <s v="ne"/>
    <s v="nema"/>
    <s v="nije potpisan"/>
    <m/>
    <m/>
    <n v="0"/>
    <n v="0"/>
    <m/>
    <m/>
    <m/>
    <m/>
    <m/>
    <m/>
    <m/>
    <m/>
  </r>
  <r>
    <n v="118"/>
    <s v="B-I-Z TELEP j.d.o.o."/>
    <n v="2"/>
    <x v="3"/>
    <m/>
    <s v="irena.beredics75@gmx.de"/>
    <s v="ü4917681697798"/>
    <m/>
    <m/>
    <s v="da"/>
    <s v="ne"/>
    <s v="nema"/>
    <s v="500+pdv / mj."/>
    <m/>
    <m/>
    <n v="1"/>
    <n v="0"/>
    <m/>
    <m/>
    <m/>
    <m/>
    <m/>
    <m/>
    <m/>
    <m/>
  </r>
  <r>
    <n v="119"/>
    <s v="LOGO PUŽ j.d.o.o"/>
    <n v="6"/>
    <x v="4"/>
    <m/>
    <m/>
    <s v="0998313959"/>
    <m/>
    <m/>
    <s v="ne"/>
    <s v="ne"/>
    <s v="nema"/>
    <m/>
    <m/>
    <m/>
    <n v="0"/>
    <n v="0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8">
  <r>
    <n v="1"/>
    <x v="0"/>
    <x v="0"/>
    <s v="500/3mj"/>
    <n v="10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2"/>
    <x v="1"/>
    <x v="0"/>
    <s v="100 eur/1mj"/>
    <n v="15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3"/>
    <x v="2"/>
    <x v="0"/>
    <s v="1300/mj sez +500 kad nije"/>
    <n v="15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4"/>
    <x v="3"/>
    <x v="0"/>
    <s v="750,00 /1 mj"/>
    <n v="45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5"/>
    <x v="4"/>
    <x v="0"/>
    <s v="100 eur/mj"/>
    <n v="45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6"/>
    <x v="5"/>
    <x v="0"/>
    <n v="0"/>
    <n v="80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7"/>
    <x v="6"/>
    <x v="0"/>
    <s v="500/1mj "/>
    <m/>
    <x v="1"/>
    <n v="580"/>
    <n v="500"/>
    <n v="500"/>
    <m/>
    <m/>
    <m/>
    <m/>
    <m/>
    <m/>
    <m/>
    <m/>
    <m/>
    <m/>
    <m/>
    <m/>
    <m/>
    <m/>
    <m/>
    <m/>
    <m/>
    <m/>
    <m/>
    <m/>
    <n v="1080"/>
    <n v="1080"/>
    <n v="500"/>
    <m/>
    <m/>
    <m/>
  </r>
  <r>
    <n v="8"/>
    <x v="7"/>
    <x v="0"/>
    <s v="500/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9"/>
    <x v="8"/>
    <x v="0"/>
    <s v="625/mj"/>
    <n v="0"/>
    <x v="0"/>
    <m/>
    <m/>
    <m/>
    <m/>
    <m/>
    <m/>
    <m/>
    <m/>
    <m/>
    <m/>
    <m/>
    <m/>
    <m/>
    <m/>
    <m/>
    <m/>
    <m/>
    <m/>
    <m/>
    <m/>
    <m/>
    <m/>
    <m/>
    <n v="0"/>
    <n v="0"/>
    <n v="500"/>
    <m/>
    <m/>
    <m/>
  </r>
  <r>
    <n v="10"/>
    <x v="9"/>
    <x v="1"/>
    <s v="500/1mj"/>
    <n v="3125"/>
    <x v="2"/>
    <n v="500"/>
    <n v="500"/>
    <n v="1000"/>
    <n v="500"/>
    <n v="500"/>
    <n v="500"/>
    <n v="500"/>
    <m/>
    <m/>
    <m/>
    <m/>
    <m/>
    <m/>
    <m/>
    <n v="-500"/>
    <m/>
    <m/>
    <m/>
    <m/>
    <m/>
    <m/>
    <m/>
    <m/>
    <n v="2000"/>
    <n v="2000"/>
    <n v="500"/>
    <m/>
    <m/>
    <m/>
  </r>
  <r>
    <n v="11"/>
    <x v="10"/>
    <x v="2"/>
    <s v="1000/1mj"/>
    <m/>
    <x v="3"/>
    <n v="1000"/>
    <n v="1000"/>
    <n v="1000"/>
    <n v="1000"/>
    <n v="1000"/>
    <n v="1500"/>
    <n v="1500"/>
    <n v="1000"/>
    <n v="1000"/>
    <n v="1000"/>
    <n v="1000"/>
    <n v="1000"/>
    <n v="1000"/>
    <n v="1000"/>
    <n v="1000"/>
    <n v="1000"/>
    <n v="1000"/>
    <n v="1100"/>
    <n v="1100"/>
    <n v="1100"/>
    <n v="1100"/>
    <n v="1100"/>
    <n v="1100"/>
    <n v="12800"/>
    <n v="12800"/>
    <n v="500"/>
    <m/>
    <m/>
    <m/>
  </r>
  <r>
    <n v="12"/>
    <x v="11"/>
    <x v="0"/>
    <s v="500/1mj"/>
    <n v="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3"/>
    <x v="12"/>
    <x v="3"/>
    <s v="500/1mj  prije smo 700/mj."/>
    <n v="5600"/>
    <x v="0"/>
    <m/>
    <n v="500"/>
    <m/>
    <m/>
    <m/>
    <m/>
    <m/>
    <m/>
    <m/>
    <m/>
    <m/>
    <m/>
    <m/>
    <m/>
    <m/>
    <m/>
    <m/>
    <m/>
    <m/>
    <m/>
    <m/>
    <m/>
    <m/>
    <n v="500"/>
    <n v="0"/>
    <m/>
    <m/>
    <m/>
    <m/>
  </r>
  <r>
    <n v="14"/>
    <x v="13"/>
    <x v="2"/>
    <s v="500/MJ"/>
    <n v="1000"/>
    <x v="4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4800"/>
    <n v="4800"/>
    <m/>
    <m/>
    <m/>
    <m/>
  </r>
  <r>
    <n v="15"/>
    <x v="14"/>
    <x v="2"/>
    <s v="500/3mj+ ako krenu onda podići cijene"/>
    <n v="1875"/>
    <x v="0"/>
    <m/>
    <m/>
    <m/>
    <n v="500"/>
    <n v="500"/>
    <m/>
    <m/>
    <m/>
    <m/>
    <n v="500"/>
    <n v="500"/>
    <m/>
    <m/>
    <m/>
    <m/>
    <n v="500"/>
    <n v="500"/>
    <m/>
    <m/>
    <m/>
    <m/>
    <n v="500"/>
    <n v="500"/>
    <n v="2000"/>
    <n v="2000"/>
    <n v="500"/>
    <m/>
    <m/>
    <m/>
  </r>
  <r>
    <n v="16"/>
    <x v="15"/>
    <x v="0"/>
    <s v="100 eur/ 1mj ns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d v="2020-03-18T00:00:00"/>
    <n v="3500"/>
  </r>
  <r>
    <n v="17"/>
    <x v="16"/>
    <x v="3"/>
    <s v="500/ho"/>
    <n v="650"/>
    <x v="2"/>
    <n v="500"/>
    <n v="500"/>
    <n v="500"/>
    <n v="500"/>
    <n v="500"/>
    <n v="1000"/>
    <n v="1000"/>
    <m/>
    <m/>
    <m/>
    <m/>
    <m/>
    <m/>
    <n v="1"/>
    <n v="1"/>
    <m/>
    <m/>
    <m/>
    <m/>
    <m/>
    <m/>
    <m/>
    <m/>
    <n v="2501"/>
    <n v="2501"/>
    <n v="500"/>
    <m/>
    <m/>
    <m/>
  </r>
  <r>
    <n v="18"/>
    <x v="17"/>
    <x v="3"/>
    <s v="750/mj"/>
    <n v="2500"/>
    <x v="2"/>
    <n v="500"/>
    <n v="500"/>
    <n v="500"/>
    <n v="500"/>
    <n v="750"/>
    <n v="1000"/>
    <n v="1250"/>
    <m/>
    <m/>
    <m/>
    <m/>
    <m/>
    <m/>
    <n v="1"/>
    <n v="1"/>
    <m/>
    <m/>
    <m/>
    <m/>
    <m/>
    <m/>
    <m/>
    <m/>
    <n v="2501"/>
    <n v="3001"/>
    <n v="500"/>
    <m/>
    <m/>
    <m/>
  </r>
  <r>
    <n v="19"/>
    <x v="18"/>
    <x v="0"/>
    <s v="500/MJ+3*150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"/>
    <x v="19"/>
    <x v="2"/>
    <s v="200/HÓ"/>
    <n v="1372.55"/>
    <x v="0"/>
    <m/>
    <m/>
    <m/>
    <n v="0"/>
    <n v="1500"/>
    <n v="200"/>
    <n v="200"/>
    <n v="200"/>
    <n v="200"/>
    <n v="200"/>
    <n v="200"/>
    <n v="200"/>
    <n v="200"/>
    <n v="200"/>
    <n v="200"/>
    <n v="200"/>
    <n v="200"/>
    <n v="220"/>
    <n v="220"/>
    <n v="220"/>
    <n v="220"/>
    <n v="220"/>
    <n v="220"/>
    <m/>
    <m/>
    <m/>
    <m/>
    <m/>
    <m/>
  </r>
  <r>
    <n v="21"/>
    <x v="20"/>
    <x v="0"/>
    <s v="500,00/MJ"/>
    <n v="2100"/>
    <x v="5"/>
    <n v="800"/>
    <n v="800"/>
    <m/>
    <m/>
    <m/>
    <m/>
    <m/>
    <m/>
    <m/>
    <m/>
    <m/>
    <m/>
    <m/>
    <m/>
    <m/>
    <m/>
    <m/>
    <m/>
    <m/>
    <m/>
    <m/>
    <m/>
    <m/>
    <n v="1600"/>
    <n v="800"/>
    <m/>
    <m/>
    <m/>
    <m/>
  </r>
  <r>
    <n v="22"/>
    <x v="21"/>
    <x v="0"/>
    <s v="500/MJ"/>
    <n v="14625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23"/>
    <x v="22"/>
    <x v="2"/>
    <s v="750,00/mj"/>
    <n v="2156.25"/>
    <x v="6"/>
    <n v="1050"/>
    <n v="750"/>
    <n v="750"/>
    <n v="750"/>
    <n v="750"/>
    <n v="1500"/>
    <n v="1500"/>
    <n v="750"/>
    <n v="750"/>
    <n v="750"/>
    <n v="750"/>
    <n v="750"/>
    <n v="750"/>
    <n v="750"/>
    <n v="750"/>
    <n v="750"/>
    <n v="750"/>
    <n v="975"/>
    <n v="975"/>
    <n v="850"/>
    <n v="1150"/>
    <n v="750"/>
    <n v="850"/>
    <n v="10075"/>
    <n v="10775"/>
    <n v="500"/>
    <m/>
    <m/>
    <m/>
  </r>
  <r>
    <n v="24"/>
    <x v="23"/>
    <x v="0"/>
    <s v="850,00/mj"/>
    <n v="7806.6"/>
    <x v="7"/>
    <n v="1150"/>
    <n v="850"/>
    <n v="850"/>
    <n v="850"/>
    <n v="850"/>
    <m/>
    <m/>
    <m/>
    <m/>
    <m/>
    <m/>
    <m/>
    <m/>
    <m/>
    <m/>
    <m/>
    <m/>
    <m/>
    <m/>
    <m/>
    <m/>
    <m/>
    <m/>
    <n v="2550"/>
    <n v="2850"/>
    <n v="500"/>
    <m/>
    <m/>
    <m/>
  </r>
  <r>
    <n v="25"/>
    <x v="24"/>
    <x v="0"/>
    <s v="1000/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26"/>
    <x v="25"/>
    <x v="4"/>
    <s v="750/mj +5mj"/>
    <m/>
    <x v="6"/>
    <n v="750"/>
    <n v="1000"/>
    <n v="1000"/>
    <n v="1000"/>
    <n v="1000"/>
    <n v="2000"/>
    <n v="2000"/>
    <n v="1000"/>
    <n v="1000"/>
    <n v="1000"/>
    <n v="1000"/>
    <n v="1000"/>
    <n v="1000"/>
    <n v="1000"/>
    <n v="1000"/>
    <n v="1000"/>
    <n v="1000"/>
    <n v="1100"/>
    <n v="1100"/>
    <n v="1100"/>
    <n v="1100"/>
    <n v="1100"/>
    <n v="1350"/>
    <n v="13050"/>
    <n v="13300"/>
    <n v="500"/>
    <m/>
    <m/>
    <m/>
  </r>
  <r>
    <n v="27"/>
    <x v="26"/>
    <x v="5"/>
    <n v="0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28"/>
    <x v="27"/>
    <x v="6"/>
    <s v="150 eur/1mj"/>
    <n v="0"/>
    <x v="3"/>
    <m/>
    <n v="1000"/>
    <m/>
    <m/>
    <m/>
    <m/>
    <m/>
    <m/>
    <m/>
    <m/>
    <m/>
    <m/>
    <m/>
    <n v="1"/>
    <n v="1"/>
    <m/>
    <m/>
    <m/>
    <m/>
    <m/>
    <m/>
    <m/>
    <m/>
    <n v="2001"/>
    <n v="1"/>
    <m/>
    <m/>
    <m/>
    <m/>
  </r>
  <r>
    <n v="29"/>
    <x v="28"/>
    <x v="6"/>
    <s v="100 eur/1mj"/>
    <n v="0"/>
    <x v="6"/>
    <n v="750"/>
    <n v="750"/>
    <m/>
    <m/>
    <m/>
    <m/>
    <m/>
    <m/>
    <m/>
    <m/>
    <m/>
    <m/>
    <m/>
    <n v="1"/>
    <n v="1"/>
    <m/>
    <m/>
    <m/>
    <m/>
    <m/>
    <m/>
    <m/>
    <m/>
    <n v="1501"/>
    <n v="751"/>
    <n v="750"/>
    <m/>
    <m/>
    <m/>
  </r>
  <r>
    <n v="30"/>
    <x v="29"/>
    <x v="7"/>
    <s v="500/MJ"/>
    <n v="1937.5"/>
    <x v="2"/>
    <n v="500"/>
    <n v="500"/>
    <n v="500"/>
    <n v="500"/>
    <n v="500"/>
    <n v="1000"/>
    <n v="1000"/>
    <n v="500"/>
    <n v="500"/>
    <n v="1800"/>
    <n v="500"/>
    <n v="650"/>
    <n v="650"/>
    <n v="800"/>
    <n v="1500"/>
    <n v="500"/>
    <n v="500"/>
    <n v="550"/>
    <n v="550"/>
    <n v="550"/>
    <n v="550"/>
    <n v="550"/>
    <n v="550"/>
    <n v="8400"/>
    <n v="7800"/>
    <n v="500"/>
    <m/>
    <m/>
    <m/>
  </r>
  <r>
    <n v="31"/>
    <x v="30"/>
    <x v="7"/>
    <s v="750/mj +5mj"/>
    <n v="2968.75"/>
    <x v="6"/>
    <n v="750"/>
    <n v="750"/>
    <n v="750"/>
    <n v="750"/>
    <n v="1500"/>
    <n v="750"/>
    <n v="750"/>
    <n v="750"/>
    <n v="750"/>
    <n v="800"/>
    <n v="800"/>
    <n v="750"/>
    <m/>
    <n v="750"/>
    <n v="750"/>
    <n v="750"/>
    <n v="750"/>
    <n v="825"/>
    <n v="825"/>
    <n v="825"/>
    <n v="825"/>
    <n v="825"/>
    <n v="825"/>
    <n v="9275"/>
    <n v="9275"/>
    <n v="750"/>
    <m/>
    <m/>
    <m/>
  </r>
  <r>
    <n v="32"/>
    <x v="31"/>
    <x v="4"/>
    <s v="1000/mj"/>
    <m/>
    <x v="3"/>
    <n v="1000"/>
    <n v="1000"/>
    <n v="1000"/>
    <n v="1000"/>
    <n v="2000"/>
    <n v="1000"/>
    <n v="1000"/>
    <n v="1000"/>
    <n v="1000"/>
    <n v="1000"/>
    <n v="1000"/>
    <n v="1000"/>
    <n v="1000"/>
    <n v="1000"/>
    <n v="1000"/>
    <n v="1000"/>
    <n v="1000"/>
    <n v="1100"/>
    <n v="1100"/>
    <n v="1100"/>
    <n v="1100"/>
    <n v="1100"/>
    <n v="1100"/>
    <n v="12300"/>
    <n v="13300"/>
    <n v="1000"/>
    <m/>
    <m/>
    <m/>
  </r>
  <r>
    <n v="33"/>
    <x v="32"/>
    <x v="8"/>
    <n v="1"/>
    <m/>
    <x v="8"/>
    <n v="11500"/>
    <n v="6000"/>
    <n v="6800"/>
    <n v="6000"/>
    <n v="10000"/>
    <n v="1"/>
    <n v="-2000"/>
    <n v="1"/>
    <m/>
    <n v="1"/>
    <m/>
    <n v="1"/>
    <m/>
    <n v="1"/>
    <n v="1"/>
    <n v="1"/>
    <n v="1"/>
    <n v="1"/>
    <m/>
    <n v="1"/>
    <m/>
    <n v="1901"/>
    <m/>
    <n v="13910"/>
    <n v="26302"/>
    <n v="500"/>
    <n v="1750"/>
    <d v="2020-08-20T00:00:00"/>
    <n v="3500"/>
  </r>
  <r>
    <n v="34"/>
    <x v="33"/>
    <x v="4"/>
    <s v="1000/mj"/>
    <m/>
    <x v="3"/>
    <n v="1000"/>
    <n v="1000"/>
    <n v="1000"/>
    <n v="2000"/>
    <n v="2000"/>
    <n v="1000"/>
    <n v="1000"/>
    <n v="1000"/>
    <m/>
    <m/>
    <m/>
    <m/>
    <m/>
    <n v="1000"/>
    <n v="1000"/>
    <n v="1000"/>
    <n v="1000"/>
    <m/>
    <m/>
    <m/>
    <m/>
    <n v="1000"/>
    <n v="1000"/>
    <n v="9000"/>
    <n v="8000"/>
    <n v="1250"/>
    <m/>
    <m/>
    <m/>
  </r>
  <r>
    <n v="35"/>
    <x v="34"/>
    <x v="0"/>
    <s v="11500/mj-PDV"/>
    <m/>
    <x v="9"/>
    <n v="1"/>
    <n v="1"/>
    <m/>
    <m/>
    <m/>
    <m/>
    <m/>
    <m/>
    <m/>
    <m/>
    <m/>
    <m/>
    <m/>
    <m/>
    <m/>
    <m/>
    <m/>
    <m/>
    <m/>
    <m/>
    <m/>
    <n v="1900"/>
    <m/>
    <n v="13401"/>
    <n v="1"/>
    <n v="4500"/>
    <m/>
    <d v="2020-02-16T00:00:00"/>
    <m/>
  </r>
  <r>
    <n v="36"/>
    <x v="35"/>
    <x v="8"/>
    <s v="625/mj"/>
    <m/>
    <x v="2"/>
    <n v="500"/>
    <n v="500"/>
    <n v="500"/>
    <n v="500"/>
    <n v="10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500"/>
    <n v="6000"/>
    <n v="6500"/>
    <n v="500"/>
    <m/>
    <m/>
    <m/>
  </r>
  <r>
    <n v="37"/>
    <x v="36"/>
    <x v="8"/>
    <n v="1"/>
    <m/>
    <x v="8"/>
    <n v="1"/>
    <n v="1"/>
    <m/>
    <n v="1"/>
    <m/>
    <n v="1"/>
    <m/>
    <n v="1"/>
    <m/>
    <n v="1"/>
    <m/>
    <n v="1"/>
    <m/>
    <n v="1"/>
    <n v="1"/>
    <n v="1"/>
    <n v="1"/>
    <n v="1"/>
    <m/>
    <n v="1"/>
    <m/>
    <n v="1"/>
    <n v="800"/>
    <n v="12"/>
    <n v="803"/>
    <n v="500"/>
    <m/>
    <m/>
    <m/>
  </r>
  <r>
    <n v="38"/>
    <x v="37"/>
    <x v="8"/>
    <n v="1"/>
    <m/>
    <x v="8"/>
    <n v="1"/>
    <n v="1"/>
    <m/>
    <n v="1"/>
    <m/>
    <n v="1"/>
    <m/>
    <n v="1"/>
    <m/>
    <n v="1"/>
    <m/>
    <n v="1"/>
    <m/>
    <n v="1"/>
    <n v="1"/>
    <n v="1"/>
    <n v="1"/>
    <n v="1"/>
    <m/>
    <n v="1"/>
    <m/>
    <n v="1"/>
    <m/>
    <n v="12"/>
    <n v="3"/>
    <n v="500"/>
    <m/>
    <m/>
    <m/>
  </r>
  <r>
    <n v="39"/>
    <x v="38"/>
    <x v="8"/>
    <s v="1000/mj"/>
    <m/>
    <x v="10"/>
    <n v="1000"/>
    <n v="1000"/>
    <n v="1000"/>
    <n v="4500"/>
    <n v="5500"/>
    <n v="1000"/>
    <n v="1000"/>
    <n v="1000"/>
    <n v="1000"/>
    <n v="1000"/>
    <n v="1000"/>
    <n v="1000"/>
    <n v="1000"/>
    <n v="1000"/>
    <n v="1000"/>
    <n v="1000"/>
    <n v="1000"/>
    <n v="1100"/>
    <n v="1100"/>
    <n v="1100"/>
    <n v="1100"/>
    <n v="1100"/>
    <n v="1100"/>
    <n v="19300"/>
    <n v="16800"/>
    <n v="1500"/>
    <n v="3500"/>
    <d v="2020-01-23T00:00:00"/>
    <n v="3500"/>
  </r>
  <r>
    <n v="40"/>
    <x v="39"/>
    <x v="5"/>
    <s v="1000/mj"/>
    <m/>
    <x v="3"/>
    <n v="1000"/>
    <n v="2100"/>
    <n v="2100"/>
    <n v="2100"/>
    <n v="3100"/>
    <n v="2100"/>
    <n v="2100"/>
    <n v="2100"/>
    <n v="2100"/>
    <n v="2100"/>
    <n v="2100"/>
    <n v="2100"/>
    <n v="2600"/>
    <n v="2100"/>
    <n v="2100"/>
    <n v="2100"/>
    <n v="2100"/>
    <n v="2310"/>
    <n v="2310"/>
    <n v="2910"/>
    <n v="2910"/>
    <n v="2310"/>
    <n v="2310"/>
    <n v="25330"/>
    <n v="26830"/>
    <n v="1500"/>
    <m/>
    <m/>
    <m/>
  </r>
  <r>
    <n v="41"/>
    <x v="40"/>
    <x v="4"/>
    <s v="500/MJ"/>
    <n v="3812.5"/>
    <x v="11"/>
    <n v="200"/>
    <n v="500"/>
    <n v="500"/>
    <n v="500"/>
    <n v="500"/>
    <n v="700"/>
    <n v="700"/>
    <n v="500"/>
    <n v="500"/>
    <n v="500"/>
    <n v="500"/>
    <n v="500"/>
    <n v="500"/>
    <n v="500"/>
    <n v="500"/>
    <n v="500"/>
    <n v="500"/>
    <n v="550"/>
    <n v="550"/>
    <n v="550"/>
    <n v="550"/>
    <n v="550"/>
    <n v="550"/>
    <n v="6050"/>
    <n v="6050"/>
    <n v="200"/>
    <m/>
    <m/>
    <m/>
  </r>
  <r>
    <n v="42"/>
    <x v="41"/>
    <x v="0"/>
    <s v="200/mj"/>
    <n v="1400"/>
    <x v="0"/>
    <m/>
    <m/>
    <m/>
    <m/>
    <m/>
    <m/>
    <m/>
    <m/>
    <n v="800"/>
    <m/>
    <m/>
    <m/>
    <m/>
    <m/>
    <m/>
    <m/>
    <m/>
    <m/>
    <m/>
    <m/>
    <m/>
    <m/>
    <m/>
    <n v="0"/>
    <n v="800"/>
    <m/>
    <m/>
    <m/>
    <m/>
  </r>
  <r>
    <n v="43"/>
    <x v="42"/>
    <x v="3"/>
    <s v="200/mj"/>
    <n v="3350"/>
    <x v="0"/>
    <m/>
    <m/>
    <m/>
    <m/>
    <m/>
    <m/>
    <m/>
    <m/>
    <m/>
    <m/>
    <m/>
    <m/>
    <m/>
    <n v="1"/>
    <n v="1"/>
    <m/>
    <m/>
    <m/>
    <m/>
    <m/>
    <m/>
    <m/>
    <m/>
    <n v="1"/>
    <n v="1"/>
    <m/>
    <m/>
    <m/>
    <m/>
  </r>
  <r>
    <n v="44"/>
    <x v="43"/>
    <x v="0"/>
    <s v="200/mj"/>
    <s v="4850  konyvel0+1850 hgk"/>
    <x v="0"/>
    <m/>
    <m/>
    <m/>
    <m/>
    <m/>
    <m/>
    <m/>
    <m/>
    <m/>
    <m/>
    <m/>
    <m/>
    <m/>
    <m/>
    <m/>
    <m/>
    <n v="3720"/>
    <m/>
    <m/>
    <m/>
    <m/>
    <m/>
    <m/>
    <n v="0"/>
    <n v="3720"/>
    <m/>
    <m/>
    <m/>
    <m/>
  </r>
  <r>
    <n v="45"/>
    <x v="44"/>
    <x v="4"/>
    <s v="3125/mj"/>
    <m/>
    <x v="12"/>
    <n v="3125"/>
    <n v="3125"/>
    <n v="3125"/>
    <n v="3125"/>
    <n v="3125"/>
    <n v="6250"/>
    <n v="6250"/>
    <n v="3125"/>
    <n v="4125"/>
    <n v="3125"/>
    <n v="3125"/>
    <n v="3125"/>
    <n v="3125"/>
    <n v="3125"/>
    <n v="3125"/>
    <n v="3125"/>
    <n v="3125"/>
    <n v="3437.5"/>
    <n v="3437.5"/>
    <n v="3437.5"/>
    <n v="3437.5"/>
    <n v="3437.5"/>
    <n v="3437.5"/>
    <n v="41562.5"/>
    <n v="42562.5"/>
    <n v="3125"/>
    <m/>
    <m/>
    <m/>
  </r>
  <r>
    <n v="46"/>
    <x v="45"/>
    <x v="2"/>
    <s v="500+pdv dok ne krenu raditi1250/mj+pdv_x000a_"/>
    <n v="687.5"/>
    <x v="1"/>
    <n v="500"/>
    <n v="500"/>
    <n v="500"/>
    <n v="500"/>
    <n v="500"/>
    <n v="1000"/>
    <n v="1000"/>
    <n v="500"/>
    <n v="500"/>
    <n v="500"/>
    <n v="500"/>
    <n v="500"/>
    <n v="500"/>
    <n v="500"/>
    <n v="500"/>
    <n v="500"/>
    <n v="500"/>
    <n v="550"/>
    <n v="550"/>
    <n v="550"/>
    <n v="550"/>
    <n v="550"/>
    <n v="550"/>
    <n v="6730"/>
    <n v="6650"/>
    <n v="500"/>
    <m/>
    <m/>
    <m/>
  </r>
  <r>
    <n v="47"/>
    <x v="46"/>
    <x v="2"/>
    <s v="500/3mj"/>
    <m/>
    <x v="0"/>
    <m/>
    <m/>
    <m/>
    <n v="500"/>
    <n v="500"/>
    <m/>
    <m/>
    <m/>
    <m/>
    <n v="500"/>
    <n v="500"/>
    <m/>
    <m/>
    <m/>
    <m/>
    <n v="500"/>
    <n v="500"/>
    <m/>
    <m/>
    <m/>
    <m/>
    <n v="500"/>
    <n v="500"/>
    <n v="2000"/>
    <n v="2000"/>
    <n v="0"/>
    <m/>
    <m/>
    <m/>
  </r>
  <r>
    <n v="48"/>
    <x v="47"/>
    <x v="4"/>
    <s v="625/mj"/>
    <n v="2296.34"/>
    <x v="13"/>
    <n v="625"/>
    <n v="625"/>
    <n v="625"/>
    <n v="625"/>
    <n v="1250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625"/>
    <n v="7500"/>
    <n v="8125"/>
    <n v="200"/>
    <m/>
    <m/>
    <m/>
  </r>
  <r>
    <n v="49"/>
    <x v="48"/>
    <x v="2"/>
    <s v="500/3mj"/>
    <m/>
    <x v="0"/>
    <m/>
    <m/>
    <m/>
    <n v="500"/>
    <n v="500"/>
    <m/>
    <m/>
    <m/>
    <m/>
    <n v="500"/>
    <n v="500"/>
    <m/>
    <m/>
    <m/>
    <m/>
    <n v="500"/>
    <n v="500"/>
    <m/>
    <m/>
    <m/>
    <m/>
    <n v="500"/>
    <n v="500"/>
    <n v="2000"/>
    <n v="2000"/>
    <n v="0"/>
    <m/>
    <m/>
    <m/>
  </r>
  <r>
    <n v="50"/>
    <x v="49"/>
    <x v="0"/>
    <s v="500/3mj"/>
    <n v="-250"/>
    <x v="0"/>
    <m/>
    <m/>
    <m/>
    <m/>
    <m/>
    <m/>
    <m/>
    <m/>
    <m/>
    <m/>
    <m/>
    <m/>
    <m/>
    <m/>
    <m/>
    <m/>
    <m/>
    <m/>
    <m/>
    <m/>
    <m/>
    <m/>
    <m/>
    <n v="0"/>
    <n v="0"/>
    <n v="0"/>
    <m/>
    <m/>
    <m/>
  </r>
  <r>
    <n v="51"/>
    <x v="50"/>
    <x v="2"/>
    <s v="500/3mj"/>
    <n v="25"/>
    <x v="0"/>
    <m/>
    <m/>
    <m/>
    <n v="500"/>
    <n v="500"/>
    <m/>
    <m/>
    <m/>
    <m/>
    <n v="500"/>
    <n v="500"/>
    <m/>
    <m/>
    <m/>
    <m/>
    <n v="500"/>
    <n v="500"/>
    <m/>
    <m/>
    <m/>
    <m/>
    <n v="500"/>
    <n v="500"/>
    <n v="2000"/>
    <n v="2000"/>
    <n v="0"/>
    <m/>
    <m/>
    <m/>
  </r>
  <r>
    <n v="52"/>
    <x v="51"/>
    <x v="4"/>
    <s v="500/MJ"/>
    <n v="1312.5"/>
    <x v="2"/>
    <n v="500"/>
    <n v="500"/>
    <n v="500"/>
    <n v="500"/>
    <n v="500"/>
    <n v="1000"/>
    <n v="1000"/>
    <n v="500"/>
    <n v="500"/>
    <n v="500"/>
    <n v="500"/>
    <n v="500"/>
    <n v="500"/>
    <n v="500"/>
    <n v="500"/>
    <n v="500"/>
    <n v="500"/>
    <n v="550"/>
    <n v="550"/>
    <n v="550"/>
    <n v="550"/>
    <n v="550"/>
    <n v="550"/>
    <n v="6650"/>
    <n v="6650"/>
    <n v="500"/>
    <m/>
    <m/>
    <m/>
  </r>
  <r>
    <n v="53"/>
    <x v="52"/>
    <x v="4"/>
    <s v="500/3mj"/>
    <n v="1250"/>
    <x v="0"/>
    <m/>
    <m/>
    <m/>
    <n v="500"/>
    <n v="500"/>
    <m/>
    <m/>
    <m/>
    <m/>
    <n v="500"/>
    <n v="500"/>
    <m/>
    <m/>
    <m/>
    <m/>
    <n v="500"/>
    <n v="500"/>
    <m/>
    <m/>
    <m/>
    <m/>
    <n v="500"/>
    <n v="500"/>
    <n v="2000"/>
    <n v="2000"/>
    <m/>
    <m/>
    <m/>
    <m/>
  </r>
  <r>
    <n v="54"/>
    <x v="53"/>
    <x v="4"/>
    <s v="200/mj"/>
    <m/>
    <x v="11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00"/>
    <n v="220"/>
    <n v="220"/>
    <n v="220"/>
    <n v="220"/>
    <n v="220"/>
    <n v="220"/>
    <n v="2460"/>
    <n v="2460"/>
    <n v="200"/>
    <m/>
    <m/>
    <m/>
  </r>
  <r>
    <n v="55"/>
    <x v="54"/>
    <x v="0"/>
    <s v="500/3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57"/>
    <x v="55"/>
    <x v="0"/>
    <s v="200/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58"/>
    <x v="56"/>
    <x v="0"/>
    <s v="750/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59"/>
    <x v="57"/>
    <x v="0"/>
    <s v="750/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60"/>
    <x v="58"/>
    <x v="4"/>
    <s v="2500/1mj"/>
    <n v="3437.5"/>
    <x v="14"/>
    <n v="1800"/>
    <n v="2500"/>
    <n v="2500"/>
    <n v="2500"/>
    <n v="2500"/>
    <n v="5000"/>
    <n v="5000"/>
    <n v="2500"/>
    <n v="2500"/>
    <n v="2500"/>
    <n v="2500"/>
    <n v="2500"/>
    <n v="2500"/>
    <n v="2500"/>
    <n v="2500"/>
    <n v="2500"/>
    <n v="2500"/>
    <n v="2750"/>
    <n v="2750"/>
    <n v="2750"/>
    <n v="2750"/>
    <n v="2750"/>
    <n v="2750"/>
    <n v="32550"/>
    <n v="32550"/>
    <n v="1500"/>
    <m/>
    <m/>
    <m/>
  </r>
  <r>
    <n v="61"/>
    <x v="59"/>
    <x v="4"/>
    <s v="1000/mj"/>
    <m/>
    <x v="3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000"/>
    <n v="1200"/>
    <n v="1200"/>
    <n v="1200"/>
    <n v="1200"/>
    <n v="1200"/>
    <n v="1200"/>
    <n v="12600"/>
    <n v="12600"/>
    <n v="1000"/>
    <m/>
    <m/>
    <m/>
  </r>
  <r>
    <n v="62"/>
    <x v="60"/>
    <x v="3"/>
    <s v="500/mj +5mj"/>
    <n v="1000"/>
    <x v="0"/>
    <m/>
    <m/>
    <m/>
    <m/>
    <m/>
    <m/>
    <m/>
    <n v="2000"/>
    <n v="2000"/>
    <m/>
    <m/>
    <m/>
    <m/>
    <n v="1"/>
    <n v="1"/>
    <m/>
    <m/>
    <m/>
    <m/>
    <m/>
    <m/>
    <m/>
    <m/>
    <n v="2001"/>
    <n v="2001"/>
    <m/>
    <n v="3500"/>
    <d v="2021-03-29T00:00:00"/>
    <n v="3500"/>
  </r>
  <r>
    <n v="63"/>
    <x v="61"/>
    <x v="0"/>
    <s v="1100/mj + 5000 - za završni"/>
    <n v="2500"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64"/>
    <x v="62"/>
    <x v="2"/>
    <s v="0/mj"/>
    <n v="8812.5"/>
    <x v="6"/>
    <n v="750"/>
    <n v="750"/>
    <n v="750"/>
    <n v="750"/>
    <n v="750"/>
    <m/>
    <m/>
    <m/>
    <m/>
    <m/>
    <m/>
    <m/>
    <m/>
    <m/>
    <m/>
    <m/>
    <m/>
    <m/>
    <m/>
    <m/>
    <m/>
    <m/>
    <m/>
    <n v="2250"/>
    <n v="2250"/>
    <m/>
    <m/>
    <m/>
    <m/>
  </r>
  <r>
    <n v="65"/>
    <x v="63"/>
    <x v="2"/>
    <s v="500/3mj"/>
    <n v="1000"/>
    <x v="0"/>
    <m/>
    <m/>
    <m/>
    <n v="500"/>
    <n v="500"/>
    <m/>
    <m/>
    <m/>
    <m/>
    <n v="500"/>
    <n v="500"/>
    <m/>
    <m/>
    <m/>
    <m/>
    <n v="500"/>
    <n v="500"/>
    <m/>
    <m/>
    <m/>
    <m/>
    <n v="500"/>
    <n v="500"/>
    <n v="2000"/>
    <n v="2000"/>
    <m/>
    <m/>
    <m/>
    <m/>
  </r>
  <r>
    <n v="66"/>
    <x v="64"/>
    <x v="8"/>
    <n v="1"/>
    <m/>
    <x v="8"/>
    <n v="1"/>
    <n v="1"/>
    <m/>
    <n v="1"/>
    <m/>
    <n v="1"/>
    <m/>
    <n v="1"/>
    <m/>
    <n v="1"/>
    <m/>
    <n v="1"/>
    <m/>
    <n v="1"/>
    <n v="1"/>
    <n v="1"/>
    <n v="1"/>
    <n v="1"/>
    <m/>
    <n v="1"/>
    <m/>
    <n v="1"/>
    <m/>
    <n v="12"/>
    <n v="3"/>
    <m/>
    <m/>
    <m/>
    <m/>
  </r>
  <r>
    <n v="67"/>
    <x v="65"/>
    <x v="2"/>
    <s v="500/mj"/>
    <m/>
    <x v="4"/>
    <n v="400"/>
    <n v="400"/>
    <n v="400"/>
    <n v="400"/>
    <n v="640"/>
    <n v="400"/>
    <n v="400"/>
    <n v="400"/>
    <n v="400"/>
    <n v="400"/>
    <n v="400"/>
    <n v="400"/>
    <n v="400"/>
    <n v="400"/>
    <n v="400"/>
    <n v="400"/>
    <n v="400"/>
    <n v="400"/>
    <n v="400"/>
    <n v="400"/>
    <n v="400"/>
    <n v="2000"/>
    <n v="2000"/>
    <n v="6400"/>
    <n v="6640"/>
    <n v="200"/>
    <m/>
    <m/>
    <m/>
  </r>
  <r>
    <n v="68"/>
    <x v="66"/>
    <x v="0"/>
    <s v="2019/2500 KN I 1000 KN /MJ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69"/>
    <x v="67"/>
    <x v="0"/>
    <s v="1000/mj +2000 2019"/>
    <n v="8000"/>
    <x v="3"/>
    <m/>
    <n v="1000"/>
    <m/>
    <m/>
    <m/>
    <m/>
    <m/>
    <m/>
    <m/>
    <m/>
    <m/>
    <m/>
    <m/>
    <m/>
    <m/>
    <m/>
    <m/>
    <m/>
    <m/>
    <m/>
    <m/>
    <m/>
    <m/>
    <n v="2000"/>
    <n v="0"/>
    <n v="0"/>
    <m/>
    <m/>
    <m/>
  </r>
  <r>
    <n v="70"/>
    <x v="68"/>
    <x v="0"/>
    <s v="500/3mj+2000 za 2019"/>
    <m/>
    <x v="0"/>
    <m/>
    <m/>
    <m/>
    <n v="500"/>
    <n v="1000"/>
    <m/>
    <m/>
    <m/>
    <m/>
    <n v="500"/>
    <n v="500"/>
    <m/>
    <m/>
    <m/>
    <n v="-6125"/>
    <m/>
    <m/>
    <m/>
    <m/>
    <m/>
    <m/>
    <n v="0"/>
    <m/>
    <n v="1000"/>
    <n v="-4625"/>
    <n v="200"/>
    <m/>
    <m/>
    <m/>
  </r>
  <r>
    <n v="71"/>
    <x v="69"/>
    <x v="8"/>
    <s v="nula"/>
    <m/>
    <x v="2"/>
    <n v="500"/>
    <n v="500"/>
    <n v="500"/>
    <n v="500"/>
    <n v="1000"/>
    <n v="500"/>
    <n v="500"/>
    <n v="500"/>
    <n v="500"/>
    <n v="4000"/>
    <n v="500"/>
    <m/>
    <m/>
    <m/>
    <m/>
    <m/>
    <m/>
    <m/>
    <m/>
    <m/>
    <m/>
    <m/>
    <m/>
    <n v="6500"/>
    <n v="3500"/>
    <n v="500"/>
    <m/>
    <d v="2020-09-28T00:00:00"/>
    <n v="3500"/>
  </r>
  <r>
    <n v="72"/>
    <x v="70"/>
    <x v="4"/>
    <s v="nula"/>
    <m/>
    <x v="13"/>
    <n v="625"/>
    <n v="625"/>
    <n v="625"/>
    <n v="625"/>
    <n v="625"/>
    <n v="625"/>
    <n v="625"/>
    <n v="625"/>
    <n v="625"/>
    <n v="4125"/>
    <n v="4125"/>
    <n v="625"/>
    <n v="625"/>
    <n v="625"/>
    <n v="625"/>
    <n v="1225"/>
    <n v="1225"/>
    <n v="1225"/>
    <n v="1225"/>
    <n v="625"/>
    <n v="625"/>
    <n v="625"/>
    <n v="625"/>
    <n v="12200"/>
    <n v="12200"/>
    <n v="625"/>
    <n v="3500"/>
    <d v="2020-06-04T00:00:00"/>
    <n v="3500"/>
  </r>
  <r>
    <n v="73"/>
    <x v="71"/>
    <x v="0"/>
    <s v="500/3MJ - KP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74"/>
    <x v="72"/>
    <x v="2"/>
    <s v="750/hó"/>
    <n v="5906.25"/>
    <x v="6"/>
    <n v="750"/>
    <n v="750"/>
    <n v="750"/>
    <n v="750"/>
    <n v="750"/>
    <n v="1500"/>
    <n v="1500"/>
    <n v="750"/>
    <n v="750"/>
    <n v="750"/>
    <n v="750"/>
    <n v="750"/>
    <n v="750"/>
    <n v="750"/>
    <n v="750"/>
    <n v="750"/>
    <n v="750"/>
    <n v="975"/>
    <n v="975"/>
    <n v="1275"/>
    <n v="1200"/>
    <n v="1425"/>
    <n v="1425"/>
    <n v="11175"/>
    <n v="11100"/>
    <n v="750"/>
    <m/>
    <m/>
    <m/>
  </r>
  <r>
    <n v="75"/>
    <x v="73"/>
    <x v="8"/>
    <s v="+36 30 245 3608 vagy bandit.andras@gmail.com _x000a_1500/mj"/>
    <m/>
    <x v="15"/>
    <n v="1500"/>
    <n v="1500"/>
    <n v="1500"/>
    <n v="1500"/>
    <n v="1500"/>
    <n v="3000"/>
    <n v="3000"/>
    <n v="1500"/>
    <n v="1500"/>
    <n v="1500"/>
    <n v="1500"/>
    <n v="1500"/>
    <n v="1500"/>
    <n v="1500"/>
    <n v="1500"/>
    <n v="1500"/>
    <n v="1500"/>
    <n v="1650"/>
    <n v="1650"/>
    <n v="1650"/>
    <n v="1650"/>
    <n v="1650"/>
    <n v="1650"/>
    <n v="19950"/>
    <n v="19950"/>
    <n v="1500"/>
    <m/>
    <m/>
    <m/>
  </r>
  <r>
    <n v="76"/>
    <x v="74"/>
    <x v="0"/>
    <s v="500/mj - odustali / 200 EUR"/>
    <m/>
    <x v="2"/>
    <n v="0"/>
    <n v="1000"/>
    <n v="1000"/>
    <n v="500"/>
    <n v="1500"/>
    <m/>
    <m/>
    <m/>
    <m/>
    <m/>
    <m/>
    <m/>
    <m/>
    <m/>
    <m/>
    <n v="1"/>
    <m/>
    <n v="1"/>
    <m/>
    <n v="1"/>
    <m/>
    <n v="1"/>
    <m/>
    <n v="2004"/>
    <n v="2500"/>
    <n v="500"/>
    <m/>
    <m/>
    <m/>
  </r>
  <r>
    <n v="77"/>
    <x v="75"/>
    <x v="2"/>
    <s v="500/MJ+3*1500"/>
    <n v="1312.5"/>
    <x v="2"/>
    <n v="500"/>
    <n v="500"/>
    <n v="500"/>
    <n v="500"/>
    <n v="1000"/>
    <n v="500"/>
    <n v="500"/>
    <n v="500"/>
    <n v="500"/>
    <n v="500"/>
    <n v="500"/>
    <n v="500"/>
    <n v="500"/>
    <n v="4000"/>
    <n v="4000"/>
    <n v="500"/>
    <n v="500"/>
    <n v="550"/>
    <n v="550"/>
    <n v="550"/>
    <n v="550"/>
    <n v="550"/>
    <n v="550"/>
    <n v="9650"/>
    <n v="10150"/>
    <n v="500"/>
    <n v="3500"/>
    <d v="2020-08-20T00:00:00"/>
    <n v="3500"/>
  </r>
  <r>
    <n v="78"/>
    <x v="76"/>
    <x v="0"/>
    <s v="TREBA POTPISATI UGOVOR  1000/mj do daljnjega 650/mj"/>
    <m/>
    <x v="2"/>
    <n v="500"/>
    <n v="1000"/>
    <n v="1000"/>
    <m/>
    <m/>
    <m/>
    <m/>
    <m/>
    <m/>
    <m/>
    <m/>
    <m/>
    <m/>
    <m/>
    <m/>
    <m/>
    <m/>
    <m/>
    <m/>
    <m/>
    <m/>
    <m/>
    <m/>
    <n v="1500"/>
    <n v="1500"/>
    <m/>
    <m/>
    <m/>
    <m/>
  </r>
  <r>
    <n v="79"/>
    <x v="77"/>
    <x v="2"/>
    <s v="1500/mj"/>
    <n v="1218.75"/>
    <x v="6"/>
    <n v="750"/>
    <n v="750"/>
    <n v="750"/>
    <n v="750"/>
    <n v="1500"/>
    <n v="750"/>
    <n v="750"/>
    <n v="750"/>
    <n v="750"/>
    <n v="830"/>
    <n v="830"/>
    <n v="750"/>
    <n v="750"/>
    <n v="750"/>
    <n v="750"/>
    <n v="750"/>
    <n v="750"/>
    <n v="975"/>
    <n v="975"/>
    <n v="975"/>
    <n v="975"/>
    <n v="975"/>
    <n v="975"/>
    <n v="9755"/>
    <n v="10505"/>
    <n v="750"/>
    <m/>
    <m/>
    <m/>
  </r>
  <r>
    <n v="80"/>
    <x v="78"/>
    <x v="0"/>
    <s v="odustali treba zatvoriti poduzeće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81"/>
    <x v="79"/>
    <x v="8"/>
    <s v=" 1000/mj"/>
    <m/>
    <x v="2"/>
    <n v="500"/>
    <n v="500"/>
    <n v="500"/>
    <n v="1000"/>
    <n v="1000"/>
    <n v="600"/>
    <n v="600"/>
    <n v="0"/>
    <m/>
    <m/>
    <m/>
    <m/>
    <m/>
    <m/>
    <m/>
    <m/>
    <m/>
    <m/>
    <m/>
    <m/>
    <m/>
    <n v="1000"/>
    <n v="1000"/>
    <n v="3600"/>
    <n v="3600"/>
    <n v="500"/>
    <m/>
    <m/>
    <m/>
  </r>
  <r>
    <n v="82"/>
    <x v="80"/>
    <x v="2"/>
    <s v=" 500/2 za 1 godinu"/>
    <m/>
    <x v="16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250"/>
    <n v="500"/>
    <n v="500"/>
    <n v="500"/>
    <n v="500"/>
    <n v="500"/>
    <n v="500"/>
    <n v="3750"/>
    <n v="3750"/>
    <n v="0"/>
    <m/>
    <m/>
    <m/>
  </r>
  <r>
    <n v="83"/>
    <x v="81"/>
    <x v="3"/>
    <s v="750+PDV/MJ- gotovina"/>
    <n v="5746.05"/>
    <x v="2"/>
    <m/>
    <n v="750"/>
    <m/>
    <m/>
    <m/>
    <m/>
    <m/>
    <m/>
    <m/>
    <m/>
    <m/>
    <m/>
    <m/>
    <n v="1"/>
    <n v="1"/>
    <m/>
    <m/>
    <m/>
    <m/>
    <m/>
    <m/>
    <m/>
    <m/>
    <n v="1251"/>
    <n v="1"/>
    <m/>
    <n v="3500"/>
    <m/>
    <m/>
  </r>
  <r>
    <n v="84"/>
    <x v="82"/>
    <x v="3"/>
    <s v="dogovoriti 1000+pdv/ 500 KP"/>
    <s v="100 eur"/>
    <x v="2"/>
    <m/>
    <n v="500"/>
    <m/>
    <m/>
    <m/>
    <m/>
    <m/>
    <m/>
    <m/>
    <m/>
    <m/>
    <m/>
    <m/>
    <n v="1"/>
    <n v="1"/>
    <m/>
    <m/>
    <n v="3500"/>
    <m/>
    <m/>
    <m/>
    <m/>
    <m/>
    <n v="4501"/>
    <n v="1"/>
    <m/>
    <m/>
    <d v="2020-11-09T00:00:00"/>
    <n v="3500"/>
  </r>
  <r>
    <n v="85"/>
    <x v="83"/>
    <x v="5"/>
    <s v="300+PDV/MJ_x000a_300 eur / g. najam adrese"/>
    <m/>
    <x v="17"/>
    <n v="300"/>
    <n v="300"/>
    <n v="300"/>
    <n v="300"/>
    <n v="600"/>
    <n v="300"/>
    <n v="300"/>
    <n v="300"/>
    <n v="300"/>
    <n v="300"/>
    <n v="300"/>
    <n v="300"/>
    <n v="300"/>
    <n v="300"/>
    <n v="300"/>
    <n v="300"/>
    <n v="300"/>
    <n v="330"/>
    <n v="330"/>
    <n v="2580"/>
    <n v="2580"/>
    <n v="330"/>
    <n v="330"/>
    <n v="5940"/>
    <n v="6240"/>
    <n v="330"/>
    <m/>
    <d v="2020-12-10T00:00:00"/>
    <n v="2250"/>
  </r>
  <r>
    <n v="86"/>
    <x v="84"/>
    <x v="8"/>
    <s v="330/ 1000/3MJ"/>
    <m/>
    <x v="3"/>
    <n v="1000"/>
    <m/>
    <m/>
    <n v="330"/>
    <n v="330"/>
    <n v="660"/>
    <n v="660"/>
    <n v="330"/>
    <n v="330"/>
    <n v="330"/>
    <n v="330"/>
    <n v="330"/>
    <n v="330"/>
    <n v="1130"/>
    <n v="1130"/>
    <n v="330"/>
    <n v="330"/>
    <n v="330"/>
    <n v="330"/>
    <n v="330"/>
    <n v="330"/>
    <n v="330"/>
    <n v="330"/>
    <n v="5430"/>
    <n v="5430"/>
    <n v="330"/>
    <m/>
    <m/>
    <m/>
  </r>
  <r>
    <n v="87"/>
    <x v="85"/>
    <x v="8"/>
    <s v="treba ugovor"/>
    <m/>
    <x v="8"/>
    <n v="1"/>
    <n v="1"/>
    <m/>
    <n v="1"/>
    <m/>
    <n v="8000"/>
    <n v="8000"/>
    <n v="6000"/>
    <n v="6000"/>
    <n v="8000"/>
    <n v="8000"/>
    <n v="8000"/>
    <n v="8000"/>
    <n v="8000"/>
    <n v="11500"/>
    <n v="8000"/>
    <n v="15300"/>
    <n v="8000"/>
    <n v="11800"/>
    <n v="8000"/>
    <n v="11500"/>
    <n v="12500"/>
    <n v="11500"/>
    <n v="74503"/>
    <n v="91601"/>
    <n v="5000"/>
    <n v="1750"/>
    <d v="2020-12-09T00:00:00"/>
    <n v="3500"/>
  </r>
  <r>
    <n v="88"/>
    <x v="86"/>
    <x v="3"/>
    <s v="500/3ho"/>
    <m/>
    <x v="0"/>
    <m/>
    <m/>
    <n v="4000"/>
    <m/>
    <m/>
    <m/>
    <m/>
    <m/>
    <m/>
    <m/>
    <m/>
    <m/>
    <m/>
    <n v="1"/>
    <n v="1"/>
    <m/>
    <m/>
    <m/>
    <m/>
    <m/>
    <m/>
    <m/>
    <m/>
    <n v="1"/>
    <n v="4001"/>
    <n v="500"/>
    <m/>
    <d v="2021-03-13T00:00:00"/>
    <n v="3500"/>
  </r>
  <r>
    <n v="89"/>
    <x v="87"/>
    <x v="3"/>
    <s v="ugovor 750 kn/ 100 eur"/>
    <n v="750"/>
    <x v="0"/>
    <m/>
    <m/>
    <m/>
    <m/>
    <m/>
    <m/>
    <m/>
    <m/>
    <m/>
    <m/>
    <m/>
    <m/>
    <m/>
    <n v="1"/>
    <n v="1"/>
    <m/>
    <m/>
    <m/>
    <m/>
    <m/>
    <m/>
    <m/>
    <m/>
    <n v="1"/>
    <n v="1"/>
    <m/>
    <m/>
    <m/>
    <m/>
  </r>
  <r>
    <n v="90"/>
    <x v="88"/>
    <x v="8"/>
    <s v="1000/3ho"/>
    <m/>
    <x v="0"/>
    <m/>
    <m/>
    <m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"/>
    <n v="3300"/>
    <n v="3300"/>
    <n v="330"/>
    <m/>
    <m/>
    <m/>
  </r>
  <r>
    <n v="91"/>
    <x v="89"/>
    <x v="8"/>
    <s v="u dogovoru sa hr bbg w"/>
    <m/>
    <x v="0"/>
    <m/>
    <m/>
    <m/>
    <n v="1"/>
    <n v="1"/>
    <n v="1"/>
    <m/>
    <n v="500"/>
    <n v="500.01"/>
    <n v="500"/>
    <n v="500"/>
    <n v="570"/>
    <n v="570"/>
    <n v="500"/>
    <n v="649.6"/>
    <n v="500"/>
    <n v="500"/>
    <n v="500"/>
    <n v="500"/>
    <n v="500"/>
    <n v="500.03"/>
    <n v="500"/>
    <n v="500.04"/>
    <n v="4072"/>
    <n v="4220.68"/>
    <n v="1"/>
    <m/>
    <m/>
    <m/>
  </r>
  <r>
    <n v="92"/>
    <x v="90"/>
    <x v="4"/>
    <s v="500/ho, greci martin"/>
    <n v="705"/>
    <x v="0"/>
    <m/>
    <m/>
    <m/>
    <n v="500"/>
    <n v="500"/>
    <n v="500"/>
    <n v="500"/>
    <n v="530"/>
    <n v="530"/>
    <n v="500"/>
    <n v="500"/>
    <n v="500"/>
    <m/>
    <n v="500"/>
    <n v="1000"/>
    <n v="500"/>
    <n v="500"/>
    <n v="500"/>
    <n v="500"/>
    <n v="500"/>
    <n v="500"/>
    <n v="500"/>
    <n v="500"/>
    <n v="5030"/>
    <n v="5030"/>
    <n v="500"/>
    <m/>
    <m/>
    <m/>
  </r>
  <r>
    <n v="93"/>
    <x v="91"/>
    <x v="0"/>
    <s v="Zoltan Nyiro - treba predati p-pdv"/>
    <n v="375"/>
    <x v="0"/>
    <m/>
    <m/>
    <m/>
    <m/>
    <m/>
    <n v="500"/>
    <m/>
    <n v="500"/>
    <n v="500"/>
    <n v="500"/>
    <n v="500"/>
    <n v="500"/>
    <n v="300"/>
    <m/>
    <n v="300"/>
    <m/>
    <m/>
    <m/>
    <m/>
    <m/>
    <m/>
    <m/>
    <m/>
    <n v="2000"/>
    <n v="1600"/>
    <n v="200"/>
    <m/>
    <m/>
    <m/>
  </r>
  <r>
    <n v="94"/>
    <x v="92"/>
    <x v="0"/>
    <s v="ÖSTER TAMÁS ISTO KAO I PRIMUS KFT "/>
    <m/>
    <x v="0"/>
    <m/>
    <m/>
    <m/>
    <m/>
    <m/>
    <n v="500"/>
    <n v="500"/>
    <n v="500"/>
    <n v="500"/>
    <n v="500"/>
    <n v="500"/>
    <n v="500"/>
    <n v="300"/>
    <n v="300"/>
    <n v="300"/>
    <n v="300"/>
    <n v="300"/>
    <m/>
    <m/>
    <m/>
    <m/>
    <m/>
    <m/>
    <n v="2600"/>
    <n v="2400"/>
    <n v="200"/>
    <m/>
    <m/>
    <m/>
  </r>
  <r>
    <n v="95"/>
    <x v="93"/>
    <x v="8"/>
    <s v="500/ho - još dogovoriti"/>
    <m/>
    <x v="0"/>
    <m/>
    <m/>
    <m/>
    <m/>
    <m/>
    <m/>
    <m/>
    <n v="500"/>
    <m/>
    <m/>
    <m/>
    <m/>
    <m/>
    <m/>
    <m/>
    <m/>
    <m/>
    <m/>
    <m/>
    <m/>
    <m/>
    <m/>
    <m/>
    <n v="500"/>
    <n v="0"/>
    <n v="500"/>
    <m/>
    <m/>
    <m/>
  </r>
  <r>
    <n v="96"/>
    <x v="94"/>
    <x v="2"/>
    <s v="500/ kn"/>
    <m/>
    <x v="0"/>
    <m/>
    <m/>
    <m/>
    <m/>
    <m/>
    <n v="500"/>
    <n v="500"/>
    <n v="500"/>
    <n v="500"/>
    <n v="500"/>
    <n v="500"/>
    <n v="500"/>
    <n v="500"/>
    <n v="500"/>
    <n v="500"/>
    <n v="500"/>
    <n v="500"/>
    <n v="1100"/>
    <n v="1100"/>
    <n v="1100"/>
    <n v="1100"/>
    <n v="1100"/>
    <n v="1100"/>
    <n v="6300"/>
    <n v="6300"/>
    <n v="700"/>
    <n v="3500"/>
    <d v="2021-03-09T00:00:00"/>
    <n v="3500"/>
  </r>
  <r>
    <n v="97"/>
    <x v="95"/>
    <x v="2"/>
    <s v="500+pdv _x000a_"/>
    <m/>
    <x v="0"/>
    <m/>
    <m/>
    <m/>
    <m/>
    <m/>
    <m/>
    <m/>
    <m/>
    <m/>
    <m/>
    <m/>
    <m/>
    <m/>
    <n v="500"/>
    <n v="500"/>
    <n v="500"/>
    <n v="500"/>
    <n v="500"/>
    <n v="500"/>
    <n v="500"/>
    <n v="500"/>
    <n v="500"/>
    <n v="500"/>
    <n v="2500"/>
    <n v="2500"/>
    <n v="500"/>
    <n v="3500"/>
    <d v="2021-07-07T00:00:00"/>
    <n v="3500"/>
  </r>
  <r>
    <n v="98"/>
    <x v="96"/>
    <x v="0"/>
    <s v="?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99"/>
    <x v="97"/>
    <x v="2"/>
    <s v="500/mjTibor Csekő  cseko tibor / stari geza trade"/>
    <m/>
    <x v="0"/>
    <m/>
    <m/>
    <m/>
    <m/>
    <m/>
    <m/>
    <m/>
    <m/>
    <m/>
    <m/>
    <m/>
    <m/>
    <m/>
    <m/>
    <n v="560"/>
    <m/>
    <n v="200"/>
    <m/>
    <m/>
    <n v="200"/>
    <n v="200"/>
    <n v="200"/>
    <n v="200"/>
    <n v="400"/>
    <n v="1160"/>
    <n v="200"/>
    <m/>
    <m/>
    <m/>
  </r>
  <r>
    <n v="100"/>
    <x v="98"/>
    <x v="6"/>
    <s v="branimir éulo Zavrőni 1000 kn"/>
    <m/>
    <x v="0"/>
    <m/>
    <m/>
    <m/>
    <m/>
    <m/>
    <m/>
    <m/>
    <m/>
    <m/>
    <m/>
    <m/>
    <m/>
    <m/>
    <n v="1"/>
    <n v="1"/>
    <m/>
    <m/>
    <m/>
    <m/>
    <m/>
    <m/>
    <m/>
    <m/>
    <n v="1"/>
    <n v="1"/>
    <m/>
    <m/>
    <m/>
    <m/>
  </r>
  <r>
    <n v="101"/>
    <x v="99"/>
    <x v="4"/>
    <s v="Sahin Zsolt 500/hó"/>
    <n v="3750"/>
    <x v="0"/>
    <m/>
    <m/>
    <m/>
    <m/>
    <m/>
    <m/>
    <m/>
    <n v="500"/>
    <n v="500"/>
    <n v="500"/>
    <n v="500"/>
    <n v="500"/>
    <m/>
    <n v="500"/>
    <n v="1000"/>
    <n v="500"/>
    <n v="500"/>
    <n v="500"/>
    <n v="500"/>
    <n v="500"/>
    <n v="500"/>
    <n v="500"/>
    <n v="500"/>
    <n v="4000"/>
    <n v="4000"/>
    <n v="200"/>
    <m/>
    <m/>
    <m/>
  </r>
  <r>
    <n v="102"/>
    <x v="100"/>
    <x v="0"/>
    <s v="Jágerski Vilmos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03"/>
    <x v="101"/>
    <x v="4"/>
    <s v="Robert Verebi"/>
    <m/>
    <x v="0"/>
    <m/>
    <m/>
    <m/>
    <m/>
    <m/>
    <m/>
    <m/>
    <n v="850"/>
    <n v="850"/>
    <n v="850"/>
    <n v="850"/>
    <n v="850"/>
    <n v="850"/>
    <n v="850"/>
    <n v="850"/>
    <n v="850"/>
    <n v="850"/>
    <n v="850"/>
    <n v="850"/>
    <n v="1180"/>
    <n v="1180"/>
    <n v="1230"/>
    <n v="1230"/>
    <n v="7510"/>
    <n v="7510"/>
    <n v="500"/>
    <n v="660"/>
    <d v="2021-11-15T00:00:00"/>
    <n v="660"/>
  </r>
  <r>
    <n v="104"/>
    <x v="102"/>
    <x v="4"/>
    <s v="Robert Verebi"/>
    <m/>
    <x v="0"/>
    <m/>
    <m/>
    <m/>
    <m/>
    <m/>
    <m/>
    <m/>
    <n v="850"/>
    <n v="850"/>
    <n v="850"/>
    <n v="850"/>
    <n v="850"/>
    <n v="850"/>
    <n v="850"/>
    <n v="850"/>
    <n v="850"/>
    <n v="850"/>
    <n v="925"/>
    <n v="925"/>
    <n v="1180"/>
    <n v="1180"/>
    <n v="1230"/>
    <n v="1230"/>
    <n v="7585"/>
    <n v="7585"/>
    <n v="500"/>
    <n v="660"/>
    <d v="2021-11-15T00:00:00"/>
    <n v="660"/>
  </r>
  <r>
    <n v="105"/>
    <x v="103"/>
    <x v="2"/>
    <s v="Paragi István "/>
    <m/>
    <x v="0"/>
    <m/>
    <m/>
    <m/>
    <m/>
    <m/>
    <m/>
    <m/>
    <m/>
    <m/>
    <n v="200"/>
    <n v="200"/>
    <n v="200"/>
    <n v="200"/>
    <n v="200"/>
    <n v="200"/>
    <n v="200"/>
    <n v="200"/>
    <n v="200"/>
    <n v="200"/>
    <n v="200"/>
    <n v="200"/>
    <n v="200"/>
    <n v="200"/>
    <n v="1400"/>
    <n v="1400"/>
    <m/>
    <m/>
    <m/>
    <m/>
  </r>
  <r>
    <n v="106"/>
    <x v="104"/>
    <x v="5"/>
    <s v="magyar vizepito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07"/>
    <x v="105"/>
    <x v="8"/>
    <s v="manevi kft"/>
    <n v="17500"/>
    <x v="0"/>
    <m/>
    <m/>
    <m/>
    <m/>
    <m/>
    <m/>
    <m/>
    <m/>
    <m/>
    <n v="3570"/>
    <m/>
    <n v="3500"/>
    <n v="3500"/>
    <n v="3500"/>
    <n v="3500"/>
    <n v="3500"/>
    <n v="3500"/>
    <n v="3500"/>
    <n v="3500"/>
    <n v="3500"/>
    <n v="3570"/>
    <n v="3570"/>
    <n v="3570"/>
    <n v="24640"/>
    <n v="21140"/>
    <m/>
    <m/>
    <m/>
    <m/>
  </r>
  <r>
    <n v="108"/>
    <x v="106"/>
    <x v="5"/>
    <s v="500/mj"/>
    <m/>
    <x v="0"/>
    <m/>
    <m/>
    <m/>
    <m/>
    <m/>
    <m/>
    <m/>
    <m/>
    <m/>
    <m/>
    <m/>
    <n v="500"/>
    <n v="500"/>
    <n v="500"/>
    <n v="500"/>
    <n v="500"/>
    <n v="500"/>
    <n v="500"/>
    <n v="500"/>
    <n v="500"/>
    <n v="500"/>
    <n v="500"/>
    <n v="500"/>
    <n v="3000"/>
    <n v="3000"/>
    <n v="500"/>
    <m/>
    <m/>
    <m/>
  </r>
  <r>
    <n v="109"/>
    <x v="107"/>
    <x v="0"/>
    <s v="magyar vizepito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10"/>
    <x v="108"/>
    <x v="4"/>
    <s v="800/hó"/>
    <n v="1000"/>
    <x v="0"/>
    <m/>
    <m/>
    <m/>
    <m/>
    <m/>
    <m/>
    <m/>
    <m/>
    <m/>
    <n v="800"/>
    <n v="800"/>
    <n v="800"/>
    <n v="800"/>
    <n v="800"/>
    <n v="800"/>
    <n v="800"/>
    <n v="800"/>
    <n v="800"/>
    <n v="800"/>
    <m/>
    <m/>
    <m/>
    <m/>
    <n v="4000"/>
    <n v="4000"/>
    <m/>
    <m/>
    <m/>
    <m/>
  </r>
  <r>
    <n v="111"/>
    <x v="109"/>
    <x v="0"/>
    <s v="500 usluga +750 knjigovodstvo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12"/>
    <x v="110"/>
    <x v="0"/>
    <s v="4500+pdv"/>
    <n v="9625"/>
    <x v="0"/>
    <m/>
    <m/>
    <m/>
    <m/>
    <m/>
    <m/>
    <m/>
    <m/>
    <m/>
    <n v="2400"/>
    <n v="2400"/>
    <n v="4500"/>
    <n v="9300"/>
    <n v="4500"/>
    <n v="7700"/>
    <n v="4500"/>
    <n v="4500"/>
    <n v="4500"/>
    <n v="5300"/>
    <m/>
    <m/>
    <m/>
    <m/>
    <n v="20400"/>
    <n v="29200"/>
    <m/>
    <m/>
    <m/>
    <m/>
  </r>
  <r>
    <n v="113"/>
    <x v="111"/>
    <x v="2"/>
    <s v="375+pdv  "/>
    <m/>
    <x v="0"/>
    <m/>
    <m/>
    <m/>
    <m/>
    <m/>
    <m/>
    <m/>
    <m/>
    <m/>
    <m/>
    <m/>
    <m/>
    <m/>
    <m/>
    <m/>
    <m/>
    <m/>
    <m/>
    <m/>
    <n v="375"/>
    <n v="749.96"/>
    <n v="1800"/>
    <n v="1800"/>
    <n v="2175"/>
    <n v="2549.96"/>
    <n v="375"/>
    <m/>
    <m/>
    <m/>
  </r>
  <r>
    <n v="114"/>
    <x v="112"/>
    <x v="3"/>
    <s v="plaćeno SVE do 09.2022 200*12+3500 - "/>
    <m/>
    <x v="0"/>
    <m/>
    <m/>
    <m/>
    <m/>
    <m/>
    <m/>
    <m/>
    <m/>
    <m/>
    <m/>
    <m/>
    <m/>
    <m/>
    <n v="1"/>
    <n v="1"/>
    <n v="0"/>
    <m/>
    <m/>
    <m/>
    <m/>
    <m/>
    <m/>
    <m/>
    <n v="1"/>
    <n v="1"/>
    <m/>
    <n v="3500"/>
    <d v="2021-09-01T00:00:00"/>
    <n v="3500"/>
  </r>
  <r>
    <n v="115"/>
    <x v="113"/>
    <x v="3"/>
    <s v="catt-os,"/>
    <m/>
    <x v="0"/>
    <m/>
    <m/>
    <m/>
    <m/>
    <m/>
    <m/>
    <m/>
    <m/>
    <m/>
    <m/>
    <m/>
    <m/>
    <m/>
    <n v="0"/>
    <m/>
    <n v="0"/>
    <m/>
    <n v="0"/>
    <m/>
    <n v="0"/>
    <m/>
    <n v="0"/>
    <m/>
    <n v="0"/>
    <n v="0"/>
    <m/>
    <m/>
    <m/>
    <m/>
  </r>
  <r>
    <n v="116"/>
    <x v="114"/>
    <x v="5"/>
    <s v="edita čekamo"/>
    <m/>
    <x v="0"/>
    <m/>
    <m/>
    <m/>
    <m/>
    <m/>
    <m/>
    <m/>
    <m/>
    <m/>
    <m/>
    <m/>
    <m/>
    <m/>
    <m/>
    <m/>
    <m/>
    <m/>
    <m/>
    <m/>
    <n v="4250"/>
    <n v="4250"/>
    <n v="750"/>
    <n v="750"/>
    <n v="5000"/>
    <n v="5000"/>
    <n v="750"/>
    <n v="3500"/>
    <d v="2021-07-14T00:00:00"/>
    <n v="3500"/>
  </r>
  <r>
    <n v="117"/>
    <x v="115"/>
    <x v="0"/>
    <s v="500/mj- poslano nije potpisano"/>
    <m/>
    <x v="0"/>
    <m/>
    <m/>
    <m/>
    <m/>
    <m/>
    <m/>
    <m/>
    <m/>
    <m/>
    <m/>
    <m/>
    <m/>
    <m/>
    <m/>
    <m/>
    <n v="0"/>
    <m/>
    <m/>
    <m/>
    <m/>
    <m/>
    <m/>
    <m/>
    <n v="0"/>
    <n v="0"/>
    <m/>
    <m/>
    <m/>
    <m/>
  </r>
  <r>
    <n v="118"/>
    <x v="116"/>
    <x v="2"/>
    <s v="500+pdv / mj."/>
    <m/>
    <x v="0"/>
    <m/>
    <m/>
    <m/>
    <m/>
    <m/>
    <m/>
    <m/>
    <m/>
    <m/>
    <m/>
    <m/>
    <m/>
    <m/>
    <m/>
    <m/>
    <n v="500"/>
    <n v="500"/>
    <n v="500"/>
    <n v="500"/>
    <n v="500"/>
    <n v="500"/>
    <n v="500"/>
    <n v="500"/>
    <n v="2000"/>
    <n v="2000"/>
    <n v="500"/>
    <m/>
    <m/>
    <m/>
  </r>
  <r>
    <n v="119"/>
    <x v="117"/>
    <x v="4"/>
    <s v="500+pdv"/>
    <m/>
    <x v="0"/>
    <m/>
    <m/>
    <m/>
    <m/>
    <m/>
    <m/>
    <m/>
    <m/>
    <m/>
    <m/>
    <m/>
    <m/>
    <m/>
    <m/>
    <m/>
    <n v="500"/>
    <n v="500"/>
    <n v="500"/>
    <n v="500"/>
    <n v="500"/>
    <n v="500"/>
    <n v="500"/>
    <n v="500"/>
    <n v="2000"/>
    <n v="2000"/>
    <m/>
    <m/>
    <m/>
    <m/>
  </r>
  <r>
    <n v="120"/>
    <x v="118"/>
    <x v="3"/>
    <s v="ISTVAN BONI 375+pdv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21"/>
    <x v="119"/>
    <x v="3"/>
    <s v="za prodaju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22"/>
    <x v="120"/>
    <x v="3"/>
    <s v="za prodaju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23"/>
    <x v="121"/>
    <x v="6"/>
    <s v="687,5 +PDV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24"/>
    <x v="122"/>
    <x v="4"/>
    <s v="500+pdv"/>
    <m/>
    <x v="0"/>
    <m/>
    <m/>
    <m/>
    <m/>
    <m/>
    <m/>
    <m/>
    <m/>
    <m/>
    <m/>
    <m/>
    <m/>
    <m/>
    <m/>
    <m/>
    <m/>
    <m/>
    <n v="500"/>
    <n v="500"/>
    <n v="500"/>
    <n v="500"/>
    <n v="500"/>
    <n v="500"/>
    <n v="1500"/>
    <n v="1500"/>
    <m/>
    <m/>
    <m/>
    <m/>
  </r>
  <r>
    <n v="125"/>
    <x v="123"/>
    <x v="5"/>
    <s v="750+PDV/"/>
    <m/>
    <x v="0"/>
    <m/>
    <m/>
    <m/>
    <m/>
    <m/>
    <m/>
    <m/>
    <m/>
    <m/>
    <m/>
    <m/>
    <m/>
    <m/>
    <m/>
    <m/>
    <m/>
    <m/>
    <m/>
    <m/>
    <n v="750"/>
    <n v="751.88"/>
    <n v="750"/>
    <n v="750"/>
    <n v="1500"/>
    <n v="1501.88"/>
    <m/>
    <m/>
    <m/>
    <m/>
  </r>
  <r>
    <n v="126"/>
    <x v="124"/>
    <x v="5"/>
    <s v="750 + pdv"/>
    <m/>
    <x v="0"/>
    <m/>
    <m/>
    <m/>
    <m/>
    <m/>
    <m/>
    <m/>
    <m/>
    <m/>
    <m/>
    <m/>
    <m/>
    <m/>
    <m/>
    <m/>
    <m/>
    <m/>
    <m/>
    <m/>
    <n v="750"/>
    <n v="1500"/>
    <n v="750"/>
    <n v="750"/>
    <n v="1500"/>
    <n v="2250"/>
    <n v="500"/>
    <n v="3500"/>
    <d v="2021-11-01T00:00:00"/>
    <n v="3500"/>
  </r>
  <r>
    <n v="127"/>
    <x v="125"/>
    <x v="0"/>
    <n v="0"/>
    <m/>
    <x v="0"/>
    <m/>
    <m/>
    <m/>
    <m/>
    <m/>
    <m/>
    <m/>
    <m/>
    <m/>
    <m/>
    <m/>
    <m/>
    <m/>
    <m/>
    <m/>
    <m/>
    <m/>
    <m/>
    <m/>
    <m/>
    <m/>
    <m/>
    <m/>
    <n v="0"/>
    <n v="0"/>
    <m/>
    <m/>
    <m/>
    <m/>
  </r>
  <r>
    <n v="128"/>
    <x v="126"/>
    <x v="5"/>
    <s v="750+PDV"/>
    <m/>
    <x v="0"/>
    <m/>
    <m/>
    <m/>
    <m/>
    <m/>
    <m/>
    <m/>
    <m/>
    <m/>
    <m/>
    <m/>
    <m/>
    <m/>
    <m/>
    <m/>
    <m/>
    <m/>
    <m/>
    <m/>
    <n v="750"/>
    <n v="751.88"/>
    <n v="750"/>
    <n v="750"/>
    <n v="1500"/>
    <n v="1501.88"/>
    <m/>
    <m/>
    <m/>
    <m/>
  </r>
  <r>
    <n v="129"/>
    <x v="127"/>
    <x v="2"/>
    <s v="750+pdv+ székhely 42/ hó"/>
    <m/>
    <x v="0"/>
    <m/>
    <m/>
    <m/>
    <m/>
    <m/>
    <m/>
    <m/>
    <m/>
    <m/>
    <m/>
    <m/>
    <m/>
    <m/>
    <m/>
    <m/>
    <m/>
    <m/>
    <m/>
    <m/>
    <m/>
    <m/>
    <n v="0"/>
    <m/>
    <n v="0"/>
    <n v="0"/>
    <m/>
    <m/>
    <d v="2021-12-01T00:00:00"/>
    <n v="3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">
  <r>
    <n v="10825"/>
    <x v="0"/>
  </r>
  <r>
    <n v="6350"/>
    <x v="1"/>
  </r>
  <r>
    <n v="1000"/>
    <x v="1"/>
  </r>
  <r>
    <n v="750"/>
    <x v="2"/>
  </r>
  <r>
    <n v="1300"/>
    <x v="2"/>
  </r>
  <r>
    <n v="1250"/>
    <x v="3"/>
  </r>
  <r>
    <n v="16504"/>
    <x v="4"/>
  </r>
  <r>
    <n v="3031"/>
    <x v="5"/>
  </r>
  <r>
    <n v="500"/>
    <x v="5"/>
  </r>
  <r>
    <m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50">
  <r>
    <x v="0"/>
    <n v="60"/>
    <n v="60"/>
    <x v="0"/>
  </r>
  <r>
    <x v="0"/>
    <n v="35"/>
    <n v="35"/>
    <x v="0"/>
  </r>
  <r>
    <x v="0"/>
    <n v="132.56"/>
    <n v="0"/>
    <x v="0"/>
  </r>
  <r>
    <x v="1"/>
    <n v="550"/>
    <n v="640.26"/>
    <x v="0"/>
  </r>
  <r>
    <x v="0"/>
    <n v="200"/>
    <n v="200"/>
    <x v="0"/>
  </r>
  <r>
    <x v="2"/>
    <n v="120"/>
    <n v="120"/>
    <x v="0"/>
  </r>
  <r>
    <x v="1"/>
    <n v="150"/>
    <n v="150"/>
    <x v="0"/>
  </r>
  <r>
    <x v="3"/>
    <n v="70"/>
    <n v="70"/>
    <x v="0"/>
  </r>
  <r>
    <x v="0"/>
    <n v="650"/>
    <n v="650"/>
    <x v="0"/>
  </r>
  <r>
    <x v="1"/>
    <n v="310"/>
    <n v="310"/>
    <x v="0"/>
  </r>
  <r>
    <x v="4"/>
    <n v="75"/>
    <n v="75"/>
    <x v="0"/>
  </r>
  <r>
    <x v="4"/>
    <n v="30"/>
    <n v="30"/>
    <x v="0"/>
  </r>
  <r>
    <x v="1"/>
    <n v="500"/>
    <n v="500"/>
    <x v="0"/>
  </r>
  <r>
    <x v="0"/>
    <n v="87.49"/>
    <n v="87.49"/>
    <x v="0"/>
  </r>
  <r>
    <x v="4"/>
    <n v="75"/>
    <n v="75"/>
    <x v="0"/>
  </r>
  <r>
    <x v="1"/>
    <n v="410"/>
    <n v="410"/>
    <x v="0"/>
  </r>
  <r>
    <x v="1"/>
    <n v="175"/>
    <n v="175"/>
    <x v="0"/>
  </r>
  <r>
    <x v="0"/>
    <n v="60"/>
    <n v="60"/>
    <x v="0"/>
  </r>
  <r>
    <x v="0"/>
    <n v="620"/>
    <n v="620"/>
    <x v="0"/>
  </r>
  <r>
    <x v="0"/>
    <n v="0"/>
    <n v="70"/>
    <x v="0"/>
  </r>
  <r>
    <x v="0"/>
    <n v="155"/>
    <n v="155"/>
    <x v="0"/>
  </r>
  <r>
    <x v="0"/>
    <n v="75"/>
    <n v="75"/>
    <x v="0"/>
  </r>
  <r>
    <x v="0"/>
    <n v="87.5"/>
    <n v="87.5"/>
    <x v="0"/>
  </r>
  <r>
    <x v="2"/>
    <n v="50"/>
    <n v="50"/>
    <x v="0"/>
  </r>
  <r>
    <x v="2"/>
    <n v="45"/>
    <n v="45"/>
    <x v="0"/>
  </r>
  <r>
    <x v="5"/>
    <n v="1660"/>
    <n v="2031"/>
    <x v="0"/>
  </r>
  <r>
    <x v="0"/>
    <n v="100"/>
    <n v="100"/>
    <x v="0"/>
  </r>
  <r>
    <x v="2"/>
    <n v="45"/>
    <n v="45"/>
    <x v="0"/>
  </r>
  <r>
    <x v="4"/>
    <n v="140"/>
    <n v="140"/>
    <x v="0"/>
  </r>
  <r>
    <x v="4"/>
    <n v="75"/>
    <n v="150"/>
    <x v="0"/>
  </r>
  <r>
    <x v="0"/>
    <n v="80"/>
    <n v="100"/>
    <x v="0"/>
  </r>
  <r>
    <x v="0"/>
    <n v="30"/>
    <n v="30"/>
    <x v="0"/>
  </r>
  <r>
    <x v="2"/>
    <n v="175"/>
    <n v="175"/>
    <x v="0"/>
  </r>
  <r>
    <x v="2"/>
    <n v="175"/>
    <n v="175"/>
    <x v="0"/>
  </r>
  <r>
    <x v="0"/>
    <n v="30"/>
    <n v="30"/>
    <x v="0"/>
  </r>
  <r>
    <x v="5"/>
    <n v="545"/>
    <n v="1033.68"/>
    <x v="0"/>
  </r>
  <r>
    <x v="4"/>
    <n v="75"/>
    <n v="75"/>
    <x v="0"/>
  </r>
  <r>
    <x v="0"/>
    <n v="200"/>
    <n v="200"/>
    <x v="0"/>
  </r>
  <r>
    <x v="2"/>
    <n v="110"/>
    <n v="110"/>
    <x v="0"/>
  </r>
  <r>
    <x v="0"/>
    <n v="110"/>
    <n v="110"/>
    <x v="0"/>
  </r>
  <r>
    <x v="1"/>
    <n v="75"/>
    <n v="75"/>
    <x v="0"/>
  </r>
  <r>
    <x v="0"/>
    <n v="50"/>
    <n v="50"/>
    <x v="0"/>
  </r>
  <r>
    <x v="2"/>
    <n v="150"/>
    <n v="150"/>
    <x v="0"/>
  </r>
  <r>
    <x v="2"/>
    <n v="610"/>
    <n v="610"/>
    <x v="0"/>
  </r>
  <r>
    <x v="1"/>
    <n v="75"/>
    <n v="75"/>
    <x v="0"/>
  </r>
  <r>
    <x v="4"/>
    <n v="110"/>
    <n v="110"/>
    <x v="0"/>
  </r>
  <r>
    <x v="2"/>
    <n v="110"/>
    <n v="110"/>
    <x v="0"/>
  </r>
  <r>
    <x v="4"/>
    <n v="190"/>
    <n v="190"/>
    <x v="0"/>
  </r>
  <r>
    <x v="0"/>
    <n v="110"/>
    <n v="60"/>
    <x v="0"/>
  </r>
  <r>
    <x v="0"/>
    <n v="30"/>
    <n v="30"/>
    <x v="0"/>
  </r>
  <r>
    <x v="0"/>
    <n v="140"/>
    <n v="140"/>
    <x v="0"/>
  </r>
  <r>
    <x v="0"/>
    <n v="60"/>
    <n v="66"/>
    <x v="0"/>
  </r>
  <r>
    <x v="0"/>
    <n v="150"/>
    <n v="150"/>
    <x v="0"/>
  </r>
  <r>
    <x v="2"/>
    <n v="150"/>
    <n v="150"/>
    <x v="0"/>
  </r>
  <r>
    <x v="2"/>
    <n v="55"/>
    <n v="55"/>
    <x v="0"/>
  </r>
  <r>
    <x v="2"/>
    <n v="85"/>
    <n v="80.75"/>
    <x v="0"/>
  </r>
  <r>
    <x v="2"/>
    <n v="33"/>
    <n v="33"/>
    <x v="0"/>
  </r>
  <r>
    <x v="2"/>
    <n v="33"/>
    <n v="33"/>
    <x v="0"/>
  </r>
  <r>
    <x v="0"/>
    <n v="132.56"/>
    <n v="100"/>
    <x v="0"/>
  </r>
  <r>
    <x v="1"/>
    <n v="66"/>
    <n v="66"/>
    <x v="0"/>
  </r>
  <r>
    <x v="2"/>
    <n v="55"/>
    <n v="55"/>
    <x v="0"/>
  </r>
  <r>
    <x v="1"/>
    <n v="60"/>
    <n v="60"/>
    <x v="0"/>
  </r>
  <r>
    <x v="4"/>
    <n v="30"/>
    <n v="30"/>
    <x v="0"/>
  </r>
  <r>
    <x v="0"/>
    <n v="88"/>
    <n v="528"/>
    <x v="0"/>
  </r>
  <r>
    <x v="0"/>
    <n v="60"/>
    <n v="60"/>
    <x v="0"/>
  </r>
  <r>
    <x v="0"/>
    <n v="60"/>
    <n v="60"/>
    <x v="0"/>
  </r>
  <r>
    <x v="0"/>
    <n v="100"/>
    <n v="100"/>
    <x v="0"/>
  </r>
  <r>
    <x v="2"/>
    <n v="110"/>
    <n v="110"/>
    <x v="0"/>
  </r>
  <r>
    <x v="1"/>
    <n v="375"/>
    <n v="375"/>
    <x v="0"/>
  </r>
  <r>
    <x v="2"/>
    <n v="160"/>
    <n v="160"/>
    <x v="0"/>
  </r>
  <r>
    <x v="2"/>
    <n v="30"/>
    <n v="30"/>
    <x v="0"/>
  </r>
  <r>
    <x v="4"/>
    <n v="30"/>
    <n v="30"/>
    <x v="0"/>
  </r>
  <r>
    <x v="5"/>
    <n v="30"/>
    <n v="30"/>
    <x v="0"/>
  </r>
  <r>
    <x v="4"/>
    <n v="50"/>
    <n v="50"/>
    <x v="0"/>
  </r>
  <r>
    <x v="5"/>
    <n v="50"/>
    <n v="50"/>
    <x v="0"/>
  </r>
  <r>
    <x v="5"/>
    <n v="280"/>
    <n v="280"/>
    <x v="0"/>
  </r>
  <r>
    <x v="5"/>
    <n v="100"/>
    <n v="100"/>
    <x v="0"/>
  </r>
  <r>
    <x v="2"/>
    <n v="600"/>
    <n v="200"/>
    <x v="0"/>
  </r>
  <r>
    <x v="5"/>
    <n v="50"/>
    <n v="38.700000000000003"/>
    <x v="0"/>
  </r>
  <r>
    <x v="5"/>
    <n v="50"/>
    <n v="38.700000000000003"/>
    <x v="0"/>
  </r>
  <r>
    <x v="0"/>
    <n v="60"/>
    <n v="60"/>
    <x v="1"/>
  </r>
  <r>
    <x v="0"/>
    <n v="35"/>
    <n v="35"/>
    <x v="1"/>
  </r>
  <r>
    <x v="1"/>
    <n v="175"/>
    <n v="175"/>
    <x v="1"/>
  </r>
  <r>
    <x v="0"/>
    <n v="200"/>
    <n v="200"/>
    <x v="1"/>
  </r>
  <r>
    <x v="2"/>
    <n v="120"/>
    <n v="120"/>
    <x v="1"/>
  </r>
  <r>
    <x v="1"/>
    <n v="150"/>
    <n v="150"/>
    <x v="1"/>
  </r>
  <r>
    <x v="3"/>
    <n v="70"/>
    <n v="70"/>
    <x v="1"/>
  </r>
  <r>
    <x v="0"/>
    <n v="162"/>
    <n v="155"/>
    <x v="1"/>
  </r>
  <r>
    <x v="1"/>
    <n v="310"/>
    <n v="310"/>
    <x v="1"/>
  </r>
  <r>
    <x v="4"/>
    <n v="75"/>
    <n v="75"/>
    <x v="1"/>
  </r>
  <r>
    <x v="4"/>
    <n v="30"/>
    <n v="30"/>
    <x v="1"/>
  </r>
  <r>
    <x v="1"/>
    <n v="500"/>
    <n v="500"/>
    <x v="1"/>
  </r>
  <r>
    <x v="0"/>
    <n v="87.49"/>
    <n v="87.49"/>
    <x v="1"/>
  </r>
  <r>
    <x v="4"/>
    <n v="75"/>
    <n v="75"/>
    <x v="1"/>
  </r>
  <r>
    <x v="1"/>
    <n v="415"/>
    <n v="415"/>
    <x v="1"/>
  </r>
  <r>
    <x v="1"/>
    <n v="175"/>
    <n v="175"/>
    <x v="1"/>
  </r>
  <r>
    <x v="0"/>
    <n v="60"/>
    <n v="60"/>
    <x v="1"/>
  </r>
  <r>
    <x v="0"/>
    <n v="120"/>
    <n v="120"/>
    <x v="1"/>
  </r>
  <r>
    <x v="0"/>
    <n v="0"/>
    <n v="75"/>
    <x v="1"/>
  </r>
  <r>
    <x v="0"/>
    <n v="75"/>
    <n v="75"/>
    <x v="1"/>
  </r>
  <r>
    <x v="0"/>
    <n v="87.5"/>
    <n v="87.5"/>
    <x v="1"/>
  </r>
  <r>
    <x v="2"/>
    <n v="50"/>
    <n v="50"/>
    <x v="1"/>
  </r>
  <r>
    <x v="2"/>
    <n v="45"/>
    <n v="45"/>
    <x v="1"/>
  </r>
  <r>
    <x v="5"/>
    <n v="1660"/>
    <n v="2044"/>
    <x v="1"/>
  </r>
  <r>
    <x v="0"/>
    <n v="100"/>
    <n v="100"/>
    <x v="1"/>
  </r>
  <r>
    <x v="2"/>
    <n v="45"/>
    <n v="45"/>
    <x v="1"/>
  </r>
  <r>
    <x v="4"/>
    <n v="140"/>
    <n v="140"/>
    <x v="1"/>
  </r>
  <r>
    <x v="4"/>
    <n v="75"/>
    <n v="75"/>
    <x v="1"/>
  </r>
  <r>
    <x v="0"/>
    <n v="80"/>
    <n v="100"/>
    <x v="1"/>
  </r>
  <r>
    <x v="0"/>
    <n v="30"/>
    <n v="30"/>
    <x v="1"/>
  </r>
  <r>
    <x v="2"/>
    <n v="175"/>
    <n v="175"/>
    <x v="1"/>
  </r>
  <r>
    <x v="2"/>
    <n v="175"/>
    <n v="175"/>
    <x v="1"/>
  </r>
  <r>
    <x v="0"/>
    <n v="30"/>
    <n v="30"/>
    <x v="1"/>
  </r>
  <r>
    <x v="5"/>
    <n v="545"/>
    <n v="1157.57"/>
    <x v="1"/>
  </r>
  <r>
    <x v="4"/>
    <n v="75"/>
    <n v="75"/>
    <x v="1"/>
  </r>
  <r>
    <x v="0"/>
    <n v="200"/>
    <n v="200"/>
    <x v="1"/>
  </r>
  <r>
    <x v="2"/>
    <n v="110"/>
    <n v="110"/>
    <x v="1"/>
  </r>
  <r>
    <x v="0"/>
    <n v="110"/>
    <n v="110"/>
    <x v="1"/>
  </r>
  <r>
    <x v="1"/>
    <n v="150"/>
    <n v="150"/>
    <x v="1"/>
  </r>
  <r>
    <x v="0"/>
    <n v="50"/>
    <n v="50"/>
    <x v="1"/>
  </r>
  <r>
    <x v="2"/>
    <n v="150"/>
    <n v="150"/>
    <x v="1"/>
  </r>
  <r>
    <x v="2"/>
    <n v="110"/>
    <n v="110"/>
    <x v="1"/>
  </r>
  <r>
    <x v="1"/>
    <n v="150"/>
    <n v="150"/>
    <x v="1"/>
  </r>
  <r>
    <x v="4"/>
    <n v="110"/>
    <n v="110"/>
    <x v="1"/>
  </r>
  <r>
    <x v="2"/>
    <n v="110"/>
    <n v="110"/>
    <x v="1"/>
  </r>
  <r>
    <x v="4"/>
    <n v="190"/>
    <n v="190"/>
    <x v="1"/>
  </r>
  <r>
    <x v="0"/>
    <n v="110"/>
    <n v="60"/>
    <x v="1"/>
  </r>
  <r>
    <x v="0"/>
    <n v="30"/>
    <n v="30"/>
    <x v="1"/>
  </r>
  <r>
    <x v="0"/>
    <n v="140"/>
    <n v="140"/>
    <x v="1"/>
  </r>
  <r>
    <x v="0"/>
    <n v="60"/>
    <n v="66"/>
    <x v="1"/>
  </r>
  <r>
    <x v="0"/>
    <n v="150"/>
    <n v="150"/>
    <x v="1"/>
  </r>
  <r>
    <x v="2"/>
    <n v="150"/>
    <n v="150"/>
    <x v="1"/>
  </r>
  <r>
    <x v="2"/>
    <n v="55"/>
    <n v="55"/>
    <x v="1"/>
  </r>
  <r>
    <x v="2"/>
    <n v="85"/>
    <n v="80.75"/>
    <x v="1"/>
  </r>
  <r>
    <x v="2"/>
    <n v="33"/>
    <n v="33"/>
    <x v="1"/>
  </r>
  <r>
    <x v="2"/>
    <n v="33"/>
    <n v="33"/>
    <x v="1"/>
  </r>
  <r>
    <x v="0"/>
    <n v="132.56"/>
    <n v="100"/>
    <x v="1"/>
  </r>
  <r>
    <x v="1"/>
    <n v="66"/>
    <n v="66"/>
    <x v="1"/>
  </r>
  <r>
    <x v="2"/>
    <n v="55"/>
    <n v="55"/>
    <x v="1"/>
  </r>
  <r>
    <x v="1"/>
    <n v="30"/>
    <n v="30"/>
    <x v="1"/>
  </r>
  <r>
    <x v="4"/>
    <n v="30"/>
    <n v="60"/>
    <x v="1"/>
  </r>
  <r>
    <x v="0"/>
    <n v="60"/>
    <n v="60"/>
    <x v="1"/>
  </r>
  <r>
    <x v="0"/>
    <n v="60"/>
    <n v="60"/>
    <x v="1"/>
  </r>
  <r>
    <x v="0"/>
    <n v="100"/>
    <n v="100"/>
    <x v="1"/>
  </r>
  <r>
    <x v="2"/>
    <n v="110"/>
    <n v="110"/>
    <x v="1"/>
  </r>
  <r>
    <x v="1"/>
    <n v="375"/>
    <n v="375"/>
    <x v="1"/>
  </r>
  <r>
    <x v="2"/>
    <n v="160"/>
    <n v="160"/>
    <x v="1"/>
  </r>
  <r>
    <x v="2"/>
    <n v="30"/>
    <n v="30"/>
    <x v="1"/>
  </r>
  <r>
    <x v="4"/>
    <n v="30"/>
    <n v="30"/>
    <x v="1"/>
  </r>
  <r>
    <x v="5"/>
    <n v="30"/>
    <n v="30"/>
    <x v="1"/>
  </r>
  <r>
    <x v="4"/>
    <n v="50"/>
    <n v="50"/>
    <x v="1"/>
  </r>
  <r>
    <x v="5"/>
    <n v="50"/>
    <n v="50"/>
    <x v="1"/>
  </r>
  <r>
    <x v="5"/>
    <n v="280"/>
    <n v="280"/>
    <x v="1"/>
  </r>
  <r>
    <x v="5"/>
    <n v="150"/>
    <n v="150"/>
    <x v="1"/>
  </r>
  <r>
    <x v="2"/>
    <n v="100"/>
    <n v="600"/>
    <x v="1"/>
  </r>
  <r>
    <x v="5"/>
    <n v="100"/>
    <n v="100"/>
    <x v="1"/>
  </r>
  <r>
    <x v="5"/>
    <n v="100"/>
    <n v="100"/>
    <x v="1"/>
  </r>
  <r>
    <x v="0"/>
    <n v="30"/>
    <n v="30"/>
    <x v="1"/>
  </r>
  <r>
    <x v="0"/>
    <n v="60"/>
    <n v="60"/>
    <x v="2"/>
  </r>
  <r>
    <x v="4"/>
    <n v="70"/>
    <n v="0"/>
    <x v="2"/>
  </r>
  <r>
    <x v="0"/>
    <n v="35"/>
    <n v="35"/>
    <x v="2"/>
  </r>
  <r>
    <x v="1"/>
    <n v="352"/>
    <n v="352"/>
    <x v="2"/>
  </r>
  <r>
    <x v="0"/>
    <n v="200"/>
    <n v="200"/>
    <x v="2"/>
  </r>
  <r>
    <x v="2"/>
    <n v="120"/>
    <n v="120"/>
    <x v="2"/>
  </r>
  <r>
    <x v="1"/>
    <n v="305"/>
    <n v="305"/>
    <x v="2"/>
  </r>
  <r>
    <x v="3"/>
    <n v="70"/>
    <n v="126"/>
    <x v="2"/>
  </r>
  <r>
    <x v="0"/>
    <n v="150"/>
    <n v="150"/>
    <x v="2"/>
  </r>
  <r>
    <x v="1"/>
    <n v="710"/>
    <n v="710"/>
    <x v="2"/>
  </r>
  <r>
    <x v="4"/>
    <n v="75"/>
    <n v="75"/>
    <x v="2"/>
  </r>
  <r>
    <x v="4"/>
    <n v="30"/>
    <n v="30"/>
    <x v="2"/>
  </r>
  <r>
    <x v="1"/>
    <n v="1000"/>
    <n v="1000"/>
    <x v="2"/>
  </r>
  <r>
    <x v="0"/>
    <n v="87.49"/>
    <n v="87.49"/>
    <x v="2"/>
  </r>
  <r>
    <x v="4"/>
    <n v="70"/>
    <n v="70"/>
    <x v="2"/>
  </r>
  <r>
    <x v="4"/>
    <n v="70"/>
    <n v="70"/>
    <x v="2"/>
  </r>
  <r>
    <x v="4"/>
    <n v="70"/>
    <n v="70"/>
    <x v="2"/>
  </r>
  <r>
    <x v="4"/>
    <n v="75"/>
    <n v="150"/>
    <x v="2"/>
  </r>
  <r>
    <x v="4"/>
    <n v="70"/>
    <n v="30"/>
    <x v="2"/>
  </r>
  <r>
    <x v="1"/>
    <n v="820"/>
    <n v="820"/>
    <x v="2"/>
  </r>
  <r>
    <x v="1"/>
    <n v="175"/>
    <n v="175"/>
    <x v="2"/>
  </r>
  <r>
    <x v="6"/>
    <n v="500"/>
    <n v="500"/>
    <x v="2"/>
  </r>
  <r>
    <x v="2"/>
    <n v="75"/>
    <n v="75"/>
    <x v="2"/>
  </r>
  <r>
    <x v="0"/>
    <n v="60"/>
    <n v="60"/>
    <x v="2"/>
  </r>
  <r>
    <x v="0"/>
    <n v="120"/>
    <n v="120"/>
    <x v="2"/>
  </r>
  <r>
    <x v="0"/>
    <n v="95"/>
    <n v="70"/>
    <x v="2"/>
  </r>
  <r>
    <x v="0"/>
    <n v="75"/>
    <n v="75"/>
    <x v="2"/>
  </r>
  <r>
    <x v="0"/>
    <n v="87.5"/>
    <n v="87.5"/>
    <x v="2"/>
  </r>
  <r>
    <x v="2"/>
    <n v="50"/>
    <n v="50"/>
    <x v="2"/>
  </r>
  <r>
    <x v="2"/>
    <n v="45"/>
    <n v="45"/>
    <x v="2"/>
  </r>
  <r>
    <x v="5"/>
    <n v="1660"/>
    <n v="1966"/>
    <x v="2"/>
  </r>
  <r>
    <x v="0"/>
    <n v="100"/>
    <n v="100"/>
    <x v="2"/>
  </r>
  <r>
    <x v="2"/>
    <n v="45"/>
    <n v="45"/>
    <x v="2"/>
  </r>
  <r>
    <x v="4"/>
    <n v="140"/>
    <n v="240"/>
    <x v="2"/>
  </r>
  <r>
    <x v="4"/>
    <n v="75"/>
    <n v="75"/>
    <x v="2"/>
  </r>
  <r>
    <x v="6"/>
    <n v="300"/>
    <n v="300"/>
    <x v="2"/>
  </r>
  <r>
    <x v="0"/>
    <n v="80"/>
    <n v="100"/>
    <x v="2"/>
  </r>
  <r>
    <x v="0"/>
    <n v="30"/>
    <n v="30"/>
    <x v="2"/>
  </r>
  <r>
    <x v="2"/>
    <n v="175"/>
    <n v="175"/>
    <x v="2"/>
  </r>
  <r>
    <x v="2"/>
    <n v="175"/>
    <n v="175"/>
    <x v="2"/>
  </r>
  <r>
    <x v="0"/>
    <n v="30"/>
    <n v="30"/>
    <x v="2"/>
  </r>
  <r>
    <x v="5"/>
    <n v="545"/>
    <n v="1043.28"/>
    <x v="2"/>
  </r>
  <r>
    <x v="4"/>
    <n v="75"/>
    <n v="75"/>
    <x v="2"/>
  </r>
  <r>
    <x v="0"/>
    <n v="200"/>
    <n v="200"/>
    <x v="2"/>
  </r>
  <r>
    <x v="2"/>
    <n v="110"/>
    <n v="110"/>
    <x v="2"/>
  </r>
  <r>
    <x v="0"/>
    <n v="110"/>
    <n v="110"/>
    <x v="2"/>
  </r>
  <r>
    <x v="1"/>
    <n v="75"/>
    <n v="75"/>
    <x v="2"/>
  </r>
  <r>
    <x v="0"/>
    <n v="50"/>
    <n v="50"/>
    <x v="2"/>
  </r>
  <r>
    <x v="2"/>
    <n v="150"/>
    <n v="150"/>
    <x v="2"/>
  </r>
  <r>
    <x v="2"/>
    <n v="110"/>
    <n v="110"/>
    <x v="2"/>
  </r>
  <r>
    <x v="1"/>
    <n v="75"/>
    <n v="75"/>
    <x v="2"/>
  </r>
  <r>
    <x v="4"/>
    <n v="110"/>
    <n v="110"/>
    <x v="2"/>
  </r>
  <r>
    <x v="2"/>
    <n v="110"/>
    <n v="110"/>
    <x v="2"/>
  </r>
  <r>
    <x v="4"/>
    <n v="190"/>
    <n v="190"/>
    <x v="2"/>
  </r>
  <r>
    <x v="0"/>
    <n v="110"/>
    <n v="560"/>
    <x v="2"/>
  </r>
  <r>
    <x v="0"/>
    <n v="30"/>
    <n v="30"/>
    <x v="2"/>
  </r>
  <r>
    <x v="0"/>
    <n v="140"/>
    <n v="140"/>
    <x v="2"/>
  </r>
  <r>
    <x v="4"/>
    <n v="106.05"/>
    <n v="106.05"/>
    <x v="2"/>
  </r>
  <r>
    <x v="0"/>
    <n v="60"/>
    <n v="66"/>
    <x v="2"/>
  </r>
  <r>
    <x v="0"/>
    <n v="650"/>
    <n v="150"/>
    <x v="2"/>
  </r>
  <r>
    <x v="2"/>
    <n v="150"/>
    <n v="150"/>
    <x v="2"/>
  </r>
  <r>
    <x v="4"/>
    <n v="80"/>
    <n v="80"/>
    <x v="2"/>
  </r>
  <r>
    <x v="4"/>
    <n v="80"/>
    <n v="80"/>
    <x v="2"/>
  </r>
  <r>
    <x v="2"/>
    <n v="55"/>
    <n v="55"/>
    <x v="2"/>
  </r>
  <r>
    <x v="2"/>
    <n v="85"/>
    <n v="85"/>
    <x v="2"/>
  </r>
  <r>
    <x v="2"/>
    <n v="33"/>
    <n v="33"/>
    <x v="2"/>
  </r>
  <r>
    <x v="2"/>
    <n v="33"/>
    <n v="33"/>
    <x v="2"/>
  </r>
  <r>
    <x v="0"/>
    <n v="132.56"/>
    <n v="100"/>
    <x v="2"/>
  </r>
  <r>
    <x v="1"/>
    <n v="132"/>
    <n v="132"/>
    <x v="2"/>
  </r>
  <r>
    <x v="2"/>
    <n v="55"/>
    <n v="55"/>
    <x v="2"/>
  </r>
  <r>
    <x v="1"/>
    <n v="30"/>
    <n v="30"/>
    <x v="2"/>
  </r>
  <r>
    <x v="4"/>
    <n v="30"/>
    <n v="-270"/>
    <x v="2"/>
  </r>
  <r>
    <x v="0"/>
    <n v="60"/>
    <n v="60"/>
    <x v="2"/>
  </r>
  <r>
    <x v="0"/>
    <n v="60"/>
    <n v="60"/>
    <x v="2"/>
  </r>
  <r>
    <x v="0"/>
    <n v="100"/>
    <n v="100"/>
    <x v="2"/>
  </r>
  <r>
    <x v="2"/>
    <n v="110"/>
    <n v="110"/>
    <x v="2"/>
  </r>
  <r>
    <x v="1"/>
    <n v="375"/>
    <n v="375"/>
    <x v="2"/>
  </r>
  <r>
    <x v="2"/>
    <n v="160"/>
    <n v="160"/>
    <x v="2"/>
  </r>
  <r>
    <x v="2"/>
    <n v="30"/>
    <n v="30"/>
    <x v="2"/>
  </r>
  <r>
    <x v="4"/>
    <n v="30"/>
    <n v="30"/>
    <x v="2"/>
  </r>
  <r>
    <x v="5"/>
    <n v="60"/>
    <n v="60"/>
    <x v="2"/>
  </r>
  <r>
    <x v="5"/>
    <n v="100"/>
    <n v="100"/>
    <x v="2"/>
  </r>
  <r>
    <x v="5"/>
    <n v="560"/>
    <n v="565"/>
    <x v="2"/>
  </r>
  <r>
    <x v="5"/>
    <n v="165"/>
    <n v="165"/>
    <x v="2"/>
  </r>
  <r>
    <x v="2"/>
    <n v="100"/>
    <n v="100"/>
    <x v="2"/>
  </r>
  <r>
    <x v="5"/>
    <n v="100"/>
    <n v="100"/>
    <x v="2"/>
  </r>
  <r>
    <x v="5"/>
    <n v="100"/>
    <n v="100"/>
    <x v="2"/>
  </r>
  <r>
    <x v="0"/>
    <n v="30"/>
    <n v="570"/>
    <x v="2"/>
  </r>
  <r>
    <x v="5"/>
    <n v="980"/>
    <n v="980"/>
    <x v="2"/>
  </r>
  <r>
    <x v="5"/>
    <n v="30"/>
    <m/>
    <x v="2"/>
  </r>
  <r>
    <x v="5"/>
    <n v="15"/>
    <n v="15"/>
    <x v="2"/>
  </r>
  <r>
    <x v="5"/>
    <n v="120"/>
    <n v="120"/>
    <x v="2"/>
  </r>
  <r>
    <x v="0"/>
    <n v="60"/>
    <n v="60"/>
    <x v="3"/>
  </r>
  <r>
    <x v="0"/>
    <n v="70"/>
    <n v="70"/>
    <x v="3"/>
  </r>
  <r>
    <x v="1"/>
    <n v="212.4"/>
    <n v="212.4"/>
    <x v="3"/>
  </r>
  <r>
    <x v="0"/>
    <n v="400"/>
    <n v="400"/>
    <x v="3"/>
  </r>
  <r>
    <x v="2"/>
    <n v="132"/>
    <n v="252"/>
    <x v="3"/>
  </r>
  <r>
    <x v="1"/>
    <n v="165"/>
    <n v="165"/>
    <x v="3"/>
  </r>
  <r>
    <x v="3"/>
    <n v="70"/>
    <n v="70"/>
    <x v="3"/>
  </r>
  <r>
    <x v="0"/>
    <n v="150"/>
    <n v="150"/>
    <x v="3"/>
  </r>
  <r>
    <x v="1"/>
    <n v="400"/>
    <n v="400"/>
    <x v="3"/>
  </r>
  <r>
    <x v="4"/>
    <n v="75"/>
    <n v="75"/>
    <x v="3"/>
  </r>
  <r>
    <x v="4"/>
    <n v="60"/>
    <n v="60"/>
    <x v="3"/>
  </r>
  <r>
    <x v="1"/>
    <n v="520"/>
    <n v="520"/>
    <x v="3"/>
  </r>
  <r>
    <x v="0"/>
    <n v="87.49"/>
    <n v="87.49"/>
    <x v="3"/>
  </r>
  <r>
    <x v="4"/>
    <n v="75"/>
    <n v="75"/>
    <x v="3"/>
  </r>
  <r>
    <x v="1"/>
    <n v="451"/>
    <n v="451"/>
    <x v="3"/>
  </r>
  <r>
    <x v="1"/>
    <n v="192.5"/>
    <n v="192.5"/>
    <x v="3"/>
  </r>
  <r>
    <x v="0"/>
    <n v="120"/>
    <n v="120"/>
    <x v="3"/>
  </r>
  <r>
    <x v="0"/>
    <n v="120"/>
    <n v="120"/>
    <x v="3"/>
  </r>
  <r>
    <x v="5"/>
    <n v="200"/>
    <n v="200"/>
    <x v="3"/>
  </r>
  <r>
    <x v="0"/>
    <n v="95"/>
    <n v="95"/>
    <x v="3"/>
  </r>
  <r>
    <x v="0"/>
    <n v="75"/>
    <n v="75"/>
    <x v="3"/>
  </r>
  <r>
    <x v="0"/>
    <n v="87.5"/>
    <n v="87.5"/>
    <x v="3"/>
  </r>
  <r>
    <x v="2"/>
    <n v="55"/>
    <n v="55"/>
    <x v="3"/>
  </r>
  <r>
    <x v="2"/>
    <n v="50"/>
    <n v="100"/>
    <x v="3"/>
  </r>
  <r>
    <x v="5"/>
    <n v="1660"/>
    <n v="3020"/>
    <x v="3"/>
  </r>
  <r>
    <x v="0"/>
    <n v="100"/>
    <n v="100"/>
    <x v="3"/>
  </r>
  <r>
    <x v="2"/>
    <n v="50"/>
    <n v="100"/>
    <x v="3"/>
  </r>
  <r>
    <x v="4"/>
    <n v="280"/>
    <n v="280"/>
    <x v="3"/>
  </r>
  <r>
    <x v="4"/>
    <n v="150"/>
    <n v="150"/>
    <x v="3"/>
  </r>
  <r>
    <x v="0"/>
    <n v="160"/>
    <n v="160"/>
    <x v="3"/>
  </r>
  <r>
    <x v="0"/>
    <n v="30"/>
    <n v="30"/>
    <x v="3"/>
  </r>
  <r>
    <x v="2"/>
    <n v="190"/>
    <n v="190"/>
    <x v="3"/>
  </r>
  <r>
    <x v="2"/>
    <n v="190"/>
    <n v="335"/>
    <x v="3"/>
  </r>
  <r>
    <x v="5"/>
    <n v="1090"/>
    <n v="1711.71"/>
    <x v="3"/>
  </r>
  <r>
    <x v="4"/>
    <n v="150"/>
    <n v="150"/>
    <x v="3"/>
  </r>
  <r>
    <x v="0"/>
    <n v="400"/>
    <n v="400"/>
    <x v="3"/>
  </r>
  <r>
    <x v="2"/>
    <n v="121"/>
    <n v="121"/>
    <x v="3"/>
  </r>
  <r>
    <x v="0"/>
    <n v="220"/>
    <n v="220"/>
    <x v="3"/>
  </r>
  <r>
    <x v="1"/>
    <n v="82.5"/>
    <n v="82.5"/>
    <x v="3"/>
  </r>
  <r>
    <x v="0"/>
    <n v="100"/>
    <n v="100"/>
    <x v="3"/>
  </r>
  <r>
    <x v="2"/>
    <n v="165"/>
    <n v="165"/>
    <x v="3"/>
  </r>
  <r>
    <x v="2"/>
    <n v="121"/>
    <n v="121"/>
    <x v="3"/>
  </r>
  <r>
    <x v="1"/>
    <n v="92.5"/>
    <n v="92.5"/>
    <x v="3"/>
  </r>
  <r>
    <x v="4"/>
    <n v="110"/>
    <n v="110"/>
    <x v="3"/>
  </r>
  <r>
    <x v="2"/>
    <n v="121"/>
    <n v="121"/>
    <x v="3"/>
  </r>
  <r>
    <x v="4"/>
    <n v="190"/>
    <n v="190"/>
    <x v="3"/>
  </r>
  <r>
    <x v="0"/>
    <n v="220"/>
    <n v="220"/>
    <x v="3"/>
  </r>
  <r>
    <x v="0"/>
    <n v="60"/>
    <n v="60"/>
    <x v="3"/>
  </r>
  <r>
    <x v="0"/>
    <n v="280"/>
    <n v="280"/>
    <x v="3"/>
  </r>
  <r>
    <x v="0"/>
    <n v="120"/>
    <n v="120"/>
    <x v="3"/>
  </r>
  <r>
    <x v="0"/>
    <n v="300"/>
    <n v="300"/>
    <x v="3"/>
  </r>
  <r>
    <x v="2"/>
    <n v="165"/>
    <n v="165"/>
    <x v="3"/>
  </r>
  <r>
    <x v="2"/>
    <n v="60"/>
    <n v="60"/>
    <x v="3"/>
  </r>
  <r>
    <x v="2"/>
    <n v="95"/>
    <n v="95"/>
    <x v="3"/>
  </r>
  <r>
    <x v="2"/>
    <n v="36"/>
    <n v="36"/>
    <x v="3"/>
  </r>
  <r>
    <x v="0"/>
    <n v="132.56"/>
    <n v="132"/>
    <x v="3"/>
  </r>
  <r>
    <x v="1"/>
    <n v="72.599999999999994"/>
    <n v="72.599999999999994"/>
    <x v="3"/>
  </r>
  <r>
    <x v="2"/>
    <n v="60"/>
    <n v="60"/>
    <x v="3"/>
  </r>
  <r>
    <x v="1"/>
    <n v="33"/>
    <n v="33"/>
    <x v="3"/>
  </r>
  <r>
    <x v="4"/>
    <n v="30"/>
    <n v="30"/>
    <x v="3"/>
  </r>
  <r>
    <x v="0"/>
    <n v="88"/>
    <n v="88"/>
    <x v="3"/>
  </r>
  <r>
    <x v="0"/>
    <n v="120"/>
    <n v="120"/>
    <x v="3"/>
  </r>
  <r>
    <x v="0"/>
    <n v="60"/>
    <n v="60"/>
    <x v="3"/>
  </r>
  <r>
    <x v="0"/>
    <n v="100"/>
    <n v="100"/>
    <x v="3"/>
  </r>
  <r>
    <x v="2"/>
    <n v="121"/>
    <n v="242"/>
    <x v="3"/>
  </r>
  <r>
    <x v="1"/>
    <n v="787.5"/>
    <n v="787.5"/>
    <x v="3"/>
  </r>
  <r>
    <x v="2"/>
    <n v="176"/>
    <n v="176"/>
    <x v="3"/>
  </r>
  <r>
    <x v="2"/>
    <n v="33"/>
    <n v="33"/>
    <x v="3"/>
  </r>
  <r>
    <x v="4"/>
    <n v="30"/>
    <n v="30"/>
    <x v="3"/>
  </r>
  <r>
    <x v="5"/>
    <n v="30"/>
    <n v="30"/>
    <x v="3"/>
  </r>
  <r>
    <x v="5"/>
    <n v="50"/>
    <n v="50"/>
    <x v="3"/>
  </r>
  <r>
    <x v="5"/>
    <n v="280"/>
    <n v="280"/>
    <x v="3"/>
  </r>
  <r>
    <x v="5"/>
    <n v="165"/>
    <n v="165"/>
    <x v="3"/>
  </r>
  <r>
    <x v="2"/>
    <n v="100"/>
    <n v="100"/>
    <x v="3"/>
  </r>
  <r>
    <x v="5"/>
    <n v="100"/>
    <n v="100"/>
    <x v="3"/>
  </r>
  <r>
    <x v="0"/>
    <n v="30"/>
    <n v="30"/>
    <x v="3"/>
  </r>
  <r>
    <x v="0"/>
    <n v="300"/>
    <n v="300"/>
    <x v="3"/>
  </r>
  <r>
    <x v="2"/>
    <n v="250"/>
    <n v="250"/>
    <x v="3"/>
  </r>
  <r>
    <x v="5"/>
    <n v="120"/>
    <n v="120"/>
    <x v="3"/>
  </r>
  <r>
    <x v="5"/>
    <n v="66.36"/>
    <n v="66.36"/>
    <x v="3"/>
  </r>
  <r>
    <x v="2"/>
    <n v="60"/>
    <n v="60"/>
    <x v="3"/>
  </r>
  <r>
    <x v="0"/>
    <n v="60"/>
    <n v="60"/>
    <x v="4"/>
  </r>
  <r>
    <x v="0"/>
    <n v="35"/>
    <n v="35"/>
    <x v="4"/>
  </r>
  <r>
    <x v="1"/>
    <n v="194.85"/>
    <n v="194.85"/>
    <x v="4"/>
  </r>
  <r>
    <x v="0"/>
    <n v="200"/>
    <n v="200"/>
    <x v="4"/>
  </r>
  <r>
    <x v="2"/>
    <n v="132"/>
    <n v="132"/>
    <x v="4"/>
  </r>
  <r>
    <x v="1"/>
    <n v="165"/>
    <n v="165"/>
    <x v="4"/>
  </r>
  <r>
    <x v="7"/>
    <n v="70"/>
    <n v="70"/>
    <x v="4"/>
  </r>
  <r>
    <x v="0"/>
    <n v="150"/>
    <n v="150"/>
    <x v="4"/>
  </r>
  <r>
    <x v="1"/>
    <n v="400"/>
    <n v="400"/>
    <x v="4"/>
  </r>
  <r>
    <x v="4"/>
    <n v="75"/>
    <n v="75"/>
    <x v="4"/>
  </r>
  <r>
    <x v="4"/>
    <n v="30"/>
    <n v="30"/>
    <x v="4"/>
  </r>
  <r>
    <x v="1"/>
    <n v="500"/>
    <n v="500"/>
    <x v="4"/>
  </r>
  <r>
    <x v="0"/>
    <n v="87.49"/>
    <n v="87.49"/>
    <x v="4"/>
  </r>
  <r>
    <x v="4"/>
    <n v="75"/>
    <n v="75"/>
    <x v="4"/>
  </r>
  <r>
    <x v="7"/>
    <n v="150"/>
    <n v="150"/>
    <x v="4"/>
  </r>
  <r>
    <x v="1"/>
    <n v="451"/>
    <n v="451"/>
    <x v="4"/>
  </r>
  <r>
    <x v="1"/>
    <n v="192.5"/>
    <n v="192.5"/>
    <x v="4"/>
  </r>
  <r>
    <x v="0"/>
    <n v="60"/>
    <n v="60"/>
    <x v="4"/>
  </r>
  <r>
    <x v="0"/>
    <n v="120"/>
    <n v="120"/>
    <x v="4"/>
  </r>
  <r>
    <x v="5"/>
    <n v="50"/>
    <n v="50"/>
    <x v="4"/>
  </r>
  <r>
    <x v="0"/>
    <n v="0"/>
    <n v="100"/>
    <x v="4"/>
  </r>
  <r>
    <x v="0"/>
    <n v="75"/>
    <n v="75"/>
    <x v="4"/>
  </r>
  <r>
    <x v="0"/>
    <n v="87.5"/>
    <n v="87.5"/>
    <x v="4"/>
  </r>
  <r>
    <x v="2"/>
    <n v="55"/>
    <n v="55"/>
    <x v="4"/>
  </r>
  <r>
    <x v="2"/>
    <n v="50"/>
    <n v="50"/>
    <x v="4"/>
  </r>
  <r>
    <x v="8"/>
    <n v="1660"/>
    <n v="1660"/>
    <x v="4"/>
  </r>
  <r>
    <x v="0"/>
    <n v="100"/>
    <n v="100"/>
    <x v="4"/>
  </r>
  <r>
    <x v="2"/>
    <n v="50"/>
    <n v="50"/>
    <x v="4"/>
  </r>
  <r>
    <x v="4"/>
    <n v="140"/>
    <n v="140"/>
    <x v="4"/>
  </r>
  <r>
    <x v="4"/>
    <n v="75"/>
    <n v="75"/>
    <x v="4"/>
  </r>
  <r>
    <x v="0"/>
    <n v="80"/>
    <n v="100"/>
    <x v="4"/>
  </r>
  <r>
    <x v="0"/>
    <n v="30"/>
    <n v="9.4"/>
    <x v="4"/>
  </r>
  <r>
    <x v="2"/>
    <n v="190"/>
    <n v="190"/>
    <x v="4"/>
  </r>
  <r>
    <x v="2"/>
    <n v="190"/>
    <n v="190"/>
    <x v="4"/>
  </r>
  <r>
    <x v="5"/>
    <n v="1045"/>
    <n v="1552.13"/>
    <x v="4"/>
  </r>
  <r>
    <x v="4"/>
    <n v="75"/>
    <n v="75"/>
    <x v="4"/>
  </r>
  <r>
    <x v="0"/>
    <n v="200"/>
    <n v="200"/>
    <x v="4"/>
  </r>
  <r>
    <x v="2"/>
    <n v="121"/>
    <n v="121"/>
    <x v="4"/>
  </r>
  <r>
    <x v="0"/>
    <n v="110"/>
    <n v="110"/>
    <x v="4"/>
  </r>
  <r>
    <x v="1"/>
    <n v="82.5"/>
    <n v="82.5"/>
    <x v="4"/>
  </r>
  <r>
    <x v="2"/>
    <n v="165"/>
    <n v="165"/>
    <x v="4"/>
  </r>
  <r>
    <x v="2"/>
    <n v="121"/>
    <n v="121"/>
    <x v="4"/>
  </r>
  <r>
    <x v="1"/>
    <n v="82.5"/>
    <n v="82.5"/>
    <x v="4"/>
  </r>
  <r>
    <x v="4"/>
    <n v="110"/>
    <n v="110"/>
    <x v="4"/>
  </r>
  <r>
    <x v="2"/>
    <n v="121"/>
    <n v="121"/>
    <x v="4"/>
  </r>
  <r>
    <x v="4"/>
    <n v="190"/>
    <n v="190"/>
    <x v="4"/>
  </r>
  <r>
    <x v="0"/>
    <n v="110"/>
    <n v="60"/>
    <x v="4"/>
  </r>
  <r>
    <x v="0"/>
    <n v="30"/>
    <n v="30"/>
    <x v="4"/>
  </r>
  <r>
    <x v="0"/>
    <n v="140"/>
    <n v="140"/>
    <x v="4"/>
  </r>
  <r>
    <x v="0"/>
    <n v="60"/>
    <m/>
    <x v="4"/>
  </r>
  <r>
    <x v="0"/>
    <n v="150"/>
    <n v="150"/>
    <x v="4"/>
  </r>
  <r>
    <x v="2"/>
    <n v="165"/>
    <n v="165"/>
    <x v="4"/>
  </r>
  <r>
    <x v="2"/>
    <n v="60"/>
    <n v="60"/>
    <x v="4"/>
  </r>
  <r>
    <x v="2"/>
    <n v="95"/>
    <n v="95"/>
    <x v="4"/>
  </r>
  <r>
    <x v="2"/>
    <n v="36"/>
    <n v="36"/>
    <x v="4"/>
  </r>
  <r>
    <x v="0"/>
    <n v="132.56"/>
    <n v="100"/>
    <x v="4"/>
  </r>
  <r>
    <x v="1"/>
    <n v="72.599999999999994"/>
    <n v="72.599999999999994"/>
    <x v="4"/>
  </r>
  <r>
    <x v="2"/>
    <n v="60"/>
    <n v="60"/>
    <x v="4"/>
  </r>
  <r>
    <x v="1"/>
    <n v="33"/>
    <n v="33"/>
    <x v="4"/>
  </r>
  <r>
    <x v="0"/>
    <n v="60"/>
    <n v="60"/>
    <x v="4"/>
  </r>
  <r>
    <x v="0"/>
    <n v="60"/>
    <n v="120"/>
    <x v="4"/>
  </r>
  <r>
    <x v="0"/>
    <n v="100"/>
    <n v="100"/>
    <x v="4"/>
  </r>
  <r>
    <x v="2"/>
    <n v="121"/>
    <n v="121"/>
    <x v="4"/>
  </r>
  <r>
    <x v="1"/>
    <n v="412.5"/>
    <n v="412.5"/>
    <x v="4"/>
  </r>
  <r>
    <x v="2"/>
    <n v="176"/>
    <n v="176"/>
    <x v="4"/>
  </r>
  <r>
    <x v="2"/>
    <n v="33"/>
    <n v="33"/>
    <x v="4"/>
  </r>
  <r>
    <x v="4"/>
    <n v="30"/>
    <n v="30"/>
    <x v="4"/>
  </r>
  <r>
    <x v="5"/>
    <n v="30"/>
    <n v="30"/>
    <x v="4"/>
  </r>
  <r>
    <x v="7"/>
    <n v="50"/>
    <n v="50"/>
    <x v="4"/>
  </r>
  <r>
    <x v="8"/>
    <n v="280"/>
    <n v="280"/>
    <x v="4"/>
  </r>
  <r>
    <x v="7"/>
    <n v="165"/>
    <n v="165"/>
    <x v="4"/>
  </r>
  <r>
    <x v="2"/>
    <n v="100"/>
    <n v="100"/>
    <x v="4"/>
  </r>
  <r>
    <x v="7"/>
    <n v="100"/>
    <n v="100"/>
    <x v="4"/>
  </r>
  <r>
    <x v="0"/>
    <n v="30"/>
    <n v="30"/>
    <x v="4"/>
  </r>
  <r>
    <x v="2"/>
    <n v="250"/>
    <n v="250"/>
    <x v="4"/>
  </r>
  <r>
    <x v="5"/>
    <n v="90"/>
    <n v="300"/>
    <x v="4"/>
  </r>
  <r>
    <x v="7"/>
    <n v="120"/>
    <n v="120"/>
    <x v="4"/>
  </r>
  <r>
    <x v="7"/>
    <n v="66.36"/>
    <n v="66.36"/>
    <x v="4"/>
  </r>
  <r>
    <x v="2"/>
    <n v="60"/>
    <n v="60"/>
    <x v="4"/>
  </r>
  <r>
    <x v="5"/>
    <n v="600"/>
    <n v="600"/>
    <x v="4"/>
  </r>
  <r>
    <x v="8"/>
    <n v="79.63"/>
    <n v="79.63"/>
    <x v="4"/>
  </r>
  <r>
    <x v="8"/>
    <n v="106.18"/>
    <n v="106.18"/>
    <x v="4"/>
  </r>
  <r>
    <x v="8"/>
    <n v="79.63"/>
    <n v="79.63"/>
    <x v="4"/>
  </r>
  <r>
    <x v="8"/>
    <n v="155"/>
    <m/>
    <x v="4"/>
  </r>
  <r>
    <x v="5"/>
    <n v="200"/>
    <n v="200"/>
    <x v="4"/>
  </r>
  <r>
    <x v="0"/>
    <n v="60"/>
    <n v="60"/>
    <x v="5"/>
  </r>
  <r>
    <x v="4"/>
    <n v="70"/>
    <n v="77"/>
    <x v="5"/>
  </r>
  <r>
    <x v="0"/>
    <n v="35"/>
    <n v="35"/>
    <x v="5"/>
  </r>
  <r>
    <x v="1"/>
    <n v="176"/>
    <n v="200"/>
    <x v="5"/>
  </r>
  <r>
    <x v="0"/>
    <n v="200"/>
    <n v="220"/>
    <x v="5"/>
  </r>
  <r>
    <x v="2"/>
    <n v="120"/>
    <n v="132"/>
    <x v="5"/>
  </r>
  <r>
    <x v="1"/>
    <n v="165"/>
    <n v="165"/>
    <x v="5"/>
  </r>
  <r>
    <x v="7"/>
    <n v="70"/>
    <n v="70"/>
    <x v="5"/>
  </r>
  <r>
    <x v="0"/>
    <n v="150"/>
    <n v="165"/>
    <x v="5"/>
  </r>
  <r>
    <x v="1"/>
    <n v="400"/>
    <n v="400"/>
    <x v="5"/>
  </r>
  <r>
    <x v="4"/>
    <n v="75"/>
    <n v="82.5"/>
    <x v="5"/>
  </r>
  <r>
    <x v="4"/>
    <n v="30"/>
    <n v="30"/>
    <x v="5"/>
  </r>
  <r>
    <x v="1"/>
    <n v="500"/>
    <n v="500"/>
    <x v="5"/>
  </r>
  <r>
    <x v="0"/>
    <n v="87.49"/>
    <n v="96"/>
    <x v="5"/>
  </r>
  <r>
    <x v="4"/>
    <n v="70"/>
    <n v="77"/>
    <x v="5"/>
  </r>
  <r>
    <x v="4"/>
    <n v="70"/>
    <n v="77"/>
    <x v="5"/>
  </r>
  <r>
    <x v="4"/>
    <n v="70"/>
    <n v="77"/>
    <x v="5"/>
  </r>
  <r>
    <x v="4"/>
    <n v="75"/>
    <n v="82.4"/>
    <x v="5"/>
  </r>
  <r>
    <x v="7"/>
    <n v="150"/>
    <n v="150"/>
    <x v="5"/>
  </r>
  <r>
    <x v="4"/>
    <n v="70"/>
    <n v="70"/>
    <x v="5"/>
  </r>
  <r>
    <x v="1"/>
    <n v="451"/>
    <n v="451"/>
    <x v="5"/>
  </r>
  <r>
    <x v="1"/>
    <n v="192.5"/>
    <n v="192.5"/>
    <x v="5"/>
  </r>
  <r>
    <x v="2"/>
    <n v="75"/>
    <n v="82.5"/>
    <x v="5"/>
  </r>
  <r>
    <x v="0"/>
    <n v="60"/>
    <n v="60"/>
    <x v="5"/>
  </r>
  <r>
    <x v="6"/>
    <n v="500"/>
    <n v="500"/>
    <x v="5"/>
  </r>
  <r>
    <x v="0"/>
    <n v="120"/>
    <n v="132"/>
    <x v="5"/>
  </r>
  <r>
    <x v="5"/>
    <n v="50"/>
    <n v="50"/>
    <x v="5"/>
  </r>
  <r>
    <x v="0"/>
    <n v="95"/>
    <n v="143"/>
    <x v="5"/>
  </r>
  <r>
    <x v="0"/>
    <n v="75"/>
    <n v="75"/>
    <x v="5"/>
  </r>
  <r>
    <x v="0"/>
    <n v="87.5"/>
    <n v="87.5"/>
    <x v="5"/>
  </r>
  <r>
    <x v="2"/>
    <n v="50"/>
    <n v="55"/>
    <x v="5"/>
  </r>
  <r>
    <x v="2"/>
    <n v="45"/>
    <n v="50"/>
    <x v="5"/>
  </r>
  <r>
    <x v="8"/>
    <n v="1660"/>
    <n v="1660"/>
    <x v="5"/>
  </r>
  <r>
    <x v="0"/>
    <n v="100"/>
    <n v="110"/>
    <x v="5"/>
  </r>
  <r>
    <x v="2"/>
    <n v="45"/>
    <n v="50"/>
    <x v="5"/>
  </r>
  <r>
    <x v="4"/>
    <n v="240"/>
    <n v="254"/>
    <x v="5"/>
  </r>
  <r>
    <x v="4"/>
    <n v="75"/>
    <n v="82.4"/>
    <x v="5"/>
  </r>
  <r>
    <x v="0"/>
    <n v="80"/>
    <n v="180"/>
    <x v="5"/>
  </r>
  <r>
    <x v="0"/>
    <n v="30"/>
    <n v="33"/>
    <x v="5"/>
  </r>
  <r>
    <x v="2"/>
    <n v="175"/>
    <n v="190"/>
    <x v="5"/>
  </r>
  <r>
    <x v="2"/>
    <n v="175"/>
    <n v="190"/>
    <x v="5"/>
  </r>
  <r>
    <x v="5"/>
    <n v="545"/>
    <n v="1368"/>
    <x v="5"/>
  </r>
  <r>
    <x v="4"/>
    <n v="75"/>
    <n v="82.4"/>
    <x v="5"/>
  </r>
  <r>
    <x v="0"/>
    <n v="200"/>
    <n v="220"/>
    <x v="5"/>
  </r>
  <r>
    <x v="2"/>
    <n v="110"/>
    <n v="121"/>
    <x v="5"/>
  </r>
  <r>
    <x v="0"/>
    <n v="110"/>
    <n v="121"/>
    <x v="5"/>
  </r>
  <r>
    <x v="1"/>
    <n v="82.5"/>
    <n v="82.5"/>
    <x v="5"/>
  </r>
  <r>
    <x v="2"/>
    <n v="150"/>
    <n v="165"/>
    <x v="5"/>
  </r>
  <r>
    <x v="2"/>
    <n v="110"/>
    <n v="121"/>
    <x v="5"/>
  </r>
  <r>
    <x v="1"/>
    <n v="82.5"/>
    <n v="82.5"/>
    <x v="5"/>
  </r>
  <r>
    <x v="4"/>
    <n v="110"/>
    <n v="121"/>
    <x v="5"/>
  </r>
  <r>
    <x v="2"/>
    <n v="110"/>
    <n v="121"/>
    <x v="5"/>
  </r>
  <r>
    <x v="4"/>
    <n v="190"/>
    <n v="209"/>
    <x v="5"/>
  </r>
  <r>
    <x v="0"/>
    <n v="110"/>
    <n v="60"/>
    <x v="5"/>
  </r>
  <r>
    <x v="0"/>
    <n v="30"/>
    <n v="30"/>
    <x v="5"/>
  </r>
  <r>
    <x v="0"/>
    <n v="140"/>
    <n v="154"/>
    <x v="5"/>
  </r>
  <r>
    <x v="4"/>
    <n v="106.05"/>
    <n v="116.66"/>
    <x v="5"/>
  </r>
  <r>
    <x v="0"/>
    <n v="60"/>
    <n v="120"/>
    <x v="5"/>
  </r>
  <r>
    <x v="0"/>
    <n v="150"/>
    <n v="165"/>
    <x v="5"/>
  </r>
  <r>
    <x v="2"/>
    <n v="150"/>
    <n v="266"/>
    <x v="5"/>
  </r>
  <r>
    <x v="4"/>
    <n v="80"/>
    <n v="88"/>
    <x v="5"/>
  </r>
  <r>
    <x v="4"/>
    <n v="80"/>
    <n v="88"/>
    <x v="5"/>
  </r>
  <r>
    <x v="2"/>
    <n v="55"/>
    <n v="60"/>
    <x v="5"/>
  </r>
  <r>
    <x v="2"/>
    <n v="85"/>
    <n v="90.25"/>
    <x v="5"/>
  </r>
  <r>
    <x v="2"/>
    <n v="36"/>
    <n v="36"/>
    <x v="5"/>
  </r>
  <r>
    <x v="2"/>
    <n v="33"/>
    <n v="36"/>
    <x v="5"/>
  </r>
  <r>
    <x v="1"/>
    <n v="72.599999999999994"/>
    <n v="72.599999999999994"/>
    <x v="5"/>
  </r>
  <r>
    <x v="2"/>
    <n v="55"/>
    <n v="60"/>
    <x v="5"/>
  </r>
  <r>
    <x v="1"/>
    <n v="33"/>
    <n v="33"/>
    <x v="5"/>
  </r>
  <r>
    <x v="0"/>
    <n v="588"/>
    <n v="1028"/>
    <x v="5"/>
  </r>
  <r>
    <x v="0"/>
    <n v="60"/>
    <n v="66"/>
    <x v="5"/>
  </r>
  <r>
    <x v="0"/>
    <n v="60"/>
    <n v="66"/>
    <x v="5"/>
  </r>
  <r>
    <x v="0"/>
    <n v="100"/>
    <n v="110"/>
    <x v="5"/>
  </r>
  <r>
    <x v="2"/>
    <n v="110"/>
    <n v="121"/>
    <x v="5"/>
  </r>
  <r>
    <x v="1"/>
    <n v="412.5"/>
    <n v="412.5"/>
    <x v="5"/>
  </r>
  <r>
    <x v="2"/>
    <n v="160"/>
    <n v="176"/>
    <x v="5"/>
  </r>
  <r>
    <x v="2"/>
    <n v="30"/>
    <n v="33"/>
    <x v="5"/>
  </r>
  <r>
    <x v="6"/>
    <m/>
    <n v="30"/>
    <x v="5"/>
  </r>
  <r>
    <x v="4"/>
    <n v="30"/>
    <n v="33"/>
    <x v="5"/>
  </r>
  <r>
    <x v="5"/>
    <n v="30"/>
    <n v="30"/>
    <x v="5"/>
  </r>
  <r>
    <x v="7"/>
    <n v="50"/>
    <n v="50"/>
    <x v="5"/>
  </r>
  <r>
    <x v="8"/>
    <n v="280"/>
    <n v="280"/>
    <x v="5"/>
  </r>
  <r>
    <x v="7"/>
    <n v="165"/>
    <n v="165"/>
    <x v="5"/>
  </r>
  <r>
    <x v="2"/>
    <n v="100"/>
    <n v="100"/>
    <x v="5"/>
  </r>
  <r>
    <x v="7"/>
    <n v="100"/>
    <n v="100"/>
    <x v="5"/>
  </r>
  <r>
    <x v="7"/>
    <n v="100"/>
    <n v="100"/>
    <x v="5"/>
  </r>
  <r>
    <x v="0"/>
    <n v="30"/>
    <n v="33"/>
    <x v="5"/>
  </r>
  <r>
    <x v="2"/>
    <n v="250"/>
    <n v="250"/>
    <x v="5"/>
  </r>
  <r>
    <x v="7"/>
    <n v="120"/>
    <n v="120"/>
    <x v="5"/>
  </r>
  <r>
    <x v="7"/>
    <n v="66.36"/>
    <n v="66.36"/>
    <x v="5"/>
  </r>
  <r>
    <x v="2"/>
    <n v="60"/>
    <n v="60"/>
    <x v="5"/>
  </r>
  <r>
    <x v="5"/>
    <n v="100"/>
    <n v="100"/>
    <x v="5"/>
  </r>
  <r>
    <x v="8"/>
    <n v="132.72"/>
    <n v="132.72"/>
    <x v="5"/>
  </r>
  <r>
    <x v="8"/>
    <n v="79.63"/>
    <n v="89.63"/>
    <x v="5"/>
  </r>
  <r>
    <x v="8"/>
    <n v="106.18"/>
    <n v="106.18"/>
    <x v="5"/>
  </r>
  <r>
    <x v="8"/>
    <n v="79.63"/>
    <n v="79.63"/>
    <x v="5"/>
  </r>
  <r>
    <x v="8"/>
    <n v="350"/>
    <n v="1395.03"/>
    <x v="5"/>
  </r>
  <r>
    <x v="2"/>
    <n v="35"/>
    <n v="35"/>
    <x v="5"/>
  </r>
  <r>
    <x v="8"/>
    <n v="106.18"/>
    <n v="106.18"/>
    <x v="5"/>
  </r>
  <r>
    <x v="5"/>
    <n v="50"/>
    <n v="50"/>
    <x v="5"/>
  </r>
  <r>
    <x v="2"/>
    <n v="140"/>
    <n v="40"/>
    <x v="5"/>
  </r>
  <r>
    <x v="2"/>
    <n v="140"/>
    <n v="40"/>
    <x v="5"/>
  </r>
  <r>
    <x v="7"/>
    <n v="20"/>
    <n v="20"/>
    <x v="5"/>
  </r>
  <r>
    <x v="5"/>
    <n v="30"/>
    <n v="30"/>
    <x v="5"/>
  </r>
  <r>
    <x v="5"/>
    <n v="30"/>
    <m/>
    <x v="5"/>
  </r>
  <r>
    <x v="0"/>
    <n v="200"/>
    <m/>
    <x v="5"/>
  </r>
  <r>
    <x v="0"/>
    <n v="60"/>
    <n v="60"/>
    <x v="6"/>
  </r>
  <r>
    <x v="0"/>
    <n v="35"/>
    <n v="35"/>
    <x v="6"/>
  </r>
  <r>
    <x v="1"/>
    <n v="176"/>
    <n v="199.25"/>
    <x v="6"/>
  </r>
  <r>
    <x v="0"/>
    <n v="200"/>
    <n v="220"/>
    <x v="6"/>
  </r>
  <r>
    <x v="2"/>
    <n v="132"/>
    <n v="132"/>
    <x v="6"/>
  </r>
  <r>
    <x v="1"/>
    <n v="165"/>
    <n v="165"/>
    <x v="6"/>
  </r>
  <r>
    <x v="7"/>
    <n v="70"/>
    <n v="70"/>
    <x v="6"/>
  </r>
  <r>
    <x v="0"/>
    <n v="150"/>
    <n v="165"/>
    <x v="6"/>
  </r>
  <r>
    <x v="1"/>
    <n v="400"/>
    <n v="400"/>
    <x v="6"/>
  </r>
  <r>
    <x v="4"/>
    <n v="75"/>
    <n v="82.5"/>
    <x v="6"/>
  </r>
  <r>
    <x v="4"/>
    <n v="30"/>
    <n v="30"/>
    <x v="6"/>
  </r>
  <r>
    <x v="1"/>
    <n v="500"/>
    <n v="500"/>
    <x v="6"/>
  </r>
  <r>
    <x v="0"/>
    <n v="87.49"/>
    <n v="96"/>
    <x v="6"/>
  </r>
  <r>
    <x v="4"/>
    <n v="75"/>
    <n v="82.4"/>
    <x v="6"/>
  </r>
  <r>
    <x v="7"/>
    <n v="150"/>
    <n v="150"/>
    <x v="6"/>
  </r>
  <r>
    <x v="1"/>
    <n v="451"/>
    <n v="451"/>
    <x v="6"/>
  </r>
  <r>
    <x v="1"/>
    <n v="192.5"/>
    <n v="192.5"/>
    <x v="6"/>
  </r>
  <r>
    <x v="2"/>
    <n v="82.5"/>
    <n v="82.5"/>
    <x v="6"/>
  </r>
  <r>
    <x v="0"/>
    <n v="60"/>
    <n v="60"/>
    <x v="6"/>
  </r>
  <r>
    <x v="0"/>
    <n v="120"/>
    <n v="1320"/>
    <x v="6"/>
  </r>
  <r>
    <x v="5"/>
    <n v="50"/>
    <n v="50"/>
    <x v="6"/>
  </r>
  <r>
    <x v="0"/>
    <n v="95"/>
    <n v="143"/>
    <x v="6"/>
  </r>
  <r>
    <x v="0"/>
    <n v="75"/>
    <n v="75"/>
    <x v="6"/>
  </r>
  <r>
    <x v="0"/>
    <n v="87.5"/>
    <n v="87.5"/>
    <x v="6"/>
  </r>
  <r>
    <x v="2"/>
    <n v="55"/>
    <n v="55"/>
    <x v="6"/>
  </r>
  <r>
    <x v="2"/>
    <n v="50"/>
    <n v="50"/>
    <x v="6"/>
  </r>
  <r>
    <x v="8"/>
    <n v="1660"/>
    <n v="1660"/>
    <x v="6"/>
  </r>
  <r>
    <x v="0"/>
    <n v="100"/>
    <n v="100"/>
    <x v="6"/>
  </r>
  <r>
    <x v="2"/>
    <n v="50"/>
    <n v="75"/>
    <x v="6"/>
  </r>
  <r>
    <x v="4"/>
    <n v="140"/>
    <n v="154"/>
    <x v="6"/>
  </r>
  <r>
    <x v="4"/>
    <n v="75"/>
    <n v="82.4"/>
    <x v="6"/>
  </r>
  <r>
    <x v="0"/>
    <n v="580"/>
    <n v="715"/>
    <x v="6"/>
  </r>
  <r>
    <x v="0"/>
    <n v="30"/>
    <n v="33"/>
    <x v="6"/>
  </r>
  <r>
    <x v="2"/>
    <n v="235"/>
    <n v="235"/>
    <x v="6"/>
  </r>
  <r>
    <x v="2"/>
    <n v="235"/>
    <n v="235"/>
    <x v="6"/>
  </r>
  <r>
    <x v="5"/>
    <n v="545"/>
    <n v="1269.49"/>
    <x v="6"/>
  </r>
  <r>
    <x v="4"/>
    <n v="75"/>
    <n v="82.4"/>
    <x v="6"/>
  </r>
  <r>
    <x v="0"/>
    <n v="200"/>
    <n v="220"/>
    <x v="6"/>
  </r>
  <r>
    <x v="2"/>
    <n v="621"/>
    <n v="621"/>
    <x v="6"/>
  </r>
  <r>
    <x v="0"/>
    <n v="110"/>
    <n v="121"/>
    <x v="6"/>
  </r>
  <r>
    <x v="1"/>
    <n v="82.5"/>
    <n v="82.5"/>
    <x v="6"/>
  </r>
  <r>
    <x v="2"/>
    <n v="165"/>
    <n v="165"/>
    <x v="6"/>
  </r>
  <r>
    <x v="2"/>
    <n v="121"/>
    <n v="121"/>
    <x v="6"/>
  </r>
  <r>
    <x v="1"/>
    <n v="82.5"/>
    <n v="82.5"/>
    <x v="6"/>
  </r>
  <r>
    <x v="4"/>
    <n v="110"/>
    <n v="121"/>
    <x v="6"/>
  </r>
  <r>
    <x v="2"/>
    <n v="121"/>
    <n v="121"/>
    <x v="6"/>
  </r>
  <r>
    <x v="4"/>
    <n v="190"/>
    <n v="209"/>
    <x v="6"/>
  </r>
  <r>
    <x v="0"/>
    <n v="110"/>
    <n v="60"/>
    <x v="6"/>
  </r>
  <r>
    <x v="0"/>
    <n v="30"/>
    <n v="30"/>
    <x v="6"/>
  </r>
  <r>
    <x v="0"/>
    <n v="140"/>
    <n v="154"/>
    <x v="6"/>
  </r>
  <r>
    <x v="4"/>
    <n v="106.05"/>
    <n v="116.66"/>
    <x v="6"/>
  </r>
  <r>
    <x v="0"/>
    <n v="60"/>
    <n v="60"/>
    <x v="6"/>
  </r>
  <r>
    <x v="0"/>
    <n v="150"/>
    <n v="165"/>
    <x v="6"/>
  </r>
  <r>
    <x v="2"/>
    <n v="250"/>
    <n v="250"/>
    <x v="6"/>
  </r>
  <r>
    <x v="2"/>
    <n v="60"/>
    <n v="60"/>
    <x v="6"/>
  </r>
  <r>
    <x v="2"/>
    <n v="90.25"/>
    <n v="95"/>
    <x v="6"/>
  </r>
  <r>
    <x v="2"/>
    <n v="36"/>
    <n v="36"/>
    <x v="6"/>
  </r>
  <r>
    <x v="2"/>
    <n v="36"/>
    <n v="36"/>
    <x v="6"/>
  </r>
  <r>
    <x v="1"/>
    <n v="72.599999999999994"/>
    <n v="72.599999999999994"/>
    <x v="6"/>
  </r>
  <r>
    <x v="2"/>
    <n v="60"/>
    <n v="60"/>
    <x v="6"/>
  </r>
  <r>
    <x v="1"/>
    <n v="33"/>
    <n v="33"/>
    <x v="6"/>
  </r>
  <r>
    <x v="0"/>
    <n v="60"/>
    <n v="66"/>
    <x v="6"/>
  </r>
  <r>
    <x v="0"/>
    <n v="60"/>
    <n v="66"/>
    <x v="6"/>
  </r>
  <r>
    <x v="0"/>
    <n v="100"/>
    <n v="110"/>
    <x v="6"/>
  </r>
  <r>
    <x v="2"/>
    <n v="121"/>
    <n v="121"/>
    <x v="6"/>
  </r>
  <r>
    <x v="1"/>
    <n v="412.5"/>
    <n v="412.5"/>
    <x v="6"/>
  </r>
  <r>
    <x v="2"/>
    <n v="176"/>
    <n v="176"/>
    <x v="6"/>
  </r>
  <r>
    <x v="2"/>
    <n v="33"/>
    <n v="33"/>
    <x v="6"/>
  </r>
  <r>
    <x v="6"/>
    <m/>
    <n v="30"/>
    <x v="6"/>
  </r>
  <r>
    <x v="4"/>
    <n v="30"/>
    <n v="33"/>
    <x v="6"/>
  </r>
  <r>
    <x v="5"/>
    <n v="30"/>
    <n v="30"/>
    <x v="6"/>
  </r>
  <r>
    <x v="7"/>
    <n v="50"/>
    <n v="50"/>
    <x v="6"/>
  </r>
  <r>
    <x v="8"/>
    <n v="280"/>
    <n v="280"/>
    <x v="6"/>
  </r>
  <r>
    <x v="7"/>
    <n v="165"/>
    <n v="165"/>
    <x v="6"/>
  </r>
  <r>
    <x v="2"/>
    <n v="100"/>
    <n v="100"/>
    <x v="6"/>
  </r>
  <r>
    <x v="7"/>
    <n v="100"/>
    <n v="100"/>
    <x v="6"/>
  </r>
  <r>
    <x v="7"/>
    <n v="100"/>
    <n v="100"/>
    <x v="6"/>
  </r>
  <r>
    <x v="0"/>
    <n v="30"/>
    <n v="33"/>
    <x v="6"/>
  </r>
  <r>
    <x v="2"/>
    <n v="250"/>
    <n v="250"/>
    <x v="6"/>
  </r>
  <r>
    <x v="7"/>
    <n v="120"/>
    <n v="120"/>
    <x v="6"/>
  </r>
  <r>
    <x v="7"/>
    <n v="66.36"/>
    <n v="66.36"/>
    <x v="6"/>
  </r>
  <r>
    <x v="2"/>
    <n v="60"/>
    <n v="60"/>
    <x v="6"/>
  </r>
  <r>
    <x v="5"/>
    <n v="100"/>
    <n v="100"/>
    <x v="6"/>
  </r>
  <r>
    <x v="8"/>
    <n v="132.72"/>
    <n v="132.72"/>
    <x v="6"/>
  </r>
  <r>
    <x v="8"/>
    <n v="89.63"/>
    <n v="79.63"/>
    <x v="6"/>
  </r>
  <r>
    <x v="8"/>
    <n v="106.18"/>
    <n v="106.18"/>
    <x v="6"/>
  </r>
  <r>
    <x v="8"/>
    <n v="79.63"/>
    <n v="79.63"/>
    <x v="6"/>
  </r>
  <r>
    <x v="8"/>
    <n v="150"/>
    <n v="1020"/>
    <x v="6"/>
  </r>
  <r>
    <x v="2"/>
    <n v="45"/>
    <n v="45"/>
    <x v="6"/>
  </r>
  <r>
    <x v="8"/>
    <n v="106.18"/>
    <n v="106.18"/>
    <x v="6"/>
  </r>
  <r>
    <x v="5"/>
    <n v="50"/>
    <n v="50"/>
    <x v="6"/>
  </r>
  <r>
    <x v="2"/>
    <n v="140"/>
    <n v="140"/>
    <x v="6"/>
  </r>
  <r>
    <x v="2"/>
    <n v="140"/>
    <n v="140"/>
    <x v="6"/>
  </r>
  <r>
    <x v="7"/>
    <n v="20"/>
    <n v="20"/>
    <x v="6"/>
  </r>
  <r>
    <x v="5"/>
    <n v="30"/>
    <n v="30"/>
    <x v="6"/>
  </r>
  <r>
    <x v="5"/>
    <n v="30"/>
    <n v="30"/>
    <x v="6"/>
  </r>
  <r>
    <x v="5"/>
    <n v="30"/>
    <n v="30"/>
    <x v="6"/>
  </r>
  <r>
    <x v="0"/>
    <n v="200"/>
    <m/>
    <x v="6"/>
  </r>
  <r>
    <x v="2"/>
    <n v="33"/>
    <n v="330"/>
    <x v="6"/>
  </r>
  <r>
    <x v="0"/>
    <n v="60"/>
    <n v="60"/>
    <x v="7"/>
  </r>
  <r>
    <x v="0"/>
    <n v="35"/>
    <n v="35"/>
    <x v="7"/>
  </r>
  <r>
    <x v="1"/>
    <n v="176"/>
    <n v="199.25"/>
    <x v="7"/>
  </r>
  <r>
    <x v="0"/>
    <n v="200"/>
    <n v="220"/>
    <x v="7"/>
  </r>
  <r>
    <x v="2"/>
    <n v="132"/>
    <n v="132"/>
    <x v="7"/>
  </r>
  <r>
    <x v="1"/>
    <n v="165"/>
    <n v="165"/>
    <x v="7"/>
  </r>
  <r>
    <x v="7"/>
    <n v="70"/>
    <n v="70"/>
    <x v="7"/>
  </r>
  <r>
    <x v="0"/>
    <n v="621"/>
    <n v="165"/>
    <x v="7"/>
  </r>
  <r>
    <x v="1"/>
    <n v="400"/>
    <n v="400"/>
    <x v="7"/>
  </r>
  <r>
    <x v="4"/>
    <n v="121"/>
    <n v="82.5"/>
    <x v="7"/>
  </r>
  <r>
    <x v="4"/>
    <n v="121"/>
    <n v="0"/>
    <x v="7"/>
  </r>
  <r>
    <x v="1"/>
    <n v="500"/>
    <n v="500"/>
    <x v="7"/>
  </r>
  <r>
    <x v="0"/>
    <n v="250"/>
    <n v="96"/>
    <x v="7"/>
  </r>
  <r>
    <x v="4"/>
    <n v="60"/>
    <n v="82.4"/>
    <x v="7"/>
  </r>
  <r>
    <x v="7"/>
    <n v="150"/>
    <n v="150"/>
    <x v="7"/>
  </r>
  <r>
    <x v="1"/>
    <n v="451"/>
    <n v="451"/>
    <x v="7"/>
  </r>
  <r>
    <x v="1"/>
    <n v="192.5"/>
    <n v="192.5"/>
    <x v="7"/>
  </r>
  <r>
    <x v="2"/>
    <n v="82.5"/>
    <n v="82.5"/>
    <x v="7"/>
  </r>
  <r>
    <x v="0"/>
    <n v="140"/>
    <n v="60"/>
    <x v="7"/>
  </r>
  <r>
    <x v="0"/>
    <n v="120"/>
    <n v="132"/>
    <x v="7"/>
  </r>
  <r>
    <x v="5"/>
    <n v="50"/>
    <n v="50"/>
    <x v="7"/>
  </r>
  <r>
    <x v="0"/>
    <n v="595"/>
    <n v="643"/>
    <x v="7"/>
  </r>
  <r>
    <x v="0"/>
    <n v="75"/>
    <n v="75"/>
    <x v="7"/>
  </r>
  <r>
    <x v="0"/>
    <n v="87.5"/>
    <n v="87.5"/>
    <x v="7"/>
  </r>
  <r>
    <x v="2"/>
    <n v="55"/>
    <n v="55"/>
    <x v="7"/>
  </r>
  <r>
    <x v="2"/>
    <n v="50"/>
    <n v="50"/>
    <x v="7"/>
  </r>
  <r>
    <x v="8"/>
    <n v="1660"/>
    <n v="1993"/>
    <x v="7"/>
  </r>
  <r>
    <x v="0"/>
    <n v="100"/>
    <n v="110"/>
    <x v="7"/>
  </r>
  <r>
    <x v="2"/>
    <n v="50"/>
    <n v="50"/>
    <x v="7"/>
  </r>
  <r>
    <x v="4"/>
    <n v="140"/>
    <n v="154"/>
    <x v="7"/>
  </r>
  <r>
    <x v="4"/>
    <n v="75"/>
    <n v="103"/>
    <x v="7"/>
  </r>
  <r>
    <x v="0"/>
    <n v="80"/>
    <n v="215"/>
    <x v="7"/>
  </r>
  <r>
    <x v="0"/>
    <n v="30"/>
    <n v="33"/>
    <x v="7"/>
  </r>
  <r>
    <x v="2"/>
    <n v="235"/>
    <n v="235"/>
    <x v="7"/>
  </r>
  <r>
    <x v="2"/>
    <n v="235"/>
    <n v="235"/>
    <x v="7"/>
  </r>
  <r>
    <x v="5"/>
    <n v="545"/>
    <n v="1627.1"/>
    <x v="7"/>
  </r>
  <r>
    <x v="4"/>
    <n v="75"/>
    <n v="82.4"/>
    <x v="7"/>
  </r>
  <r>
    <x v="0"/>
    <n v="200"/>
    <n v="-440"/>
    <x v="7"/>
  </r>
  <r>
    <x v="2"/>
    <n v="121"/>
    <n v="121"/>
    <x v="7"/>
  </r>
  <r>
    <x v="0"/>
    <n v="110"/>
    <n v="121"/>
    <x v="7"/>
  </r>
  <r>
    <x v="1"/>
    <n v="82.5"/>
    <n v="82.5"/>
    <x v="7"/>
  </r>
  <r>
    <x v="2"/>
    <n v="165"/>
    <n v="165"/>
    <x v="7"/>
  </r>
  <r>
    <x v="2"/>
    <n v="121"/>
    <n v="121"/>
    <x v="7"/>
  </r>
  <r>
    <x v="1"/>
    <n v="82.5"/>
    <n v="82.5"/>
    <x v="7"/>
  </r>
  <r>
    <x v="4"/>
    <n v="110"/>
    <n v="121"/>
    <x v="7"/>
  </r>
  <r>
    <x v="2"/>
    <n v="121"/>
    <n v="121"/>
    <x v="7"/>
  </r>
  <r>
    <x v="4"/>
    <n v="190"/>
    <n v="209"/>
    <x v="7"/>
  </r>
  <r>
    <x v="0"/>
    <n v="110"/>
    <n v="15"/>
    <x v="7"/>
  </r>
  <r>
    <x v="0"/>
    <n v="30"/>
    <n v="30"/>
    <x v="7"/>
  </r>
  <r>
    <x v="0"/>
    <n v="140"/>
    <n v="154"/>
    <x v="7"/>
  </r>
  <r>
    <x v="4"/>
    <n v="106.5"/>
    <n v="116.66"/>
    <x v="7"/>
  </r>
  <r>
    <x v="0"/>
    <n v="60"/>
    <n v="0"/>
    <x v="7"/>
  </r>
  <r>
    <x v="0"/>
    <n v="150"/>
    <n v="265"/>
    <x v="7"/>
  </r>
  <r>
    <x v="2"/>
    <n v="250"/>
    <n v="560"/>
    <x v="7"/>
  </r>
  <r>
    <x v="2"/>
    <n v="60"/>
    <n v="60"/>
    <x v="7"/>
  </r>
  <r>
    <x v="2"/>
    <n v="90.25"/>
    <n v="95.25"/>
    <x v="7"/>
  </r>
  <r>
    <x v="2"/>
    <n v="36"/>
    <n v="36"/>
    <x v="7"/>
  </r>
  <r>
    <x v="2"/>
    <n v="36"/>
    <n v="36"/>
    <x v="7"/>
  </r>
  <r>
    <x v="1"/>
    <n v="72.599999999999994"/>
    <n v="72.599999999999994"/>
    <x v="7"/>
  </r>
  <r>
    <x v="2"/>
    <n v="60"/>
    <n v="60"/>
    <x v="7"/>
  </r>
  <r>
    <x v="1"/>
    <n v="60"/>
    <n v="60"/>
    <x v="7"/>
  </r>
  <r>
    <x v="0"/>
    <n v="60"/>
    <n v="66"/>
    <x v="7"/>
  </r>
  <r>
    <x v="0"/>
    <n v="60"/>
    <n v="66"/>
    <x v="7"/>
  </r>
  <r>
    <x v="0"/>
    <n v="100"/>
    <n v="110"/>
    <x v="7"/>
  </r>
  <r>
    <x v="2"/>
    <n v="121"/>
    <n v="121"/>
    <x v="7"/>
  </r>
  <r>
    <x v="1"/>
    <n v="412.5"/>
    <n v="412.5"/>
    <x v="7"/>
  </r>
  <r>
    <x v="2"/>
    <n v="176"/>
    <n v="206"/>
    <x v="7"/>
  </r>
  <r>
    <x v="2"/>
    <n v="33"/>
    <n v="33"/>
    <x v="7"/>
  </r>
  <r>
    <x v="6"/>
    <n v="30"/>
    <n v="30"/>
    <x v="7"/>
  </r>
  <r>
    <x v="4"/>
    <m/>
    <n v="33"/>
    <x v="7"/>
  </r>
  <r>
    <x v="5"/>
    <n v="30"/>
    <n v="30"/>
    <x v="7"/>
  </r>
  <r>
    <x v="7"/>
    <n v="50"/>
    <n v="50"/>
    <x v="7"/>
  </r>
  <r>
    <x v="8"/>
    <n v="280"/>
    <n v="280"/>
    <x v="7"/>
  </r>
  <r>
    <x v="7"/>
    <n v="165"/>
    <n v="165"/>
    <x v="7"/>
  </r>
  <r>
    <x v="2"/>
    <n v="100"/>
    <n v="100"/>
    <x v="7"/>
  </r>
  <r>
    <x v="7"/>
    <n v="100"/>
    <n v="100"/>
    <x v="7"/>
  </r>
  <r>
    <x v="7"/>
    <n v="100"/>
    <n v="100"/>
    <x v="7"/>
  </r>
  <r>
    <x v="0"/>
    <n v="30"/>
    <n v="33"/>
    <x v="7"/>
  </r>
  <r>
    <x v="2"/>
    <n v="250"/>
    <n v="250"/>
    <x v="7"/>
  </r>
  <r>
    <x v="7"/>
    <n v="120"/>
    <n v="120"/>
    <x v="7"/>
  </r>
  <r>
    <x v="7"/>
    <n v="66.36"/>
    <n v="66.36"/>
    <x v="7"/>
  </r>
  <r>
    <x v="2"/>
    <n v="60"/>
    <n v="60"/>
    <x v="7"/>
  </r>
  <r>
    <x v="5"/>
    <n v="100"/>
    <n v="100"/>
    <x v="7"/>
  </r>
  <r>
    <x v="8"/>
    <n v="132.72"/>
    <n v="132.72"/>
    <x v="7"/>
  </r>
  <r>
    <x v="8"/>
    <n v="89.63"/>
    <n v="89.63"/>
    <x v="7"/>
  </r>
  <r>
    <x v="8"/>
    <n v="106.18"/>
    <n v="106.18"/>
    <x v="7"/>
  </r>
  <r>
    <x v="8"/>
    <n v="79.63"/>
    <n v="79.63"/>
    <x v="7"/>
  </r>
  <r>
    <x v="8"/>
    <n v="1020"/>
    <n v="1140"/>
    <x v="7"/>
  </r>
  <r>
    <x v="2"/>
    <n v="45"/>
    <n v="45"/>
    <x v="7"/>
  </r>
  <r>
    <x v="8"/>
    <n v="106.18"/>
    <n v="106.18"/>
    <x v="7"/>
  </r>
  <r>
    <x v="5"/>
    <n v="50"/>
    <n v="50"/>
    <x v="7"/>
  </r>
  <r>
    <x v="2"/>
    <n v="140"/>
    <n v="140"/>
    <x v="7"/>
  </r>
  <r>
    <x v="2"/>
    <n v="140"/>
    <n v="140"/>
    <x v="7"/>
  </r>
  <r>
    <x v="7"/>
    <n v="20"/>
    <n v="20"/>
    <x v="7"/>
  </r>
  <r>
    <x v="9"/>
    <m/>
    <n v="1500"/>
    <x v="7"/>
  </r>
  <r>
    <x v="5"/>
    <n v="30"/>
    <n v="30"/>
    <x v="7"/>
  </r>
  <r>
    <x v="9"/>
    <m/>
    <n v="30"/>
    <x v="7"/>
  </r>
  <r>
    <x v="5"/>
    <n v="30"/>
    <n v="30"/>
    <x v="7"/>
  </r>
  <r>
    <x v="0"/>
    <n v="200"/>
    <m/>
    <x v="7"/>
  </r>
  <r>
    <x v="2"/>
    <n v="33"/>
    <n v="33"/>
    <x v="7"/>
  </r>
  <r>
    <x v="5"/>
    <n v="60"/>
    <n v="60"/>
    <x v="7"/>
  </r>
  <r>
    <x v="5"/>
    <n v="315"/>
    <m/>
    <x v="7"/>
  </r>
  <r>
    <x v="0"/>
    <n v="60"/>
    <n v="60"/>
    <x v="8"/>
  </r>
  <r>
    <x v="4"/>
    <n v="70"/>
    <n v="77"/>
    <x v="8"/>
  </r>
  <r>
    <x v="0"/>
    <n v="35"/>
    <n v="35"/>
    <x v="8"/>
  </r>
  <r>
    <x v="1"/>
    <n v="176"/>
    <n v="203.4"/>
    <x v="8"/>
  </r>
  <r>
    <x v="2"/>
    <n v="120"/>
    <n v="132"/>
    <x v="8"/>
  </r>
  <r>
    <x v="1"/>
    <n v="165"/>
    <n v="165"/>
    <x v="8"/>
  </r>
  <r>
    <x v="7"/>
    <n v="70"/>
    <n v="70"/>
    <x v="8"/>
  </r>
  <r>
    <x v="0"/>
    <n v="150"/>
    <n v="165"/>
    <x v="8"/>
  </r>
  <r>
    <x v="1"/>
    <n v="400"/>
    <n v="400"/>
    <x v="8"/>
  </r>
  <r>
    <x v="4"/>
    <n v="75"/>
    <n v="82.5"/>
    <x v="8"/>
  </r>
  <r>
    <x v="4"/>
    <n v="30"/>
    <n v="30"/>
    <x v="8"/>
  </r>
  <r>
    <x v="1"/>
    <n v="500"/>
    <n v="500"/>
    <x v="8"/>
  </r>
  <r>
    <x v="0"/>
    <n v="87.49"/>
    <n v="96"/>
    <x v="8"/>
  </r>
  <r>
    <x v="4"/>
    <n v="70"/>
    <n v="77"/>
    <x v="8"/>
  </r>
  <r>
    <x v="4"/>
    <n v="70"/>
    <n v="77"/>
    <x v="8"/>
  </r>
  <r>
    <x v="4"/>
    <n v="70"/>
    <n v="77"/>
    <x v="8"/>
  </r>
  <r>
    <x v="4"/>
    <n v="75"/>
    <n v="82.4"/>
    <x v="8"/>
  </r>
  <r>
    <x v="7"/>
    <n v="150"/>
    <n v="150"/>
    <x v="8"/>
  </r>
  <r>
    <x v="4"/>
    <n v="70"/>
    <n v="70"/>
    <x v="8"/>
  </r>
  <r>
    <x v="1"/>
    <n v="451"/>
    <n v="451"/>
    <x v="8"/>
  </r>
  <r>
    <x v="1"/>
    <n v="192.5"/>
    <n v="192.5"/>
    <x v="8"/>
  </r>
  <r>
    <x v="2"/>
    <n v="75"/>
    <n v="82.5"/>
    <x v="8"/>
  </r>
  <r>
    <x v="0"/>
    <n v="60"/>
    <n v="60"/>
    <x v="8"/>
  </r>
  <r>
    <x v="0"/>
    <n v="120"/>
    <n v="132"/>
    <x v="8"/>
  </r>
  <r>
    <x v="10"/>
    <n v="50"/>
    <n v="50"/>
    <x v="8"/>
  </r>
  <r>
    <x v="0"/>
    <n v="95"/>
    <n v="110"/>
    <x v="8"/>
  </r>
  <r>
    <x v="0"/>
    <n v="75"/>
    <n v="75"/>
    <x v="8"/>
  </r>
  <r>
    <x v="0"/>
    <n v="87.5"/>
    <n v="87.5"/>
    <x v="8"/>
  </r>
  <r>
    <x v="2"/>
    <n v="55"/>
    <n v="55"/>
    <x v="8"/>
  </r>
  <r>
    <x v="2"/>
    <n v="50"/>
    <n v="50"/>
    <x v="8"/>
  </r>
  <r>
    <x v="8"/>
    <n v="1660"/>
    <n v="1660"/>
    <x v="8"/>
  </r>
  <r>
    <x v="0"/>
    <n v="100"/>
    <n v="110"/>
    <x v="8"/>
  </r>
  <r>
    <x v="2"/>
    <n v="50"/>
    <n v="50"/>
    <x v="8"/>
  </r>
  <r>
    <x v="4"/>
    <n v="140"/>
    <n v="154"/>
    <x v="8"/>
  </r>
  <r>
    <x v="4"/>
    <n v="75"/>
    <n v="82.4"/>
    <x v="8"/>
  </r>
  <r>
    <x v="0"/>
    <n v="80"/>
    <n v="145"/>
    <x v="8"/>
  </r>
  <r>
    <x v="0"/>
    <n v="30"/>
    <n v="33"/>
    <x v="8"/>
  </r>
  <r>
    <x v="2"/>
    <n v="235"/>
    <n v="235"/>
    <x v="8"/>
  </r>
  <r>
    <x v="2"/>
    <n v="235"/>
    <n v="235"/>
    <x v="8"/>
  </r>
  <r>
    <x v="5"/>
    <n v="545"/>
    <n v="1554"/>
    <x v="8"/>
  </r>
  <r>
    <x v="4"/>
    <n v="75"/>
    <n v="82.4"/>
    <x v="8"/>
  </r>
  <r>
    <x v="2"/>
    <n v="121"/>
    <n v="121"/>
    <x v="8"/>
  </r>
  <r>
    <x v="1"/>
    <n v="82.5"/>
    <n v="82.5"/>
    <x v="8"/>
  </r>
  <r>
    <x v="2"/>
    <n v="165"/>
    <n v="165"/>
    <x v="8"/>
  </r>
  <r>
    <x v="2"/>
    <n v="121"/>
    <n v="121"/>
    <x v="8"/>
  </r>
  <r>
    <x v="1"/>
    <n v="82.5"/>
    <n v="82.5"/>
    <x v="8"/>
  </r>
  <r>
    <x v="4"/>
    <n v="110"/>
    <n v="121"/>
    <x v="8"/>
  </r>
  <r>
    <x v="2"/>
    <n v="121"/>
    <n v="121"/>
    <x v="8"/>
  </r>
  <r>
    <x v="4"/>
    <n v="190"/>
    <n v="209"/>
    <x v="8"/>
  </r>
  <r>
    <x v="0"/>
    <n v="30"/>
    <n v="30"/>
    <x v="8"/>
  </r>
  <r>
    <x v="0"/>
    <n v="140"/>
    <n v="154"/>
    <x v="8"/>
  </r>
  <r>
    <x v="4"/>
    <n v="106.05"/>
    <n v="191.66"/>
    <x v="8"/>
  </r>
  <r>
    <x v="0"/>
    <n v="150"/>
    <n v="165"/>
    <x v="8"/>
  </r>
  <r>
    <x v="2"/>
    <n v="250"/>
    <n v="250"/>
    <x v="8"/>
  </r>
  <r>
    <x v="4"/>
    <n v="80"/>
    <n v="88"/>
    <x v="8"/>
  </r>
  <r>
    <x v="4"/>
    <n v="80"/>
    <n v="88"/>
    <x v="8"/>
  </r>
  <r>
    <x v="2"/>
    <n v="60"/>
    <n v="60"/>
    <x v="8"/>
  </r>
  <r>
    <x v="2"/>
    <n v="95"/>
    <n v="95"/>
    <x v="8"/>
  </r>
  <r>
    <x v="2"/>
    <n v="36"/>
    <n v="36"/>
    <x v="8"/>
  </r>
  <r>
    <x v="2"/>
    <n v="36"/>
    <n v="36"/>
    <x v="8"/>
  </r>
  <r>
    <x v="10"/>
    <n v="400"/>
    <n v="400"/>
    <x v="8"/>
  </r>
  <r>
    <x v="1"/>
    <n v="72.599999999999994"/>
    <n v="72.599999999999994"/>
    <x v="8"/>
  </r>
  <r>
    <x v="2"/>
    <n v="60"/>
    <n v="60"/>
    <x v="8"/>
  </r>
  <r>
    <x v="1"/>
    <n v="60"/>
    <n v="60"/>
    <x v="8"/>
  </r>
  <r>
    <x v="0"/>
    <n v="60"/>
    <n v="66"/>
    <x v="8"/>
  </r>
  <r>
    <x v="0"/>
    <n v="60"/>
    <n v="66"/>
    <x v="8"/>
  </r>
  <r>
    <x v="0"/>
    <n v="100"/>
    <n v="110"/>
    <x v="8"/>
  </r>
  <r>
    <x v="2"/>
    <n v="121"/>
    <n v="121"/>
    <x v="8"/>
  </r>
  <r>
    <x v="1"/>
    <n v="412.5"/>
    <n v="412.5"/>
    <x v="8"/>
  </r>
  <r>
    <x v="2"/>
    <n v="176"/>
    <n v="176"/>
    <x v="8"/>
  </r>
  <r>
    <x v="2"/>
    <n v="33"/>
    <n v="33"/>
    <x v="8"/>
  </r>
  <r>
    <x v="4"/>
    <n v="30"/>
    <n v="33"/>
    <x v="8"/>
  </r>
  <r>
    <x v="5"/>
    <n v="230"/>
    <n v="230"/>
    <x v="8"/>
  </r>
  <r>
    <x v="7"/>
    <n v="50"/>
    <n v="50"/>
    <x v="8"/>
  </r>
  <r>
    <x v="8"/>
    <n v="280"/>
    <n v="280"/>
    <x v="8"/>
  </r>
  <r>
    <x v="7"/>
    <n v="165"/>
    <n v="165"/>
    <x v="8"/>
  </r>
  <r>
    <x v="2"/>
    <n v="100"/>
    <n v="100"/>
    <x v="8"/>
  </r>
  <r>
    <x v="7"/>
    <n v="100"/>
    <n v="100"/>
    <x v="8"/>
  </r>
  <r>
    <x v="7"/>
    <n v="100"/>
    <n v="100"/>
    <x v="8"/>
  </r>
  <r>
    <x v="0"/>
    <n v="30"/>
    <n v="33"/>
    <x v="8"/>
  </r>
  <r>
    <x v="2"/>
    <n v="250"/>
    <n v="290"/>
    <x v="8"/>
  </r>
  <r>
    <x v="7"/>
    <n v="120"/>
    <n v="120"/>
    <x v="8"/>
  </r>
  <r>
    <x v="7"/>
    <n v="66.36"/>
    <n v="66.36"/>
    <x v="8"/>
  </r>
  <r>
    <x v="2"/>
    <n v="60"/>
    <n v="60"/>
    <x v="8"/>
  </r>
  <r>
    <x v="0"/>
    <n v="100"/>
    <n v="100"/>
    <x v="8"/>
  </r>
  <r>
    <x v="8"/>
    <n v="132.72"/>
    <n v="132.72"/>
    <x v="8"/>
  </r>
  <r>
    <x v="8"/>
    <n v="89.63"/>
    <n v="89.63"/>
    <x v="8"/>
  </r>
  <r>
    <x v="8"/>
    <n v="106.18"/>
    <n v="106.18"/>
    <x v="8"/>
  </r>
  <r>
    <x v="8"/>
    <n v="1020"/>
    <n v="1470"/>
    <x v="8"/>
  </r>
  <r>
    <x v="2"/>
    <n v="45"/>
    <n v="45"/>
    <x v="8"/>
  </r>
  <r>
    <x v="8"/>
    <n v="106.18"/>
    <n v="106.18"/>
    <x v="8"/>
  </r>
  <r>
    <x v="4"/>
    <n v="50"/>
    <n v="50"/>
    <x v="8"/>
  </r>
  <r>
    <x v="2"/>
    <n v="140"/>
    <n v="140"/>
    <x v="8"/>
  </r>
  <r>
    <x v="2"/>
    <n v="140"/>
    <n v="140"/>
    <x v="8"/>
  </r>
  <r>
    <x v="7"/>
    <n v="20"/>
    <n v="20"/>
    <x v="8"/>
  </r>
  <r>
    <x v="5"/>
    <n v="30"/>
    <n v="30"/>
    <x v="8"/>
  </r>
  <r>
    <x v="5"/>
    <n v="50"/>
    <n v="50"/>
    <x v="8"/>
  </r>
  <r>
    <x v="5"/>
    <n v="30"/>
    <n v="30"/>
    <x v="8"/>
  </r>
  <r>
    <x v="0"/>
    <n v="200"/>
    <n v="680"/>
    <x v="8"/>
  </r>
  <r>
    <x v="2"/>
    <n v="33"/>
    <n v="33"/>
    <x v="8"/>
  </r>
  <r>
    <x v="5"/>
    <n v="60"/>
    <n v="60"/>
    <x v="8"/>
  </r>
  <r>
    <x v="5"/>
    <n v="315"/>
    <n v="750"/>
    <x v="8"/>
  </r>
  <r>
    <x v="4"/>
    <m/>
    <n v="500"/>
    <x v="8"/>
  </r>
  <r>
    <x v="0"/>
    <n v="60"/>
    <n v="60"/>
    <x v="9"/>
  </r>
  <r>
    <x v="0"/>
    <n v="35"/>
    <n v="35"/>
    <x v="9"/>
  </r>
  <r>
    <x v="1"/>
    <n v="176"/>
    <n v="504.3"/>
    <x v="9"/>
  </r>
  <r>
    <x v="2"/>
    <n v="132"/>
    <n v="132"/>
    <x v="9"/>
  </r>
  <r>
    <x v="1"/>
    <n v="165"/>
    <n v="165"/>
    <x v="9"/>
  </r>
  <r>
    <x v="7"/>
    <n v="70"/>
    <n v="70"/>
    <x v="9"/>
  </r>
  <r>
    <x v="0"/>
    <n v="150"/>
    <n v="165"/>
    <x v="9"/>
  </r>
  <r>
    <x v="1"/>
    <n v="400"/>
    <n v="400"/>
    <x v="9"/>
  </r>
  <r>
    <x v="4"/>
    <n v="75"/>
    <n v="82.5"/>
    <x v="9"/>
  </r>
  <r>
    <x v="4"/>
    <n v="30"/>
    <n v="30"/>
    <x v="9"/>
  </r>
  <r>
    <x v="1"/>
    <n v="500"/>
    <n v="500"/>
    <x v="9"/>
  </r>
  <r>
    <x v="0"/>
    <n v="87.49"/>
    <n v="96"/>
    <x v="9"/>
  </r>
  <r>
    <x v="4"/>
    <n v="75"/>
    <n v="82.4"/>
    <x v="9"/>
  </r>
  <r>
    <x v="7"/>
    <n v="150"/>
    <n v="150"/>
    <x v="9"/>
  </r>
  <r>
    <x v="1"/>
    <n v="451"/>
    <n v="451"/>
    <x v="9"/>
  </r>
  <r>
    <x v="1"/>
    <n v="192.5"/>
    <n v="192.5"/>
    <x v="9"/>
  </r>
  <r>
    <x v="0"/>
    <n v="60"/>
    <n v="60"/>
    <x v="9"/>
  </r>
  <r>
    <x v="0"/>
    <n v="120"/>
    <n v="132"/>
    <x v="9"/>
  </r>
  <r>
    <x v="10"/>
    <n v="50"/>
    <n v="50"/>
    <x v="9"/>
  </r>
  <r>
    <x v="0"/>
    <n v="0"/>
    <n v="600"/>
    <x v="9"/>
  </r>
  <r>
    <x v="0"/>
    <n v="75"/>
    <n v="75"/>
    <x v="9"/>
  </r>
  <r>
    <x v="0"/>
    <n v="87.5"/>
    <n v="87.5"/>
    <x v="9"/>
  </r>
  <r>
    <x v="2"/>
    <n v="55"/>
    <n v="55"/>
    <x v="9"/>
  </r>
  <r>
    <x v="2"/>
    <n v="50"/>
    <n v="50"/>
    <x v="9"/>
  </r>
  <r>
    <x v="8"/>
    <n v="1660"/>
    <n v="1660"/>
    <x v="9"/>
  </r>
  <r>
    <x v="0"/>
    <n v="100"/>
    <n v="110"/>
    <x v="9"/>
  </r>
  <r>
    <x v="2"/>
    <n v="50"/>
    <n v="50"/>
    <x v="9"/>
  </r>
  <r>
    <x v="4"/>
    <n v="140"/>
    <n v="154"/>
    <x v="9"/>
  </r>
  <r>
    <x v="4"/>
    <n v="75"/>
    <n v="82.4"/>
    <x v="9"/>
  </r>
  <r>
    <x v="0"/>
    <n v="80"/>
    <n v="110"/>
    <x v="9"/>
  </r>
  <r>
    <x v="0"/>
    <n v="30"/>
    <n v="33"/>
    <x v="9"/>
  </r>
  <r>
    <x v="2"/>
    <n v="235"/>
    <n v="235"/>
    <x v="9"/>
  </r>
  <r>
    <x v="2"/>
    <n v="235"/>
    <n v="235"/>
    <x v="9"/>
  </r>
  <r>
    <x v="10"/>
    <n v="545"/>
    <n v="1464.72"/>
    <x v="9"/>
  </r>
  <r>
    <x v="4"/>
    <n v="75"/>
    <n v="82.4"/>
    <x v="9"/>
  </r>
  <r>
    <x v="0"/>
    <n v="1000"/>
    <m/>
    <x v="9"/>
  </r>
  <r>
    <x v="2"/>
    <n v="121"/>
    <n v="121"/>
    <x v="9"/>
  </r>
  <r>
    <x v="1"/>
    <n v="82.5"/>
    <n v="82.5"/>
    <x v="9"/>
  </r>
  <r>
    <x v="2"/>
    <n v="165"/>
    <n v="165"/>
    <x v="9"/>
  </r>
  <r>
    <x v="2"/>
    <n v="121"/>
    <n v="121"/>
    <x v="9"/>
  </r>
  <r>
    <x v="1"/>
    <n v="82.5"/>
    <n v="82.5"/>
    <x v="9"/>
  </r>
  <r>
    <x v="4"/>
    <n v="110"/>
    <n v="121"/>
    <x v="9"/>
  </r>
  <r>
    <x v="2"/>
    <n v="121"/>
    <n v="121"/>
    <x v="9"/>
  </r>
  <r>
    <x v="4"/>
    <n v="190"/>
    <n v="209"/>
    <x v="9"/>
  </r>
  <r>
    <x v="9"/>
    <m/>
    <n v="60"/>
    <x v="9"/>
  </r>
  <r>
    <x v="0"/>
    <n v="30"/>
    <n v="30"/>
    <x v="9"/>
  </r>
  <r>
    <x v="0"/>
    <n v="140"/>
    <n v="154"/>
    <x v="9"/>
  </r>
  <r>
    <x v="4"/>
    <n v="0"/>
    <n v="116.66"/>
    <x v="9"/>
  </r>
  <r>
    <x v="9"/>
    <m/>
    <n v="60"/>
    <x v="9"/>
  </r>
  <r>
    <x v="0"/>
    <n v="150"/>
    <n v="165"/>
    <x v="9"/>
  </r>
  <r>
    <x v="2"/>
    <n v="250"/>
    <n v="260"/>
    <x v="9"/>
  </r>
  <r>
    <x v="2"/>
    <n v="60"/>
    <n v="60"/>
    <x v="9"/>
  </r>
  <r>
    <x v="2"/>
    <n v="95"/>
    <n v="95"/>
    <x v="9"/>
  </r>
  <r>
    <x v="2"/>
    <n v="36"/>
    <n v="36"/>
    <x v="9"/>
  </r>
  <r>
    <x v="2"/>
    <n v="36"/>
    <n v="36"/>
    <x v="9"/>
  </r>
  <r>
    <x v="10"/>
    <n v="400"/>
    <n v="400"/>
    <x v="9"/>
  </r>
  <r>
    <x v="1"/>
    <n v="72.599999999999994"/>
    <n v="72.599999999999994"/>
    <x v="9"/>
  </r>
  <r>
    <x v="2"/>
    <n v="60"/>
    <n v="60"/>
    <x v="9"/>
  </r>
  <r>
    <x v="1"/>
    <n v="60"/>
    <n v="60"/>
    <x v="9"/>
  </r>
  <r>
    <x v="0"/>
    <n v="60"/>
    <n v="66"/>
    <x v="9"/>
  </r>
  <r>
    <x v="0"/>
    <n v="60"/>
    <n v="66"/>
    <x v="9"/>
  </r>
  <r>
    <x v="0"/>
    <n v="100"/>
    <n v="110"/>
    <x v="9"/>
  </r>
  <r>
    <x v="2"/>
    <n v="121"/>
    <n v="121"/>
    <x v="9"/>
  </r>
  <r>
    <x v="1"/>
    <n v="572.5"/>
    <n v="572.5"/>
    <x v="9"/>
  </r>
  <r>
    <x v="2"/>
    <n v="176"/>
    <n v="177"/>
    <x v="9"/>
  </r>
  <r>
    <x v="2"/>
    <n v="33"/>
    <n v="33"/>
    <x v="9"/>
  </r>
  <r>
    <x v="4"/>
    <n v="30"/>
    <n v="99"/>
    <x v="9"/>
  </r>
  <r>
    <x v="5"/>
    <n v="230"/>
    <n v="230"/>
    <x v="9"/>
  </r>
  <r>
    <x v="7"/>
    <n v="50"/>
    <n v="50"/>
    <x v="9"/>
  </r>
  <r>
    <x v="8"/>
    <n v="280"/>
    <n v="280"/>
    <x v="9"/>
  </r>
  <r>
    <x v="7"/>
    <n v="165"/>
    <n v="165"/>
    <x v="9"/>
  </r>
  <r>
    <x v="2"/>
    <n v="100"/>
    <n v="100"/>
    <x v="9"/>
  </r>
  <r>
    <x v="8"/>
    <n v="100"/>
    <n v="100"/>
    <x v="9"/>
  </r>
  <r>
    <x v="8"/>
    <n v="100"/>
    <n v="100"/>
    <x v="9"/>
  </r>
  <r>
    <x v="0"/>
    <n v="30"/>
    <n v="33"/>
    <x v="9"/>
  </r>
  <r>
    <x v="2"/>
    <n v="250"/>
    <n v="250"/>
    <x v="9"/>
  </r>
  <r>
    <x v="7"/>
    <n v="120"/>
    <n v="120"/>
    <x v="9"/>
  </r>
  <r>
    <x v="7"/>
    <n v="66.36"/>
    <n v="66.36"/>
    <x v="9"/>
  </r>
  <r>
    <x v="2"/>
    <n v="30"/>
    <n v="30"/>
    <x v="9"/>
  </r>
  <r>
    <x v="0"/>
    <n v="100"/>
    <n v="100"/>
    <x v="9"/>
  </r>
  <r>
    <x v="8"/>
    <n v="132.72"/>
    <n v="132.72"/>
    <x v="9"/>
  </r>
  <r>
    <x v="8"/>
    <n v="89.63"/>
    <n v="89.63"/>
    <x v="9"/>
  </r>
  <r>
    <x v="8"/>
    <n v="106.18"/>
    <n v="106.18"/>
    <x v="9"/>
  </r>
  <r>
    <x v="8"/>
    <n v="1270"/>
    <n v="1270"/>
    <x v="9"/>
  </r>
  <r>
    <x v="2"/>
    <n v="45"/>
    <n v="45"/>
    <x v="9"/>
  </r>
  <r>
    <x v="8"/>
    <n v="106.18"/>
    <n v="106.18"/>
    <x v="9"/>
  </r>
  <r>
    <x v="4"/>
    <n v="50"/>
    <n v="50"/>
    <x v="9"/>
  </r>
  <r>
    <x v="2"/>
    <n v="140"/>
    <n v="140"/>
    <x v="9"/>
  </r>
  <r>
    <x v="2"/>
    <n v="140"/>
    <n v="140"/>
    <x v="9"/>
  </r>
  <r>
    <x v="7"/>
    <n v="15"/>
    <n v="15"/>
    <x v="9"/>
  </r>
  <r>
    <x v="7"/>
    <n v="30"/>
    <n v="30"/>
    <x v="9"/>
  </r>
  <r>
    <x v="5"/>
    <n v="50"/>
    <n v="50"/>
    <x v="9"/>
  </r>
  <r>
    <x v="5"/>
    <n v="30"/>
    <n v="30"/>
    <x v="9"/>
  </r>
  <r>
    <x v="0"/>
    <n v="200"/>
    <n v="200"/>
    <x v="9"/>
  </r>
  <r>
    <x v="2"/>
    <n v="33"/>
    <n v="33"/>
    <x v="9"/>
  </r>
  <r>
    <x v="2"/>
    <n v="60"/>
    <n v="60"/>
    <x v="9"/>
  </r>
  <r>
    <x v="5"/>
    <n v="50"/>
    <n v="50"/>
    <x v="9"/>
  </r>
  <r>
    <x v="4"/>
    <n v="500"/>
    <n v="250"/>
    <x v="9"/>
  </r>
  <r>
    <x v="1"/>
    <n v="80"/>
    <n v="80"/>
    <x v="9"/>
  </r>
  <r>
    <x v="1"/>
    <n v="60"/>
    <n v="60"/>
    <x v="9"/>
  </r>
  <r>
    <x v="2"/>
    <n v="100"/>
    <n v="100"/>
    <x v="9"/>
  </r>
  <r>
    <x v="4"/>
    <n v="130"/>
    <n v="130"/>
    <x v="9"/>
  </r>
  <r>
    <x v="5"/>
    <n v="50"/>
    <n v="50"/>
    <x v="9"/>
  </r>
  <r>
    <x v="0"/>
    <n v="630"/>
    <n v="650"/>
    <x v="9"/>
  </r>
  <r>
    <x v="5"/>
    <n v="50"/>
    <n v="50"/>
    <x v="9"/>
  </r>
  <r>
    <x v="1"/>
    <n v="400"/>
    <n v="0"/>
    <x v="9"/>
  </r>
  <r>
    <x v="0"/>
    <n v="60"/>
    <n v="60"/>
    <x v="10"/>
  </r>
  <r>
    <x v="0"/>
    <n v="35"/>
    <n v="35"/>
    <x v="10"/>
  </r>
  <r>
    <x v="1"/>
    <n v="176"/>
    <n v="274.64999999999998"/>
    <x v="10"/>
  </r>
  <r>
    <x v="5"/>
    <n v="0"/>
    <n v="602"/>
    <x v="10"/>
  </r>
  <r>
    <x v="2"/>
    <n v="132"/>
    <n v="152"/>
    <x v="10"/>
  </r>
  <r>
    <x v="1"/>
    <n v="165"/>
    <n v="165"/>
    <x v="10"/>
  </r>
  <r>
    <x v="7"/>
    <n v="70"/>
    <n v="70"/>
    <x v="10"/>
  </r>
  <r>
    <x v="0"/>
    <n v="150"/>
    <n v="165"/>
    <x v="10"/>
  </r>
  <r>
    <x v="1"/>
    <n v="400"/>
    <n v="0"/>
    <x v="10"/>
  </r>
  <r>
    <x v="4"/>
    <n v="75"/>
    <n v="82.5"/>
    <x v="10"/>
  </r>
  <r>
    <x v="4"/>
    <n v="30"/>
    <n v="472.79"/>
    <x v="10"/>
  </r>
  <r>
    <x v="1"/>
    <n v="500"/>
    <n v="500"/>
    <x v="10"/>
  </r>
  <r>
    <x v="0"/>
    <n v="87.49"/>
    <n v="96"/>
    <x v="10"/>
  </r>
  <r>
    <x v="4"/>
    <n v="75"/>
    <n v="82.4"/>
    <x v="10"/>
  </r>
  <r>
    <x v="7"/>
    <n v="150"/>
    <n v="150"/>
    <x v="10"/>
  </r>
  <r>
    <x v="1"/>
    <n v="451"/>
    <n v="451"/>
    <x v="10"/>
  </r>
  <r>
    <x v="1"/>
    <n v="192.5"/>
    <n v="192.5"/>
    <x v="10"/>
  </r>
  <r>
    <x v="0"/>
    <n v="60"/>
    <n v="60"/>
    <x v="10"/>
  </r>
  <r>
    <x v="0"/>
    <n v="120"/>
    <n v="132"/>
    <x v="10"/>
  </r>
  <r>
    <x v="10"/>
    <n v="50"/>
    <n v="50"/>
    <x v="10"/>
  </r>
  <r>
    <x v="0"/>
    <n v="0"/>
    <n v="110"/>
    <x v="10"/>
  </r>
  <r>
    <x v="0"/>
    <n v="75"/>
    <n v="75"/>
    <x v="10"/>
  </r>
  <r>
    <x v="0"/>
    <n v="87.5"/>
    <n v="87.5"/>
    <x v="10"/>
  </r>
  <r>
    <x v="6"/>
    <n v="500"/>
    <m/>
    <x v="10"/>
  </r>
  <r>
    <x v="2"/>
    <n v="55"/>
    <n v="55"/>
    <x v="10"/>
  </r>
  <r>
    <x v="2"/>
    <n v="50"/>
    <n v="71"/>
    <x v="10"/>
  </r>
  <r>
    <x v="8"/>
    <n v="1660"/>
    <n v="1660"/>
    <x v="10"/>
  </r>
  <r>
    <x v="0"/>
    <n v="100"/>
    <n v="110"/>
    <x v="10"/>
  </r>
  <r>
    <x v="2"/>
    <n v="50"/>
    <n v="71"/>
    <x v="10"/>
  </r>
  <r>
    <x v="4"/>
    <n v="140"/>
    <n v="154"/>
    <x v="10"/>
  </r>
  <r>
    <x v="4"/>
    <n v="75"/>
    <n v="82.4"/>
    <x v="10"/>
  </r>
  <r>
    <x v="0"/>
    <n v="80"/>
    <n v="110"/>
    <x v="10"/>
  </r>
  <r>
    <x v="0"/>
    <n v="30"/>
    <n v="33"/>
    <x v="10"/>
  </r>
  <r>
    <x v="2"/>
    <n v="235"/>
    <n v="255"/>
    <x v="10"/>
  </r>
  <r>
    <x v="2"/>
    <n v="235"/>
    <n v="255"/>
    <x v="10"/>
  </r>
  <r>
    <x v="10"/>
    <n v="545"/>
    <n v="1258.29"/>
    <x v="10"/>
  </r>
  <r>
    <x v="4"/>
    <n v="75"/>
    <n v="82.4"/>
    <x v="10"/>
  </r>
  <r>
    <x v="2"/>
    <n v="121"/>
    <n v="141"/>
    <x v="10"/>
  </r>
  <r>
    <x v="1"/>
    <n v="82.5"/>
    <n v="82.5"/>
    <x v="10"/>
  </r>
  <r>
    <x v="2"/>
    <n v="165"/>
    <n v="165"/>
    <x v="10"/>
  </r>
  <r>
    <x v="2"/>
    <n v="121"/>
    <n v="121"/>
    <x v="10"/>
  </r>
  <r>
    <x v="1"/>
    <n v="82.5"/>
    <n v="82.5"/>
    <x v="10"/>
  </r>
  <r>
    <x v="4"/>
    <n v="110"/>
    <n v="121"/>
    <x v="10"/>
  </r>
  <r>
    <x v="2"/>
    <n v="121"/>
    <n v="121"/>
    <x v="10"/>
  </r>
  <r>
    <x v="4"/>
    <n v="190"/>
    <n v="209"/>
    <x v="10"/>
  </r>
  <r>
    <x v="0"/>
    <n v="30"/>
    <n v="30"/>
    <x v="10"/>
  </r>
  <r>
    <x v="0"/>
    <n v="140"/>
    <n v="154"/>
    <x v="10"/>
  </r>
  <r>
    <x v="0"/>
    <n v="150"/>
    <n v="165"/>
    <x v="10"/>
  </r>
  <r>
    <x v="2"/>
    <n v="250"/>
    <n v="250"/>
    <x v="10"/>
  </r>
  <r>
    <x v="2"/>
    <n v="60"/>
    <n v="60"/>
    <x v="10"/>
  </r>
  <r>
    <x v="2"/>
    <n v="95"/>
    <n v="96"/>
    <x v="10"/>
  </r>
  <r>
    <x v="2"/>
    <n v="36"/>
    <n v="36"/>
    <x v="10"/>
  </r>
  <r>
    <x v="10"/>
    <n v="400"/>
    <n v="450"/>
    <x v="10"/>
  </r>
  <r>
    <x v="1"/>
    <n v="72.599999999999994"/>
    <n v="72.599999999999994"/>
    <x v="10"/>
  </r>
  <r>
    <x v="2"/>
    <n v="60"/>
    <n v="60"/>
    <x v="10"/>
  </r>
  <r>
    <x v="1"/>
    <n v="60"/>
    <n v="60"/>
    <x v="10"/>
  </r>
  <r>
    <x v="0"/>
    <n v="60"/>
    <n v="66"/>
    <x v="10"/>
  </r>
  <r>
    <x v="0"/>
    <n v="60"/>
    <n v="66"/>
    <x v="10"/>
  </r>
  <r>
    <x v="0"/>
    <n v="100"/>
    <n v="110"/>
    <x v="10"/>
  </r>
  <r>
    <x v="2"/>
    <n v="121"/>
    <n v="121"/>
    <x v="10"/>
  </r>
  <r>
    <x v="1"/>
    <n v="412.5"/>
    <n v="412.5"/>
    <x v="10"/>
  </r>
  <r>
    <x v="2"/>
    <n v="176"/>
    <n v="227"/>
    <x v="10"/>
  </r>
  <r>
    <x v="2"/>
    <n v="33"/>
    <n v="33"/>
    <x v="10"/>
  </r>
  <r>
    <x v="4"/>
    <n v="30"/>
    <m/>
    <x v="10"/>
  </r>
  <r>
    <x v="5"/>
    <n v="230"/>
    <n v="230"/>
    <x v="10"/>
  </r>
  <r>
    <x v="7"/>
    <n v="50"/>
    <n v="50"/>
    <x v="10"/>
  </r>
  <r>
    <x v="8"/>
    <n v="280"/>
    <n v="280"/>
    <x v="10"/>
  </r>
  <r>
    <x v="5"/>
    <n v="0"/>
    <n v="-412.5"/>
    <x v="10"/>
  </r>
  <r>
    <x v="2"/>
    <n v="100"/>
    <n v="100"/>
    <x v="10"/>
  </r>
  <r>
    <x v="8"/>
    <n v="100"/>
    <n v="100"/>
    <x v="10"/>
  </r>
  <r>
    <x v="8"/>
    <n v="100"/>
    <n v="100"/>
    <x v="10"/>
  </r>
  <r>
    <x v="0"/>
    <n v="30"/>
    <n v="33"/>
    <x v="10"/>
  </r>
  <r>
    <x v="2"/>
    <n v="250"/>
    <n v="250"/>
    <x v="10"/>
  </r>
  <r>
    <x v="7"/>
    <n v="120"/>
    <n v="120"/>
    <x v="10"/>
  </r>
  <r>
    <x v="7"/>
    <n v="66.36"/>
    <n v="66.36"/>
    <x v="10"/>
  </r>
  <r>
    <x v="2"/>
    <n v="30"/>
    <n v="30"/>
    <x v="10"/>
  </r>
  <r>
    <x v="0"/>
    <n v="100"/>
    <n v="100"/>
    <x v="10"/>
  </r>
  <r>
    <x v="8"/>
    <n v="132.72"/>
    <n v="132.72"/>
    <x v="10"/>
  </r>
  <r>
    <x v="8"/>
    <n v="89.63"/>
    <n v="89.63"/>
    <x v="10"/>
  </r>
  <r>
    <x v="8"/>
    <n v="106.18"/>
    <n v="106.18"/>
    <x v="10"/>
  </r>
  <r>
    <x v="8"/>
    <n v="1020"/>
    <n v="1320"/>
    <x v="10"/>
  </r>
  <r>
    <x v="2"/>
    <n v="45"/>
    <n v="45"/>
    <x v="10"/>
  </r>
  <r>
    <x v="8"/>
    <n v="106.18"/>
    <n v="106.18"/>
    <x v="10"/>
  </r>
  <r>
    <x v="4"/>
    <n v="50"/>
    <n v="50"/>
    <x v="10"/>
  </r>
  <r>
    <x v="2"/>
    <n v="140"/>
    <n v="140"/>
    <x v="10"/>
  </r>
  <r>
    <x v="2"/>
    <n v="140"/>
    <n v="140"/>
    <x v="10"/>
  </r>
  <r>
    <x v="7"/>
    <n v="15"/>
    <n v="15"/>
    <x v="10"/>
  </r>
  <r>
    <x v="7"/>
    <n v="30"/>
    <n v="30"/>
    <x v="10"/>
  </r>
  <r>
    <x v="5"/>
    <n v="50"/>
    <n v="50"/>
    <x v="10"/>
  </r>
  <r>
    <x v="5"/>
    <n v="30"/>
    <n v="30"/>
    <x v="10"/>
  </r>
  <r>
    <x v="0"/>
    <n v="200"/>
    <n v="200"/>
    <x v="10"/>
  </r>
  <r>
    <x v="2"/>
    <n v="33"/>
    <n v="33"/>
    <x v="10"/>
  </r>
  <r>
    <x v="2"/>
    <n v="60"/>
    <n v="60"/>
    <x v="10"/>
  </r>
  <r>
    <x v="8"/>
    <n v="450"/>
    <n v="475"/>
    <x v="10"/>
  </r>
  <r>
    <x v="4"/>
    <n v="250"/>
    <m/>
    <x v="10"/>
  </r>
  <r>
    <x v="1"/>
    <n v="80"/>
    <n v="80"/>
    <x v="10"/>
  </r>
  <r>
    <x v="1"/>
    <n v="60"/>
    <n v="60"/>
    <x v="10"/>
  </r>
  <r>
    <x v="2"/>
    <n v="100"/>
    <n v="100"/>
    <x v="10"/>
  </r>
  <r>
    <x v="5"/>
    <n v="50"/>
    <n v="50"/>
    <x v="10"/>
  </r>
  <r>
    <x v="0"/>
    <n v="130"/>
    <m/>
    <x v="10"/>
  </r>
  <r>
    <x v="5"/>
    <n v="50"/>
    <n v="300"/>
    <x v="10"/>
  </r>
  <r>
    <x v="1"/>
    <n v="400"/>
    <n v="400"/>
    <x v="10"/>
  </r>
  <r>
    <x v="5"/>
    <n v="30"/>
    <n v="30"/>
    <x v="10"/>
  </r>
  <r>
    <x v="4"/>
    <n v="100"/>
    <m/>
    <x v="10"/>
  </r>
  <r>
    <x v="0"/>
    <n v="60"/>
    <n v="60"/>
    <x v="11"/>
  </r>
  <r>
    <x v="4"/>
    <n v="70"/>
    <n v="77"/>
    <x v="11"/>
  </r>
  <r>
    <x v="0"/>
    <n v="35"/>
    <n v="35"/>
    <x v="11"/>
  </r>
  <r>
    <x v="1"/>
    <n v="176"/>
    <n v="294.7"/>
    <x v="11"/>
  </r>
  <r>
    <x v="2"/>
    <n v="120"/>
    <n v="132"/>
    <x v="11"/>
  </r>
  <r>
    <x v="1"/>
    <n v="165"/>
    <n v="165"/>
    <x v="11"/>
  </r>
  <r>
    <x v="7"/>
    <n v="70"/>
    <n v="70"/>
    <x v="11"/>
  </r>
  <r>
    <x v="0"/>
    <n v="150"/>
    <n v="165"/>
    <x v="11"/>
  </r>
  <r>
    <x v="1"/>
    <n v="400"/>
    <n v="0"/>
    <x v="11"/>
  </r>
  <r>
    <x v="4"/>
    <n v="75"/>
    <n v="82.5"/>
    <x v="11"/>
  </r>
  <r>
    <x v="4"/>
    <n v="30"/>
    <m/>
    <x v="11"/>
  </r>
  <r>
    <x v="1"/>
    <n v="500"/>
    <n v="500"/>
    <x v="11"/>
  </r>
  <r>
    <x v="0"/>
    <n v="87.49"/>
    <n v="96"/>
    <x v="11"/>
  </r>
  <r>
    <x v="4"/>
    <n v="70"/>
    <n v="77"/>
    <x v="11"/>
  </r>
  <r>
    <x v="4"/>
    <n v="70"/>
    <n v="77"/>
    <x v="11"/>
  </r>
  <r>
    <x v="4"/>
    <n v="70"/>
    <n v="77"/>
    <x v="11"/>
  </r>
  <r>
    <x v="4"/>
    <n v="75"/>
    <n v="82.4"/>
    <x v="11"/>
  </r>
  <r>
    <x v="7"/>
    <n v="150"/>
    <n v="150"/>
    <x v="11"/>
  </r>
  <r>
    <x v="4"/>
    <n v="70"/>
    <n v="87.5"/>
    <x v="11"/>
  </r>
  <r>
    <x v="1"/>
    <n v="451"/>
    <n v="451"/>
    <x v="11"/>
  </r>
  <r>
    <x v="1"/>
    <n v="192.5"/>
    <n v="192.5"/>
    <x v="11"/>
  </r>
  <r>
    <x v="2"/>
    <n v="75"/>
    <n v="82.5"/>
    <x v="11"/>
  </r>
  <r>
    <x v="8"/>
    <n v="100"/>
    <n v="150"/>
    <x v="11"/>
  </r>
  <r>
    <x v="0"/>
    <n v="60"/>
    <n v="60"/>
    <x v="11"/>
  </r>
  <r>
    <x v="0"/>
    <n v="120"/>
    <n v="132"/>
    <x v="11"/>
  </r>
  <r>
    <x v="10"/>
    <n v="50"/>
    <n v="50"/>
    <x v="11"/>
  </r>
  <r>
    <x v="0"/>
    <n v="95"/>
    <n v="137.5"/>
    <x v="11"/>
  </r>
  <r>
    <x v="0"/>
    <n v="75"/>
    <n v="75"/>
    <x v="11"/>
  </r>
  <r>
    <x v="0"/>
    <n v="87.5"/>
    <n v="87.5"/>
    <x v="11"/>
  </r>
  <r>
    <x v="2"/>
    <n v="350"/>
    <n v="375"/>
    <x v="11"/>
  </r>
  <r>
    <x v="2"/>
    <n v="45"/>
    <n v="50"/>
    <x v="11"/>
  </r>
  <r>
    <x v="8"/>
    <n v="1660"/>
    <n v="2055.5"/>
    <x v="11"/>
  </r>
  <r>
    <x v="0"/>
    <n v="100"/>
    <n v="110"/>
    <x v="11"/>
  </r>
  <r>
    <x v="2"/>
    <n v="45"/>
    <n v="50"/>
    <x v="11"/>
  </r>
  <r>
    <x v="4"/>
    <n v="140"/>
    <n v="154"/>
    <x v="11"/>
  </r>
  <r>
    <x v="4"/>
    <n v="75"/>
    <n v="82.4"/>
    <x v="11"/>
  </r>
  <r>
    <x v="0"/>
    <n v="80"/>
    <n v="110"/>
    <x v="11"/>
  </r>
  <r>
    <x v="0"/>
    <n v="30"/>
    <n v="33"/>
    <x v="11"/>
  </r>
  <r>
    <x v="2"/>
    <n v="175"/>
    <n v="235"/>
    <x v="11"/>
  </r>
  <r>
    <x v="2"/>
    <n v="175"/>
    <n v="235"/>
    <x v="11"/>
  </r>
  <r>
    <x v="10"/>
    <n v="545"/>
    <n v="1184.58"/>
    <x v="11"/>
  </r>
  <r>
    <x v="4"/>
    <n v="75"/>
    <n v="82.5"/>
    <x v="11"/>
  </r>
  <r>
    <x v="6"/>
    <n v="500"/>
    <m/>
    <x v="11"/>
  </r>
  <r>
    <x v="2"/>
    <n v="110"/>
    <n v="121"/>
    <x v="11"/>
  </r>
  <r>
    <x v="1"/>
    <n v="82.5"/>
    <n v="82.5"/>
    <x v="11"/>
  </r>
  <r>
    <x v="2"/>
    <n v="150"/>
    <n v="165"/>
    <x v="11"/>
  </r>
  <r>
    <x v="2"/>
    <n v="110"/>
    <n v="121"/>
    <x v="11"/>
  </r>
  <r>
    <x v="1"/>
    <n v="82.5"/>
    <n v="82.5"/>
    <x v="11"/>
  </r>
  <r>
    <x v="4"/>
    <n v="110"/>
    <n v="121"/>
    <x v="11"/>
  </r>
  <r>
    <x v="2"/>
    <n v="110"/>
    <n v="121"/>
    <x v="11"/>
  </r>
  <r>
    <x v="4"/>
    <n v="190"/>
    <n v="209"/>
    <x v="11"/>
  </r>
  <r>
    <x v="0"/>
    <n v="30"/>
    <n v="30"/>
    <x v="11"/>
  </r>
  <r>
    <x v="0"/>
    <n v="140"/>
    <n v="154"/>
    <x v="11"/>
  </r>
  <r>
    <x v="4"/>
    <n v="106.05"/>
    <n v="116.66"/>
    <x v="11"/>
  </r>
  <r>
    <x v="0"/>
    <n v="150"/>
    <n v="165"/>
    <x v="11"/>
  </r>
  <r>
    <x v="2"/>
    <n v="150"/>
    <n v="250"/>
    <x v="11"/>
  </r>
  <r>
    <x v="4"/>
    <n v="80"/>
    <n v="88"/>
    <x v="11"/>
  </r>
  <r>
    <x v="4"/>
    <n v="80"/>
    <n v="88"/>
    <x v="11"/>
  </r>
  <r>
    <x v="2"/>
    <n v="55"/>
    <n v="360"/>
    <x v="11"/>
  </r>
  <r>
    <x v="2"/>
    <n v="85"/>
    <n v="90.25"/>
    <x v="11"/>
  </r>
  <r>
    <x v="2"/>
    <n v="33"/>
    <n v="36"/>
    <x v="11"/>
  </r>
  <r>
    <x v="10"/>
    <n v="400"/>
    <n v="400"/>
    <x v="11"/>
  </r>
  <r>
    <x v="1"/>
    <n v="72.599999999999994"/>
    <n v="72.599999999999994"/>
    <x v="11"/>
  </r>
  <r>
    <x v="2"/>
    <n v="55"/>
    <n v="60"/>
    <x v="11"/>
  </r>
  <r>
    <x v="1"/>
    <n v="60"/>
    <n v="60"/>
    <x v="11"/>
  </r>
  <r>
    <x v="0"/>
    <n v="60"/>
    <n v="66"/>
    <x v="11"/>
  </r>
  <r>
    <x v="0"/>
    <n v="60"/>
    <n v="66"/>
    <x v="11"/>
  </r>
  <r>
    <x v="0"/>
    <n v="100"/>
    <n v="110"/>
    <x v="11"/>
  </r>
  <r>
    <x v="2"/>
    <n v="110"/>
    <n v="121"/>
    <x v="11"/>
  </r>
  <r>
    <x v="1"/>
    <n v="412.5"/>
    <n v="412.5"/>
    <x v="11"/>
  </r>
  <r>
    <x v="2"/>
    <n v="160"/>
    <n v="176"/>
    <x v="11"/>
  </r>
  <r>
    <x v="2"/>
    <n v="30"/>
    <m/>
    <x v="11"/>
  </r>
  <r>
    <x v="4"/>
    <n v="30"/>
    <m/>
    <x v="11"/>
  </r>
  <r>
    <x v="5"/>
    <n v="730"/>
    <n v="730"/>
    <x v="11"/>
  </r>
  <r>
    <x v="7"/>
    <n v="50"/>
    <n v="50"/>
    <x v="11"/>
  </r>
  <r>
    <x v="8"/>
    <n v="280"/>
    <n v="280"/>
    <x v="11"/>
  </r>
  <r>
    <x v="5"/>
    <n v="100"/>
    <n v="200"/>
    <x v="11"/>
  </r>
  <r>
    <x v="2"/>
    <n v="100"/>
    <n v="100"/>
    <x v="11"/>
  </r>
  <r>
    <x v="8"/>
    <n v="100"/>
    <n v="100"/>
    <x v="11"/>
  </r>
  <r>
    <x v="8"/>
    <n v="100"/>
    <n v="100"/>
    <x v="11"/>
  </r>
  <r>
    <x v="0"/>
    <n v="30"/>
    <n v="33"/>
    <x v="11"/>
  </r>
  <r>
    <x v="2"/>
    <n v="250"/>
    <n v="250"/>
    <x v="11"/>
  </r>
  <r>
    <x v="7"/>
    <n v="120"/>
    <n v="120"/>
    <x v="11"/>
  </r>
  <r>
    <x v="7"/>
    <n v="66.36"/>
    <n v="66.36"/>
    <x v="11"/>
  </r>
  <r>
    <x v="0"/>
    <n v="100"/>
    <n v="100"/>
    <x v="11"/>
  </r>
  <r>
    <x v="8"/>
    <n v="132.72"/>
    <n v="132.72"/>
    <x v="11"/>
  </r>
  <r>
    <x v="8"/>
    <n v="89.63"/>
    <n v="89.63"/>
    <x v="11"/>
  </r>
  <r>
    <x v="8"/>
    <n v="106.18"/>
    <n v="106.18"/>
    <x v="11"/>
  </r>
  <r>
    <x v="8"/>
    <n v="1020"/>
    <n v="1620"/>
    <x v="11"/>
  </r>
  <r>
    <x v="2"/>
    <n v="35"/>
    <n v="45"/>
    <x v="11"/>
  </r>
  <r>
    <x v="8"/>
    <n v="106.18"/>
    <n v="106.18"/>
    <x v="11"/>
  </r>
  <r>
    <x v="4"/>
    <n v="50"/>
    <n v="50"/>
    <x v="11"/>
  </r>
  <r>
    <x v="2"/>
    <n v="140"/>
    <n v="140"/>
    <x v="11"/>
  </r>
  <r>
    <x v="2"/>
    <n v="140"/>
    <n v="140"/>
    <x v="11"/>
  </r>
  <r>
    <x v="7"/>
    <n v="15"/>
    <n v="15"/>
    <x v="11"/>
  </r>
  <r>
    <x v="7"/>
    <n v="30"/>
    <n v="30"/>
    <x v="11"/>
  </r>
  <r>
    <x v="5"/>
    <n v="50"/>
    <n v="50"/>
    <x v="11"/>
  </r>
  <r>
    <x v="5"/>
    <n v="30"/>
    <n v="30"/>
    <x v="11"/>
  </r>
  <r>
    <x v="0"/>
    <n v="200"/>
    <m/>
    <x v="11"/>
  </r>
  <r>
    <x v="2"/>
    <n v="33"/>
    <n v="33"/>
    <x v="11"/>
  </r>
  <r>
    <x v="2"/>
    <n v="60"/>
    <n v="60"/>
    <x v="11"/>
  </r>
  <r>
    <x v="8"/>
    <n v="450"/>
    <n v="475"/>
    <x v="11"/>
  </r>
  <r>
    <x v="1"/>
    <n v="80"/>
    <n v="80"/>
    <x v="11"/>
  </r>
  <r>
    <x v="1"/>
    <n v="60"/>
    <n v="60"/>
    <x v="11"/>
  </r>
  <r>
    <x v="2"/>
    <n v="100"/>
    <n v="100"/>
    <x v="11"/>
  </r>
  <r>
    <x v="5"/>
    <n v="50"/>
    <n v="50"/>
    <x v="11"/>
  </r>
  <r>
    <x v="0"/>
    <n v="130"/>
    <n v="310"/>
    <x v="11"/>
  </r>
  <r>
    <x v="5"/>
    <n v="50"/>
    <n v="50"/>
    <x v="11"/>
  </r>
  <r>
    <x v="1"/>
    <n v="400"/>
    <n v="400"/>
    <x v="11"/>
  </r>
  <r>
    <x v="5"/>
    <n v="50"/>
    <n v="50"/>
    <x v="11"/>
  </r>
  <r>
    <x v="4"/>
    <n v="100"/>
    <m/>
    <x v="11"/>
  </r>
  <r>
    <x v="10"/>
    <n v="400"/>
    <m/>
    <x v="11"/>
  </r>
  <r>
    <x v="1"/>
    <n v="50"/>
    <m/>
    <x v="11"/>
  </r>
  <r>
    <x v="5"/>
    <n v="80"/>
    <n v="8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5" cacheId="2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A27:B34" firstHeaderRow="1" firstDataRow="1" firstDataCol="1"/>
  <pivotFields count="2"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kupno sa r1" fld="0" baseField="1" baseItem="0" numFmtId="4"/>
  </dataFields>
  <formats count="1">
    <format dxfId="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" cacheId="1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A4:D14" firstHeaderRow="0" firstDataRow="1" firstDataCol="1"/>
  <pivotFields count="35">
    <pivotField showAll="0"/>
    <pivotField showAll="0"/>
    <pivotField axis="axisRow" showAll="0">
      <items count="10">
        <item x="4"/>
        <item x="2"/>
        <item x="3"/>
        <item x="6"/>
        <item x="5"/>
        <item x="7"/>
        <item x="8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szlop7" fld="28" baseField="2" baseItem="0"/>
    <dataField name="Count of 12plan" fld="27" subtotal="count" baseField="0" baseItem="0"/>
    <dataField name="Sum of 1ostvaren" fld="6" baseField="2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A44:D53" firstHeaderRow="0" firstDataRow="1" firstDataCol="1"/>
  <pivotFields count="25">
    <pivotField showAll="0"/>
    <pivotField dataField="1" showAll="0"/>
    <pivotField showAll="0"/>
    <pivotField axis="axisRow" showAll="0">
      <items count="15">
        <item x="1"/>
        <item x="3"/>
        <item x="7"/>
        <item m="1" x="12"/>
        <item m="1" x="10"/>
        <item x="0"/>
        <item x="2"/>
        <item x="5"/>
        <item m="1" x="11"/>
        <item x="4"/>
        <item m="1" x="13"/>
        <item m="1" x="8"/>
        <item m="1" x="9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dataField="1" showAll="0"/>
    <pivotField dataField="1"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 defaultSubtotal="0"/>
  </pivotFields>
  <rowFields count="1">
    <field x="3"/>
  </rowFields>
  <rowItems count="9">
    <i>
      <x/>
    </i>
    <i>
      <x v="1"/>
    </i>
    <i>
      <x v="2"/>
    </i>
    <i>
      <x v="5"/>
    </i>
    <i>
      <x v="6"/>
    </i>
    <i>
      <x v="7"/>
    </i>
    <i>
      <x v="9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naziv" fld="1" subtotal="count" baseField="0" baseItem="0"/>
    <dataField name="Sum of PDV_P" fld="15" baseField="0" baseItem="0"/>
    <dataField name="Sum of PLAĆA_P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ivotTable5" cacheId="3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>
  <location ref="G3:H13" firstHeaderRow="1" firstDataRow="1" firstDataCol="1" rowPageCount="1" colPageCount="1"/>
  <pivotFields count="4">
    <pivotField axis="axisRow" showAll="0">
      <items count="12">
        <item x="6"/>
        <item x="5"/>
        <item x="1"/>
        <item x="3"/>
        <item x="2"/>
        <item x="8"/>
        <item x="7"/>
        <item x="0"/>
        <item x="4"/>
        <item x="10"/>
        <item x="9"/>
        <item t="default"/>
      </items>
    </pivotField>
    <pivotField showAll="0"/>
    <pivotField dataField="1" showAll="0"/>
    <pivotField axis="axisPage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3" hier="0"/>
  </pageFields>
  <dataFields count="1">
    <dataField name="Sum of ostvareno" fld="2" baseField="0" baseItem="0"/>
  </dataFields>
  <formats count="1">
    <format dxfId="75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6" displayName="Table6" ref="A1:AT212" totalsRowShown="0" headerRowDxfId="207" dataDxfId="206">
  <autoFilter ref="A1:AT212" xr:uid="{00000000-0009-0000-0100-000002000000}"/>
  <sortState xmlns:xlrd2="http://schemas.microsoft.com/office/spreadsheetml/2017/richdata2" ref="A2:AS193">
    <sortCondition ref="A1:A193"/>
  </sortState>
  <tableColumns count="46">
    <tableColumn id="1" xr3:uid="{00000000-0010-0000-0000-000001000000}" name="šifra" dataDxfId="205"/>
    <tableColumn id="2" xr3:uid="{00000000-0010-0000-0000-000002000000}" name="naziv" dataDxfId="204"/>
    <tableColumn id="3" xr3:uid="{00000000-0010-0000-0000-000003000000}" name="vrsta aktivan" dataDxfId="203"/>
    <tableColumn id="4" xr3:uid="{00000000-0010-0000-0000-000004000000}" name="tko vodi" dataDxfId="202"/>
    <tableColumn id="5" xr3:uid="{00000000-0010-0000-0000-000005000000}" name="oib" dataDxfId="201"/>
    <tableColumn id="6" xr3:uid="{00000000-0010-0000-0000-000006000000}" name="e-mail adresa" dataDxfId="200"/>
    <tableColumn id="7" xr3:uid="{00000000-0010-0000-0000-000007000000}" name="tefon broj" dataDxfId="199"/>
    <tableColumn id="8" xr3:uid="{00000000-0010-0000-0000-000008000000}" name="mb" dataDxfId="198"/>
    <tableColumn id="9" xr3:uid="{00000000-0010-0000-0000-000009000000}" name="nkd" dataDxfId="197"/>
    <tableColumn id="10" xr3:uid="{00000000-0010-0000-0000-00000A000000}" name="MJESEČNI PDV" dataDxfId="196"/>
    <tableColumn id="11" xr3:uid="{00000000-0010-0000-0000-00000B000000}" name="PLAĆA" dataDxfId="195"/>
    <tableColumn id="23" xr3:uid="{00000000-0010-0000-0000-000017000000}" name="Seyfore" dataDxfId="194"/>
    <tableColumn id="22" xr3:uid="{00000000-0010-0000-0000-000016000000}" name="login / password" dataDxfId="193"/>
    <tableColumn id="20" xr3:uid="{00000000-0010-0000-0000-000014000000}" name="Digital certifat poslovni certifikati." dataDxfId="192"/>
    <tableColumn id="12" xr3:uid="{00000000-0010-0000-0000-00000C000000}" name="fina certifikat" dataDxfId="191"/>
    <tableColumn id="13" xr3:uid="{00000000-0010-0000-0000-00000D000000}" name="intrastat primka" dataDxfId="190"/>
    <tableColumn id="14" xr3:uid="{00000000-0010-0000-0000-00000E000000}" name="intrastat otprema" dataDxfId="189"/>
    <tableColumn id="15" xr3:uid="{00000000-0010-0000-0000-00000F000000}" name="putni" dataDxfId="188"/>
    <tableColumn id="16" xr3:uid="{00000000-0010-0000-0000-000010000000}" name="Jezik" dataDxfId="187"/>
    <tableColumn id="17" xr3:uid="{00000000-0010-0000-0000-000011000000}" name="ostalo" dataDxfId="186"/>
    <tableColumn id="18" xr3:uid="{00000000-0010-0000-0000-000012000000}" name="ugovor2" dataDxfId="185"/>
    <tableColumn id="19" xr3:uid="{00000000-0010-0000-0000-000013000000}" name="PROBLEMI POREZNA ITD.." dataDxfId="184"/>
    <tableColumn id="24" xr3:uid="{00000000-0010-0000-0000-000018000000}" name="da li završni 2025" dataDxfId="183"/>
    <tableColumn id="25" xr3:uid="{00000000-0010-0000-0000-000019000000}" name="završni porezna" dataDxfId="182"/>
    <tableColumn id="26" xr3:uid="{00000000-0010-0000-0000-00001A000000}" name="završni fina" dataDxfId="181"/>
    <tableColumn id="27" xr3:uid="{00000000-0010-0000-0000-00001B000000}" name="opz stat" dataDxfId="180"/>
    <tableColumn id="28" xr3:uid="{00000000-0010-0000-0000-00001C000000}" name="pd ipo" dataDxfId="179"/>
    <tableColumn id="29" xr3:uid="{00000000-0010-0000-0000-00001D000000}" name="Djelatnost" dataDxfId="178"/>
    <tableColumn id="30" xr3:uid="{00000000-0010-0000-0000-00001E000000}" name="datum od" dataDxfId="177"/>
    <tableColumn id="31" xr3:uid="{00000000-0010-0000-0000-00001F000000}" name="datum do" dataDxfId="176"/>
    <tableColumn id="32" xr3:uid="{00000000-0010-0000-0000-000020000000}" name="sjedište datum" dataDxfId="175"/>
    <tableColumn id="33" xr3:uid="{00000000-0010-0000-0000-000021000000}" name="planirano iznos" dataDxfId="174"/>
    <tableColumn id="34" xr3:uid="{00000000-0010-0000-0000-000022000000}" name="cim" dataDxfId="173"/>
    <tableColumn id="35" xr3:uid="{00000000-0010-0000-0000-000023000000}" name="Fuj " dataDxfId="172"/>
    <tableColumn id="36" xr3:uid="{00000000-0010-0000-0000-000024000000}" name="mjeseci za obračun paušala" dataDxfId="171"/>
    <tableColumn id="37" xr3:uid="{00000000-0010-0000-0000-000025000000}" name="snu" dataDxfId="170"/>
    <tableColumn id="21" xr3:uid="{00000000-0010-0000-0000-000015000000}" name="treba e-mail" dataDxfId="169"/>
    <tableColumn id="38" xr3:uid="{00000000-0010-0000-0000-000026000000}" name="ugovor" dataDxfId="168"/>
    <tableColumn id="39" xr3:uid="{00000000-0010-0000-0000-000027000000}" name="digitalni potpisi i PUNOMOĆI" dataDxfId="167"/>
    <tableColumn id="40" xr3:uid="{00000000-0010-0000-0000-000028000000}" name="MJESTO" dataDxfId="166"/>
    <tableColumn id="41" xr3:uid="{00000000-0010-0000-0000-000029000000}" name="ADRESA" dataDxfId="165"/>
    <tableColumn id="42" xr3:uid="{00000000-0010-0000-0000-00002A000000}" name="IME DIREKTORA" dataDxfId="164"/>
    <tableColumn id="43" xr3:uid="{00000000-0010-0000-0000-00002B000000}" name="OIB DIREKTORA" dataDxfId="163"/>
    <tableColumn id="44" xr3:uid="{00000000-0010-0000-0000-00002C000000}" name="CIJENA" dataDxfId="162"/>
    <tableColumn id="45" xr3:uid="{00000000-0010-0000-0000-00002D000000}" name="DATUM UGOVORA" dataDxfId="161"/>
    <tableColumn id="46" xr3:uid="{00000000-0010-0000-0000-00002E000000}" name="Sudski registar - službeni mail " dataDxfId="1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AZ214" totalsRowCount="1" headerRowDxfId="261" dataDxfId="260">
  <autoFilter ref="A4:AZ213" xr:uid="{00000000-0009-0000-0100-000001000000}"/>
  <sortState xmlns:xlrd2="http://schemas.microsoft.com/office/spreadsheetml/2017/richdata2" ref="A5:AZ182">
    <sortCondition ref="A4:A182"/>
  </sortState>
  <tableColumns count="52">
    <tableColumn id="1" xr3:uid="{00000000-0010-0000-0100-000001000000}" name="šifra" dataDxfId="259" totalsRowDxfId="51"/>
    <tableColumn id="2" xr3:uid="{00000000-0010-0000-0100-000002000000}" name="KOMITENT" dataDxfId="258" totalsRowDxfId="50">
      <calculatedColumnFormula>VLOOKUP(Table1[[#This Row],[šifra]],Table6[],2,0)</calculatedColumnFormula>
    </tableColumn>
    <tableColumn id="3" xr3:uid="{00000000-0010-0000-0100-000003000000}" name="active" dataDxfId="257" totalsRowDxfId="49">
      <calculatedColumnFormula>VLOOKUP(Table1[[#This Row],[šifra]],Table6[],4,0)</calculatedColumnFormula>
    </tableColumn>
    <tableColumn id="5" xr3:uid="{00000000-0010-0000-0100-000005000000}" name="ugovoreno" dataDxfId="256" totalsRowDxfId="48">
      <calculatedColumnFormula>VLOOKUP(A5,Table6[],21,0)</calculatedColumnFormula>
    </tableColumn>
    <tableColumn id="51" xr3:uid="{00000000-0010-0000-0100-000033000000}" name="sjedište datum" dataDxfId="255" totalsRowDxfId="47"/>
    <tableColumn id="50" xr3:uid="{00000000-0010-0000-0100-000032000000}" name="sjedište planirano iznos" dataDxfId="254" totalsRowDxfId="46"/>
    <tableColumn id="7" xr3:uid="{00000000-0010-0000-0100-000007000000}" name="Fuj 29.06.2026 sa pdv-om" totalsRowFunction="sum" dataDxfId="253" totalsRowDxfId="45"/>
    <tableColumn id="53" xr3:uid="{00000000-0010-0000-0100-000035000000}" name="ZA FRANŠIZU" totalsRowFunction="sum" dataDxfId="252" totalsRowDxfId="44"/>
    <tableColumn id="45" xr3:uid="{00000000-0010-0000-0100-00002D000000}" name="1-PC" dataDxfId="251" totalsRowDxfId="43"/>
    <tableColumn id="6" xr3:uid="{00000000-0010-0000-0100-000006000000}" name="1planiran" totalsRowFunction="sum" dataDxfId="250" totalsRowDxfId="42"/>
    <tableColumn id="4" xr3:uid="{00000000-0010-0000-0100-000004000000}" name="1.ost" totalsRowFunction="sum" dataDxfId="249" totalsRowDxfId="41"/>
    <tableColumn id="46" xr3:uid="{00000000-0010-0000-0100-00002E000000}" name="2-PC" dataDxfId="248" totalsRowDxfId="40"/>
    <tableColumn id="17" xr3:uid="{00000000-0010-0000-0100-000011000000}" name="2planirano" totalsRowFunction="sum" dataDxfId="247" totalsRowDxfId="39"/>
    <tableColumn id="28" xr3:uid="{00000000-0010-0000-0100-00001C000000}" name="2.ost" totalsRowFunction="sum" dataDxfId="246" totalsRowDxfId="38"/>
    <tableColumn id="47" xr3:uid="{00000000-0010-0000-0100-00002F000000}" name="3-PC" dataDxfId="245" totalsRowDxfId="37"/>
    <tableColumn id="18" xr3:uid="{00000000-0010-0000-0100-000012000000}" name="3 plan" totalsRowFunction="sum" dataDxfId="244" totalsRowDxfId="36"/>
    <tableColumn id="29" xr3:uid="{00000000-0010-0000-0100-00001D000000}" name="3. ost" totalsRowFunction="sum" dataDxfId="243" totalsRowDxfId="35"/>
    <tableColumn id="48" xr3:uid="{00000000-0010-0000-0100-000030000000}" name="4-PC" dataDxfId="242" totalsRowDxfId="34"/>
    <tableColumn id="19" xr3:uid="{00000000-0010-0000-0100-000013000000}" name="4 plan" totalsRowFunction="sum" dataDxfId="241" totalsRowDxfId="33"/>
    <tableColumn id="30" xr3:uid="{00000000-0010-0000-0100-00001E000000}" name="4 ost" totalsRowFunction="sum" dataDxfId="240" totalsRowDxfId="32"/>
    <tableColumn id="14" xr3:uid="{00000000-0010-0000-0100-00000E000000}" name="5 - PC" dataDxfId="239" totalsRowDxfId="31"/>
    <tableColumn id="20" xr3:uid="{00000000-0010-0000-0100-000014000000}" name="5 plan" totalsRowFunction="sum" dataDxfId="238" totalsRowDxfId="30"/>
    <tableColumn id="31" xr3:uid="{00000000-0010-0000-0100-00001F000000}" name="5 ost" totalsRowFunction="sum" dataDxfId="237" totalsRowDxfId="29"/>
    <tableColumn id="15" xr3:uid="{00000000-0010-0000-0100-00000F000000}" name="6-PC" dataDxfId="236" totalsRowDxfId="28"/>
    <tableColumn id="21" xr3:uid="{00000000-0010-0000-0100-000015000000}" name="6 plan" totalsRowFunction="sum" dataDxfId="235" totalsRowDxfId="27"/>
    <tableColumn id="12" xr3:uid="{00000000-0010-0000-0100-00000C000000}" name="6.ost" totalsRowFunction="sum" dataDxfId="234" totalsRowDxfId="26"/>
    <tableColumn id="16" xr3:uid="{00000000-0010-0000-0100-000010000000}" name="7-PC" dataDxfId="233" totalsRowDxfId="25"/>
    <tableColumn id="32" xr3:uid="{00000000-0010-0000-0100-000020000000}" name="7 plan" totalsRowFunction="sum" dataDxfId="232" totalsRowDxfId="24"/>
    <tableColumn id="22" xr3:uid="{00000000-0010-0000-0100-000016000000}" name="7 ost" totalsRowFunction="sum" dataDxfId="231" totalsRowDxfId="23"/>
    <tableColumn id="33" xr3:uid="{00000000-0010-0000-0100-000021000000}" name="8-PC" dataDxfId="230" totalsRowDxfId="22"/>
    <tableColumn id="23" xr3:uid="{00000000-0010-0000-0100-000017000000}" name="8plan" totalsRowFunction="sum" dataDxfId="229" totalsRowDxfId="21"/>
    <tableColumn id="34" xr3:uid="{00000000-0010-0000-0100-000022000000}" name="8.ost" totalsRowFunction="sum" dataDxfId="228" totalsRowDxfId="20"/>
    <tableColumn id="41" xr3:uid="{00000000-0010-0000-0100-000029000000}" name="9-PC" dataDxfId="227" totalsRowDxfId="19"/>
    <tableColumn id="24" xr3:uid="{00000000-0010-0000-0100-000018000000}" name="9plan" totalsRowFunction="sum" dataDxfId="226" totalsRowDxfId="18"/>
    <tableColumn id="35" xr3:uid="{00000000-0010-0000-0100-000023000000}" name="9 ost" totalsRowFunction="sum" dataDxfId="225" totalsRowDxfId="17"/>
    <tableColumn id="42" xr3:uid="{00000000-0010-0000-0100-00002A000000}" name="10-PC" dataDxfId="224" totalsRowDxfId="16"/>
    <tableColumn id="25" xr3:uid="{00000000-0010-0000-0100-000019000000}" name="10plan" totalsRowFunction="sum" dataDxfId="223" totalsRowDxfId="15"/>
    <tableColumn id="36" xr3:uid="{00000000-0010-0000-0100-000024000000}" name="10 ost" totalsRowFunction="sum" dataDxfId="222" totalsRowDxfId="14"/>
    <tableColumn id="43" xr3:uid="{00000000-0010-0000-0100-00002B000000}" name="11-PC" dataDxfId="221" totalsRowDxfId="13"/>
    <tableColumn id="26" xr3:uid="{00000000-0010-0000-0100-00001A000000}" name="11plan" totalsRowFunction="sum" dataDxfId="220" totalsRowDxfId="12"/>
    <tableColumn id="37" xr3:uid="{00000000-0010-0000-0100-000025000000}" name="11 ost" totalsRowFunction="sum" dataDxfId="219" totalsRowDxfId="11"/>
    <tableColumn id="44" xr3:uid="{00000000-0010-0000-0100-00002C000000}" name="12-PC" dataDxfId="218" totalsRowDxfId="10"/>
    <tableColumn id="27" xr3:uid="{00000000-0010-0000-0100-00001B000000}" name="12plan" totalsRowFunction="sum" dataDxfId="217" totalsRowDxfId="9"/>
    <tableColumn id="38" xr3:uid="{00000000-0010-0000-0100-000026000000}" name="12 ost" totalsRowFunction="sum" dataDxfId="216" totalsRowDxfId="8"/>
    <tableColumn id="49" xr3:uid="{00000000-0010-0000-0100-000031000000}" name="cijena od 01.01.2026" dataDxfId="215" totalsRowDxfId="7"/>
    <tableColumn id="39" xr3:uid="{00000000-0010-0000-0100-000027000000}" name="ukupno planirano" totalsRowFunction="sum" dataDxfId="214" totalsRowDxfId="6">
      <calculatedColumnFormula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calculatedColumnFormula>
    </tableColumn>
    <tableColumn id="40" xr3:uid="{00000000-0010-0000-0100-000028000000}" name="ukupno ostvareno" totalsRowFunction="sum" dataDxfId="213" totalsRowDxfId="5">
      <calculatedColumnFormula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calculatedColumnFormula>
    </tableColumn>
    <tableColumn id="8" xr3:uid="{00000000-0010-0000-0100-000008000000}" name="PC-SJ" totalsRowFunction="sum" dataDxfId="212" totalsRowDxfId="4"/>
    <tableColumn id="10" xr3:uid="{00000000-0010-0000-0100-00000A000000}" name="ostvareno iznos u toku godine" totalsRowFunction="sum" dataDxfId="211" totalsRowDxfId="3"/>
    <tableColumn id="9" xr3:uid="{00000000-0010-0000-0100-000009000000}" name="Column1" totalsRowFunction="sum" dataDxfId="210" totalsRowDxfId="2"/>
    <tableColumn id="11" xr3:uid="{00000000-0010-0000-0100-00000B000000}" name="Column2" totalsRowFunction="sum" dataDxfId="209" totalsRowDxfId="1"/>
    <tableColumn id="13" xr3:uid="{00000000-0010-0000-0100-00000D000000}" name="cim" dataDxfId="208" totalsRowDxfId="0">
      <calculatedColumnFormula>VLOOKUP(A5,Table6[],30,0)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17" displayName="Table17" ref="A5:AV207" totalsRowShown="0">
  <autoFilter ref="A5:AV207" xr:uid="{00000000-0009-0000-0100-000006000000}"/>
  <sortState xmlns:xlrd2="http://schemas.microsoft.com/office/spreadsheetml/2017/richdata2" ref="A15:AV176">
    <sortCondition ref="A5:A176"/>
  </sortState>
  <tableColumns count="48">
    <tableColumn id="1" xr3:uid="{00000000-0010-0000-0200-000001000000}" name="šifra" dataDxfId="159"/>
    <tableColumn id="2" xr3:uid="{00000000-0010-0000-0200-000002000000}" name="KOMITENT" dataDxfId="158">
      <calculatedColumnFormula>VLOOKUP(Table17[[#This Row],[šifra]],Table6[],2,0)</calculatedColumnFormula>
    </tableColumn>
    <tableColumn id="34" xr3:uid="{00000000-0010-0000-0200-000022000000}" name="active" dataDxfId="157">
      <calculatedColumnFormula>VLOOKUP(Table17[[#This Row],[šifra]],Table6[],3,0)</calculatedColumnFormula>
    </tableColumn>
    <tableColumn id="37" xr3:uid="{00000000-0010-0000-0200-000025000000}" name="tko vodi" dataDxfId="156">
      <calculatedColumnFormula>VLOOKUP(Table17[[#This Row],[šifra]],Table6[],4,0)</calculatedColumnFormula>
    </tableColumn>
    <tableColumn id="44" xr3:uid="{00000000-0010-0000-0200-00002C000000}" name="e-mail" dataDxfId="155">
      <calculatedColumnFormula>VLOOKUP(Table17[[#This Row],[šifra]],Table6[],6,0)</calculatedColumnFormula>
    </tableColumn>
    <tableColumn id="9" xr3:uid="{00000000-0010-0000-0200-000009000000}" name="plaće" dataDxfId="154">
      <calculatedColumnFormula>VLOOKUP(Table17[[#This Row],[šifra]],Table2,11,0)</calculatedColumnFormula>
    </tableColumn>
    <tableColumn id="6" xr3:uid="{00000000-0010-0000-0200-000006000000}" name="MJ_pdv" dataDxfId="153">
      <calculatedColumnFormula>VLOOKUP(Table17[[#This Row],[šifra]],Table2,10,0)</calculatedColumnFormula>
    </tableColumn>
    <tableColumn id="7" xr3:uid="{00000000-0010-0000-0200-000007000000}" name="DALI ZAVRŠNI 2025" dataDxfId="152">
      <calculatedColumnFormula>poduzeća!W2</calculatedColumnFormula>
    </tableColumn>
    <tableColumn id="42" xr3:uid="{00000000-0010-0000-0200-00002A000000}" name="dogovoreno" dataDxfId="151"/>
    <tableColumn id="3" xr3:uid="{00000000-0010-0000-0200-000003000000}" name="plaće_12" dataDxfId="150"/>
    <tableColumn id="4" xr3:uid="{00000000-0010-0000-0200-000004000000}" name="pdv_12" dataDxfId="149"/>
    <tableColumn id="46" xr3:uid="{00000000-0010-0000-0200-00002E000000}" name="OPZ STAT" dataDxfId="148"/>
    <tableColumn id="10" xr3:uid="{00000000-0010-0000-0200-00000A000000}" name="plaće_1" dataDxfId="147"/>
    <tableColumn id="13" xr3:uid="{00000000-0010-0000-0200-00000D000000}" name="pdv_1" dataDxfId="146"/>
    <tableColumn id="55" xr3:uid="{00000000-0010-0000-0200-000037000000}" name="izvj" dataDxfId="145"/>
    <tableColumn id="14" xr3:uid="{00000000-0010-0000-0200-00000E000000}" name="plaće_2" dataDxfId="144"/>
    <tableColumn id="15" xr3:uid="{00000000-0010-0000-0200-00000F000000}" name="pdv_2" dataDxfId="143"/>
    <tableColumn id="56" xr3:uid="{00000000-0010-0000-0200-000038000000}" name="izvj_2" dataDxfId="142"/>
    <tableColumn id="16" xr3:uid="{00000000-0010-0000-0200-000010000000}" name="plaće_3" dataDxfId="141"/>
    <tableColumn id="17" xr3:uid="{00000000-0010-0000-0200-000011000000}" name="pdv_3" dataDxfId="140"/>
    <tableColumn id="5" xr3:uid="{00000000-0010-0000-0200-000005000000}" name="izvještaji" dataDxfId="139"/>
    <tableColumn id="18" xr3:uid="{00000000-0010-0000-0200-000012000000}" name="plaće_4" dataDxfId="138"/>
    <tableColumn id="19" xr3:uid="{00000000-0010-0000-0200-000013000000}" name="pdv_4" dataDxfId="137"/>
    <tableColumn id="11" xr3:uid="{00000000-0010-0000-0200-00000B000000}" name="IZVJ4" dataDxfId="136"/>
    <tableColumn id="20" xr3:uid="{00000000-0010-0000-0200-000014000000}" name="plaće_5" dataDxfId="135"/>
    <tableColumn id="21" xr3:uid="{00000000-0010-0000-0200-000015000000}" name="pdv_5" dataDxfId="134"/>
    <tableColumn id="35" xr3:uid="{00000000-0010-0000-0200-000023000000}" name="snu obrazac" dataDxfId="133"/>
    <tableColumn id="12" xr3:uid="{00000000-0010-0000-0200-00000C000000}" name="izvj42" dataDxfId="132"/>
    <tableColumn id="22" xr3:uid="{00000000-0010-0000-0200-000016000000}" name="plaće_6" dataDxfId="131"/>
    <tableColumn id="23" xr3:uid="{00000000-0010-0000-0200-000017000000}" name="pdv_6" dataDxfId="130"/>
    <tableColumn id="36" xr3:uid="{00000000-0010-0000-0200-000024000000}" name="IZVJ_6" dataDxfId="129"/>
    <tableColumn id="24" xr3:uid="{00000000-0010-0000-0200-000018000000}" name="plaće_7" dataDxfId="128"/>
    <tableColumn id="25" xr3:uid="{00000000-0010-0000-0200-000019000000}" name="pdv_7" dataDxfId="127"/>
    <tableColumn id="39" xr3:uid="{00000000-0010-0000-0200-000027000000}" name="izvj_7" dataDxfId="126"/>
    <tableColumn id="26" xr3:uid="{00000000-0010-0000-0200-00001A000000}" name="plaće_8" dataDxfId="125"/>
    <tableColumn id="27" xr3:uid="{00000000-0010-0000-0200-00001B000000}" name="pdv_8" dataDxfId="124"/>
    <tableColumn id="38" xr3:uid="{00000000-0010-0000-0200-000026000000}" name="izvještaj_8" dataDxfId="123"/>
    <tableColumn id="28" xr3:uid="{00000000-0010-0000-0200-00001C000000}" name="plaće_9" dataDxfId="122"/>
    <tableColumn id="29" xr3:uid="{00000000-0010-0000-0200-00001D000000}" name="pdv_9" dataDxfId="121"/>
    <tableColumn id="40" xr3:uid="{00000000-0010-0000-0200-000028000000}" name="izvj_9" dataDxfId="120"/>
    <tableColumn id="30" xr3:uid="{00000000-0010-0000-0200-00001E000000}" name="plaće_10" dataDxfId="119"/>
    <tableColumn id="31" xr3:uid="{00000000-0010-0000-0200-00001F000000}" name="pdv_10" dataDxfId="118"/>
    <tableColumn id="41" xr3:uid="{00000000-0010-0000-0200-000029000000}" name="izvj_10" dataDxfId="117"/>
    <tableColumn id="32" xr3:uid="{00000000-0010-0000-0200-000020000000}" name="plaće_11" dataDxfId="116"/>
    <tableColumn id="33" xr3:uid="{00000000-0010-0000-0200-000021000000}" name="pdv_11" dataDxfId="115"/>
    <tableColumn id="8" xr3:uid="{00000000-0010-0000-0200-000008000000}" name="izvj_11" dataDxfId="114"/>
    <tableColumn id="49" xr3:uid="{00000000-0010-0000-0200-000031000000}" name="ostalo" dataDxfId="113"/>
    <tableColumn id="50" xr3:uid="{00000000-0010-0000-0200-000032000000}" name="ostalo2" dataDxfId="1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9" displayName="Table9" ref="A2:O4" totalsRowShown="0">
  <autoFilter ref="A2:O4" xr:uid="{00000000-0009-0000-0100-000009000000}"/>
  <tableColumns count="15">
    <tableColumn id="1" xr3:uid="{00000000-0010-0000-0300-000001000000}" name="IME"/>
    <tableColumn id="2" xr3:uid="{00000000-0010-0000-0300-000002000000}" name="VRSTA"/>
    <tableColumn id="15" xr3:uid="{00000000-0010-0000-0300-00000F000000}" name="AKTIVNO"/>
    <tableColumn id="3" xr3:uid="{00000000-0010-0000-0300-000003000000}" name="01." dataDxfId="111"/>
    <tableColumn id="4" xr3:uid="{00000000-0010-0000-0300-000004000000}" name="02." dataDxfId="110"/>
    <tableColumn id="5" xr3:uid="{00000000-0010-0000-0300-000005000000}" name="03." dataDxfId="109"/>
    <tableColumn id="6" xr3:uid="{00000000-0010-0000-0300-000006000000}" name="04." dataDxfId="108"/>
    <tableColumn id="7" xr3:uid="{00000000-0010-0000-0300-000007000000}" name="05." dataDxfId="107"/>
    <tableColumn id="8" xr3:uid="{00000000-0010-0000-0300-000008000000}" name="06." dataDxfId="106"/>
    <tableColumn id="9" xr3:uid="{00000000-0010-0000-0300-000009000000}" name="07." dataDxfId="105"/>
    <tableColumn id="10" xr3:uid="{00000000-0010-0000-0300-00000A000000}" name="08." dataDxfId="104"/>
    <tableColumn id="11" xr3:uid="{00000000-0010-0000-0300-00000B000000}" name="09." dataDxfId="103"/>
    <tableColumn id="12" xr3:uid="{00000000-0010-0000-0300-00000C000000}" name="010." dataDxfId="102"/>
    <tableColumn id="13" xr3:uid="{00000000-0010-0000-0300-00000D000000}" name="011." dataDxfId="101"/>
    <tableColumn id="14" xr3:uid="{00000000-0010-0000-0300-00000E000000}" name="012." dataDxfId="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H3:I14" totalsRowCount="1">
  <autoFilter ref="H3:I13" xr:uid="{00000000-0009-0000-0100-00000A000000}"/>
  <tableColumns count="2">
    <tableColumn id="1" xr3:uid="{00000000-0010-0000-0400-000001000000}" name="ukupno sa r1" totalsRowFunction="sum" dataDxfId="98"/>
    <tableColumn id="2" xr3:uid="{00000000-0010-0000-0400-000002000000}" name="tk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A12:AA23" totalsRowCount="1">
  <autoFilter ref="A12:AA22" xr:uid="{00000000-0009-0000-0100-000003000000}"/>
  <tableColumns count="27">
    <tableColumn id="1" xr3:uid="{00000000-0010-0000-0500-000001000000}" name="Row Labels"/>
    <tableColumn id="25" xr3:uid="{00000000-0010-0000-0500-000019000000}" name="12.mj" totalsRowFunction="sum" dataDxfId="97"/>
    <tableColumn id="24" xr3:uid="{00000000-0010-0000-0500-000018000000}" name="12.mj2" dataDxfId="96"/>
    <tableColumn id="23" xr3:uid="{00000000-0010-0000-0500-000017000000}" name="11.mj" totalsRowFunction="sum" dataDxfId="95"/>
    <tableColumn id="22" xr3:uid="{00000000-0010-0000-0500-000016000000}" name="11.mj2" totalsRowFunction="sum"/>
    <tableColumn id="20" xr3:uid="{00000000-0010-0000-0500-000014000000}" name="10.mj" totalsRowFunction="sum" dataDxfId="94"/>
    <tableColumn id="21" xr3:uid="{00000000-0010-0000-0500-000015000000}" name="10.mj2" totalsRowFunction="sum"/>
    <tableColumn id="19" xr3:uid="{00000000-0010-0000-0500-000013000000}" name="9.mj" totalsRowFunction="sum" dataDxfId="93"/>
    <tableColumn id="18" xr3:uid="{00000000-0010-0000-0500-000012000000}" name="9.mj2" totalsRowFunction="sum"/>
    <tableColumn id="16" xr3:uid="{00000000-0010-0000-0500-000010000000}" name="8. mj" totalsRowFunction="custom" dataDxfId="92">
      <totalsRowFormula>SUM(Table3[8. mj])</totalsRowFormula>
    </tableColumn>
    <tableColumn id="17" xr3:uid="{00000000-0010-0000-0500-000011000000}" name="8mj." totalsRowFunction="sum" dataDxfId="91"/>
    <tableColumn id="2" xr3:uid="{00000000-0010-0000-0500-000002000000}" name="Count of 7plan" totalsRowFunction="sum"/>
    <tableColumn id="3" xr3:uid="{00000000-0010-0000-0500-000003000000}" name="Sum of 7 ostvareno" totalsRowFunction="sum" dataDxfId="90"/>
    <tableColumn id="4" xr3:uid="{00000000-0010-0000-0500-000004000000}" name="Broj od 6 plan" totalsRowFunction="sum"/>
    <tableColumn id="5" xr3:uid="{00000000-0010-0000-0500-000005000000}" name="Zbroj od 6ostvareno" totalsRowFunction="sum" dataDxfId="89"/>
    <tableColumn id="6" xr3:uid="{00000000-0010-0000-0500-000006000000}" name="Count of 5 plan" totalsRowFunction="sum"/>
    <tableColumn id="7" xr3:uid="{00000000-0010-0000-0500-000007000000}" name="Sum of 5 OSTVARENO" totalsRowFunction="sum" dataDxfId="88"/>
    <tableColumn id="8" xr3:uid="{00000000-0010-0000-0500-000008000000}" name="Count of 4 plan2" totalsRowFunction="sum"/>
    <tableColumn id="9" xr3:uid="{00000000-0010-0000-0500-000009000000}" name="Sum of 4 OSTVARENO3" totalsRowFunction="sum" dataDxfId="87"/>
    <tableColumn id="10" xr3:uid="{00000000-0010-0000-0500-00000A000000}" name="Count of 3 plan" totalsRowFunction="sum"/>
    <tableColumn id="11" xr3:uid="{00000000-0010-0000-0500-00000B000000}" name="Sum of 3ostvareno" totalsRowFunction="sum" dataDxfId="86"/>
    <tableColumn id="12" xr3:uid="{00000000-0010-0000-0500-00000C000000}" name="Count of 2planirano" totalsRowFunction="sum"/>
    <tableColumn id="13" xr3:uid="{00000000-0010-0000-0500-00000D000000}" name="Sum of 2 ostvareno" totalsRowFunction="sum" dataDxfId="85"/>
    <tableColumn id="14" xr3:uid="{00000000-0010-0000-0500-00000E000000}" name="Count of 1planiran" totalsRowFunction="sum" dataDxfId="84"/>
    <tableColumn id="15" xr3:uid="{00000000-0010-0000-0500-00000F000000}" name="Sum of 1ostvaren" totalsRowFunction="sum" dataDxfId="83"/>
    <tableColumn id="26" xr3:uid="{00000000-0010-0000-0500-00001A000000}" name="ukupno" totalsRowFunction="sum" dataDxfId="82">
      <calculatedColumnFormula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calculatedColumnFormula>
    </tableColumn>
    <tableColumn id="27" xr3:uid="{00000000-0010-0000-0500-00001B000000}" name="prosjek " dataDxfId="81">
      <calculatedColumnFormula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11" displayName="Table11" ref="A28:C36" totalsRowCount="1">
  <autoFilter ref="A28:C35" xr:uid="{00000000-0009-0000-0100-00000B000000}"/>
  <sortState xmlns:xlrd2="http://schemas.microsoft.com/office/spreadsheetml/2017/richdata2" ref="A28:C35">
    <sortCondition descending="1" ref="B28:B35"/>
  </sortState>
  <tableColumns count="3">
    <tableColumn id="1" xr3:uid="{00000000-0010-0000-0600-000001000000}" name="radnik"/>
    <tableColumn id="2" xr3:uid="{00000000-0010-0000-0600-000002000000}" name="iznos" totalsRowFunction="sum" dataDxfId="80"/>
    <tableColumn id="3" xr3:uid="{00000000-0010-0000-0600-000003000000}" name="PROSJEK PODUZEĆA" dataDxfId="79">
      <calculatedColumnFormula>AA14+AA19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le4" displayName="Table4" ref="A7:F86" totalsRowCount="1">
  <autoFilter ref="A7:F85" xr:uid="{00000000-0009-0000-0100-000004000000}"/>
  <sortState xmlns:xlrd2="http://schemas.microsoft.com/office/spreadsheetml/2017/richdata2" ref="A7:F85">
    <sortCondition ref="E7:E30"/>
  </sortState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 totalsRowFunction="sum" dataDxfId="78"/>
    <tableColumn id="5" xr3:uid="{00000000-0010-0000-0700-000005000000}" name="uplata"/>
    <tableColumn id="6" xr3:uid="{00000000-0010-0000-0700-000006000000}" name="prepl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5" displayName="Table5" ref="A3:B46" totalsRowShown="0">
  <autoFilter ref="A3:B46" xr:uid="{00000000-0009-0000-0100-000005000000}"/>
  <sortState xmlns:xlrd2="http://schemas.microsoft.com/office/spreadsheetml/2017/richdata2" ref="A3:B46">
    <sortCondition ref="A3:A34"/>
  </sortState>
  <tableColumns count="2">
    <tableColumn id="1" xr3:uid="{00000000-0010-0000-0800-000001000000}" name="Ime i prezime" dataDxfId="77"/>
    <tableColumn id="2" xr3:uid="{00000000-0010-0000-0800-000002000000}" name="status" dataDxfId="7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Table21" displayName="Table21" ref="A1:D1152" totalsRowCount="1">
  <autoFilter ref="A1:D1151" xr:uid="{00000000-0009-0000-0100-000014000000}"/>
  <tableColumns count="4">
    <tableColumn id="1" xr3:uid="{00000000-0010-0000-0900-000001000000}" name="pc" dataDxfId="74"/>
    <tableColumn id="2" xr3:uid="{00000000-0010-0000-0900-000002000000}" name="planirano " totalsRowFunction="sum" dataDxfId="73"/>
    <tableColumn id="3" xr3:uid="{00000000-0010-0000-0900-000003000000}" name="ostvareno" totalsRowFunction="sum" dataDxfId="72"/>
    <tableColumn id="4" xr3:uid="{00000000-0010-0000-0900-000004000000}" name="mjese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Table23" displayName="Table23" ref="J2:N12" totalsRowCount="1">
  <autoFilter ref="J2:N11" xr:uid="{00000000-0009-0000-0100-000015000000}"/>
  <sortState xmlns:xlrd2="http://schemas.microsoft.com/office/spreadsheetml/2017/richdata2" ref="J2:N11">
    <sortCondition descending="1" ref="L2:L11"/>
  </sortState>
  <tableColumns count="5">
    <tableColumn id="1" xr3:uid="{00000000-0010-0000-0A00-000001000000}" name="PC" dataDxfId="71"/>
    <tableColumn id="2" xr3:uid="{00000000-0010-0000-0A00-000002000000}" name="Knjig" dataDxfId="70"/>
    <tableColumn id="3" xr3:uid="{00000000-0010-0000-0A00-000003000000}" name="Prihod" totalsRowFunction="sum" dataDxfId="69"/>
    <tableColumn id="4" xr3:uid="{00000000-0010-0000-0A00-000004000000}" name="mjeseci"/>
    <tableColumn id="5" xr3:uid="{00000000-0010-0000-0A00-000005000000}" name="Prosjek" dataDxfId="68">
      <calculatedColumnFormula>Table23[[#This Row],[Prihod]]/Table23[[#This Row],[mjeseci]]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lica7" displayName="Tablica7" ref="A3:C11" totalsRowCount="1">
  <autoFilter ref="A3:C10" xr:uid="{00000000-0009-0000-0100-000007000000}"/>
  <tableColumns count="3">
    <tableColumn id="1" xr3:uid="{00000000-0010-0000-0B00-000001000000}" name="Row Labels"/>
    <tableColumn id="2" xr3:uid="{00000000-0010-0000-0B00-000002000000}" name="ukupno" totalsRowFunction="sum" dataDxfId="67"/>
    <tableColumn id="3" xr3:uid="{00000000-0010-0000-0B00-000003000000}" name="prosjek " dataDxfId="6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Table12" displayName="Table12" ref="A17:J25" totalsRowShown="0">
  <autoFilter ref="A17:J25" xr:uid="{00000000-0009-0000-0100-00000C000000}"/>
  <tableColumns count="10">
    <tableColumn id="1" xr3:uid="{00000000-0010-0000-0C00-000001000000}" name="Godina"/>
    <tableColumn id="2" xr3:uid="{00000000-0010-0000-0C00-000002000000}" name="Planirano"/>
    <tableColumn id="3" xr3:uid="{00000000-0010-0000-0C00-000003000000}" name="Ostvareno" dataDxfId="65"/>
    <tableColumn id="4" xr3:uid="{00000000-0010-0000-0C00-000004000000}" name="povećanje u odnosu na planirano" dataDxfId="64">
      <calculatedColumnFormula>1-Table12[[#This Row],[Planirano]]/Table12[[#This Row],[Ostvareno]]</calculatedColumnFormula>
    </tableColumn>
    <tableColumn id="6" xr3:uid="{00000000-0010-0000-0C00-000006000000}" name="Ostvareno kp" dataDxfId="63"/>
    <tableColumn id="7" xr3:uid="{00000000-0010-0000-0C00-000007000000}" name="Povećanje u odnosu na promet" dataDxfId="62">
      <calculatedColumnFormula>Table12[[#This Row],[Ostvareno kp]]/Table12[[#This Row],[Ostvareno]]</calculatedColumnFormula>
    </tableColumn>
    <tableColumn id="5" xr3:uid="{00000000-0010-0000-0C00-000005000000}" name="broj zaposlenih"/>
    <tableColumn id="8" xr3:uid="{00000000-0010-0000-0C00-000008000000}" name="povećanje u broju zaposlenih" dataDxfId="61">
      <calculatedColumnFormula>Table12[[#This Row],[broj zaposlenih]]/G17-1</calculatedColumnFormula>
    </tableColumn>
    <tableColumn id="9" xr3:uid="{00000000-0010-0000-0C00-000009000000}" name="prihod po djelatniku" dataDxfId="60">
      <calculatedColumnFormula>Table12[[#This Row],[Ostvareno]]/Table12[[#This Row],[broj zaposlenih]]</calculatedColumnFormula>
    </tableColumn>
    <tableColumn id="10" xr3:uid="{00000000-0010-0000-0C00-00000A000000}" name="dobit u postotku" dataDxfId="5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able13" displayName="Table13" ref="A5:F66" totalsRowShown="0">
  <autoFilter ref="A5:F66" xr:uid="{00000000-0009-0000-0100-00000D000000}"/>
  <tableColumns count="6">
    <tableColumn id="1" xr3:uid="{00000000-0010-0000-0D00-000001000000}" name="VRSTA" dataDxfId="58"/>
    <tableColumn id="2" xr3:uid="{00000000-0010-0000-0D00-000002000000}" name="PODVRSTA HU" dataDxfId="57"/>
    <tableColumn id="3" xr3:uid="{00000000-0010-0000-0D00-000003000000}" name="PODVRSTA hr" dataDxfId="56"/>
    <tableColumn id="4" xr3:uid="{00000000-0010-0000-0D00-000004000000}" name="KN" dataDxfId="55" totalsRowDxfId="54"/>
    <tableColumn id="5" xr3:uid="{00000000-0010-0000-0D00-000005000000}" name="EUR" dataDxfId="53" totalsRowDxfId="52"/>
    <tableColumn id="6" xr3:uid="{00000000-0010-0000-0D00-000006000000}" name="KREIRANJE CIJE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E000000}" name="Table8" displayName="Table8" ref="A15:D45" totalsRowShown="0">
  <autoFilter ref="A15:D45" xr:uid="{00000000-0009-0000-0100-000008000000}"/>
  <sortState xmlns:xlrd2="http://schemas.microsoft.com/office/spreadsheetml/2017/richdata2" ref="A16:C39">
    <sortCondition ref="A15:A39"/>
  </sortState>
  <tableColumns count="4">
    <tableColumn id="1" xr3:uid="{00000000-0010-0000-0E00-000001000000}" name="ŠIFRA"/>
    <tableColumn id="2" xr3:uid="{00000000-0010-0000-0E00-000002000000}" name="IME"/>
    <tableColumn id="3" xr3:uid="{00000000-0010-0000-0E00-000003000000}" name="analitika"/>
    <tableColumn id="4" xr3:uid="{00000000-0010-0000-0E00-000004000000}" name="Column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Table15" displayName="Table15" ref="I15:I26" totalsRowShown="0">
  <autoFilter ref="I15:I26" xr:uid="{00000000-0009-0000-0100-00000F000000}"/>
  <tableColumns count="1">
    <tableColumn id="1" xr3:uid="{00000000-0010-0000-0F00-000001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2023PINETA@GMAIL.COM" TargetMode="External"/><Relationship Id="rId21" Type="http://schemas.openxmlformats.org/officeDocument/2006/relationships/hyperlink" Target="mailto:5sedmina@gmail.com" TargetMode="External"/><Relationship Id="rId42" Type="http://schemas.openxmlformats.org/officeDocument/2006/relationships/hyperlink" Target="mailto:robert.verebi@vr-consulting.hr,melissa.horvat21@gmail.com" TargetMode="External"/><Relationship Id="rId63" Type="http://schemas.openxmlformats.org/officeDocument/2006/relationships/hyperlink" Target="mailto:robert.verebi@vr-consulting.hr,melissa.horvat21@gmail.com" TargetMode="External"/><Relationship Id="rId84" Type="http://schemas.openxmlformats.org/officeDocument/2006/relationships/hyperlink" Target="mailto:protects.life.doo@gmail.com%20/%20Pl2116" TargetMode="External"/><Relationship Id="rId138" Type="http://schemas.openxmlformats.org/officeDocument/2006/relationships/hyperlink" Target="mailto:2023PINETA@GMAIL.COM/%20Ke2025" TargetMode="External"/><Relationship Id="rId159" Type="http://schemas.openxmlformats.org/officeDocument/2006/relationships/hyperlink" Target="mailto:suko.consulting@gmail.com/Hb2025" TargetMode="External"/><Relationship Id="rId170" Type="http://schemas.openxmlformats.org/officeDocument/2006/relationships/hyperlink" Target="mailto:ibolya.szaszko64@gmail.com/Is2025" TargetMode="External"/><Relationship Id="rId191" Type="http://schemas.openxmlformats.org/officeDocument/2006/relationships/hyperlink" Target="mailto:robert.verebi@vr-consulting.hr,melissa.horvat21@gmail.com" TargetMode="External"/><Relationship Id="rId205" Type="http://schemas.openxmlformats.org/officeDocument/2006/relationships/hyperlink" Target="mailto:takihome.doo@gmail.com" TargetMode="External"/><Relationship Id="rId226" Type="http://schemas.openxmlformats.org/officeDocument/2006/relationships/hyperlink" Target="mailto:attilarusko@gmail.com" TargetMode="External"/><Relationship Id="rId107" Type="http://schemas.openxmlformats.org/officeDocument/2006/relationships/hyperlink" Target="mailto:szemeredi@kenlube.hu%20%20%20/abcdef" TargetMode="External"/><Relationship Id="rId11" Type="http://schemas.openxmlformats.org/officeDocument/2006/relationships/hyperlink" Target="mailto:nemethy.peter@lmland.hu" TargetMode="External"/><Relationship Id="rId32" Type="http://schemas.openxmlformats.org/officeDocument/2006/relationships/hyperlink" Target="mailto:info@agronomist.bio" TargetMode="External"/><Relationship Id="rId53" Type="http://schemas.openxmlformats.org/officeDocument/2006/relationships/hyperlink" Target="mailto:agroadria.international@gmail.com" TargetMode="External"/><Relationship Id="rId74" Type="http://schemas.openxmlformats.org/officeDocument/2006/relationships/hyperlink" Target="mailto:aneks.obrt@gmail.com" TargetMode="External"/><Relationship Id="rId128" Type="http://schemas.openxmlformats.org/officeDocument/2006/relationships/hyperlink" Target="mailto:galistvan70@gmail.com/Ig2025" TargetMode="External"/><Relationship Id="rId149" Type="http://schemas.openxmlformats.org/officeDocument/2006/relationships/hyperlink" Target="mailto:mark.szocsics@wb.co.hu/Ms2025" TargetMode="External"/><Relationship Id="rId5" Type="http://schemas.openxmlformats.org/officeDocument/2006/relationships/hyperlink" Target="mailto:2023PINETA@GMAIL.COM" TargetMode="External"/><Relationship Id="rId95" Type="http://schemas.openxmlformats.org/officeDocument/2006/relationships/hyperlink" Target="mailto:urogi.zsolt@gmail.com%20%20%20%20/Uz2025" TargetMode="External"/><Relationship Id="rId160" Type="http://schemas.openxmlformats.org/officeDocument/2006/relationships/hyperlink" Target="mailto:boleizradakljuceva@gmail.com" TargetMode="External"/><Relationship Id="rId181" Type="http://schemas.openxmlformats.org/officeDocument/2006/relationships/hyperlink" Target="mailto:somlai.adrienn@kissepgep.hu%20%20/Ki2025" TargetMode="External"/><Relationship Id="rId216" Type="http://schemas.openxmlformats.org/officeDocument/2006/relationships/hyperlink" Target="mailto:iroda@donadome.hu" TargetMode="External"/><Relationship Id="rId237" Type="http://schemas.openxmlformats.org/officeDocument/2006/relationships/hyperlink" Target="mailto:Janos.andoci@skole.hr,%20Ja2025" TargetMode="External"/><Relationship Id="rId22" Type="http://schemas.openxmlformats.org/officeDocument/2006/relationships/hyperlink" Target="mailto:rev.tkiraly@gmail.com" TargetMode="External"/><Relationship Id="rId43" Type="http://schemas.openxmlformats.org/officeDocument/2006/relationships/hyperlink" Target="mailto:vincze.janos3@gmail.com" TargetMode="External"/><Relationship Id="rId64" Type="http://schemas.openxmlformats.org/officeDocument/2006/relationships/hyperlink" Target="mailto:kovacsp@makroteam.hu" TargetMode="External"/><Relationship Id="rId118" Type="http://schemas.openxmlformats.org/officeDocument/2006/relationships/hyperlink" Target="mailto:celia.blasszauer@medicalscan.hu" TargetMode="External"/><Relationship Id="rId139" Type="http://schemas.openxmlformats.org/officeDocument/2006/relationships/hyperlink" Target="mailto:DUNAASSISTBAU@GMAIL.COM%20/%20Bd2025" TargetMode="External"/><Relationship Id="rId85" Type="http://schemas.openxmlformats.org/officeDocument/2006/relationships/hyperlink" Target="mailto:protects.life.doo@gmail.com%20/%20Pl2116" TargetMode="External"/><Relationship Id="rId150" Type="http://schemas.openxmlformats.org/officeDocument/2006/relationships/hyperlink" Target="mailto:NEMES.ATTILA@EURONETRT.HU%20%20%20/An2025" TargetMode="External"/><Relationship Id="rId171" Type="http://schemas.openxmlformats.org/officeDocument/2006/relationships/hyperlink" Target="mailto:bestlogisticsdoo@gmail.com%20/Os2025%20OLEKSANDR%20SILADI" TargetMode="External"/><Relationship Id="rId192" Type="http://schemas.openxmlformats.org/officeDocument/2006/relationships/hyperlink" Target="mailto:b.tosenovska@modryslon.cz" TargetMode="External"/><Relationship Id="rId206" Type="http://schemas.openxmlformats.org/officeDocument/2006/relationships/hyperlink" Target="mailto:formulabazis2014@gmail.com" TargetMode="External"/><Relationship Id="rId227" Type="http://schemas.openxmlformats.org/officeDocument/2006/relationships/hyperlink" Target="mailto:toth.peter.vis@gmail.com" TargetMode="External"/><Relationship Id="rId12" Type="http://schemas.openxmlformats.org/officeDocument/2006/relationships/hyperlink" Target="mailto:gprodanovic@gmail.com" TargetMode="External"/><Relationship Id="rId33" Type="http://schemas.openxmlformats.org/officeDocument/2006/relationships/hyperlink" Target="mailto:NEMES.ATTILA@EURONETRT.HU" TargetMode="External"/><Relationship Id="rId108" Type="http://schemas.openxmlformats.org/officeDocument/2006/relationships/hyperlink" Target="mailto:haklar.laszlo@fensthermkontakt.hu%20%20%20%20%20/Hl2025" TargetMode="External"/><Relationship Id="rId129" Type="http://schemas.openxmlformats.org/officeDocument/2006/relationships/hyperlink" Target="mailto:marijanovic.slavica@gmail.com/Sm2025" TargetMode="External"/><Relationship Id="rId54" Type="http://schemas.openxmlformats.org/officeDocument/2006/relationships/hyperlink" Target="mailto:zokafr@gmail.com" TargetMode="External"/><Relationship Id="rId75" Type="http://schemas.openxmlformats.org/officeDocument/2006/relationships/hyperlink" Target="mailto:kelemen.h.peter@gmail.com" TargetMode="External"/><Relationship Id="rId96" Type="http://schemas.openxmlformats.org/officeDocument/2006/relationships/hyperlink" Target="mailto:agnes@siller.gmbh%20%20%20As2025" TargetMode="External"/><Relationship Id="rId140" Type="http://schemas.openxmlformats.org/officeDocument/2006/relationships/hyperlink" Target="mailto:andor.farkas975@gmail.com" TargetMode="External"/><Relationship Id="rId161" Type="http://schemas.openxmlformats.org/officeDocument/2006/relationships/hyperlink" Target="mailto:novilamarket@gmail.com" TargetMode="External"/><Relationship Id="rId182" Type="http://schemas.openxmlformats.org/officeDocument/2006/relationships/hyperlink" Target="mailto:szatefbaukft@gmail.com%20%20/Sb2025" TargetMode="External"/><Relationship Id="rId217" Type="http://schemas.openxmlformats.org/officeDocument/2006/relationships/hyperlink" Target="mailto:iroda@donadome.hu" TargetMode="External"/><Relationship Id="rId6" Type="http://schemas.openxmlformats.org/officeDocument/2006/relationships/hyperlink" Target="mailto:PAHACO.KFT@GMAIL.COM" TargetMode="External"/><Relationship Id="rId238" Type="http://schemas.openxmlformats.org/officeDocument/2006/relationships/hyperlink" Target="mailto:tunde@riso.hu" TargetMode="External"/><Relationship Id="rId23" Type="http://schemas.openxmlformats.org/officeDocument/2006/relationships/hyperlink" Target="mailto:ipernar@yahoo.com" TargetMode="External"/><Relationship Id="rId119" Type="http://schemas.openxmlformats.org/officeDocument/2006/relationships/hyperlink" Target="mailto:sukizsuzsa@gmail.com/%20Zs2025" TargetMode="External"/><Relationship Id="rId44" Type="http://schemas.openxmlformats.org/officeDocument/2006/relationships/hyperlink" Target="mailto:kruno.martinovic1979@gmail.com" TargetMode="External"/><Relationship Id="rId65" Type="http://schemas.openxmlformats.org/officeDocument/2006/relationships/hyperlink" Target="mailto:koszicsi2026@gmail.com" TargetMode="External"/><Relationship Id="rId86" Type="http://schemas.openxmlformats.org/officeDocument/2006/relationships/hyperlink" Target="mailto:zokafr@gmail.com%20/Zf2025" TargetMode="External"/><Relationship Id="rId130" Type="http://schemas.openxmlformats.org/officeDocument/2006/relationships/hyperlink" Target="mailto:dg.elektro25@gmail.com/ValentinaGrguric.09" TargetMode="External"/><Relationship Id="rId151" Type="http://schemas.openxmlformats.org/officeDocument/2006/relationships/hyperlink" Target="mailto:vincze.janos3@gmail.com/Jv2025" TargetMode="External"/><Relationship Id="rId172" Type="http://schemas.openxmlformats.org/officeDocument/2006/relationships/hyperlink" Target="mailto:evkamore2712@gmail.com" TargetMode="External"/><Relationship Id="rId193" Type="http://schemas.openxmlformats.org/officeDocument/2006/relationships/hyperlink" Target="mailto:tradinghousedoo@protonmail.com" TargetMode="External"/><Relationship Id="rId207" Type="http://schemas.openxmlformats.org/officeDocument/2006/relationships/hyperlink" Target="mailto:szabosailingteam@gmail.com" TargetMode="External"/><Relationship Id="rId228" Type="http://schemas.openxmlformats.org/officeDocument/2006/relationships/hyperlink" Target="mailto:gabor@bg7.hu%20/Gb2025" TargetMode="External"/><Relationship Id="rId13" Type="http://schemas.openxmlformats.org/officeDocument/2006/relationships/hyperlink" Target="mailto:francosjdoo@gmail.com" TargetMode="External"/><Relationship Id="rId109" Type="http://schemas.openxmlformats.org/officeDocument/2006/relationships/hyperlink" Target="mailto:edit.jordanne@puchner.hu%20%20%20/Ej2025" TargetMode="External"/><Relationship Id="rId34" Type="http://schemas.openxmlformats.org/officeDocument/2006/relationships/hyperlink" Target="mailto:kusic.rebeka@gmail.com" TargetMode="External"/><Relationship Id="rId55" Type="http://schemas.openxmlformats.org/officeDocument/2006/relationships/hyperlink" Target="mailto:popoviboris@gmail.com" TargetMode="External"/><Relationship Id="rId76" Type="http://schemas.openxmlformats.org/officeDocument/2006/relationships/hyperlink" Target="mailto:SZABOVIKR@HOTMAIL.COMRenata1978" TargetMode="External"/><Relationship Id="rId97" Type="http://schemas.openxmlformats.org/officeDocument/2006/relationships/hyperlink" Target="mailto:agroadria.international@gmail.com%20%20%20/Ag2025" TargetMode="External"/><Relationship Id="rId120" Type="http://schemas.openxmlformats.org/officeDocument/2006/relationships/hyperlink" Target="mailto:protects.life.doo@gmail.com%20/%20Pl2116" TargetMode="External"/><Relationship Id="rId141" Type="http://schemas.openxmlformats.org/officeDocument/2006/relationships/hyperlink" Target="mailto:andor.farkas975@gmail.com/Ag2025" TargetMode="External"/><Relationship Id="rId7" Type="http://schemas.openxmlformats.org/officeDocument/2006/relationships/hyperlink" Target="mailto:perchyzita08@gmail.com" TargetMode="External"/><Relationship Id="rId162" Type="http://schemas.openxmlformats.org/officeDocument/2006/relationships/hyperlink" Target="mailto:Toth.peter.vis@gmail.com/Pt2025" TargetMode="External"/><Relationship Id="rId183" Type="http://schemas.openxmlformats.org/officeDocument/2006/relationships/hyperlink" Target="mailto:attilarusko@gmail.com%20%20%20/Ra2025" TargetMode="External"/><Relationship Id="rId218" Type="http://schemas.openxmlformats.org/officeDocument/2006/relationships/hyperlink" Target="mailto:traviczky@gmail.com" TargetMode="External"/><Relationship Id="rId239" Type="http://schemas.openxmlformats.org/officeDocument/2006/relationships/hyperlink" Target="mailto:tunde@riso.hu" TargetMode="External"/><Relationship Id="rId24" Type="http://schemas.openxmlformats.org/officeDocument/2006/relationships/hyperlink" Target="mailto:szafakormend@gmail.com," TargetMode="External"/><Relationship Id="rId45" Type="http://schemas.openxmlformats.org/officeDocument/2006/relationships/hyperlink" Target="mailto:LASZLO.TOTH.LT@T-ONLINE.HU" TargetMode="External"/><Relationship Id="rId66" Type="http://schemas.openxmlformats.org/officeDocument/2006/relationships/hyperlink" Target="mailto:DKATUSIC13@GMAIL.COM" TargetMode="External"/><Relationship Id="rId87" Type="http://schemas.openxmlformats.org/officeDocument/2006/relationships/hyperlink" Target="mailto:francosjdoo@gmail.com%20/%20Vf2025" TargetMode="External"/><Relationship Id="rId110" Type="http://schemas.openxmlformats.org/officeDocument/2006/relationships/hyperlink" Target="mailto:miklos.gal@locomotivecee.hu%20%20/Mg2025" TargetMode="External"/><Relationship Id="rId131" Type="http://schemas.openxmlformats.org/officeDocument/2006/relationships/hyperlink" Target="mailto:konyveles@anlux.hu/Ja2025" TargetMode="External"/><Relationship Id="rId152" Type="http://schemas.openxmlformats.org/officeDocument/2006/relationships/hyperlink" Target="mailto:rev.tkiraly@gmail.com/%20Tk2025" TargetMode="External"/><Relationship Id="rId173" Type="http://schemas.openxmlformats.org/officeDocument/2006/relationships/hyperlink" Target="mailto:konyveles@cbelt.hu/%20Sg2025" TargetMode="External"/><Relationship Id="rId194" Type="http://schemas.openxmlformats.org/officeDocument/2006/relationships/hyperlink" Target="mailto:anncsa97@gmail.com" TargetMode="External"/><Relationship Id="rId208" Type="http://schemas.openxmlformats.org/officeDocument/2006/relationships/hyperlink" Target="mailto:szabosailingteam@gmail.com%20%20%20Zs2025" TargetMode="External"/><Relationship Id="rId229" Type="http://schemas.openxmlformats.org/officeDocument/2006/relationships/hyperlink" Target="mailto:penzugy@vivapalazzo.hu" TargetMode="External"/><Relationship Id="rId240" Type="http://schemas.openxmlformats.org/officeDocument/2006/relationships/hyperlink" Target="mailto:traviczky@gmail.com%20/%20Ar2025" TargetMode="External"/><Relationship Id="rId14" Type="http://schemas.openxmlformats.org/officeDocument/2006/relationships/hyperlink" Target="mailto:feher@laptop.hu" TargetMode="External"/><Relationship Id="rId35" Type="http://schemas.openxmlformats.org/officeDocument/2006/relationships/hyperlink" Target="mailto:aleksa.juric1@gmail.com" TargetMode="External"/><Relationship Id="rId56" Type="http://schemas.openxmlformats.org/officeDocument/2006/relationships/hyperlink" Target="mailto:lajmirdoo@gmail.com" TargetMode="External"/><Relationship Id="rId77" Type="http://schemas.openxmlformats.org/officeDocument/2006/relationships/hyperlink" Target="mailto:sandra@d-invoice.hr" TargetMode="External"/><Relationship Id="rId100" Type="http://schemas.openxmlformats.org/officeDocument/2006/relationships/hyperlink" Target="mailto:info.zlatna@gmail.com%20%20%20/Zs2025%20za%20sad%20na%20D-invoice" TargetMode="External"/><Relationship Id="rId8" Type="http://schemas.openxmlformats.org/officeDocument/2006/relationships/hyperlink" Target="mailto:zoltan@sportimadok.hu%0aLakatos%20Orsolya%20office%20manager%0amobil:%20+36%2020%20940%202750%0aH-1095%20Budapest,%20Soroks&#225;ri%20&#250;t%20110-112.%20E%20&#233;p.%201%20em." TargetMode="External"/><Relationship Id="rId98" Type="http://schemas.openxmlformats.org/officeDocument/2006/relationships/hyperlink" Target="mailto:norbert.nyolcas@terraclean.hu%20%20%20/%20Nn2025" TargetMode="External"/><Relationship Id="rId121" Type="http://schemas.openxmlformats.org/officeDocument/2006/relationships/hyperlink" Target="mailto:vecsey.arpad@gmail.com" TargetMode="External"/><Relationship Id="rId142" Type="http://schemas.openxmlformats.org/officeDocument/2006/relationships/hyperlink" Target="mailto:zoli.lencses@gmail.com%20%20/Zl2025" TargetMode="External"/><Relationship Id="rId163" Type="http://schemas.openxmlformats.org/officeDocument/2006/relationships/hyperlink" Target="mailto:janos.giber@gmail.com" TargetMode="External"/><Relationship Id="rId184" Type="http://schemas.openxmlformats.org/officeDocument/2006/relationships/hyperlink" Target="mailto:info@nzg2025.hr%20%20/Zg2025%20Z&#243;ltan%20Griz&#225;k" TargetMode="External"/><Relationship Id="rId219" Type="http://schemas.openxmlformats.org/officeDocument/2006/relationships/hyperlink" Target="mailto:tomalikjo@gmail.com" TargetMode="External"/><Relationship Id="rId230" Type="http://schemas.openxmlformats.org/officeDocument/2006/relationships/hyperlink" Target="mailto:szilagyi.judit@vivapalazzo.hu/%20Zk2025" TargetMode="External"/><Relationship Id="rId25" Type="http://schemas.openxmlformats.org/officeDocument/2006/relationships/hyperlink" Target="mailto:mobilnost385@gmail.com," TargetMode="External"/><Relationship Id="rId46" Type="http://schemas.openxmlformats.org/officeDocument/2006/relationships/hyperlink" Target="mailto:euro6truckdoo@gmail.com" TargetMode="External"/><Relationship Id="rId67" Type="http://schemas.openxmlformats.org/officeDocument/2006/relationships/hyperlink" Target="mailto:MARKO@D-INVOICE.HR" TargetMode="External"/><Relationship Id="rId88" Type="http://schemas.openxmlformats.org/officeDocument/2006/relationships/hyperlink" Target="mailto:allsweet.info@gmail.com%20%20/%20Dr2025" TargetMode="External"/><Relationship Id="rId111" Type="http://schemas.openxmlformats.org/officeDocument/2006/relationships/hyperlink" Target="mailto:balogh.levente@euronetrt.hu%20%20/Bl2025" TargetMode="External"/><Relationship Id="rId132" Type="http://schemas.openxmlformats.org/officeDocument/2006/relationships/hyperlink" Target="mailto:info@tradinghouse.hr/%20Kh2025" TargetMode="External"/><Relationship Id="rId153" Type="http://schemas.openxmlformats.org/officeDocument/2006/relationships/hyperlink" Target="mailto:kruno.martinovic1979@gmail.com/Km2025" TargetMode="External"/><Relationship Id="rId174" Type="http://schemas.openxmlformats.org/officeDocument/2006/relationships/hyperlink" Target="mailto:deepconstruct24@gmail.com%20/Rs2025%20Romana%20Soki" TargetMode="External"/><Relationship Id="rId195" Type="http://schemas.openxmlformats.org/officeDocument/2006/relationships/hyperlink" Target="mailto:cseh.zsuzsanna@oms24.hu%20/Zc2025" TargetMode="External"/><Relationship Id="rId209" Type="http://schemas.openxmlformats.org/officeDocument/2006/relationships/hyperlink" Target="mailto:formulabazis2014@gmail.com/Sj2025" TargetMode="External"/><Relationship Id="rId220" Type="http://schemas.openxmlformats.org/officeDocument/2006/relationships/hyperlink" Target="mailto:koszicsi2026@gmail.com%20%20/%20Kc2025" TargetMode="External"/><Relationship Id="rId241" Type="http://schemas.openxmlformats.org/officeDocument/2006/relationships/hyperlink" Target="mailto:gyopar1975@gmail.com" TargetMode="External"/><Relationship Id="rId15" Type="http://schemas.openxmlformats.org/officeDocument/2006/relationships/hyperlink" Target="mailto:nexxpertisekft@gmail.com" TargetMode="External"/><Relationship Id="rId36" Type="http://schemas.openxmlformats.org/officeDocument/2006/relationships/hyperlink" Target="mailto:tomkaroserije@gmail.com" TargetMode="External"/><Relationship Id="rId57" Type="http://schemas.openxmlformats.org/officeDocument/2006/relationships/hyperlink" Target="mailto:madar.peter2@gmail.com" TargetMode="External"/><Relationship Id="rId10" Type="http://schemas.openxmlformats.org/officeDocument/2006/relationships/hyperlink" Target="mailto:mjamare.info@gmail.com" TargetMode="External"/><Relationship Id="rId31" Type="http://schemas.openxmlformats.org/officeDocument/2006/relationships/hyperlink" Target="mailto:galistvan70@gmail.com" TargetMode="External"/><Relationship Id="rId52" Type="http://schemas.openxmlformats.org/officeDocument/2006/relationships/hyperlink" Target="mailto:office@beyondi.co" TargetMode="External"/><Relationship Id="rId73" Type="http://schemas.openxmlformats.org/officeDocument/2006/relationships/hyperlink" Target="mailto:vital.group.osijek@gmail.com" TargetMode="External"/><Relationship Id="rId78" Type="http://schemas.openxmlformats.org/officeDocument/2006/relationships/hyperlink" Target="mailto:iva@d-invoice.hr" TargetMode="External"/><Relationship Id="rId94" Type="http://schemas.openxmlformats.org/officeDocument/2006/relationships/hyperlink" Target="mailto:virennyaralok@gmail.com%20%20%20/Lb2025" TargetMode="External"/><Relationship Id="rId99" Type="http://schemas.openxmlformats.org/officeDocument/2006/relationships/hyperlink" Target="mailto:sansamachinedoo@gmail.com%20%20%20/Emperor60" TargetMode="External"/><Relationship Id="rId101" Type="http://schemas.openxmlformats.org/officeDocument/2006/relationships/hyperlink" Target="mailto:boleizradakljuceva@gmail.com%20%20%20%20/Bz2025" TargetMode="External"/><Relationship Id="rId122" Type="http://schemas.openxmlformats.org/officeDocument/2006/relationships/hyperlink" Target="mailto:vecsey.arpad@gmail.com/%20Av2025" TargetMode="External"/><Relationship Id="rId143" Type="http://schemas.openxmlformats.org/officeDocument/2006/relationships/hyperlink" Target="mailto:peter.simon@simonwellness.hu%20/Ps2025" TargetMode="External"/><Relationship Id="rId148" Type="http://schemas.openxmlformats.org/officeDocument/2006/relationships/hyperlink" Target="mailto:almadianiko64@gmail.com/Aa2025" TargetMode="External"/><Relationship Id="rId164" Type="http://schemas.openxmlformats.org/officeDocument/2006/relationships/hyperlink" Target="mailto:janos.giber@gmail.com/Jg2025" TargetMode="External"/><Relationship Id="rId169" Type="http://schemas.openxmlformats.org/officeDocument/2006/relationships/hyperlink" Target="mailto:ibolya.szaszko64@gmail.comSZASZKO%20Ibolya," TargetMode="External"/><Relationship Id="rId185" Type="http://schemas.openxmlformats.org/officeDocument/2006/relationships/hyperlink" Target="mailto:canita131313@gmail.com%20%20%20%20/Ab2025" TargetMode="External"/><Relationship Id="rId4" Type="http://schemas.openxmlformats.org/officeDocument/2006/relationships/hyperlink" Target="mailto:kreativnikolektivi@gmail.com" TargetMode="External"/><Relationship Id="rId9" Type="http://schemas.openxmlformats.org/officeDocument/2006/relationships/hyperlink" Target="mailto:nagyadamvill@gmail.com" TargetMode="External"/><Relationship Id="rId180" Type="http://schemas.openxmlformats.org/officeDocument/2006/relationships/hyperlink" Target="mailto:euro6truckdoo@gmail.com%20Lv2025" TargetMode="External"/><Relationship Id="rId210" Type="http://schemas.openxmlformats.org/officeDocument/2006/relationships/hyperlink" Target="mailto:LILJAKA75@GMAIL.COM" TargetMode="External"/><Relationship Id="rId215" Type="http://schemas.openxmlformats.org/officeDocument/2006/relationships/hyperlink" Target="mailto:batkft@gmail.com%20%20%20%20Prvomajska9" TargetMode="External"/><Relationship Id="rId236" Type="http://schemas.openxmlformats.org/officeDocument/2006/relationships/hyperlink" Target="mailto:andocsi.janos@gmail.com" TargetMode="External"/><Relationship Id="rId26" Type="http://schemas.openxmlformats.org/officeDocument/2006/relationships/hyperlink" Target="mailto:info@gergely.hr" TargetMode="External"/><Relationship Id="rId231" Type="http://schemas.openxmlformats.org/officeDocument/2006/relationships/hyperlink" Target="mailto:kapitany.zoltan@vivapalazzo.hu" TargetMode="External"/><Relationship Id="rId47" Type="http://schemas.openxmlformats.org/officeDocument/2006/relationships/hyperlink" Target="mailto:domokos.i82@gmail.com" TargetMode="External"/><Relationship Id="rId68" Type="http://schemas.openxmlformats.org/officeDocument/2006/relationships/hyperlink" Target="mailto:szatefbaukft@gmail.com" TargetMode="External"/><Relationship Id="rId89" Type="http://schemas.openxmlformats.org/officeDocument/2006/relationships/hyperlink" Target="mailto:danijel.svelec@gmail.com%20/Ds2025" TargetMode="External"/><Relationship Id="rId112" Type="http://schemas.openxmlformats.org/officeDocument/2006/relationships/hyperlink" Target="mailto:office@gbr.hr%20%20Nikolina%20sladin" TargetMode="External"/><Relationship Id="rId133" Type="http://schemas.openxmlformats.org/officeDocument/2006/relationships/hyperlink" Target="mailto:vtinvest2025@gmail.com%20/Sm2025" TargetMode="External"/><Relationship Id="rId154" Type="http://schemas.openxmlformats.org/officeDocument/2006/relationships/hyperlink" Target="mailto:sz.virag.aniko@gmail.com" TargetMode="External"/><Relationship Id="rId175" Type="http://schemas.openxmlformats.org/officeDocument/2006/relationships/hyperlink" Target="mailto:PAHACO.KFT@GMAIL.COM/Jip2025" TargetMode="External"/><Relationship Id="rId196" Type="http://schemas.openxmlformats.org/officeDocument/2006/relationships/hyperlink" Target="mailto:sunergosdoo@gmail.com" TargetMode="External"/><Relationship Id="rId200" Type="http://schemas.openxmlformats.org/officeDocument/2006/relationships/hyperlink" Target="mailto:baumhakl@gmail.com%20%20/Kb2025%20Baumhakl%20Korn&#233;l" TargetMode="External"/><Relationship Id="rId16" Type="http://schemas.openxmlformats.org/officeDocument/2006/relationships/hyperlink" Target="mailto:DUNAASSISTBAU@GMAIL.COM" TargetMode="External"/><Relationship Id="rId221" Type="http://schemas.openxmlformats.org/officeDocument/2006/relationships/hyperlink" Target="mailto:zoltan.voros@femzol.sk%20/" TargetMode="External"/><Relationship Id="rId242" Type="http://schemas.openxmlformats.org/officeDocument/2006/relationships/printerSettings" Target="../printerSettings/printerSettings1.bin"/><Relationship Id="rId37" Type="http://schemas.openxmlformats.org/officeDocument/2006/relationships/hyperlink" Target="mailto:dg.elektro25@gmail.com" TargetMode="External"/><Relationship Id="rId58" Type="http://schemas.openxmlformats.org/officeDocument/2006/relationships/hyperlink" Target="mailto:comvinagro@gmail.com" TargetMode="External"/><Relationship Id="rId79" Type="http://schemas.openxmlformats.org/officeDocument/2006/relationships/hyperlink" Target="mailto:vesna@d-invoice.hr" TargetMode="External"/><Relationship Id="rId102" Type="http://schemas.openxmlformats.org/officeDocument/2006/relationships/hyperlink" Target="mailto:mlm.transport0707@gmail.com%20%20%20%20/ML0707" TargetMode="External"/><Relationship Id="rId123" Type="http://schemas.openxmlformats.org/officeDocument/2006/relationships/hyperlink" Target="mailto:akarmi1971@gmail.com" TargetMode="External"/><Relationship Id="rId144" Type="http://schemas.openxmlformats.org/officeDocument/2006/relationships/hyperlink" Target="mailto:fenyes1@icloud.com/Lf2025" TargetMode="External"/><Relationship Id="rId90" Type="http://schemas.openxmlformats.org/officeDocument/2006/relationships/hyperlink" Target="mailto:gunzer@gunzer.com%20%20/Zoli1969" TargetMode="External"/><Relationship Id="rId165" Type="http://schemas.openxmlformats.org/officeDocument/2006/relationships/hyperlink" Target="mailto:novilamarket@gmail.com%20/Lv2025%20Laszlo%20Vinklar" TargetMode="External"/><Relationship Id="rId186" Type="http://schemas.openxmlformats.org/officeDocument/2006/relationships/hyperlink" Target="mailto:celia.blasszauer@medicalscan.hu/Cb2025" TargetMode="External"/><Relationship Id="rId211" Type="http://schemas.openxmlformats.org/officeDocument/2006/relationships/hyperlink" Target="mailto:info@fairdistributions.com" TargetMode="External"/><Relationship Id="rId232" Type="http://schemas.openxmlformats.org/officeDocument/2006/relationships/hyperlink" Target="mailto:paganella60@gmail.com" TargetMode="External"/><Relationship Id="rId27" Type="http://schemas.openxmlformats.org/officeDocument/2006/relationships/hyperlink" Target="mailto:nikica.boduljak@gmail.com" TargetMode="External"/><Relationship Id="rId48" Type="http://schemas.openxmlformats.org/officeDocument/2006/relationships/hyperlink" Target="mailto:partner@franchisia.hr" TargetMode="External"/><Relationship Id="rId69" Type="http://schemas.openxmlformats.org/officeDocument/2006/relationships/hyperlink" Target="mailto:suko.consulting@gmail.com" TargetMode="External"/><Relationship Id="rId113" Type="http://schemas.openxmlformats.org/officeDocument/2006/relationships/hyperlink" Target="mailto:mlm.transport0707@gmail.com" TargetMode="External"/><Relationship Id="rId134" Type="http://schemas.openxmlformats.org/officeDocument/2006/relationships/hyperlink" Target="mailto:info@gmholding.hu/%20Mg2025" TargetMode="External"/><Relationship Id="rId80" Type="http://schemas.openxmlformats.org/officeDocument/2006/relationships/hyperlink" Target="mailto:damir@all4wine.hr" TargetMode="External"/><Relationship Id="rId155" Type="http://schemas.openxmlformats.org/officeDocument/2006/relationships/hyperlink" Target="mailto:sz.virag.aniko@gmail.com/As2025" TargetMode="External"/><Relationship Id="rId176" Type="http://schemas.openxmlformats.org/officeDocument/2006/relationships/hyperlink" Target="mailto:kreativnikolektivi@gmail.com/%20Av2025" TargetMode="External"/><Relationship Id="rId197" Type="http://schemas.openxmlformats.org/officeDocument/2006/relationships/hyperlink" Target="mailto:robertmuszka90@gmail.com%20/Rm2025%20R&#211;BERT%20MUSZKA" TargetMode="External"/><Relationship Id="rId201" Type="http://schemas.openxmlformats.org/officeDocument/2006/relationships/hyperlink" Target="mailto:bestlogisticsdoo@gmail.com%20OLEKSANDR%20SILADI" TargetMode="External"/><Relationship Id="rId222" Type="http://schemas.openxmlformats.org/officeDocument/2006/relationships/hyperlink" Target="https://sudreg.pravosudje.hr/ords/r/esudreg/public/vezani-subjekti?p40_oib=26622309542&amp;p40_tip=1&amp;clear=RP,40&amp;cs=1B3FDD4CF1024AFA6FE5848DA57A06699" TargetMode="External"/><Relationship Id="rId243" Type="http://schemas.openxmlformats.org/officeDocument/2006/relationships/vmlDrawing" Target="../drawings/vmlDrawing1.vml"/><Relationship Id="rId17" Type="http://schemas.openxmlformats.org/officeDocument/2006/relationships/hyperlink" Target="mailto:baumhakl@gmail.com%20%0aBaumhakl%20Kornel" TargetMode="External"/><Relationship Id="rId38" Type="http://schemas.openxmlformats.org/officeDocument/2006/relationships/hyperlink" Target="mailto:sansamachinedoo@gmail.com" TargetMode="External"/><Relationship Id="rId59" Type="http://schemas.openxmlformats.org/officeDocument/2006/relationships/hyperlink" Target="mailto:info.so.consulting@gmail.com" TargetMode="External"/><Relationship Id="rId103" Type="http://schemas.openxmlformats.org/officeDocument/2006/relationships/hyperlink" Target="mailto:andocsi.janos@gmail.com%20%20%20/%20Aj2025" TargetMode="External"/><Relationship Id="rId124" Type="http://schemas.openxmlformats.org/officeDocument/2006/relationships/hyperlink" Target="mailto:akarmi1971@gmail.com/Him2025" TargetMode="External"/><Relationship Id="rId70" Type="http://schemas.openxmlformats.org/officeDocument/2006/relationships/hyperlink" Target="mailto:ivangrcic@gmail.com" TargetMode="External"/><Relationship Id="rId91" Type="http://schemas.openxmlformats.org/officeDocument/2006/relationships/hyperlink" Target="mailto:kontrolex100@gmail.com%20%20%20/Panamera4S" TargetMode="External"/><Relationship Id="rId145" Type="http://schemas.openxmlformats.org/officeDocument/2006/relationships/hyperlink" Target="mailto:villa19tribunj@gmail.com" TargetMode="External"/><Relationship Id="rId166" Type="http://schemas.openxmlformats.org/officeDocument/2006/relationships/hyperlink" Target="mailto:imgx246w@gmail.com/Ee2025" TargetMode="External"/><Relationship Id="rId187" Type="http://schemas.openxmlformats.org/officeDocument/2006/relationships/hyperlink" Target="mailto:esztergludovatz@gmail.com/Newspirit12" TargetMode="External"/><Relationship Id="rId1" Type="http://schemas.openxmlformats.org/officeDocument/2006/relationships/hyperlink" Target="mailto:kristinavezaj@gmail.com" TargetMode="External"/><Relationship Id="rId212" Type="http://schemas.openxmlformats.org/officeDocument/2006/relationships/hyperlink" Target="mailto:zoltan.voros@femzol.sk%20Zolt&#225;n%20V&#246;ros" TargetMode="External"/><Relationship Id="rId233" Type="http://schemas.openxmlformats.org/officeDocument/2006/relationships/hyperlink" Target="https://sudreg.pravosudje.hr/ords/r/esudreg/public/vezani-subjekti?p40_oib=79040669536&amp;p40_tip=1&amp;clear=RP,40&amp;cs=19B68820E791087DB0B116DED778E9460" TargetMode="External"/><Relationship Id="rId28" Type="http://schemas.openxmlformats.org/officeDocument/2006/relationships/hyperlink" Target="mailto:info@vizlin.hr" TargetMode="External"/><Relationship Id="rId49" Type="http://schemas.openxmlformats.org/officeDocument/2006/relationships/hyperlink" Target="mailto:szemeredi@kenlube.hu" TargetMode="External"/><Relationship Id="rId114" Type="http://schemas.openxmlformats.org/officeDocument/2006/relationships/hyperlink" Target="mailto:balatoni.attila.hu@gmail.com%20%20%20%20/Minimax2026" TargetMode="External"/><Relationship Id="rId60" Type="http://schemas.openxmlformats.org/officeDocument/2006/relationships/hyperlink" Target="mailto:buday.santha@gmail.com%20ZSOMBOR" TargetMode="External"/><Relationship Id="rId81" Type="http://schemas.openxmlformats.org/officeDocument/2006/relationships/hyperlink" Target="mailto:sunergosdoo@gmail.com%20/Dh2025" TargetMode="External"/><Relationship Id="rId135" Type="http://schemas.openxmlformats.org/officeDocument/2006/relationships/hyperlink" Target="mailto:beachhomes.privlaka@gmail.com/%20Jm2025" TargetMode="External"/><Relationship Id="rId156" Type="http://schemas.openxmlformats.org/officeDocument/2006/relationships/hyperlink" Target="mailto:jules67@t-online.hu%20/Gs2025/%20Uo8tQIQtUTu6Yxn" TargetMode="External"/><Relationship Id="rId177" Type="http://schemas.openxmlformats.org/officeDocument/2006/relationships/hyperlink" Target="mailto:istvan.pinter@gmail.com/Ip2025%20-%20preba&#269;eno%20ali%20je%20ostao%20na%20Mikroe%20ra&#269;unu" TargetMode="External"/><Relationship Id="rId198" Type="http://schemas.openxmlformats.org/officeDocument/2006/relationships/hyperlink" Target="mailto:darinka.iwarm@gmail.com%20%20%20/Ap2025" TargetMode="External"/><Relationship Id="rId202" Type="http://schemas.openxmlformats.org/officeDocument/2006/relationships/hyperlink" Target="mailto:deepconstruct24@gmail.com" TargetMode="External"/><Relationship Id="rId223" Type="http://schemas.openxmlformats.org/officeDocument/2006/relationships/hyperlink" Target="https://sudreg.pravosudje.hr/ords/r/esudreg/public/vezani-subjekti?p40_oib=8069253268&amp;p40_tip=1&amp;clear=RP,40&amp;cs=166D028841A69C166D283D136661887A9" TargetMode="External"/><Relationship Id="rId244" Type="http://schemas.openxmlformats.org/officeDocument/2006/relationships/table" Target="../tables/table1.xml"/><Relationship Id="rId18" Type="http://schemas.openxmlformats.org/officeDocument/2006/relationships/hyperlink" Target="mailto:batkft@gmail.com" TargetMode="External"/><Relationship Id="rId39" Type="http://schemas.openxmlformats.org/officeDocument/2006/relationships/hyperlink" Target="mailto:neoconsyachting@gmail.com" TargetMode="External"/><Relationship Id="rId50" Type="http://schemas.openxmlformats.org/officeDocument/2006/relationships/hyperlink" Target="mailto:bertok77@gmail.com" TargetMode="External"/><Relationship Id="rId104" Type="http://schemas.openxmlformats.org/officeDocument/2006/relationships/hyperlink" Target="mailto:madar.peter2@gmail.com%20%20%20%20%20/%20Pm2025" TargetMode="External"/><Relationship Id="rId125" Type="http://schemas.openxmlformats.org/officeDocument/2006/relationships/hyperlink" Target="mailto:gmolnark@gmail.com/Gm2025%20-%20nije%20vi&#337;e%20ta%20&#337;ifra" TargetMode="External"/><Relationship Id="rId146" Type="http://schemas.openxmlformats.org/officeDocument/2006/relationships/hyperlink" Target="mailto:villa19tribunj@gmail.com/As2025" TargetMode="External"/><Relationship Id="rId167" Type="http://schemas.openxmlformats.org/officeDocument/2006/relationships/hyperlink" Target="mailto:szeleszsuzsanna@EU-SOLAR.HU%20/Zs2025" TargetMode="External"/><Relationship Id="rId188" Type="http://schemas.openxmlformats.org/officeDocument/2006/relationships/hyperlink" Target="mailto:vinczebernadett315@gmail.com" TargetMode="External"/><Relationship Id="rId71" Type="http://schemas.openxmlformats.org/officeDocument/2006/relationships/hyperlink" Target="mailto:fiproject.hr@gmail.com" TargetMode="External"/><Relationship Id="rId92" Type="http://schemas.openxmlformats.org/officeDocument/2006/relationships/hyperlink" Target="mailto:mjamare.info@gmail.com%20%20/Af2025" TargetMode="External"/><Relationship Id="rId213" Type="http://schemas.openxmlformats.org/officeDocument/2006/relationships/hyperlink" Target="mailto:info@radzeer.hr" TargetMode="External"/><Relationship Id="rId234" Type="http://schemas.openxmlformats.org/officeDocument/2006/relationships/hyperlink" Target="mailto:goran512@gmail.com%20/Gt2026" TargetMode="External"/><Relationship Id="rId2" Type="http://schemas.openxmlformats.org/officeDocument/2006/relationships/hyperlink" Target="mailto:sukizsuzsa@gmail.com" TargetMode="External"/><Relationship Id="rId29" Type="http://schemas.openxmlformats.org/officeDocument/2006/relationships/hyperlink" Target="mailto:info.zlatna@gmail.com" TargetMode="External"/><Relationship Id="rId40" Type="http://schemas.openxmlformats.org/officeDocument/2006/relationships/hyperlink" Target="mailto:sandorfirobert@gmail.com,melissa.horvat21@gmail.com" TargetMode="External"/><Relationship Id="rId115" Type="http://schemas.openxmlformats.org/officeDocument/2006/relationships/hyperlink" Target="mailto:danijel.svelec@gmail.com" TargetMode="External"/><Relationship Id="rId136" Type="http://schemas.openxmlformats.org/officeDocument/2006/relationships/hyperlink" Target="mailto:csekotib@gmail.com/Tc2025" TargetMode="External"/><Relationship Id="rId157" Type="http://schemas.openxmlformats.org/officeDocument/2006/relationships/hyperlink" Target="mailto:regina_wurst@yahoo.co.uk" TargetMode="External"/><Relationship Id="rId178" Type="http://schemas.openxmlformats.org/officeDocument/2006/relationships/hyperlink" Target="mailto:husztik.andras@gmail.com%20/Ha2025" TargetMode="External"/><Relationship Id="rId61" Type="http://schemas.openxmlformats.org/officeDocument/2006/relationships/hyperlink" Target="mailto:info@gmholding.hu" TargetMode="External"/><Relationship Id="rId82" Type="http://schemas.openxmlformats.org/officeDocument/2006/relationships/hyperlink" Target="mailto:info@busenje.com" TargetMode="External"/><Relationship Id="rId199" Type="http://schemas.openxmlformats.org/officeDocument/2006/relationships/hyperlink" Target="mailto:szafakormend@gmail.com/Gs2025%20/%20mikro%20era&#269;un" TargetMode="External"/><Relationship Id="rId203" Type="http://schemas.openxmlformats.org/officeDocument/2006/relationships/hyperlink" Target="mailto:laura.magdic4@gmail.com" TargetMode="External"/><Relationship Id="rId19" Type="http://schemas.openxmlformats.org/officeDocument/2006/relationships/hyperlink" Target="mailto:szabo.judit@aresprime.hu" TargetMode="External"/><Relationship Id="rId224" Type="http://schemas.openxmlformats.org/officeDocument/2006/relationships/hyperlink" Target="mailto:zoli.lencses@gmail.com" TargetMode="External"/><Relationship Id="rId245" Type="http://schemas.openxmlformats.org/officeDocument/2006/relationships/comments" Target="../comments1.xml"/><Relationship Id="rId30" Type="http://schemas.openxmlformats.org/officeDocument/2006/relationships/hyperlink" Target="mailto:balogh.levente@euronetrt.hu" TargetMode="External"/><Relationship Id="rId105" Type="http://schemas.openxmlformats.org/officeDocument/2006/relationships/hyperlink" Target="mailto:marina@agropmd.hr%20%20/osijek2020" TargetMode="External"/><Relationship Id="rId126" Type="http://schemas.openxmlformats.org/officeDocument/2006/relationships/hyperlink" Target="mailto:moor.gabor@point-s.hu" TargetMode="External"/><Relationship Id="rId147" Type="http://schemas.openxmlformats.org/officeDocument/2006/relationships/hyperlink" Target="mailto:LASZLO.TOTH.LT@T-ONLINE.HU/%20Lt2025" TargetMode="External"/><Relationship Id="rId168" Type="http://schemas.openxmlformats.org/officeDocument/2006/relationships/hyperlink" Target="mailto:info@prikolice.co" TargetMode="External"/><Relationship Id="rId51" Type="http://schemas.openxmlformats.org/officeDocument/2006/relationships/hyperlink" Target="mailto:almadianiko64@gmail.com" TargetMode="External"/><Relationship Id="rId72" Type="http://schemas.openxmlformats.org/officeDocument/2006/relationships/hyperlink" Target="mailto:info@milavila.net" TargetMode="External"/><Relationship Id="rId93" Type="http://schemas.openxmlformats.org/officeDocument/2006/relationships/hyperlink" Target="mailto:nemet.adrienn@gmail.com%20%20/3xBlaBla" TargetMode="External"/><Relationship Id="rId189" Type="http://schemas.openxmlformats.org/officeDocument/2006/relationships/hyperlink" Target="mailto:SZETEY.ANDI@GMAIL.COM" TargetMode="External"/><Relationship Id="rId3" Type="http://schemas.openxmlformats.org/officeDocument/2006/relationships/hyperlink" Target="mailto:brankabiz@yahoo.com" TargetMode="External"/><Relationship Id="rId214" Type="http://schemas.openxmlformats.org/officeDocument/2006/relationships/hyperlink" Target="mailto:zoltan.cebe@unitaltd.com" TargetMode="External"/><Relationship Id="rId235" Type="http://schemas.openxmlformats.org/officeDocument/2006/relationships/hyperlink" Target="mailto:gabor@bg7.hu" TargetMode="External"/><Relationship Id="rId116" Type="http://schemas.openxmlformats.org/officeDocument/2006/relationships/hyperlink" Target="mailto:fiproject.hr@gmail.com%20%20%20%20/vokhuT-zomnad-nexfy4" TargetMode="External"/><Relationship Id="rId137" Type="http://schemas.openxmlformats.org/officeDocument/2006/relationships/hyperlink" Target="mailto:gelencserati@gmail.com/Ag2025" TargetMode="External"/><Relationship Id="rId158" Type="http://schemas.openxmlformats.org/officeDocument/2006/relationships/hyperlink" Target="mailto:regina_wurst@yahoo.co.uk/Jk2025" TargetMode="External"/><Relationship Id="rId20" Type="http://schemas.openxmlformats.org/officeDocument/2006/relationships/hyperlink" Target="mailto:SZILIKAZSOLT@EU-SOLAR.HU" TargetMode="External"/><Relationship Id="rId41" Type="http://schemas.openxmlformats.org/officeDocument/2006/relationships/hyperlink" Target="mailto:robertmuszka90@gmail.com" TargetMode="External"/><Relationship Id="rId62" Type="http://schemas.openxmlformats.org/officeDocument/2006/relationships/hyperlink" Target="mailto:robert.verebi@vr-consulting.hr,melissa.horvat21@gmail.com" TargetMode="External"/><Relationship Id="rId83" Type="http://schemas.openxmlformats.org/officeDocument/2006/relationships/hyperlink" Target="mailto:pavlenskiapartman@gmail.com%20/%20lozinka%20141000" TargetMode="External"/><Relationship Id="rId179" Type="http://schemas.openxmlformats.org/officeDocument/2006/relationships/hyperlink" Target="mailto:5sedmina@gmail.com%20%20%20/Dp2025" TargetMode="External"/><Relationship Id="rId190" Type="http://schemas.openxmlformats.org/officeDocument/2006/relationships/hyperlink" Target="mailto:SZETEY.ANDI@GMAIL.COM/As2025" TargetMode="External"/><Relationship Id="rId204" Type="http://schemas.openxmlformats.org/officeDocument/2006/relationships/hyperlink" Target="mailto:laura.magdic4@gmail.com%20/Lm2025" TargetMode="External"/><Relationship Id="rId225" Type="http://schemas.openxmlformats.org/officeDocument/2006/relationships/hyperlink" Target="mailto:somlai.adrienn@kissepgep.hu" TargetMode="External"/><Relationship Id="rId106" Type="http://schemas.openxmlformats.org/officeDocument/2006/relationships/hyperlink" Target="mailto:info.so.consulting@gmail.com%20%20%20Oms2025" TargetMode="External"/><Relationship Id="rId127" Type="http://schemas.openxmlformats.org/officeDocument/2006/relationships/hyperlink" Target="mailto:info@gumewebshop.hr/Gm202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4.vml"/><Relationship Id="rId1" Type="http://schemas.openxmlformats.org/officeDocument/2006/relationships/pivotTable" Target="../pivotTables/pivotTable4.xml"/><Relationship Id="rId5" Type="http://schemas.openxmlformats.org/officeDocument/2006/relationships/comments" Target="../comments4.xml"/><Relationship Id="rId4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dzs.hr/App/NKD_Browser/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web.dzs.hr/App/NKD_Browser/" TargetMode="External"/><Relationship Id="rId1" Type="http://schemas.openxmlformats.org/officeDocument/2006/relationships/hyperlink" Target="file:///C:\Users\Racunalo%201\AppData\Roaming\Microsoft\AppData\Local\Temp\pid-11328\www.sudreg.pravosudje.hr" TargetMode="External"/><Relationship Id="rId6" Type="http://schemas.openxmlformats.org/officeDocument/2006/relationships/hyperlink" Target="https://sudreg.pravosudje.hr/registar/wwv_flow.accept" TargetMode="External"/><Relationship Id="rId5" Type="http://schemas.openxmlformats.org/officeDocument/2006/relationships/hyperlink" Target="https://sudreg.pravosudje.hr/registar/wwv_flow.accept" TargetMode="External"/><Relationship Id="rId4" Type="http://schemas.openxmlformats.org/officeDocument/2006/relationships/hyperlink" Target="https://web.dzs.hr/App/NKD_Browser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melissa.horvat21@gmail.com" TargetMode="External"/><Relationship Id="rId13" Type="http://schemas.openxmlformats.org/officeDocument/2006/relationships/hyperlink" Target="mailto:marko@d-invoice.hr" TargetMode="External"/><Relationship Id="rId18" Type="http://schemas.openxmlformats.org/officeDocument/2006/relationships/hyperlink" Target="mailto:leixonic2025@gmail.com" TargetMode="External"/><Relationship Id="rId3" Type="http://schemas.openxmlformats.org/officeDocument/2006/relationships/hyperlink" Target="mailto:dengabi@gmail.com" TargetMode="External"/><Relationship Id="rId21" Type="http://schemas.openxmlformats.org/officeDocument/2006/relationships/table" Target="../tables/table16.xml"/><Relationship Id="rId7" Type="http://schemas.openxmlformats.org/officeDocument/2006/relationships/hyperlink" Target="mailto:MAJA@D-INVOICE.HR" TargetMode="External"/><Relationship Id="rId12" Type="http://schemas.openxmlformats.org/officeDocument/2006/relationships/hyperlink" Target="mailto:vesna@d-invoice.hr" TargetMode="External"/><Relationship Id="rId17" Type="http://schemas.openxmlformats.org/officeDocument/2006/relationships/hyperlink" Target="mailto:marko@d-invoice.hr" TargetMode="External"/><Relationship Id="rId2" Type="http://schemas.openxmlformats.org/officeDocument/2006/relationships/hyperlink" Target="mailto:mobilnost385@gmail.com" TargetMode="External"/><Relationship Id="rId16" Type="http://schemas.openxmlformats.org/officeDocument/2006/relationships/hyperlink" Target="mailto:iva@d-invoice.hr" TargetMode="External"/><Relationship Id="rId20" Type="http://schemas.openxmlformats.org/officeDocument/2006/relationships/table" Target="../tables/table15.xml"/><Relationship Id="rId1" Type="http://schemas.openxmlformats.org/officeDocument/2006/relationships/hyperlink" Target="mailto:dengabi@gmail.com" TargetMode="External"/><Relationship Id="rId6" Type="http://schemas.openxmlformats.org/officeDocument/2006/relationships/hyperlink" Target="mailto:sandra@d-invoice.hr" TargetMode="External"/><Relationship Id="rId11" Type="http://schemas.openxmlformats.org/officeDocument/2006/relationships/hyperlink" Target="mailto:brigita@d-invoice.hr" TargetMode="External"/><Relationship Id="rId5" Type="http://schemas.openxmlformats.org/officeDocument/2006/relationships/hyperlink" Target="mailto:aneks.obrt@gmail.com" TargetMode="External"/><Relationship Id="rId15" Type="http://schemas.openxmlformats.org/officeDocument/2006/relationships/hyperlink" Target="mailto:ivan.grcic@d-invoice.hr" TargetMode="External"/><Relationship Id="rId10" Type="http://schemas.openxmlformats.org/officeDocument/2006/relationships/hyperlink" Target="mailto:nikolina@d-invoice.hr" TargetMode="External"/><Relationship Id="rId19" Type="http://schemas.openxmlformats.org/officeDocument/2006/relationships/hyperlink" Target="mailto:KLAUDIA@D-INVOICE.HR" TargetMode="External"/><Relationship Id="rId4" Type="http://schemas.openxmlformats.org/officeDocument/2006/relationships/hyperlink" Target="mailto:mobilnost385@gmail.com" TargetMode="External"/><Relationship Id="rId9" Type="http://schemas.openxmlformats.org/officeDocument/2006/relationships/hyperlink" Target="mailto:aneks.obrt@gmail.com" TargetMode="External"/><Relationship Id="rId14" Type="http://schemas.openxmlformats.org/officeDocument/2006/relationships/hyperlink" Target="mailto:vesna@d-invoice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Y229"/>
  <sheetViews>
    <sheetView zoomScaleNormal="10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C139" sqref="C139"/>
    </sheetView>
  </sheetViews>
  <sheetFormatPr defaultColWidth="9" defaultRowHeight="15"/>
  <cols>
    <col min="1" max="1" width="6.85546875" style="353" customWidth="1"/>
    <col min="2" max="2" width="33.5703125" style="146" customWidth="1"/>
    <col min="3" max="3" width="5.7109375" style="31" customWidth="1"/>
    <col min="4" max="4" width="14.28515625" style="40" customWidth="1"/>
    <col min="5" max="5" width="15.7109375" style="339" customWidth="1"/>
    <col min="6" max="6" width="47.7109375" customWidth="1"/>
    <col min="7" max="7" width="32.140625" style="40" customWidth="1"/>
    <col min="8" max="8" width="12.42578125" style="101" customWidth="1"/>
    <col min="9" max="9" width="15.28515625" style="101" customWidth="1"/>
    <col min="10" max="10" width="7.7109375" style="83" customWidth="1"/>
    <col min="11" max="11" width="7.140625" style="83" customWidth="1"/>
    <col min="12" max="12" width="17.85546875" style="152" customWidth="1"/>
    <col min="13" max="13" width="34.28515625" style="415" customWidth="1"/>
    <col min="14" max="14" width="14.42578125" style="83" customWidth="1"/>
    <col min="15" max="15" width="9.7109375" style="83" customWidth="1"/>
    <col min="16" max="16" width="9.85546875" style="83" customWidth="1"/>
    <col min="17" max="17" width="11.85546875" style="83" customWidth="1"/>
    <col min="18" max="18" width="7.28515625" style="83" customWidth="1"/>
    <col min="19" max="19" width="8.28515625" style="83" customWidth="1"/>
    <col min="20" max="20" width="9.28515625" customWidth="1"/>
    <col min="21" max="21" width="35.140625" customWidth="1"/>
    <col min="22" max="22" width="10.42578125" style="83" customWidth="1"/>
    <col min="23" max="23" width="9" style="746" customWidth="1"/>
    <col min="24" max="24" width="9.140625" style="83" customWidth="1"/>
    <col min="25" max="25" width="9" style="83" customWidth="1"/>
    <col min="26" max="27" width="10.140625" style="83" customWidth="1"/>
    <col min="28" max="28" width="18.7109375" style="83" customWidth="1"/>
    <col min="29" max="29" width="11.7109375" style="83" customWidth="1"/>
    <col min="30" max="30" width="9.5703125" style="117" customWidth="1"/>
    <col min="31" max="31" width="9.42578125" style="83" customWidth="1"/>
    <col min="32" max="32" width="12.5703125" style="83" customWidth="1"/>
    <col min="33" max="33" width="9" style="83" hidden="1" customWidth="1"/>
    <col min="34" max="34" width="14" style="83" hidden="1" customWidth="1"/>
    <col min="35" max="35" width="11" style="83" hidden="1" customWidth="1"/>
    <col min="36" max="36" width="9" hidden="1" customWidth="1"/>
    <col min="37" max="37" width="14.140625" style="83" hidden="1" customWidth="1"/>
    <col min="38" max="38" width="9" hidden="1" customWidth="1"/>
    <col min="39" max="39" width="9" style="147"/>
    <col min="40" max="40" width="11.140625" style="41" customWidth="1"/>
    <col min="41" max="41" width="18.7109375" style="41" customWidth="1"/>
    <col min="42" max="42" width="18" style="41" customWidth="1"/>
    <col min="43" max="43" width="14.7109375" style="101" customWidth="1"/>
    <col min="44" max="44" width="10.140625" style="912" customWidth="1"/>
    <col min="45" max="45" width="9" style="4"/>
    <col min="46" max="46" width="35.5703125" style="2" customWidth="1"/>
  </cols>
  <sheetData>
    <row r="1" spans="1:129" s="278" customFormat="1" ht="60">
      <c r="A1" s="342" t="s">
        <v>0</v>
      </c>
      <c r="B1" s="244" t="s">
        <v>1</v>
      </c>
      <c r="C1" s="343" t="s">
        <v>2</v>
      </c>
      <c r="D1" s="244" t="s">
        <v>3</v>
      </c>
      <c r="E1" s="344" t="s">
        <v>4</v>
      </c>
      <c r="F1" s="342" t="s">
        <v>5</v>
      </c>
      <c r="G1" s="257" t="s">
        <v>6</v>
      </c>
      <c r="H1" s="345" t="s">
        <v>7</v>
      </c>
      <c r="I1" s="345" t="s">
        <v>8</v>
      </c>
      <c r="J1" s="343" t="s">
        <v>9</v>
      </c>
      <c r="K1" s="343" t="s">
        <v>10</v>
      </c>
      <c r="L1" s="151" t="s">
        <v>978</v>
      </c>
      <c r="M1" s="540" t="s">
        <v>980</v>
      </c>
      <c r="N1" s="346" t="s">
        <v>1385</v>
      </c>
      <c r="O1" s="347" t="s">
        <v>11</v>
      </c>
      <c r="P1" s="347" t="s">
        <v>12</v>
      </c>
      <c r="Q1" s="347" t="s">
        <v>13</v>
      </c>
      <c r="R1" s="347" t="s">
        <v>14</v>
      </c>
      <c r="S1" s="347" t="s">
        <v>15</v>
      </c>
      <c r="T1" s="347" t="s">
        <v>16</v>
      </c>
      <c r="U1" s="348" t="s">
        <v>958</v>
      </c>
      <c r="V1" s="348" t="s">
        <v>18</v>
      </c>
      <c r="W1" s="737" t="s">
        <v>893</v>
      </c>
      <c r="X1" s="347" t="s">
        <v>19</v>
      </c>
      <c r="Y1" s="347" t="s">
        <v>20</v>
      </c>
      <c r="Z1" s="347" t="s">
        <v>21</v>
      </c>
      <c r="AA1" s="347" t="s">
        <v>22</v>
      </c>
      <c r="AB1" s="347" t="s">
        <v>552</v>
      </c>
      <c r="AC1" s="334" t="s">
        <v>23</v>
      </c>
      <c r="AD1" s="334" t="s">
        <v>24</v>
      </c>
      <c r="AE1" s="332" t="s">
        <v>25</v>
      </c>
      <c r="AF1" s="334" t="s">
        <v>26</v>
      </c>
      <c r="AG1" s="334" t="s">
        <v>27</v>
      </c>
      <c r="AH1" s="284" t="s">
        <v>28</v>
      </c>
      <c r="AI1" s="334" t="s">
        <v>29</v>
      </c>
      <c r="AJ1" s="334" t="s">
        <v>553</v>
      </c>
      <c r="AK1" s="334" t="s">
        <v>889</v>
      </c>
      <c r="AL1" s="343" t="s">
        <v>17</v>
      </c>
      <c r="AM1" s="349" t="s">
        <v>1287</v>
      </c>
      <c r="AN1" s="905" t="s">
        <v>1207</v>
      </c>
      <c r="AO1" s="923" t="s">
        <v>1208</v>
      </c>
      <c r="AP1" s="916" t="s">
        <v>1209</v>
      </c>
      <c r="AQ1" s="925" t="s">
        <v>1210</v>
      </c>
      <c r="AR1" s="909" t="s">
        <v>1211</v>
      </c>
      <c r="AS1" s="913" t="s">
        <v>1212</v>
      </c>
      <c r="AT1" s="349" t="s">
        <v>1874</v>
      </c>
    </row>
    <row r="2" spans="1:129" s="274" customFormat="1" ht="15.75" customHeight="1">
      <c r="A2" s="350">
        <v>1</v>
      </c>
      <c r="B2" s="146" t="s">
        <v>835</v>
      </c>
      <c r="C2" s="147">
        <v>0</v>
      </c>
      <c r="D2" s="148" t="str">
        <f>VLOOKUP(C2,Table8[],2,0)</f>
        <v>NITKO</v>
      </c>
      <c r="E2" s="354"/>
      <c r="F2" s="2" t="s">
        <v>836</v>
      </c>
      <c r="G2" s="146"/>
      <c r="H2" s="355"/>
      <c r="I2" s="147"/>
      <c r="J2" s="147" t="s">
        <v>31</v>
      </c>
      <c r="K2" s="147" t="s">
        <v>31</v>
      </c>
      <c r="L2" s="356"/>
      <c r="N2" s="357" t="s">
        <v>44</v>
      </c>
      <c r="O2" s="774" t="s">
        <v>37</v>
      </c>
      <c r="P2" s="147" t="s">
        <v>31</v>
      </c>
      <c r="Q2" s="147" t="s">
        <v>31</v>
      </c>
      <c r="R2" s="147" t="s">
        <v>31</v>
      </c>
      <c r="S2" s="358" t="s">
        <v>134</v>
      </c>
      <c r="T2" s="147"/>
      <c r="U2" s="274" t="s">
        <v>837</v>
      </c>
      <c r="W2" s="147" t="s">
        <v>31</v>
      </c>
      <c r="X2" s="147"/>
      <c r="Y2" s="147"/>
      <c r="Z2" s="147"/>
      <c r="AA2" s="147"/>
      <c r="AB2" s="147"/>
      <c r="AC2" s="359">
        <v>45717</v>
      </c>
      <c r="AD2" s="147"/>
      <c r="AE2" s="359"/>
      <c r="AF2" s="147"/>
      <c r="AG2" s="147"/>
      <c r="AH2" s="147"/>
      <c r="AI2" s="147"/>
      <c r="AJ2" s="147"/>
      <c r="AK2" s="147" t="s">
        <v>31</v>
      </c>
      <c r="AL2" s="365" t="s">
        <v>30</v>
      </c>
      <c r="AM2" s="656"/>
      <c r="AN2" s="147"/>
      <c r="AO2" s="147"/>
      <c r="AP2" s="147"/>
      <c r="AQ2" s="147"/>
      <c r="AR2" s="147"/>
      <c r="AS2" s="359"/>
      <c r="AT2" s="147"/>
    </row>
    <row r="3" spans="1:129" s="364" customFormat="1" ht="16.5">
      <c r="A3" s="351">
        <v>2</v>
      </c>
      <c r="B3" s="647" t="s">
        <v>1440</v>
      </c>
      <c r="C3" s="147">
        <v>9</v>
      </c>
      <c r="D3" s="148" t="str">
        <f>VLOOKUP(C3,Table8[],2,0)</f>
        <v>SANDRA</v>
      </c>
      <c r="E3" s="354">
        <v>52257200443</v>
      </c>
      <c r="F3" s="361" t="s">
        <v>799</v>
      </c>
      <c r="G3" s="146" t="s">
        <v>800</v>
      </c>
      <c r="H3" s="355"/>
      <c r="I3" s="147"/>
      <c r="J3" s="147" t="s">
        <v>30</v>
      </c>
      <c r="K3" s="147" t="s">
        <v>30</v>
      </c>
      <c r="L3" s="630" t="s">
        <v>1026</v>
      </c>
      <c r="M3" s="631" t="s">
        <v>1070</v>
      </c>
      <c r="N3" s="362" t="s">
        <v>878</v>
      </c>
      <c r="O3" s="783" t="s">
        <v>34</v>
      </c>
      <c r="P3" s="147" t="s">
        <v>128</v>
      </c>
      <c r="Q3" s="147" t="s">
        <v>128</v>
      </c>
      <c r="R3" s="147" t="s">
        <v>128</v>
      </c>
      <c r="S3" s="358" t="s">
        <v>134</v>
      </c>
      <c r="T3" s="147"/>
      <c r="U3" s="507" t="s">
        <v>1169</v>
      </c>
      <c r="V3" s="274"/>
      <c r="W3" s="738" t="s">
        <v>30</v>
      </c>
      <c r="X3" s="147"/>
      <c r="Y3" s="147"/>
      <c r="Z3" s="147"/>
      <c r="AA3" s="147"/>
      <c r="AB3" s="147"/>
      <c r="AC3" s="359">
        <v>45627</v>
      </c>
      <c r="AD3" s="147"/>
      <c r="AE3" s="359"/>
      <c r="AF3" s="147"/>
      <c r="AG3" s="147"/>
      <c r="AH3" s="147"/>
      <c r="AI3" s="147"/>
      <c r="AJ3" s="147"/>
      <c r="AK3" s="147" t="s">
        <v>30</v>
      </c>
      <c r="AL3" s="365"/>
      <c r="AM3" s="639"/>
      <c r="AN3" s="915" t="s">
        <v>1375</v>
      </c>
      <c r="AO3" s="356" t="s">
        <v>1709</v>
      </c>
      <c r="AP3" s="356" t="s">
        <v>1710</v>
      </c>
      <c r="AQ3" s="926">
        <v>75473123133</v>
      </c>
      <c r="AR3" s="910">
        <f>150*1.1</f>
        <v>165</v>
      </c>
      <c r="AS3" s="359">
        <v>46132</v>
      </c>
      <c r="AT3" s="33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</row>
    <row r="4" spans="1:129" s="274" customFormat="1" ht="16.5">
      <c r="A4" s="292">
        <v>3</v>
      </c>
      <c r="B4" s="821" t="s">
        <v>1711</v>
      </c>
      <c r="C4" s="365">
        <v>2</v>
      </c>
      <c r="D4" s="148" t="str">
        <f>VLOOKUP(C4,Table8[],2,0)</f>
        <v>LAURA</v>
      </c>
      <c r="E4" s="354">
        <v>33633883439</v>
      </c>
      <c r="F4" s="366" t="s">
        <v>708</v>
      </c>
      <c r="G4" s="367" t="s">
        <v>1086</v>
      </c>
      <c r="H4" s="368"/>
      <c r="I4" s="365">
        <v>70.22</v>
      </c>
      <c r="J4" s="365" t="s">
        <v>30</v>
      </c>
      <c r="K4" s="365" t="s">
        <v>31</v>
      </c>
      <c r="L4" s="165">
        <v>2026</v>
      </c>
      <c r="M4" s="369" t="s">
        <v>708</v>
      </c>
      <c r="N4" s="357" t="s">
        <v>44</v>
      </c>
      <c r="O4" s="784" t="s">
        <v>34</v>
      </c>
      <c r="P4" s="365" t="s">
        <v>31</v>
      </c>
      <c r="Q4" s="365" t="s">
        <v>31</v>
      </c>
      <c r="R4" s="365" t="s">
        <v>31</v>
      </c>
      <c r="S4" s="360" t="s">
        <v>839</v>
      </c>
      <c r="T4" s="365"/>
      <c r="U4" s="370" t="s">
        <v>1243</v>
      </c>
      <c r="V4" s="370"/>
      <c r="W4" s="739" t="s">
        <v>30</v>
      </c>
      <c r="X4" s="365"/>
      <c r="Y4" s="365"/>
      <c r="Z4" s="365"/>
      <c r="AA4" s="365"/>
      <c r="AB4" s="365" t="s">
        <v>587</v>
      </c>
      <c r="AC4" s="365" t="s">
        <v>709</v>
      </c>
      <c r="AD4" s="365"/>
      <c r="AE4" s="371"/>
      <c r="AF4" s="365"/>
      <c r="AG4" s="365"/>
      <c r="AH4" s="365"/>
      <c r="AI4" s="365"/>
      <c r="AJ4" s="365"/>
      <c r="AK4" s="147" t="s">
        <v>30</v>
      </c>
      <c r="AL4" s="372"/>
      <c r="AM4" s="147"/>
      <c r="AN4" s="643" t="s">
        <v>1214</v>
      </c>
      <c r="AO4" s="643" t="s">
        <v>1712</v>
      </c>
      <c r="AP4" s="865" t="s">
        <v>1717</v>
      </c>
      <c r="AQ4" s="926">
        <v>26975048636</v>
      </c>
      <c r="AR4" s="910">
        <v>120</v>
      </c>
      <c r="AS4" s="359"/>
      <c r="AT4" s="334"/>
    </row>
    <row r="5" spans="1:129" s="274" customFormat="1" ht="16.5">
      <c r="A5" s="292">
        <v>4</v>
      </c>
      <c r="B5" s="821" t="s">
        <v>1441</v>
      </c>
      <c r="C5" s="372">
        <v>11</v>
      </c>
      <c r="D5" s="148" t="str">
        <f>VLOOKUP(C5,Table8[],2,0)</f>
        <v>GABRIJELA</v>
      </c>
      <c r="E5" s="354">
        <v>98248660755</v>
      </c>
      <c r="F5" s="366" t="s">
        <v>40</v>
      </c>
      <c r="G5" s="820" t="s">
        <v>1608</v>
      </c>
      <c r="H5" s="373" t="s">
        <v>604</v>
      </c>
      <c r="I5" s="372">
        <v>79.11</v>
      </c>
      <c r="J5" s="372" t="s">
        <v>31</v>
      </c>
      <c r="K5" s="372" t="s">
        <v>31</v>
      </c>
      <c r="L5" s="589" t="s">
        <v>1026</v>
      </c>
      <c r="M5" s="158" t="s">
        <v>1036</v>
      </c>
      <c r="N5" s="357" t="s">
        <v>883</v>
      </c>
      <c r="O5" s="785" t="s">
        <v>34</v>
      </c>
      <c r="P5" s="372"/>
      <c r="Q5" s="372" t="s">
        <v>31</v>
      </c>
      <c r="R5" s="372"/>
      <c r="S5" s="360" t="s">
        <v>839</v>
      </c>
      <c r="T5" s="372"/>
      <c r="U5" s="520" t="s">
        <v>1242</v>
      </c>
      <c r="V5" s="292"/>
      <c r="W5" s="740" t="s">
        <v>30</v>
      </c>
      <c r="X5" s="372"/>
      <c r="Y5" s="372"/>
      <c r="Z5" s="372"/>
      <c r="AA5" s="372"/>
      <c r="AB5" s="372" t="s">
        <v>602</v>
      </c>
      <c r="AC5" s="372"/>
      <c r="AD5" s="372"/>
      <c r="AE5" s="374" t="s">
        <v>603</v>
      </c>
      <c r="AF5" s="372">
        <v>500</v>
      </c>
      <c r="AG5" s="372" t="s">
        <v>49</v>
      </c>
      <c r="AH5" s="372"/>
      <c r="AI5" s="372"/>
      <c r="AJ5" s="375"/>
      <c r="AK5" s="147" t="s">
        <v>30</v>
      </c>
      <c r="AL5" s="657" t="s">
        <v>30</v>
      </c>
      <c r="AM5" s="640" t="s">
        <v>1098</v>
      </c>
      <c r="AN5" s="915" t="s">
        <v>1375</v>
      </c>
      <c r="AO5" s="915" t="s">
        <v>321</v>
      </c>
      <c r="AP5" s="821" t="s">
        <v>1713</v>
      </c>
      <c r="AQ5" s="926">
        <v>46957384613</v>
      </c>
      <c r="AR5" s="910">
        <f>92*1.1</f>
        <v>101.2</v>
      </c>
      <c r="AS5" s="359"/>
      <c r="AT5" s="334"/>
    </row>
    <row r="6" spans="1:129" s="274" customFormat="1" ht="16.5">
      <c r="A6" s="352">
        <v>5</v>
      </c>
      <c r="B6" s="647" t="s">
        <v>1390</v>
      </c>
      <c r="C6" s="147">
        <v>11</v>
      </c>
      <c r="D6" s="148" t="str">
        <f>VLOOKUP(C6,Table8[],2,0)</f>
        <v>GABRIJELA</v>
      </c>
      <c r="E6" s="354">
        <v>15784179667</v>
      </c>
      <c r="F6" s="818" t="s">
        <v>1604</v>
      </c>
      <c r="G6" s="819" t="s">
        <v>1603</v>
      </c>
      <c r="H6" s="355"/>
      <c r="I6" s="147"/>
      <c r="J6" s="147" t="s">
        <v>30</v>
      </c>
      <c r="K6" s="147" t="s">
        <v>31</v>
      </c>
      <c r="L6" s="157" t="s">
        <v>1026</v>
      </c>
      <c r="M6" s="410" t="s">
        <v>1016</v>
      </c>
      <c r="N6" s="362" t="s">
        <v>44</v>
      </c>
      <c r="O6" s="775" t="s">
        <v>42</v>
      </c>
      <c r="P6" s="147" t="s">
        <v>31</v>
      </c>
      <c r="Q6" s="147" t="s">
        <v>31</v>
      </c>
      <c r="R6" s="147" t="s">
        <v>31</v>
      </c>
      <c r="S6" s="748" t="s">
        <v>839</v>
      </c>
      <c r="T6" s="147"/>
      <c r="U6" s="520" t="s">
        <v>1241</v>
      </c>
      <c r="W6" s="738" t="s">
        <v>30</v>
      </c>
      <c r="X6" s="147"/>
      <c r="Y6" s="147"/>
      <c r="Z6" s="147"/>
      <c r="AA6" s="147"/>
      <c r="AB6" s="147"/>
      <c r="AC6" s="359">
        <v>45931</v>
      </c>
      <c r="AD6" s="147"/>
      <c r="AE6" s="359">
        <v>45931</v>
      </c>
      <c r="AF6" s="147">
        <v>600</v>
      </c>
      <c r="AG6" s="147" t="s">
        <v>941</v>
      </c>
      <c r="AH6" s="147"/>
      <c r="AI6" s="147"/>
      <c r="AJ6" s="147"/>
      <c r="AK6" s="147" t="s">
        <v>30</v>
      </c>
      <c r="AL6" s="657" t="s">
        <v>30</v>
      </c>
      <c r="AM6" s="908" t="s">
        <v>1100</v>
      </c>
      <c r="AN6" s="643" t="s">
        <v>1357</v>
      </c>
      <c r="AO6" s="865" t="s">
        <v>1714</v>
      </c>
      <c r="AP6" s="865" t="s">
        <v>1715</v>
      </c>
      <c r="AQ6" s="926" t="s">
        <v>1716</v>
      </c>
      <c r="AR6" s="910">
        <f>100*1.1</f>
        <v>110.00000000000001</v>
      </c>
      <c r="AS6" s="359"/>
      <c r="AT6" s="334"/>
    </row>
    <row r="7" spans="1:129" s="274" customFormat="1" ht="16.5" customHeight="1">
      <c r="A7" s="292">
        <v>6</v>
      </c>
      <c r="B7" s="821" t="s">
        <v>1721</v>
      </c>
      <c r="C7" s="372">
        <v>15</v>
      </c>
      <c r="D7" s="148" t="str">
        <f>VLOOKUP(C7,Table8[],2,0)</f>
        <v>NIKOLINA</v>
      </c>
      <c r="E7" s="354">
        <v>7589119396</v>
      </c>
      <c r="F7" s="366" t="s">
        <v>87</v>
      </c>
      <c r="G7" s="688" t="s">
        <v>1491</v>
      </c>
      <c r="H7" s="377"/>
      <c r="I7" s="372">
        <v>46.9</v>
      </c>
      <c r="J7" s="372" t="s">
        <v>30</v>
      </c>
      <c r="K7" s="378" t="s">
        <v>30</v>
      </c>
      <c r="L7" s="161" t="s">
        <v>1026</v>
      </c>
      <c r="M7" s="410" t="s">
        <v>1003</v>
      </c>
      <c r="N7" s="357" t="s">
        <v>876</v>
      </c>
      <c r="O7" s="785" t="s">
        <v>34</v>
      </c>
      <c r="P7" s="372"/>
      <c r="Q7" s="372"/>
      <c r="R7" s="372" t="s">
        <v>31</v>
      </c>
      <c r="S7" s="360" t="s">
        <v>839</v>
      </c>
      <c r="T7" s="372"/>
      <c r="U7" s="379" t="s">
        <v>1110</v>
      </c>
      <c r="V7" s="292"/>
      <c r="W7" s="740" t="s">
        <v>30</v>
      </c>
      <c r="X7" s="372"/>
      <c r="Y7" s="372"/>
      <c r="Z7" s="372"/>
      <c r="AA7" s="372"/>
      <c r="AB7" s="372" t="s">
        <v>563</v>
      </c>
      <c r="AC7" s="372"/>
      <c r="AD7" s="372"/>
      <c r="AE7" s="374"/>
      <c r="AF7" s="372"/>
      <c r="AG7" s="372"/>
      <c r="AH7" s="372"/>
      <c r="AI7" s="372"/>
      <c r="AJ7" s="375"/>
      <c r="AK7" s="147" t="s">
        <v>30</v>
      </c>
      <c r="AL7" s="657" t="s">
        <v>30</v>
      </c>
      <c r="AM7" s="147" t="s">
        <v>1100</v>
      </c>
      <c r="AN7" s="915" t="s">
        <v>1722</v>
      </c>
      <c r="AO7" s="915" t="s">
        <v>1723</v>
      </c>
      <c r="AP7" s="865" t="s">
        <v>1724</v>
      </c>
      <c r="AQ7" s="926">
        <v>78645846484</v>
      </c>
      <c r="AR7" s="917">
        <f>300*1.1</f>
        <v>330</v>
      </c>
      <c r="AS7" s="359"/>
      <c r="AT7" s="918" t="s">
        <v>87</v>
      </c>
    </row>
    <row r="8" spans="1:129" s="274" customFormat="1" ht="24">
      <c r="A8" s="292">
        <v>7</v>
      </c>
      <c r="B8" s="246" t="s">
        <v>52</v>
      </c>
      <c r="C8" s="372">
        <v>6</v>
      </c>
      <c r="D8" s="148" t="str">
        <f>VLOOKUP(C8,Table8[],2,0)</f>
        <v>F. ANA P.</v>
      </c>
      <c r="E8" s="380">
        <v>9677499852</v>
      </c>
      <c r="F8" s="528" t="s">
        <v>1277</v>
      </c>
      <c r="G8" s="686" t="s">
        <v>1492</v>
      </c>
      <c r="H8" s="373" t="s">
        <v>586</v>
      </c>
      <c r="I8" s="372">
        <v>46.9</v>
      </c>
      <c r="J8" s="372" t="s">
        <v>30</v>
      </c>
      <c r="K8" s="372" t="s">
        <v>30</v>
      </c>
      <c r="L8" s="157" t="s">
        <v>1026</v>
      </c>
      <c r="M8" s="410" t="s">
        <v>1538</v>
      </c>
      <c r="N8" s="638" t="s">
        <v>876</v>
      </c>
      <c r="O8" s="785" t="s">
        <v>34</v>
      </c>
      <c r="P8" s="372" t="s">
        <v>41</v>
      </c>
      <c r="Q8" s="372" t="s">
        <v>30</v>
      </c>
      <c r="R8" s="372" t="s">
        <v>31</v>
      </c>
      <c r="S8" s="383" t="s">
        <v>880</v>
      </c>
      <c r="T8" s="372"/>
      <c r="U8" s="502" t="s">
        <v>1126</v>
      </c>
      <c r="V8" s="292"/>
      <c r="W8" s="628" t="s">
        <v>1367</v>
      </c>
      <c r="X8" s="374" t="s">
        <v>583</v>
      </c>
      <c r="Y8" s="374" t="s">
        <v>584</v>
      </c>
      <c r="Z8" s="374" t="s">
        <v>585</v>
      </c>
      <c r="AA8" s="374" t="s">
        <v>583</v>
      </c>
      <c r="AB8" s="372" t="s">
        <v>563</v>
      </c>
      <c r="AC8" s="372"/>
      <c r="AD8" s="372"/>
      <c r="AE8" s="374"/>
      <c r="AF8" s="372"/>
      <c r="AG8" s="372"/>
      <c r="AH8" s="372">
        <v>625</v>
      </c>
      <c r="AI8" s="372"/>
      <c r="AJ8" s="375"/>
      <c r="AK8" s="147" t="s">
        <v>30</v>
      </c>
      <c r="AL8" s="372"/>
      <c r="AM8" s="147" t="s">
        <v>1098</v>
      </c>
      <c r="AN8" s="147" t="s">
        <v>1375</v>
      </c>
      <c r="AO8" s="949" t="s">
        <v>1974</v>
      </c>
      <c r="AP8" s="349" t="s">
        <v>1976</v>
      </c>
      <c r="AQ8" s="865">
        <v>51305568565</v>
      </c>
      <c r="AR8" s="147"/>
      <c r="AS8" s="359"/>
      <c r="AT8" s="830" t="s">
        <v>1975</v>
      </c>
    </row>
    <row r="9" spans="1:129" s="274" customFormat="1" ht="36">
      <c r="A9" s="292">
        <v>8</v>
      </c>
      <c r="B9" s="130" t="s">
        <v>1391</v>
      </c>
      <c r="C9" s="658">
        <v>0</v>
      </c>
      <c r="D9" s="148" t="str">
        <f>VLOOKUP(C9,Table8[],2,0)</f>
        <v>NITKO</v>
      </c>
      <c r="E9" s="354">
        <v>93439918139</v>
      </c>
      <c r="F9" s="528" t="s">
        <v>1276</v>
      </c>
      <c r="G9" s="686" t="s">
        <v>1493</v>
      </c>
      <c r="H9" s="377"/>
      <c r="I9" s="372">
        <v>20.41</v>
      </c>
      <c r="J9" s="372" t="s">
        <v>30</v>
      </c>
      <c r="K9" s="372" t="s">
        <v>30</v>
      </c>
      <c r="L9" s="154" t="s">
        <v>1000</v>
      </c>
      <c r="M9" s="541"/>
      <c r="N9" s="357" t="s">
        <v>44</v>
      </c>
      <c r="O9" s="785" t="s">
        <v>34</v>
      </c>
      <c r="P9" s="372"/>
      <c r="Q9" s="372"/>
      <c r="R9" s="372" t="s">
        <v>31</v>
      </c>
      <c r="S9" s="358" t="s">
        <v>134</v>
      </c>
      <c r="T9" s="372"/>
      <c r="U9" s="616" t="s">
        <v>1344</v>
      </c>
      <c r="V9" s="292"/>
      <c r="W9" s="740" t="s">
        <v>30</v>
      </c>
      <c r="X9" s="372"/>
      <c r="Y9" s="372"/>
      <c r="Z9" s="372"/>
      <c r="AA9" s="372"/>
      <c r="AB9" s="372" t="s">
        <v>649</v>
      </c>
      <c r="AC9" s="372"/>
      <c r="AD9" s="372"/>
      <c r="AE9" s="374"/>
      <c r="AF9" s="372"/>
      <c r="AG9" s="372"/>
      <c r="AH9" s="372">
        <v>250</v>
      </c>
      <c r="AI9" s="372"/>
      <c r="AJ9" s="375"/>
      <c r="AK9" s="147" t="s">
        <v>30</v>
      </c>
      <c r="AL9" s="657" t="s">
        <v>30</v>
      </c>
      <c r="AM9" s="147"/>
      <c r="AN9" s="147"/>
      <c r="AO9" s="147"/>
      <c r="AP9" s="147"/>
      <c r="AQ9" s="355"/>
      <c r="AR9" s="147"/>
      <c r="AS9" s="359"/>
      <c r="AT9" s="147"/>
    </row>
    <row r="10" spans="1:129" s="274" customFormat="1" ht="15" customHeight="1">
      <c r="A10" s="292">
        <v>9</v>
      </c>
      <c r="B10" s="247" t="s">
        <v>45</v>
      </c>
      <c r="C10" s="372">
        <v>15</v>
      </c>
      <c r="D10" s="148" t="str">
        <f>VLOOKUP(C10,Table8[],2,0)</f>
        <v>NIKOLINA</v>
      </c>
      <c r="E10" s="380">
        <v>57699683738</v>
      </c>
      <c r="F10" s="528" t="s">
        <v>1275</v>
      </c>
      <c r="G10" s="636" t="s">
        <v>854</v>
      </c>
      <c r="H10" s="373" t="s">
        <v>565</v>
      </c>
      <c r="I10" s="372">
        <v>77.34</v>
      </c>
      <c r="J10" s="372" t="s">
        <v>30</v>
      </c>
      <c r="K10" s="386" t="s">
        <v>31</v>
      </c>
      <c r="L10" s="157" t="s">
        <v>1026</v>
      </c>
      <c r="M10" s="410" t="s">
        <v>1013</v>
      </c>
      <c r="N10" s="387" t="s">
        <v>876</v>
      </c>
      <c r="O10" s="786" t="s">
        <v>876</v>
      </c>
      <c r="P10" s="372"/>
      <c r="Q10" s="372" t="s">
        <v>31</v>
      </c>
      <c r="R10" s="372" t="s">
        <v>31</v>
      </c>
      <c r="S10" s="360" t="s">
        <v>839</v>
      </c>
      <c r="T10" s="372"/>
      <c r="U10" s="1060" t="s">
        <v>2062</v>
      </c>
      <c r="V10" s="292"/>
      <c r="W10" s="740" t="s">
        <v>30</v>
      </c>
      <c r="X10" s="372"/>
      <c r="Y10" s="372"/>
      <c r="Z10" s="372"/>
      <c r="AA10" s="372"/>
      <c r="AB10" s="372" t="s">
        <v>564</v>
      </c>
      <c r="AC10" s="372"/>
      <c r="AD10" s="372"/>
      <c r="AE10" s="374"/>
      <c r="AF10" s="372"/>
      <c r="AG10" s="372"/>
      <c r="AH10" s="372">
        <v>165</v>
      </c>
      <c r="AI10" s="372"/>
      <c r="AJ10" s="375"/>
      <c r="AK10" s="147" t="s">
        <v>30</v>
      </c>
      <c r="AL10" s="657" t="s">
        <v>30</v>
      </c>
      <c r="AM10" s="147" t="s">
        <v>1100</v>
      </c>
      <c r="AN10" s="915" t="s">
        <v>1722</v>
      </c>
      <c r="AO10" s="915" t="s">
        <v>1723</v>
      </c>
      <c r="AP10" s="865" t="s">
        <v>1724</v>
      </c>
      <c r="AQ10" s="926">
        <v>78645846484</v>
      </c>
      <c r="AR10" s="910">
        <v>55</v>
      </c>
      <c r="AS10" s="359"/>
      <c r="AT10" s="334"/>
    </row>
    <row r="11" spans="1:129" s="274" customFormat="1">
      <c r="A11" s="292">
        <v>10</v>
      </c>
      <c r="B11" s="130" t="s">
        <v>1102</v>
      </c>
      <c r="C11" s="365">
        <v>11</v>
      </c>
      <c r="D11" s="148" t="str">
        <f>VLOOKUP(C11,Table8[],2,0)</f>
        <v>GABRIJELA</v>
      </c>
      <c r="E11" s="354">
        <v>85034890269</v>
      </c>
      <c r="F11" s="384" t="s">
        <v>1103</v>
      </c>
      <c r="G11" s="367">
        <f>36209331511</f>
        <v>36209331511</v>
      </c>
      <c r="H11" s="368"/>
      <c r="I11" s="365">
        <v>55.9</v>
      </c>
      <c r="J11" s="365" t="s">
        <v>31</v>
      </c>
      <c r="K11" s="365" t="s">
        <v>31</v>
      </c>
      <c r="L11" s="273" t="s">
        <v>1026</v>
      </c>
      <c r="M11" s="468" t="s">
        <v>1104</v>
      </c>
      <c r="N11" s="357" t="s">
        <v>875</v>
      </c>
      <c r="O11" s="784" t="s">
        <v>37</v>
      </c>
      <c r="P11" s="365" t="s">
        <v>31</v>
      </c>
      <c r="Q11" s="365" t="s">
        <v>31</v>
      </c>
      <c r="R11" s="365" t="s">
        <v>31</v>
      </c>
      <c r="S11" s="360" t="s">
        <v>839</v>
      </c>
      <c r="T11" s="365"/>
      <c r="U11" s="370" t="s">
        <v>1106</v>
      </c>
      <c r="V11" s="370"/>
      <c r="W11" s="739" t="s">
        <v>38</v>
      </c>
      <c r="X11" s="365"/>
      <c r="Y11" s="365"/>
      <c r="Z11" s="365"/>
      <c r="AA11" s="365"/>
      <c r="AB11" s="365" t="s">
        <v>555</v>
      </c>
      <c r="AC11" s="371" t="s">
        <v>702</v>
      </c>
      <c r="AD11" s="365"/>
      <c r="AE11" s="371"/>
      <c r="AF11" s="365"/>
      <c r="AG11" s="365"/>
      <c r="AH11" s="365"/>
      <c r="AI11" s="365"/>
      <c r="AJ11" s="365" t="s">
        <v>557</v>
      </c>
      <c r="AK11" s="147" t="s">
        <v>30</v>
      </c>
      <c r="AL11" s="365" t="s">
        <v>30</v>
      </c>
      <c r="AM11" s="147"/>
      <c r="AN11" s="356"/>
      <c r="AO11" s="356"/>
      <c r="AP11" s="356"/>
      <c r="AQ11" s="355"/>
      <c r="AR11" s="910"/>
      <c r="AS11" s="359"/>
      <c r="AT11" s="334"/>
    </row>
    <row r="12" spans="1:129" s="274" customFormat="1">
      <c r="A12" s="1074">
        <v>11</v>
      </c>
      <c r="B12" s="248" t="s">
        <v>85</v>
      </c>
      <c r="C12" s="787">
        <v>11</v>
      </c>
      <c r="D12" s="1076" t="str">
        <f>VLOOKUP(C12,Table8[],2,0)</f>
        <v>GABRIJELA</v>
      </c>
      <c r="E12" s="354">
        <v>36655183140</v>
      </c>
      <c r="F12" s="366" t="s">
        <v>86</v>
      </c>
      <c r="G12" s="688" t="s">
        <v>1494</v>
      </c>
      <c r="H12" s="377"/>
      <c r="I12" s="372">
        <v>55.9</v>
      </c>
      <c r="J12" s="372" t="s">
        <v>30</v>
      </c>
      <c r="K12" s="372" t="s">
        <v>31</v>
      </c>
      <c r="L12" s="598" t="s">
        <v>1307</v>
      </c>
      <c r="M12" s="410" t="s">
        <v>1043</v>
      </c>
      <c r="N12" s="357" t="s">
        <v>875</v>
      </c>
      <c r="O12" s="785" t="s">
        <v>37</v>
      </c>
      <c r="P12" s="372"/>
      <c r="Q12" s="372"/>
      <c r="R12" s="372"/>
      <c r="S12" s="360" t="s">
        <v>839</v>
      </c>
      <c r="T12" s="372"/>
      <c r="U12" s="520" t="s">
        <v>1244</v>
      </c>
      <c r="V12" s="292"/>
      <c r="W12" s="740" t="s">
        <v>38</v>
      </c>
      <c r="X12" s="372"/>
      <c r="Y12" s="372"/>
      <c r="Z12" s="372"/>
      <c r="AA12" s="372"/>
      <c r="AB12" s="372" t="s">
        <v>634</v>
      </c>
      <c r="AC12" s="372"/>
      <c r="AD12" s="372"/>
      <c r="AE12" s="374"/>
      <c r="AF12" s="372"/>
      <c r="AG12" s="372"/>
      <c r="AH12" s="372" t="s">
        <v>635</v>
      </c>
      <c r="AI12" s="372"/>
      <c r="AJ12" s="375"/>
      <c r="AK12" s="388" t="s">
        <v>31</v>
      </c>
      <c r="AL12" s="365" t="s">
        <v>30</v>
      </c>
      <c r="AM12" s="639"/>
      <c r="AN12" s="356"/>
      <c r="AO12" s="356"/>
      <c r="AP12" s="356"/>
      <c r="AQ12" s="355"/>
      <c r="AR12" s="910"/>
      <c r="AS12" s="359"/>
      <c r="AT12" s="334"/>
    </row>
    <row r="13" spans="1:129" s="274" customFormat="1">
      <c r="A13" s="172">
        <v>12</v>
      </c>
      <c r="B13" s="647" t="s">
        <v>803</v>
      </c>
      <c r="C13" s="147">
        <v>6</v>
      </c>
      <c r="D13" s="148" t="str">
        <f>VLOOKUP(C13,Table8[],2,0)</f>
        <v>F. ANA P.</v>
      </c>
      <c r="E13" s="354"/>
      <c r="F13" s="366" t="s">
        <v>890</v>
      </c>
      <c r="G13" s="146"/>
      <c r="H13" s="355"/>
      <c r="I13" s="147"/>
      <c r="J13" s="147" t="s">
        <v>31</v>
      </c>
      <c r="K13" s="147" t="s">
        <v>31</v>
      </c>
      <c r="L13" s="155" t="s">
        <v>270</v>
      </c>
      <c r="M13" s="542"/>
      <c r="N13" s="382" t="s">
        <v>271</v>
      </c>
      <c r="O13" s="774" t="s">
        <v>37</v>
      </c>
      <c r="P13" s="147" t="s">
        <v>31</v>
      </c>
      <c r="Q13" s="147" t="s">
        <v>31</v>
      </c>
      <c r="R13" s="147" t="s">
        <v>31</v>
      </c>
      <c r="S13" s="358" t="s">
        <v>134</v>
      </c>
      <c r="T13" s="147"/>
      <c r="U13" s="274" t="s">
        <v>804</v>
      </c>
      <c r="W13" s="628" t="s">
        <v>1367</v>
      </c>
      <c r="X13" s="147"/>
      <c r="Y13" s="147"/>
      <c r="Z13" s="147"/>
      <c r="AA13" s="147"/>
      <c r="AB13" s="147"/>
      <c r="AC13" s="359">
        <v>45566</v>
      </c>
      <c r="AD13" s="147"/>
      <c r="AE13" s="359"/>
      <c r="AF13" s="147"/>
      <c r="AG13" s="147"/>
      <c r="AH13" s="147"/>
      <c r="AI13" s="147"/>
      <c r="AJ13" s="147"/>
      <c r="AK13" s="147" t="s">
        <v>30</v>
      </c>
      <c r="AL13" s="657" t="s">
        <v>30</v>
      </c>
      <c r="AM13" s="147"/>
      <c r="AN13" s="147"/>
      <c r="AO13" s="147"/>
      <c r="AP13" s="147"/>
      <c r="AQ13" s="355"/>
      <c r="AR13" s="147"/>
      <c r="AS13" s="359"/>
      <c r="AT13" s="147"/>
    </row>
    <row r="14" spans="1:129" s="364" customFormat="1">
      <c r="A14" s="172">
        <v>13</v>
      </c>
      <c r="B14" s="130" t="s">
        <v>1152</v>
      </c>
      <c r="C14" s="360">
        <v>0</v>
      </c>
      <c r="D14" s="148" t="str">
        <f>VLOOKUP(C14,Table8[],2,0)</f>
        <v>NITKO</v>
      </c>
      <c r="E14" s="354">
        <v>19487187831</v>
      </c>
      <c r="F14" s="366" t="s">
        <v>93</v>
      </c>
      <c r="G14" s="686" t="s">
        <v>1495</v>
      </c>
      <c r="H14" s="377"/>
      <c r="I14" s="372">
        <v>55.9</v>
      </c>
      <c r="J14" s="372" t="s">
        <v>30</v>
      </c>
      <c r="K14" s="372" t="s">
        <v>31</v>
      </c>
      <c r="L14" s="589" t="s">
        <v>1026</v>
      </c>
      <c r="M14" s="410" t="s">
        <v>1054</v>
      </c>
      <c r="N14" s="357" t="s">
        <v>875</v>
      </c>
      <c r="O14" s="785" t="s">
        <v>37</v>
      </c>
      <c r="P14" s="372"/>
      <c r="Q14" s="372"/>
      <c r="R14" s="372" t="s">
        <v>31</v>
      </c>
      <c r="S14" s="360" t="s">
        <v>839</v>
      </c>
      <c r="T14" s="372"/>
      <c r="U14" s="621" t="s">
        <v>1360</v>
      </c>
      <c r="V14" s="292"/>
      <c r="W14" s="740" t="s">
        <v>38</v>
      </c>
      <c r="X14" s="372"/>
      <c r="Y14" s="372"/>
      <c r="Z14" s="372"/>
      <c r="AA14" s="372"/>
      <c r="AB14" s="372" t="s">
        <v>555</v>
      </c>
      <c r="AC14" s="372"/>
      <c r="AD14" s="372"/>
      <c r="AE14" s="374"/>
      <c r="AF14" s="372"/>
      <c r="AG14" s="372"/>
      <c r="AH14" s="372">
        <v>7.5</v>
      </c>
      <c r="AI14" s="372"/>
      <c r="AJ14" s="375"/>
      <c r="AK14" s="147" t="s">
        <v>31</v>
      </c>
      <c r="AL14" s="365"/>
      <c r="AM14" s="147"/>
      <c r="AN14" s="147"/>
      <c r="AO14" s="147"/>
      <c r="AP14" s="147"/>
      <c r="AQ14" s="355"/>
      <c r="AR14" s="147"/>
      <c r="AS14" s="359"/>
      <c r="AT14" s="147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4"/>
      <c r="BO14" s="274"/>
      <c r="BP14" s="274"/>
      <c r="BQ14" s="274"/>
      <c r="BR14" s="274"/>
      <c r="BS14" s="274"/>
      <c r="BT14" s="274"/>
      <c r="BU14" s="274"/>
      <c r="BV14" s="274"/>
      <c r="BW14" s="274"/>
      <c r="BX14" s="274"/>
      <c r="BY14" s="274"/>
      <c r="BZ14" s="274"/>
      <c r="CA14" s="274"/>
      <c r="CB14" s="274"/>
      <c r="CC14" s="274"/>
      <c r="CD14" s="274"/>
      <c r="CE14" s="274"/>
      <c r="CF14" s="274"/>
      <c r="CG14" s="274"/>
      <c r="CH14" s="274"/>
      <c r="CI14" s="274"/>
      <c r="CJ14" s="274"/>
      <c r="CK14" s="274"/>
      <c r="CL14" s="274"/>
      <c r="CM14" s="274"/>
      <c r="CN14" s="274"/>
      <c r="CO14" s="274"/>
      <c r="CP14" s="274"/>
      <c r="CQ14" s="274"/>
      <c r="CR14" s="274"/>
      <c r="CS14" s="274"/>
      <c r="CT14" s="274"/>
      <c r="CU14" s="274"/>
      <c r="CV14" s="274"/>
      <c r="CW14" s="274"/>
      <c r="CX14" s="274"/>
      <c r="CY14" s="274"/>
      <c r="CZ14" s="274"/>
      <c r="DA14" s="274"/>
      <c r="DB14" s="274"/>
      <c r="DC14" s="274"/>
      <c r="DD14" s="274"/>
      <c r="DE14" s="274"/>
      <c r="DF14" s="274"/>
      <c r="DG14" s="274"/>
      <c r="DH14" s="274"/>
      <c r="DI14" s="274"/>
      <c r="DJ14" s="274"/>
      <c r="DK14" s="274"/>
      <c r="DL14" s="274"/>
      <c r="DM14" s="274"/>
      <c r="DN14" s="274"/>
      <c r="DO14" s="274"/>
      <c r="DP14" s="274"/>
      <c r="DQ14" s="274"/>
      <c r="DR14" s="274"/>
      <c r="DS14" s="274"/>
      <c r="DT14" s="274"/>
      <c r="DU14" s="274"/>
      <c r="DV14" s="274"/>
      <c r="DW14" s="274"/>
      <c r="DX14" s="274"/>
      <c r="DY14" s="274"/>
    </row>
    <row r="15" spans="1:129" s="364" customFormat="1">
      <c r="A15" s="172">
        <v>14</v>
      </c>
      <c r="B15" s="245" t="s">
        <v>872</v>
      </c>
      <c r="C15" s="147">
        <v>0</v>
      </c>
      <c r="D15" s="148" t="str">
        <f>VLOOKUP(C15,Table8[],2,0)</f>
        <v>NITKO</v>
      </c>
      <c r="E15" s="354">
        <v>93236286542</v>
      </c>
      <c r="F15" s="274" t="s">
        <v>873</v>
      </c>
      <c r="G15" s="146"/>
      <c r="H15" s="355"/>
      <c r="I15" s="147"/>
      <c r="J15" s="147" t="s">
        <v>31</v>
      </c>
      <c r="K15" s="147" t="s">
        <v>31</v>
      </c>
      <c r="L15" s="164">
        <v>2026</v>
      </c>
      <c r="M15" s="543" t="s">
        <v>1072</v>
      </c>
      <c r="N15" s="357" t="s">
        <v>875</v>
      </c>
      <c r="O15" s="777" t="s">
        <v>37</v>
      </c>
      <c r="P15" s="147"/>
      <c r="Q15" s="147"/>
      <c r="R15" s="147"/>
      <c r="S15" s="360" t="s">
        <v>839</v>
      </c>
      <c r="T15" s="147"/>
      <c r="U15" s="274" t="s">
        <v>2071</v>
      </c>
      <c r="V15" s="274"/>
      <c r="W15" s="738" t="s">
        <v>38</v>
      </c>
      <c r="X15" s="147"/>
      <c r="Y15" s="147"/>
      <c r="Z15" s="147"/>
      <c r="AA15" s="147"/>
      <c r="AB15" s="147"/>
      <c r="AC15" s="359">
        <v>45901</v>
      </c>
      <c r="AD15" s="147"/>
      <c r="AE15" s="359"/>
      <c r="AF15" s="147"/>
      <c r="AG15" s="147"/>
      <c r="AH15" s="147"/>
      <c r="AI15" s="147"/>
      <c r="AJ15" s="147"/>
      <c r="AK15" s="147" t="s">
        <v>31</v>
      </c>
      <c r="AL15" s="365"/>
      <c r="AM15" s="147"/>
      <c r="AN15" s="356"/>
      <c r="AO15" s="356"/>
      <c r="AP15" s="356"/>
      <c r="AQ15" s="355"/>
      <c r="AR15" s="910"/>
      <c r="AS15" s="359"/>
      <c r="AT15" s="33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</row>
    <row r="16" spans="1:129" s="364" customFormat="1">
      <c r="A16" s="172">
        <v>15</v>
      </c>
      <c r="B16" s="249" t="s">
        <v>56</v>
      </c>
      <c r="C16" s="360">
        <v>10</v>
      </c>
      <c r="D16" s="148" t="str">
        <f>VLOOKUP(C16,Table8[],2,0)</f>
        <v>MAJA</v>
      </c>
      <c r="E16" s="380">
        <v>2049212829</v>
      </c>
      <c r="F16" s="366" t="s">
        <v>57</v>
      </c>
      <c r="G16" s="246"/>
      <c r="H16" s="377"/>
      <c r="I16" s="372">
        <v>55.9</v>
      </c>
      <c r="J16" s="372" t="s">
        <v>30</v>
      </c>
      <c r="K16" s="372" t="s">
        <v>31</v>
      </c>
      <c r="L16" s="588" t="s">
        <v>1304</v>
      </c>
      <c r="M16" s="543" t="s">
        <v>2079</v>
      </c>
      <c r="N16" s="357" t="s">
        <v>875</v>
      </c>
      <c r="O16" s="785" t="s">
        <v>37</v>
      </c>
      <c r="P16" s="372"/>
      <c r="Q16" s="372" t="s">
        <v>31</v>
      </c>
      <c r="R16" s="372"/>
      <c r="S16" s="360" t="s">
        <v>839</v>
      </c>
      <c r="T16" s="372"/>
      <c r="U16" s="930" t="s">
        <v>1957</v>
      </c>
      <c r="V16" s="292"/>
      <c r="W16" s="740" t="s">
        <v>38</v>
      </c>
      <c r="X16" s="372" t="s">
        <v>58</v>
      </c>
      <c r="Y16" s="372"/>
      <c r="Z16" s="372"/>
      <c r="AA16" s="372"/>
      <c r="AB16" s="372" t="s">
        <v>555</v>
      </c>
      <c r="AC16" s="372"/>
      <c r="AD16" s="372"/>
      <c r="AE16" s="374"/>
      <c r="AF16" s="372"/>
      <c r="AG16" s="372"/>
      <c r="AH16" s="372"/>
      <c r="AI16" s="372"/>
      <c r="AJ16" s="375"/>
      <c r="AK16" s="388" t="s">
        <v>31</v>
      </c>
      <c r="AL16" s="365"/>
      <c r="AM16" s="639"/>
      <c r="AN16" s="356"/>
      <c r="AO16" s="356"/>
      <c r="AP16" s="356"/>
      <c r="AQ16" s="355"/>
      <c r="AR16" s="910"/>
      <c r="AS16" s="359"/>
      <c r="AT16" s="33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  <c r="CZ16" s="274"/>
      <c r="DA16" s="274"/>
      <c r="DB16" s="274"/>
      <c r="DC16" s="274"/>
      <c r="DD16" s="274"/>
      <c r="DE16" s="274"/>
      <c r="DF16" s="274"/>
      <c r="DG16" s="274"/>
      <c r="DH16" s="274"/>
      <c r="DI16" s="274"/>
      <c r="DJ16" s="274"/>
      <c r="DK16" s="274"/>
      <c r="DL16" s="274"/>
      <c r="DM16" s="274"/>
      <c r="DN16" s="274"/>
      <c r="DO16" s="274"/>
      <c r="DP16" s="274"/>
      <c r="DQ16" s="274"/>
      <c r="DR16" s="274"/>
      <c r="DS16" s="274"/>
      <c r="DT16" s="274"/>
      <c r="DU16" s="274"/>
      <c r="DV16" s="274"/>
      <c r="DW16" s="274"/>
      <c r="DX16" s="274"/>
      <c r="DY16" s="274"/>
    </row>
    <row r="17" spans="1:129" s="274" customFormat="1">
      <c r="A17" s="172">
        <v>16</v>
      </c>
      <c r="B17" s="250" t="s">
        <v>53</v>
      </c>
      <c r="C17" s="360">
        <v>10</v>
      </c>
      <c r="D17" s="148" t="str">
        <f>VLOOKUP(C17,Table8[],2,0)</f>
        <v>MAJA</v>
      </c>
      <c r="E17" s="380">
        <v>46037660813</v>
      </c>
      <c r="F17" s="384" t="s">
        <v>54</v>
      </c>
      <c r="G17" s="686" t="s">
        <v>1496</v>
      </c>
      <c r="H17" s="377"/>
      <c r="I17" s="372">
        <v>55.9</v>
      </c>
      <c r="J17" s="372" t="s">
        <v>30</v>
      </c>
      <c r="K17" s="372" t="s">
        <v>31</v>
      </c>
      <c r="L17" s="630" t="s">
        <v>1026</v>
      </c>
      <c r="M17" s="410" t="s">
        <v>1029</v>
      </c>
      <c r="N17" s="357" t="s">
        <v>875</v>
      </c>
      <c r="O17" s="785" t="s">
        <v>37</v>
      </c>
      <c r="P17" s="372"/>
      <c r="Q17" s="372" t="s">
        <v>31</v>
      </c>
      <c r="R17" s="372"/>
      <c r="S17" s="360" t="s">
        <v>839</v>
      </c>
      <c r="T17" s="372"/>
      <c r="U17" s="520" t="s">
        <v>1245</v>
      </c>
      <c r="V17" s="292"/>
      <c r="W17" s="740" t="s">
        <v>38</v>
      </c>
      <c r="X17" s="372"/>
      <c r="Y17" s="372"/>
      <c r="Z17" s="372"/>
      <c r="AA17" s="372"/>
      <c r="AB17" s="372" t="s">
        <v>555</v>
      </c>
      <c r="AC17" s="372"/>
      <c r="AD17" s="372"/>
      <c r="AE17" s="374"/>
      <c r="AF17" s="372"/>
      <c r="AG17" s="372"/>
      <c r="AH17" s="372">
        <v>87.5</v>
      </c>
      <c r="AI17" s="372"/>
      <c r="AJ17" s="375"/>
      <c r="AK17" s="388" t="s">
        <v>31</v>
      </c>
      <c r="AL17" s="365" t="s">
        <v>30</v>
      </c>
      <c r="AM17" s="147"/>
      <c r="AN17" s="356"/>
      <c r="AO17" s="356"/>
      <c r="AP17" s="356"/>
      <c r="AQ17" s="355"/>
      <c r="AR17" s="910"/>
      <c r="AS17" s="359"/>
      <c r="AT17" s="334"/>
    </row>
    <row r="18" spans="1:129" s="274" customFormat="1" ht="16.5" customHeight="1">
      <c r="A18" s="172">
        <v>17</v>
      </c>
      <c r="B18" s="130" t="s">
        <v>117</v>
      </c>
      <c r="C18" s="372">
        <v>15</v>
      </c>
      <c r="D18" s="148" t="str">
        <f>VLOOKUP(C18,Table8[],2,0)</f>
        <v>NIKOLINA</v>
      </c>
      <c r="E18" s="354">
        <v>51892426031</v>
      </c>
      <c r="F18" s="390" t="s">
        <v>118</v>
      </c>
      <c r="G18" s="688" t="s">
        <v>1497</v>
      </c>
      <c r="H18" s="377"/>
      <c r="I18" s="372">
        <v>85.53</v>
      </c>
      <c r="J18" s="372" t="s">
        <v>31</v>
      </c>
      <c r="K18" s="372" t="s">
        <v>30</v>
      </c>
      <c r="L18" s="161" t="s">
        <v>1026</v>
      </c>
      <c r="M18" s="541"/>
      <c r="N18" s="382" t="s">
        <v>879</v>
      </c>
      <c r="O18" s="785" t="s">
        <v>37</v>
      </c>
      <c r="P18" s="372"/>
      <c r="Q18" s="372"/>
      <c r="R18" s="372" t="s">
        <v>31</v>
      </c>
      <c r="S18" s="358" t="s">
        <v>134</v>
      </c>
      <c r="T18" s="372"/>
      <c r="U18" s="379" t="s">
        <v>1111</v>
      </c>
      <c r="V18" s="292"/>
      <c r="W18" s="740" t="s">
        <v>38</v>
      </c>
      <c r="X18" s="372"/>
      <c r="Y18" s="372"/>
      <c r="Z18" s="372"/>
      <c r="AA18" s="372"/>
      <c r="AB18" s="372" t="s">
        <v>674</v>
      </c>
      <c r="AC18" s="372"/>
      <c r="AD18" s="372"/>
      <c r="AE18" s="374"/>
      <c r="AF18" s="372"/>
      <c r="AG18" s="372"/>
      <c r="AH18" s="372"/>
      <c r="AI18" s="372"/>
      <c r="AJ18" s="375"/>
      <c r="AK18" s="147" t="s">
        <v>31</v>
      </c>
      <c r="AL18" s="657" t="s">
        <v>30</v>
      </c>
      <c r="AM18" s="147"/>
      <c r="AN18" s="356"/>
      <c r="AO18" s="356"/>
      <c r="AP18" s="356"/>
      <c r="AQ18" s="355"/>
      <c r="AR18" s="910"/>
      <c r="AS18" s="359"/>
      <c r="AT18" s="334"/>
    </row>
    <row r="19" spans="1:129" s="364" customFormat="1">
      <c r="A19" s="172">
        <v>18</v>
      </c>
      <c r="B19" s="251" t="s">
        <v>110</v>
      </c>
      <c r="C19" s="360">
        <v>0</v>
      </c>
      <c r="D19" s="148" t="str">
        <f>VLOOKUP(C19,Table8[],2,0)</f>
        <v>NITKO</v>
      </c>
      <c r="E19" s="354" t="s">
        <v>1588</v>
      </c>
      <c r="F19" s="366" t="s">
        <v>111</v>
      </c>
      <c r="G19" s="686" t="s">
        <v>1498</v>
      </c>
      <c r="H19" s="377"/>
      <c r="I19" s="372">
        <v>55.9</v>
      </c>
      <c r="J19" s="372" t="s">
        <v>30</v>
      </c>
      <c r="K19" s="372" t="s">
        <v>31</v>
      </c>
      <c r="L19" s="165">
        <v>2026</v>
      </c>
      <c r="M19" s="543" t="s">
        <v>1048</v>
      </c>
      <c r="N19" s="357" t="s">
        <v>875</v>
      </c>
      <c r="O19" s="785" t="s">
        <v>37</v>
      </c>
      <c r="P19" s="372"/>
      <c r="Q19" s="372"/>
      <c r="R19" s="372" t="s">
        <v>31</v>
      </c>
      <c r="S19" s="360" t="s">
        <v>839</v>
      </c>
      <c r="T19" s="372"/>
      <c r="U19" s="948" t="s">
        <v>1973</v>
      </c>
      <c r="V19" s="292"/>
      <c r="W19" s="740" t="s">
        <v>38</v>
      </c>
      <c r="X19" s="372"/>
      <c r="Y19" s="372"/>
      <c r="Z19" s="372"/>
      <c r="AA19" s="372"/>
      <c r="AB19" s="372" t="s">
        <v>555</v>
      </c>
      <c r="AC19" s="372"/>
      <c r="AD19" s="372"/>
      <c r="AE19" s="374"/>
      <c r="AF19" s="372"/>
      <c r="AG19" s="372"/>
      <c r="AH19" s="372">
        <v>43.75</v>
      </c>
      <c r="AI19" s="372"/>
      <c r="AJ19" s="375"/>
      <c r="AK19" s="147" t="s">
        <v>31</v>
      </c>
      <c r="AL19" s="365"/>
      <c r="AM19" s="639"/>
      <c r="AN19" s="356"/>
      <c r="AO19" s="356"/>
      <c r="AP19" s="356"/>
      <c r="AQ19" s="355"/>
      <c r="AR19" s="910"/>
      <c r="AS19" s="359"/>
      <c r="AT19" s="33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  <c r="CZ19" s="274"/>
      <c r="DA19" s="274"/>
      <c r="DB19" s="274"/>
      <c r="DC19" s="274"/>
      <c r="DD19" s="274"/>
      <c r="DE19" s="274"/>
      <c r="DF19" s="274"/>
      <c r="DG19" s="274"/>
      <c r="DH19" s="274"/>
      <c r="DI19" s="274"/>
      <c r="DJ19" s="274"/>
      <c r="DK19" s="274"/>
      <c r="DL19" s="274"/>
      <c r="DM19" s="274"/>
      <c r="DN19" s="274"/>
      <c r="DO19" s="274"/>
      <c r="DP19" s="274"/>
      <c r="DQ19" s="274"/>
      <c r="DR19" s="274"/>
      <c r="DS19" s="274"/>
      <c r="DT19" s="274"/>
      <c r="DU19" s="274"/>
      <c r="DV19" s="274"/>
      <c r="DW19" s="274"/>
      <c r="DX19" s="274"/>
      <c r="DY19" s="274"/>
    </row>
    <row r="20" spans="1:129" s="274" customFormat="1">
      <c r="A20" s="172">
        <v>19</v>
      </c>
      <c r="B20" s="130" t="s">
        <v>1392</v>
      </c>
      <c r="C20" s="372">
        <v>6</v>
      </c>
      <c r="D20" s="148" t="str">
        <f>VLOOKUP(C20,Table8[],2,0)</f>
        <v>F. ANA P.</v>
      </c>
      <c r="E20" s="354">
        <v>63398969896</v>
      </c>
      <c r="F20" s="292" t="s">
        <v>80</v>
      </c>
      <c r="G20" s="686" t="s">
        <v>1499</v>
      </c>
      <c r="H20" s="377"/>
      <c r="I20" s="372">
        <v>46.19</v>
      </c>
      <c r="J20" s="372" t="s">
        <v>30</v>
      </c>
      <c r="K20" s="372" t="s">
        <v>30</v>
      </c>
      <c r="L20" s="589" t="s">
        <v>1026</v>
      </c>
      <c r="M20" s="590" t="s">
        <v>34</v>
      </c>
      <c r="N20" s="382" t="s">
        <v>271</v>
      </c>
      <c r="O20" s="785" t="s">
        <v>34</v>
      </c>
      <c r="P20" s="372"/>
      <c r="Q20" s="372"/>
      <c r="R20" s="372" t="s">
        <v>31</v>
      </c>
      <c r="S20" s="358" t="s">
        <v>134</v>
      </c>
      <c r="T20" s="372"/>
      <c r="U20" s="502" t="s">
        <v>1127</v>
      </c>
      <c r="V20" s="292"/>
      <c r="W20" s="628" t="s">
        <v>1367</v>
      </c>
      <c r="X20" s="374" t="s">
        <v>629</v>
      </c>
      <c r="Y20" s="374" t="s">
        <v>625</v>
      </c>
      <c r="Z20" s="374" t="s">
        <v>625</v>
      </c>
      <c r="AA20" s="374" t="s">
        <v>629</v>
      </c>
      <c r="AB20" s="372" t="s">
        <v>630</v>
      </c>
      <c r="AC20" s="372"/>
      <c r="AD20" s="372"/>
      <c r="AE20" s="374"/>
      <c r="AF20" s="372"/>
      <c r="AG20" s="372"/>
      <c r="AH20" s="372" t="s">
        <v>581</v>
      </c>
      <c r="AI20" s="372"/>
      <c r="AJ20" s="375"/>
      <c r="AK20" s="147" t="s">
        <v>31</v>
      </c>
      <c r="AL20" s="657" t="s">
        <v>30</v>
      </c>
      <c r="AM20" s="147"/>
      <c r="AN20" s="147"/>
      <c r="AO20" s="147"/>
      <c r="AP20" s="147"/>
      <c r="AQ20" s="355"/>
      <c r="AR20" s="147"/>
      <c r="AS20" s="359"/>
      <c r="AT20" s="147"/>
    </row>
    <row r="21" spans="1:129" s="274" customFormat="1">
      <c r="A21" s="172">
        <v>20</v>
      </c>
      <c r="B21" s="130" t="s">
        <v>1393</v>
      </c>
      <c r="C21" s="372">
        <v>6</v>
      </c>
      <c r="D21" s="148" t="str">
        <f>VLOOKUP(C21,Table8[],2,0)</f>
        <v>F. ANA P.</v>
      </c>
      <c r="E21" s="354">
        <v>13785058830</v>
      </c>
      <c r="F21" s="390" t="s">
        <v>92</v>
      </c>
      <c r="G21" s="688" t="s">
        <v>1500</v>
      </c>
      <c r="H21" s="377"/>
      <c r="I21" s="372">
        <v>10.41</v>
      </c>
      <c r="J21" s="372" t="s">
        <v>30</v>
      </c>
      <c r="K21" s="372" t="s">
        <v>30</v>
      </c>
      <c r="L21" s="157" t="s">
        <v>1026</v>
      </c>
      <c r="M21" s="541"/>
      <c r="N21" s="382" t="s">
        <v>876</v>
      </c>
      <c r="O21" s="785" t="s">
        <v>34</v>
      </c>
      <c r="P21" s="372"/>
      <c r="Q21" s="372"/>
      <c r="R21" s="372" t="s">
        <v>31</v>
      </c>
      <c r="S21" s="358" t="s">
        <v>134</v>
      </c>
      <c r="T21" s="372"/>
      <c r="U21" s="502" t="s">
        <v>1128</v>
      </c>
      <c r="V21" s="292"/>
      <c r="W21" s="628" t="s">
        <v>1367</v>
      </c>
      <c r="X21" s="372"/>
      <c r="Y21" s="372"/>
      <c r="Z21" s="372"/>
      <c r="AA21" s="372"/>
      <c r="AB21" s="372" t="s">
        <v>645</v>
      </c>
      <c r="AC21" s="372"/>
      <c r="AD21" s="372"/>
      <c r="AE21" s="374"/>
      <c r="AF21" s="372"/>
      <c r="AG21" s="372"/>
      <c r="AH21" s="372" t="s">
        <v>646</v>
      </c>
      <c r="AI21" s="372"/>
      <c r="AJ21" s="375"/>
      <c r="AK21" s="147" t="s">
        <v>30</v>
      </c>
      <c r="AL21" s="372"/>
      <c r="AM21" s="639" t="s">
        <v>1552</v>
      </c>
      <c r="AN21" s="147"/>
      <c r="AO21" s="147"/>
      <c r="AP21" s="147"/>
      <c r="AQ21" s="355"/>
      <c r="AR21" s="147"/>
      <c r="AS21" s="359"/>
      <c r="AT21" s="147"/>
    </row>
    <row r="22" spans="1:129" s="274" customFormat="1">
      <c r="A22" s="172">
        <v>21</v>
      </c>
      <c r="B22" s="130" t="s">
        <v>96</v>
      </c>
      <c r="C22" s="372">
        <v>15</v>
      </c>
      <c r="D22" s="148" t="str">
        <f>VLOOKUP(C22,Table8[],2,0)</f>
        <v>NIKOLINA</v>
      </c>
      <c r="E22" s="354">
        <v>14010101644</v>
      </c>
      <c r="F22" s="390" t="s">
        <v>97</v>
      </c>
      <c r="G22" s="688" t="s">
        <v>1501</v>
      </c>
      <c r="H22" s="377"/>
      <c r="I22" s="372">
        <v>85.59</v>
      </c>
      <c r="J22" s="372" t="s">
        <v>30</v>
      </c>
      <c r="K22" s="372" t="s">
        <v>30</v>
      </c>
      <c r="L22" s="517" t="s">
        <v>1026</v>
      </c>
      <c r="M22" s="545" t="s">
        <v>1200</v>
      </c>
      <c r="N22" s="382" t="s">
        <v>876</v>
      </c>
      <c r="O22" s="788" t="s">
        <v>37</v>
      </c>
      <c r="P22" s="372"/>
      <c r="Q22" s="372"/>
      <c r="R22" s="372" t="s">
        <v>31</v>
      </c>
      <c r="S22" s="383" t="s">
        <v>880</v>
      </c>
      <c r="T22" s="372"/>
      <c r="U22" s="363" t="s">
        <v>1109</v>
      </c>
      <c r="V22" s="292"/>
      <c r="W22" s="740" t="s">
        <v>38</v>
      </c>
      <c r="X22" s="372"/>
      <c r="Y22" s="372"/>
      <c r="Z22" s="372"/>
      <c r="AA22" s="372"/>
      <c r="AB22" s="372" t="s">
        <v>650</v>
      </c>
      <c r="AC22" s="372"/>
      <c r="AD22" s="372"/>
      <c r="AE22" s="374"/>
      <c r="AF22" s="372"/>
      <c r="AG22" s="372"/>
      <c r="AH22" s="372"/>
      <c r="AI22" s="372"/>
      <c r="AJ22" s="375"/>
      <c r="AK22" s="147" t="s">
        <v>30</v>
      </c>
      <c r="AL22" s="372"/>
      <c r="AM22" s="774"/>
      <c r="AN22" s="147"/>
      <c r="AO22" s="147"/>
      <c r="AP22" s="147"/>
      <c r="AQ22" s="355"/>
      <c r="AR22" s="147"/>
      <c r="AS22" s="359"/>
      <c r="AT22" s="147"/>
    </row>
    <row r="23" spans="1:129" s="274" customFormat="1" ht="16.5">
      <c r="A23" s="172">
        <v>22</v>
      </c>
      <c r="B23" s="821" t="s">
        <v>1726</v>
      </c>
      <c r="C23" s="372">
        <v>11</v>
      </c>
      <c r="D23" s="148" t="str">
        <f>VLOOKUP(C23,Table8[],2,0)</f>
        <v>GABRIJELA</v>
      </c>
      <c r="E23" s="391" t="s">
        <v>1725</v>
      </c>
      <c r="F23" s="392" t="s">
        <v>619</v>
      </c>
      <c r="G23" s="707" t="s">
        <v>1528</v>
      </c>
      <c r="H23" s="377"/>
      <c r="I23" s="372">
        <v>55.3</v>
      </c>
      <c r="J23" s="372" t="s">
        <v>31</v>
      </c>
      <c r="K23" s="372" t="s">
        <v>30</v>
      </c>
      <c r="L23" s="163" t="s">
        <v>1026</v>
      </c>
      <c r="M23" s="410" t="s">
        <v>1039</v>
      </c>
      <c r="N23" s="357" t="s">
        <v>44</v>
      </c>
      <c r="O23" s="785" t="s">
        <v>34</v>
      </c>
      <c r="P23" s="372"/>
      <c r="Q23" s="372"/>
      <c r="R23" s="372"/>
      <c r="S23" s="360" t="s">
        <v>839</v>
      </c>
      <c r="T23" s="372"/>
      <c r="U23" s="975" t="s">
        <v>1987</v>
      </c>
      <c r="V23" s="292"/>
      <c r="W23" s="740" t="s">
        <v>30</v>
      </c>
      <c r="X23" s="372"/>
      <c r="Y23" s="372"/>
      <c r="Z23" s="372"/>
      <c r="AA23" s="372"/>
      <c r="AB23" s="372" t="s">
        <v>620</v>
      </c>
      <c r="AC23" s="372"/>
      <c r="AD23" s="372"/>
      <c r="AE23" s="374" t="s">
        <v>621</v>
      </c>
      <c r="AF23" s="372">
        <v>500</v>
      </c>
      <c r="AG23" s="372" t="s">
        <v>62</v>
      </c>
      <c r="AH23" s="372"/>
      <c r="AI23" s="372"/>
      <c r="AJ23" s="375"/>
      <c r="AK23" s="147" t="s">
        <v>30</v>
      </c>
      <c r="AL23" s="657" t="s">
        <v>30</v>
      </c>
      <c r="AM23" s="828" t="s">
        <v>1098</v>
      </c>
      <c r="AN23" s="915" t="s">
        <v>1357</v>
      </c>
      <c r="AO23" s="915" t="s">
        <v>1728</v>
      </c>
      <c r="AP23" s="865" t="s">
        <v>1729</v>
      </c>
      <c r="AQ23" s="926">
        <v>32315159672</v>
      </c>
      <c r="AR23" s="910">
        <v>80</v>
      </c>
      <c r="AS23" s="359"/>
      <c r="AT23" s="821" t="s">
        <v>1727</v>
      </c>
    </row>
    <row r="24" spans="1:129" s="274" customFormat="1">
      <c r="A24" s="172">
        <v>23</v>
      </c>
      <c r="B24" s="252" t="s">
        <v>1389</v>
      </c>
      <c r="C24" s="360">
        <v>0</v>
      </c>
      <c r="D24" s="148" t="str">
        <f>VLOOKUP(C24,Table8[],2,0)</f>
        <v>NITKO</v>
      </c>
      <c r="E24" s="393" t="s">
        <v>1553</v>
      </c>
      <c r="F24" s="394" t="s">
        <v>33</v>
      </c>
      <c r="G24" s="395" t="s">
        <v>1502</v>
      </c>
      <c r="H24" s="148">
        <v>4055861</v>
      </c>
      <c r="I24" s="360">
        <v>9604</v>
      </c>
      <c r="J24" s="360" t="s">
        <v>31</v>
      </c>
      <c r="K24" s="360" t="s">
        <v>30</v>
      </c>
      <c r="L24" s="162" t="s">
        <v>1026</v>
      </c>
      <c r="M24" s="546" t="s">
        <v>1080</v>
      </c>
      <c r="N24" s="357" t="s">
        <v>44</v>
      </c>
      <c r="O24" s="787" t="s">
        <v>34</v>
      </c>
      <c r="P24" s="396"/>
      <c r="Q24" s="360" t="s">
        <v>31</v>
      </c>
      <c r="R24" s="396"/>
      <c r="S24" s="358" t="s">
        <v>134</v>
      </c>
      <c r="T24" s="396"/>
      <c r="U24" s="397" t="s">
        <v>1150</v>
      </c>
      <c r="V24" s="398"/>
      <c r="W24" s="741" t="s">
        <v>30</v>
      </c>
      <c r="X24" s="396"/>
      <c r="Y24" s="396"/>
      <c r="Z24" s="396"/>
      <c r="AA24" s="396"/>
      <c r="AB24" s="360" t="s">
        <v>554</v>
      </c>
      <c r="AC24" s="396"/>
      <c r="AD24" s="396"/>
      <c r="AE24" s="396"/>
      <c r="AF24" s="396"/>
      <c r="AG24" s="396"/>
      <c r="AH24" s="396"/>
      <c r="AI24" s="396"/>
      <c r="AJ24" s="365"/>
      <c r="AK24" s="399" t="s">
        <v>30</v>
      </c>
      <c r="AL24" s="657" t="s">
        <v>30</v>
      </c>
      <c r="AM24" s="639"/>
      <c r="AN24" s="147"/>
      <c r="AO24" s="147"/>
      <c r="AP24" s="147"/>
      <c r="AQ24" s="355"/>
      <c r="AR24" s="147"/>
      <c r="AS24" s="359"/>
      <c r="AT24" s="147"/>
    </row>
    <row r="25" spans="1:129" s="402" customFormat="1">
      <c r="A25" s="172">
        <v>24</v>
      </c>
      <c r="B25" s="130" t="s">
        <v>123</v>
      </c>
      <c r="C25" s="372">
        <v>10</v>
      </c>
      <c r="D25" s="148" t="str">
        <f>VLOOKUP(C25,Table8[],2,0)</f>
        <v>MAJA</v>
      </c>
      <c r="E25" s="400">
        <v>844299699</v>
      </c>
      <c r="F25" s="401" t="s">
        <v>124</v>
      </c>
      <c r="G25" s="686" t="s">
        <v>1503</v>
      </c>
      <c r="H25" s="377"/>
      <c r="I25" s="372">
        <v>55.9</v>
      </c>
      <c r="J25" s="372" t="s">
        <v>30</v>
      </c>
      <c r="K25" s="372" t="s">
        <v>31</v>
      </c>
      <c r="L25" s="171" t="s">
        <v>1026</v>
      </c>
      <c r="M25" s="410" t="s">
        <v>549</v>
      </c>
      <c r="N25" s="357" t="s">
        <v>875</v>
      </c>
      <c r="O25" s="777" t="s">
        <v>37</v>
      </c>
      <c r="P25" s="372"/>
      <c r="Q25" s="372"/>
      <c r="R25" s="372"/>
      <c r="S25" s="360" t="s">
        <v>839</v>
      </c>
      <c r="T25" s="372"/>
      <c r="U25" s="502" t="s">
        <v>1149</v>
      </c>
      <c r="V25" s="292"/>
      <c r="W25" s="742" t="s">
        <v>38</v>
      </c>
      <c r="X25" s="372"/>
      <c r="Y25" s="372"/>
      <c r="Z25" s="372"/>
      <c r="AA25" s="372"/>
      <c r="AB25" s="372" t="s">
        <v>555</v>
      </c>
      <c r="AC25" s="372"/>
      <c r="AD25" s="372"/>
      <c r="AE25" s="374"/>
      <c r="AF25" s="372"/>
      <c r="AG25" s="372"/>
      <c r="AH25" s="372" t="s">
        <v>676</v>
      </c>
      <c r="AI25" s="372"/>
      <c r="AJ25" s="375"/>
      <c r="AK25" s="147" t="s">
        <v>31</v>
      </c>
      <c r="AL25" s="659"/>
      <c r="AM25" s="774"/>
      <c r="AN25" s="356"/>
      <c r="AO25" s="356"/>
      <c r="AP25" s="356"/>
      <c r="AQ25" s="355"/>
      <c r="AR25" s="910"/>
      <c r="AS25" s="359"/>
      <c r="AT25" s="33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4"/>
      <c r="BJ25" s="274"/>
      <c r="BK25" s="274"/>
      <c r="BL25" s="274"/>
      <c r="BM25" s="274"/>
      <c r="BN25" s="274"/>
      <c r="BO25" s="274"/>
      <c r="BP25" s="274"/>
      <c r="BQ25" s="274"/>
      <c r="BR25" s="274"/>
      <c r="BS25" s="274"/>
      <c r="BT25" s="274"/>
      <c r="BU25" s="274"/>
      <c r="BV25" s="274"/>
      <c r="BW25" s="274"/>
      <c r="BX25" s="274"/>
      <c r="BY25" s="274"/>
      <c r="BZ25" s="274"/>
      <c r="CA25" s="274"/>
      <c r="CB25" s="274"/>
      <c r="CC25" s="274"/>
      <c r="CD25" s="274"/>
      <c r="CE25" s="274"/>
      <c r="CF25" s="274"/>
      <c r="CG25" s="274"/>
      <c r="CH25" s="274"/>
      <c r="CI25" s="274"/>
      <c r="CJ25" s="274"/>
      <c r="CK25" s="274"/>
      <c r="CL25" s="274"/>
      <c r="CM25" s="274"/>
      <c r="CN25" s="274"/>
      <c r="CO25" s="274"/>
      <c r="CP25" s="274"/>
      <c r="CQ25" s="274"/>
      <c r="CR25" s="274"/>
      <c r="CS25" s="274"/>
      <c r="CT25" s="274"/>
      <c r="CU25" s="274"/>
      <c r="CV25" s="274"/>
      <c r="CW25" s="274"/>
      <c r="CX25" s="274"/>
      <c r="CY25" s="274"/>
      <c r="CZ25" s="274"/>
      <c r="DA25" s="274"/>
      <c r="DB25" s="274"/>
      <c r="DC25" s="274"/>
      <c r="DD25" s="274"/>
      <c r="DE25" s="274"/>
      <c r="DF25" s="274"/>
      <c r="DG25" s="274"/>
      <c r="DH25" s="274"/>
      <c r="DI25" s="274"/>
      <c r="DJ25" s="274"/>
      <c r="DK25" s="274"/>
      <c r="DL25" s="274"/>
      <c r="DM25" s="274"/>
      <c r="DN25" s="274"/>
      <c r="DO25" s="274"/>
      <c r="DP25" s="274"/>
      <c r="DQ25" s="274"/>
      <c r="DR25" s="274"/>
      <c r="DS25" s="274"/>
      <c r="DT25" s="274"/>
      <c r="DU25" s="274"/>
      <c r="DV25" s="274"/>
      <c r="DW25" s="274"/>
      <c r="DX25" s="274"/>
      <c r="DY25" s="274"/>
    </row>
    <row r="26" spans="1:129" s="274" customFormat="1" ht="17.25" customHeight="1">
      <c r="A26" s="172">
        <v>25</v>
      </c>
      <c r="B26" s="821" t="s">
        <v>1730</v>
      </c>
      <c r="C26" s="147">
        <v>28</v>
      </c>
      <c r="D26" s="148" t="str">
        <f>VLOOKUP(C26,Table8[],2,0)</f>
        <v>STOPIRAN</v>
      </c>
      <c r="E26" s="354" t="s">
        <v>1554</v>
      </c>
      <c r="F26" s="384" t="s">
        <v>1332</v>
      </c>
      <c r="G26" s="688" t="s">
        <v>1504</v>
      </c>
      <c r="H26" s="355" t="s">
        <v>725</v>
      </c>
      <c r="I26" s="147" t="s">
        <v>724</v>
      </c>
      <c r="J26" s="147" t="s">
        <v>30</v>
      </c>
      <c r="K26" s="147" t="s">
        <v>31</v>
      </c>
      <c r="L26" s="637" t="s">
        <v>1026</v>
      </c>
      <c r="M26" s="468" t="s">
        <v>1331</v>
      </c>
      <c r="N26" s="357" t="s">
        <v>44</v>
      </c>
      <c r="O26" s="783" t="s">
        <v>34</v>
      </c>
      <c r="P26" s="147" t="s">
        <v>31</v>
      </c>
      <c r="Q26" s="147" t="s">
        <v>31</v>
      </c>
      <c r="R26" s="147" t="s">
        <v>31</v>
      </c>
      <c r="S26" s="360" t="s">
        <v>839</v>
      </c>
      <c r="T26" s="147"/>
      <c r="U26" s="274" t="s">
        <v>1118</v>
      </c>
      <c r="W26" s="738" t="s">
        <v>30</v>
      </c>
      <c r="X26" s="147"/>
      <c r="Y26" s="147"/>
      <c r="Z26" s="147"/>
      <c r="AA26" s="147"/>
      <c r="AB26" s="147" t="s">
        <v>610</v>
      </c>
      <c r="AC26" s="359">
        <v>45488</v>
      </c>
      <c r="AD26" s="147"/>
      <c r="AE26" s="359"/>
      <c r="AF26" s="147"/>
      <c r="AG26" s="147"/>
      <c r="AH26" s="147"/>
      <c r="AI26" s="147"/>
      <c r="AJ26" s="147"/>
      <c r="AK26" s="147" t="s">
        <v>30</v>
      </c>
      <c r="AL26" s="657" t="s">
        <v>30</v>
      </c>
      <c r="AM26" s="639" t="s">
        <v>1099</v>
      </c>
      <c r="AN26" s="915" t="s">
        <v>1722</v>
      </c>
      <c r="AO26" s="915" t="s">
        <v>1723</v>
      </c>
      <c r="AP26" s="865" t="s">
        <v>1731</v>
      </c>
      <c r="AQ26" s="926">
        <v>85918476742</v>
      </c>
      <c r="AR26" s="910">
        <f>115*1.1</f>
        <v>126.50000000000001</v>
      </c>
      <c r="AS26" s="359"/>
      <c r="AT26" s="919" t="s">
        <v>42</v>
      </c>
    </row>
    <row r="27" spans="1:129" s="274" customFormat="1">
      <c r="A27" s="172">
        <v>26</v>
      </c>
      <c r="B27" s="647" t="s">
        <v>1439</v>
      </c>
      <c r="C27" s="147">
        <v>10</v>
      </c>
      <c r="D27" s="403" t="str">
        <f>VLOOKUP(C27,Table8[],2,0)</f>
        <v>MAJA</v>
      </c>
      <c r="E27" s="354">
        <v>60536718657</v>
      </c>
      <c r="F27" s="404" t="s">
        <v>2022</v>
      </c>
      <c r="G27" s="688" t="s">
        <v>1488</v>
      </c>
      <c r="H27" s="355"/>
      <c r="I27" s="355"/>
      <c r="J27" s="147" t="s">
        <v>31</v>
      </c>
      <c r="K27" s="147" t="s">
        <v>31</v>
      </c>
      <c r="L27" s="155" t="s">
        <v>1026</v>
      </c>
      <c r="M27" s="542" t="s">
        <v>1076</v>
      </c>
      <c r="N27" s="638" t="s">
        <v>875</v>
      </c>
      <c r="O27" s="774" t="s">
        <v>37</v>
      </c>
      <c r="P27" s="147" t="s">
        <v>31</v>
      </c>
      <c r="Q27" s="147" t="s">
        <v>31</v>
      </c>
      <c r="R27" s="147" t="s">
        <v>31</v>
      </c>
      <c r="S27" s="147" t="s">
        <v>134</v>
      </c>
      <c r="T27" s="147"/>
      <c r="U27" s="274" t="s">
        <v>986</v>
      </c>
      <c r="V27" s="147"/>
      <c r="W27" s="738" t="s">
        <v>38</v>
      </c>
      <c r="X27" s="147"/>
      <c r="Y27" s="147"/>
      <c r="Z27" s="147"/>
      <c r="AA27" s="147"/>
      <c r="AB27" s="147"/>
      <c r="AC27" s="359">
        <v>45962</v>
      </c>
      <c r="AD27" s="359"/>
      <c r="AE27" s="359"/>
      <c r="AF27" s="147"/>
      <c r="AG27" s="147"/>
      <c r="AH27" s="147"/>
      <c r="AI27" s="147"/>
      <c r="AJ27" s="147"/>
      <c r="AK27" s="147"/>
      <c r="AL27" s="657" t="s">
        <v>30</v>
      </c>
      <c r="AM27" s="774"/>
      <c r="AN27" s="915" t="s">
        <v>1732</v>
      </c>
      <c r="AO27" s="915" t="s">
        <v>1733</v>
      </c>
      <c r="AP27" s="915" t="s">
        <v>1734</v>
      </c>
      <c r="AQ27" s="920" t="s">
        <v>1735</v>
      </c>
      <c r="AR27" s="910"/>
      <c r="AS27" s="359"/>
      <c r="AT27" s="334"/>
    </row>
    <row r="28" spans="1:129" s="274" customFormat="1">
      <c r="A28" s="172">
        <v>27</v>
      </c>
      <c r="B28" s="253" t="s">
        <v>867</v>
      </c>
      <c r="C28" s="147">
        <v>0</v>
      </c>
      <c r="D28" s="403" t="str">
        <f>VLOOKUP(C28,Table8[],2,0)</f>
        <v>NITKO</v>
      </c>
      <c r="E28" s="391" t="s">
        <v>1555</v>
      </c>
      <c r="F28" s="404" t="s">
        <v>868</v>
      </c>
      <c r="G28" s="563" t="s">
        <v>1489</v>
      </c>
      <c r="H28" s="355"/>
      <c r="I28" s="147"/>
      <c r="J28" s="405" t="s">
        <v>30</v>
      </c>
      <c r="K28" s="405" t="s">
        <v>30</v>
      </c>
      <c r="L28" s="163" t="s">
        <v>1026</v>
      </c>
      <c r="M28" s="547"/>
      <c r="N28" s="382" t="s">
        <v>876</v>
      </c>
      <c r="O28" s="777" t="s">
        <v>37</v>
      </c>
      <c r="P28" s="147"/>
      <c r="Q28" s="147"/>
      <c r="R28" s="147"/>
      <c r="S28" s="358" t="s">
        <v>134</v>
      </c>
      <c r="T28" s="147"/>
      <c r="U28" s="510" t="s">
        <v>804</v>
      </c>
      <c r="W28" s="147" t="s">
        <v>31</v>
      </c>
      <c r="X28" s="147"/>
      <c r="Y28" s="147"/>
      <c r="Z28" s="147"/>
      <c r="AA28" s="147"/>
      <c r="AB28" s="147"/>
      <c r="AC28" s="359">
        <v>45845</v>
      </c>
      <c r="AD28" s="147"/>
      <c r="AE28" s="359"/>
      <c r="AF28" s="147"/>
      <c r="AG28" s="147"/>
      <c r="AH28" s="147"/>
      <c r="AI28" s="147"/>
      <c r="AJ28" s="147"/>
      <c r="AK28" s="147" t="s">
        <v>30</v>
      </c>
      <c r="AL28" s="657" t="s">
        <v>30</v>
      </c>
      <c r="AM28" s="640" t="s">
        <v>1552</v>
      </c>
      <c r="AN28" s="147"/>
      <c r="AO28" s="147"/>
      <c r="AP28" s="147"/>
      <c r="AQ28" s="355"/>
      <c r="AR28" s="147"/>
      <c r="AS28" s="359"/>
      <c r="AT28" s="147"/>
    </row>
    <row r="29" spans="1:129" s="274" customFormat="1" ht="16.5">
      <c r="A29" s="172">
        <v>28</v>
      </c>
      <c r="B29" s="1040" t="s">
        <v>143</v>
      </c>
      <c r="C29" s="147">
        <v>20</v>
      </c>
      <c r="D29" s="148" t="str">
        <f>VLOOKUP(C29,Table8[],2,0)</f>
        <v>VESNA</v>
      </c>
      <c r="E29" s="354">
        <v>56498672962</v>
      </c>
      <c r="F29" s="366" t="s">
        <v>144</v>
      </c>
      <c r="G29" s="686" t="s">
        <v>1490</v>
      </c>
      <c r="H29" s="355"/>
      <c r="I29" s="147">
        <v>77.34</v>
      </c>
      <c r="J29" s="147" t="s">
        <v>30</v>
      </c>
      <c r="K29" s="147" t="s">
        <v>31</v>
      </c>
      <c r="L29" s="161" t="s">
        <v>1026</v>
      </c>
      <c r="M29" s="542"/>
      <c r="N29" s="382" t="s">
        <v>876</v>
      </c>
      <c r="O29" s="774" t="s">
        <v>37</v>
      </c>
      <c r="P29" s="147" t="s">
        <v>31</v>
      </c>
      <c r="Q29" s="147" t="s">
        <v>31</v>
      </c>
      <c r="R29" s="147" t="s">
        <v>31</v>
      </c>
      <c r="S29" s="358" t="s">
        <v>134</v>
      </c>
      <c r="T29" s="147"/>
      <c r="U29" s="274" t="s">
        <v>145</v>
      </c>
      <c r="W29" s="738" t="s">
        <v>30</v>
      </c>
      <c r="X29" s="147"/>
      <c r="Y29" s="147"/>
      <c r="Z29" s="147"/>
      <c r="AA29" s="147"/>
      <c r="AB29" s="147" t="s">
        <v>698</v>
      </c>
      <c r="AC29" s="359" t="s">
        <v>697</v>
      </c>
      <c r="AD29" s="147"/>
      <c r="AE29" s="359"/>
      <c r="AF29" s="147"/>
      <c r="AG29" s="147"/>
      <c r="AH29" s="147"/>
      <c r="AI29" s="147"/>
      <c r="AJ29" s="375"/>
      <c r="AK29" s="147" t="s">
        <v>31</v>
      </c>
      <c r="AL29" s="365" t="s">
        <v>30</v>
      </c>
      <c r="AM29" s="774"/>
      <c r="AN29" s="915" t="s">
        <v>1737</v>
      </c>
      <c r="AO29" s="915" t="s">
        <v>1738</v>
      </c>
      <c r="AP29" s="821" t="s">
        <v>1739</v>
      </c>
      <c r="AQ29" s="926">
        <v>65619848659</v>
      </c>
      <c r="AR29" s="910"/>
      <c r="AS29" s="359"/>
      <c r="AT29" s="821" t="s">
        <v>144</v>
      </c>
    </row>
    <row r="30" spans="1:129" s="274" customFormat="1">
      <c r="A30" s="172">
        <v>29</v>
      </c>
      <c r="B30" s="130" t="s">
        <v>112</v>
      </c>
      <c r="C30" s="372">
        <v>15</v>
      </c>
      <c r="D30" s="148" t="str">
        <f>VLOOKUP(C30,Table8[],2,0)</f>
        <v>NIKOLINA</v>
      </c>
      <c r="E30" s="354">
        <v>76506665599</v>
      </c>
      <c r="F30" s="366" t="s">
        <v>113</v>
      </c>
      <c r="G30" s="686" t="s">
        <v>1505</v>
      </c>
      <c r="H30" s="377" t="s">
        <v>668</v>
      </c>
      <c r="I30" s="372">
        <v>25.72</v>
      </c>
      <c r="J30" s="372" t="s">
        <v>30</v>
      </c>
      <c r="K30" s="372" t="s">
        <v>30</v>
      </c>
      <c r="L30" s="161" t="s">
        <v>1026</v>
      </c>
      <c r="M30" s="410" t="s">
        <v>998</v>
      </c>
      <c r="N30" s="827" t="s">
        <v>876</v>
      </c>
      <c r="O30" s="788" t="s">
        <v>37</v>
      </c>
      <c r="P30" s="372"/>
      <c r="Q30" s="372"/>
      <c r="R30" s="372" t="s">
        <v>31</v>
      </c>
      <c r="S30" s="358" t="s">
        <v>134</v>
      </c>
      <c r="T30" s="372"/>
      <c r="U30" s="502" t="s">
        <v>1136</v>
      </c>
      <c r="V30" s="292"/>
      <c r="W30" s="740" t="s">
        <v>38</v>
      </c>
      <c r="X30" s="372"/>
      <c r="Y30" s="372"/>
      <c r="Z30" s="372"/>
      <c r="AA30" s="372"/>
      <c r="AB30" s="372" t="s">
        <v>666</v>
      </c>
      <c r="AC30" s="372"/>
      <c r="AD30" s="372"/>
      <c r="AE30" s="374"/>
      <c r="AF30" s="372"/>
      <c r="AG30" s="372"/>
      <c r="AH30" s="372" t="s">
        <v>667</v>
      </c>
      <c r="AI30" s="372"/>
      <c r="AJ30" s="375"/>
      <c r="AK30" s="147" t="s">
        <v>30</v>
      </c>
      <c r="AL30" s="657" t="s">
        <v>30</v>
      </c>
      <c r="AM30" s="639" t="s">
        <v>1098</v>
      </c>
      <c r="AN30" s="356"/>
      <c r="AO30" s="356"/>
      <c r="AP30" s="356"/>
      <c r="AQ30" s="355"/>
      <c r="AR30" s="910"/>
      <c r="AS30" s="359"/>
      <c r="AT30" s="334"/>
    </row>
    <row r="31" spans="1:129" s="274" customFormat="1" ht="16.5">
      <c r="A31" s="172">
        <v>30</v>
      </c>
      <c r="B31" s="130" t="s">
        <v>138</v>
      </c>
      <c r="C31" s="372">
        <v>23</v>
      </c>
      <c r="D31" s="148" t="str">
        <f>VLOOKUP(C31,Table8[],2,0)</f>
        <v>MARKO</v>
      </c>
      <c r="E31" s="354" t="s">
        <v>1556</v>
      </c>
      <c r="F31" s="366" t="s">
        <v>853</v>
      </c>
      <c r="G31" s="407" t="s">
        <v>689</v>
      </c>
      <c r="H31" s="377" t="s">
        <v>690</v>
      </c>
      <c r="I31" s="408" t="s">
        <v>931</v>
      </c>
      <c r="J31" s="372" t="s">
        <v>30</v>
      </c>
      <c r="K31" s="372" t="s">
        <v>31</v>
      </c>
      <c r="L31" s="157" t="s">
        <v>1026</v>
      </c>
      <c r="M31" s="410" t="s">
        <v>1053</v>
      </c>
      <c r="N31" s="382" t="s">
        <v>876</v>
      </c>
      <c r="O31" s="788" t="s">
        <v>34</v>
      </c>
      <c r="P31" s="372"/>
      <c r="Q31" s="372"/>
      <c r="R31" s="372" t="s">
        <v>31</v>
      </c>
      <c r="S31" s="360" t="s">
        <v>839</v>
      </c>
      <c r="T31" s="372"/>
      <c r="U31" s="507" t="s">
        <v>1163</v>
      </c>
      <c r="V31" s="292"/>
      <c r="W31" s="743" t="s">
        <v>30</v>
      </c>
      <c r="X31" s="372"/>
      <c r="Y31" s="372"/>
      <c r="Z31" s="372"/>
      <c r="AA31" s="372"/>
      <c r="AB31" s="372" t="s">
        <v>651</v>
      </c>
      <c r="AC31" s="374" t="s">
        <v>652</v>
      </c>
      <c r="AD31" s="372"/>
      <c r="AE31" s="374"/>
      <c r="AF31" s="372"/>
      <c r="AG31" s="372"/>
      <c r="AH31" s="372"/>
      <c r="AI31" s="372"/>
      <c r="AJ31" s="375"/>
      <c r="AK31" s="147" t="s">
        <v>30</v>
      </c>
      <c r="AL31" s="657" t="s">
        <v>30</v>
      </c>
      <c r="AM31" s="640" t="s">
        <v>1098</v>
      </c>
      <c r="AN31" s="915" t="s">
        <v>1375</v>
      </c>
      <c r="AO31" s="915" t="s">
        <v>1382</v>
      </c>
      <c r="AP31" s="865" t="s">
        <v>1740</v>
      </c>
      <c r="AQ31" s="926">
        <v>49017728655</v>
      </c>
      <c r="AR31" s="910">
        <f>50*1.1</f>
        <v>55.000000000000007</v>
      </c>
      <c r="AS31" s="359"/>
      <c r="AT31" s="821" t="s">
        <v>853</v>
      </c>
    </row>
    <row r="32" spans="1:129" s="274" customFormat="1" ht="16.5">
      <c r="A32" s="172">
        <v>31</v>
      </c>
      <c r="B32" s="821" t="s">
        <v>1741</v>
      </c>
      <c r="C32" s="365">
        <v>2</v>
      </c>
      <c r="D32" s="148" t="str">
        <f>VLOOKUP(C32,Table8[],2,0)</f>
        <v>LAURA</v>
      </c>
      <c r="E32" s="354">
        <v>19437365739</v>
      </c>
      <c r="F32" s="370" t="s">
        <v>706</v>
      </c>
      <c r="G32" s="367" t="s">
        <v>1506</v>
      </c>
      <c r="H32" s="368"/>
      <c r="I32" s="365">
        <v>68.2</v>
      </c>
      <c r="J32" s="365" t="s">
        <v>30</v>
      </c>
      <c r="K32" s="365" t="s">
        <v>31</v>
      </c>
      <c r="L32" s="157" t="s">
        <v>1026</v>
      </c>
      <c r="M32" s="410" t="s">
        <v>1089</v>
      </c>
      <c r="N32" s="357" t="s">
        <v>44</v>
      </c>
      <c r="O32" s="784" t="s">
        <v>34</v>
      </c>
      <c r="P32" s="365" t="s">
        <v>31</v>
      </c>
      <c r="Q32" s="365" t="s">
        <v>31</v>
      </c>
      <c r="R32" s="365" t="s">
        <v>31</v>
      </c>
      <c r="S32" s="360" t="s">
        <v>839</v>
      </c>
      <c r="T32" s="365"/>
      <c r="U32" s="370" t="s">
        <v>1176</v>
      </c>
      <c r="V32" s="370"/>
      <c r="W32" s="739" t="s">
        <v>30</v>
      </c>
      <c r="X32" s="365"/>
      <c r="Y32" s="365"/>
      <c r="Z32" s="365"/>
      <c r="AA32" s="365"/>
      <c r="AB32" s="365" t="s">
        <v>707</v>
      </c>
      <c r="AC32" s="365" t="s">
        <v>704</v>
      </c>
      <c r="AD32" s="365"/>
      <c r="AE32" s="371" t="s">
        <v>704</v>
      </c>
      <c r="AF32" s="365">
        <v>500</v>
      </c>
      <c r="AG32" s="365" t="s">
        <v>72</v>
      </c>
      <c r="AH32" s="365"/>
      <c r="AI32" s="365"/>
      <c r="AJ32" s="365"/>
      <c r="AK32" s="147" t="s">
        <v>30</v>
      </c>
      <c r="AL32" s="365" t="s">
        <v>30</v>
      </c>
      <c r="AM32" s="639"/>
      <c r="AN32" s="915" t="s">
        <v>1375</v>
      </c>
      <c r="AO32" s="915" t="s">
        <v>1382</v>
      </c>
      <c r="AP32" s="865" t="s">
        <v>1743</v>
      </c>
      <c r="AQ32" s="926">
        <v>33294504210</v>
      </c>
      <c r="AR32" s="910">
        <f>50*1.1</f>
        <v>55.000000000000007</v>
      </c>
      <c r="AS32" s="359"/>
      <c r="AT32" s="821" t="s">
        <v>1742</v>
      </c>
    </row>
    <row r="33" spans="1:129" s="274" customFormat="1" ht="16.5">
      <c r="A33" s="172">
        <v>32</v>
      </c>
      <c r="B33" s="146" t="s">
        <v>750</v>
      </c>
      <c r="C33" s="147">
        <v>11</v>
      </c>
      <c r="D33" s="148" t="str">
        <f>VLOOKUP(C33,Table8[],2,0)</f>
        <v>GABRIJELA</v>
      </c>
      <c r="E33" s="354">
        <v>47093623601</v>
      </c>
      <c r="F33" s="366" t="s">
        <v>887</v>
      </c>
      <c r="G33" s="146" t="s">
        <v>751</v>
      </c>
      <c r="H33" s="355" t="s">
        <v>752</v>
      </c>
      <c r="I33" s="147">
        <v>7022</v>
      </c>
      <c r="J33" s="147" t="s">
        <v>31</v>
      </c>
      <c r="K33" s="147" t="s">
        <v>31</v>
      </c>
      <c r="L33" s="157" t="s">
        <v>1026</v>
      </c>
      <c r="M33" s="544" t="s">
        <v>1081</v>
      </c>
      <c r="N33" s="357" t="s">
        <v>876</v>
      </c>
      <c r="O33" s="783" t="s">
        <v>34</v>
      </c>
      <c r="P33" s="147" t="s">
        <v>31</v>
      </c>
      <c r="Q33" s="147" t="s">
        <v>31</v>
      </c>
      <c r="R33" s="147" t="s">
        <v>31</v>
      </c>
      <c r="S33" s="360" t="s">
        <v>839</v>
      </c>
      <c r="T33" s="147"/>
      <c r="U33" s="274" t="s">
        <v>1132</v>
      </c>
      <c r="W33" s="738" t="s">
        <v>30</v>
      </c>
      <c r="X33" s="147"/>
      <c r="Y33" s="147"/>
      <c r="Z33" s="147"/>
      <c r="AA33" s="147"/>
      <c r="AB33" s="147" t="s">
        <v>753</v>
      </c>
      <c r="AC33" s="359">
        <v>45559</v>
      </c>
      <c r="AD33" s="147"/>
      <c r="AE33" s="359"/>
      <c r="AF33" s="147"/>
      <c r="AG33" s="147"/>
      <c r="AH33" s="147"/>
      <c r="AI33" s="147"/>
      <c r="AJ33" s="147"/>
      <c r="AK33" s="147" t="s">
        <v>30</v>
      </c>
      <c r="AL33" s="657" t="s">
        <v>30</v>
      </c>
      <c r="AM33" s="147" t="s">
        <v>1100</v>
      </c>
      <c r="AN33" s="915" t="s">
        <v>1744</v>
      </c>
      <c r="AO33" s="915" t="s">
        <v>1745</v>
      </c>
      <c r="AP33" s="865" t="s">
        <v>1747</v>
      </c>
      <c r="AQ33" s="926">
        <v>77598080833</v>
      </c>
      <c r="AR33" s="910">
        <f>50*1.1</f>
        <v>55.000000000000007</v>
      </c>
      <c r="AS33" s="359"/>
      <c r="AT33" s="821" t="s">
        <v>1746</v>
      </c>
    </row>
    <row r="34" spans="1:129" s="274" customFormat="1" ht="16.5">
      <c r="A34" s="172">
        <v>33</v>
      </c>
      <c r="B34" s="246" t="s">
        <v>60</v>
      </c>
      <c r="C34" s="372">
        <v>15</v>
      </c>
      <c r="D34" s="148" t="str">
        <f>VLOOKUP(C34,Table8[],2,0)</f>
        <v>NIKOLINA</v>
      </c>
      <c r="E34" s="354">
        <v>88607313040</v>
      </c>
      <c r="F34" s="384" t="s">
        <v>1577</v>
      </c>
      <c r="G34" s="672" t="s">
        <v>1507</v>
      </c>
      <c r="H34" s="373" t="s">
        <v>591</v>
      </c>
      <c r="I34" s="372">
        <v>46.9</v>
      </c>
      <c r="J34" s="372" t="s">
        <v>44</v>
      </c>
      <c r="K34" s="372" t="s">
        <v>31</v>
      </c>
      <c r="L34" s="157" t="s">
        <v>1026</v>
      </c>
      <c r="M34" s="410" t="s">
        <v>1537</v>
      </c>
      <c r="N34" s="357" t="s">
        <v>876</v>
      </c>
      <c r="O34" s="785" t="s">
        <v>34</v>
      </c>
      <c r="P34" s="372"/>
      <c r="Q34" s="372" t="s">
        <v>31</v>
      </c>
      <c r="R34" s="372" t="s">
        <v>31</v>
      </c>
      <c r="S34" s="360" t="s">
        <v>839</v>
      </c>
      <c r="T34" s="372"/>
      <c r="U34" s="379" t="s">
        <v>1112</v>
      </c>
      <c r="V34" s="292"/>
      <c r="W34" s="740" t="s">
        <v>30</v>
      </c>
      <c r="X34" s="374" t="s">
        <v>566</v>
      </c>
      <c r="Y34" s="374" t="s">
        <v>566</v>
      </c>
      <c r="Z34" s="372" t="s">
        <v>42</v>
      </c>
      <c r="AA34" s="372" t="s">
        <v>42</v>
      </c>
      <c r="AB34" s="372" t="s">
        <v>563</v>
      </c>
      <c r="AC34" s="372"/>
      <c r="AD34" s="372"/>
      <c r="AE34" s="374"/>
      <c r="AF34" s="372"/>
      <c r="AG34" s="372"/>
      <c r="AH34" s="372">
        <v>375</v>
      </c>
      <c r="AI34" s="372"/>
      <c r="AJ34" s="375"/>
      <c r="AK34" s="147" t="s">
        <v>30</v>
      </c>
      <c r="AL34" s="657" t="s">
        <v>30</v>
      </c>
      <c r="AM34" s="639" t="s">
        <v>1100</v>
      </c>
      <c r="AN34" s="915" t="s">
        <v>1748</v>
      </c>
      <c r="AO34" s="915" t="s">
        <v>1749</v>
      </c>
      <c r="AP34" s="865" t="s">
        <v>1751</v>
      </c>
      <c r="AQ34" s="926">
        <v>52079475959</v>
      </c>
      <c r="AR34" s="910">
        <f>187.5*1.1</f>
        <v>206.25000000000003</v>
      </c>
      <c r="AS34" s="359"/>
      <c r="AT34" s="821" t="s">
        <v>1750</v>
      </c>
    </row>
    <row r="35" spans="1:129" s="274" customFormat="1" ht="13.5" customHeight="1">
      <c r="A35" s="172">
        <v>34</v>
      </c>
      <c r="B35" s="256" t="s">
        <v>862</v>
      </c>
      <c r="C35" s="147">
        <v>0</v>
      </c>
      <c r="D35" s="148" t="str">
        <f>VLOOKUP(C35,Table8[],2,0)</f>
        <v>NITKO</v>
      </c>
      <c r="E35" s="354">
        <v>27532659451</v>
      </c>
      <c r="F35" s="530" t="s">
        <v>1252</v>
      </c>
      <c r="G35" s="688" t="s">
        <v>1508</v>
      </c>
      <c r="H35" s="355"/>
      <c r="I35" s="147"/>
      <c r="J35" s="412" t="s">
        <v>31</v>
      </c>
      <c r="K35" s="412" t="s">
        <v>30</v>
      </c>
      <c r="L35" s="603"/>
      <c r="M35" s="411"/>
      <c r="N35" s="382" t="s">
        <v>879</v>
      </c>
      <c r="O35" s="777" t="s">
        <v>37</v>
      </c>
      <c r="P35" s="147"/>
      <c r="Q35" s="147"/>
      <c r="R35" s="147"/>
      <c r="S35" s="358" t="s">
        <v>134</v>
      </c>
      <c r="T35" s="147"/>
      <c r="U35" s="411" t="s">
        <v>863</v>
      </c>
      <c r="W35" s="147" t="s">
        <v>31</v>
      </c>
      <c r="X35" s="147"/>
      <c r="Y35" s="147"/>
      <c r="Z35" s="147"/>
      <c r="AA35" s="147"/>
      <c r="AB35" s="147"/>
      <c r="AC35" s="359">
        <v>45809</v>
      </c>
      <c r="AD35" s="147"/>
      <c r="AE35" s="359"/>
      <c r="AF35" s="147"/>
      <c r="AG35" s="147"/>
      <c r="AH35" s="147"/>
      <c r="AI35" s="147"/>
      <c r="AJ35" s="147"/>
      <c r="AK35" s="147" t="s">
        <v>30</v>
      </c>
      <c r="AL35" s="413"/>
      <c r="AM35" s="147"/>
      <c r="AN35" s="147"/>
      <c r="AO35" s="147"/>
      <c r="AP35" s="147"/>
      <c r="AQ35" s="147"/>
      <c r="AR35" s="147"/>
      <c r="AS35" s="359"/>
      <c r="AT35" s="147"/>
    </row>
    <row r="36" spans="1:129" s="274" customFormat="1" ht="36">
      <c r="A36" s="172">
        <v>35</v>
      </c>
      <c r="B36" s="130" t="s">
        <v>1394</v>
      </c>
      <c r="C36" s="147">
        <v>11</v>
      </c>
      <c r="D36" s="148" t="str">
        <f>VLOOKUP(C36,Table8[],2,0)</f>
        <v>GABRIJELA</v>
      </c>
      <c r="E36" s="354" t="s">
        <v>1557</v>
      </c>
      <c r="F36" s="528" t="s">
        <v>1349</v>
      </c>
      <c r="G36" s="615" t="s">
        <v>1340</v>
      </c>
      <c r="H36" s="414">
        <v>4561899</v>
      </c>
      <c r="I36" s="147">
        <v>43.21</v>
      </c>
      <c r="J36" s="147" t="s">
        <v>30</v>
      </c>
      <c r="K36" s="147" t="s">
        <v>30</v>
      </c>
      <c r="L36" s="651" t="s">
        <v>1026</v>
      </c>
      <c r="M36" s="410" t="s">
        <v>1348</v>
      </c>
      <c r="N36" s="357" t="s">
        <v>44</v>
      </c>
      <c r="O36" s="774" t="s">
        <v>34</v>
      </c>
      <c r="P36" s="147"/>
      <c r="Q36" s="147"/>
      <c r="R36" s="147" t="s">
        <v>31</v>
      </c>
      <c r="S36" s="360" t="s">
        <v>839</v>
      </c>
      <c r="T36" s="147"/>
      <c r="U36" s="921" t="s">
        <v>1752</v>
      </c>
      <c r="W36" s="738" t="s">
        <v>30</v>
      </c>
      <c r="X36" s="147"/>
      <c r="Y36" s="147"/>
      <c r="Z36" s="147"/>
      <c r="AA36" s="147"/>
      <c r="AB36" s="147" t="s">
        <v>696</v>
      </c>
      <c r="AC36" s="147"/>
      <c r="AD36" s="147"/>
      <c r="AE36" s="359"/>
      <c r="AF36" s="147"/>
      <c r="AG36" s="147"/>
      <c r="AH36" s="147"/>
      <c r="AI36" s="147"/>
      <c r="AJ36" s="375"/>
      <c r="AK36" s="147" t="s">
        <v>30</v>
      </c>
      <c r="AL36" s="413"/>
      <c r="AM36" s="908" t="s">
        <v>1099</v>
      </c>
      <c r="AN36" s="915" t="s">
        <v>1357</v>
      </c>
      <c r="AO36" s="915" t="s">
        <v>1714</v>
      </c>
      <c r="AP36" s="865" t="s">
        <v>1753</v>
      </c>
      <c r="AQ36" s="926" t="s">
        <v>1754</v>
      </c>
      <c r="AR36" s="910"/>
      <c r="AS36" s="359"/>
      <c r="AT36" s="919" t="s">
        <v>42</v>
      </c>
    </row>
    <row r="37" spans="1:129" s="415" customFormat="1" ht="30">
      <c r="A37" s="172">
        <v>36</v>
      </c>
      <c r="B37" s="257" t="s">
        <v>828</v>
      </c>
      <c r="C37" s="147">
        <v>22</v>
      </c>
      <c r="D37" s="148" t="str">
        <f>VLOOKUP(C37,Table8[],2,0)</f>
        <v>LAURA /IVA INAN.</v>
      </c>
      <c r="E37" s="354" t="s">
        <v>1736</v>
      </c>
      <c r="F37" s="531" t="s">
        <v>831</v>
      </c>
      <c r="G37" s="146" t="s">
        <v>826</v>
      </c>
      <c r="H37" s="355"/>
      <c r="I37" s="355" t="s">
        <v>936</v>
      </c>
      <c r="J37" s="147" t="s">
        <v>30</v>
      </c>
      <c r="K37" s="147" t="s">
        <v>31</v>
      </c>
      <c r="L37" s="157" t="s">
        <v>1026</v>
      </c>
      <c r="M37" s="542"/>
      <c r="N37" s="382" t="s">
        <v>876</v>
      </c>
      <c r="O37" s="775" t="s">
        <v>42</v>
      </c>
      <c r="P37" s="147"/>
      <c r="Q37" s="147"/>
      <c r="R37" s="147"/>
      <c r="S37" s="147" t="s">
        <v>64</v>
      </c>
      <c r="T37" s="147"/>
      <c r="U37" s="274" t="s">
        <v>1125</v>
      </c>
      <c r="V37" s="274"/>
      <c r="W37" s="747" t="s">
        <v>30</v>
      </c>
      <c r="X37" s="147"/>
      <c r="Y37" s="147"/>
      <c r="Z37" s="147"/>
      <c r="AA37" s="147"/>
      <c r="AB37" s="147"/>
      <c r="AC37" s="359">
        <v>45693</v>
      </c>
      <c r="AD37" s="147"/>
      <c r="AE37" s="359">
        <v>45870</v>
      </c>
      <c r="AF37" s="147">
        <v>600</v>
      </c>
      <c r="AG37" s="147" t="s">
        <v>942</v>
      </c>
      <c r="AH37" s="147"/>
      <c r="AI37" s="147"/>
      <c r="AJ37" s="147"/>
      <c r="AK37" s="147" t="s">
        <v>30</v>
      </c>
      <c r="AL37" s="365" t="s">
        <v>30</v>
      </c>
      <c r="AM37" s="147" t="s">
        <v>1098</v>
      </c>
      <c r="AN37" s="915" t="s">
        <v>1756</v>
      </c>
      <c r="AO37" s="915" t="s">
        <v>1757</v>
      </c>
      <c r="AP37" s="865" t="s">
        <v>1758</v>
      </c>
      <c r="AQ37" s="926">
        <v>79430081358</v>
      </c>
      <c r="AR37" s="910">
        <f>360*1.1</f>
        <v>396.00000000000006</v>
      </c>
      <c r="AS37" s="359"/>
      <c r="AT37" s="821" t="s">
        <v>1755</v>
      </c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274"/>
      <c r="BO37" s="274"/>
      <c r="BP37" s="274"/>
      <c r="BQ37" s="274"/>
      <c r="BR37" s="274"/>
      <c r="BS37" s="274"/>
      <c r="BT37" s="274"/>
      <c r="BU37" s="274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  <c r="CH37" s="274"/>
      <c r="CI37" s="274"/>
      <c r="CJ37" s="274"/>
      <c r="CK37" s="274"/>
      <c r="CL37" s="274"/>
      <c r="CM37" s="274"/>
      <c r="CN37" s="274"/>
      <c r="CO37" s="274"/>
      <c r="CP37" s="274"/>
      <c r="CQ37" s="274"/>
      <c r="CR37" s="274"/>
      <c r="CS37" s="274"/>
      <c r="CT37" s="274"/>
      <c r="CU37" s="274"/>
      <c r="CV37" s="274"/>
      <c r="CW37" s="274"/>
      <c r="CX37" s="274"/>
      <c r="CY37" s="274"/>
      <c r="CZ37" s="274"/>
      <c r="DA37" s="274"/>
      <c r="DB37" s="274"/>
      <c r="DC37" s="274"/>
      <c r="DD37" s="274"/>
      <c r="DE37" s="274"/>
      <c r="DF37" s="274"/>
      <c r="DG37" s="274"/>
      <c r="DH37" s="274"/>
      <c r="DI37" s="274"/>
      <c r="DJ37" s="274"/>
      <c r="DK37" s="274"/>
      <c r="DL37" s="274"/>
      <c r="DM37" s="274"/>
      <c r="DN37" s="274"/>
      <c r="DO37" s="274"/>
      <c r="DP37" s="274"/>
      <c r="DQ37" s="274"/>
      <c r="DR37" s="274"/>
      <c r="DS37" s="274"/>
      <c r="DT37" s="274"/>
      <c r="DU37" s="274"/>
      <c r="DV37" s="274"/>
      <c r="DW37" s="274"/>
      <c r="DX37" s="274"/>
      <c r="DY37" s="274"/>
    </row>
    <row r="38" spans="1:129" s="274" customFormat="1" ht="48">
      <c r="A38" s="172">
        <v>37</v>
      </c>
      <c r="B38" s="130" t="s">
        <v>943</v>
      </c>
      <c r="C38" s="372">
        <v>23</v>
      </c>
      <c r="D38" s="148" t="str">
        <f>VLOOKUP(C38,Table8[],2,0)</f>
        <v>MARKO</v>
      </c>
      <c r="E38" s="416">
        <v>41015597345</v>
      </c>
      <c r="F38" s="528" t="s">
        <v>888</v>
      </c>
      <c r="G38" s="385">
        <f>36204085422</f>
        <v>36204085422</v>
      </c>
      <c r="H38" s="377"/>
      <c r="I38" s="408" t="s">
        <v>924</v>
      </c>
      <c r="J38" s="372" t="s">
        <v>30</v>
      </c>
      <c r="K38" s="417" t="s">
        <v>30</v>
      </c>
      <c r="L38" s="157" t="s">
        <v>1026</v>
      </c>
      <c r="M38" s="410" t="s">
        <v>1011</v>
      </c>
      <c r="N38" s="357" t="s">
        <v>876</v>
      </c>
      <c r="O38" s="785" t="s">
        <v>34</v>
      </c>
      <c r="P38" s="372"/>
      <c r="Q38" s="372"/>
      <c r="R38" s="372"/>
      <c r="S38" s="360" t="s">
        <v>839</v>
      </c>
      <c r="T38" s="372"/>
      <c r="U38" s="502" t="s">
        <v>1153</v>
      </c>
      <c r="V38" s="292"/>
      <c r="W38" s="740" t="s">
        <v>30</v>
      </c>
      <c r="X38" s="372"/>
      <c r="Y38" s="372"/>
      <c r="Z38" s="372"/>
      <c r="AA38" s="372"/>
      <c r="AB38" s="372" t="s">
        <v>605</v>
      </c>
      <c r="AC38" s="372"/>
      <c r="AD38" s="372"/>
      <c r="AE38" s="374" t="s">
        <v>636</v>
      </c>
      <c r="AF38" s="372">
        <v>500</v>
      </c>
      <c r="AG38" s="372" t="s">
        <v>72</v>
      </c>
      <c r="AH38" s="372"/>
      <c r="AI38" s="372"/>
      <c r="AJ38" s="375"/>
      <c r="AK38" s="147" t="s">
        <v>30</v>
      </c>
      <c r="AL38" s="660" t="s">
        <v>30</v>
      </c>
      <c r="AM38" s="639" t="s">
        <v>1100</v>
      </c>
      <c r="AN38" s="915" t="s">
        <v>1375</v>
      </c>
      <c r="AO38" s="915" t="s">
        <v>1382</v>
      </c>
      <c r="AP38" s="865" t="s">
        <v>1760</v>
      </c>
      <c r="AQ38" s="926">
        <v>45695656650</v>
      </c>
      <c r="AR38" s="910">
        <f>190*1.1</f>
        <v>209.00000000000003</v>
      </c>
      <c r="AS38" s="359"/>
      <c r="AT38" s="821" t="s">
        <v>1759</v>
      </c>
    </row>
    <row r="39" spans="1:129" s="274" customFormat="1" ht="40.5" customHeight="1">
      <c r="A39" s="172">
        <v>38</v>
      </c>
      <c r="B39" s="130" t="s">
        <v>84</v>
      </c>
      <c r="C39" s="372">
        <v>20</v>
      </c>
      <c r="D39" s="148" t="str">
        <f>VLOOKUP(C39,Table8[],2,0)</f>
        <v>VESNA</v>
      </c>
      <c r="E39" s="354" t="s">
        <v>1521</v>
      </c>
      <c r="F39" s="528" t="s">
        <v>1010</v>
      </c>
      <c r="G39" s="525" t="s">
        <v>1286</v>
      </c>
      <c r="H39" s="377"/>
      <c r="I39" s="372"/>
      <c r="J39" s="372" t="s">
        <v>30</v>
      </c>
      <c r="K39" s="386" t="s">
        <v>30</v>
      </c>
      <c r="L39" s="157" t="s">
        <v>1026</v>
      </c>
      <c r="M39" s="410" t="s">
        <v>1012</v>
      </c>
      <c r="N39" s="357" t="s">
        <v>876</v>
      </c>
      <c r="O39" s="777" t="s">
        <v>34</v>
      </c>
      <c r="P39" s="372"/>
      <c r="Q39" s="372"/>
      <c r="R39" s="372" t="s">
        <v>31</v>
      </c>
      <c r="S39" s="383" t="s">
        <v>839</v>
      </c>
      <c r="T39" s="372"/>
      <c r="U39" s="502" t="s">
        <v>1119</v>
      </c>
      <c r="V39" s="292"/>
      <c r="W39" s="744" t="s">
        <v>30</v>
      </c>
      <c r="X39" s="372"/>
      <c r="Y39" s="372"/>
      <c r="Z39" s="372"/>
      <c r="AA39" s="372"/>
      <c r="AB39" s="372"/>
      <c r="AC39" s="374">
        <v>45722</v>
      </c>
      <c r="AD39" s="372"/>
      <c r="AE39" s="374"/>
      <c r="AF39" s="372"/>
      <c r="AG39" s="372"/>
      <c r="AH39" s="372"/>
      <c r="AI39" s="372"/>
      <c r="AJ39" s="375"/>
      <c r="AK39" s="147" t="s">
        <v>30</v>
      </c>
      <c r="AL39" s="657" t="s">
        <v>30</v>
      </c>
      <c r="AM39" s="147" t="s">
        <v>1100</v>
      </c>
      <c r="AN39" s="915" t="s">
        <v>1762</v>
      </c>
      <c r="AO39" s="915" t="s">
        <v>1763</v>
      </c>
      <c r="AP39" s="865" t="s">
        <v>1764</v>
      </c>
      <c r="AQ39" s="926">
        <v>18785580320</v>
      </c>
      <c r="AR39" s="910">
        <f>100*1.1</f>
        <v>110.00000000000001</v>
      </c>
      <c r="AS39" s="359"/>
      <c r="AT39" s="821" t="s">
        <v>1761</v>
      </c>
    </row>
    <row r="40" spans="1:129" s="274" customFormat="1">
      <c r="A40" s="172">
        <v>39</v>
      </c>
      <c r="B40" s="146" t="s">
        <v>2060</v>
      </c>
      <c r="C40" s="147">
        <v>15</v>
      </c>
      <c r="D40" s="148" t="str">
        <f>VLOOKUP(C40,Table8[],2,0)</f>
        <v>NIKOLINA</v>
      </c>
      <c r="E40" s="391">
        <v>11956157010</v>
      </c>
      <c r="F40" s="274" t="s">
        <v>736</v>
      </c>
      <c r="G40" s="146" t="s">
        <v>737</v>
      </c>
      <c r="H40" s="355"/>
      <c r="I40" s="147"/>
      <c r="J40" s="147" t="s">
        <v>30</v>
      </c>
      <c r="K40" s="147" t="s">
        <v>31</v>
      </c>
      <c r="L40" s="589" t="s">
        <v>1026</v>
      </c>
      <c r="M40" s="410" t="s">
        <v>1063</v>
      </c>
      <c r="N40" s="357" t="s">
        <v>876</v>
      </c>
      <c r="O40" s="774" t="s">
        <v>37</v>
      </c>
      <c r="P40" s="147" t="s">
        <v>31</v>
      </c>
      <c r="Q40" s="147" t="s">
        <v>31</v>
      </c>
      <c r="R40" s="147" t="s">
        <v>31</v>
      </c>
      <c r="S40" s="360" t="s">
        <v>839</v>
      </c>
      <c r="T40" s="147"/>
      <c r="U40" s="274" t="s">
        <v>1155</v>
      </c>
      <c r="W40" s="738" t="s">
        <v>1368</v>
      </c>
      <c r="X40" s="147"/>
      <c r="Y40" s="147"/>
      <c r="Z40" s="147"/>
      <c r="AA40" s="147"/>
      <c r="AB40" s="147"/>
      <c r="AC40" s="359">
        <v>45536</v>
      </c>
      <c r="AD40" s="147"/>
      <c r="AE40" s="359"/>
      <c r="AF40" s="147"/>
      <c r="AG40" s="147"/>
      <c r="AH40" s="147"/>
      <c r="AI40" s="147"/>
      <c r="AJ40" s="147"/>
      <c r="AK40" s="147" t="s">
        <v>30</v>
      </c>
      <c r="AL40" s="413"/>
      <c r="AM40" s="147" t="s">
        <v>1098</v>
      </c>
      <c r="AN40" s="356"/>
      <c r="AO40" s="356"/>
      <c r="AP40" s="356"/>
      <c r="AQ40" s="355"/>
      <c r="AR40" s="910"/>
      <c r="AS40" s="359"/>
      <c r="AT40" s="334"/>
    </row>
    <row r="41" spans="1:129" s="402" customFormat="1" ht="15" customHeight="1">
      <c r="A41" s="172">
        <v>40</v>
      </c>
      <c r="B41" s="146" t="s">
        <v>948</v>
      </c>
      <c r="C41" s="147">
        <v>25</v>
      </c>
      <c r="D41" s="148" t="str">
        <f>VLOOKUP(C41,Table8[],2,0)</f>
        <v>F. MARKO</v>
      </c>
      <c r="E41" s="354">
        <v>83403059410</v>
      </c>
      <c r="F41" s="607" t="s">
        <v>1334</v>
      </c>
      <c r="G41" s="537" t="s">
        <v>1285</v>
      </c>
      <c r="H41" s="355"/>
      <c r="I41" s="147" t="s">
        <v>720</v>
      </c>
      <c r="J41" s="147" t="s">
        <v>30</v>
      </c>
      <c r="K41" s="147" t="s">
        <v>30</v>
      </c>
      <c r="L41" s="612" t="s">
        <v>1026</v>
      </c>
      <c r="M41" s="410" t="s">
        <v>1326</v>
      </c>
      <c r="N41" s="362" t="s">
        <v>876</v>
      </c>
      <c r="O41" s="783" t="s">
        <v>34</v>
      </c>
      <c r="P41" s="147" t="s">
        <v>31</v>
      </c>
      <c r="Q41" s="147" t="s">
        <v>31</v>
      </c>
      <c r="R41" s="147" t="s">
        <v>31</v>
      </c>
      <c r="S41" s="360" t="s">
        <v>839</v>
      </c>
      <c r="T41" s="147"/>
      <c r="U41" s="510" t="s">
        <v>804</v>
      </c>
      <c r="V41" s="274"/>
      <c r="W41" s="628" t="s">
        <v>1367</v>
      </c>
      <c r="X41" s="147"/>
      <c r="Y41" s="147"/>
      <c r="Z41" s="147"/>
      <c r="AA41" s="147"/>
      <c r="AB41" s="147" t="s">
        <v>738</v>
      </c>
      <c r="AC41" s="359">
        <v>45566</v>
      </c>
      <c r="AD41" s="147"/>
      <c r="AE41" s="359">
        <v>45536</v>
      </c>
      <c r="AF41" s="147">
        <v>500</v>
      </c>
      <c r="AG41" s="147" t="s">
        <v>72</v>
      </c>
      <c r="AH41" s="147"/>
      <c r="AI41" s="147"/>
      <c r="AJ41" s="147"/>
      <c r="AK41" s="147" t="s">
        <v>30</v>
      </c>
      <c r="AL41" s="659"/>
      <c r="AM41" s="640" t="s">
        <v>1100</v>
      </c>
      <c r="AN41" s="147"/>
      <c r="AO41" s="147"/>
      <c r="AP41" s="147"/>
      <c r="AQ41" s="355"/>
      <c r="AR41" s="147"/>
      <c r="AS41" s="359"/>
      <c r="AT41" s="147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274"/>
      <c r="BO41" s="274"/>
      <c r="BP41" s="274"/>
      <c r="BQ41" s="274"/>
      <c r="BR41" s="274"/>
      <c r="BS41" s="274"/>
      <c r="BT41" s="274"/>
      <c r="BU41" s="274"/>
      <c r="BV41" s="274"/>
      <c r="BW41" s="274"/>
      <c r="BX41" s="274"/>
      <c r="BY41" s="274"/>
      <c r="BZ41" s="274"/>
      <c r="CA41" s="274"/>
      <c r="CB41" s="274"/>
      <c r="CC41" s="274"/>
      <c r="CD41" s="274"/>
      <c r="CE41" s="274"/>
      <c r="CF41" s="274"/>
      <c r="CG41" s="274"/>
      <c r="CH41" s="274"/>
      <c r="CI41" s="274"/>
      <c r="CJ41" s="274"/>
      <c r="CK41" s="274"/>
      <c r="CL41" s="274"/>
      <c r="CM41" s="274"/>
      <c r="CN41" s="274"/>
      <c r="CO41" s="274"/>
      <c r="CP41" s="274"/>
      <c r="CQ41" s="274"/>
      <c r="CR41" s="274"/>
      <c r="CS41" s="274"/>
      <c r="CT41" s="274"/>
      <c r="CU41" s="274"/>
      <c r="CV41" s="274"/>
      <c r="CW41" s="274"/>
      <c r="CX41" s="274"/>
      <c r="CY41" s="274"/>
      <c r="CZ41" s="274"/>
      <c r="DA41" s="274"/>
      <c r="DB41" s="274"/>
      <c r="DC41" s="274"/>
      <c r="DD41" s="274"/>
      <c r="DE41" s="274"/>
      <c r="DF41" s="274"/>
      <c r="DG41" s="274"/>
      <c r="DH41" s="274"/>
      <c r="DI41" s="274"/>
      <c r="DJ41" s="274"/>
      <c r="DK41" s="274"/>
      <c r="DL41" s="274"/>
      <c r="DM41" s="274"/>
      <c r="DN41" s="274"/>
      <c r="DO41" s="274"/>
      <c r="DP41" s="274"/>
      <c r="DQ41" s="274"/>
      <c r="DR41" s="274"/>
      <c r="DS41" s="274"/>
      <c r="DT41" s="274"/>
      <c r="DU41" s="274"/>
      <c r="DV41" s="274"/>
      <c r="DW41" s="274"/>
      <c r="DX41" s="274"/>
      <c r="DY41" s="274"/>
    </row>
    <row r="42" spans="1:129" s="274" customFormat="1">
      <c r="A42" s="172">
        <v>41</v>
      </c>
      <c r="B42" s="647" t="s">
        <v>1395</v>
      </c>
      <c r="C42" s="147">
        <v>26</v>
      </c>
      <c r="D42" s="376" t="str">
        <f>VLOOKUP(C42,Table8[],2,0)</f>
        <v>F. IVAN</v>
      </c>
      <c r="E42" s="354">
        <v>37778428144</v>
      </c>
      <c r="F42" s="404" t="s">
        <v>913</v>
      </c>
      <c r="G42" s="146" t="s">
        <v>968</v>
      </c>
      <c r="H42" s="355"/>
      <c r="I42" s="147"/>
      <c r="J42" s="147" t="s">
        <v>31</v>
      </c>
      <c r="K42" s="147" t="s">
        <v>31</v>
      </c>
      <c r="L42" s="155" t="s">
        <v>1001</v>
      </c>
      <c r="M42" s="542"/>
      <c r="N42" s="362" t="s">
        <v>44</v>
      </c>
      <c r="O42" s="774" t="s">
        <v>37</v>
      </c>
      <c r="P42" s="147" t="s">
        <v>31</v>
      </c>
      <c r="Q42" s="147" t="s">
        <v>31</v>
      </c>
      <c r="R42" s="147" t="s">
        <v>31</v>
      </c>
      <c r="S42" s="147" t="s">
        <v>134</v>
      </c>
      <c r="T42" s="147"/>
      <c r="U42" s="274" t="s">
        <v>917</v>
      </c>
      <c r="W42" s="628" t="s">
        <v>1367</v>
      </c>
      <c r="X42" s="147"/>
      <c r="Y42" s="147"/>
      <c r="Z42" s="147"/>
      <c r="AA42" s="147"/>
      <c r="AB42" s="147"/>
      <c r="AC42" s="359">
        <v>46023</v>
      </c>
      <c r="AD42" s="147"/>
      <c r="AE42" s="359"/>
      <c r="AF42" s="147"/>
      <c r="AG42" s="147"/>
      <c r="AH42" s="147"/>
      <c r="AI42" s="147"/>
      <c r="AJ42" s="147"/>
      <c r="AK42" s="147"/>
      <c r="AL42" s="657" t="s">
        <v>30</v>
      </c>
      <c r="AM42" s="147"/>
      <c r="AN42" s="147"/>
      <c r="AO42" s="147"/>
      <c r="AP42" s="147"/>
      <c r="AQ42" s="355"/>
      <c r="AR42" s="147"/>
      <c r="AS42" s="359"/>
      <c r="AT42" s="147"/>
    </row>
    <row r="43" spans="1:129" s="274" customFormat="1" ht="39" customHeight="1">
      <c r="A43" s="172">
        <v>42</v>
      </c>
      <c r="B43" s="1052" t="s">
        <v>2059</v>
      </c>
      <c r="C43" s="147">
        <v>10</v>
      </c>
      <c r="D43" s="418" t="str">
        <f>VLOOKUP(C43,Table8[],2,0)</f>
        <v>MAJA</v>
      </c>
      <c r="E43" s="354">
        <v>77391093695</v>
      </c>
      <c r="F43" s="530" t="s">
        <v>1274</v>
      </c>
      <c r="G43" s="652" t="s">
        <v>1444</v>
      </c>
      <c r="H43" s="355"/>
      <c r="I43" s="355"/>
      <c r="J43" s="147" t="s">
        <v>31</v>
      </c>
      <c r="K43" s="147" t="s">
        <v>31</v>
      </c>
      <c r="L43" s="157" t="s">
        <v>1026</v>
      </c>
      <c r="M43" s="468" t="s">
        <v>981</v>
      </c>
      <c r="N43" s="362" t="s">
        <v>876</v>
      </c>
      <c r="O43" s="777" t="s">
        <v>37</v>
      </c>
      <c r="P43" s="147" t="s">
        <v>31</v>
      </c>
      <c r="Q43" s="147" t="s">
        <v>31</v>
      </c>
      <c r="R43" s="147" t="s">
        <v>31</v>
      </c>
      <c r="S43" s="147" t="s">
        <v>839</v>
      </c>
      <c r="T43" s="147"/>
      <c r="U43" s="274" t="s">
        <v>1154</v>
      </c>
      <c r="W43" s="738" t="s">
        <v>1368</v>
      </c>
      <c r="X43" s="147"/>
      <c r="Y43" s="147"/>
      <c r="Z43" s="147"/>
      <c r="AA43" s="147"/>
      <c r="AB43" s="147"/>
      <c r="AC43" s="359">
        <v>45962</v>
      </c>
      <c r="AD43" s="147"/>
      <c r="AE43" s="359"/>
      <c r="AF43" s="147"/>
      <c r="AG43" s="147"/>
      <c r="AH43" s="147"/>
      <c r="AI43" s="147"/>
      <c r="AJ43" s="147"/>
      <c r="AK43" s="147"/>
      <c r="AL43" s="657" t="s">
        <v>30</v>
      </c>
      <c r="AM43" s="147" t="s">
        <v>1100</v>
      </c>
      <c r="AN43" s="356"/>
      <c r="AO43" s="356"/>
      <c r="AP43" s="356"/>
      <c r="AQ43" s="355"/>
      <c r="AR43" s="910"/>
      <c r="AS43" s="359"/>
      <c r="AT43" s="334"/>
    </row>
    <row r="44" spans="1:129" s="274" customFormat="1" ht="16.5">
      <c r="A44" s="172">
        <v>43</v>
      </c>
      <c r="B44" s="647" t="s">
        <v>1396</v>
      </c>
      <c r="C44" s="147">
        <v>20</v>
      </c>
      <c r="D44" s="148" t="str">
        <f>VLOOKUP(C44,Table8[],2,0)</f>
        <v>VESNA</v>
      </c>
      <c r="E44" s="354" t="s">
        <v>1558</v>
      </c>
      <c r="F44" s="404" t="s">
        <v>850</v>
      </c>
      <c r="G44" s="146"/>
      <c r="H44" s="355"/>
      <c r="I44" s="147"/>
      <c r="J44" s="147" t="s">
        <v>31</v>
      </c>
      <c r="K44" s="147" t="s">
        <v>30</v>
      </c>
      <c r="L44" s="163" t="s">
        <v>1026</v>
      </c>
      <c r="M44" s="410" t="s">
        <v>1033</v>
      </c>
      <c r="N44" s="357" t="s">
        <v>44</v>
      </c>
      <c r="O44" s="639" t="s">
        <v>42</v>
      </c>
      <c r="P44" s="147" t="s">
        <v>31</v>
      </c>
      <c r="Q44" s="147" t="s">
        <v>31</v>
      </c>
      <c r="R44" s="147" t="s">
        <v>31</v>
      </c>
      <c r="S44" s="358" t="s">
        <v>134</v>
      </c>
      <c r="T44" s="147"/>
      <c r="U44" s="274" t="s">
        <v>1120</v>
      </c>
      <c r="W44" s="738" t="s">
        <v>30</v>
      </c>
      <c r="X44" s="147"/>
      <c r="Y44" s="147"/>
      <c r="Z44" s="147"/>
      <c r="AA44" s="147"/>
      <c r="AB44" s="147"/>
      <c r="AC44" s="359">
        <v>45778</v>
      </c>
      <c r="AD44" s="147"/>
      <c r="AE44" s="359"/>
      <c r="AF44" s="147"/>
      <c r="AG44" s="147"/>
      <c r="AH44" s="147"/>
      <c r="AI44" s="147"/>
      <c r="AJ44" s="147"/>
      <c r="AK44" s="147" t="s">
        <v>30</v>
      </c>
      <c r="AL44" s="657" t="s">
        <v>30</v>
      </c>
      <c r="AM44" s="147"/>
      <c r="AN44" s="915" t="s">
        <v>1765</v>
      </c>
      <c r="AO44" s="915" t="s">
        <v>1766</v>
      </c>
      <c r="AP44" s="865" t="s">
        <v>1767</v>
      </c>
      <c r="AQ44" s="926" t="s">
        <v>1768</v>
      </c>
      <c r="AR44" s="910">
        <f>80*1.1</f>
        <v>88</v>
      </c>
      <c r="AS44" s="359"/>
      <c r="AT44" s="821" t="s">
        <v>850</v>
      </c>
    </row>
    <row r="45" spans="1:129" s="274" customFormat="1" ht="16.5">
      <c r="A45" s="172">
        <v>44</v>
      </c>
      <c r="B45" s="647" t="s">
        <v>1397</v>
      </c>
      <c r="C45" s="372">
        <v>2</v>
      </c>
      <c r="D45" s="148" t="str">
        <f>VLOOKUP(C45,Table8[],2,0)</f>
        <v>LAURA</v>
      </c>
      <c r="E45" s="354">
        <v>95114850977</v>
      </c>
      <c r="F45" s="419" t="s">
        <v>43</v>
      </c>
      <c r="G45" s="686" t="s">
        <v>822</v>
      </c>
      <c r="H45" s="373" t="s">
        <v>562</v>
      </c>
      <c r="I45" s="420" t="s">
        <v>918</v>
      </c>
      <c r="J45" s="372" t="s">
        <v>30</v>
      </c>
      <c r="K45" s="372" t="s">
        <v>30</v>
      </c>
      <c r="L45" s="589" t="s">
        <v>1026</v>
      </c>
      <c r="M45" s="541"/>
      <c r="N45" s="382" t="s">
        <v>876</v>
      </c>
      <c r="O45" s="785" t="s">
        <v>34</v>
      </c>
      <c r="P45" s="372"/>
      <c r="Q45" s="372" t="s">
        <v>31</v>
      </c>
      <c r="R45" s="372" t="s">
        <v>31</v>
      </c>
      <c r="S45" s="358" t="s">
        <v>134</v>
      </c>
      <c r="T45" s="372"/>
      <c r="U45" s="507" t="s">
        <v>1164</v>
      </c>
      <c r="V45" s="292"/>
      <c r="W45" s="740" t="s">
        <v>30</v>
      </c>
      <c r="X45" s="374"/>
      <c r="Y45" s="374"/>
      <c r="Z45" s="374"/>
      <c r="AA45" s="372"/>
      <c r="AB45" s="372" t="s">
        <v>561</v>
      </c>
      <c r="AC45" s="372"/>
      <c r="AD45" s="372"/>
      <c r="AE45" s="374"/>
      <c r="AF45" s="372"/>
      <c r="AG45" s="372"/>
      <c r="AH45" s="372"/>
      <c r="AI45" s="372"/>
      <c r="AJ45" s="375"/>
      <c r="AK45" s="147" t="s">
        <v>31</v>
      </c>
      <c r="AL45" s="372"/>
      <c r="AM45" s="641" t="s">
        <v>1100</v>
      </c>
      <c r="AN45" s="915" t="s">
        <v>1732</v>
      </c>
      <c r="AO45" s="915" t="s">
        <v>1769</v>
      </c>
      <c r="AP45" s="915" t="s">
        <v>1610</v>
      </c>
      <c r="AQ45" s="927">
        <v>38072963871</v>
      </c>
      <c r="AR45" s="910"/>
      <c r="AS45" s="359"/>
      <c r="AT45" s="821" t="s">
        <v>43</v>
      </c>
    </row>
    <row r="46" spans="1:129" s="364" customFormat="1" ht="16.5">
      <c r="A46" s="172">
        <v>45</v>
      </c>
      <c r="B46" s="648" t="s">
        <v>1398</v>
      </c>
      <c r="C46" s="372">
        <v>2</v>
      </c>
      <c r="D46" s="148" t="str">
        <f>VLOOKUP(C46,Table8[],2,0)</f>
        <v>LAURA</v>
      </c>
      <c r="E46" s="380" t="s">
        <v>1559</v>
      </c>
      <c r="F46" s="366" t="s">
        <v>46</v>
      </c>
      <c r="G46" s="686" t="s">
        <v>1509</v>
      </c>
      <c r="H46" s="373" t="s">
        <v>569</v>
      </c>
      <c r="I46" s="408" t="s">
        <v>919</v>
      </c>
      <c r="J46" s="372" t="s">
        <v>30</v>
      </c>
      <c r="K46" s="372" t="s">
        <v>30</v>
      </c>
      <c r="L46" s="163" t="s">
        <v>1026</v>
      </c>
      <c r="M46" s="548" t="s">
        <v>1004</v>
      </c>
      <c r="N46" s="382" t="s">
        <v>876</v>
      </c>
      <c r="O46" s="785" t="s">
        <v>34</v>
      </c>
      <c r="P46" s="372"/>
      <c r="Q46" s="372" t="s">
        <v>31</v>
      </c>
      <c r="R46" s="372" t="s">
        <v>30</v>
      </c>
      <c r="S46" s="360" t="s">
        <v>839</v>
      </c>
      <c r="T46" s="372"/>
      <c r="U46" s="871" t="s">
        <v>1659</v>
      </c>
      <c r="V46" s="292"/>
      <c r="W46" s="740" t="s">
        <v>30</v>
      </c>
      <c r="X46" s="374" t="s">
        <v>566</v>
      </c>
      <c r="Y46" s="374" t="s">
        <v>566</v>
      </c>
      <c r="Z46" s="372" t="s">
        <v>42</v>
      </c>
      <c r="AA46" s="372" t="s">
        <v>42</v>
      </c>
      <c r="AB46" s="372" t="s">
        <v>567</v>
      </c>
      <c r="AC46" s="372"/>
      <c r="AD46" s="372"/>
      <c r="AE46" s="374"/>
      <c r="AF46" s="372"/>
      <c r="AG46" s="372"/>
      <c r="AH46" s="372" t="s">
        <v>568</v>
      </c>
      <c r="AI46" s="372"/>
      <c r="AJ46" s="375"/>
      <c r="AK46" s="147" t="s">
        <v>30</v>
      </c>
      <c r="AL46" s="365" t="s">
        <v>30</v>
      </c>
      <c r="AM46" s="639"/>
      <c r="AN46" s="865" t="s">
        <v>1770</v>
      </c>
      <c r="AO46" s="865" t="s">
        <v>1771</v>
      </c>
      <c r="AP46" s="865" t="s">
        <v>1772</v>
      </c>
      <c r="AQ46" s="926">
        <v>34181660939</v>
      </c>
      <c r="AR46" s="910">
        <v>209</v>
      </c>
      <c r="AS46" s="359"/>
      <c r="AT46" s="821" t="s">
        <v>46</v>
      </c>
      <c r="AU46" s="274"/>
      <c r="AV46" s="274"/>
      <c r="AW46" s="274"/>
      <c r="AX46" s="274"/>
      <c r="AY46" s="274"/>
      <c r="AZ46" s="274"/>
      <c r="BA46" s="274"/>
      <c r="BB46" s="274"/>
      <c r="BC46" s="274"/>
      <c r="BD46" s="274"/>
      <c r="BE46" s="274"/>
      <c r="BF46" s="274"/>
      <c r="BG46" s="274"/>
      <c r="BH46" s="274"/>
      <c r="BI46" s="274"/>
      <c r="BJ46" s="274"/>
      <c r="BK46" s="274"/>
      <c r="BL46" s="274"/>
      <c r="BM46" s="274"/>
      <c r="BN46" s="274"/>
      <c r="BO46" s="274"/>
      <c r="BP46" s="274"/>
      <c r="BQ46" s="274"/>
      <c r="BR46" s="274"/>
      <c r="BS46" s="274"/>
      <c r="BT46" s="274"/>
      <c r="BU46" s="274"/>
      <c r="BV46" s="274"/>
      <c r="BW46" s="274"/>
      <c r="BX46" s="274"/>
      <c r="BY46" s="274"/>
      <c r="BZ46" s="274"/>
      <c r="CA46" s="274"/>
      <c r="CB46" s="274"/>
      <c r="CC46" s="274"/>
      <c r="CD46" s="274"/>
      <c r="CE46" s="274"/>
      <c r="CF46" s="274"/>
      <c r="CG46" s="274"/>
      <c r="CH46" s="274"/>
      <c r="CI46" s="274"/>
      <c r="CJ46" s="274"/>
      <c r="CK46" s="274"/>
      <c r="CL46" s="274"/>
      <c r="CM46" s="274"/>
      <c r="CN46" s="274"/>
      <c r="CO46" s="274"/>
      <c r="CP46" s="274"/>
      <c r="CQ46" s="274"/>
      <c r="CR46" s="274"/>
      <c r="CS46" s="274"/>
      <c r="CT46" s="274"/>
      <c r="CU46" s="274"/>
      <c r="CV46" s="274"/>
      <c r="CW46" s="274"/>
      <c r="CX46" s="274"/>
      <c r="CY46" s="274"/>
      <c r="CZ46" s="274"/>
      <c r="DA46" s="274"/>
      <c r="DB46" s="274"/>
      <c r="DC46" s="274"/>
      <c r="DD46" s="274"/>
      <c r="DE46" s="274"/>
      <c r="DF46" s="274"/>
      <c r="DG46" s="274"/>
      <c r="DH46" s="274"/>
      <c r="DI46" s="274"/>
      <c r="DJ46" s="274"/>
      <c r="DK46" s="274"/>
      <c r="DL46" s="274"/>
      <c r="DM46" s="274"/>
      <c r="DN46" s="274"/>
      <c r="DO46" s="274"/>
      <c r="DP46" s="274"/>
      <c r="DQ46" s="274"/>
      <c r="DR46" s="274"/>
      <c r="DS46" s="274"/>
      <c r="DT46" s="274"/>
      <c r="DU46" s="274"/>
      <c r="DV46" s="274"/>
      <c r="DW46" s="274"/>
      <c r="DX46" s="274"/>
      <c r="DY46" s="274"/>
    </row>
    <row r="47" spans="1:129" s="274" customFormat="1" ht="16.5">
      <c r="A47" s="511">
        <v>46</v>
      </c>
      <c r="B47" s="821" t="s">
        <v>1773</v>
      </c>
      <c r="C47" s="147">
        <v>23</v>
      </c>
      <c r="D47" s="148" t="str">
        <f>VLOOKUP(C47,Table8[],2,0)</f>
        <v>MARKO</v>
      </c>
      <c r="E47" s="354">
        <v>9009369853</v>
      </c>
      <c r="F47" s="366" t="s">
        <v>719</v>
      </c>
      <c r="G47" s="864" t="s">
        <v>1652</v>
      </c>
      <c r="H47" s="355" t="s">
        <v>722</v>
      </c>
      <c r="I47" s="147" t="s">
        <v>720</v>
      </c>
      <c r="J47" s="147" t="s">
        <v>30</v>
      </c>
      <c r="K47" s="147" t="s">
        <v>31</v>
      </c>
      <c r="L47" s="157" t="s">
        <v>1026</v>
      </c>
      <c r="M47" s="410" t="s">
        <v>1046</v>
      </c>
      <c r="N47" s="357" t="s">
        <v>44</v>
      </c>
      <c r="O47" s="783" t="s">
        <v>34</v>
      </c>
      <c r="P47" s="147" t="s">
        <v>31</v>
      </c>
      <c r="Q47" s="147" t="s">
        <v>31</v>
      </c>
      <c r="R47" s="147" t="s">
        <v>31</v>
      </c>
      <c r="S47" s="360" t="s">
        <v>839</v>
      </c>
      <c r="T47" s="147"/>
      <c r="U47" s="274" t="s">
        <v>1122</v>
      </c>
      <c r="W47" s="738" t="s">
        <v>30</v>
      </c>
      <c r="X47" s="147"/>
      <c r="Y47" s="147"/>
      <c r="Z47" s="147"/>
      <c r="AA47" s="147"/>
      <c r="AB47" s="147" t="s">
        <v>721</v>
      </c>
      <c r="AC47" s="147"/>
      <c r="AD47" s="147"/>
      <c r="AE47" s="359"/>
      <c r="AF47" s="147"/>
      <c r="AG47" s="147"/>
      <c r="AH47" s="147"/>
      <c r="AI47" s="147"/>
      <c r="AJ47" s="147"/>
      <c r="AK47" s="147" t="s">
        <v>30</v>
      </c>
      <c r="AL47" s="657" t="s">
        <v>30</v>
      </c>
      <c r="AM47" s="639"/>
      <c r="AN47" s="915" t="s">
        <v>1375</v>
      </c>
      <c r="AO47" s="915" t="s">
        <v>1382</v>
      </c>
      <c r="AP47" s="865" t="s">
        <v>1775</v>
      </c>
      <c r="AQ47" s="926">
        <v>26021071606</v>
      </c>
      <c r="AR47" s="910">
        <f>100*1.1</f>
        <v>110.00000000000001</v>
      </c>
      <c r="AS47" s="359"/>
      <c r="AT47" s="821" t="s">
        <v>1774</v>
      </c>
    </row>
    <row r="48" spans="1:129" s="274" customFormat="1" ht="24">
      <c r="A48" s="172">
        <v>47</v>
      </c>
      <c r="B48" s="258" t="s">
        <v>1624</v>
      </c>
      <c r="C48" s="360">
        <v>10</v>
      </c>
      <c r="D48" s="148" t="str">
        <f>VLOOKUP(C48,Table8[],2,0)</f>
        <v>MAJA</v>
      </c>
      <c r="E48" s="391" t="s">
        <v>1560</v>
      </c>
      <c r="F48" s="530" t="s">
        <v>50</v>
      </c>
      <c r="G48" s="686" t="s">
        <v>1470</v>
      </c>
      <c r="H48" s="377"/>
      <c r="I48" s="372">
        <v>94.99</v>
      </c>
      <c r="J48" s="372" t="s">
        <v>31</v>
      </c>
      <c r="K48" s="372" t="s">
        <v>31</v>
      </c>
      <c r="L48" s="153">
        <v>2026</v>
      </c>
      <c r="M48" s="590" t="s">
        <v>1313</v>
      </c>
      <c r="N48" s="357" t="s">
        <v>875</v>
      </c>
      <c r="O48" s="785" t="s">
        <v>34</v>
      </c>
      <c r="P48" s="372"/>
      <c r="Q48" s="372"/>
      <c r="R48" s="372"/>
      <c r="S48" s="383" t="s">
        <v>880</v>
      </c>
      <c r="T48" s="372"/>
      <c r="U48" s="832" t="s">
        <v>1625</v>
      </c>
      <c r="V48" s="292"/>
      <c r="W48" s="740" t="s">
        <v>38</v>
      </c>
      <c r="X48" s="372"/>
      <c r="Y48" s="372"/>
      <c r="Z48" s="372"/>
      <c r="AA48" s="372"/>
      <c r="AB48" s="372" t="s">
        <v>642</v>
      </c>
      <c r="AC48" s="372"/>
      <c r="AD48" s="374">
        <v>45930</v>
      </c>
      <c r="AE48" s="374"/>
      <c r="AF48" s="372"/>
      <c r="AG48" s="372"/>
      <c r="AH48" s="372"/>
      <c r="AI48" s="372"/>
      <c r="AJ48" s="375"/>
      <c r="AK48" s="388" t="s">
        <v>30</v>
      </c>
      <c r="AL48" s="657" t="s">
        <v>30</v>
      </c>
      <c r="AM48" s="147"/>
      <c r="AN48" s="356"/>
      <c r="AO48" s="356"/>
      <c r="AP48" s="356"/>
      <c r="AQ48" s="355"/>
      <c r="AR48" s="910"/>
      <c r="AS48" s="359"/>
      <c r="AT48" s="334"/>
    </row>
    <row r="49" spans="1:129" s="274" customFormat="1" ht="24">
      <c r="A49" s="172">
        <v>48</v>
      </c>
      <c r="B49" s="259" t="s">
        <v>953</v>
      </c>
      <c r="C49" s="413">
        <v>7</v>
      </c>
      <c r="D49" s="475" t="str">
        <f>VLOOKUP(C49,Table8[],2,0)</f>
        <v>SJEDIŠTE</v>
      </c>
      <c r="E49" s="421" t="s">
        <v>1561</v>
      </c>
      <c r="F49" s="534" t="s">
        <v>1254</v>
      </c>
      <c r="G49" s="691" t="s">
        <v>1485</v>
      </c>
      <c r="H49" s="634"/>
      <c r="I49" s="413">
        <v>68.099999999999994</v>
      </c>
      <c r="J49" s="413" t="s">
        <v>30</v>
      </c>
      <c r="K49" s="413" t="s">
        <v>31</v>
      </c>
      <c r="L49" s="591" t="s">
        <v>1309</v>
      </c>
      <c r="M49" s="494"/>
      <c r="N49" s="357" t="s">
        <v>44</v>
      </c>
      <c r="O49" s="785" t="s">
        <v>34</v>
      </c>
      <c r="P49" s="372"/>
      <c r="Q49" s="372"/>
      <c r="R49" s="372" t="s">
        <v>31</v>
      </c>
      <c r="S49" s="360" t="s">
        <v>839</v>
      </c>
      <c r="T49" s="372"/>
      <c r="U49" s="422" t="s">
        <v>855</v>
      </c>
      <c r="V49" s="292"/>
      <c r="W49" s="147" t="s">
        <v>31</v>
      </c>
      <c r="X49" s="372"/>
      <c r="Y49" s="372"/>
      <c r="Z49" s="372"/>
      <c r="AA49" s="372"/>
      <c r="AB49" s="372" t="s">
        <v>605</v>
      </c>
      <c r="AC49" s="413"/>
      <c r="AD49" s="413"/>
      <c r="AE49" s="423" t="s">
        <v>628</v>
      </c>
      <c r="AF49" s="413">
        <v>500</v>
      </c>
      <c r="AG49" s="413" t="s">
        <v>72</v>
      </c>
      <c r="AH49" s="372"/>
      <c r="AI49" s="372"/>
      <c r="AJ49" s="375"/>
      <c r="AK49" s="147" t="s">
        <v>30</v>
      </c>
      <c r="AL49" s="365" t="s">
        <v>30</v>
      </c>
      <c r="AM49" s="147"/>
      <c r="AN49" s="147"/>
      <c r="AO49" s="147"/>
      <c r="AP49" s="147"/>
      <c r="AQ49" s="355"/>
      <c r="AR49" s="147"/>
      <c r="AS49" s="359"/>
      <c r="AT49" s="147"/>
    </row>
    <row r="50" spans="1:129" s="274" customFormat="1">
      <c r="A50" s="172">
        <v>49</v>
      </c>
      <c r="B50" s="251" t="s">
        <v>1622</v>
      </c>
      <c r="C50" s="360">
        <v>28</v>
      </c>
      <c r="D50" s="148" t="str">
        <f>VLOOKUP(C50,Table8[],2,0)</f>
        <v>STOPIRAN</v>
      </c>
      <c r="E50" s="354">
        <v>63699920447</v>
      </c>
      <c r="F50" s="424" t="s">
        <v>131</v>
      </c>
      <c r="G50" s="536" t="s">
        <v>1279</v>
      </c>
      <c r="H50" s="377"/>
      <c r="I50" s="372">
        <v>55.9</v>
      </c>
      <c r="J50" s="372" t="s">
        <v>30</v>
      </c>
      <c r="K50" s="372" t="s">
        <v>31</v>
      </c>
      <c r="L50" s="588" t="s">
        <v>1305</v>
      </c>
      <c r="M50" s="543" t="s">
        <v>1057</v>
      </c>
      <c r="N50" s="357" t="s">
        <v>875</v>
      </c>
      <c r="O50" s="785" t="s">
        <v>37</v>
      </c>
      <c r="P50" s="372"/>
      <c r="Q50" s="372"/>
      <c r="R50" s="372" t="s">
        <v>31</v>
      </c>
      <c r="S50" s="360" t="s">
        <v>839</v>
      </c>
      <c r="T50" s="372"/>
      <c r="U50" s="1050" t="s">
        <v>2055</v>
      </c>
      <c r="V50" s="292"/>
      <c r="W50" s="740" t="s">
        <v>38</v>
      </c>
      <c r="X50" s="372"/>
      <c r="Y50" s="372"/>
      <c r="Z50" s="372"/>
      <c r="AA50" s="372"/>
      <c r="AB50" s="372" t="s">
        <v>555</v>
      </c>
      <c r="AC50" s="372"/>
      <c r="AD50" s="372"/>
      <c r="AE50" s="374"/>
      <c r="AF50" s="372"/>
      <c r="AG50" s="372"/>
      <c r="AH50" s="372"/>
      <c r="AI50" s="372"/>
      <c r="AJ50" s="375"/>
      <c r="AK50" s="147" t="s">
        <v>31</v>
      </c>
      <c r="AL50" s="365" t="s">
        <v>30</v>
      </c>
      <c r="AM50" s="639"/>
      <c r="AN50" s="356"/>
      <c r="AO50" s="356"/>
      <c r="AP50" s="356"/>
      <c r="AQ50" s="355"/>
      <c r="AR50" s="910"/>
      <c r="AS50" s="359"/>
      <c r="AT50" s="334"/>
    </row>
    <row r="51" spans="1:129" s="274" customFormat="1" ht="15.75" customHeight="1">
      <c r="A51" s="172">
        <v>50</v>
      </c>
      <c r="B51" s="146" t="s">
        <v>859</v>
      </c>
      <c r="C51" s="147">
        <v>11</v>
      </c>
      <c r="D51" s="148" t="str">
        <f>VLOOKUP(C51,Table8[],2,0)</f>
        <v>GABRIJELA</v>
      </c>
      <c r="E51" s="354">
        <v>57992437912</v>
      </c>
      <c r="F51" s="404" t="s">
        <v>861</v>
      </c>
      <c r="G51" s="256" t="s">
        <v>860</v>
      </c>
      <c r="H51" s="355"/>
      <c r="I51" s="147"/>
      <c r="J51" s="412" t="s">
        <v>30</v>
      </c>
      <c r="K51" s="412" t="s">
        <v>30</v>
      </c>
      <c r="L51" s="608" t="s">
        <v>1026</v>
      </c>
      <c r="M51" s="410" t="s">
        <v>1087</v>
      </c>
      <c r="N51" s="357" t="s">
        <v>876</v>
      </c>
      <c r="O51" s="777" t="s">
        <v>34</v>
      </c>
      <c r="P51" s="147"/>
      <c r="Q51" s="147"/>
      <c r="R51" s="147"/>
      <c r="S51" s="360" t="s">
        <v>839</v>
      </c>
      <c r="T51" s="147"/>
      <c r="U51" s="521" t="s">
        <v>1246</v>
      </c>
      <c r="W51" s="744" t="s">
        <v>30</v>
      </c>
      <c r="X51" s="147"/>
      <c r="Y51" s="147"/>
      <c r="Z51" s="147"/>
      <c r="AA51" s="147"/>
      <c r="AB51" s="147"/>
      <c r="AC51" s="359">
        <v>45809</v>
      </c>
      <c r="AD51" s="147"/>
      <c r="AE51" s="359">
        <v>46022</v>
      </c>
      <c r="AF51" s="147">
        <v>500</v>
      </c>
      <c r="AG51" s="147" t="s">
        <v>72</v>
      </c>
      <c r="AH51" s="147"/>
      <c r="AI51" s="147"/>
      <c r="AJ51" s="147"/>
      <c r="AK51" s="147" t="s">
        <v>30</v>
      </c>
      <c r="AL51" s="372"/>
      <c r="AM51" s="147" t="s">
        <v>1100</v>
      </c>
      <c r="AN51" s="915" t="s">
        <v>1357</v>
      </c>
      <c r="AO51" s="915" t="s">
        <v>1714</v>
      </c>
      <c r="AP51" s="865" t="s">
        <v>1776</v>
      </c>
      <c r="AQ51" s="926">
        <v>33561763402</v>
      </c>
      <c r="AR51" s="910">
        <f>100*1.1</f>
        <v>110.00000000000001</v>
      </c>
      <c r="AS51" s="359"/>
      <c r="AT51" s="821" t="s">
        <v>861</v>
      </c>
    </row>
    <row r="52" spans="1:129" s="274" customFormat="1" ht="16.5">
      <c r="A52" s="172">
        <v>51</v>
      </c>
      <c r="B52" s="260" t="s">
        <v>1018</v>
      </c>
      <c r="C52" s="147">
        <v>15</v>
      </c>
      <c r="D52" s="376" t="str">
        <f>VLOOKUP(C52,Table8[],2,0)</f>
        <v>NIKOLINA</v>
      </c>
      <c r="E52" s="425" t="s">
        <v>1562</v>
      </c>
      <c r="F52" s="404" t="s">
        <v>915</v>
      </c>
      <c r="G52" s="146" t="s">
        <v>914</v>
      </c>
      <c r="H52" s="355"/>
      <c r="I52" s="147"/>
      <c r="J52" s="147" t="s">
        <v>31</v>
      </c>
      <c r="K52" s="147" t="s">
        <v>31</v>
      </c>
      <c r="L52" s="157" t="s">
        <v>1026</v>
      </c>
      <c r="M52" s="410" t="s">
        <v>1023</v>
      </c>
      <c r="N52" s="362" t="s">
        <v>882</v>
      </c>
      <c r="O52" s="639" t="s">
        <v>42</v>
      </c>
      <c r="P52" s="147" t="s">
        <v>31</v>
      </c>
      <c r="Q52" s="147" t="s">
        <v>31</v>
      </c>
      <c r="R52" s="147" t="s">
        <v>31</v>
      </c>
      <c r="S52" s="147" t="s">
        <v>134</v>
      </c>
      <c r="T52" s="147"/>
      <c r="U52" s="274" t="s">
        <v>1137</v>
      </c>
      <c r="W52" s="738" t="s">
        <v>30</v>
      </c>
      <c r="X52" s="147"/>
      <c r="Y52" s="147"/>
      <c r="Z52" s="147"/>
      <c r="AA52" s="147"/>
      <c r="AB52" s="147"/>
      <c r="AC52" s="359">
        <v>45931</v>
      </c>
      <c r="AD52" s="147"/>
      <c r="AE52" s="359"/>
      <c r="AF52" s="147"/>
      <c r="AG52" s="147"/>
      <c r="AH52" s="147"/>
      <c r="AI52" s="147"/>
      <c r="AJ52" s="147"/>
      <c r="AK52" s="147" t="s">
        <v>30</v>
      </c>
      <c r="AL52" s="657" t="s">
        <v>30</v>
      </c>
      <c r="AM52" s="147" t="s">
        <v>1098</v>
      </c>
      <c r="AN52" s="915" t="s">
        <v>1777</v>
      </c>
      <c r="AO52" s="915" t="s">
        <v>1778</v>
      </c>
      <c r="AP52" s="865" t="s">
        <v>1779</v>
      </c>
      <c r="AQ52" s="926" t="s">
        <v>1780</v>
      </c>
      <c r="AR52" s="910">
        <f>100*1.1</f>
        <v>110.00000000000001</v>
      </c>
      <c r="AS52" s="359"/>
      <c r="AT52" s="821" t="s">
        <v>915</v>
      </c>
    </row>
    <row r="53" spans="1:129" s="402" customFormat="1" ht="16.5">
      <c r="A53" s="172">
        <v>52</v>
      </c>
      <c r="B53" s="146" t="s">
        <v>856</v>
      </c>
      <c r="C53" s="147">
        <v>15</v>
      </c>
      <c r="D53" s="148" t="str">
        <f>VLOOKUP(C53,Table8[],2,0)</f>
        <v>NIKOLINA</v>
      </c>
      <c r="E53" s="416">
        <v>26883556275</v>
      </c>
      <c r="F53" s="404" t="s">
        <v>857</v>
      </c>
      <c r="G53" s="426" t="s">
        <v>858</v>
      </c>
      <c r="H53" s="355"/>
      <c r="I53" s="147"/>
      <c r="J53" s="147" t="s">
        <v>30</v>
      </c>
      <c r="K53" s="147" t="s">
        <v>31</v>
      </c>
      <c r="L53" s="155" t="s">
        <v>999</v>
      </c>
      <c r="M53" s="542" t="s">
        <v>557</v>
      </c>
      <c r="N53" s="382" t="s">
        <v>876</v>
      </c>
      <c r="O53" s="639" t="s">
        <v>42</v>
      </c>
      <c r="P53" s="147" t="s">
        <v>31</v>
      </c>
      <c r="Q53" s="147" t="s">
        <v>31</v>
      </c>
      <c r="R53" s="147" t="s">
        <v>31</v>
      </c>
      <c r="S53" s="358" t="s">
        <v>134</v>
      </c>
      <c r="T53" s="147"/>
      <c r="U53" s="502" t="s">
        <v>1138</v>
      </c>
      <c r="V53" s="274"/>
      <c r="W53" s="738" t="s">
        <v>30</v>
      </c>
      <c r="X53" s="147"/>
      <c r="Y53" s="147"/>
      <c r="Z53" s="147"/>
      <c r="AA53" s="147"/>
      <c r="AB53" s="147"/>
      <c r="AC53" s="359">
        <v>45810</v>
      </c>
      <c r="AD53" s="147"/>
      <c r="AE53" s="359"/>
      <c r="AF53" s="147"/>
      <c r="AG53" s="147"/>
      <c r="AH53" s="147"/>
      <c r="AI53" s="147"/>
      <c r="AJ53" s="147"/>
      <c r="AK53" s="147" t="s">
        <v>30</v>
      </c>
      <c r="AL53" s="659"/>
      <c r="AM53" s="147" t="s">
        <v>1098</v>
      </c>
      <c r="AN53" s="915" t="s">
        <v>1782</v>
      </c>
      <c r="AO53" s="922" t="s">
        <v>1781</v>
      </c>
      <c r="AP53" s="865" t="s">
        <v>1783</v>
      </c>
      <c r="AQ53" s="926">
        <v>62699164136</v>
      </c>
      <c r="AR53" s="910">
        <f>50*1.1</f>
        <v>55.000000000000007</v>
      </c>
      <c r="AS53" s="359"/>
      <c r="AT53" s="919" t="s">
        <v>42</v>
      </c>
      <c r="AU53" s="274"/>
      <c r="AV53" s="274"/>
      <c r="AW53" s="274"/>
      <c r="AX53" s="274"/>
      <c r="AY53" s="274"/>
      <c r="AZ53" s="274"/>
      <c r="BA53" s="274"/>
      <c r="BB53" s="274"/>
      <c r="BC53" s="274"/>
      <c r="BD53" s="274"/>
      <c r="BE53" s="274"/>
      <c r="BF53" s="274"/>
      <c r="BG53" s="274"/>
      <c r="BH53" s="274"/>
      <c r="BI53" s="274"/>
      <c r="BJ53" s="274"/>
      <c r="BK53" s="274"/>
      <c r="BL53" s="274"/>
      <c r="BM53" s="274"/>
      <c r="BN53" s="274"/>
      <c r="BO53" s="274"/>
      <c r="BP53" s="274"/>
      <c r="BQ53" s="274"/>
      <c r="BR53" s="274"/>
      <c r="BS53" s="274"/>
      <c r="BT53" s="274"/>
      <c r="BU53" s="274"/>
      <c r="BV53" s="274"/>
      <c r="BW53" s="274"/>
      <c r="BX53" s="274"/>
      <c r="BY53" s="274"/>
      <c r="BZ53" s="274"/>
      <c r="CA53" s="274"/>
      <c r="CB53" s="274"/>
      <c r="CC53" s="274"/>
      <c r="CD53" s="274"/>
      <c r="CE53" s="274"/>
      <c r="CF53" s="274"/>
      <c r="CG53" s="274"/>
      <c r="CH53" s="274"/>
      <c r="CI53" s="274"/>
      <c r="CJ53" s="274"/>
      <c r="CK53" s="274"/>
      <c r="CL53" s="274"/>
      <c r="CM53" s="274"/>
      <c r="CN53" s="274"/>
      <c r="CO53" s="274"/>
      <c r="CP53" s="274"/>
      <c r="CQ53" s="274"/>
      <c r="CR53" s="274"/>
      <c r="CS53" s="274"/>
      <c r="CT53" s="274"/>
      <c r="CU53" s="274"/>
      <c r="CV53" s="274"/>
      <c r="CW53" s="274"/>
      <c r="CX53" s="274"/>
      <c r="CY53" s="274"/>
      <c r="CZ53" s="274"/>
      <c r="DA53" s="274"/>
      <c r="DB53" s="274"/>
      <c r="DC53" s="274"/>
      <c r="DD53" s="274"/>
      <c r="DE53" s="274"/>
      <c r="DF53" s="274"/>
      <c r="DG53" s="274"/>
      <c r="DH53" s="274"/>
      <c r="DI53" s="274"/>
      <c r="DJ53" s="274"/>
      <c r="DK53" s="274"/>
      <c r="DL53" s="274"/>
      <c r="DM53" s="274"/>
      <c r="DN53" s="274"/>
      <c r="DO53" s="274"/>
      <c r="DP53" s="274"/>
      <c r="DQ53" s="274"/>
      <c r="DR53" s="274"/>
      <c r="DS53" s="274"/>
      <c r="DT53" s="274"/>
      <c r="DU53" s="274"/>
      <c r="DV53" s="274"/>
      <c r="DW53" s="274"/>
      <c r="DX53" s="274"/>
      <c r="DY53" s="274"/>
    </row>
    <row r="54" spans="1:129" s="402" customFormat="1" ht="16.5">
      <c r="A54" s="172">
        <v>53</v>
      </c>
      <c r="B54" s="130" t="s">
        <v>102</v>
      </c>
      <c r="C54" s="372">
        <v>15</v>
      </c>
      <c r="D54" s="148" t="str">
        <f>VLOOKUP(C54,Table8[],2,0)</f>
        <v>NIKOLINA</v>
      </c>
      <c r="E54" s="354">
        <v>65655501793</v>
      </c>
      <c r="F54" s="366" t="s">
        <v>103</v>
      </c>
      <c r="G54" s="687" t="s">
        <v>1455</v>
      </c>
      <c r="H54" s="377"/>
      <c r="I54" s="372">
        <v>43.33</v>
      </c>
      <c r="J54" s="372" t="s">
        <v>31</v>
      </c>
      <c r="K54" s="372" t="s">
        <v>30</v>
      </c>
      <c r="L54" s="157" t="s">
        <v>1026</v>
      </c>
      <c r="M54" s="410" t="s">
        <v>990</v>
      </c>
      <c r="N54" s="382" t="s">
        <v>876</v>
      </c>
      <c r="O54" s="788" t="s">
        <v>34</v>
      </c>
      <c r="P54" s="372"/>
      <c r="Q54" s="372"/>
      <c r="R54" s="372" t="s">
        <v>30</v>
      </c>
      <c r="S54" s="360" t="s">
        <v>134</v>
      </c>
      <c r="T54" s="372"/>
      <c r="U54" s="502" t="s">
        <v>1139</v>
      </c>
      <c r="V54" s="292"/>
      <c r="W54" s="740" t="s">
        <v>30</v>
      </c>
      <c r="X54" s="372"/>
      <c r="Y54" s="372"/>
      <c r="Z54" s="372"/>
      <c r="AA54" s="372"/>
      <c r="AB54" s="372" t="s">
        <v>573</v>
      </c>
      <c r="AC54" s="372"/>
      <c r="AD54" s="372"/>
      <c r="AE54" s="374"/>
      <c r="AF54" s="372"/>
      <c r="AG54" s="372"/>
      <c r="AH54" s="372" t="s">
        <v>657</v>
      </c>
      <c r="AI54" s="372"/>
      <c r="AJ54" s="375"/>
      <c r="AK54" s="147" t="s">
        <v>30</v>
      </c>
      <c r="AL54" s="661"/>
      <c r="AM54" s="639" t="s">
        <v>1100</v>
      </c>
      <c r="AN54" s="915" t="s">
        <v>1375</v>
      </c>
      <c r="AO54" s="922" t="s">
        <v>1784</v>
      </c>
      <c r="AP54" s="865" t="s">
        <v>1785</v>
      </c>
      <c r="AQ54" s="926">
        <v>68539395396</v>
      </c>
      <c r="AR54" s="910">
        <f>100*1.1</f>
        <v>110.00000000000001</v>
      </c>
      <c r="AS54" s="359"/>
      <c r="AT54" s="821" t="s">
        <v>103</v>
      </c>
      <c r="AU54" s="274"/>
      <c r="AV54" s="274"/>
      <c r="AW54" s="274"/>
      <c r="AX54" s="274"/>
      <c r="AY54" s="274"/>
      <c r="AZ54" s="274"/>
      <c r="BA54" s="274"/>
      <c r="BB54" s="274"/>
      <c r="BC54" s="274"/>
      <c r="BD54" s="274"/>
      <c r="BE54" s="274"/>
      <c r="BF54" s="274"/>
      <c r="BG54" s="274"/>
      <c r="BH54" s="274"/>
      <c r="BI54" s="274"/>
      <c r="BJ54" s="274"/>
      <c r="BK54" s="274"/>
      <c r="BL54" s="274"/>
      <c r="BM54" s="274"/>
      <c r="BN54" s="274"/>
      <c r="BO54" s="274"/>
      <c r="BP54" s="274"/>
      <c r="BQ54" s="274"/>
      <c r="BR54" s="274"/>
      <c r="BS54" s="274"/>
      <c r="BT54" s="274"/>
      <c r="BU54" s="274"/>
      <c r="BV54" s="274"/>
      <c r="BW54" s="274"/>
      <c r="BX54" s="274"/>
      <c r="BY54" s="274"/>
      <c r="BZ54" s="274"/>
      <c r="CA54" s="274"/>
      <c r="CB54" s="274"/>
      <c r="CC54" s="274"/>
      <c r="CD54" s="274"/>
      <c r="CE54" s="274"/>
      <c r="CF54" s="274"/>
      <c r="CG54" s="274"/>
      <c r="CH54" s="274"/>
      <c r="CI54" s="274"/>
      <c r="CJ54" s="274"/>
      <c r="CK54" s="274"/>
      <c r="CL54" s="274"/>
      <c r="CM54" s="274"/>
      <c r="CN54" s="274"/>
      <c r="CO54" s="274"/>
      <c r="CP54" s="274"/>
      <c r="CQ54" s="274"/>
      <c r="CR54" s="274"/>
      <c r="CS54" s="274"/>
      <c r="CT54" s="274"/>
      <c r="CU54" s="274"/>
      <c r="CV54" s="274"/>
      <c r="CW54" s="274"/>
      <c r="CX54" s="274"/>
      <c r="CY54" s="274"/>
      <c r="CZ54" s="274"/>
      <c r="DA54" s="274"/>
      <c r="DB54" s="274"/>
      <c r="DC54" s="274"/>
      <c r="DD54" s="274"/>
      <c r="DE54" s="274"/>
      <c r="DF54" s="274"/>
      <c r="DG54" s="274"/>
      <c r="DH54" s="274"/>
      <c r="DI54" s="274"/>
      <c r="DJ54" s="274"/>
      <c r="DK54" s="274"/>
      <c r="DL54" s="274"/>
      <c r="DM54" s="274"/>
      <c r="DN54" s="274"/>
      <c r="DO54" s="274"/>
      <c r="DP54" s="274"/>
      <c r="DQ54" s="274"/>
      <c r="DR54" s="274"/>
      <c r="DS54" s="274"/>
      <c r="DT54" s="274"/>
      <c r="DU54" s="274"/>
      <c r="DV54" s="274"/>
      <c r="DW54" s="274"/>
      <c r="DX54" s="274"/>
      <c r="DY54" s="274"/>
    </row>
    <row r="55" spans="1:129" s="364" customFormat="1" ht="24">
      <c r="A55" s="172">
        <v>54</v>
      </c>
      <c r="B55" s="130" t="s">
        <v>1438</v>
      </c>
      <c r="C55" s="372">
        <v>23</v>
      </c>
      <c r="D55" s="148" t="str">
        <f>VLOOKUP(C55,Table8[],2,0)</f>
        <v>MARKO</v>
      </c>
      <c r="E55" s="354" t="s">
        <v>1563</v>
      </c>
      <c r="F55" s="528" t="s">
        <v>1273</v>
      </c>
      <c r="G55" s="525" t="s">
        <v>1278</v>
      </c>
      <c r="H55" s="427" t="s">
        <v>597</v>
      </c>
      <c r="I55" s="408" t="s">
        <v>921</v>
      </c>
      <c r="J55" s="372" t="s">
        <v>30</v>
      </c>
      <c r="K55" s="428" t="s">
        <v>30</v>
      </c>
      <c r="L55" s="157" t="s">
        <v>1026</v>
      </c>
      <c r="M55" s="410" t="s">
        <v>987</v>
      </c>
      <c r="N55" s="357" t="s">
        <v>876</v>
      </c>
      <c r="O55" s="785" t="s">
        <v>34</v>
      </c>
      <c r="P55" s="372"/>
      <c r="Q55" s="372" t="s">
        <v>31</v>
      </c>
      <c r="R55" s="372" t="s">
        <v>31</v>
      </c>
      <c r="S55" s="358" t="s">
        <v>134</v>
      </c>
      <c r="T55" s="372"/>
      <c r="U55" s="292" t="s">
        <v>65</v>
      </c>
      <c r="V55" s="292"/>
      <c r="W55" s="740" t="s">
        <v>30</v>
      </c>
      <c r="X55" s="372"/>
      <c r="Y55" s="372"/>
      <c r="Z55" s="372"/>
      <c r="AA55" s="372"/>
      <c r="AB55" s="372" t="s">
        <v>571</v>
      </c>
      <c r="AC55" s="372"/>
      <c r="AD55" s="372"/>
      <c r="AE55" s="374"/>
      <c r="AF55" s="372"/>
      <c r="AG55" s="372"/>
      <c r="AH55" s="372"/>
      <c r="AI55" s="372"/>
      <c r="AJ55" s="375"/>
      <c r="AK55" s="147" t="s">
        <v>30</v>
      </c>
      <c r="AL55" s="365" t="s">
        <v>30</v>
      </c>
      <c r="AM55" s="147" t="s">
        <v>1100</v>
      </c>
      <c r="AN55" s="915" t="s">
        <v>1744</v>
      </c>
      <c r="AO55" s="915" t="s">
        <v>1786</v>
      </c>
      <c r="AP55" s="865" t="s">
        <v>1788</v>
      </c>
      <c r="AQ55" s="926">
        <v>24578137233</v>
      </c>
      <c r="AR55" s="910"/>
      <c r="AS55" s="359"/>
      <c r="AT55" s="821" t="s">
        <v>1787</v>
      </c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/>
      <c r="BF55" s="274"/>
      <c r="BG55" s="274"/>
      <c r="BH55" s="274"/>
      <c r="BI55" s="274"/>
      <c r="BJ55" s="274"/>
      <c r="BK55" s="274"/>
      <c r="BL55" s="274"/>
      <c r="BM55" s="274"/>
      <c r="BN55" s="274"/>
      <c r="BO55" s="274"/>
      <c r="BP55" s="274"/>
      <c r="BQ55" s="274"/>
      <c r="BR55" s="274"/>
      <c r="BS55" s="274"/>
      <c r="BT55" s="274"/>
      <c r="BU55" s="274"/>
      <c r="BV55" s="274"/>
      <c r="BW55" s="274"/>
      <c r="BX55" s="274"/>
      <c r="BY55" s="274"/>
      <c r="BZ55" s="274"/>
      <c r="CA55" s="274"/>
      <c r="CB55" s="274"/>
      <c r="CC55" s="274"/>
      <c r="CD55" s="274"/>
      <c r="CE55" s="274"/>
      <c r="CF55" s="274"/>
      <c r="CG55" s="274"/>
      <c r="CH55" s="274"/>
      <c r="CI55" s="274"/>
      <c r="CJ55" s="274"/>
      <c r="CK55" s="274"/>
      <c r="CL55" s="274"/>
      <c r="CM55" s="274"/>
      <c r="CN55" s="274"/>
      <c r="CO55" s="274"/>
      <c r="CP55" s="274"/>
      <c r="CQ55" s="274"/>
      <c r="CR55" s="274"/>
      <c r="CS55" s="274"/>
      <c r="CT55" s="274"/>
      <c r="CU55" s="274"/>
      <c r="CV55" s="274"/>
      <c r="CW55" s="274"/>
      <c r="CX55" s="274"/>
      <c r="CY55" s="274"/>
      <c r="CZ55" s="274"/>
      <c r="DA55" s="274"/>
      <c r="DB55" s="274"/>
      <c r="DC55" s="274"/>
      <c r="DD55" s="274"/>
      <c r="DE55" s="274"/>
      <c r="DF55" s="274"/>
      <c r="DG55" s="274"/>
      <c r="DH55" s="274"/>
      <c r="DI55" s="274"/>
      <c r="DJ55" s="274"/>
      <c r="DK55" s="274"/>
      <c r="DL55" s="274"/>
      <c r="DM55" s="274"/>
      <c r="DN55" s="274"/>
      <c r="DO55" s="274"/>
      <c r="DP55" s="274"/>
      <c r="DQ55" s="274"/>
      <c r="DR55" s="274"/>
      <c r="DS55" s="274"/>
      <c r="DT55" s="274"/>
      <c r="DU55" s="274"/>
      <c r="DV55" s="274"/>
      <c r="DW55" s="274"/>
      <c r="DX55" s="274"/>
      <c r="DY55" s="274"/>
    </row>
    <row r="56" spans="1:129" s="274" customFormat="1" ht="16.5">
      <c r="A56" s="172">
        <v>55</v>
      </c>
      <c r="B56" s="267" t="s">
        <v>829</v>
      </c>
      <c r="C56" s="147">
        <v>10</v>
      </c>
      <c r="D56" s="148" t="str">
        <f>VLOOKUP(C56,Table8[],2,0)</f>
        <v>MAJA</v>
      </c>
      <c r="E56" s="354">
        <v>78372999161</v>
      </c>
      <c r="F56" s="145" t="s">
        <v>965</v>
      </c>
      <c r="G56" s="146" t="s">
        <v>827</v>
      </c>
      <c r="H56" s="355"/>
      <c r="I56" s="355" t="s">
        <v>937</v>
      </c>
      <c r="J56" s="147" t="s">
        <v>31</v>
      </c>
      <c r="K56" s="147" t="s">
        <v>31</v>
      </c>
      <c r="L56" s="164">
        <v>2026</v>
      </c>
      <c r="M56" s="552"/>
      <c r="N56" s="357" t="s">
        <v>876</v>
      </c>
      <c r="O56" s="639" t="s">
        <v>42</v>
      </c>
      <c r="P56" s="147"/>
      <c r="Q56" s="147"/>
      <c r="R56" s="147"/>
      <c r="S56" s="358" t="s">
        <v>134</v>
      </c>
      <c r="T56" s="147"/>
      <c r="U56" s="274" t="s">
        <v>1310</v>
      </c>
      <c r="W56" s="738" t="s">
        <v>30</v>
      </c>
      <c r="X56" s="147"/>
      <c r="Y56" s="147"/>
      <c r="Z56" s="147"/>
      <c r="AA56" s="147"/>
      <c r="AB56" s="147"/>
      <c r="AC56" s="359">
        <v>45693</v>
      </c>
      <c r="AD56" s="147"/>
      <c r="AE56" s="359"/>
      <c r="AF56" s="147"/>
      <c r="AG56" s="147"/>
      <c r="AH56" s="147"/>
      <c r="AI56" s="147"/>
      <c r="AJ56" s="147"/>
      <c r="AK56" s="147" t="s">
        <v>31</v>
      </c>
      <c r="AL56" s="657" t="s">
        <v>30</v>
      </c>
      <c r="AM56" s="1022" t="s">
        <v>1098</v>
      </c>
      <c r="AN56" s="915" t="s">
        <v>1789</v>
      </c>
      <c r="AO56" s="915" t="s">
        <v>1790</v>
      </c>
      <c r="AP56" s="865" t="s">
        <v>1791</v>
      </c>
      <c r="AQ56" s="926">
        <v>36827230118</v>
      </c>
      <c r="AR56" s="910"/>
      <c r="AS56" s="359"/>
      <c r="AT56" s="821" t="s">
        <v>965</v>
      </c>
    </row>
    <row r="57" spans="1:129" s="402" customFormat="1">
      <c r="A57" s="172">
        <v>56</v>
      </c>
      <c r="B57" s="146" t="s">
        <v>823</v>
      </c>
      <c r="C57" s="147">
        <v>10</v>
      </c>
      <c r="D57" s="148" t="str">
        <f>VLOOKUP(C57,Table8[],2,0)</f>
        <v>MAJA</v>
      </c>
      <c r="E57" s="354">
        <v>90996041650</v>
      </c>
      <c r="F57" s="145" t="s">
        <v>964</v>
      </c>
      <c r="G57" s="146" t="s">
        <v>822</v>
      </c>
      <c r="H57" s="355"/>
      <c r="I57" s="355" t="s">
        <v>935</v>
      </c>
      <c r="J57" s="405" t="s">
        <v>30</v>
      </c>
      <c r="K57" s="389" t="s">
        <v>31</v>
      </c>
      <c r="L57" s="163" t="s">
        <v>1026</v>
      </c>
      <c r="M57" s="550" t="s">
        <v>1068</v>
      </c>
      <c r="N57" s="382" t="s">
        <v>876</v>
      </c>
      <c r="O57" s="777" t="s">
        <v>34</v>
      </c>
      <c r="P57" s="147"/>
      <c r="Q57" s="147"/>
      <c r="R57" s="147"/>
      <c r="S57" s="358" t="s">
        <v>134</v>
      </c>
      <c r="T57" s="147"/>
      <c r="U57" s="274" t="s">
        <v>1165</v>
      </c>
      <c r="V57" s="274"/>
      <c r="W57" s="744" t="s">
        <v>30</v>
      </c>
      <c r="X57" s="147"/>
      <c r="Y57" s="147"/>
      <c r="Z57" s="147"/>
      <c r="AA57" s="147"/>
      <c r="AB57" s="147"/>
      <c r="AC57" s="359">
        <v>45684</v>
      </c>
      <c r="AD57" s="147"/>
      <c r="AE57" s="359"/>
      <c r="AF57" s="147"/>
      <c r="AG57" s="147"/>
      <c r="AH57" s="147"/>
      <c r="AI57" s="147"/>
      <c r="AJ57" s="147"/>
      <c r="AK57" s="147" t="s">
        <v>31</v>
      </c>
      <c r="AL57" s="657" t="s">
        <v>30</v>
      </c>
      <c r="AM57" s="639" t="s">
        <v>1100</v>
      </c>
      <c r="AN57" s="356"/>
      <c r="AO57" s="356"/>
      <c r="AP57" s="356"/>
      <c r="AQ57" s="355"/>
      <c r="AR57" s="910"/>
      <c r="AS57" s="359"/>
      <c r="AT57" s="334"/>
      <c r="AU57" s="274"/>
      <c r="AV57" s="274"/>
      <c r="AW57" s="274"/>
      <c r="AX57" s="274"/>
      <c r="AY57" s="274"/>
      <c r="AZ57" s="274"/>
      <c r="BA57" s="274"/>
      <c r="BB57" s="274"/>
      <c r="BC57" s="274"/>
      <c r="BD57" s="274"/>
      <c r="BE57" s="274"/>
      <c r="BF57" s="274"/>
      <c r="BG57" s="274"/>
      <c r="BH57" s="274"/>
      <c r="BI57" s="274"/>
      <c r="BJ57" s="274"/>
      <c r="BK57" s="274"/>
      <c r="BL57" s="274"/>
      <c r="BM57" s="274"/>
      <c r="BN57" s="274"/>
      <c r="BO57" s="274"/>
      <c r="BP57" s="274"/>
      <c r="BQ57" s="274"/>
      <c r="BR57" s="274"/>
      <c r="BS57" s="274"/>
      <c r="BT57" s="274"/>
      <c r="BU57" s="274"/>
      <c r="BV57" s="274"/>
      <c r="BW57" s="274"/>
      <c r="BX57" s="274"/>
      <c r="BY57" s="274"/>
      <c r="BZ57" s="274"/>
      <c r="CA57" s="274"/>
      <c r="CB57" s="274"/>
      <c r="CC57" s="274"/>
      <c r="CD57" s="274"/>
      <c r="CE57" s="274"/>
      <c r="CF57" s="274"/>
      <c r="CG57" s="274"/>
      <c r="CH57" s="274"/>
      <c r="CI57" s="274"/>
      <c r="CJ57" s="274"/>
      <c r="CK57" s="274"/>
      <c r="CL57" s="274"/>
      <c r="CM57" s="274"/>
      <c r="CN57" s="274"/>
      <c r="CO57" s="274"/>
      <c r="CP57" s="274"/>
      <c r="CQ57" s="274"/>
      <c r="CR57" s="274"/>
      <c r="CS57" s="274"/>
      <c r="CT57" s="274"/>
      <c r="CU57" s="274"/>
      <c r="CV57" s="274"/>
      <c r="CW57" s="274"/>
      <c r="CX57" s="274"/>
      <c r="CY57" s="274"/>
      <c r="CZ57" s="274"/>
      <c r="DA57" s="274"/>
      <c r="DB57" s="274"/>
      <c r="DC57" s="274"/>
      <c r="DD57" s="274"/>
      <c r="DE57" s="274"/>
      <c r="DF57" s="274"/>
      <c r="DG57" s="274"/>
      <c r="DH57" s="274"/>
      <c r="DI57" s="274"/>
      <c r="DJ57" s="274"/>
      <c r="DK57" s="274"/>
      <c r="DL57" s="274"/>
      <c r="DM57" s="274"/>
      <c r="DN57" s="274"/>
      <c r="DO57" s="274"/>
      <c r="DP57" s="274"/>
      <c r="DQ57" s="274"/>
      <c r="DR57" s="274"/>
      <c r="DS57" s="274"/>
      <c r="DT57" s="274"/>
      <c r="DU57" s="274"/>
      <c r="DV57" s="274"/>
      <c r="DW57" s="274"/>
      <c r="DX57" s="274"/>
      <c r="DY57" s="274"/>
    </row>
    <row r="58" spans="1:129" s="274" customFormat="1">
      <c r="A58" s="172">
        <v>57</v>
      </c>
      <c r="B58" s="596" t="s">
        <v>1156</v>
      </c>
      <c r="C58" s="365">
        <v>15</v>
      </c>
      <c r="D58" s="148" t="str">
        <f>VLOOKUP(C58,Table8[],2,0)</f>
        <v>NIKOLINA</v>
      </c>
      <c r="E58" s="354">
        <v>88695534990</v>
      </c>
      <c r="F58" s="366" t="s">
        <v>710</v>
      </c>
      <c r="G58" s="367" t="s">
        <v>1454</v>
      </c>
      <c r="H58" s="368"/>
      <c r="I58" s="365">
        <v>25.61</v>
      </c>
      <c r="J58" s="365" t="s">
        <v>31</v>
      </c>
      <c r="K58" s="365" t="s">
        <v>31</v>
      </c>
      <c r="L58" s="594">
        <v>2026</v>
      </c>
      <c r="M58" s="595"/>
      <c r="N58" s="382" t="s">
        <v>879</v>
      </c>
      <c r="O58" s="784" t="s">
        <v>37</v>
      </c>
      <c r="P58" s="365" t="s">
        <v>31</v>
      </c>
      <c r="Q58" s="365" t="s">
        <v>31</v>
      </c>
      <c r="R58" s="365" t="s">
        <v>31</v>
      </c>
      <c r="S58" s="358" t="s">
        <v>134</v>
      </c>
      <c r="T58" s="365"/>
      <c r="U58" s="370" t="s">
        <v>1311</v>
      </c>
      <c r="V58" s="370"/>
      <c r="W58" s="739" t="s">
        <v>38</v>
      </c>
      <c r="X58" s="365"/>
      <c r="Y58" s="365"/>
      <c r="Z58" s="365"/>
      <c r="AA58" s="365"/>
      <c r="AB58" s="365" t="s">
        <v>711</v>
      </c>
      <c r="AC58" s="365" t="s">
        <v>702</v>
      </c>
      <c r="AD58" s="365"/>
      <c r="AE58" s="371"/>
      <c r="AF58" s="365"/>
      <c r="AG58" s="365"/>
      <c r="AH58" s="365"/>
      <c r="AI58" s="365"/>
      <c r="AJ58" s="365"/>
      <c r="AK58" s="147" t="s">
        <v>30</v>
      </c>
      <c r="AL58" s="657" t="s">
        <v>30</v>
      </c>
      <c r="AM58" s="147"/>
      <c r="AN58" s="356"/>
      <c r="AO58" s="356"/>
      <c r="AP58" s="356"/>
      <c r="AQ58" s="355"/>
      <c r="AR58" s="910"/>
      <c r="AS58" s="359"/>
      <c r="AT58" s="334"/>
    </row>
    <row r="59" spans="1:129" s="274" customFormat="1">
      <c r="A59" s="172">
        <v>58</v>
      </c>
      <c r="B59" s="647" t="s">
        <v>1399</v>
      </c>
      <c r="C59" s="147">
        <v>26</v>
      </c>
      <c r="D59" s="430" t="str">
        <f>VLOOKUP(C59,Table8[],2,0)</f>
        <v>F. IVAN</v>
      </c>
      <c r="E59" s="354">
        <v>25923991936</v>
      </c>
      <c r="F59" s="404" t="s">
        <v>1014</v>
      </c>
      <c r="G59" s="146" t="s">
        <v>1015</v>
      </c>
      <c r="H59" s="355"/>
      <c r="I59" s="355"/>
      <c r="J59" s="147"/>
      <c r="K59" s="147"/>
      <c r="L59" s="155" t="s">
        <v>1296</v>
      </c>
      <c r="M59" s="410" t="s">
        <v>1297</v>
      </c>
      <c r="N59" s="357" t="s">
        <v>876</v>
      </c>
      <c r="O59" s="777" t="s">
        <v>34</v>
      </c>
      <c r="P59" s="147"/>
      <c r="Q59" s="147"/>
      <c r="R59" s="147"/>
      <c r="S59" s="748" t="s">
        <v>1536</v>
      </c>
      <c r="T59" s="147"/>
      <c r="U59" s="274" t="s">
        <v>1531</v>
      </c>
      <c r="V59" s="147"/>
      <c r="W59" s="628" t="s">
        <v>1367</v>
      </c>
      <c r="X59" s="147"/>
      <c r="Y59" s="147"/>
      <c r="Z59" s="147"/>
      <c r="AA59" s="147"/>
      <c r="AB59" s="147"/>
      <c r="AC59" s="359"/>
      <c r="AD59" s="359"/>
      <c r="AE59" s="359"/>
      <c r="AF59" s="147"/>
      <c r="AG59" s="147"/>
      <c r="AH59" s="147"/>
      <c r="AI59" s="147"/>
      <c r="AJ59" s="147"/>
      <c r="AK59" s="147"/>
      <c r="AL59" s="657" t="s">
        <v>30</v>
      </c>
      <c r="AM59" s="642" t="s">
        <v>1098</v>
      </c>
      <c r="AN59" s="147"/>
      <c r="AO59" s="147"/>
      <c r="AP59" s="147"/>
      <c r="AQ59" s="355"/>
      <c r="AR59" s="147"/>
      <c r="AS59" s="359"/>
      <c r="AT59" s="147"/>
    </row>
    <row r="60" spans="1:129" s="274" customFormat="1" ht="18" customHeight="1">
      <c r="A60" s="172">
        <v>59</v>
      </c>
      <c r="B60" s="821" t="s">
        <v>1792</v>
      </c>
      <c r="C60" s="372">
        <v>2</v>
      </c>
      <c r="D60" s="148" t="str">
        <f>VLOOKUP(C60,Table8[],2,0)</f>
        <v>LAURA</v>
      </c>
      <c r="E60" s="431">
        <v>52068278735</v>
      </c>
      <c r="F60" s="528" t="s">
        <v>1272</v>
      </c>
      <c r="G60" s="686" t="s">
        <v>1453</v>
      </c>
      <c r="H60" s="377"/>
      <c r="I60" s="372">
        <v>46.9</v>
      </c>
      <c r="J60" s="372" t="s">
        <v>31</v>
      </c>
      <c r="K60" s="1080" t="s">
        <v>30</v>
      </c>
      <c r="L60" s="602">
        <v>2026</v>
      </c>
      <c r="M60" s="543" t="s">
        <v>1040</v>
      </c>
      <c r="N60" s="357" t="s">
        <v>44</v>
      </c>
      <c r="O60" s="785" t="s">
        <v>34</v>
      </c>
      <c r="P60" s="372"/>
      <c r="Q60" s="372"/>
      <c r="R60" s="372"/>
      <c r="S60" s="360" t="s">
        <v>839</v>
      </c>
      <c r="T60" s="372"/>
      <c r="U60" s="1081" t="s">
        <v>2103</v>
      </c>
      <c r="V60" s="292"/>
      <c r="W60" s="740" t="s">
        <v>30</v>
      </c>
      <c r="X60" s="372"/>
      <c r="Y60" s="372"/>
      <c r="Z60" s="372"/>
      <c r="AA60" s="372"/>
      <c r="AB60" s="372" t="s">
        <v>563</v>
      </c>
      <c r="AC60" s="372"/>
      <c r="AD60" s="372"/>
      <c r="AE60" s="374"/>
      <c r="AF60" s="372"/>
      <c r="AG60" s="372"/>
      <c r="AH60" s="372" t="s">
        <v>622</v>
      </c>
      <c r="AI60" s="372"/>
      <c r="AJ60" s="375"/>
      <c r="AK60" s="147" t="s">
        <v>30</v>
      </c>
      <c r="AL60" s="365" t="s">
        <v>30</v>
      </c>
      <c r="AM60" s="1002" t="s">
        <v>1100</v>
      </c>
      <c r="AN60" s="915" t="s">
        <v>1375</v>
      </c>
      <c r="AO60" s="922" t="s">
        <v>1793</v>
      </c>
      <c r="AP60" s="865" t="s">
        <v>1795</v>
      </c>
      <c r="AQ60" s="926">
        <v>96172436358</v>
      </c>
      <c r="AR60" s="910"/>
      <c r="AS60" s="359"/>
      <c r="AT60" s="821" t="s">
        <v>1794</v>
      </c>
    </row>
    <row r="61" spans="1:129" s="274" customFormat="1" ht="24">
      <c r="A61" s="172">
        <v>60</v>
      </c>
      <c r="B61" s="259" t="s">
        <v>1400</v>
      </c>
      <c r="C61" s="372">
        <v>2</v>
      </c>
      <c r="D61" s="148" t="str">
        <f>VLOOKUP(C61,Table8[],2,0)</f>
        <v>LAURA</v>
      </c>
      <c r="E61" s="391" t="s">
        <v>1564</v>
      </c>
      <c r="F61" s="528" t="s">
        <v>101</v>
      </c>
      <c r="G61" s="432" t="s">
        <v>1456</v>
      </c>
      <c r="H61" s="377"/>
      <c r="I61" s="372">
        <v>46.9</v>
      </c>
      <c r="J61" s="372" t="s">
        <v>30</v>
      </c>
      <c r="K61" s="372" t="s">
        <v>30</v>
      </c>
      <c r="L61" s="589" t="s">
        <v>1026</v>
      </c>
      <c r="M61" s="410" t="s">
        <v>2049</v>
      </c>
      <c r="N61" s="357" t="s">
        <v>44</v>
      </c>
      <c r="O61" s="785" t="s">
        <v>34</v>
      </c>
      <c r="P61" s="372"/>
      <c r="Q61" s="372"/>
      <c r="R61" s="372" t="s">
        <v>31</v>
      </c>
      <c r="S61" s="358" t="s">
        <v>134</v>
      </c>
      <c r="T61" s="372"/>
      <c r="U61" s="502" t="s">
        <v>1114</v>
      </c>
      <c r="V61" s="292"/>
      <c r="W61" s="740" t="s">
        <v>30</v>
      </c>
      <c r="X61" s="372"/>
      <c r="Y61" s="372"/>
      <c r="Z61" s="372"/>
      <c r="AA61" s="372"/>
      <c r="AB61" s="372" t="s">
        <v>563</v>
      </c>
      <c r="AC61" s="372"/>
      <c r="AD61" s="372"/>
      <c r="AE61" s="374"/>
      <c r="AF61" s="372"/>
      <c r="AG61" s="372"/>
      <c r="AH61" s="372">
        <v>450</v>
      </c>
      <c r="AI61" s="372"/>
      <c r="AJ61" s="375"/>
      <c r="AK61" s="147" t="s">
        <v>30</v>
      </c>
      <c r="AL61" s="365" t="s">
        <v>30</v>
      </c>
      <c r="AM61" s="147"/>
      <c r="AN61" s="865" t="s">
        <v>1797</v>
      </c>
      <c r="AO61" s="865" t="s">
        <v>1796</v>
      </c>
      <c r="AP61" s="865" t="s">
        <v>1799</v>
      </c>
      <c r="AQ61" s="926">
        <v>29968763492</v>
      </c>
      <c r="AR61" s="910"/>
      <c r="AS61" s="359"/>
      <c r="AT61" s="821" t="s">
        <v>1798</v>
      </c>
    </row>
    <row r="62" spans="1:129" s="274" customFormat="1" ht="24">
      <c r="A62" s="172">
        <v>61</v>
      </c>
      <c r="B62" s="647" t="s">
        <v>1401</v>
      </c>
      <c r="C62" s="372">
        <v>6</v>
      </c>
      <c r="D62" s="148" t="str">
        <f>VLOOKUP(C62,Table8[],2,0)</f>
        <v>F. ANA P.</v>
      </c>
      <c r="E62" s="354">
        <v>15151568161</v>
      </c>
      <c r="F62" s="528" t="s">
        <v>1670</v>
      </c>
      <c r="G62" s="692" t="s">
        <v>1510</v>
      </c>
      <c r="H62" s="377"/>
      <c r="I62" s="372">
        <v>46.9</v>
      </c>
      <c r="J62" s="372" t="s">
        <v>30</v>
      </c>
      <c r="K62" s="372" t="s">
        <v>30</v>
      </c>
      <c r="L62" s="157" t="s">
        <v>1026</v>
      </c>
      <c r="M62" s="410" t="s">
        <v>1034</v>
      </c>
      <c r="N62" s="382" t="s">
        <v>876</v>
      </c>
      <c r="O62" s="785" t="s">
        <v>34</v>
      </c>
      <c r="P62" s="372" t="s">
        <v>593</v>
      </c>
      <c r="Q62" s="372" t="s">
        <v>31</v>
      </c>
      <c r="R62" s="372" t="s">
        <v>31</v>
      </c>
      <c r="S62" s="360" t="s">
        <v>839</v>
      </c>
      <c r="T62" s="372"/>
      <c r="U62" s="502" t="s">
        <v>1129</v>
      </c>
      <c r="V62" s="292"/>
      <c r="W62" s="628" t="s">
        <v>1367</v>
      </c>
      <c r="X62" s="374" t="s">
        <v>560</v>
      </c>
      <c r="Y62" s="374" t="s">
        <v>560</v>
      </c>
      <c r="Z62" s="374" t="s">
        <v>560</v>
      </c>
      <c r="AA62" s="374" t="s">
        <v>560</v>
      </c>
      <c r="AB62" s="372" t="s">
        <v>563</v>
      </c>
      <c r="AC62" s="372"/>
      <c r="AD62" s="372"/>
      <c r="AE62" s="374"/>
      <c r="AF62" s="372"/>
      <c r="AG62" s="372"/>
      <c r="AH62" s="372" t="s">
        <v>594</v>
      </c>
      <c r="AI62" s="372"/>
      <c r="AJ62" s="375"/>
      <c r="AK62" s="147" t="s">
        <v>30</v>
      </c>
      <c r="AL62" s="657" t="s">
        <v>30</v>
      </c>
      <c r="AM62" s="147"/>
      <c r="AN62" s="147"/>
      <c r="AO62" s="147"/>
      <c r="AP62" s="147"/>
      <c r="AQ62" s="355"/>
      <c r="AR62" s="147"/>
      <c r="AS62" s="359"/>
      <c r="AT62" s="147"/>
    </row>
    <row r="63" spans="1:129" s="274" customFormat="1">
      <c r="A63" s="172">
        <v>62</v>
      </c>
      <c r="B63" s="247" t="s">
        <v>1157</v>
      </c>
      <c r="C63" s="360">
        <v>10</v>
      </c>
      <c r="D63" s="148" t="str">
        <f>VLOOKUP(C63,Table8[],2,0)</f>
        <v>MAJA</v>
      </c>
      <c r="E63" s="380">
        <v>89566981034</v>
      </c>
      <c r="F63" s="366" t="s">
        <v>55</v>
      </c>
      <c r="G63" s="385">
        <v>69659664606</v>
      </c>
      <c r="H63" s="377"/>
      <c r="I63" s="372">
        <v>55.2</v>
      </c>
      <c r="J63" s="372" t="s">
        <v>30</v>
      </c>
      <c r="K63" s="372" t="s">
        <v>31</v>
      </c>
      <c r="L63" s="162" t="s">
        <v>1026</v>
      </c>
      <c r="M63" s="410" t="s">
        <v>1030</v>
      </c>
      <c r="N63" s="357" t="s">
        <v>875</v>
      </c>
      <c r="O63" s="785" t="s">
        <v>37</v>
      </c>
      <c r="P63" s="372"/>
      <c r="Q63" s="372" t="s">
        <v>31</v>
      </c>
      <c r="R63" s="372"/>
      <c r="S63" s="360" t="s">
        <v>839</v>
      </c>
      <c r="T63" s="372"/>
      <c r="U63" s="502" t="s">
        <v>1149</v>
      </c>
      <c r="V63" s="292"/>
      <c r="W63" s="740" t="s">
        <v>38</v>
      </c>
      <c r="X63" s="372"/>
      <c r="Y63" s="372"/>
      <c r="Z63" s="372"/>
      <c r="AA63" s="372"/>
      <c r="AB63" s="372" t="s">
        <v>577</v>
      </c>
      <c r="AC63" s="372"/>
      <c r="AD63" s="372"/>
      <c r="AE63" s="374"/>
      <c r="AF63" s="372"/>
      <c r="AG63" s="372"/>
      <c r="AH63" s="372" t="s">
        <v>588</v>
      </c>
      <c r="AI63" s="372"/>
      <c r="AJ63" s="375"/>
      <c r="AK63" s="388" t="s">
        <v>31</v>
      </c>
      <c r="AL63" s="662" t="s">
        <v>30</v>
      </c>
      <c r="AM63" s="147"/>
      <c r="AN63" s="356"/>
      <c r="AO63" s="356"/>
      <c r="AP63" s="356"/>
      <c r="AQ63" s="355"/>
      <c r="AR63" s="910"/>
      <c r="AS63" s="359"/>
      <c r="AT63" s="334"/>
    </row>
    <row r="64" spans="1:129" s="274" customFormat="1" ht="24.75" customHeight="1">
      <c r="A64" s="172">
        <v>63</v>
      </c>
      <c r="B64" s="821" t="s">
        <v>1800</v>
      </c>
      <c r="C64" s="147">
        <v>0</v>
      </c>
      <c r="D64" s="148" t="str">
        <f>VLOOKUP(C64,Table8[],2,0)</f>
        <v>NITKO</v>
      </c>
      <c r="E64" s="433">
        <v>34492053224</v>
      </c>
      <c r="F64" s="530" t="s">
        <v>1271</v>
      </c>
      <c r="G64" s="149" t="s">
        <v>866</v>
      </c>
      <c r="H64" s="355"/>
      <c r="I64" s="147"/>
      <c r="J64" s="405" t="s">
        <v>31</v>
      </c>
      <c r="K64" s="405" t="s">
        <v>31</v>
      </c>
      <c r="L64" s="592">
        <v>2026</v>
      </c>
      <c r="M64" s="593" t="s">
        <v>1082</v>
      </c>
      <c r="N64" s="382" t="s">
        <v>876</v>
      </c>
      <c r="O64" s="775" t="s">
        <v>42</v>
      </c>
      <c r="P64" s="147"/>
      <c r="Q64" s="147"/>
      <c r="R64" s="147"/>
      <c r="S64" s="360" t="s">
        <v>839</v>
      </c>
      <c r="T64" s="147"/>
      <c r="U64" s="930" t="s">
        <v>1958</v>
      </c>
      <c r="W64" s="744" t="s">
        <v>30</v>
      </c>
      <c r="X64" s="147"/>
      <c r="Y64" s="147"/>
      <c r="Z64" s="147"/>
      <c r="AA64" s="147"/>
      <c r="AB64" s="147"/>
      <c r="AC64" s="359">
        <v>45839</v>
      </c>
      <c r="AD64" s="147"/>
      <c r="AE64" s="359"/>
      <c r="AF64" s="147"/>
      <c r="AG64" s="147"/>
      <c r="AH64" s="147"/>
      <c r="AI64" s="147"/>
      <c r="AJ64" s="147"/>
      <c r="AK64" s="147" t="s">
        <v>31</v>
      </c>
      <c r="AL64" s="657" t="s">
        <v>30</v>
      </c>
      <c r="AM64" s="147" t="s">
        <v>1098</v>
      </c>
      <c r="AN64" s="865" t="s">
        <v>1801</v>
      </c>
      <c r="AO64" s="865" t="s">
        <v>1802</v>
      </c>
      <c r="AP64" s="865" t="s">
        <v>1804</v>
      </c>
      <c r="AQ64" s="926">
        <v>31130479927</v>
      </c>
      <c r="AR64" s="910"/>
      <c r="AS64" s="359"/>
      <c r="AT64" s="821" t="s">
        <v>1803</v>
      </c>
    </row>
    <row r="65" spans="1:129" s="274" customFormat="1">
      <c r="A65" s="172">
        <v>64</v>
      </c>
      <c r="B65" s="597" t="s">
        <v>732</v>
      </c>
      <c r="C65" s="147">
        <v>2</v>
      </c>
      <c r="D65" s="148" t="str">
        <f>VLOOKUP(C65,Table8[],2,0)</f>
        <v>LAURA</v>
      </c>
      <c r="E65" s="354">
        <v>35585687219</v>
      </c>
      <c r="F65" s="535" t="s">
        <v>733</v>
      </c>
      <c r="G65" s="146" t="s">
        <v>734</v>
      </c>
      <c r="H65" s="355"/>
      <c r="I65" s="147"/>
      <c r="J65" s="147" t="s">
        <v>30</v>
      </c>
      <c r="K65" s="147" t="s">
        <v>31</v>
      </c>
      <c r="L65" s="608" t="s">
        <v>1026</v>
      </c>
      <c r="M65" s="410" t="s">
        <v>1009</v>
      </c>
      <c r="N65" s="357" t="s">
        <v>876</v>
      </c>
      <c r="O65" s="774" t="s">
        <v>37</v>
      </c>
      <c r="P65" s="147" t="s">
        <v>31</v>
      </c>
      <c r="Q65" s="147" t="s">
        <v>31</v>
      </c>
      <c r="R65" s="147" t="s">
        <v>31</v>
      </c>
      <c r="S65" s="360" t="s">
        <v>839</v>
      </c>
      <c r="T65" s="147"/>
      <c r="U65" s="505" t="s">
        <v>1158</v>
      </c>
      <c r="W65" s="738" t="s">
        <v>1368</v>
      </c>
      <c r="X65" s="147"/>
      <c r="Y65" s="147"/>
      <c r="Z65" s="147"/>
      <c r="AA65" s="147"/>
      <c r="AB65" s="147" t="s">
        <v>735</v>
      </c>
      <c r="AC65" s="359">
        <v>45536</v>
      </c>
      <c r="AD65" s="147"/>
      <c r="AE65" s="359"/>
      <c r="AF65" s="147"/>
      <c r="AG65" s="147"/>
      <c r="AH65" s="147"/>
      <c r="AI65" s="147"/>
      <c r="AJ65" s="147"/>
      <c r="AK65" s="147" t="s">
        <v>30</v>
      </c>
      <c r="AL65" s="657" t="s">
        <v>30</v>
      </c>
      <c r="AM65" s="147" t="s">
        <v>1098</v>
      </c>
      <c r="AN65" s="356"/>
      <c r="AO65" s="356"/>
      <c r="AP65" s="356"/>
      <c r="AQ65" s="355"/>
      <c r="AR65" s="910"/>
      <c r="AS65" s="359"/>
      <c r="AT65" s="334"/>
    </row>
    <row r="66" spans="1:129" s="274" customFormat="1" ht="16.5">
      <c r="A66" s="172">
        <v>65</v>
      </c>
      <c r="B66" s="247" t="s">
        <v>1437</v>
      </c>
      <c r="C66" s="372">
        <v>15</v>
      </c>
      <c r="D66" s="148" t="str">
        <f>VLOOKUP(C66,Table8[],2,0)</f>
        <v>NIKOLINA</v>
      </c>
      <c r="E66" s="380">
        <v>18241574410</v>
      </c>
      <c r="F66" s="419"/>
      <c r="G66" s="686" t="s">
        <v>1467</v>
      </c>
      <c r="H66" s="373" t="s">
        <v>572</v>
      </c>
      <c r="I66" s="372">
        <v>47.99</v>
      </c>
      <c r="J66" s="372" t="s">
        <v>30</v>
      </c>
      <c r="K66" s="372" t="s">
        <v>30</v>
      </c>
      <c r="L66" s="157" t="s">
        <v>1026</v>
      </c>
      <c r="M66" s="410" t="s">
        <v>988</v>
      </c>
      <c r="N66" s="382" t="s">
        <v>876</v>
      </c>
      <c r="O66" s="785" t="s">
        <v>34</v>
      </c>
      <c r="P66" s="372"/>
      <c r="Q66" s="372" t="s">
        <v>31</v>
      </c>
      <c r="R66" s="372" t="s">
        <v>31</v>
      </c>
      <c r="S66" s="383" t="s">
        <v>880</v>
      </c>
      <c r="T66" s="372"/>
      <c r="U66" s="502" t="s">
        <v>1140</v>
      </c>
      <c r="V66" s="292"/>
      <c r="W66" s="740" t="s">
        <v>30</v>
      </c>
      <c r="X66" s="372"/>
      <c r="Y66" s="372"/>
      <c r="Z66" s="372"/>
      <c r="AA66" s="372"/>
      <c r="AB66" s="372" t="s">
        <v>571</v>
      </c>
      <c r="AC66" s="372"/>
      <c r="AD66" s="372"/>
      <c r="AE66" s="374"/>
      <c r="AF66" s="372"/>
      <c r="AG66" s="372"/>
      <c r="AH66" s="372"/>
      <c r="AI66" s="372"/>
      <c r="AJ66" s="375"/>
      <c r="AK66" s="147" t="s">
        <v>30</v>
      </c>
      <c r="AL66" s="657" t="s">
        <v>30</v>
      </c>
      <c r="AM66" s="147"/>
      <c r="AN66" s="915" t="s">
        <v>1375</v>
      </c>
      <c r="AO66" s="922" t="s">
        <v>1825</v>
      </c>
      <c r="AP66" s="865" t="s">
        <v>1827</v>
      </c>
      <c r="AQ66" s="926">
        <v>16487420539</v>
      </c>
      <c r="AR66" s="910">
        <f>1500*1.1</f>
        <v>1650.0000000000002</v>
      </c>
      <c r="AS66" s="359"/>
      <c r="AT66" s="821" t="s">
        <v>1826</v>
      </c>
    </row>
    <row r="67" spans="1:129" s="274" customFormat="1" ht="24">
      <c r="A67" s="172">
        <v>66</v>
      </c>
      <c r="B67" s="259" t="s">
        <v>954</v>
      </c>
      <c r="C67" s="413">
        <v>7</v>
      </c>
      <c r="D67" s="475" t="str">
        <f>VLOOKUP(C67,Table8[],2,0)</f>
        <v>SJEDIŠTE</v>
      </c>
      <c r="E67" s="421">
        <v>35135318728</v>
      </c>
      <c r="F67" s="534" t="s">
        <v>1270</v>
      </c>
      <c r="G67" s="562" t="s">
        <v>1280</v>
      </c>
      <c r="H67" s="634"/>
      <c r="I67" s="413">
        <v>70.22</v>
      </c>
      <c r="J67" s="435" t="s">
        <v>30</v>
      </c>
      <c r="K67" s="413" t="s">
        <v>31</v>
      </c>
      <c r="L67" s="591" t="s">
        <v>1309</v>
      </c>
      <c r="M67" s="494"/>
      <c r="N67" s="357" t="s">
        <v>44</v>
      </c>
      <c r="O67" s="785" t="s">
        <v>34</v>
      </c>
      <c r="P67" s="372"/>
      <c r="Q67" s="372"/>
      <c r="R67" s="372" t="s">
        <v>31</v>
      </c>
      <c r="S67" s="360" t="s">
        <v>839</v>
      </c>
      <c r="T67" s="372"/>
      <c r="U67" s="436" t="s">
        <v>874</v>
      </c>
      <c r="V67" s="292"/>
      <c r="W67" s="147" t="s">
        <v>31</v>
      </c>
      <c r="X67" s="372"/>
      <c r="Y67" s="372"/>
      <c r="Z67" s="372"/>
      <c r="AA67" s="372"/>
      <c r="AB67" s="372" t="s">
        <v>558</v>
      </c>
      <c r="AC67" s="413"/>
      <c r="AD67" s="413"/>
      <c r="AE67" s="423" t="s">
        <v>624</v>
      </c>
      <c r="AF67" s="413">
        <v>500</v>
      </c>
      <c r="AG67" s="413" t="s">
        <v>72</v>
      </c>
      <c r="AH67" s="372"/>
      <c r="AI67" s="372"/>
      <c r="AJ67" s="375"/>
      <c r="AK67" s="147" t="s">
        <v>30</v>
      </c>
      <c r="AL67" s="365"/>
      <c r="AM67" s="639"/>
      <c r="AN67" s="147"/>
      <c r="AO67" s="147"/>
      <c r="AP67" s="147"/>
      <c r="AQ67" s="355"/>
      <c r="AR67" s="147"/>
      <c r="AS67" s="359"/>
      <c r="AT67" s="147"/>
    </row>
    <row r="68" spans="1:129" s="274" customFormat="1" ht="24">
      <c r="A68" s="172">
        <v>67</v>
      </c>
      <c r="B68" s="261" t="s">
        <v>865</v>
      </c>
      <c r="C68" s="147">
        <v>15</v>
      </c>
      <c r="D68" s="148" t="str">
        <f>VLOOKUP(C68,Table8[],2,0)</f>
        <v>NIKOLINA</v>
      </c>
      <c r="E68" s="354" t="s">
        <v>1583</v>
      </c>
      <c r="F68" s="530" t="s">
        <v>1269</v>
      </c>
      <c r="G68" s="146" t="s">
        <v>842</v>
      </c>
      <c r="H68" s="355"/>
      <c r="I68" s="147"/>
      <c r="J68" s="147" t="s">
        <v>30</v>
      </c>
      <c r="K68" s="147" t="s">
        <v>30</v>
      </c>
      <c r="L68" s="155" t="s">
        <v>1026</v>
      </c>
      <c r="M68" s="415" t="s">
        <v>999</v>
      </c>
      <c r="N68" s="382" t="s">
        <v>876</v>
      </c>
      <c r="O68" s="639" t="s">
        <v>42</v>
      </c>
      <c r="P68" s="147"/>
      <c r="Q68" s="147"/>
      <c r="R68" s="147"/>
      <c r="S68" s="358" t="s">
        <v>134</v>
      </c>
      <c r="T68" s="147"/>
      <c r="U68" s="502" t="s">
        <v>1141</v>
      </c>
      <c r="W68" s="738" t="s">
        <v>30</v>
      </c>
      <c r="X68" s="147"/>
      <c r="Y68" s="147"/>
      <c r="Z68" s="147"/>
      <c r="AA68" s="147"/>
      <c r="AB68" s="147"/>
      <c r="AC68" s="359">
        <v>45819</v>
      </c>
      <c r="AD68" s="147"/>
      <c r="AE68" s="359"/>
      <c r="AF68" s="147"/>
      <c r="AG68" s="147"/>
      <c r="AH68" s="147"/>
      <c r="AI68" s="147"/>
      <c r="AJ68" s="147"/>
      <c r="AK68" s="147" t="s">
        <v>30</v>
      </c>
      <c r="AL68" s="657" t="s">
        <v>30</v>
      </c>
      <c r="AM68" s="639" t="s">
        <v>1098</v>
      </c>
      <c r="AN68" s="915" t="s">
        <v>1214</v>
      </c>
      <c r="AO68" s="915" t="s">
        <v>1805</v>
      </c>
      <c r="AP68" s="865" t="s">
        <v>1806</v>
      </c>
      <c r="AQ68" s="926">
        <v>93550260181</v>
      </c>
      <c r="AR68" s="910">
        <f>100*1.1</f>
        <v>110.00000000000001</v>
      </c>
      <c r="AS68" s="359"/>
      <c r="AT68" s="919" t="s">
        <v>42</v>
      </c>
    </row>
    <row r="69" spans="1:129" s="274" customFormat="1" ht="24" customHeight="1">
      <c r="A69" s="172">
        <v>68</v>
      </c>
      <c r="B69" s="251" t="s">
        <v>1159</v>
      </c>
      <c r="C69" s="372">
        <v>10</v>
      </c>
      <c r="D69" s="148" t="str">
        <f>VLOOKUP(C69,Table8[],2,0)</f>
        <v>MAJA</v>
      </c>
      <c r="E69" s="354">
        <v>32106399954</v>
      </c>
      <c r="F69" s="366" t="s">
        <v>63</v>
      </c>
      <c r="G69" s="525" t="s">
        <v>1511</v>
      </c>
      <c r="H69" s="377"/>
      <c r="I69" s="408" t="s">
        <v>920</v>
      </c>
      <c r="J69" s="372" t="s">
        <v>30</v>
      </c>
      <c r="K69" s="372" t="s">
        <v>31</v>
      </c>
      <c r="L69" s="170">
        <v>2026</v>
      </c>
      <c r="M69" s="543" t="s">
        <v>1031</v>
      </c>
      <c r="N69" s="357" t="s">
        <v>875</v>
      </c>
      <c r="O69" s="785" t="s">
        <v>37</v>
      </c>
      <c r="P69" s="372"/>
      <c r="Q69" s="372" t="s">
        <v>31</v>
      </c>
      <c r="R69" s="372" t="s">
        <v>31</v>
      </c>
      <c r="S69" s="360" t="s">
        <v>839</v>
      </c>
      <c r="T69" s="372"/>
      <c r="U69" s="616" t="s">
        <v>1345</v>
      </c>
      <c r="V69" s="292"/>
      <c r="W69" s="740" t="s">
        <v>38</v>
      </c>
      <c r="X69" s="372"/>
      <c r="Y69" s="372"/>
      <c r="Z69" s="372"/>
      <c r="AA69" s="372"/>
      <c r="AB69" s="372"/>
      <c r="AC69" s="372"/>
      <c r="AD69" s="372"/>
      <c r="AE69" s="374"/>
      <c r="AF69" s="372"/>
      <c r="AG69" s="372"/>
      <c r="AH69" s="372" t="s">
        <v>596</v>
      </c>
      <c r="AI69" s="372"/>
      <c r="AJ69" s="375"/>
      <c r="AK69" s="147" t="s">
        <v>30</v>
      </c>
      <c r="AL69" s="372"/>
      <c r="AM69" s="639"/>
      <c r="AN69" s="356"/>
      <c r="AO69" s="356"/>
      <c r="AP69" s="356"/>
      <c r="AQ69" s="355"/>
      <c r="AR69" s="910"/>
      <c r="AS69" s="359"/>
      <c r="AT69" s="334"/>
    </row>
    <row r="70" spans="1:129" s="274" customFormat="1">
      <c r="A70" s="172">
        <v>69</v>
      </c>
      <c r="B70" s="146" t="s">
        <v>970</v>
      </c>
      <c r="C70" s="147">
        <v>2</v>
      </c>
      <c r="D70" s="376" t="str">
        <f>VLOOKUP(C70,Table8[],2,0)</f>
        <v>LAURA</v>
      </c>
      <c r="E70" s="354"/>
      <c r="F70" s="404" t="s">
        <v>983</v>
      </c>
      <c r="G70" s="146"/>
      <c r="H70" s="355"/>
      <c r="I70" s="147"/>
      <c r="J70" s="147" t="s">
        <v>31</v>
      </c>
      <c r="K70" s="147" t="s">
        <v>31</v>
      </c>
      <c r="L70" s="155" t="s">
        <v>1026</v>
      </c>
      <c r="M70" s="542" t="s">
        <v>1301</v>
      </c>
      <c r="N70" s="362" t="s">
        <v>44</v>
      </c>
      <c r="O70" s="774" t="s">
        <v>37</v>
      </c>
      <c r="P70" s="147" t="s">
        <v>31</v>
      </c>
      <c r="Q70" s="147" t="s">
        <v>31</v>
      </c>
      <c r="R70" s="147" t="s">
        <v>31</v>
      </c>
      <c r="S70" s="147" t="s">
        <v>134</v>
      </c>
      <c r="T70" s="147"/>
      <c r="U70" s="274" t="s">
        <v>1166</v>
      </c>
      <c r="W70" s="738" t="s">
        <v>31</v>
      </c>
      <c r="X70" s="147"/>
      <c r="Y70" s="147"/>
      <c r="Z70" s="147"/>
      <c r="AA70" s="147"/>
      <c r="AB70" s="147"/>
      <c r="AC70" s="359">
        <v>46023</v>
      </c>
      <c r="AD70" s="147"/>
      <c r="AE70" s="359"/>
      <c r="AF70" s="147"/>
      <c r="AG70" s="147"/>
      <c r="AH70" s="147"/>
      <c r="AI70" s="147"/>
      <c r="AJ70" s="147"/>
      <c r="AK70" s="147"/>
      <c r="AL70" s="657" t="s">
        <v>30</v>
      </c>
      <c r="AM70" s="147"/>
      <c r="AN70" s="356"/>
      <c r="AO70" s="356"/>
      <c r="AP70" s="356"/>
      <c r="AQ70" s="355"/>
      <c r="AR70" s="910"/>
      <c r="AS70" s="359"/>
      <c r="AT70" s="334"/>
    </row>
    <row r="71" spans="1:129" s="274" customFormat="1" ht="36">
      <c r="A71" s="172">
        <v>70</v>
      </c>
      <c r="B71" s="130" t="s">
        <v>1402</v>
      </c>
      <c r="C71" s="372">
        <v>28</v>
      </c>
      <c r="D71" s="148" t="str">
        <f>VLOOKUP(C71,Table8[],2,0)</f>
        <v>STOPIRAN</v>
      </c>
      <c r="E71" s="354" t="s">
        <v>1565</v>
      </c>
      <c r="F71" s="528" t="s">
        <v>1236</v>
      </c>
      <c r="G71" s="686" t="s">
        <v>1457</v>
      </c>
      <c r="H71" s="377"/>
      <c r="I71" s="372">
        <v>46.9</v>
      </c>
      <c r="J71" s="372" t="s">
        <v>30</v>
      </c>
      <c r="K71" s="372" t="s">
        <v>30</v>
      </c>
      <c r="L71" s="612" t="s">
        <v>1026</v>
      </c>
      <c r="M71" s="410" t="s">
        <v>1248</v>
      </c>
      <c r="N71" s="357" t="s">
        <v>44</v>
      </c>
      <c r="O71" s="785" t="s">
        <v>34</v>
      </c>
      <c r="P71" s="372"/>
      <c r="Q71" s="372"/>
      <c r="R71" s="372"/>
      <c r="S71" s="360" t="s">
        <v>839</v>
      </c>
      <c r="T71" s="372"/>
      <c r="U71" s="616" t="s">
        <v>1347</v>
      </c>
      <c r="V71" s="292"/>
      <c r="W71" s="740" t="s">
        <v>30</v>
      </c>
      <c r="X71" s="372"/>
      <c r="Y71" s="372"/>
      <c r="Z71" s="372"/>
      <c r="AA71" s="372"/>
      <c r="AB71" s="372" t="s">
        <v>563</v>
      </c>
      <c r="AC71" s="372"/>
      <c r="AD71" s="372"/>
      <c r="AE71" s="374"/>
      <c r="AF71" s="372">
        <v>500</v>
      </c>
      <c r="AG71" s="372"/>
      <c r="AH71" s="372" t="s">
        <v>633</v>
      </c>
      <c r="AI71" s="372"/>
      <c r="AJ71" s="375"/>
      <c r="AK71" s="147" t="s">
        <v>30</v>
      </c>
      <c r="AL71" s="657" t="s">
        <v>30</v>
      </c>
      <c r="AM71" s="147"/>
      <c r="AN71" s="915" t="s">
        <v>1375</v>
      </c>
      <c r="AO71" s="821" t="s">
        <v>1807</v>
      </c>
      <c r="AP71" s="865" t="s">
        <v>1809</v>
      </c>
      <c r="AQ71" s="926">
        <v>31046512116</v>
      </c>
      <c r="AR71" s="910">
        <f>177*1.1</f>
        <v>194.70000000000002</v>
      </c>
      <c r="AS71" s="359"/>
      <c r="AT71" s="821" t="s">
        <v>1808</v>
      </c>
    </row>
    <row r="72" spans="1:129" s="274" customFormat="1">
      <c r="A72" s="172">
        <v>71</v>
      </c>
      <c r="B72" s="251" t="s">
        <v>1810</v>
      </c>
      <c r="C72" s="360">
        <v>2</v>
      </c>
      <c r="D72" s="148" t="str">
        <f>VLOOKUP(C72,Table8[],2,0)</f>
        <v>LAURA</v>
      </c>
      <c r="E72" s="354">
        <v>20001666615</v>
      </c>
      <c r="F72" s="366" t="s">
        <v>127</v>
      </c>
      <c r="G72" s="885" t="s">
        <v>1676</v>
      </c>
      <c r="H72" s="377"/>
      <c r="I72" s="372">
        <v>55.9</v>
      </c>
      <c r="J72" s="372" t="s">
        <v>30</v>
      </c>
      <c r="K72" s="1004" t="s">
        <v>30</v>
      </c>
      <c r="L72" s="167">
        <v>2026</v>
      </c>
      <c r="M72" s="543" t="s">
        <v>1056</v>
      </c>
      <c r="N72" s="357" t="s">
        <v>875</v>
      </c>
      <c r="O72" s="788" t="s">
        <v>37</v>
      </c>
      <c r="P72" s="372"/>
      <c r="Q72" s="372"/>
      <c r="R72" s="372"/>
      <c r="S72" s="360" t="s">
        <v>839</v>
      </c>
      <c r="T72" s="372"/>
      <c r="U72" s="882" t="s">
        <v>1675</v>
      </c>
      <c r="V72" s="292"/>
      <c r="W72" s="740" t="s">
        <v>38</v>
      </c>
      <c r="X72" s="372"/>
      <c r="Y72" s="372"/>
      <c r="Z72" s="372"/>
      <c r="AA72" s="372"/>
      <c r="AB72" s="372" t="s">
        <v>555</v>
      </c>
      <c r="AC72" s="372"/>
      <c r="AD72" s="372"/>
      <c r="AE72" s="374"/>
      <c r="AF72" s="372"/>
      <c r="AG72" s="372"/>
      <c r="AH72" s="372"/>
      <c r="AI72" s="372"/>
      <c r="AJ72" s="375"/>
      <c r="AK72" s="147" t="s">
        <v>31</v>
      </c>
      <c r="AL72" s="657" t="s">
        <v>30</v>
      </c>
      <c r="AM72" s="147"/>
      <c r="AN72" s="356"/>
      <c r="AO72" s="356"/>
      <c r="AP72" s="356"/>
      <c r="AQ72" s="355"/>
      <c r="AR72" s="910"/>
      <c r="AS72" s="359"/>
      <c r="AT72" s="334"/>
    </row>
    <row r="73" spans="1:129" s="274" customFormat="1">
      <c r="A73" s="172">
        <v>72</v>
      </c>
      <c r="B73" s="251" t="s">
        <v>1160</v>
      </c>
      <c r="C73" s="372">
        <v>10</v>
      </c>
      <c r="D73" s="148" t="str">
        <f>VLOOKUP(C73,Table8[],2,0)</f>
        <v>MAJA</v>
      </c>
      <c r="E73" s="437">
        <v>86878262640</v>
      </c>
      <c r="F73" s="366" t="s">
        <v>104</v>
      </c>
      <c r="G73" s="686" t="s">
        <v>1512</v>
      </c>
      <c r="H73" s="377"/>
      <c r="I73" s="408" t="s">
        <v>927</v>
      </c>
      <c r="J73" s="372" t="s">
        <v>30</v>
      </c>
      <c r="K73" s="372" t="s">
        <v>31</v>
      </c>
      <c r="L73" s="167">
        <v>2026</v>
      </c>
      <c r="M73" s="543" t="s">
        <v>1059</v>
      </c>
      <c r="N73" s="357" t="s">
        <v>875</v>
      </c>
      <c r="O73" s="785" t="s">
        <v>37</v>
      </c>
      <c r="P73" s="372"/>
      <c r="Q73" s="372"/>
      <c r="R73" s="372" t="s">
        <v>31</v>
      </c>
      <c r="S73" s="360" t="s">
        <v>880</v>
      </c>
      <c r="T73" s="372"/>
      <c r="U73" s="601" t="s">
        <v>1325</v>
      </c>
      <c r="V73" s="292"/>
      <c r="W73" s="740" t="s">
        <v>38</v>
      </c>
      <c r="X73" s="372"/>
      <c r="Y73" s="372"/>
      <c r="Z73" s="372"/>
      <c r="AA73" s="372"/>
      <c r="AB73" s="372" t="s">
        <v>555</v>
      </c>
      <c r="AC73" s="372"/>
      <c r="AD73" s="372"/>
      <c r="AE73" s="374"/>
      <c r="AF73" s="372"/>
      <c r="AG73" s="372"/>
      <c r="AH73" s="372"/>
      <c r="AI73" s="372"/>
      <c r="AJ73" s="375"/>
      <c r="AK73" s="147" t="s">
        <v>31</v>
      </c>
      <c r="AL73" s="657" t="s">
        <v>30</v>
      </c>
      <c r="AM73" s="639"/>
      <c r="AN73" s="356"/>
      <c r="AO73" s="356"/>
      <c r="AP73" s="356"/>
      <c r="AQ73" s="355"/>
      <c r="AR73" s="910"/>
      <c r="AS73" s="359"/>
      <c r="AT73" s="334"/>
    </row>
    <row r="74" spans="1:129" s="274" customFormat="1" ht="14.25" customHeight="1">
      <c r="A74" s="172">
        <v>73</v>
      </c>
      <c r="B74" s="146" t="s">
        <v>821</v>
      </c>
      <c r="C74" s="147">
        <v>10</v>
      </c>
      <c r="D74" s="148" t="str">
        <f>VLOOKUP(C74,Table8[],2,0)</f>
        <v>MAJA</v>
      </c>
      <c r="E74" s="354">
        <v>15010505353</v>
      </c>
      <c r="F74" s="145" t="s">
        <v>841</v>
      </c>
      <c r="G74" s="146" t="s">
        <v>822</v>
      </c>
      <c r="H74" s="355"/>
      <c r="I74" s="355" t="s">
        <v>934</v>
      </c>
      <c r="J74" s="438" t="s">
        <v>31</v>
      </c>
      <c r="K74" s="389" t="s">
        <v>31</v>
      </c>
      <c r="L74" s="589" t="s">
        <v>1026</v>
      </c>
      <c r="M74" s="551"/>
      <c r="N74" s="382" t="s">
        <v>876</v>
      </c>
      <c r="O74" s="776" t="s">
        <v>42</v>
      </c>
      <c r="P74" s="147"/>
      <c r="Q74" s="147"/>
      <c r="R74" s="147"/>
      <c r="S74" s="358" t="s">
        <v>134</v>
      </c>
      <c r="T74" s="147"/>
      <c r="U74" s="274" t="s">
        <v>986</v>
      </c>
      <c r="W74" s="744" t="s">
        <v>30</v>
      </c>
      <c r="X74" s="147"/>
      <c r="Y74" s="147"/>
      <c r="Z74" s="147"/>
      <c r="AA74" s="147"/>
      <c r="AB74" s="147"/>
      <c r="AC74" s="359">
        <v>45684</v>
      </c>
      <c r="AD74" s="147"/>
      <c r="AE74" s="359"/>
      <c r="AF74" s="147"/>
      <c r="AG74" s="147"/>
      <c r="AH74" s="147"/>
      <c r="AI74" s="147"/>
      <c r="AJ74" s="147"/>
      <c r="AK74" s="147" t="s">
        <v>31</v>
      </c>
      <c r="AL74" s="657" t="s">
        <v>30</v>
      </c>
      <c r="AM74" s="147" t="s">
        <v>1100</v>
      </c>
      <c r="AN74" s="356"/>
      <c r="AO74" s="356"/>
      <c r="AP74" s="356"/>
      <c r="AQ74" s="355"/>
      <c r="AR74" s="910"/>
      <c r="AS74" s="359"/>
      <c r="AT74" s="334"/>
    </row>
    <row r="75" spans="1:129" s="274" customFormat="1">
      <c r="A75" s="172">
        <v>74</v>
      </c>
      <c r="B75" s="506" t="s">
        <v>1161</v>
      </c>
      <c r="C75" s="360">
        <v>0</v>
      </c>
      <c r="D75" s="148" t="str">
        <f>VLOOKUP(C75,Table8[],2,0)</f>
        <v>NITKO</v>
      </c>
      <c r="E75" s="354">
        <v>34046571696</v>
      </c>
      <c r="F75" s="404" t="s">
        <v>819</v>
      </c>
      <c r="G75" s="439" t="s">
        <v>820</v>
      </c>
      <c r="H75" s="355"/>
      <c r="I75" s="355" t="s">
        <v>927</v>
      </c>
      <c r="J75" s="440" t="s">
        <v>30</v>
      </c>
      <c r="K75" s="389" t="s">
        <v>31</v>
      </c>
      <c r="L75" s="589" t="s">
        <v>1026</v>
      </c>
      <c r="M75" s="160" t="s">
        <v>979</v>
      </c>
      <c r="N75" s="357" t="s">
        <v>875</v>
      </c>
      <c r="O75" s="789" t="s">
        <v>37</v>
      </c>
      <c r="P75" s="389" t="s">
        <v>31</v>
      </c>
      <c r="Q75" s="389" t="s">
        <v>31</v>
      </c>
      <c r="R75" s="389" t="s">
        <v>31</v>
      </c>
      <c r="S75" s="360" t="s">
        <v>839</v>
      </c>
      <c r="T75" s="147"/>
      <c r="U75" s="516" t="s">
        <v>1199</v>
      </c>
      <c r="W75" s="147" t="s">
        <v>31</v>
      </c>
      <c r="X75" s="147"/>
      <c r="Y75" s="147"/>
      <c r="Z75" s="147"/>
      <c r="AA75" s="147"/>
      <c r="AB75" s="147"/>
      <c r="AC75" s="359">
        <v>45658</v>
      </c>
      <c r="AD75" s="359"/>
      <c r="AE75" s="359"/>
      <c r="AF75" s="147"/>
      <c r="AG75" s="147"/>
      <c r="AH75" s="147"/>
      <c r="AI75" s="147"/>
      <c r="AJ75" s="147"/>
      <c r="AK75" s="147" t="s">
        <v>31</v>
      </c>
      <c r="AL75" s="657" t="s">
        <v>30</v>
      </c>
      <c r="AM75" s="147"/>
      <c r="AN75" s="147"/>
      <c r="AO75" s="147"/>
      <c r="AP75" s="147"/>
      <c r="AQ75" s="147"/>
      <c r="AR75" s="147"/>
      <c r="AS75" s="359"/>
      <c r="AT75" s="147"/>
    </row>
    <row r="76" spans="1:129" s="274" customFormat="1" ht="16.5">
      <c r="A76" s="172">
        <v>75</v>
      </c>
      <c r="B76" s="247" t="s">
        <v>1403</v>
      </c>
      <c r="C76" s="372">
        <v>15</v>
      </c>
      <c r="D76" s="148" t="str">
        <f>VLOOKUP(C76,Table8[],2,0)</f>
        <v>NIKOLINA</v>
      </c>
      <c r="E76" s="380">
        <v>85005325176</v>
      </c>
      <c r="F76" s="366" t="s">
        <v>47</v>
      </c>
      <c r="G76" s="385">
        <v>912512172</v>
      </c>
      <c r="H76" s="373" t="s">
        <v>574</v>
      </c>
      <c r="I76" s="372">
        <v>43.33</v>
      </c>
      <c r="J76" s="372" t="s">
        <v>31</v>
      </c>
      <c r="K76" s="372" t="s">
        <v>30</v>
      </c>
      <c r="L76" s="157" t="s">
        <v>1026</v>
      </c>
      <c r="M76" s="410" t="s">
        <v>989</v>
      </c>
      <c r="N76" s="357" t="s">
        <v>876</v>
      </c>
      <c r="O76" s="785" t="s">
        <v>34</v>
      </c>
      <c r="P76" s="372"/>
      <c r="Q76" s="372" t="s">
        <v>31</v>
      </c>
      <c r="R76" s="372" t="s">
        <v>30</v>
      </c>
      <c r="S76" s="358" t="s">
        <v>134</v>
      </c>
      <c r="T76" s="372"/>
      <c r="U76" s="502" t="s">
        <v>1142</v>
      </c>
      <c r="V76" s="292"/>
      <c r="W76" s="744" t="s">
        <v>30</v>
      </c>
      <c r="X76" s="372"/>
      <c r="Y76" s="372"/>
      <c r="Z76" s="372"/>
      <c r="AA76" s="372"/>
      <c r="AB76" s="372" t="s">
        <v>573</v>
      </c>
      <c r="AC76" s="372"/>
      <c r="AD76" s="372"/>
      <c r="AE76" s="374"/>
      <c r="AF76" s="372"/>
      <c r="AG76" s="372"/>
      <c r="AH76" s="372"/>
      <c r="AI76" s="372"/>
      <c r="AJ76" s="375"/>
      <c r="AK76" s="147" t="s">
        <v>31</v>
      </c>
      <c r="AL76" s="365" t="s">
        <v>959</v>
      </c>
      <c r="AM76" s="147" t="s">
        <v>1100</v>
      </c>
      <c r="AN76" s="915" t="s">
        <v>1375</v>
      </c>
      <c r="AO76" s="915" t="s">
        <v>1811</v>
      </c>
      <c r="AP76" s="915" t="s">
        <v>1812</v>
      </c>
      <c r="AQ76" s="926">
        <v>37804110038</v>
      </c>
      <c r="AR76" s="917">
        <f>100*1.1</f>
        <v>110.00000000000001</v>
      </c>
      <c r="AS76" s="359"/>
      <c r="AT76" s="821" t="s">
        <v>47</v>
      </c>
    </row>
    <row r="77" spans="1:129" s="274" customFormat="1" ht="30">
      <c r="A77" s="172">
        <v>76</v>
      </c>
      <c r="B77" s="255" t="s">
        <v>712</v>
      </c>
      <c r="C77" s="147">
        <v>11</v>
      </c>
      <c r="D77" s="148" t="str">
        <f>VLOOKUP(C77,Table8[],2,0)</f>
        <v>GABRIJELA</v>
      </c>
      <c r="E77" s="354">
        <v>70354279272</v>
      </c>
      <c r="F77" s="384" t="s">
        <v>1616</v>
      </c>
      <c r="G77" s="260" t="s">
        <v>1338</v>
      </c>
      <c r="H77" s="355"/>
      <c r="I77" s="147" t="s">
        <v>42</v>
      </c>
      <c r="J77" s="147" t="s">
        <v>30</v>
      </c>
      <c r="K77" s="147" t="s">
        <v>31</v>
      </c>
      <c r="L77" s="706" t="s">
        <v>1526</v>
      </c>
      <c r="M77" s="544" t="s">
        <v>1330</v>
      </c>
      <c r="N77" s="360" t="s">
        <v>44</v>
      </c>
      <c r="O77" s="774" t="s">
        <v>37</v>
      </c>
      <c r="P77" s="147" t="s">
        <v>31</v>
      </c>
      <c r="Q77" s="147" t="s">
        <v>31</v>
      </c>
      <c r="R77" s="147" t="s">
        <v>31</v>
      </c>
      <c r="S77" s="360" t="s">
        <v>839</v>
      </c>
      <c r="T77" s="147"/>
      <c r="U77" s="700" t="s">
        <v>1155</v>
      </c>
      <c r="W77" s="738" t="s">
        <v>1368</v>
      </c>
      <c r="X77" s="147"/>
      <c r="Y77" s="147"/>
      <c r="Z77" s="147"/>
      <c r="AA77" s="147"/>
      <c r="AB77" s="147"/>
      <c r="AC77" s="359">
        <v>45505</v>
      </c>
      <c r="AD77" s="147"/>
      <c r="AE77" s="359"/>
      <c r="AF77" s="147"/>
      <c r="AG77" s="147"/>
      <c r="AH77" s="147"/>
      <c r="AI77" s="147"/>
      <c r="AJ77" s="147"/>
      <c r="AK77" s="147" t="s">
        <v>30</v>
      </c>
      <c r="AL77" s="657" t="s">
        <v>30</v>
      </c>
      <c r="AM77" s="640"/>
      <c r="AN77" s="356"/>
      <c r="AO77" s="356"/>
      <c r="AP77" s="356"/>
      <c r="AQ77" s="355"/>
      <c r="AR77" s="910"/>
      <c r="AS77" s="359"/>
      <c r="AT77" s="334"/>
    </row>
    <row r="78" spans="1:129" s="274" customFormat="1" ht="16.5">
      <c r="A78" s="172">
        <v>77</v>
      </c>
      <c r="B78" s="924" t="s">
        <v>1813</v>
      </c>
      <c r="C78" s="147">
        <v>23</v>
      </c>
      <c r="D78" s="148" t="str">
        <f>VLOOKUP(C78,Table8[],2,0)</f>
        <v>MARKO</v>
      </c>
      <c r="E78" s="433" t="s">
        <v>1566</v>
      </c>
      <c r="F78" s="404" t="s">
        <v>1954</v>
      </c>
      <c r="G78" s="146" t="s">
        <v>957</v>
      </c>
      <c r="H78" s="355"/>
      <c r="I78" s="147"/>
      <c r="J78" s="147" t="s">
        <v>30</v>
      </c>
      <c r="K78" s="147" t="s">
        <v>31</v>
      </c>
      <c r="L78" s="163" t="s">
        <v>1026</v>
      </c>
      <c r="M78" s="410" t="s">
        <v>1075</v>
      </c>
      <c r="N78" s="441" t="s">
        <v>882</v>
      </c>
      <c r="O78" s="639" t="s">
        <v>42</v>
      </c>
      <c r="P78" s="147"/>
      <c r="Q78" s="147"/>
      <c r="R78" s="147"/>
      <c r="S78" s="360" t="s">
        <v>839</v>
      </c>
      <c r="T78" s="147"/>
      <c r="U78" s="681" t="s">
        <v>1162</v>
      </c>
      <c r="W78" s="738" t="s">
        <v>30</v>
      </c>
      <c r="X78" s="147"/>
      <c r="Y78" s="147"/>
      <c r="Z78" s="147"/>
      <c r="AA78" s="147"/>
      <c r="AB78" s="147"/>
      <c r="AC78" s="359">
        <v>45821</v>
      </c>
      <c r="AD78" s="147"/>
      <c r="AE78" s="359">
        <v>45809</v>
      </c>
      <c r="AF78" s="147">
        <v>600</v>
      </c>
      <c r="AG78" s="147" t="s">
        <v>72</v>
      </c>
      <c r="AH78" s="147"/>
      <c r="AI78" s="147"/>
      <c r="AJ78" s="147"/>
      <c r="AK78" s="147" t="s">
        <v>31</v>
      </c>
      <c r="AL78" s="365" t="s">
        <v>30</v>
      </c>
      <c r="AM78" s="147" t="s">
        <v>1099</v>
      </c>
      <c r="AN78" s="915" t="s">
        <v>1375</v>
      </c>
      <c r="AO78" s="915" t="s">
        <v>1382</v>
      </c>
      <c r="AP78" s="865" t="s">
        <v>1815</v>
      </c>
      <c r="AQ78" s="926" t="s">
        <v>1816</v>
      </c>
      <c r="AR78" s="910"/>
      <c r="AS78" s="359"/>
      <c r="AT78" s="821" t="s">
        <v>1814</v>
      </c>
    </row>
    <row r="79" spans="1:129" s="415" customFormat="1" ht="24">
      <c r="A79" s="172">
        <v>78</v>
      </c>
      <c r="B79" s="146" t="s">
        <v>949</v>
      </c>
      <c r="C79" s="147">
        <v>15</v>
      </c>
      <c r="D79" s="148" t="str">
        <f>VLOOKUP(C79,Table8[],2,0)</f>
        <v>NIKOLINA</v>
      </c>
      <c r="E79" s="354">
        <v>80547874891</v>
      </c>
      <c r="F79" s="560" t="s">
        <v>994</v>
      </c>
      <c r="G79" s="561" t="s">
        <v>1281</v>
      </c>
      <c r="H79" s="355"/>
      <c r="I79" s="147" t="s">
        <v>726</v>
      </c>
      <c r="J79" s="147" t="s">
        <v>30</v>
      </c>
      <c r="K79" s="147" t="s">
        <v>31</v>
      </c>
      <c r="L79" s="651" t="s">
        <v>1442</v>
      </c>
      <c r="M79" s="410" t="s">
        <v>1225</v>
      </c>
      <c r="N79" s="357" t="s">
        <v>44</v>
      </c>
      <c r="O79" s="783" t="s">
        <v>34</v>
      </c>
      <c r="P79" s="147" t="s">
        <v>31</v>
      </c>
      <c r="Q79" s="147" t="s">
        <v>31</v>
      </c>
      <c r="R79" s="147" t="s">
        <v>31</v>
      </c>
      <c r="S79" s="360" t="s">
        <v>839</v>
      </c>
      <c r="T79" s="147"/>
      <c r="U79" s="620" t="s">
        <v>1135</v>
      </c>
      <c r="V79" s="274"/>
      <c r="W79" s="738" t="s">
        <v>30</v>
      </c>
      <c r="X79" s="147"/>
      <c r="Y79" s="147"/>
      <c r="Z79" s="147"/>
      <c r="AA79" s="147"/>
      <c r="AB79" s="147" t="s">
        <v>727</v>
      </c>
      <c r="AC79" s="359">
        <v>45474</v>
      </c>
      <c r="AD79" s="147"/>
      <c r="AE79" s="359">
        <v>45474</v>
      </c>
      <c r="AF79" s="147">
        <v>500</v>
      </c>
      <c r="AG79" s="147" t="s">
        <v>72</v>
      </c>
      <c r="AH79" s="147"/>
      <c r="AI79" s="147"/>
      <c r="AJ79" s="147"/>
      <c r="AK79" s="147" t="s">
        <v>30</v>
      </c>
      <c r="AL79" s="413"/>
      <c r="AM79" s="639"/>
      <c r="AN79" s="915" t="s">
        <v>1375</v>
      </c>
      <c r="AO79" s="915" t="s">
        <v>1382</v>
      </c>
      <c r="AP79" s="865" t="s">
        <v>1818</v>
      </c>
      <c r="AQ79" s="926">
        <v>8497119401</v>
      </c>
      <c r="AR79" s="910">
        <f>100*1.1</f>
        <v>110.00000000000001</v>
      </c>
      <c r="AS79" s="359"/>
      <c r="AT79" s="821" t="s">
        <v>1817</v>
      </c>
      <c r="AU79" s="274"/>
      <c r="AV79" s="274"/>
      <c r="AW79" s="274"/>
      <c r="AX79" s="274"/>
      <c r="AY79" s="274"/>
      <c r="AZ79" s="274"/>
      <c r="BA79" s="274"/>
      <c r="BB79" s="274"/>
      <c r="BC79" s="274"/>
      <c r="BD79" s="274"/>
      <c r="BE79" s="274"/>
      <c r="BF79" s="274"/>
      <c r="BG79" s="274"/>
      <c r="BH79" s="274"/>
      <c r="BI79" s="274"/>
      <c r="BJ79" s="274"/>
      <c r="BK79" s="274"/>
      <c r="BL79" s="274"/>
      <c r="BM79" s="274"/>
      <c r="BN79" s="274"/>
      <c r="BO79" s="274"/>
      <c r="BP79" s="274"/>
      <c r="BQ79" s="274"/>
      <c r="BR79" s="274"/>
      <c r="BS79" s="274"/>
      <c r="BT79" s="274"/>
      <c r="BU79" s="274"/>
      <c r="BV79" s="274"/>
      <c r="BW79" s="274"/>
      <c r="BX79" s="274"/>
      <c r="BY79" s="274"/>
      <c r="BZ79" s="274"/>
      <c r="CA79" s="274"/>
      <c r="CB79" s="274"/>
      <c r="CC79" s="274"/>
      <c r="CD79" s="274"/>
      <c r="CE79" s="274"/>
      <c r="CF79" s="274"/>
      <c r="CG79" s="274"/>
      <c r="CH79" s="274"/>
      <c r="CI79" s="274"/>
      <c r="CJ79" s="274"/>
      <c r="CK79" s="274"/>
      <c r="CL79" s="274"/>
      <c r="CM79" s="274"/>
      <c r="CN79" s="274"/>
      <c r="CO79" s="274"/>
      <c r="CP79" s="274"/>
      <c r="CQ79" s="274"/>
      <c r="CR79" s="274"/>
      <c r="CS79" s="274"/>
      <c r="CT79" s="274"/>
      <c r="CU79" s="274"/>
      <c r="CV79" s="274"/>
      <c r="CW79" s="274"/>
      <c r="CX79" s="274"/>
      <c r="CY79" s="274"/>
      <c r="CZ79" s="274"/>
      <c r="DA79" s="274"/>
      <c r="DB79" s="274"/>
      <c r="DC79" s="274"/>
      <c r="DD79" s="274"/>
      <c r="DE79" s="274"/>
      <c r="DF79" s="274"/>
      <c r="DG79" s="274"/>
      <c r="DH79" s="274"/>
      <c r="DI79" s="274"/>
      <c r="DJ79" s="274"/>
      <c r="DK79" s="274"/>
      <c r="DL79" s="274"/>
      <c r="DM79" s="274"/>
      <c r="DN79" s="274"/>
      <c r="DO79" s="274"/>
      <c r="DP79" s="274"/>
      <c r="DQ79" s="274"/>
      <c r="DR79" s="274"/>
      <c r="DS79" s="274"/>
      <c r="DT79" s="274"/>
      <c r="DU79" s="274"/>
      <c r="DV79" s="274"/>
      <c r="DW79" s="274"/>
      <c r="DX79" s="274"/>
      <c r="DY79" s="274"/>
    </row>
    <row r="80" spans="1:129" s="364" customFormat="1" ht="16.5">
      <c r="A80" s="172">
        <v>79</v>
      </c>
      <c r="B80" s="863" t="s">
        <v>1404</v>
      </c>
      <c r="C80" s="147">
        <v>25</v>
      </c>
      <c r="D80" s="442" t="str">
        <f>VLOOKUP(C80,Table8[],2,0)</f>
        <v>F. MARKO</v>
      </c>
      <c r="E80" s="433" t="s">
        <v>1651</v>
      </c>
      <c r="F80" s="404" t="s">
        <v>894</v>
      </c>
      <c r="G80" s="406" t="s">
        <v>895</v>
      </c>
      <c r="H80" s="355"/>
      <c r="I80" s="355" t="s">
        <v>939</v>
      </c>
      <c r="J80" s="147" t="s">
        <v>31</v>
      </c>
      <c r="K80" s="147" t="s">
        <v>31</v>
      </c>
      <c r="L80" s="880" t="s">
        <v>1370</v>
      </c>
      <c r="M80" s="556" t="s">
        <v>1671</v>
      </c>
      <c r="N80" s="362" t="s">
        <v>876</v>
      </c>
      <c r="O80" s="776" t="s">
        <v>42</v>
      </c>
      <c r="P80" s="147"/>
      <c r="Q80" s="147"/>
      <c r="R80" s="147"/>
      <c r="S80" s="147" t="s">
        <v>839</v>
      </c>
      <c r="T80" s="147"/>
      <c r="U80" s="601" t="s">
        <v>1316</v>
      </c>
      <c r="V80" s="274"/>
      <c r="W80" s="738" t="s">
        <v>30</v>
      </c>
      <c r="X80" s="147"/>
      <c r="Y80" s="147"/>
      <c r="Z80" s="147"/>
      <c r="AA80" s="147"/>
      <c r="AB80" s="147"/>
      <c r="AC80" s="359"/>
      <c r="AD80" s="147"/>
      <c r="AE80" s="359">
        <v>45901</v>
      </c>
      <c r="AF80" s="147">
        <v>500</v>
      </c>
      <c r="AG80" s="147" t="s">
        <v>1533</v>
      </c>
      <c r="AH80" s="147"/>
      <c r="AI80" s="147"/>
      <c r="AJ80" s="147"/>
      <c r="AK80" s="147"/>
      <c r="AL80" s="413"/>
      <c r="AM80" s="639" t="s">
        <v>1100</v>
      </c>
      <c r="AN80" s="915" t="s">
        <v>1375</v>
      </c>
      <c r="AO80" s="915" t="s">
        <v>1382</v>
      </c>
      <c r="AP80" s="865" t="s">
        <v>1819</v>
      </c>
      <c r="AQ80" s="926">
        <v>39970561206</v>
      </c>
      <c r="AR80" s="910">
        <f>50*1.1</f>
        <v>55.000000000000007</v>
      </c>
      <c r="AS80" s="359"/>
      <c r="AT80" s="821" t="s">
        <v>894</v>
      </c>
      <c r="AU80" s="274"/>
      <c r="AV80" s="274"/>
      <c r="AW80" s="274"/>
      <c r="AX80" s="274"/>
      <c r="AY80" s="274"/>
      <c r="AZ80" s="274"/>
      <c r="BA80" s="274"/>
      <c r="BB80" s="274"/>
      <c r="BC80" s="274"/>
      <c r="BD80" s="274"/>
      <c r="BE80" s="274"/>
      <c r="BF80" s="274"/>
      <c r="BG80" s="274"/>
      <c r="BH80" s="274"/>
      <c r="BI80" s="274"/>
      <c r="BJ80" s="274"/>
      <c r="BK80" s="274"/>
      <c r="BL80" s="274"/>
      <c r="BM80" s="274"/>
      <c r="BN80" s="274"/>
      <c r="BO80" s="274"/>
      <c r="BP80" s="274"/>
      <c r="BQ80" s="274"/>
      <c r="BR80" s="274"/>
      <c r="BS80" s="274"/>
      <c r="BT80" s="274"/>
      <c r="BU80" s="274"/>
      <c r="BV80" s="274"/>
      <c r="BW80" s="274"/>
      <c r="BX80" s="274"/>
      <c r="BY80" s="274"/>
      <c r="BZ80" s="274"/>
      <c r="CA80" s="274"/>
      <c r="CB80" s="274"/>
      <c r="CC80" s="274"/>
      <c r="CD80" s="274"/>
      <c r="CE80" s="274"/>
      <c r="CF80" s="274"/>
      <c r="CG80" s="274"/>
      <c r="CH80" s="274"/>
      <c r="CI80" s="274"/>
      <c r="CJ80" s="274"/>
      <c r="CK80" s="274"/>
      <c r="CL80" s="274"/>
      <c r="CM80" s="274"/>
      <c r="CN80" s="274"/>
      <c r="CO80" s="274"/>
      <c r="CP80" s="274"/>
      <c r="CQ80" s="274"/>
      <c r="CR80" s="274"/>
      <c r="CS80" s="274"/>
      <c r="CT80" s="274"/>
      <c r="CU80" s="274"/>
      <c r="CV80" s="274"/>
      <c r="CW80" s="274"/>
      <c r="CX80" s="274"/>
      <c r="CY80" s="274"/>
      <c r="CZ80" s="274"/>
      <c r="DA80" s="274"/>
      <c r="DB80" s="274"/>
      <c r="DC80" s="274"/>
      <c r="DD80" s="274"/>
      <c r="DE80" s="274"/>
      <c r="DF80" s="274"/>
      <c r="DG80" s="274"/>
      <c r="DH80" s="274"/>
      <c r="DI80" s="274"/>
      <c r="DJ80" s="274"/>
      <c r="DK80" s="274"/>
      <c r="DL80" s="274"/>
      <c r="DM80" s="274"/>
      <c r="DN80" s="274"/>
      <c r="DO80" s="274"/>
      <c r="DP80" s="274"/>
      <c r="DQ80" s="274"/>
      <c r="DR80" s="274"/>
      <c r="DS80" s="274"/>
      <c r="DT80" s="274"/>
      <c r="DU80" s="274"/>
      <c r="DV80" s="274"/>
      <c r="DW80" s="274"/>
      <c r="DX80" s="274"/>
      <c r="DY80" s="274"/>
    </row>
    <row r="81" spans="1:46" s="274" customFormat="1">
      <c r="A81" s="172">
        <v>80</v>
      </c>
      <c r="B81" s="263" t="s">
        <v>748</v>
      </c>
      <c r="C81" s="147">
        <v>6</v>
      </c>
      <c r="D81" s="148" t="str">
        <f>VLOOKUP(C81,Table8[],2,0)</f>
        <v>F. ANA P.</v>
      </c>
      <c r="E81" s="354">
        <v>99919586642</v>
      </c>
      <c r="F81" s="366" t="s">
        <v>745</v>
      </c>
      <c r="G81" s="263" t="s">
        <v>746</v>
      </c>
      <c r="H81" s="355"/>
      <c r="I81" s="147"/>
      <c r="J81" s="443" t="s">
        <v>30</v>
      </c>
      <c r="K81" s="443" t="s">
        <v>30</v>
      </c>
      <c r="L81" s="589" t="s">
        <v>1026</v>
      </c>
      <c r="M81" s="410" t="s">
        <v>1065</v>
      </c>
      <c r="N81" s="382" t="s">
        <v>271</v>
      </c>
      <c r="O81" s="777" t="s">
        <v>37</v>
      </c>
      <c r="P81" s="443" t="s">
        <v>31</v>
      </c>
      <c r="Q81" s="443" t="s">
        <v>31</v>
      </c>
      <c r="R81" s="443" t="s">
        <v>31</v>
      </c>
      <c r="S81" s="358" t="s">
        <v>134</v>
      </c>
      <c r="T81" s="147"/>
      <c r="U81" s="502" t="s">
        <v>1131</v>
      </c>
      <c r="W81" s="628" t="s">
        <v>1367</v>
      </c>
      <c r="X81" s="147"/>
      <c r="Y81" s="147"/>
      <c r="Z81" s="147"/>
      <c r="AA81" s="147"/>
      <c r="AB81" s="147"/>
      <c r="AC81" s="359"/>
      <c r="AD81" s="147"/>
      <c r="AE81" s="359"/>
      <c r="AF81" s="147"/>
      <c r="AG81" s="147"/>
      <c r="AH81" s="147"/>
      <c r="AI81" s="147"/>
      <c r="AJ81" s="147"/>
      <c r="AK81" s="147" t="s">
        <v>31</v>
      </c>
      <c r="AL81" s="372"/>
      <c r="AM81" s="147"/>
      <c r="AN81" s="147"/>
      <c r="AO81" s="147"/>
      <c r="AP81" s="147"/>
      <c r="AQ81" s="355"/>
      <c r="AR81" s="147"/>
      <c r="AS81" s="359"/>
      <c r="AT81" s="147"/>
    </row>
    <row r="82" spans="1:46" s="274" customFormat="1" ht="16.5">
      <c r="A82" s="172">
        <v>81</v>
      </c>
      <c r="B82" s="647" t="s">
        <v>1405</v>
      </c>
      <c r="C82" s="372">
        <v>11</v>
      </c>
      <c r="D82" s="148" t="str">
        <f>VLOOKUP(C82,Table8[],2,0)</f>
        <v>GABRIJELA</v>
      </c>
      <c r="E82" s="354">
        <v>36617896059</v>
      </c>
      <c r="F82" s="404" t="s">
        <v>886</v>
      </c>
      <c r="G82" s="707" t="s">
        <v>1529</v>
      </c>
      <c r="H82" s="377"/>
      <c r="I82" s="372">
        <v>81.3</v>
      </c>
      <c r="J82" s="372" t="s">
        <v>31</v>
      </c>
      <c r="K82" s="372" t="s">
        <v>30</v>
      </c>
      <c r="L82" s="157" t="s">
        <v>1026</v>
      </c>
      <c r="M82" s="553" t="s">
        <v>1002</v>
      </c>
      <c r="N82" s="357" t="s">
        <v>876</v>
      </c>
      <c r="O82" s="783" t="s">
        <v>34</v>
      </c>
      <c r="P82" s="372"/>
      <c r="Q82" s="372"/>
      <c r="R82" s="372" t="s">
        <v>31</v>
      </c>
      <c r="S82" s="358" t="s">
        <v>134</v>
      </c>
      <c r="T82" s="372"/>
      <c r="U82" s="520" t="s">
        <v>1237</v>
      </c>
      <c r="V82" s="292"/>
      <c r="W82" s="743" t="s">
        <v>30</v>
      </c>
      <c r="X82" s="372"/>
      <c r="Y82" s="372"/>
      <c r="Z82" s="372"/>
      <c r="AA82" s="372"/>
      <c r="AB82" s="372" t="s">
        <v>684</v>
      </c>
      <c r="AC82" s="372"/>
      <c r="AD82" s="372"/>
      <c r="AE82" s="374"/>
      <c r="AF82" s="372"/>
      <c r="AG82" s="372"/>
      <c r="AH82" s="372"/>
      <c r="AI82" s="372"/>
      <c r="AJ82" s="375"/>
      <c r="AK82" s="147" t="s">
        <v>30</v>
      </c>
      <c r="AL82" s="657" t="s">
        <v>30</v>
      </c>
      <c r="AM82" s="147" t="s">
        <v>1098</v>
      </c>
      <c r="AN82" s="915" t="s">
        <v>1357</v>
      </c>
      <c r="AO82" s="915" t="s">
        <v>1820</v>
      </c>
      <c r="AP82" s="865" t="s">
        <v>1821</v>
      </c>
      <c r="AQ82" s="926">
        <v>89671443611</v>
      </c>
      <c r="AR82" s="910"/>
      <c r="AS82" s="359"/>
      <c r="AT82" s="821" t="s">
        <v>886</v>
      </c>
    </row>
    <row r="83" spans="1:46" s="274" customFormat="1">
      <c r="A83" s="172">
        <v>82</v>
      </c>
      <c r="B83" s="245" t="s">
        <v>869</v>
      </c>
      <c r="C83" s="147">
        <v>10</v>
      </c>
      <c r="D83" s="148" t="str">
        <f>VLOOKUP(C83,Table8[],2,0)</f>
        <v>MAJA</v>
      </c>
      <c r="E83" s="354">
        <v>15735013378</v>
      </c>
      <c r="F83" s="404" t="s">
        <v>870</v>
      </c>
      <c r="G83" s="260" t="s">
        <v>1458</v>
      </c>
      <c r="H83" s="355"/>
      <c r="I83" s="355" t="s">
        <v>920</v>
      </c>
      <c r="J83" s="147" t="s">
        <v>30</v>
      </c>
      <c r="K83" s="147" t="s">
        <v>31</v>
      </c>
      <c r="L83" s="165">
        <v>2026</v>
      </c>
      <c r="M83" s="552"/>
      <c r="N83" s="357" t="s">
        <v>875</v>
      </c>
      <c r="O83" s="777" t="s">
        <v>37</v>
      </c>
      <c r="P83" s="147"/>
      <c r="Q83" s="147"/>
      <c r="R83" s="147"/>
      <c r="S83" s="360" t="s">
        <v>839</v>
      </c>
      <c r="T83" s="147"/>
      <c r="U83" s="601" t="s">
        <v>1315</v>
      </c>
      <c r="W83" s="738" t="s">
        <v>38</v>
      </c>
      <c r="X83" s="147"/>
      <c r="Y83" s="147"/>
      <c r="Z83" s="147"/>
      <c r="AA83" s="147"/>
      <c r="AB83" s="147"/>
      <c r="AC83" s="359">
        <v>45852</v>
      </c>
      <c r="AD83" s="147"/>
      <c r="AE83" s="359"/>
      <c r="AF83" s="147"/>
      <c r="AG83" s="147"/>
      <c r="AH83" s="147"/>
      <c r="AI83" s="147"/>
      <c r="AJ83" s="147"/>
      <c r="AK83" s="147" t="s">
        <v>30</v>
      </c>
      <c r="AL83" s="657" t="s">
        <v>30</v>
      </c>
      <c r="AM83" s="639"/>
      <c r="AN83" s="356"/>
      <c r="AO83" s="356"/>
      <c r="AP83" s="356"/>
      <c r="AQ83" s="355"/>
      <c r="AR83" s="910"/>
      <c r="AS83" s="359"/>
      <c r="AT83" s="334"/>
    </row>
    <row r="84" spans="1:46" s="274" customFormat="1">
      <c r="A84" s="172">
        <v>83</v>
      </c>
      <c r="B84" s="130" t="s">
        <v>88</v>
      </c>
      <c r="C84" s="360">
        <v>10</v>
      </c>
      <c r="D84" s="148" t="str">
        <f>VLOOKUP(C84,Table8[],2,0)</f>
        <v>MAJA</v>
      </c>
      <c r="E84" s="354">
        <v>78358993058</v>
      </c>
      <c r="F84" s="404" t="s">
        <v>1953</v>
      </c>
      <c r="G84" s="688" t="s">
        <v>1459</v>
      </c>
      <c r="H84" s="377"/>
      <c r="I84" s="372">
        <v>55.9</v>
      </c>
      <c r="J84" s="372" t="s">
        <v>30</v>
      </c>
      <c r="K84" s="372" t="s">
        <v>31</v>
      </c>
      <c r="L84" s="168" t="s">
        <v>1026</v>
      </c>
      <c r="M84" s="410" t="s">
        <v>1044</v>
      </c>
      <c r="N84" s="357" t="s">
        <v>875</v>
      </c>
      <c r="O84" s="785" t="s">
        <v>37</v>
      </c>
      <c r="P84" s="372"/>
      <c r="Q84" s="372"/>
      <c r="R84" s="372"/>
      <c r="S84" s="360" t="s">
        <v>839</v>
      </c>
      <c r="T84" s="372"/>
      <c r="U84" s="520" t="s">
        <v>1149</v>
      </c>
      <c r="V84" s="292"/>
      <c r="W84" s="740" t="s">
        <v>38</v>
      </c>
      <c r="X84" s="372"/>
      <c r="Y84" s="372"/>
      <c r="Z84" s="372"/>
      <c r="AA84" s="372"/>
      <c r="AB84" s="372" t="s">
        <v>555</v>
      </c>
      <c r="AC84" s="372"/>
      <c r="AD84" s="372"/>
      <c r="AE84" s="374"/>
      <c r="AF84" s="372"/>
      <c r="AG84" s="372"/>
      <c r="AH84" s="372">
        <v>100</v>
      </c>
      <c r="AI84" s="372"/>
      <c r="AJ84" s="375"/>
      <c r="AK84" s="147" t="s">
        <v>31</v>
      </c>
      <c r="AL84" s="657" t="s">
        <v>30</v>
      </c>
      <c r="AM84" s="147"/>
      <c r="AN84" s="356"/>
      <c r="AO84" s="356"/>
      <c r="AP84" s="356"/>
      <c r="AQ84" s="355"/>
      <c r="AR84" s="910">
        <f>40*1.1</f>
        <v>44</v>
      </c>
      <c r="AS84" s="359"/>
      <c r="AT84" s="334"/>
    </row>
    <row r="85" spans="1:46" s="274" customFormat="1">
      <c r="A85" s="172">
        <v>84</v>
      </c>
      <c r="B85" s="264" t="s">
        <v>741</v>
      </c>
      <c r="C85" s="147">
        <v>1</v>
      </c>
      <c r="D85" s="148" t="str">
        <f>VLOOKUP(C85,Table8[],2,0)</f>
        <v>F/GABRIJELA</v>
      </c>
      <c r="E85" s="391">
        <v>8040606788</v>
      </c>
      <c r="F85" s="366" t="s">
        <v>742</v>
      </c>
      <c r="G85" s="146" t="s">
        <v>743</v>
      </c>
      <c r="H85" s="355"/>
      <c r="I85" s="147"/>
      <c r="J85" s="444" t="s">
        <v>31</v>
      </c>
      <c r="K85" s="147" t="s">
        <v>31</v>
      </c>
      <c r="L85" s="155" t="s">
        <v>1026</v>
      </c>
      <c r="M85" s="155" t="s">
        <v>1093</v>
      </c>
      <c r="N85" s="357" t="s">
        <v>875</v>
      </c>
      <c r="O85" s="777" t="s">
        <v>37</v>
      </c>
      <c r="P85" s="147" t="s">
        <v>31</v>
      </c>
      <c r="Q85" s="147" t="s">
        <v>31</v>
      </c>
      <c r="R85" s="147" t="s">
        <v>31</v>
      </c>
      <c r="S85" s="358" t="s">
        <v>134</v>
      </c>
      <c r="T85" s="147"/>
      <c r="U85" s="274" t="s">
        <v>744</v>
      </c>
      <c r="W85" s="738" t="s">
        <v>38</v>
      </c>
      <c r="X85" s="147"/>
      <c r="Y85" s="147"/>
      <c r="Z85" s="147"/>
      <c r="AA85" s="147"/>
      <c r="AB85" s="445" t="s">
        <v>747</v>
      </c>
      <c r="AC85" s="359">
        <v>45474</v>
      </c>
      <c r="AD85" s="147"/>
      <c r="AE85" s="359"/>
      <c r="AF85" s="147"/>
      <c r="AG85" s="147"/>
      <c r="AH85" s="147"/>
      <c r="AI85" s="147"/>
      <c r="AJ85" s="147"/>
      <c r="AK85" s="147" t="s">
        <v>30</v>
      </c>
      <c r="AL85" s="657" t="s">
        <v>30</v>
      </c>
      <c r="AM85" s="639"/>
      <c r="AN85" s="356"/>
      <c r="AO85" s="356"/>
      <c r="AP85" s="356"/>
      <c r="AQ85" s="355"/>
      <c r="AR85" s="910"/>
      <c r="AS85" s="359"/>
      <c r="AT85" s="334"/>
    </row>
    <row r="86" spans="1:46" s="274" customFormat="1" ht="33" customHeight="1">
      <c r="A86" s="172">
        <v>85</v>
      </c>
      <c r="B86" s="146" t="s">
        <v>1096</v>
      </c>
      <c r="C86" s="147">
        <v>11</v>
      </c>
      <c r="D86" s="148" t="str">
        <f>VLOOKUP(C86,Table8[],2,0)</f>
        <v>GABRIJELA</v>
      </c>
      <c r="E86" s="354">
        <v>20949553448</v>
      </c>
      <c r="F86" s="528" t="s">
        <v>1654</v>
      </c>
      <c r="G86" s="257" t="s">
        <v>1655</v>
      </c>
      <c r="H86" s="355"/>
      <c r="I86" s="147"/>
      <c r="J86" s="147" t="s">
        <v>30</v>
      </c>
      <c r="K86" s="147" t="s">
        <v>30</v>
      </c>
      <c r="L86" s="155" t="s">
        <v>1026</v>
      </c>
      <c r="M86" s="542" t="s">
        <v>1067</v>
      </c>
      <c r="N86" s="357" t="s">
        <v>876</v>
      </c>
      <c r="O86" s="783" t="s">
        <v>34</v>
      </c>
      <c r="P86" s="147" t="s">
        <v>128</v>
      </c>
      <c r="Q86" s="147" t="s">
        <v>128</v>
      </c>
      <c r="R86" s="147" t="s">
        <v>128</v>
      </c>
      <c r="S86" s="360" t="s">
        <v>839</v>
      </c>
      <c r="T86" s="147"/>
      <c r="U86" s="520" t="s">
        <v>1238</v>
      </c>
      <c r="W86" s="738" t="s">
        <v>30</v>
      </c>
      <c r="X86" s="147"/>
      <c r="Y86" s="147"/>
      <c r="Z86" s="147"/>
      <c r="AA86" s="147"/>
      <c r="AB86" s="147"/>
      <c r="AC86" s="359">
        <v>45658</v>
      </c>
      <c r="AD86" s="147"/>
      <c r="AE86" s="359">
        <v>45658</v>
      </c>
      <c r="AF86" s="147">
        <v>500</v>
      </c>
      <c r="AG86" s="147" t="s">
        <v>72</v>
      </c>
      <c r="AH86" s="147"/>
      <c r="AI86" s="147"/>
      <c r="AJ86" s="147"/>
      <c r="AK86" s="147" t="s">
        <v>30</v>
      </c>
      <c r="AL86" s="365" t="s">
        <v>30</v>
      </c>
      <c r="AM86" s="639" t="s">
        <v>1100</v>
      </c>
      <c r="AN86" s="915" t="s">
        <v>1375</v>
      </c>
      <c r="AO86" s="915" t="s">
        <v>1382</v>
      </c>
      <c r="AP86" s="865" t="s">
        <v>1823</v>
      </c>
      <c r="AQ86" s="928" t="s">
        <v>1824</v>
      </c>
      <c r="AR86" s="910">
        <f>160*1.1</f>
        <v>176</v>
      </c>
      <c r="AS86" s="359"/>
      <c r="AT86" s="821" t="s">
        <v>1822</v>
      </c>
    </row>
    <row r="87" spans="1:46" s="274" customFormat="1">
      <c r="A87" s="172">
        <v>86</v>
      </c>
      <c r="B87" s="130" t="s">
        <v>1406</v>
      </c>
      <c r="C87" s="372">
        <v>6</v>
      </c>
      <c r="D87" s="148" t="str">
        <f>VLOOKUP(C87,Table8[],2,0)</f>
        <v>F. ANA P.</v>
      </c>
      <c r="E87" s="446">
        <v>52813766387</v>
      </c>
      <c r="F87" s="390" t="s">
        <v>129</v>
      </c>
      <c r="G87" s="688" t="s">
        <v>1460</v>
      </c>
      <c r="H87" s="377" t="s">
        <v>680</v>
      </c>
      <c r="I87" s="372">
        <v>86.9</v>
      </c>
      <c r="J87" s="372" t="s">
        <v>31</v>
      </c>
      <c r="K87" s="372" t="s">
        <v>30</v>
      </c>
      <c r="L87" s="589" t="s">
        <v>1026</v>
      </c>
      <c r="M87" s="590" t="s">
        <v>271</v>
      </c>
      <c r="N87" s="382" t="s">
        <v>271</v>
      </c>
      <c r="O87" s="777" t="s">
        <v>37</v>
      </c>
      <c r="P87" s="372"/>
      <c r="Q87" s="372"/>
      <c r="R87" s="372" t="s">
        <v>31</v>
      </c>
      <c r="S87" s="358" t="s">
        <v>134</v>
      </c>
      <c r="T87" s="372"/>
      <c r="U87" s="502" t="s">
        <v>1130</v>
      </c>
      <c r="V87" s="292"/>
      <c r="W87" s="628" t="s">
        <v>1367</v>
      </c>
      <c r="X87" s="372"/>
      <c r="Y87" s="372"/>
      <c r="Z87" s="372"/>
      <c r="AA87" s="372"/>
      <c r="AB87" s="372" t="s">
        <v>627</v>
      </c>
      <c r="AC87" s="372"/>
      <c r="AD87" s="372"/>
      <c r="AE87" s="374"/>
      <c r="AF87" s="372"/>
      <c r="AG87" s="372"/>
      <c r="AH87" s="372"/>
      <c r="AI87" s="372"/>
      <c r="AJ87" s="375"/>
      <c r="AK87" s="147" t="s">
        <v>31</v>
      </c>
      <c r="AL87" s="365" t="s">
        <v>30</v>
      </c>
      <c r="AM87" s="639"/>
      <c r="AN87" s="147"/>
      <c r="AO87" s="147"/>
      <c r="AP87" s="147"/>
      <c r="AQ87" s="355"/>
      <c r="AR87" s="147"/>
      <c r="AS87" s="359"/>
      <c r="AT87" s="147"/>
    </row>
    <row r="88" spans="1:46" s="274" customFormat="1">
      <c r="A88" s="172">
        <v>87</v>
      </c>
      <c r="B88" s="130" t="s">
        <v>78</v>
      </c>
      <c r="C88" s="372">
        <v>6</v>
      </c>
      <c r="D88" s="148" t="str">
        <f>VLOOKUP(C88,Table8[],2,0)</f>
        <v>F. ANA P.</v>
      </c>
      <c r="E88" s="416">
        <v>65917576492</v>
      </c>
      <c r="F88" s="390" t="s">
        <v>79</v>
      </c>
      <c r="G88" s="686" t="s">
        <v>1461</v>
      </c>
      <c r="H88" s="377"/>
      <c r="I88" s="372">
        <v>86.9</v>
      </c>
      <c r="J88" s="372" t="s">
        <v>31</v>
      </c>
      <c r="K88" s="372" t="s">
        <v>31</v>
      </c>
      <c r="L88" s="589" t="s">
        <v>1026</v>
      </c>
      <c r="M88" s="590" t="s">
        <v>271</v>
      </c>
      <c r="N88" s="382" t="s">
        <v>271</v>
      </c>
      <c r="O88" s="785" t="s">
        <v>34</v>
      </c>
      <c r="P88" s="372"/>
      <c r="Q88" s="372"/>
      <c r="R88" s="372" t="s">
        <v>31</v>
      </c>
      <c r="S88" s="358" t="s">
        <v>134</v>
      </c>
      <c r="T88" s="372"/>
      <c r="U88" s="502" t="s">
        <v>1124</v>
      </c>
      <c r="V88" s="292"/>
      <c r="W88" s="628" t="s">
        <v>1367</v>
      </c>
      <c r="X88" s="374" t="s">
        <v>625</v>
      </c>
      <c r="Y88" s="374" t="s">
        <v>626</v>
      </c>
      <c r="Z88" s="372" t="s">
        <v>42</v>
      </c>
      <c r="AA88" s="372" t="s">
        <v>42</v>
      </c>
      <c r="AB88" s="372" t="s">
        <v>627</v>
      </c>
      <c r="AC88" s="372"/>
      <c r="AD88" s="372"/>
      <c r="AE88" s="374"/>
      <c r="AF88" s="372"/>
      <c r="AG88" s="372"/>
      <c r="AH88" s="372"/>
      <c r="AI88" s="372"/>
      <c r="AJ88" s="375"/>
      <c r="AK88" s="147" t="s">
        <v>31</v>
      </c>
      <c r="AL88" s="657" t="s">
        <v>30</v>
      </c>
      <c r="AM88" s="147"/>
      <c r="AN88" s="147"/>
      <c r="AO88" s="147"/>
      <c r="AP88" s="147"/>
      <c r="AQ88" s="355"/>
      <c r="AR88" s="147"/>
      <c r="AS88" s="359"/>
      <c r="AT88" s="147"/>
    </row>
    <row r="89" spans="1:46" s="274" customFormat="1">
      <c r="A89" s="172">
        <v>88</v>
      </c>
      <c r="B89" s="647" t="s">
        <v>1407</v>
      </c>
      <c r="C89" s="147">
        <v>25</v>
      </c>
      <c r="D89" s="376" t="str">
        <f>VLOOKUP(C89,Table8[],2,0)</f>
        <v>F. MARKO</v>
      </c>
      <c r="E89" s="354" t="s">
        <v>1586</v>
      </c>
      <c r="F89" s="404" t="s">
        <v>905</v>
      </c>
      <c r="G89" s="146" t="s">
        <v>1587</v>
      </c>
      <c r="H89" s="355"/>
      <c r="I89" s="147"/>
      <c r="J89" s="447" t="s">
        <v>31</v>
      </c>
      <c r="K89" s="447" t="s">
        <v>30</v>
      </c>
      <c r="L89" s="589" t="s">
        <v>1026</v>
      </c>
      <c r="M89" s="590" t="s">
        <v>891</v>
      </c>
      <c r="N89" s="448" t="s">
        <v>876</v>
      </c>
      <c r="O89" s="777" t="s">
        <v>34</v>
      </c>
      <c r="P89" s="147" t="s">
        <v>31</v>
      </c>
      <c r="Q89" s="147" t="s">
        <v>31</v>
      </c>
      <c r="R89" s="147" t="s">
        <v>31</v>
      </c>
      <c r="S89" s="447" t="s">
        <v>134</v>
      </c>
      <c r="T89" s="147"/>
      <c r="U89" s="510" t="s">
        <v>1172</v>
      </c>
      <c r="W89" s="628" t="s">
        <v>1367</v>
      </c>
      <c r="X89" s="147"/>
      <c r="Y89" s="147"/>
      <c r="Z89" s="147"/>
      <c r="AA89" s="147"/>
      <c r="AB89" s="147"/>
      <c r="AC89" s="359">
        <v>45931</v>
      </c>
      <c r="AD89" s="147"/>
      <c r="AE89" s="359">
        <v>46023</v>
      </c>
      <c r="AF89" s="147">
        <v>2400</v>
      </c>
      <c r="AG89" s="147" t="s">
        <v>72</v>
      </c>
      <c r="AH89" s="147"/>
      <c r="AI89" s="147"/>
      <c r="AJ89" s="147"/>
      <c r="AK89" s="147"/>
      <c r="AL89" s="663" t="s">
        <v>30</v>
      </c>
      <c r="AM89" s="646" t="s">
        <v>1387</v>
      </c>
      <c r="AN89" s="147"/>
      <c r="AO89" s="147"/>
      <c r="AP89" s="147"/>
      <c r="AQ89" s="355"/>
      <c r="AR89" s="147"/>
      <c r="AS89" s="359"/>
      <c r="AT89" s="147"/>
    </row>
    <row r="90" spans="1:46" s="274" customFormat="1" ht="24">
      <c r="A90" s="172">
        <v>89</v>
      </c>
      <c r="B90" s="130" t="s">
        <v>1408</v>
      </c>
      <c r="C90" s="372">
        <v>15</v>
      </c>
      <c r="D90" s="148" t="str">
        <f>VLOOKUP(C90,Table8[],2,0)</f>
        <v>NIKOLINA</v>
      </c>
      <c r="E90" s="354">
        <v>97263737727</v>
      </c>
      <c r="F90" s="528" t="s">
        <v>1268</v>
      </c>
      <c r="G90" s="686" t="s">
        <v>1513</v>
      </c>
      <c r="H90" s="373" t="s">
        <v>598</v>
      </c>
      <c r="I90" s="372">
        <v>71.12</v>
      </c>
      <c r="J90" s="372" t="s">
        <v>31</v>
      </c>
      <c r="K90" s="372" t="s">
        <v>30</v>
      </c>
      <c r="L90" s="589" t="s">
        <v>1026</v>
      </c>
      <c r="M90" s="410" t="s">
        <v>1035</v>
      </c>
      <c r="N90" s="357" t="s">
        <v>876</v>
      </c>
      <c r="O90" s="785" t="s">
        <v>34</v>
      </c>
      <c r="P90" s="372"/>
      <c r="Q90" s="372" t="s">
        <v>31</v>
      </c>
      <c r="R90" s="372"/>
      <c r="S90" s="358" t="s">
        <v>134</v>
      </c>
      <c r="T90" s="372"/>
      <c r="U90" s="502" t="s">
        <v>1150</v>
      </c>
      <c r="V90" s="292"/>
      <c r="W90" s="740" t="s">
        <v>30</v>
      </c>
      <c r="X90" s="372"/>
      <c r="Y90" s="372"/>
      <c r="Z90" s="372"/>
      <c r="AA90" s="372"/>
      <c r="AB90" s="372" t="s">
        <v>558</v>
      </c>
      <c r="AC90" s="372"/>
      <c r="AD90" s="372"/>
      <c r="AE90" s="374"/>
      <c r="AF90" s="372"/>
      <c r="AG90" s="372"/>
      <c r="AH90" s="372">
        <v>75</v>
      </c>
      <c r="AI90" s="372"/>
      <c r="AJ90" s="375"/>
      <c r="AK90" s="147" t="s">
        <v>30</v>
      </c>
      <c r="AL90" s="365" t="s">
        <v>30</v>
      </c>
      <c r="AM90" s="790" t="s">
        <v>1100</v>
      </c>
      <c r="AN90" s="915" t="s">
        <v>1375</v>
      </c>
      <c r="AO90" s="865" t="s">
        <v>1828</v>
      </c>
      <c r="AP90" s="865" t="s">
        <v>1830</v>
      </c>
      <c r="AQ90" s="928">
        <v>8069253268</v>
      </c>
      <c r="AR90" s="910">
        <f>70*1.1</f>
        <v>77</v>
      </c>
      <c r="AS90" s="359"/>
      <c r="AT90" s="821" t="s">
        <v>1829</v>
      </c>
    </row>
    <row r="91" spans="1:46" s="274" customFormat="1" ht="16.5">
      <c r="A91" s="172">
        <v>90</v>
      </c>
      <c r="B91" s="130" t="s">
        <v>1409</v>
      </c>
      <c r="C91" s="372">
        <v>2</v>
      </c>
      <c r="D91" s="148" t="str">
        <f>VLOOKUP(C91,Table8[],2,0)</f>
        <v>LAURA</v>
      </c>
      <c r="E91" s="354" t="s">
        <v>1831</v>
      </c>
      <c r="F91" s="366" t="s">
        <v>125</v>
      </c>
      <c r="G91" s="449" t="s">
        <v>1091</v>
      </c>
      <c r="H91" s="377"/>
      <c r="I91" s="408" t="s">
        <v>930</v>
      </c>
      <c r="J91" s="372" t="s">
        <v>30</v>
      </c>
      <c r="K91" s="372" t="s">
        <v>31</v>
      </c>
      <c r="L91" s="163" t="s">
        <v>1026</v>
      </c>
      <c r="M91" s="410" t="s">
        <v>1061</v>
      </c>
      <c r="N91" s="357" t="s">
        <v>44</v>
      </c>
      <c r="O91" s="785" t="s">
        <v>34</v>
      </c>
      <c r="P91" s="372"/>
      <c r="Q91" s="372"/>
      <c r="R91" s="372" t="s">
        <v>31</v>
      </c>
      <c r="S91" s="358" t="s">
        <v>134</v>
      </c>
      <c r="T91" s="372"/>
      <c r="U91" s="502" t="s">
        <v>1148</v>
      </c>
      <c r="V91" s="292"/>
      <c r="W91" s="740" t="s">
        <v>30</v>
      </c>
      <c r="X91" s="372"/>
      <c r="Y91" s="372"/>
      <c r="Z91" s="372"/>
      <c r="AA91" s="372"/>
      <c r="AB91" s="372" t="s">
        <v>677</v>
      </c>
      <c r="AC91" s="372"/>
      <c r="AD91" s="372"/>
      <c r="AE91" s="374"/>
      <c r="AF91" s="372"/>
      <c r="AG91" s="372"/>
      <c r="AH91" s="372" t="s">
        <v>678</v>
      </c>
      <c r="AI91" s="372"/>
      <c r="AJ91" s="375"/>
      <c r="AK91" s="147" t="s">
        <v>31</v>
      </c>
      <c r="AL91" s="657" t="s">
        <v>30</v>
      </c>
      <c r="AM91" s="147"/>
      <c r="AN91" s="915" t="s">
        <v>1833</v>
      </c>
      <c r="AO91" s="865" t="s">
        <v>1832</v>
      </c>
      <c r="AP91" s="865" t="s">
        <v>1834</v>
      </c>
      <c r="AQ91" s="926">
        <v>71767381510</v>
      </c>
      <c r="AR91" s="910">
        <f>60*1.1</f>
        <v>66</v>
      </c>
      <c r="AS91" s="359"/>
      <c r="AT91" s="821" t="s">
        <v>125</v>
      </c>
    </row>
    <row r="92" spans="1:46" s="274" customFormat="1" ht="16.5">
      <c r="A92" s="172">
        <v>91</v>
      </c>
      <c r="B92" s="265" t="s">
        <v>1022</v>
      </c>
      <c r="C92" s="147">
        <v>15</v>
      </c>
      <c r="D92" s="430" t="str">
        <f>VLOOKUP(C92,Table8[],2,0)</f>
        <v>NIKOLINA</v>
      </c>
      <c r="E92" s="354">
        <v>45346793780</v>
      </c>
      <c r="F92" s="404" t="s">
        <v>1674</v>
      </c>
      <c r="G92" s="265" t="s">
        <v>1021</v>
      </c>
      <c r="H92" s="355"/>
      <c r="I92" s="355"/>
      <c r="J92" s="750" t="s">
        <v>30</v>
      </c>
      <c r="K92" s="750" t="s">
        <v>31</v>
      </c>
      <c r="L92" s="612" t="s">
        <v>1026</v>
      </c>
      <c r="M92" s="609" t="s">
        <v>1077</v>
      </c>
      <c r="N92" s="362" t="s">
        <v>44</v>
      </c>
      <c r="O92" s="773" t="s">
        <v>42</v>
      </c>
      <c r="P92" s="147"/>
      <c r="Q92" s="147"/>
      <c r="R92" s="147"/>
      <c r="S92" s="748" t="s">
        <v>839</v>
      </c>
      <c r="T92" s="147"/>
      <c r="U92" s="976" t="s">
        <v>1988</v>
      </c>
      <c r="V92" s="147"/>
      <c r="W92" s="738" t="s">
        <v>31</v>
      </c>
      <c r="X92" s="147" t="s">
        <v>1366</v>
      </c>
      <c r="Y92" s="147"/>
      <c r="Z92" s="147"/>
      <c r="AA92" s="147"/>
      <c r="AB92" s="147"/>
      <c r="AC92" s="359"/>
      <c r="AD92" s="359"/>
      <c r="AE92" s="359"/>
      <c r="AF92" s="147"/>
      <c r="AG92" s="147"/>
      <c r="AH92" s="147"/>
      <c r="AI92" s="147"/>
      <c r="AJ92" s="147"/>
      <c r="AK92" s="147"/>
      <c r="AL92" s="657" t="s">
        <v>30</v>
      </c>
      <c r="AM92" s="147" t="s">
        <v>1100</v>
      </c>
      <c r="AN92" s="915" t="s">
        <v>1375</v>
      </c>
      <c r="AO92" s="915" t="s">
        <v>1382</v>
      </c>
      <c r="AP92" s="865" t="s">
        <v>1835</v>
      </c>
      <c r="AQ92" s="926">
        <v>21400542969</v>
      </c>
      <c r="AR92" s="147"/>
      <c r="AS92" s="359"/>
      <c r="AT92" s="919" t="s">
        <v>1836</v>
      </c>
    </row>
    <row r="93" spans="1:46" s="274" customFormat="1" ht="24">
      <c r="A93" s="172">
        <v>92</v>
      </c>
      <c r="B93" s="251" t="s">
        <v>136</v>
      </c>
      <c r="C93" s="372">
        <v>23</v>
      </c>
      <c r="D93" s="148" t="str">
        <f>VLOOKUP(C93,Table8[],2,0)</f>
        <v>MARKO</v>
      </c>
      <c r="E93" s="400" t="s">
        <v>840</v>
      </c>
      <c r="F93" s="528" t="s">
        <v>1267</v>
      </c>
      <c r="G93" s="246" t="s">
        <v>137</v>
      </c>
      <c r="H93" s="377"/>
      <c r="I93" s="372">
        <v>55.9</v>
      </c>
      <c r="J93" s="372" t="s">
        <v>31</v>
      </c>
      <c r="K93" s="450" t="s">
        <v>31</v>
      </c>
      <c r="L93" s="167">
        <v>2026</v>
      </c>
      <c r="M93" s="543" t="s">
        <v>1090</v>
      </c>
      <c r="N93" s="357" t="s">
        <v>876</v>
      </c>
      <c r="O93" s="783" t="s">
        <v>34</v>
      </c>
      <c r="P93" s="372" t="s">
        <v>41</v>
      </c>
      <c r="Q93" s="372"/>
      <c r="R93" s="372" t="s">
        <v>31</v>
      </c>
      <c r="S93" s="383" t="s">
        <v>839</v>
      </c>
      <c r="T93" s="372"/>
      <c r="U93" s="930" t="s">
        <v>1959</v>
      </c>
      <c r="V93" s="292" t="s">
        <v>77</v>
      </c>
      <c r="W93" s="743" t="s">
        <v>30</v>
      </c>
      <c r="X93" s="372"/>
      <c r="Y93" s="372"/>
      <c r="Z93" s="372"/>
      <c r="AA93" s="372"/>
      <c r="AB93" s="372" t="s">
        <v>555</v>
      </c>
      <c r="AC93" s="374" t="s">
        <v>685</v>
      </c>
      <c r="AD93" s="372"/>
      <c r="AE93" s="374"/>
      <c r="AF93" s="372"/>
      <c r="AG93" s="372" t="s">
        <v>72</v>
      </c>
      <c r="AH93" s="372"/>
      <c r="AI93" s="372"/>
      <c r="AJ93" s="375"/>
      <c r="AK93" s="147" t="s">
        <v>30</v>
      </c>
      <c r="AL93" s="657" t="s">
        <v>30</v>
      </c>
      <c r="AM93" s="147" t="s">
        <v>1100</v>
      </c>
      <c r="AN93" s="915" t="s">
        <v>1375</v>
      </c>
      <c r="AO93" s="915" t="s">
        <v>1382</v>
      </c>
      <c r="AP93" s="865" t="s">
        <v>1838</v>
      </c>
      <c r="AQ93" s="926">
        <v>79288086273</v>
      </c>
      <c r="AR93" s="910">
        <f>50*1.1</f>
        <v>55.000000000000007</v>
      </c>
      <c r="AS93" s="359"/>
      <c r="AT93" s="821" t="s">
        <v>1837</v>
      </c>
    </row>
    <row r="94" spans="1:46" s="274" customFormat="1">
      <c r="A94" s="172">
        <v>93</v>
      </c>
      <c r="B94" s="245" t="s">
        <v>728</v>
      </c>
      <c r="C94" s="360">
        <v>0</v>
      </c>
      <c r="D94" s="148" t="str">
        <f>VLOOKUP(C94,Table8[],2,0)</f>
        <v>NITKO</v>
      </c>
      <c r="E94" s="354">
        <v>48119021159</v>
      </c>
      <c r="F94" s="404" t="s">
        <v>729</v>
      </c>
      <c r="G94" s="688" t="s">
        <v>1514</v>
      </c>
      <c r="H94" s="355"/>
      <c r="I94" s="147"/>
      <c r="J94" s="147" t="s">
        <v>30</v>
      </c>
      <c r="K94" s="147" t="s">
        <v>31</v>
      </c>
      <c r="L94" s="164">
        <v>2026</v>
      </c>
      <c r="M94" s="552" t="s">
        <v>1062</v>
      </c>
      <c r="N94" s="357" t="s">
        <v>875</v>
      </c>
      <c r="O94" s="774" t="s">
        <v>37</v>
      </c>
      <c r="P94" s="147" t="s">
        <v>31</v>
      </c>
      <c r="Q94" s="147" t="s">
        <v>31</v>
      </c>
      <c r="R94" s="147" t="s">
        <v>31</v>
      </c>
      <c r="S94" s="360" t="s">
        <v>839</v>
      </c>
      <c r="T94" s="147"/>
      <c r="U94" s="1026" t="s">
        <v>2035</v>
      </c>
      <c r="W94" s="738" t="s">
        <v>38</v>
      </c>
      <c r="X94" s="147"/>
      <c r="Y94" s="147"/>
      <c r="Z94" s="147"/>
      <c r="AA94" s="147"/>
      <c r="AB94" s="147"/>
      <c r="AC94" s="359">
        <v>45474</v>
      </c>
      <c r="AD94" s="147"/>
      <c r="AE94" s="359"/>
      <c r="AF94" s="147"/>
      <c r="AG94" s="147"/>
      <c r="AH94" s="147"/>
      <c r="AI94" s="147"/>
      <c r="AJ94" s="147"/>
      <c r="AK94" s="147" t="s">
        <v>31</v>
      </c>
      <c r="AL94" s="657" t="s">
        <v>30</v>
      </c>
      <c r="AM94" s="147"/>
      <c r="AN94" s="356"/>
      <c r="AO94" s="356"/>
      <c r="AP94" s="356"/>
      <c r="AQ94" s="355"/>
      <c r="AR94" s="910"/>
      <c r="AS94" s="359"/>
      <c r="AT94" s="334"/>
    </row>
    <row r="95" spans="1:46" s="274" customFormat="1" ht="24">
      <c r="A95" s="172">
        <v>94</v>
      </c>
      <c r="B95" s="259" t="s">
        <v>1410</v>
      </c>
      <c r="C95" s="413">
        <v>7</v>
      </c>
      <c r="D95" s="475" t="str">
        <f>VLOOKUP(C95,Table8[],2,0)</f>
        <v>SJEDIŠTE</v>
      </c>
      <c r="E95" s="421">
        <v>33517399818</v>
      </c>
      <c r="F95" s="559" t="s">
        <v>1284</v>
      </c>
      <c r="G95" s="689" t="s">
        <v>1515</v>
      </c>
      <c r="H95" s="634" t="s">
        <v>691</v>
      </c>
      <c r="I95" s="413">
        <v>77.34</v>
      </c>
      <c r="J95" s="413" t="s">
        <v>30</v>
      </c>
      <c r="K95" s="413" t="s">
        <v>31</v>
      </c>
      <c r="L95" s="600" t="s">
        <v>1309</v>
      </c>
      <c r="M95" s="494"/>
      <c r="N95" s="357" t="s">
        <v>44</v>
      </c>
      <c r="O95" s="788" t="s">
        <v>34</v>
      </c>
      <c r="P95" s="372"/>
      <c r="Q95" s="372"/>
      <c r="R95" s="372" t="s">
        <v>31</v>
      </c>
      <c r="S95" s="360" t="s">
        <v>839</v>
      </c>
      <c r="T95" s="372"/>
      <c r="U95" s="513" t="s">
        <v>1179</v>
      </c>
      <c r="V95" s="292"/>
      <c r="W95" s="147" t="s">
        <v>31</v>
      </c>
      <c r="X95" s="372"/>
      <c r="Y95" s="372"/>
      <c r="Z95" s="372"/>
      <c r="AA95" s="372"/>
      <c r="AB95" s="372" t="s">
        <v>651</v>
      </c>
      <c r="AC95" s="423" t="s">
        <v>652</v>
      </c>
      <c r="AD95" s="413"/>
      <c r="AE95" s="423"/>
      <c r="AF95" s="413"/>
      <c r="AG95" s="413"/>
      <c r="AH95" s="372"/>
      <c r="AI95" s="372"/>
      <c r="AJ95" s="375"/>
      <c r="AK95" s="147" t="s">
        <v>30</v>
      </c>
      <c r="AL95" s="657" t="s">
        <v>30</v>
      </c>
      <c r="AM95" s="147"/>
      <c r="AN95" s="147"/>
      <c r="AO95" s="147"/>
      <c r="AP95" s="147"/>
      <c r="AQ95" s="355"/>
      <c r="AR95" s="147"/>
      <c r="AS95" s="359"/>
      <c r="AT95" s="147"/>
    </row>
    <row r="96" spans="1:46" s="274" customFormat="1" ht="16.5">
      <c r="A96" s="172">
        <v>95</v>
      </c>
      <c r="B96" s="266" t="s">
        <v>791</v>
      </c>
      <c r="C96" s="147">
        <v>15</v>
      </c>
      <c r="D96" s="148" t="str">
        <f>VLOOKUP(C96,Table8[],2,0)</f>
        <v>NIKOLINA</v>
      </c>
      <c r="E96" s="446">
        <v>95835506507</v>
      </c>
      <c r="F96" s="366" t="s">
        <v>792</v>
      </c>
      <c r="G96" s="688" t="s">
        <v>1516</v>
      </c>
      <c r="H96" s="452" t="s">
        <v>793</v>
      </c>
      <c r="I96" s="453" t="s">
        <v>794</v>
      </c>
      <c r="J96" s="147" t="s">
        <v>30</v>
      </c>
      <c r="K96" s="147" t="s">
        <v>31</v>
      </c>
      <c r="L96" s="163" t="s">
        <v>1026</v>
      </c>
      <c r="M96" s="410" t="s">
        <v>1085</v>
      </c>
      <c r="N96" s="454" t="s">
        <v>876</v>
      </c>
      <c r="O96" s="783" t="s">
        <v>34</v>
      </c>
      <c r="P96" s="147" t="s">
        <v>31</v>
      </c>
      <c r="Q96" s="147" t="s">
        <v>31</v>
      </c>
      <c r="R96" s="147" t="s">
        <v>31</v>
      </c>
      <c r="S96" s="147" t="s">
        <v>64</v>
      </c>
      <c r="T96" s="147"/>
      <c r="U96" s="502" t="s">
        <v>1141</v>
      </c>
      <c r="W96" s="738" t="s">
        <v>30</v>
      </c>
      <c r="X96" s="147"/>
      <c r="Y96" s="147"/>
      <c r="Z96" s="147"/>
      <c r="AA96" s="147"/>
      <c r="AB96" s="453" t="s">
        <v>795</v>
      </c>
      <c r="AC96" s="359">
        <v>45600</v>
      </c>
      <c r="AD96" s="147"/>
      <c r="AE96" s="359"/>
      <c r="AF96" s="147"/>
      <c r="AG96" s="147"/>
      <c r="AH96" s="147"/>
      <c r="AI96" s="147"/>
      <c r="AJ96" s="147"/>
      <c r="AK96" s="147" t="s">
        <v>30</v>
      </c>
      <c r="AL96" s="372"/>
      <c r="AM96" s="147" t="s">
        <v>1098</v>
      </c>
      <c r="AN96" s="915" t="s">
        <v>1214</v>
      </c>
      <c r="AO96" s="915" t="s">
        <v>1839</v>
      </c>
      <c r="AP96" s="865" t="s">
        <v>1840</v>
      </c>
      <c r="AQ96" s="926">
        <v>96376768722</v>
      </c>
      <c r="AR96" s="910">
        <f>100*1.1</f>
        <v>110.00000000000001</v>
      </c>
      <c r="AS96" s="359"/>
      <c r="AT96" s="821" t="s">
        <v>792</v>
      </c>
    </row>
    <row r="97" spans="1:46" s="274" customFormat="1" ht="16.5">
      <c r="A97" s="172">
        <v>96</v>
      </c>
      <c r="B97" s="130" t="s">
        <v>1411</v>
      </c>
      <c r="C97" s="372">
        <v>15</v>
      </c>
      <c r="D97" s="148" t="str">
        <f>VLOOKUP(C97,Table8[],2,0)</f>
        <v>NIKOLINA</v>
      </c>
      <c r="E97" s="354">
        <v>37860539453</v>
      </c>
      <c r="F97" s="366" t="s">
        <v>105</v>
      </c>
      <c r="G97" s="686" t="s">
        <v>1517</v>
      </c>
      <c r="H97" s="427" t="s">
        <v>661</v>
      </c>
      <c r="I97" s="372">
        <v>49.41</v>
      </c>
      <c r="J97" s="372" t="s">
        <v>30</v>
      </c>
      <c r="K97" s="372" t="s">
        <v>30</v>
      </c>
      <c r="L97" s="163" t="s">
        <v>1026</v>
      </c>
      <c r="M97" s="410" t="s">
        <v>1024</v>
      </c>
      <c r="N97" s="382" t="s">
        <v>876</v>
      </c>
      <c r="O97" s="788" t="s">
        <v>34</v>
      </c>
      <c r="P97" s="372"/>
      <c r="Q97" s="372" t="s">
        <v>31</v>
      </c>
      <c r="R97" s="372" t="s">
        <v>31</v>
      </c>
      <c r="S97" s="358" t="s">
        <v>134</v>
      </c>
      <c r="T97" s="372"/>
      <c r="U97" s="502" t="s">
        <v>1143</v>
      </c>
      <c r="V97" s="292"/>
      <c r="W97" s="740" t="s">
        <v>30</v>
      </c>
      <c r="X97" s="372"/>
      <c r="Y97" s="372"/>
      <c r="Z97" s="372"/>
      <c r="AA97" s="372"/>
      <c r="AB97" s="372" t="s">
        <v>659</v>
      </c>
      <c r="AC97" s="372"/>
      <c r="AD97" s="372"/>
      <c r="AE97" s="374"/>
      <c r="AF97" s="372"/>
      <c r="AG97" s="372"/>
      <c r="AH97" s="372" t="s">
        <v>660</v>
      </c>
      <c r="AI97" s="372"/>
      <c r="AJ97" s="375"/>
      <c r="AK97" s="147" t="s">
        <v>30</v>
      </c>
      <c r="AL97" s="413"/>
      <c r="AM97" s="147"/>
      <c r="AN97" s="915" t="s">
        <v>1841</v>
      </c>
      <c r="AO97" s="922" t="s">
        <v>1842</v>
      </c>
      <c r="AP97" s="865" t="s">
        <v>1843</v>
      </c>
      <c r="AQ97" s="926">
        <v>70179223863</v>
      </c>
      <c r="AR97" s="910">
        <f>132.72*1.1</f>
        <v>145.99200000000002</v>
      </c>
      <c r="AS97" s="359"/>
      <c r="AT97" s="821" t="s">
        <v>105</v>
      </c>
    </row>
    <row r="98" spans="1:46" s="274" customFormat="1" ht="24">
      <c r="A98" s="172">
        <v>97</v>
      </c>
      <c r="B98" s="255" t="s">
        <v>701</v>
      </c>
      <c r="C98" s="365">
        <v>2</v>
      </c>
      <c r="D98" s="148" t="str">
        <f>VLOOKUP(C98,Table8[],2,0)</f>
        <v>LAURA</v>
      </c>
      <c r="E98" s="354" t="s">
        <v>1462</v>
      </c>
      <c r="F98" s="533" t="s">
        <v>1058</v>
      </c>
      <c r="G98" s="367" t="s">
        <v>1463</v>
      </c>
      <c r="H98" s="368"/>
      <c r="I98" s="365">
        <v>55.2</v>
      </c>
      <c r="J98" s="365" t="s">
        <v>30</v>
      </c>
      <c r="K98" s="365" t="s">
        <v>30</v>
      </c>
      <c r="L98" s="166" t="s">
        <v>1026</v>
      </c>
      <c r="M98" s="410" t="s">
        <v>1088</v>
      </c>
      <c r="N98" s="357" t="s">
        <v>44</v>
      </c>
      <c r="O98" s="784" t="s">
        <v>34</v>
      </c>
      <c r="P98" s="365" t="s">
        <v>31</v>
      </c>
      <c r="Q98" s="365" t="s">
        <v>31</v>
      </c>
      <c r="R98" s="365" t="s">
        <v>31</v>
      </c>
      <c r="S98" s="360" t="s">
        <v>839</v>
      </c>
      <c r="T98" s="365"/>
      <c r="U98" s="370" t="s">
        <v>1249</v>
      </c>
      <c r="V98" s="370"/>
      <c r="W98" s="739" t="s">
        <v>30</v>
      </c>
      <c r="X98" s="365"/>
      <c r="Y98" s="365"/>
      <c r="Z98" s="365"/>
      <c r="AA98" s="365"/>
      <c r="AB98" s="365" t="s">
        <v>577</v>
      </c>
      <c r="AC98" s="371"/>
      <c r="AD98" s="365"/>
      <c r="AE98" s="371"/>
      <c r="AF98" s="365"/>
      <c r="AG98" s="365"/>
      <c r="AH98" s="365"/>
      <c r="AI98" s="365"/>
      <c r="AJ98" s="365"/>
      <c r="AK98" s="147" t="s">
        <v>30</v>
      </c>
      <c r="AL98" s="413"/>
      <c r="AM98" s="639"/>
      <c r="AN98" s="915" t="s">
        <v>1845</v>
      </c>
      <c r="AO98" s="915" t="s">
        <v>1846</v>
      </c>
      <c r="AP98" s="865" t="s">
        <v>1847</v>
      </c>
      <c r="AQ98" s="926">
        <v>31176093594</v>
      </c>
      <c r="AR98" s="910">
        <f>75*1.1</f>
        <v>82.5</v>
      </c>
      <c r="AS98" s="359"/>
      <c r="AT98" s="821" t="s">
        <v>1844</v>
      </c>
    </row>
    <row r="99" spans="1:46" s="274" customFormat="1" ht="16.5">
      <c r="A99" s="172">
        <v>98</v>
      </c>
      <c r="B99" s="245" t="s">
        <v>759</v>
      </c>
      <c r="C99" s="360">
        <v>9</v>
      </c>
      <c r="D99" s="148" t="str">
        <f>VLOOKUP(C99,Table8[],2,0)</f>
        <v>SANDRA</v>
      </c>
      <c r="E99" s="354">
        <v>90066951725</v>
      </c>
      <c r="F99" s="384" t="s">
        <v>798</v>
      </c>
      <c r="G99" s="146" t="s">
        <v>797</v>
      </c>
      <c r="H99" s="355"/>
      <c r="I99" s="355" t="s">
        <v>933</v>
      </c>
      <c r="J99" s="147" t="s">
        <v>31</v>
      </c>
      <c r="K99" s="147" t="s">
        <v>30</v>
      </c>
      <c r="L99" s="164">
        <v>2026</v>
      </c>
      <c r="M99" s="552" t="s">
        <v>1066</v>
      </c>
      <c r="N99" s="357" t="s">
        <v>30</v>
      </c>
      <c r="O99" s="783" t="s">
        <v>34</v>
      </c>
      <c r="P99" s="147" t="s">
        <v>128</v>
      </c>
      <c r="Q99" s="147" t="s">
        <v>128</v>
      </c>
      <c r="R99" s="147" t="s">
        <v>128</v>
      </c>
      <c r="S99" s="360" t="s">
        <v>839</v>
      </c>
      <c r="T99" s="147"/>
      <c r="U99" s="274" t="s">
        <v>1121</v>
      </c>
      <c r="W99" s="738" t="s">
        <v>30</v>
      </c>
      <c r="X99" s="147"/>
      <c r="Y99" s="147"/>
      <c r="Z99" s="147"/>
      <c r="AA99" s="147"/>
      <c r="AB99" s="147"/>
      <c r="AC99" s="359">
        <v>45600</v>
      </c>
      <c r="AD99" s="147"/>
      <c r="AE99" s="359">
        <v>45597</v>
      </c>
      <c r="AF99" s="147">
        <v>500</v>
      </c>
      <c r="AG99" s="147" t="s">
        <v>72</v>
      </c>
      <c r="AH99" s="147"/>
      <c r="AI99" s="147"/>
      <c r="AJ99" s="147"/>
      <c r="AK99" s="147" t="s">
        <v>30</v>
      </c>
      <c r="AL99" s="657" t="s">
        <v>30</v>
      </c>
      <c r="AM99" s="147" t="s">
        <v>1605</v>
      </c>
      <c r="AN99" s="915" t="s">
        <v>1375</v>
      </c>
      <c r="AO99" s="915" t="s">
        <v>1382</v>
      </c>
      <c r="AP99" s="865" t="s">
        <v>1848</v>
      </c>
      <c r="AQ99" s="926">
        <v>94596593929</v>
      </c>
      <c r="AR99" s="910">
        <f>75*1.1</f>
        <v>82.5</v>
      </c>
      <c r="AS99" s="359"/>
      <c r="AT99" s="821" t="s">
        <v>798</v>
      </c>
    </row>
    <row r="100" spans="1:46" s="274" customFormat="1" ht="24">
      <c r="A100" s="172">
        <v>99</v>
      </c>
      <c r="B100" s="259" t="s">
        <v>1412</v>
      </c>
      <c r="C100" s="413">
        <v>7</v>
      </c>
      <c r="D100" s="475" t="str">
        <f>VLOOKUP(C100,Table8[],2,0)</f>
        <v>SJEDIŠTE</v>
      </c>
      <c r="E100" s="421">
        <v>76189203958</v>
      </c>
      <c r="F100" s="534" t="s">
        <v>1266</v>
      </c>
      <c r="G100" s="689" t="s">
        <v>1464</v>
      </c>
      <c r="H100" s="634" t="s">
        <v>693</v>
      </c>
      <c r="I100" s="413">
        <v>77.34</v>
      </c>
      <c r="J100" s="413" t="s">
        <v>30</v>
      </c>
      <c r="K100" s="413" t="s">
        <v>31</v>
      </c>
      <c r="L100" s="591" t="s">
        <v>1309</v>
      </c>
      <c r="M100" s="494"/>
      <c r="N100" s="357" t="s">
        <v>44</v>
      </c>
      <c r="O100" s="788" t="s">
        <v>34</v>
      </c>
      <c r="P100" s="372"/>
      <c r="Q100" s="372"/>
      <c r="R100" s="372" t="s">
        <v>31</v>
      </c>
      <c r="S100" s="360" t="s">
        <v>839</v>
      </c>
      <c r="T100" s="372"/>
      <c r="U100" s="513" t="s">
        <v>1178</v>
      </c>
      <c r="V100" s="292"/>
      <c r="W100" s="147" t="s">
        <v>31</v>
      </c>
      <c r="X100" s="372"/>
      <c r="Y100" s="372"/>
      <c r="Z100" s="372"/>
      <c r="AA100" s="372"/>
      <c r="AB100" s="372" t="s">
        <v>692</v>
      </c>
      <c r="AC100" s="423" t="s">
        <v>652</v>
      </c>
      <c r="AD100" s="413"/>
      <c r="AE100" s="423"/>
      <c r="AF100" s="413"/>
      <c r="AG100" s="413"/>
      <c r="AH100" s="372"/>
      <c r="AI100" s="372"/>
      <c r="AJ100" s="375"/>
      <c r="AK100" s="147" t="s">
        <v>30</v>
      </c>
      <c r="AL100" s="413"/>
      <c r="AM100" s="639"/>
      <c r="AN100" s="147"/>
      <c r="AO100" s="147"/>
      <c r="AP100" s="147"/>
      <c r="AQ100" s="355"/>
      <c r="AR100" s="147"/>
      <c r="AS100" s="359"/>
      <c r="AT100" s="147"/>
    </row>
    <row r="101" spans="1:46" s="274" customFormat="1" ht="16.5">
      <c r="A101" s="172">
        <v>100</v>
      </c>
      <c r="B101" s="247" t="s">
        <v>1413</v>
      </c>
      <c r="C101" s="360">
        <v>2</v>
      </c>
      <c r="D101" s="148" t="str">
        <f>VLOOKUP(C101,Table8[],2,0)</f>
        <v>LAURA</v>
      </c>
      <c r="E101" s="380">
        <v>61155520044</v>
      </c>
      <c r="F101" s="366" t="s">
        <v>59</v>
      </c>
      <c r="G101" s="686" t="s">
        <v>1465</v>
      </c>
      <c r="H101" s="373" t="s">
        <v>590</v>
      </c>
      <c r="I101" s="372">
        <v>55.2</v>
      </c>
      <c r="J101" s="372" t="s">
        <v>30</v>
      </c>
      <c r="K101" s="372" t="s">
        <v>31</v>
      </c>
      <c r="L101" s="608" t="s">
        <v>1026</v>
      </c>
      <c r="M101" s="410" t="s">
        <v>1078</v>
      </c>
      <c r="N101" s="357" t="s">
        <v>876</v>
      </c>
      <c r="O101" s="785" t="s">
        <v>34</v>
      </c>
      <c r="P101" s="372"/>
      <c r="Q101" s="372" t="s">
        <v>31</v>
      </c>
      <c r="R101" s="372"/>
      <c r="S101" s="360" t="s">
        <v>839</v>
      </c>
      <c r="T101" s="372"/>
      <c r="U101" s="512" t="s">
        <v>1177</v>
      </c>
      <c r="V101" s="292"/>
      <c r="W101" s="740" t="s">
        <v>30</v>
      </c>
      <c r="X101" s="374" t="s">
        <v>589</v>
      </c>
      <c r="Y101" s="374" t="s">
        <v>589</v>
      </c>
      <c r="Z101" s="372" t="s">
        <v>42</v>
      </c>
      <c r="AA101" s="374" t="s">
        <v>589</v>
      </c>
      <c r="AB101" s="372" t="s">
        <v>577</v>
      </c>
      <c r="AC101" s="372"/>
      <c r="AD101" s="372"/>
      <c r="AE101" s="374"/>
      <c r="AF101" s="372"/>
      <c r="AG101" s="372"/>
      <c r="AH101" s="372">
        <v>103</v>
      </c>
      <c r="AI101" s="372"/>
      <c r="AJ101" s="375"/>
      <c r="AK101" s="147" t="s">
        <v>30</v>
      </c>
      <c r="AL101" s="147" t="s">
        <v>30</v>
      </c>
      <c r="AM101" s="147" t="s">
        <v>1100</v>
      </c>
      <c r="AN101" s="915" t="s">
        <v>1850</v>
      </c>
      <c r="AO101" s="865" t="s">
        <v>1849</v>
      </c>
      <c r="AP101" s="922" t="s">
        <v>1851</v>
      </c>
      <c r="AQ101" s="926">
        <v>99544418666</v>
      </c>
      <c r="AR101" s="910">
        <f>100*1.1</f>
        <v>110.00000000000001</v>
      </c>
      <c r="AS101" s="359"/>
      <c r="AT101" s="821" t="s">
        <v>59</v>
      </c>
    </row>
    <row r="102" spans="1:46" s="274" customFormat="1">
      <c r="A102" s="172">
        <v>101</v>
      </c>
      <c r="B102" s="130" t="s">
        <v>76</v>
      </c>
      <c r="C102" s="360">
        <v>2</v>
      </c>
      <c r="D102" s="148" t="str">
        <f>VLOOKUP(C102,Table8[],2,0)</f>
        <v>LAURA</v>
      </c>
      <c r="E102" s="354" t="s">
        <v>1852</v>
      </c>
      <c r="F102" s="419" t="s">
        <v>548</v>
      </c>
      <c r="G102" s="246"/>
      <c r="H102" s="377"/>
      <c r="I102" s="372" t="s">
        <v>42</v>
      </c>
      <c r="J102" s="389" t="s">
        <v>31</v>
      </c>
      <c r="K102" s="389" t="s">
        <v>31</v>
      </c>
      <c r="L102" s="455">
        <v>2026</v>
      </c>
      <c r="M102" s="551"/>
      <c r="N102" s="357" t="s">
        <v>875</v>
      </c>
      <c r="O102" s="789" t="s">
        <v>37</v>
      </c>
      <c r="P102" s="389" t="s">
        <v>31</v>
      </c>
      <c r="Q102" s="389" t="s">
        <v>31</v>
      </c>
      <c r="R102" s="389" t="s">
        <v>31</v>
      </c>
      <c r="S102" s="360" t="s">
        <v>839</v>
      </c>
      <c r="T102" s="372"/>
      <c r="U102" s="520" t="s">
        <v>1239</v>
      </c>
      <c r="V102" s="292"/>
      <c r="W102" s="744" t="s">
        <v>31</v>
      </c>
      <c r="X102" s="372"/>
      <c r="Y102" s="372"/>
      <c r="Z102" s="372"/>
      <c r="AA102" s="372"/>
      <c r="AB102" s="372"/>
      <c r="AC102" s="372"/>
      <c r="AD102" s="372"/>
      <c r="AE102" s="374"/>
      <c r="AF102" s="372"/>
      <c r="AG102" s="372"/>
      <c r="AH102" s="372"/>
      <c r="AI102" s="372"/>
      <c r="AJ102" s="375"/>
      <c r="AK102" s="429" t="s">
        <v>31</v>
      </c>
      <c r="AL102" s="147" t="s">
        <v>30</v>
      </c>
      <c r="AM102" s="147"/>
      <c r="AN102" s="356"/>
      <c r="AO102" s="356"/>
      <c r="AP102" s="356"/>
      <c r="AQ102" s="355"/>
      <c r="AR102" s="910"/>
      <c r="AS102" s="359"/>
      <c r="AT102" s="334"/>
    </row>
    <row r="103" spans="1:46" s="274" customFormat="1" ht="22.5">
      <c r="A103" s="172">
        <v>102</v>
      </c>
      <c r="B103" s="130" t="s">
        <v>121</v>
      </c>
      <c r="C103" s="372">
        <v>10</v>
      </c>
      <c r="D103" s="148" t="str">
        <f>VLOOKUP(C103,Table8[],2,0)</f>
        <v>MAJA</v>
      </c>
      <c r="E103" s="354" t="s">
        <v>1617</v>
      </c>
      <c r="F103" s="366" t="s">
        <v>122</v>
      </c>
      <c r="G103" s="526" t="s">
        <v>1251</v>
      </c>
      <c r="H103" s="377"/>
      <c r="I103" s="408" t="s">
        <v>929</v>
      </c>
      <c r="J103" s="372" t="s">
        <v>30</v>
      </c>
      <c r="K103" s="372" t="s">
        <v>31</v>
      </c>
      <c r="L103" s="651" t="s">
        <v>1442</v>
      </c>
      <c r="M103" s="410" t="s">
        <v>1329</v>
      </c>
      <c r="N103" s="357" t="s">
        <v>883</v>
      </c>
      <c r="O103" s="788" t="s">
        <v>34</v>
      </c>
      <c r="P103" s="372"/>
      <c r="Q103" s="372"/>
      <c r="R103" s="372" t="s">
        <v>31</v>
      </c>
      <c r="S103" s="360" t="s">
        <v>839</v>
      </c>
      <c r="T103" s="372"/>
      <c r="U103" s="620" t="s">
        <v>1352</v>
      </c>
      <c r="V103" s="292"/>
      <c r="W103" s="740" t="s">
        <v>30</v>
      </c>
      <c r="X103" s="372"/>
      <c r="Y103" s="372"/>
      <c r="Z103" s="372"/>
      <c r="AA103" s="372"/>
      <c r="AB103" s="372" t="s">
        <v>563</v>
      </c>
      <c r="AC103" s="372"/>
      <c r="AD103" s="372"/>
      <c r="AE103" s="374" t="s">
        <v>671</v>
      </c>
      <c r="AF103" s="372">
        <v>500</v>
      </c>
      <c r="AG103" s="372" t="s">
        <v>72</v>
      </c>
      <c r="AH103" s="372"/>
      <c r="AI103" s="372"/>
      <c r="AJ103" s="375"/>
      <c r="AK103" s="147" t="s">
        <v>30</v>
      </c>
      <c r="AL103" s="147"/>
      <c r="AM103" s="639" t="s">
        <v>1100</v>
      </c>
      <c r="AN103" s="915" t="s">
        <v>1375</v>
      </c>
      <c r="AO103" s="915" t="s">
        <v>1382</v>
      </c>
      <c r="AP103" s="915" t="s">
        <v>42</v>
      </c>
      <c r="AQ103" s="920" t="s">
        <v>1853</v>
      </c>
      <c r="AR103" s="910"/>
      <c r="AS103" s="359"/>
      <c r="AT103" s="919" t="s">
        <v>42</v>
      </c>
    </row>
    <row r="104" spans="1:46" s="274" customFormat="1" ht="33.75">
      <c r="A104" s="172">
        <v>103</v>
      </c>
      <c r="B104" s="130" t="s">
        <v>146</v>
      </c>
      <c r="C104" s="456">
        <v>23</v>
      </c>
      <c r="D104" s="148" t="str">
        <f>VLOOKUP(C104,Table8[],2,0)</f>
        <v>MARKO</v>
      </c>
      <c r="E104" s="354">
        <v>70481698940</v>
      </c>
      <c r="F104" s="529" t="s">
        <v>1359</v>
      </c>
      <c r="G104" s="457" t="s">
        <v>699</v>
      </c>
      <c r="H104" s="355" t="s">
        <v>42</v>
      </c>
      <c r="I104" s="355" t="s">
        <v>42</v>
      </c>
      <c r="J104" s="147" t="s">
        <v>30</v>
      </c>
      <c r="K104" s="147" t="s">
        <v>31</v>
      </c>
      <c r="L104" s="608" t="s">
        <v>1026</v>
      </c>
      <c r="M104" s="410" t="s">
        <v>1050</v>
      </c>
      <c r="N104" s="357" t="s">
        <v>876</v>
      </c>
      <c r="O104" s="774" t="s">
        <v>37</v>
      </c>
      <c r="P104" s="147" t="s">
        <v>31</v>
      </c>
      <c r="Q104" s="147" t="s">
        <v>31</v>
      </c>
      <c r="R104" s="147" t="s">
        <v>31</v>
      </c>
      <c r="S104" s="360" t="s">
        <v>839</v>
      </c>
      <c r="T104" s="456"/>
      <c r="U104" s="930" t="s">
        <v>1960</v>
      </c>
      <c r="V104" s="458"/>
      <c r="W104" s="738" t="s">
        <v>1368</v>
      </c>
      <c r="X104" s="456"/>
      <c r="Y104" s="456"/>
      <c r="Z104" s="456"/>
      <c r="AA104" s="456"/>
      <c r="AB104" s="456"/>
      <c r="AC104" s="459" t="s">
        <v>700</v>
      </c>
      <c r="AD104" s="456"/>
      <c r="AE104" s="459"/>
      <c r="AF104" s="456"/>
      <c r="AG104" s="456"/>
      <c r="AH104" s="456"/>
      <c r="AI104" s="456"/>
      <c r="AJ104" s="375"/>
      <c r="AK104" s="147" t="s">
        <v>30</v>
      </c>
      <c r="AL104" s="147"/>
      <c r="AM104" s="639" t="s">
        <v>1100</v>
      </c>
      <c r="AN104" s="356"/>
      <c r="AO104" s="356"/>
      <c r="AP104" s="356"/>
      <c r="AQ104" s="355"/>
      <c r="AR104" s="910"/>
      <c r="AS104" s="359"/>
      <c r="AT104" s="334"/>
    </row>
    <row r="105" spans="1:46" s="274" customFormat="1" ht="24">
      <c r="A105" s="172">
        <v>104</v>
      </c>
      <c r="B105" s="245" t="s">
        <v>956</v>
      </c>
      <c r="C105" s="147">
        <v>0</v>
      </c>
      <c r="D105" s="148" t="str">
        <f>VLOOKUP(C105,Table8[],2,0)</f>
        <v>NITKO</v>
      </c>
      <c r="E105" s="416">
        <v>12306483896</v>
      </c>
      <c r="F105" s="460" t="s">
        <v>1265</v>
      </c>
      <c r="G105" s="461" t="s">
        <v>849</v>
      </c>
      <c r="H105" s="355"/>
      <c r="I105" s="147"/>
      <c r="J105" s="147" t="s">
        <v>30</v>
      </c>
      <c r="K105" s="147" t="s">
        <v>31</v>
      </c>
      <c r="L105" s="164" t="s">
        <v>1298</v>
      </c>
      <c r="M105" s="543" t="s">
        <v>1327</v>
      </c>
      <c r="N105" s="357" t="s">
        <v>882</v>
      </c>
      <c r="O105" s="639" t="s">
        <v>42</v>
      </c>
      <c r="P105" s="147" t="s">
        <v>31</v>
      </c>
      <c r="Q105" s="147" t="s">
        <v>31</v>
      </c>
      <c r="R105" s="147" t="s">
        <v>31</v>
      </c>
      <c r="S105" s="360" t="s">
        <v>839</v>
      </c>
      <c r="T105" s="147"/>
      <c r="U105" s="930" t="s">
        <v>1961</v>
      </c>
      <c r="W105" s="747" t="s">
        <v>30</v>
      </c>
      <c r="X105" s="147"/>
      <c r="Y105" s="147"/>
      <c r="Z105" s="147"/>
      <c r="AA105" s="147"/>
      <c r="AB105" s="147"/>
      <c r="AC105" s="359">
        <v>45791</v>
      </c>
      <c r="AD105" s="147"/>
      <c r="AE105" s="359">
        <v>45791</v>
      </c>
      <c r="AF105" s="147">
        <v>500</v>
      </c>
      <c r="AG105" s="147" t="s">
        <v>72</v>
      </c>
      <c r="AH105" s="147"/>
      <c r="AI105" s="147"/>
      <c r="AJ105" s="147"/>
      <c r="AK105" s="147" t="s">
        <v>30</v>
      </c>
      <c r="AL105" s="657" t="s">
        <v>30</v>
      </c>
      <c r="AM105" s="147"/>
      <c r="AN105" s="915" t="s">
        <v>1375</v>
      </c>
      <c r="AO105" s="915" t="s">
        <v>1382</v>
      </c>
      <c r="AP105" s="865" t="s">
        <v>1855</v>
      </c>
      <c r="AQ105" s="926" t="s">
        <v>1856</v>
      </c>
      <c r="AR105" s="910">
        <f>110</f>
        <v>110</v>
      </c>
      <c r="AS105" s="359"/>
      <c r="AT105" s="821" t="s">
        <v>1854</v>
      </c>
    </row>
    <row r="106" spans="1:46" s="274" customFormat="1">
      <c r="A106" s="172">
        <v>105</v>
      </c>
      <c r="B106" s="254" t="s">
        <v>141</v>
      </c>
      <c r="C106" s="147">
        <v>0</v>
      </c>
      <c r="D106" s="148" t="str">
        <f>VLOOKUP(C106,Table8[],2,0)</f>
        <v>NITKO</v>
      </c>
      <c r="E106" s="354">
        <v>16657769766</v>
      </c>
      <c r="F106" s="366" t="s">
        <v>142</v>
      </c>
      <c r="G106" s="686" t="s">
        <v>1518</v>
      </c>
      <c r="H106" s="355" t="s">
        <v>35</v>
      </c>
      <c r="I106" s="147">
        <v>62.02</v>
      </c>
      <c r="J106" s="147" t="s">
        <v>30</v>
      </c>
      <c r="K106" s="147" t="s">
        <v>30</v>
      </c>
      <c r="L106" s="155" t="s">
        <v>1026</v>
      </c>
      <c r="M106" s="542" t="s">
        <v>271</v>
      </c>
      <c r="N106" s="829" t="s">
        <v>44</v>
      </c>
      <c r="O106" s="774" t="s">
        <v>37</v>
      </c>
      <c r="P106" s="147" t="s">
        <v>31</v>
      </c>
      <c r="Q106" s="147" t="s">
        <v>31</v>
      </c>
      <c r="R106" s="147" t="s">
        <v>31</v>
      </c>
      <c r="S106" s="358" t="s">
        <v>134</v>
      </c>
      <c r="T106" s="147"/>
      <c r="U106" s="274" t="s">
        <v>1180</v>
      </c>
      <c r="W106" s="147" t="s">
        <v>31</v>
      </c>
      <c r="X106" s="147"/>
      <c r="Y106" s="147"/>
      <c r="Z106" s="147"/>
      <c r="AA106" s="147"/>
      <c r="AB106" s="147" t="s">
        <v>558</v>
      </c>
      <c r="AC106" s="147"/>
      <c r="AD106" s="359">
        <v>45565</v>
      </c>
      <c r="AE106" s="359"/>
      <c r="AF106" s="147"/>
      <c r="AG106" s="147"/>
      <c r="AH106" s="147"/>
      <c r="AI106" s="147"/>
      <c r="AJ106" s="375"/>
      <c r="AK106" s="147" t="s">
        <v>31</v>
      </c>
      <c r="AL106" s="365" t="s">
        <v>30</v>
      </c>
      <c r="AM106" s="147"/>
      <c r="AN106" s="147"/>
      <c r="AO106" s="147"/>
      <c r="AP106" s="147"/>
      <c r="AQ106" s="355"/>
      <c r="AR106" s="147"/>
      <c r="AS106" s="359"/>
      <c r="AT106" s="147"/>
    </row>
    <row r="107" spans="1:46" s="274" customFormat="1">
      <c r="A107" s="172">
        <v>106</v>
      </c>
      <c r="B107" s="130" t="s">
        <v>1233</v>
      </c>
      <c r="C107" s="372">
        <v>11</v>
      </c>
      <c r="D107" s="148" t="str">
        <f>VLOOKUP(C107,Table8[],2,0)</f>
        <v>GABRIJELA</v>
      </c>
      <c r="E107" s="354"/>
      <c r="F107" s="424" t="s">
        <v>686</v>
      </c>
      <c r="G107" s="462" t="s">
        <v>967</v>
      </c>
      <c r="H107" s="377"/>
      <c r="I107" s="372"/>
      <c r="J107" s="372" t="s">
        <v>30</v>
      </c>
      <c r="K107" s="372" t="s">
        <v>31</v>
      </c>
      <c r="L107" s="608" t="s">
        <v>1026</v>
      </c>
      <c r="M107" s="410" t="s">
        <v>1234</v>
      </c>
      <c r="N107" s="382" t="s">
        <v>876</v>
      </c>
      <c r="O107" s="785" t="s">
        <v>37</v>
      </c>
      <c r="P107" s="372"/>
      <c r="Q107" s="372"/>
      <c r="R107" s="372" t="s">
        <v>31</v>
      </c>
      <c r="S107" s="360" t="s">
        <v>839</v>
      </c>
      <c r="T107" s="372"/>
      <c r="U107" s="512" t="s">
        <v>1151</v>
      </c>
      <c r="V107" s="292"/>
      <c r="W107" s="747" t="s">
        <v>1368</v>
      </c>
      <c r="X107" s="372"/>
      <c r="Y107" s="372"/>
      <c r="Z107" s="372"/>
      <c r="AA107" s="372"/>
      <c r="AB107" s="372"/>
      <c r="AC107" s="372" t="s">
        <v>687</v>
      </c>
      <c r="AD107" s="372"/>
      <c r="AE107" s="374"/>
      <c r="AF107" s="372"/>
      <c r="AG107" s="372"/>
      <c r="AH107" s="372"/>
      <c r="AI107" s="372"/>
      <c r="AJ107" s="375"/>
      <c r="AK107" s="147" t="s">
        <v>30</v>
      </c>
      <c r="AL107" s="365"/>
      <c r="AM107" s="147" t="s">
        <v>1098</v>
      </c>
      <c r="AN107" s="356"/>
      <c r="AO107" s="356"/>
      <c r="AP107" s="356"/>
      <c r="AQ107" s="355"/>
      <c r="AR107" s="910"/>
      <c r="AS107" s="359"/>
      <c r="AT107" s="334"/>
    </row>
    <row r="108" spans="1:46" s="274" customFormat="1" ht="16.5">
      <c r="A108" s="172">
        <v>107</v>
      </c>
      <c r="B108" s="146" t="s">
        <v>947</v>
      </c>
      <c r="C108" s="147">
        <v>2</v>
      </c>
      <c r="D108" s="148" t="str">
        <f>VLOOKUP(C108,Table8[],2,0)</f>
        <v>LAURA</v>
      </c>
      <c r="E108" s="391">
        <v>41795697152</v>
      </c>
      <c r="F108" s="366" t="s">
        <v>739</v>
      </c>
      <c r="G108" s="146" t="s">
        <v>1006</v>
      </c>
      <c r="H108" s="355"/>
      <c r="I108" s="355" t="s">
        <v>932</v>
      </c>
      <c r="J108" s="147" t="s">
        <v>30</v>
      </c>
      <c r="K108" s="147" t="s">
        <v>31</v>
      </c>
      <c r="L108" s="162" t="s">
        <v>1026</v>
      </c>
      <c r="M108" s="410" t="s">
        <v>1064</v>
      </c>
      <c r="N108" s="357" t="s">
        <v>876</v>
      </c>
      <c r="O108" s="783" t="s">
        <v>34</v>
      </c>
      <c r="P108" s="147" t="s">
        <v>31</v>
      </c>
      <c r="Q108" s="147" t="s">
        <v>31</v>
      </c>
      <c r="R108" s="147" t="s">
        <v>31</v>
      </c>
      <c r="S108" s="360" t="s">
        <v>839</v>
      </c>
      <c r="T108" s="147"/>
      <c r="U108" s="274" t="s">
        <v>1122</v>
      </c>
      <c r="W108" s="738" t="s">
        <v>30</v>
      </c>
      <c r="X108" s="147"/>
      <c r="Y108" s="147"/>
      <c r="Z108" s="147"/>
      <c r="AA108" s="147"/>
      <c r="AB108" s="147" t="s">
        <v>740</v>
      </c>
      <c r="AC108" s="359">
        <v>45536</v>
      </c>
      <c r="AD108" s="147"/>
      <c r="AE108" s="359">
        <v>45536</v>
      </c>
      <c r="AF108" s="147">
        <v>500</v>
      </c>
      <c r="AG108" s="147" t="s">
        <v>72</v>
      </c>
      <c r="AH108" s="147"/>
      <c r="AI108" s="147"/>
      <c r="AJ108" s="147"/>
      <c r="AK108" s="147" t="s">
        <v>30</v>
      </c>
      <c r="AL108" s="365"/>
      <c r="AM108" s="639" t="s">
        <v>1100</v>
      </c>
      <c r="AN108" s="915" t="s">
        <v>1375</v>
      </c>
      <c r="AO108" s="915" t="s">
        <v>1382</v>
      </c>
      <c r="AP108" s="865" t="s">
        <v>1858</v>
      </c>
      <c r="AQ108" s="865">
        <v>98750933516</v>
      </c>
      <c r="AR108" s="910">
        <f>100*1.1</f>
        <v>110.00000000000001</v>
      </c>
      <c r="AS108" s="359"/>
      <c r="AT108" s="821" t="s">
        <v>1857</v>
      </c>
    </row>
    <row r="109" spans="1:46" s="274" customFormat="1" ht="30">
      <c r="A109" s="172">
        <v>108</v>
      </c>
      <c r="B109" s="261" t="s">
        <v>864</v>
      </c>
      <c r="C109" s="147">
        <v>15</v>
      </c>
      <c r="D109" s="148" t="str">
        <f>VLOOKUP(C109,Table8[],2,0)</f>
        <v>NIKOLINA</v>
      </c>
      <c r="E109" s="354" t="s">
        <v>1567</v>
      </c>
      <c r="F109" s="533" t="s">
        <v>1264</v>
      </c>
      <c r="G109" s="537" t="s">
        <v>1282</v>
      </c>
      <c r="H109" s="355"/>
      <c r="I109" s="147"/>
      <c r="J109" s="463" t="s">
        <v>30</v>
      </c>
      <c r="K109" s="463" t="s">
        <v>30</v>
      </c>
      <c r="L109" s="163" t="s">
        <v>1026</v>
      </c>
      <c r="M109" s="555"/>
      <c r="N109" s="382" t="s">
        <v>876</v>
      </c>
      <c r="O109" s="778" t="s">
        <v>42</v>
      </c>
      <c r="P109" s="147"/>
      <c r="Q109" s="147"/>
      <c r="R109" s="147"/>
      <c r="S109" s="358" t="s">
        <v>134</v>
      </c>
      <c r="T109" s="147"/>
      <c r="U109" s="502" t="s">
        <v>1144</v>
      </c>
      <c r="W109" s="744" t="s">
        <v>30</v>
      </c>
      <c r="X109" s="147"/>
      <c r="Y109" s="147"/>
      <c r="Z109" s="147"/>
      <c r="AA109" s="147"/>
      <c r="AB109" s="147"/>
      <c r="AC109" s="359">
        <v>45819</v>
      </c>
      <c r="AD109" s="147"/>
      <c r="AE109" s="359"/>
      <c r="AF109" s="147"/>
      <c r="AG109" s="147"/>
      <c r="AH109" s="147"/>
      <c r="AI109" s="147"/>
      <c r="AJ109" s="147"/>
      <c r="AK109" s="147" t="s">
        <v>30</v>
      </c>
      <c r="AL109" s="365" t="s">
        <v>30</v>
      </c>
      <c r="AM109" s="147" t="s">
        <v>1098</v>
      </c>
      <c r="AN109" s="915" t="s">
        <v>1214</v>
      </c>
      <c r="AO109" s="915" t="s">
        <v>1805</v>
      </c>
      <c r="AP109" s="865" t="s">
        <v>1806</v>
      </c>
      <c r="AQ109" s="865">
        <v>93550260181</v>
      </c>
      <c r="AR109" s="910">
        <f>150*1.1</f>
        <v>165</v>
      </c>
      <c r="AS109" s="359"/>
      <c r="AT109" s="821" t="s">
        <v>1859</v>
      </c>
    </row>
    <row r="110" spans="1:46" s="274" customFormat="1" ht="15.75" customHeight="1">
      <c r="A110" s="172">
        <v>109</v>
      </c>
      <c r="B110" s="130" t="s">
        <v>1414</v>
      </c>
      <c r="C110" s="372">
        <v>25</v>
      </c>
      <c r="D110" s="148" t="str">
        <f>VLOOKUP(C110,Table8[],2,0)</f>
        <v>F. MARKO</v>
      </c>
      <c r="E110" s="354">
        <v>68442072665</v>
      </c>
      <c r="F110" s="366" t="s">
        <v>130</v>
      </c>
      <c r="G110" s="525" t="s">
        <v>681</v>
      </c>
      <c r="H110" s="377" t="s">
        <v>682</v>
      </c>
      <c r="I110" s="372">
        <v>56.1</v>
      </c>
      <c r="J110" s="378" t="s">
        <v>30</v>
      </c>
      <c r="K110" s="378" t="s">
        <v>30</v>
      </c>
      <c r="L110" s="171" t="s">
        <v>1026</v>
      </c>
      <c r="M110" s="410" t="s">
        <v>1042</v>
      </c>
      <c r="N110" s="357" t="s">
        <v>876</v>
      </c>
      <c r="O110" s="788" t="s">
        <v>34</v>
      </c>
      <c r="P110" s="372"/>
      <c r="Q110" s="372"/>
      <c r="R110" s="372" t="s">
        <v>31</v>
      </c>
      <c r="S110" s="360" t="s">
        <v>839</v>
      </c>
      <c r="T110" s="372"/>
      <c r="U110" s="510" t="s">
        <v>804</v>
      </c>
      <c r="V110" s="292"/>
      <c r="W110" s="628" t="s">
        <v>1367</v>
      </c>
      <c r="X110" s="372"/>
      <c r="Y110" s="372"/>
      <c r="Z110" s="372"/>
      <c r="AA110" s="372"/>
      <c r="AB110" s="372" t="s">
        <v>639</v>
      </c>
      <c r="AC110" s="464"/>
      <c r="AD110" s="464"/>
      <c r="AE110" s="466"/>
      <c r="AF110" s="464"/>
      <c r="AG110" s="464"/>
      <c r="AH110" s="372"/>
      <c r="AI110" s="372"/>
      <c r="AJ110" s="375"/>
      <c r="AK110" s="147" t="s">
        <v>30</v>
      </c>
      <c r="AL110" s="365"/>
      <c r="AM110" s="147" t="s">
        <v>1100</v>
      </c>
      <c r="AN110" s="147"/>
      <c r="AO110" s="147"/>
      <c r="AP110" s="147"/>
      <c r="AQ110" s="355"/>
      <c r="AR110" s="147"/>
      <c r="AS110" s="359"/>
      <c r="AT110" s="147"/>
    </row>
    <row r="111" spans="1:46" s="274" customFormat="1" ht="16.5">
      <c r="A111" s="172">
        <v>110</v>
      </c>
      <c r="B111" s="647" t="s">
        <v>1415</v>
      </c>
      <c r="C111" s="147">
        <v>0</v>
      </c>
      <c r="D111" s="148" t="str">
        <f>VLOOKUP(C111,Table8[],2,0)</f>
        <v>NITKO</v>
      </c>
      <c r="E111" s="433" t="s">
        <v>1568</v>
      </c>
      <c r="F111" s="404" t="s">
        <v>885</v>
      </c>
      <c r="G111" s="146"/>
      <c r="H111" s="355"/>
      <c r="I111" s="147"/>
      <c r="J111" s="147" t="s">
        <v>31</v>
      </c>
      <c r="K111" s="147" t="s">
        <v>30</v>
      </c>
      <c r="L111" s="163" t="s">
        <v>1026</v>
      </c>
      <c r="M111" s="542"/>
      <c r="N111" s="357" t="s">
        <v>882</v>
      </c>
      <c r="O111" s="639" t="s">
        <v>42</v>
      </c>
      <c r="P111" s="147" t="s">
        <v>31</v>
      </c>
      <c r="Q111" s="147" t="s">
        <v>31</v>
      </c>
      <c r="R111" s="147" t="s">
        <v>31</v>
      </c>
      <c r="S111" s="358" t="s">
        <v>134</v>
      </c>
      <c r="T111" s="147"/>
      <c r="U111" s="274" t="s">
        <v>1122</v>
      </c>
      <c r="W111" s="738" t="s">
        <v>30</v>
      </c>
      <c r="X111" s="147"/>
      <c r="Y111" s="147"/>
      <c r="Z111" s="147"/>
      <c r="AA111" s="147"/>
      <c r="AB111" s="147"/>
      <c r="AC111" s="359">
        <v>45901</v>
      </c>
      <c r="AD111" s="147"/>
      <c r="AE111" s="359"/>
      <c r="AF111" s="147"/>
      <c r="AG111" s="147"/>
      <c r="AH111" s="147"/>
      <c r="AI111" s="147"/>
      <c r="AJ111" s="147"/>
      <c r="AK111" s="147" t="s">
        <v>31</v>
      </c>
      <c r="AL111" s="365" t="s">
        <v>30</v>
      </c>
      <c r="AM111" s="639"/>
      <c r="AN111" s="915" t="s">
        <v>1375</v>
      </c>
      <c r="AO111" s="915" t="s">
        <v>1860</v>
      </c>
      <c r="AP111" s="865" t="s">
        <v>1861</v>
      </c>
      <c r="AQ111" s="865">
        <v>69607926537</v>
      </c>
      <c r="AR111" s="910">
        <f>100*1.1</f>
        <v>110.00000000000001</v>
      </c>
      <c r="AS111" s="359"/>
      <c r="AT111" s="821" t="s">
        <v>885</v>
      </c>
    </row>
    <row r="112" spans="1:46" s="274" customFormat="1">
      <c r="A112" s="172">
        <v>111</v>
      </c>
      <c r="B112" s="130" t="s">
        <v>606</v>
      </c>
      <c r="C112" s="372">
        <v>11</v>
      </c>
      <c r="D112" s="148" t="str">
        <f>VLOOKUP(C112,Table8[],2,0)</f>
        <v>GABRIJELA</v>
      </c>
      <c r="E112" s="354">
        <v>13190252412</v>
      </c>
      <c r="F112" s="390" t="s">
        <v>67</v>
      </c>
      <c r="G112" s="381" t="s">
        <v>977</v>
      </c>
      <c r="H112" s="377" t="s">
        <v>609</v>
      </c>
      <c r="I112" s="467">
        <v>94.99</v>
      </c>
      <c r="J112" s="372" t="s">
        <v>31</v>
      </c>
      <c r="K112" s="372" t="s">
        <v>30</v>
      </c>
      <c r="L112" s="163" t="s">
        <v>1026</v>
      </c>
      <c r="M112" s="158" t="s">
        <v>1037</v>
      </c>
      <c r="N112" s="357" t="s">
        <v>875</v>
      </c>
      <c r="O112" s="788" t="s">
        <v>34</v>
      </c>
      <c r="P112" s="372"/>
      <c r="Q112" s="372"/>
      <c r="R112" s="372"/>
      <c r="S112" s="358" t="s">
        <v>134</v>
      </c>
      <c r="T112" s="372"/>
      <c r="U112" s="520" t="s">
        <v>1240</v>
      </c>
      <c r="V112" s="292"/>
      <c r="W112" s="740" t="s">
        <v>38</v>
      </c>
      <c r="X112" s="372"/>
      <c r="Y112" s="372"/>
      <c r="Z112" s="372"/>
      <c r="AA112" s="372"/>
      <c r="AB112" s="372" t="s">
        <v>607</v>
      </c>
      <c r="AC112" s="372"/>
      <c r="AD112" s="372"/>
      <c r="AE112" s="374"/>
      <c r="AF112" s="372"/>
      <c r="AG112" s="372"/>
      <c r="AH112" s="372" t="s">
        <v>608</v>
      </c>
      <c r="AI112" s="372"/>
      <c r="AJ112" s="375"/>
      <c r="AK112" s="147" t="s">
        <v>30</v>
      </c>
      <c r="AL112" s="365"/>
      <c r="AM112" s="639"/>
      <c r="AN112" s="356"/>
      <c r="AO112" s="356"/>
      <c r="AP112" s="356"/>
      <c r="AQ112" s="355"/>
      <c r="AR112" s="910"/>
      <c r="AS112" s="359"/>
      <c r="AT112" s="334"/>
    </row>
    <row r="113" spans="1:46" s="274" customFormat="1">
      <c r="A113" s="172">
        <v>112</v>
      </c>
      <c r="B113" s="130" t="s">
        <v>1416</v>
      </c>
      <c r="C113" s="362">
        <v>11</v>
      </c>
      <c r="D113" s="1073" t="str">
        <f>VLOOKUP(C113,Table8[],2,0)</f>
        <v>GABRIJELA</v>
      </c>
      <c r="E113" s="416" t="s">
        <v>1569</v>
      </c>
      <c r="F113" s="145" t="s">
        <v>140</v>
      </c>
      <c r="G113" s="260" t="s">
        <v>1466</v>
      </c>
      <c r="H113" s="414">
        <v>5890144</v>
      </c>
      <c r="I113" s="147">
        <v>46.9</v>
      </c>
      <c r="J113" s="147" t="s">
        <v>31</v>
      </c>
      <c r="K113" s="147" t="s">
        <v>31</v>
      </c>
      <c r="L113" s="171" t="s">
        <v>1026</v>
      </c>
      <c r="M113" s="542" t="s">
        <v>1094</v>
      </c>
      <c r="N113" s="357" t="s">
        <v>44</v>
      </c>
      <c r="O113" s="774" t="s">
        <v>34</v>
      </c>
      <c r="P113" s="147"/>
      <c r="Q113" s="147"/>
      <c r="R113" s="147" t="s">
        <v>31</v>
      </c>
      <c r="S113" s="360" t="s">
        <v>839</v>
      </c>
      <c r="T113" s="147"/>
      <c r="U113" s="274" t="s">
        <v>1151</v>
      </c>
      <c r="W113" s="738" t="s">
        <v>30</v>
      </c>
      <c r="X113" s="147"/>
      <c r="Y113" s="147"/>
      <c r="Z113" s="147"/>
      <c r="AA113" s="147"/>
      <c r="AB113" s="147" t="s">
        <v>563</v>
      </c>
      <c r="AC113" s="359" t="s">
        <v>697</v>
      </c>
      <c r="AD113" s="147"/>
      <c r="AE113" s="359"/>
      <c r="AF113" s="147"/>
      <c r="AG113" s="147"/>
      <c r="AH113" s="147"/>
      <c r="AI113" s="147"/>
      <c r="AJ113" s="375"/>
      <c r="AK113" s="147" t="s">
        <v>30</v>
      </c>
      <c r="AL113" s="365"/>
      <c r="AM113" s="639"/>
      <c r="AN113" s="915" t="s">
        <v>1357</v>
      </c>
      <c r="AO113" s="915" t="s">
        <v>1862</v>
      </c>
      <c r="AP113" s="356"/>
      <c r="AQ113" s="355"/>
      <c r="AR113" s="910"/>
      <c r="AS113" s="359"/>
      <c r="AT113" s="334"/>
    </row>
    <row r="114" spans="1:46" s="274" customFormat="1" ht="16.5">
      <c r="A114" s="172">
        <v>113</v>
      </c>
      <c r="B114" s="247" t="s">
        <v>1417</v>
      </c>
      <c r="C114" s="372">
        <v>15</v>
      </c>
      <c r="D114" s="148" t="str">
        <f>VLOOKUP(C114,Table8[],2,0)</f>
        <v>NIKOLINA</v>
      </c>
      <c r="E114" s="380" t="s">
        <v>1863</v>
      </c>
      <c r="F114" s="390"/>
      <c r="G114" s="686" t="s">
        <v>1467</v>
      </c>
      <c r="H114" s="373" t="s">
        <v>575</v>
      </c>
      <c r="I114" s="372">
        <v>47.19</v>
      </c>
      <c r="J114" s="372" t="s">
        <v>30</v>
      </c>
      <c r="K114" s="372" t="s">
        <v>31</v>
      </c>
      <c r="L114" s="157" t="s">
        <v>1026</v>
      </c>
      <c r="M114" s="410" t="s">
        <v>988</v>
      </c>
      <c r="N114" s="382" t="s">
        <v>876</v>
      </c>
      <c r="O114" s="785" t="s">
        <v>34</v>
      </c>
      <c r="P114" s="372"/>
      <c r="Q114" s="372" t="s">
        <v>31</v>
      </c>
      <c r="R114" s="372" t="s">
        <v>31</v>
      </c>
      <c r="S114" s="383" t="s">
        <v>880</v>
      </c>
      <c r="T114" s="372"/>
      <c r="U114" s="292" t="s">
        <v>570</v>
      </c>
      <c r="V114" s="292"/>
      <c r="W114" s="740" t="s">
        <v>30</v>
      </c>
      <c r="X114" s="372"/>
      <c r="Y114" s="372"/>
      <c r="Z114" s="372"/>
      <c r="AA114" s="372"/>
      <c r="AB114" s="372" t="s">
        <v>571</v>
      </c>
      <c r="AC114" s="372"/>
      <c r="AD114" s="372"/>
      <c r="AE114" s="374"/>
      <c r="AF114" s="372"/>
      <c r="AG114" s="372"/>
      <c r="AH114" s="372"/>
      <c r="AI114" s="372"/>
      <c r="AJ114" s="375"/>
      <c r="AK114" s="147" t="s">
        <v>31</v>
      </c>
      <c r="AL114" s="365" t="s">
        <v>30</v>
      </c>
      <c r="AM114" s="639"/>
      <c r="AN114" s="915" t="s">
        <v>1375</v>
      </c>
      <c r="AO114" s="922" t="s">
        <v>1825</v>
      </c>
      <c r="AP114" s="865" t="s">
        <v>1864</v>
      </c>
      <c r="AQ114" s="865">
        <v>85062749261</v>
      </c>
      <c r="AR114" s="910"/>
      <c r="AS114" s="359"/>
      <c r="AT114" s="821" t="s">
        <v>1865</v>
      </c>
    </row>
    <row r="115" spans="1:46" s="274" customFormat="1" ht="15" customHeight="1">
      <c r="A115" s="172">
        <v>114</v>
      </c>
      <c r="B115" s="130" t="s">
        <v>1418</v>
      </c>
      <c r="C115" s="372">
        <v>15</v>
      </c>
      <c r="D115" s="148" t="str">
        <f>VLOOKUP(C115,Table8[],2,0)</f>
        <v>NIKOLINA</v>
      </c>
      <c r="E115" s="354">
        <v>46869408875</v>
      </c>
      <c r="F115" s="366" t="s">
        <v>963</v>
      </c>
      <c r="G115" s="686" t="s">
        <v>1467</v>
      </c>
      <c r="H115" s="373" t="s">
        <v>576</v>
      </c>
      <c r="I115" s="372">
        <v>47.19</v>
      </c>
      <c r="J115" s="372" t="s">
        <v>30</v>
      </c>
      <c r="K115" s="372" t="s">
        <v>31</v>
      </c>
      <c r="L115" s="157" t="s">
        <v>1026</v>
      </c>
      <c r="M115" s="468" t="s">
        <v>988</v>
      </c>
      <c r="N115" s="382" t="s">
        <v>876</v>
      </c>
      <c r="O115" s="785" t="s">
        <v>34</v>
      </c>
      <c r="P115" s="372"/>
      <c r="Q115" s="372" t="s">
        <v>31</v>
      </c>
      <c r="R115" s="372" t="s">
        <v>31</v>
      </c>
      <c r="S115" s="383" t="s">
        <v>880</v>
      </c>
      <c r="T115" s="372"/>
      <c r="U115" s="292" t="s">
        <v>570</v>
      </c>
      <c r="V115" s="292" t="s">
        <v>48</v>
      </c>
      <c r="W115" s="740" t="s">
        <v>30</v>
      </c>
      <c r="X115" s="372"/>
      <c r="Y115" s="372"/>
      <c r="Z115" s="372"/>
      <c r="AA115" s="372"/>
      <c r="AB115" s="372" t="s">
        <v>571</v>
      </c>
      <c r="AC115" s="372"/>
      <c r="AD115" s="372"/>
      <c r="AE115" s="374"/>
      <c r="AF115" s="372"/>
      <c r="AG115" s="372"/>
      <c r="AH115" s="372"/>
      <c r="AI115" s="372"/>
      <c r="AJ115" s="375"/>
      <c r="AK115" s="147" t="s">
        <v>31</v>
      </c>
      <c r="AL115" s="147"/>
      <c r="AM115" s="147"/>
      <c r="AN115" s="915" t="s">
        <v>1357</v>
      </c>
      <c r="AO115" s="922" t="s">
        <v>1714</v>
      </c>
      <c r="AP115" s="865" t="s">
        <v>1866</v>
      </c>
      <c r="AQ115" s="865">
        <v>33529240907</v>
      </c>
      <c r="AR115" s="910"/>
      <c r="AS115" s="359"/>
      <c r="AT115" s="821" t="s">
        <v>1867</v>
      </c>
    </row>
    <row r="116" spans="1:46" s="274" customFormat="1" ht="16.5">
      <c r="A116" s="172">
        <v>115</v>
      </c>
      <c r="B116" s="647" t="s">
        <v>1419</v>
      </c>
      <c r="C116" s="147">
        <v>15</v>
      </c>
      <c r="D116" s="148" t="str">
        <f>VLOOKUP(C116,Table8[],2,0)</f>
        <v>NIKOLINA</v>
      </c>
      <c r="E116" s="354" t="s">
        <v>1570</v>
      </c>
      <c r="F116" s="533" t="s">
        <v>1380</v>
      </c>
      <c r="G116" s="146" t="s">
        <v>1381</v>
      </c>
      <c r="H116" s="355"/>
      <c r="I116" s="147"/>
      <c r="J116" s="147" t="s">
        <v>31</v>
      </c>
      <c r="K116" s="147" t="s">
        <v>31</v>
      </c>
      <c r="L116" s="163" t="s">
        <v>1026</v>
      </c>
      <c r="M116" s="410" t="s">
        <v>1074</v>
      </c>
      <c r="N116" s="357" t="s">
        <v>876</v>
      </c>
      <c r="O116" s="639" t="s">
        <v>42</v>
      </c>
      <c r="P116" s="147"/>
      <c r="Q116" s="147"/>
      <c r="R116" s="147"/>
      <c r="S116" s="360" t="s">
        <v>839</v>
      </c>
      <c r="T116" s="147"/>
      <c r="U116" s="900" t="s">
        <v>1694</v>
      </c>
      <c r="W116" s="738" t="s">
        <v>30</v>
      </c>
      <c r="X116" s="147"/>
      <c r="Y116" s="147"/>
      <c r="Z116" s="147"/>
      <c r="AA116" s="147"/>
      <c r="AB116" s="147"/>
      <c r="AC116" s="359">
        <v>45813</v>
      </c>
      <c r="AD116" s="147"/>
      <c r="AE116" s="359"/>
      <c r="AF116" s="147"/>
      <c r="AG116" s="147"/>
      <c r="AH116" s="147"/>
      <c r="AI116" s="147"/>
      <c r="AJ116" s="147"/>
      <c r="AK116" s="147" t="s">
        <v>30</v>
      </c>
      <c r="AL116" s="147" t="s">
        <v>30</v>
      </c>
      <c r="AM116" s="639" t="s">
        <v>1098</v>
      </c>
      <c r="AN116" s="915" t="s">
        <v>1375</v>
      </c>
      <c r="AO116" s="356" t="s">
        <v>1382</v>
      </c>
      <c r="AP116" s="356" t="s">
        <v>1383</v>
      </c>
      <c r="AQ116" s="664">
        <v>82842781917</v>
      </c>
      <c r="AR116" s="910">
        <v>500</v>
      </c>
      <c r="AS116" s="359"/>
      <c r="AT116" s="821" t="s">
        <v>1868</v>
      </c>
    </row>
    <row r="117" spans="1:46" s="274" customFormat="1" ht="23.25" customHeight="1">
      <c r="A117" s="172">
        <v>116</v>
      </c>
      <c r="B117" s="130" t="s">
        <v>1420</v>
      </c>
      <c r="C117" s="372">
        <v>23</v>
      </c>
      <c r="D117" s="148" t="str">
        <f>VLOOKUP(C117,Table8[],2,0)</f>
        <v>MARKO</v>
      </c>
      <c r="E117" s="354">
        <v>81375079215</v>
      </c>
      <c r="F117" s="366" t="s">
        <v>852</v>
      </c>
      <c r="G117" s="538" t="s">
        <v>1283</v>
      </c>
      <c r="H117" s="377" t="s">
        <v>694</v>
      </c>
      <c r="I117" s="408" t="s">
        <v>931</v>
      </c>
      <c r="J117" s="372" t="s">
        <v>30</v>
      </c>
      <c r="K117" s="372" t="s">
        <v>31</v>
      </c>
      <c r="L117" s="157" t="s">
        <v>1026</v>
      </c>
      <c r="M117" s="556" t="s">
        <v>1051</v>
      </c>
      <c r="N117" s="357" t="s">
        <v>876</v>
      </c>
      <c r="O117" s="788" t="s">
        <v>34</v>
      </c>
      <c r="P117" s="372"/>
      <c r="Q117" s="372"/>
      <c r="R117" s="372" t="s">
        <v>31</v>
      </c>
      <c r="S117" s="360" t="s">
        <v>839</v>
      </c>
      <c r="T117" s="372"/>
      <c r="U117" s="509" t="s">
        <v>1171</v>
      </c>
      <c r="V117" s="292"/>
      <c r="W117" s="743" t="s">
        <v>30</v>
      </c>
      <c r="X117" s="372"/>
      <c r="Y117" s="372"/>
      <c r="Z117" s="372"/>
      <c r="AA117" s="372"/>
      <c r="AB117" s="372" t="s">
        <v>610</v>
      </c>
      <c r="AC117" s="374" t="s">
        <v>652</v>
      </c>
      <c r="AD117" s="372"/>
      <c r="AE117" s="374"/>
      <c r="AF117" s="372"/>
      <c r="AG117" s="372"/>
      <c r="AH117" s="372"/>
      <c r="AI117" s="372"/>
      <c r="AJ117" s="375"/>
      <c r="AK117" s="147" t="s">
        <v>30</v>
      </c>
      <c r="AL117" s="147"/>
      <c r="AM117" s="639" t="s">
        <v>1100</v>
      </c>
      <c r="AN117" s="915" t="s">
        <v>1375</v>
      </c>
      <c r="AO117" s="356" t="s">
        <v>1382</v>
      </c>
      <c r="AP117" s="865" t="s">
        <v>1872</v>
      </c>
      <c r="AQ117" s="865">
        <v>86839934354</v>
      </c>
      <c r="AR117" s="910">
        <f>50*1.1</f>
        <v>55.000000000000007</v>
      </c>
      <c r="AS117" s="359"/>
      <c r="AT117" s="821" t="s">
        <v>852</v>
      </c>
    </row>
    <row r="118" spans="1:46" s="274" customFormat="1" ht="16.5" customHeight="1">
      <c r="A118" s="172">
        <v>117</v>
      </c>
      <c r="B118" s="146" t="s">
        <v>830</v>
      </c>
      <c r="C118" s="147">
        <v>20</v>
      </c>
      <c r="D118" s="148" t="str">
        <f>VLOOKUP(C118,Table8[],2,0)</f>
        <v>VESNA</v>
      </c>
      <c r="E118" s="354" t="s">
        <v>1571</v>
      </c>
      <c r="F118" s="145" t="s">
        <v>1673</v>
      </c>
      <c r="G118" s="831" t="s">
        <v>1621</v>
      </c>
      <c r="H118" s="355"/>
      <c r="I118" s="147"/>
      <c r="J118" s="147" t="s">
        <v>30</v>
      </c>
      <c r="K118" s="147" t="s">
        <v>31</v>
      </c>
      <c r="L118" s="163" t="s">
        <v>1026</v>
      </c>
      <c r="M118" s="410" t="s">
        <v>1069</v>
      </c>
      <c r="N118" s="382" t="s">
        <v>876</v>
      </c>
      <c r="O118" s="639" t="s">
        <v>42</v>
      </c>
      <c r="P118" s="147"/>
      <c r="Q118" s="147"/>
      <c r="R118" s="147"/>
      <c r="S118" s="360" t="s">
        <v>839</v>
      </c>
      <c r="T118" s="147"/>
      <c r="U118" s="274" t="s">
        <v>1122</v>
      </c>
      <c r="W118" s="744" t="s">
        <v>30</v>
      </c>
      <c r="X118" s="147"/>
      <c r="Y118" s="147"/>
      <c r="Z118" s="147"/>
      <c r="AA118" s="147"/>
      <c r="AB118" s="147"/>
      <c r="AC118" s="359">
        <v>45735</v>
      </c>
      <c r="AD118" s="147"/>
      <c r="AE118" s="359"/>
      <c r="AF118" s="147"/>
      <c r="AG118" s="147"/>
      <c r="AH118" s="147"/>
      <c r="AI118" s="147"/>
      <c r="AJ118" s="147"/>
      <c r="AK118" s="147" t="s">
        <v>31</v>
      </c>
      <c r="AL118" s="147" t="s">
        <v>30</v>
      </c>
      <c r="AM118" s="147" t="s">
        <v>1100</v>
      </c>
      <c r="AN118" s="915" t="s">
        <v>1869</v>
      </c>
      <c r="AO118" s="915" t="s">
        <v>1870</v>
      </c>
      <c r="AP118" s="356" t="s">
        <v>1623</v>
      </c>
      <c r="AQ118" s="865">
        <v>90823145647</v>
      </c>
      <c r="AR118" s="910">
        <f>100*1.1</f>
        <v>110.00000000000001</v>
      </c>
      <c r="AS118" s="359"/>
      <c r="AT118" s="821" t="s">
        <v>1871</v>
      </c>
    </row>
    <row r="119" spans="1:46" s="274" customFormat="1" ht="27" customHeight="1">
      <c r="A119" s="172">
        <v>118</v>
      </c>
      <c r="B119" s="130" t="s">
        <v>1436</v>
      </c>
      <c r="C119" s="372">
        <v>11</v>
      </c>
      <c r="D119" s="148" t="str">
        <f>VLOOKUP(C119,Table8[],2,0)</f>
        <v>GABRIJELA</v>
      </c>
      <c r="E119" s="354">
        <v>37079548034</v>
      </c>
      <c r="F119" s="528" t="s">
        <v>66</v>
      </c>
      <c r="G119" s="469" t="s">
        <v>974</v>
      </c>
      <c r="H119" s="377" t="s">
        <v>601</v>
      </c>
      <c r="I119" s="372">
        <v>41.1</v>
      </c>
      <c r="J119" s="372" t="s">
        <v>30</v>
      </c>
      <c r="K119" s="372" t="s">
        <v>31</v>
      </c>
      <c r="L119" s="608" t="s">
        <v>1026</v>
      </c>
      <c r="M119" s="410" t="s">
        <v>1226</v>
      </c>
      <c r="N119" s="357" t="s">
        <v>883</v>
      </c>
      <c r="O119" s="785" t="s">
        <v>34</v>
      </c>
      <c r="P119" s="372"/>
      <c r="Q119" s="372" t="s">
        <v>31</v>
      </c>
      <c r="R119" s="372"/>
      <c r="S119" s="360" t="s">
        <v>839</v>
      </c>
      <c r="T119" s="372"/>
      <c r="U119" s="502" t="s">
        <v>1151</v>
      </c>
      <c r="V119" s="292"/>
      <c r="W119" s="740" t="s">
        <v>30</v>
      </c>
      <c r="X119" s="372"/>
      <c r="Y119" s="372"/>
      <c r="Z119" s="372"/>
      <c r="AA119" s="372"/>
      <c r="AB119" s="372" t="s">
        <v>599</v>
      </c>
      <c r="AC119" s="372"/>
      <c r="AD119" s="372"/>
      <c r="AE119" s="374" t="s">
        <v>600</v>
      </c>
      <c r="AF119" s="372">
        <v>600</v>
      </c>
      <c r="AG119" s="372" t="s">
        <v>62</v>
      </c>
      <c r="AH119" s="372">
        <v>330</v>
      </c>
      <c r="AI119" s="372"/>
      <c r="AJ119" s="375"/>
      <c r="AK119" s="147" t="s">
        <v>30</v>
      </c>
      <c r="AL119" s="147"/>
      <c r="AM119" s="147" t="s">
        <v>1100</v>
      </c>
      <c r="AN119" s="915" t="s">
        <v>1875</v>
      </c>
      <c r="AO119" s="915" t="s">
        <v>1728</v>
      </c>
      <c r="AP119" s="865" t="s">
        <v>1876</v>
      </c>
      <c r="AQ119" s="865" t="s">
        <v>1877</v>
      </c>
      <c r="AR119" s="910">
        <f>150*1.1</f>
        <v>165</v>
      </c>
      <c r="AS119" s="359"/>
      <c r="AT119" s="821" t="s">
        <v>1873</v>
      </c>
    </row>
    <row r="120" spans="1:46" s="274" customFormat="1" ht="16.5">
      <c r="A120" s="172">
        <v>119</v>
      </c>
      <c r="B120" s="130" t="s">
        <v>1421</v>
      </c>
      <c r="C120" s="360">
        <v>11</v>
      </c>
      <c r="D120" s="148" t="str">
        <f>VLOOKUP(C120,Table8[],2,0)</f>
        <v>GABRIJELA</v>
      </c>
      <c r="E120" s="354">
        <v>42338053282</v>
      </c>
      <c r="F120" s="366" t="s">
        <v>73</v>
      </c>
      <c r="G120" s="686" t="s">
        <v>1468</v>
      </c>
      <c r="H120" s="377"/>
      <c r="I120" s="372">
        <v>46.9</v>
      </c>
      <c r="J120" s="372" t="s">
        <v>30</v>
      </c>
      <c r="K120" s="372" t="s">
        <v>30</v>
      </c>
      <c r="L120" s="608" t="s">
        <v>1026</v>
      </c>
      <c r="M120" s="410" t="s">
        <v>1038</v>
      </c>
      <c r="N120" s="357" t="s">
        <v>44</v>
      </c>
      <c r="O120" s="785" t="s">
        <v>34</v>
      </c>
      <c r="P120" s="372"/>
      <c r="Q120" s="372"/>
      <c r="R120" s="372"/>
      <c r="S120" s="360" t="s">
        <v>839</v>
      </c>
      <c r="T120" s="372"/>
      <c r="U120" s="502" t="s">
        <v>1123</v>
      </c>
      <c r="V120" s="292"/>
      <c r="W120" s="740" t="s">
        <v>30</v>
      </c>
      <c r="X120" s="372"/>
      <c r="Y120" s="372"/>
      <c r="Z120" s="372"/>
      <c r="AA120" s="372"/>
      <c r="AB120" s="372" t="s">
        <v>571</v>
      </c>
      <c r="AC120" s="372"/>
      <c r="AD120" s="372"/>
      <c r="AE120" s="374">
        <v>45689</v>
      </c>
      <c r="AF120" s="372">
        <v>600</v>
      </c>
      <c r="AG120" s="857" t="s">
        <v>1644</v>
      </c>
      <c r="AH120" s="372" t="s">
        <v>618</v>
      </c>
      <c r="AI120" s="372"/>
      <c r="AJ120" s="375"/>
      <c r="AK120" s="147" t="s">
        <v>30</v>
      </c>
      <c r="AL120" s="365"/>
      <c r="AM120" s="147"/>
      <c r="AN120" s="915" t="s">
        <v>1357</v>
      </c>
      <c r="AO120" s="915" t="s">
        <v>1878</v>
      </c>
      <c r="AP120" s="865" t="s">
        <v>1879</v>
      </c>
      <c r="AQ120" s="865">
        <v>6981596750</v>
      </c>
      <c r="AR120" s="910">
        <f>100*1.1</f>
        <v>110.00000000000001</v>
      </c>
      <c r="AS120" s="359"/>
      <c r="AT120" s="821" t="s">
        <v>73</v>
      </c>
    </row>
    <row r="121" spans="1:46" s="274" customFormat="1" ht="16.5">
      <c r="A121" s="172">
        <v>120</v>
      </c>
      <c r="B121" s="650" t="s">
        <v>1435</v>
      </c>
      <c r="C121" s="372">
        <v>11</v>
      </c>
      <c r="D121" s="148" t="str">
        <f>VLOOKUP(C121,Table8[],2,0)</f>
        <v>GABRIJELA</v>
      </c>
      <c r="E121" s="354">
        <v>80213210781</v>
      </c>
      <c r="F121" s="366" t="s">
        <v>643</v>
      </c>
      <c r="G121" s="688" t="s">
        <v>1469</v>
      </c>
      <c r="H121" s="377"/>
      <c r="I121" s="372">
        <v>68.2</v>
      </c>
      <c r="J121" s="372" t="s">
        <v>30</v>
      </c>
      <c r="K121" s="372" t="s">
        <v>31</v>
      </c>
      <c r="L121" s="171" t="s">
        <v>1026</v>
      </c>
      <c r="M121" s="410" t="s">
        <v>1047</v>
      </c>
      <c r="N121" s="357" t="s">
        <v>876</v>
      </c>
      <c r="O121" s="785" t="s">
        <v>34</v>
      </c>
      <c r="P121" s="372"/>
      <c r="Q121" s="372"/>
      <c r="R121" s="372"/>
      <c r="S121" s="360" t="s">
        <v>839</v>
      </c>
      <c r="T121" s="372"/>
      <c r="U121" s="520" t="s">
        <v>1250</v>
      </c>
      <c r="V121" s="292"/>
      <c r="W121" s="740" t="s">
        <v>30</v>
      </c>
      <c r="X121" s="372"/>
      <c r="Y121" s="372"/>
      <c r="Z121" s="372"/>
      <c r="AA121" s="372"/>
      <c r="AB121" s="372" t="s">
        <v>610</v>
      </c>
      <c r="AC121" s="372"/>
      <c r="AD121" s="372"/>
      <c r="AE121" s="374" t="s">
        <v>644</v>
      </c>
      <c r="AF121" s="372">
        <v>500</v>
      </c>
      <c r="AG121" s="372" t="s">
        <v>62</v>
      </c>
      <c r="AH121" s="372"/>
      <c r="AI121" s="372"/>
      <c r="AJ121" s="375"/>
      <c r="AK121" s="147" t="s">
        <v>30</v>
      </c>
      <c r="AL121" s="147" t="s">
        <v>30</v>
      </c>
      <c r="AM121" s="641" t="s">
        <v>1384</v>
      </c>
      <c r="AN121" s="915" t="s">
        <v>1875</v>
      </c>
      <c r="AO121" s="915" t="s">
        <v>1728</v>
      </c>
      <c r="AP121" s="865" t="s">
        <v>1881</v>
      </c>
      <c r="AQ121" s="865">
        <v>59738906322</v>
      </c>
      <c r="AR121" s="910"/>
      <c r="AS121" s="359"/>
      <c r="AT121" s="821" t="s">
        <v>1880</v>
      </c>
    </row>
    <row r="122" spans="1:46" s="274" customFormat="1">
      <c r="A122" s="172">
        <v>121</v>
      </c>
      <c r="B122" s="647" t="s">
        <v>1422</v>
      </c>
      <c r="C122" s="147">
        <v>25</v>
      </c>
      <c r="D122" s="376" t="str">
        <f>VLOOKUP(C122,Table8[],2,0)</f>
        <v>F. MARKO</v>
      </c>
      <c r="E122" s="400" t="s">
        <v>912</v>
      </c>
      <c r="F122" s="404" t="s">
        <v>1955</v>
      </c>
      <c r="G122" s="146" t="s">
        <v>1672</v>
      </c>
      <c r="H122" s="355"/>
      <c r="I122" s="147"/>
      <c r="J122" s="147" t="s">
        <v>30</v>
      </c>
      <c r="K122" s="147" t="s">
        <v>31</v>
      </c>
      <c r="L122" s="168" t="s">
        <v>1026</v>
      </c>
      <c r="M122" s="410" t="s">
        <v>1071</v>
      </c>
      <c r="N122" s="362" t="s">
        <v>882</v>
      </c>
      <c r="O122" s="639" t="s">
        <v>42</v>
      </c>
      <c r="P122" s="147" t="s">
        <v>31</v>
      </c>
      <c r="Q122" s="147" t="s">
        <v>31</v>
      </c>
      <c r="R122" s="147" t="s">
        <v>31</v>
      </c>
      <c r="S122" s="748" t="s">
        <v>839</v>
      </c>
      <c r="T122" s="147"/>
      <c r="U122" s="274" t="s">
        <v>804</v>
      </c>
      <c r="W122" s="628" t="s">
        <v>1367</v>
      </c>
      <c r="X122" s="147"/>
      <c r="Y122" s="147"/>
      <c r="Z122" s="147"/>
      <c r="AA122" s="147"/>
      <c r="AB122" s="147"/>
      <c r="AC122" s="359">
        <v>45931</v>
      </c>
      <c r="AD122" s="147"/>
      <c r="AE122" s="359"/>
      <c r="AF122" s="147"/>
      <c r="AG122" s="147"/>
      <c r="AH122" s="147"/>
      <c r="AI122" s="147"/>
      <c r="AJ122" s="147"/>
      <c r="AK122" s="147"/>
      <c r="AL122" s="147" t="s">
        <v>30</v>
      </c>
      <c r="AM122" s="639"/>
      <c r="AN122" s="147"/>
      <c r="AO122" s="147"/>
      <c r="AP122" s="147"/>
      <c r="AQ122" s="355"/>
      <c r="AR122" s="147"/>
      <c r="AS122" s="359"/>
      <c r="AT122" s="147"/>
    </row>
    <row r="123" spans="1:46" s="274" customFormat="1" ht="25.5">
      <c r="A123" s="172">
        <v>122</v>
      </c>
      <c r="B123" s="648" t="s">
        <v>1424</v>
      </c>
      <c r="C123" s="360">
        <v>23</v>
      </c>
      <c r="D123" s="148" t="str">
        <f>VLOOKUP(C123,Table8[],2,0)</f>
        <v>MARKO</v>
      </c>
      <c r="E123" s="354" t="s">
        <v>1423</v>
      </c>
      <c r="F123" s="527" t="s">
        <v>50</v>
      </c>
      <c r="G123" s="686" t="s">
        <v>1470</v>
      </c>
      <c r="H123" s="373" t="s">
        <v>582</v>
      </c>
      <c r="I123" s="372">
        <v>70.22</v>
      </c>
      <c r="J123" s="372" t="s">
        <v>30</v>
      </c>
      <c r="K123" s="372" t="s">
        <v>31</v>
      </c>
      <c r="L123" s="163" t="s">
        <v>1026</v>
      </c>
      <c r="M123" s="410" t="s">
        <v>1005</v>
      </c>
      <c r="N123" s="357" t="s">
        <v>44</v>
      </c>
      <c r="O123" s="785" t="s">
        <v>34</v>
      </c>
      <c r="P123" s="372"/>
      <c r="Q123" s="372" t="s">
        <v>31</v>
      </c>
      <c r="R123" s="372"/>
      <c r="S123" s="383" t="s">
        <v>880</v>
      </c>
      <c r="T123" s="372"/>
      <c r="U123" s="510" t="s">
        <v>1173</v>
      </c>
      <c r="V123" s="292" t="s">
        <v>51</v>
      </c>
      <c r="W123" s="740" t="s">
        <v>30</v>
      </c>
      <c r="X123" s="374" t="s">
        <v>579</v>
      </c>
      <c r="Y123" s="374" t="s">
        <v>579</v>
      </c>
      <c r="Z123" s="374" t="s">
        <v>580</v>
      </c>
      <c r="AA123" s="372" t="s">
        <v>42</v>
      </c>
      <c r="AB123" s="372" t="s">
        <v>558</v>
      </c>
      <c r="AC123" s="372"/>
      <c r="AD123" s="374">
        <v>45930</v>
      </c>
      <c r="AE123" s="374"/>
      <c r="AF123" s="372"/>
      <c r="AG123" s="372"/>
      <c r="AH123" s="372" t="s">
        <v>581</v>
      </c>
      <c r="AI123" s="372"/>
      <c r="AJ123" s="375"/>
      <c r="AK123" s="147" t="s">
        <v>30</v>
      </c>
      <c r="AL123" s="147" t="s">
        <v>30</v>
      </c>
      <c r="AM123" s="147"/>
      <c r="AN123" s="915" t="s">
        <v>1850</v>
      </c>
      <c r="AO123" s="915" t="s">
        <v>1849</v>
      </c>
      <c r="AP123" s="865" t="s">
        <v>1883</v>
      </c>
      <c r="AQ123" s="865">
        <v>59310128271</v>
      </c>
      <c r="AR123" s="910">
        <v>100</v>
      </c>
      <c r="AS123" s="359"/>
      <c r="AT123" s="821" t="s">
        <v>1882</v>
      </c>
    </row>
    <row r="124" spans="1:46" s="274" customFormat="1" ht="16.5">
      <c r="A124" s="172">
        <v>123</v>
      </c>
      <c r="B124" s="130" t="s">
        <v>952</v>
      </c>
      <c r="C124" s="372">
        <v>23</v>
      </c>
      <c r="D124" s="148" t="str">
        <f>VLOOKUP(C124,Table8[],2,0)</f>
        <v>MARKO</v>
      </c>
      <c r="E124" s="354" t="s">
        <v>1885</v>
      </c>
      <c r="F124" s="366" t="s">
        <v>81</v>
      </c>
      <c r="G124" s="690" t="s">
        <v>1471</v>
      </c>
      <c r="H124" s="377"/>
      <c r="I124" s="408" t="s">
        <v>923</v>
      </c>
      <c r="J124" s="372" t="s">
        <v>30</v>
      </c>
      <c r="K124" s="372" t="s">
        <v>31</v>
      </c>
      <c r="L124" s="589" t="s">
        <v>1026</v>
      </c>
      <c r="M124" s="410" t="s">
        <v>1083</v>
      </c>
      <c r="N124" s="357" t="s">
        <v>876</v>
      </c>
      <c r="O124" s="785" t="s">
        <v>34</v>
      </c>
      <c r="P124" s="372"/>
      <c r="Q124" s="372"/>
      <c r="R124" s="372" t="s">
        <v>31</v>
      </c>
      <c r="S124" s="360" t="s">
        <v>839</v>
      </c>
      <c r="T124" s="372"/>
      <c r="U124" s="507" t="s">
        <v>1167</v>
      </c>
      <c r="V124" s="292"/>
      <c r="W124" s="740" t="s">
        <v>30</v>
      </c>
      <c r="X124" s="372"/>
      <c r="Y124" s="372"/>
      <c r="Z124" s="372"/>
      <c r="AA124" s="372"/>
      <c r="AB124" s="372" t="s">
        <v>610</v>
      </c>
      <c r="AC124" s="372"/>
      <c r="AD124" s="372"/>
      <c r="AE124" s="374" t="s">
        <v>631</v>
      </c>
      <c r="AF124" s="372">
        <v>500</v>
      </c>
      <c r="AG124" s="372" t="s">
        <v>82</v>
      </c>
      <c r="AH124" s="372" t="s">
        <v>632</v>
      </c>
      <c r="AI124" s="372"/>
      <c r="AJ124" s="375"/>
      <c r="AK124" s="147" t="s">
        <v>30</v>
      </c>
      <c r="AL124" s="147" t="s">
        <v>30</v>
      </c>
      <c r="AM124" s="929" t="s">
        <v>1884</v>
      </c>
      <c r="AN124" s="915" t="s">
        <v>1375</v>
      </c>
      <c r="AO124" s="915" t="s">
        <v>1886</v>
      </c>
      <c r="AP124" s="865" t="s">
        <v>1887</v>
      </c>
      <c r="AQ124" s="865">
        <v>53244479374</v>
      </c>
      <c r="AR124" s="910"/>
      <c r="AS124" s="359"/>
      <c r="AT124" s="821" t="s">
        <v>81</v>
      </c>
    </row>
    <row r="125" spans="1:46" s="274" customFormat="1" ht="30">
      <c r="A125" s="172">
        <v>124</v>
      </c>
      <c r="B125" s="519" t="s">
        <v>68</v>
      </c>
      <c r="C125" s="372">
        <v>23</v>
      </c>
      <c r="D125" s="148" t="str">
        <f>VLOOKUP(C125,Table8[],2,0)</f>
        <v>MARKO</v>
      </c>
      <c r="E125" s="416">
        <v>12907831775</v>
      </c>
      <c r="F125" s="384" t="s">
        <v>1618</v>
      </c>
      <c r="G125" s="693" t="s">
        <v>1519</v>
      </c>
      <c r="H125" s="377"/>
      <c r="I125" s="408" t="s">
        <v>922</v>
      </c>
      <c r="J125" s="372" t="s">
        <v>30</v>
      </c>
      <c r="K125" s="372" t="s">
        <v>31</v>
      </c>
      <c r="L125" s="163" t="s">
        <v>1026</v>
      </c>
      <c r="M125" s="470" t="s">
        <v>1019</v>
      </c>
      <c r="N125" s="357" t="s">
        <v>876</v>
      </c>
      <c r="O125" s="785" t="s">
        <v>34</v>
      </c>
      <c r="P125" s="372"/>
      <c r="Q125" s="372"/>
      <c r="R125" s="372" t="s">
        <v>31</v>
      </c>
      <c r="S125" s="360" t="s">
        <v>839</v>
      </c>
      <c r="T125" s="372"/>
      <c r="U125" s="514" t="s">
        <v>1181</v>
      </c>
      <c r="V125" s="292"/>
      <c r="W125" s="740" t="s">
        <v>30</v>
      </c>
      <c r="X125" s="372"/>
      <c r="Y125" s="372"/>
      <c r="Z125" s="372"/>
      <c r="AA125" s="372"/>
      <c r="AB125" s="372" t="s">
        <v>610</v>
      </c>
      <c r="AC125" s="372"/>
      <c r="AD125" s="372"/>
      <c r="AE125" s="374" t="s">
        <v>611</v>
      </c>
      <c r="AF125" s="372">
        <v>300</v>
      </c>
      <c r="AG125" s="372" t="s">
        <v>49</v>
      </c>
      <c r="AH125" s="372" t="s">
        <v>612</v>
      </c>
      <c r="AI125" s="372"/>
      <c r="AJ125" s="375"/>
      <c r="AK125" s="147" t="s">
        <v>30</v>
      </c>
      <c r="AL125" s="147"/>
      <c r="AM125" s="147" t="s">
        <v>1098</v>
      </c>
      <c r="AN125" s="915" t="s">
        <v>1375</v>
      </c>
      <c r="AO125" s="915" t="s">
        <v>321</v>
      </c>
      <c r="AP125" s="865" t="s">
        <v>1889</v>
      </c>
      <c r="AQ125" s="865">
        <v>87457031095</v>
      </c>
      <c r="AR125" s="910">
        <f>65*1.1</f>
        <v>71.5</v>
      </c>
      <c r="AS125" s="359"/>
      <c r="AT125" s="821" t="s">
        <v>1888</v>
      </c>
    </row>
    <row r="126" spans="1:46" s="274" customFormat="1" ht="16.5">
      <c r="A126" s="172">
        <v>125</v>
      </c>
      <c r="B126" s="130" t="s">
        <v>945</v>
      </c>
      <c r="C126" s="372">
        <v>23</v>
      </c>
      <c r="D126" s="148" t="str">
        <f>VLOOKUP(C126,Table8[],2,0)</f>
        <v>MARKO</v>
      </c>
      <c r="E126" s="354">
        <v>88849819314</v>
      </c>
      <c r="F126" s="366" t="s">
        <v>98</v>
      </c>
      <c r="G126" s="471" t="s">
        <v>911</v>
      </c>
      <c r="H126" s="377"/>
      <c r="I126" s="408" t="s">
        <v>926</v>
      </c>
      <c r="J126" s="378" t="s">
        <v>30</v>
      </c>
      <c r="K126" s="372" t="s">
        <v>31</v>
      </c>
      <c r="L126" s="608" t="s">
        <v>1026</v>
      </c>
      <c r="M126" s="410" t="s">
        <v>1049</v>
      </c>
      <c r="N126" s="357" t="s">
        <v>876</v>
      </c>
      <c r="O126" s="788" t="s">
        <v>34</v>
      </c>
      <c r="P126" s="372"/>
      <c r="Q126" s="372"/>
      <c r="R126" s="372" t="s">
        <v>31</v>
      </c>
      <c r="S126" s="360" t="s">
        <v>839</v>
      </c>
      <c r="T126" s="372"/>
      <c r="U126" s="507" t="s">
        <v>1168</v>
      </c>
      <c r="V126" s="292"/>
      <c r="W126" s="740" t="s">
        <v>30</v>
      </c>
      <c r="X126" s="372"/>
      <c r="Y126" s="372"/>
      <c r="Z126" s="372"/>
      <c r="AA126" s="372"/>
      <c r="AB126" s="372" t="s">
        <v>610</v>
      </c>
      <c r="AC126" s="372"/>
      <c r="AD126" s="372"/>
      <c r="AE126" s="374" t="s">
        <v>653</v>
      </c>
      <c r="AF126" s="372">
        <v>400</v>
      </c>
      <c r="AG126" s="372" t="s">
        <v>72</v>
      </c>
      <c r="AH126" s="372">
        <v>125</v>
      </c>
      <c r="AI126" s="372"/>
      <c r="AJ126" s="375"/>
      <c r="AK126" s="147" t="s">
        <v>30</v>
      </c>
      <c r="AL126" s="147" t="s">
        <v>30</v>
      </c>
      <c r="AM126" s="147" t="s">
        <v>1100</v>
      </c>
      <c r="AN126" s="915" t="s">
        <v>1375</v>
      </c>
      <c r="AO126" s="915" t="s">
        <v>1382</v>
      </c>
      <c r="AP126" s="865" t="s">
        <v>1891</v>
      </c>
      <c r="AQ126" s="865">
        <v>56383351085</v>
      </c>
      <c r="AR126" s="910">
        <f>115*1.1</f>
        <v>126.50000000000001</v>
      </c>
      <c r="AS126" s="359"/>
      <c r="AT126" s="821" t="s">
        <v>1890</v>
      </c>
    </row>
    <row r="127" spans="1:46" s="274" customFormat="1" ht="24">
      <c r="A127" s="172">
        <v>126</v>
      </c>
      <c r="B127" s="130" t="s">
        <v>139</v>
      </c>
      <c r="C127" s="372">
        <v>7</v>
      </c>
      <c r="D127" s="148" t="str">
        <f>VLOOKUP(C127,Table8[],2,0)</f>
        <v>SJEDIŠTE</v>
      </c>
      <c r="E127" s="354">
        <v>37618522315</v>
      </c>
      <c r="F127" s="528" t="s">
        <v>1263</v>
      </c>
      <c r="G127" s="688" t="s">
        <v>1472</v>
      </c>
      <c r="H127" s="377" t="s">
        <v>695</v>
      </c>
      <c r="I127" s="372">
        <v>77.34</v>
      </c>
      <c r="J127" s="372" t="s">
        <v>30</v>
      </c>
      <c r="K127" s="372" t="s">
        <v>31</v>
      </c>
      <c r="L127" s="1078" t="s">
        <v>1309</v>
      </c>
      <c r="M127" s="292"/>
      <c r="N127" s="360" t="s">
        <v>44</v>
      </c>
      <c r="O127" s="1079" t="s">
        <v>34</v>
      </c>
      <c r="P127" s="372"/>
      <c r="Q127" s="372"/>
      <c r="R127" s="372" t="s">
        <v>31</v>
      </c>
      <c r="S127" s="360" t="s">
        <v>839</v>
      </c>
      <c r="T127" s="372"/>
      <c r="U127" s="512" t="s">
        <v>1182</v>
      </c>
      <c r="V127" s="292"/>
      <c r="W127" s="147" t="s">
        <v>31</v>
      </c>
      <c r="X127" s="372"/>
      <c r="Y127" s="372"/>
      <c r="Z127" s="372"/>
      <c r="AA127" s="372"/>
      <c r="AB127" s="372" t="s">
        <v>610</v>
      </c>
      <c r="AC127" s="374" t="s">
        <v>652</v>
      </c>
      <c r="AD127" s="372"/>
      <c r="AE127" s="374"/>
      <c r="AF127" s="372"/>
      <c r="AG127" s="413"/>
      <c r="AH127" s="372"/>
      <c r="AI127" s="372"/>
      <c r="AJ127" s="375"/>
      <c r="AK127" s="147" t="s">
        <v>30</v>
      </c>
      <c r="AL127" s="147" t="s">
        <v>30</v>
      </c>
      <c r="AM127" s="147"/>
      <c r="AN127" s="147"/>
      <c r="AO127" s="147"/>
      <c r="AP127" s="147"/>
      <c r="AQ127" s="355"/>
      <c r="AR127" s="147"/>
      <c r="AS127" s="359"/>
      <c r="AT127" s="147"/>
    </row>
    <row r="128" spans="1:46" s="274" customFormat="1">
      <c r="A128" s="172">
        <v>127</v>
      </c>
      <c r="B128" s="146" t="s">
        <v>969</v>
      </c>
      <c r="C128" s="147">
        <v>9</v>
      </c>
      <c r="D128" s="376" t="str">
        <f>VLOOKUP(C128,Table8[],2,0)</f>
        <v>SANDRA</v>
      </c>
      <c r="E128" s="354"/>
      <c r="F128" s="404" t="s">
        <v>982</v>
      </c>
      <c r="G128" s="146" t="s">
        <v>972</v>
      </c>
      <c r="H128" s="355"/>
      <c r="I128" s="147"/>
      <c r="J128" s="147" t="s">
        <v>31</v>
      </c>
      <c r="K128" s="147" t="s">
        <v>31</v>
      </c>
      <c r="L128" s="155" t="s">
        <v>1026</v>
      </c>
      <c r="M128" s="542" t="s">
        <v>1299</v>
      </c>
      <c r="N128" s="362" t="s">
        <v>44</v>
      </c>
      <c r="O128" s="774" t="s">
        <v>37</v>
      </c>
      <c r="P128" s="147" t="s">
        <v>31</v>
      </c>
      <c r="Q128" s="147" t="s">
        <v>31</v>
      </c>
      <c r="R128" s="147" t="s">
        <v>31</v>
      </c>
      <c r="S128" s="147" t="s">
        <v>134</v>
      </c>
      <c r="T128" s="147"/>
      <c r="U128" s="274" t="s">
        <v>975</v>
      </c>
      <c r="W128" s="738" t="s">
        <v>31</v>
      </c>
      <c r="X128" s="147"/>
      <c r="Y128" s="147"/>
      <c r="Z128" s="147"/>
      <c r="AA128" s="147"/>
      <c r="AB128" s="147"/>
      <c r="AC128" s="359">
        <v>45658</v>
      </c>
      <c r="AD128" s="147"/>
      <c r="AE128" s="359"/>
      <c r="AF128" s="147"/>
      <c r="AG128" s="147"/>
      <c r="AH128" s="147"/>
      <c r="AI128" s="147"/>
      <c r="AJ128" s="147"/>
      <c r="AK128" s="147"/>
      <c r="AL128" s="147" t="s">
        <v>30</v>
      </c>
      <c r="AM128" s="147"/>
      <c r="AN128" s="356"/>
      <c r="AO128" s="356"/>
      <c r="AP128" s="356"/>
      <c r="AQ128" s="355"/>
      <c r="AR128" s="910"/>
      <c r="AS128" s="359"/>
      <c r="AT128" s="334"/>
    </row>
    <row r="129" spans="1:46" s="274" customFormat="1" ht="16.5">
      <c r="A129" s="172">
        <v>128</v>
      </c>
      <c r="B129" s="246" t="s">
        <v>91</v>
      </c>
      <c r="C129" s="372">
        <v>15</v>
      </c>
      <c r="D129" s="148" t="str">
        <f>VLOOKUP(C129,Table8[],2,0)</f>
        <v>NIKOLINA</v>
      </c>
      <c r="E129" s="416">
        <v>68026721972</v>
      </c>
      <c r="F129" s="404" t="s">
        <v>851</v>
      </c>
      <c r="G129" s="791" t="s">
        <v>1581</v>
      </c>
      <c r="H129" s="377"/>
      <c r="I129" s="372">
        <v>46.9</v>
      </c>
      <c r="J129" s="372" t="s">
        <v>30</v>
      </c>
      <c r="K129" s="372" t="s">
        <v>31</v>
      </c>
      <c r="L129" s="168" t="s">
        <v>1026</v>
      </c>
      <c r="M129" s="410" t="s">
        <v>1580</v>
      </c>
      <c r="N129" s="357" t="s">
        <v>876</v>
      </c>
      <c r="O129" s="785" t="s">
        <v>34</v>
      </c>
      <c r="P129" s="372"/>
      <c r="Q129" s="372"/>
      <c r="R129" s="372" t="s">
        <v>31</v>
      </c>
      <c r="S129" s="360" t="s">
        <v>839</v>
      </c>
      <c r="T129" s="372"/>
      <c r="U129" s="502" t="s">
        <v>1145</v>
      </c>
      <c r="V129" s="292"/>
      <c r="W129" s="740" t="s">
        <v>30</v>
      </c>
      <c r="X129" s="372"/>
      <c r="Y129" s="372"/>
      <c r="Z129" s="372"/>
      <c r="AA129" s="372"/>
      <c r="AB129" s="372" t="s">
        <v>563</v>
      </c>
      <c r="AC129" s="372"/>
      <c r="AD129" s="372"/>
      <c r="AE129" s="374"/>
      <c r="AF129" s="372"/>
      <c r="AG129" s="372"/>
      <c r="AH129" s="372" t="s">
        <v>632</v>
      </c>
      <c r="AI129" s="372"/>
      <c r="AJ129" s="375"/>
      <c r="AK129" s="147" t="s">
        <v>30</v>
      </c>
      <c r="AL129" s="147" t="s">
        <v>30</v>
      </c>
      <c r="AM129" s="639" t="s">
        <v>1098</v>
      </c>
      <c r="AN129" s="915" t="s">
        <v>1748</v>
      </c>
      <c r="AO129" s="915" t="s">
        <v>1749</v>
      </c>
      <c r="AP129" s="865" t="s">
        <v>1892</v>
      </c>
      <c r="AQ129" s="865">
        <v>91288173868</v>
      </c>
      <c r="AR129" s="910">
        <f>140*1.1</f>
        <v>154</v>
      </c>
      <c r="AS129" s="359"/>
      <c r="AT129" s="821" t="s">
        <v>851</v>
      </c>
    </row>
    <row r="130" spans="1:46" s="274" customFormat="1" ht="16.5" customHeight="1">
      <c r="A130" s="172">
        <v>129</v>
      </c>
      <c r="B130" s="265" t="s">
        <v>1020</v>
      </c>
      <c r="C130" s="147">
        <v>0</v>
      </c>
      <c r="D130" s="148" t="str">
        <f>VLOOKUP(C130,Table8[],2,0)</f>
        <v>NITKO</v>
      </c>
      <c r="E130" s="354">
        <v>35844270866</v>
      </c>
      <c r="F130" s="465" t="s">
        <v>130</v>
      </c>
      <c r="G130" s="673" t="s">
        <v>1449</v>
      </c>
      <c r="H130" s="355"/>
      <c r="I130" s="355"/>
      <c r="J130" s="147"/>
      <c r="K130" s="147"/>
      <c r="L130" s="155">
        <v>2026</v>
      </c>
      <c r="M130" s="542"/>
      <c r="N130" s="362"/>
      <c r="O130" s="777" t="s">
        <v>37</v>
      </c>
      <c r="P130" s="147"/>
      <c r="Q130" s="147"/>
      <c r="R130" s="147"/>
      <c r="S130" s="748" t="s">
        <v>839</v>
      </c>
      <c r="T130" s="147"/>
      <c r="U130" s="274" t="s">
        <v>1361</v>
      </c>
      <c r="V130" s="147"/>
      <c r="W130" s="738" t="s">
        <v>31</v>
      </c>
      <c r="X130" s="147"/>
      <c r="Y130" s="147"/>
      <c r="Z130" s="147"/>
      <c r="AA130" s="147"/>
      <c r="AB130" s="147"/>
      <c r="AC130" s="359"/>
      <c r="AD130" s="359"/>
      <c r="AE130" s="359"/>
      <c r="AF130" s="147"/>
      <c r="AG130" s="147"/>
      <c r="AH130" s="147"/>
      <c r="AI130" s="147"/>
      <c r="AJ130" s="147"/>
      <c r="AK130" s="147"/>
      <c r="AL130" s="147"/>
      <c r="AM130" s="639"/>
      <c r="AN130" s="821"/>
      <c r="AO130" s="356"/>
      <c r="AP130" s="356"/>
      <c r="AQ130" s="355"/>
      <c r="AR130" s="910"/>
      <c r="AS130" s="359"/>
      <c r="AT130" s="334"/>
    </row>
    <row r="131" spans="1:46" s="274" customFormat="1" ht="16.5">
      <c r="A131" s="172">
        <v>130</v>
      </c>
      <c r="B131" s="246" t="s">
        <v>106</v>
      </c>
      <c r="C131" s="372">
        <v>15</v>
      </c>
      <c r="D131" s="148" t="str">
        <f>VLOOKUP(C131,Table8[],2,0)</f>
        <v>NIKOLINA</v>
      </c>
      <c r="E131" s="354">
        <v>57640459658</v>
      </c>
      <c r="F131" s="366" t="s">
        <v>1017</v>
      </c>
      <c r="G131" s="686" t="s">
        <v>1473</v>
      </c>
      <c r="H131" s="427" t="s">
        <v>663</v>
      </c>
      <c r="I131" s="377" t="s">
        <v>107</v>
      </c>
      <c r="J131" s="372" t="s">
        <v>30</v>
      </c>
      <c r="K131" s="372" t="s">
        <v>30</v>
      </c>
      <c r="L131" s="157" t="s">
        <v>1026</v>
      </c>
      <c r="M131" s="410" t="s">
        <v>991</v>
      </c>
      <c r="N131" s="382" t="s">
        <v>876</v>
      </c>
      <c r="O131" s="788" t="s">
        <v>34</v>
      </c>
      <c r="P131" s="372"/>
      <c r="Q131" s="372"/>
      <c r="R131" s="372" t="s">
        <v>31</v>
      </c>
      <c r="S131" s="358" t="s">
        <v>134</v>
      </c>
      <c r="T131" s="372"/>
      <c r="U131" s="512" t="s">
        <v>1183</v>
      </c>
      <c r="V131" s="292"/>
      <c r="W131" s="740" t="s">
        <v>30</v>
      </c>
      <c r="X131" s="372"/>
      <c r="Y131" s="372"/>
      <c r="Z131" s="372"/>
      <c r="AA131" s="372"/>
      <c r="AB131" s="372" t="s">
        <v>662</v>
      </c>
      <c r="AC131" s="372"/>
      <c r="AD131" s="372"/>
      <c r="AE131" s="374"/>
      <c r="AF131" s="372"/>
      <c r="AG131" s="372"/>
      <c r="AH131" s="372"/>
      <c r="AI131" s="372"/>
      <c r="AJ131" s="375"/>
      <c r="AK131" s="147" t="s">
        <v>30</v>
      </c>
      <c r="AL131" s="147" t="s">
        <v>30</v>
      </c>
      <c r="AM131" s="147"/>
      <c r="AN131" s="915" t="s">
        <v>1214</v>
      </c>
      <c r="AO131" s="915" t="s">
        <v>1893</v>
      </c>
      <c r="AP131" s="865" t="s">
        <v>1895</v>
      </c>
      <c r="AQ131" s="865">
        <v>71488598562</v>
      </c>
      <c r="AR131" s="910">
        <f>89.63*1.1</f>
        <v>98.593000000000004</v>
      </c>
      <c r="AS131" s="359"/>
      <c r="AT131" s="821" t="s">
        <v>1894</v>
      </c>
    </row>
    <row r="132" spans="1:46" s="274" customFormat="1" ht="26.25" customHeight="1">
      <c r="A132" s="172">
        <v>131</v>
      </c>
      <c r="B132" s="146" t="s">
        <v>848</v>
      </c>
      <c r="C132" s="147">
        <v>15</v>
      </c>
      <c r="D132" s="148" t="str">
        <f>VLOOKUP(C132,Table8[],2,0)</f>
        <v>NIKOLINA</v>
      </c>
      <c r="E132" s="416">
        <v>37726609407</v>
      </c>
      <c r="F132" s="530" t="s">
        <v>1698</v>
      </c>
      <c r="G132" s="538" t="s">
        <v>1335</v>
      </c>
      <c r="H132" s="355"/>
      <c r="I132" s="147"/>
      <c r="J132" s="147" t="s">
        <v>30</v>
      </c>
      <c r="K132" s="147" t="s">
        <v>31</v>
      </c>
      <c r="L132" s="651" t="s">
        <v>1443</v>
      </c>
      <c r="M132" s="410" t="s">
        <v>996</v>
      </c>
      <c r="N132" s="382" t="s">
        <v>876</v>
      </c>
      <c r="O132" s="777" t="s">
        <v>37</v>
      </c>
      <c r="P132" s="147"/>
      <c r="Q132" s="147"/>
      <c r="R132" s="147"/>
      <c r="S132" s="360" t="s">
        <v>839</v>
      </c>
      <c r="T132" s="147"/>
      <c r="U132" s="620" t="s">
        <v>1353</v>
      </c>
      <c r="W132" s="738" t="s">
        <v>1368</v>
      </c>
      <c r="X132" s="147"/>
      <c r="Y132" s="147"/>
      <c r="Z132" s="147"/>
      <c r="AA132" s="147"/>
      <c r="AB132" s="147"/>
      <c r="AC132" s="359">
        <v>45796</v>
      </c>
      <c r="AD132" s="147"/>
      <c r="AE132" s="359"/>
      <c r="AF132" s="147"/>
      <c r="AG132" s="147"/>
      <c r="AH132" s="147"/>
      <c r="AI132" s="147"/>
      <c r="AJ132" s="147"/>
      <c r="AK132" s="147" t="s">
        <v>30</v>
      </c>
      <c r="AL132" s="365"/>
      <c r="AM132" s="147" t="s">
        <v>1098</v>
      </c>
      <c r="AN132" s="915" t="s">
        <v>1897</v>
      </c>
      <c r="AO132" s="865" t="s">
        <v>1898</v>
      </c>
      <c r="AP132" s="865" t="s">
        <v>1896</v>
      </c>
      <c r="AQ132" s="865">
        <v>98297354248</v>
      </c>
      <c r="AR132" s="910"/>
      <c r="AS132" s="359"/>
      <c r="AT132" s="919" t="s">
        <v>42</v>
      </c>
    </row>
    <row r="133" spans="1:46" s="274" customFormat="1" ht="24">
      <c r="A133" s="172">
        <v>132</v>
      </c>
      <c r="B133" s="130" t="s">
        <v>89</v>
      </c>
      <c r="C133" s="360">
        <v>14</v>
      </c>
      <c r="D133" s="148" t="str">
        <f>VLOOKUP(C133,Table8[],2,0)</f>
        <v>PONEKAD</v>
      </c>
      <c r="E133" s="354">
        <v>90065154646</v>
      </c>
      <c r="F133" s="530" t="s">
        <v>1262</v>
      </c>
      <c r="G133" s="688" t="s">
        <v>1474</v>
      </c>
      <c r="H133" s="377"/>
      <c r="I133" s="372">
        <v>55.9</v>
      </c>
      <c r="J133" s="372" t="s">
        <v>30</v>
      </c>
      <c r="K133" s="372" t="s">
        <v>31</v>
      </c>
      <c r="L133" s="589" t="s">
        <v>1026</v>
      </c>
      <c r="M133" s="410" t="s">
        <v>1045</v>
      </c>
      <c r="N133" s="357" t="s">
        <v>875</v>
      </c>
      <c r="O133" s="785" t="s">
        <v>37</v>
      </c>
      <c r="P133" s="372"/>
      <c r="Q133" s="372"/>
      <c r="R133" s="372"/>
      <c r="S133" s="360" t="s">
        <v>839</v>
      </c>
      <c r="T133" s="372"/>
      <c r="U133" s="535" t="s">
        <v>1184</v>
      </c>
      <c r="V133" s="292"/>
      <c r="W133" s="147" t="s">
        <v>31</v>
      </c>
      <c r="X133" s="372"/>
      <c r="Y133" s="372"/>
      <c r="Z133" s="372"/>
      <c r="AA133" s="372"/>
      <c r="AB133" s="372" t="s">
        <v>555</v>
      </c>
      <c r="AC133" s="372"/>
      <c r="AD133" s="374">
        <v>45930</v>
      </c>
      <c r="AE133" s="374"/>
      <c r="AF133" s="372"/>
      <c r="AG133" s="372"/>
      <c r="AH133" s="372">
        <v>110</v>
      </c>
      <c r="AI133" s="372"/>
      <c r="AJ133" s="375"/>
      <c r="AK133" s="147" t="s">
        <v>31</v>
      </c>
      <c r="AL133" s="365" t="s">
        <v>30</v>
      </c>
      <c r="AM133" s="147"/>
      <c r="AN133" s="147"/>
      <c r="AO133" s="147"/>
      <c r="AP133" s="147"/>
      <c r="AQ133" s="355"/>
      <c r="AR133" s="147"/>
      <c r="AS133" s="359"/>
      <c r="AT133" s="147"/>
    </row>
    <row r="134" spans="1:46" s="274" customFormat="1" ht="16.5">
      <c r="A134" s="172">
        <v>133</v>
      </c>
      <c r="B134" s="821" t="s">
        <v>1899</v>
      </c>
      <c r="C134" s="360">
        <v>11</v>
      </c>
      <c r="D134" s="148" t="str">
        <f>VLOOKUP(C134,Table8[],2,0)</f>
        <v>GABRIJELA</v>
      </c>
      <c r="E134" s="354">
        <v>44726554648</v>
      </c>
      <c r="F134" s="384" t="s">
        <v>61</v>
      </c>
      <c r="G134" s="686" t="s">
        <v>1475</v>
      </c>
      <c r="H134" s="373" t="s">
        <v>592</v>
      </c>
      <c r="I134" s="372">
        <v>70.22</v>
      </c>
      <c r="J134" s="372" t="s">
        <v>30</v>
      </c>
      <c r="K134" s="372" t="s">
        <v>31</v>
      </c>
      <c r="L134" s="588" t="s">
        <v>1312</v>
      </c>
      <c r="M134" s="543" t="s">
        <v>1007</v>
      </c>
      <c r="N134" s="357" t="s">
        <v>44</v>
      </c>
      <c r="O134" s="785" t="s">
        <v>34</v>
      </c>
      <c r="P134" s="372"/>
      <c r="Q134" s="372" t="s">
        <v>31</v>
      </c>
      <c r="R134" s="372"/>
      <c r="S134" s="360" t="s">
        <v>839</v>
      </c>
      <c r="T134" s="372"/>
      <c r="U134" s="601" t="s">
        <v>1319</v>
      </c>
      <c r="V134" s="292" t="s">
        <v>51</v>
      </c>
      <c r="W134" s="740" t="s">
        <v>30</v>
      </c>
      <c r="X134" s="374" t="s">
        <v>584</v>
      </c>
      <c r="Y134" s="374" t="s">
        <v>584</v>
      </c>
      <c r="Z134" s="374" t="s">
        <v>42</v>
      </c>
      <c r="AA134" s="374" t="s">
        <v>584</v>
      </c>
      <c r="AB134" s="372" t="s">
        <v>558</v>
      </c>
      <c r="AC134" s="372"/>
      <c r="AD134" s="372"/>
      <c r="AE134" s="374"/>
      <c r="AF134" s="372"/>
      <c r="AG134" s="372"/>
      <c r="AH134" s="372">
        <v>125</v>
      </c>
      <c r="AI134" s="372"/>
      <c r="AJ134" s="375"/>
      <c r="AK134" s="388" t="s">
        <v>30</v>
      </c>
      <c r="AL134" s="147" t="s">
        <v>30</v>
      </c>
      <c r="AM134" s="639"/>
      <c r="AN134" s="915" t="s">
        <v>1744</v>
      </c>
      <c r="AO134" s="915" t="s">
        <v>1900</v>
      </c>
      <c r="AP134" s="865" t="s">
        <v>1901</v>
      </c>
      <c r="AQ134" s="865">
        <v>65285327001</v>
      </c>
      <c r="AR134" s="910"/>
      <c r="AS134" s="359"/>
      <c r="AT134" s="821" t="s">
        <v>61</v>
      </c>
    </row>
    <row r="135" spans="1:46" s="274" customFormat="1" ht="16.5" customHeight="1">
      <c r="A135" s="172">
        <v>134</v>
      </c>
      <c r="B135" s="146" t="s">
        <v>843</v>
      </c>
      <c r="C135" s="147">
        <v>25</v>
      </c>
      <c r="D135" s="148" t="str">
        <f>VLOOKUP(C135,Table8[],2,0)</f>
        <v>F. MARKO</v>
      </c>
      <c r="E135" s="354" t="s">
        <v>1572</v>
      </c>
      <c r="F135" s="145" t="s">
        <v>844</v>
      </c>
      <c r="G135" s="146" t="s">
        <v>845</v>
      </c>
      <c r="H135" s="355"/>
      <c r="I135" s="147"/>
      <c r="J135" s="463" t="s">
        <v>31</v>
      </c>
      <c r="K135" s="463" t="s">
        <v>30</v>
      </c>
      <c r="L135" s="157" t="s">
        <v>1026</v>
      </c>
      <c r="M135" s="599" t="s">
        <v>1308</v>
      </c>
      <c r="N135" s="357" t="s">
        <v>876</v>
      </c>
      <c r="O135" s="777" t="s">
        <v>34</v>
      </c>
      <c r="P135" s="147" t="s">
        <v>31</v>
      </c>
      <c r="Q135" s="147" t="s">
        <v>31</v>
      </c>
      <c r="R135" s="147" t="s">
        <v>31</v>
      </c>
      <c r="S135" s="358" t="s">
        <v>134</v>
      </c>
      <c r="T135" s="147"/>
      <c r="U135" s="274" t="s">
        <v>804</v>
      </c>
      <c r="W135" s="628" t="s">
        <v>1367</v>
      </c>
      <c r="X135" s="147"/>
      <c r="Y135" s="147"/>
      <c r="Z135" s="147"/>
      <c r="AA135" s="147"/>
      <c r="AB135" s="147"/>
      <c r="AC135" s="359">
        <v>45782</v>
      </c>
      <c r="AD135" s="147"/>
      <c r="AE135" s="359"/>
      <c r="AF135" s="147"/>
      <c r="AG135" s="147"/>
      <c r="AH135" s="147"/>
      <c r="AI135" s="147"/>
      <c r="AJ135" s="147"/>
      <c r="AK135" s="147" t="s">
        <v>30</v>
      </c>
      <c r="AL135" s="147" t="s">
        <v>30</v>
      </c>
      <c r="AM135" s="790" t="s">
        <v>1100</v>
      </c>
      <c r="AN135" s="147"/>
      <c r="AO135" s="147"/>
      <c r="AP135" s="147"/>
      <c r="AQ135" s="355"/>
      <c r="AR135" s="147"/>
      <c r="AS135" s="359"/>
      <c r="AT135" s="147"/>
    </row>
    <row r="136" spans="1:46" s="274" customFormat="1" ht="14.25" customHeight="1">
      <c r="A136" s="172">
        <v>135</v>
      </c>
      <c r="B136" s="649" t="s">
        <v>1425</v>
      </c>
      <c r="C136" s="360">
        <v>2</v>
      </c>
      <c r="D136" s="148" t="str">
        <f>VLOOKUP(C136,Table8[],2,0)</f>
        <v>LAURA</v>
      </c>
      <c r="E136" s="354">
        <v>34063545910</v>
      </c>
      <c r="F136" s="528" t="s">
        <v>1097</v>
      </c>
      <c r="G136" s="146" t="s">
        <v>796</v>
      </c>
      <c r="H136" s="355"/>
      <c r="I136" s="147"/>
      <c r="J136" s="147" t="s">
        <v>30</v>
      </c>
      <c r="K136" s="147" t="s">
        <v>31</v>
      </c>
      <c r="L136" s="473">
        <v>2026</v>
      </c>
      <c r="M136" s="552" t="s">
        <v>1066</v>
      </c>
      <c r="N136" s="360" t="s">
        <v>875</v>
      </c>
      <c r="O136" s="774" t="s">
        <v>37</v>
      </c>
      <c r="P136" s="147" t="s">
        <v>128</v>
      </c>
      <c r="Q136" s="147" t="s">
        <v>128</v>
      </c>
      <c r="R136" s="147" t="s">
        <v>128</v>
      </c>
      <c r="S136" s="360" t="s">
        <v>839</v>
      </c>
      <c r="T136" s="147"/>
      <c r="U136" s="601" t="s">
        <v>1316</v>
      </c>
      <c r="W136" s="738" t="s">
        <v>1368</v>
      </c>
      <c r="X136" s="147"/>
      <c r="Y136" s="147"/>
      <c r="Z136" s="147"/>
      <c r="AA136" s="147"/>
      <c r="AB136" s="147"/>
      <c r="AC136" s="359">
        <v>45627</v>
      </c>
      <c r="AD136" s="147"/>
      <c r="AE136" s="359"/>
      <c r="AF136" s="147"/>
      <c r="AG136" s="147"/>
      <c r="AH136" s="147"/>
      <c r="AI136" s="147"/>
      <c r="AJ136" s="147"/>
      <c r="AK136" s="147" t="s">
        <v>30</v>
      </c>
      <c r="AL136" s="147"/>
      <c r="AM136" s="147"/>
      <c r="AN136" s="356"/>
      <c r="AO136" s="356"/>
      <c r="AP136" s="356"/>
      <c r="AQ136" s="355"/>
      <c r="AR136" s="910"/>
      <c r="AS136" s="359"/>
      <c r="AT136" s="334"/>
    </row>
    <row r="137" spans="1:46" s="274" customFormat="1">
      <c r="A137" s="1074">
        <v>136</v>
      </c>
      <c r="B137" s="1075" t="s">
        <v>1185</v>
      </c>
      <c r="C137" s="787">
        <v>11</v>
      </c>
      <c r="D137" s="1076" t="str">
        <f>VLOOKUP(C137,Table8[],2,0)</f>
        <v>GABRIJELA</v>
      </c>
      <c r="E137" s="393">
        <v>86376922906</v>
      </c>
      <c r="F137" s="394" t="s">
        <v>36</v>
      </c>
      <c r="G137" s="474" t="s">
        <v>1476</v>
      </c>
      <c r="H137" s="148">
        <v>5071208</v>
      </c>
      <c r="I137" s="360">
        <v>55.9</v>
      </c>
      <c r="J137" s="360" t="s">
        <v>30</v>
      </c>
      <c r="K137" s="360" t="s">
        <v>31</v>
      </c>
      <c r="L137" s="632" t="s">
        <v>1370</v>
      </c>
      <c r="M137" s="633" t="s">
        <v>1028</v>
      </c>
      <c r="N137" s="357" t="s">
        <v>875</v>
      </c>
      <c r="O137" s="784" t="s">
        <v>37</v>
      </c>
      <c r="P137" s="396"/>
      <c r="Q137" s="360" t="s">
        <v>31</v>
      </c>
      <c r="R137" s="396"/>
      <c r="S137" s="360" t="s">
        <v>839</v>
      </c>
      <c r="T137" s="396"/>
      <c r="U137" s="274" t="s">
        <v>1149</v>
      </c>
      <c r="V137" s="397"/>
      <c r="W137" s="741" t="s">
        <v>38</v>
      </c>
      <c r="X137" s="396"/>
      <c r="Y137" s="396"/>
      <c r="Z137" s="396"/>
      <c r="AA137" s="396"/>
      <c r="AB137" s="360" t="s">
        <v>555</v>
      </c>
      <c r="AC137" s="396"/>
      <c r="AD137" s="396"/>
      <c r="AE137" s="396"/>
      <c r="AF137" s="396"/>
      <c r="AG137" s="396"/>
      <c r="AH137" s="365" t="s">
        <v>556</v>
      </c>
      <c r="AI137" s="396"/>
      <c r="AJ137" s="396"/>
      <c r="AK137" s="388" t="s">
        <v>30</v>
      </c>
      <c r="AL137" s="365" t="s">
        <v>30</v>
      </c>
      <c r="AM137" s="147"/>
      <c r="AN137" s="356"/>
      <c r="AO137" s="356"/>
      <c r="AP137" s="356"/>
      <c r="AQ137" s="355"/>
      <c r="AR137" s="910"/>
      <c r="AS137" s="359"/>
      <c r="AT137" s="334"/>
    </row>
    <row r="138" spans="1:46" s="274" customFormat="1" ht="16.5">
      <c r="A138" s="172">
        <v>137</v>
      </c>
      <c r="B138" s="407" t="s">
        <v>944</v>
      </c>
      <c r="C138" s="372">
        <v>15</v>
      </c>
      <c r="D138" s="148" t="str">
        <f>VLOOKUP(C138,Table8[],2,0)</f>
        <v>NIKOLINA</v>
      </c>
      <c r="E138" s="354">
        <v>77928963561</v>
      </c>
      <c r="F138" s="366" t="s">
        <v>910</v>
      </c>
      <c r="G138" s="613" t="s">
        <v>1336</v>
      </c>
      <c r="H138" s="377"/>
      <c r="I138" s="372">
        <v>68.2</v>
      </c>
      <c r="J138" s="372" t="s">
        <v>30</v>
      </c>
      <c r="K138" s="372" t="s">
        <v>31</v>
      </c>
      <c r="L138" s="651" t="s">
        <v>1442</v>
      </c>
      <c r="M138" s="410" t="s">
        <v>1060</v>
      </c>
      <c r="N138" s="357" t="s">
        <v>876</v>
      </c>
      <c r="O138" s="788" t="s">
        <v>34</v>
      </c>
      <c r="P138" s="372"/>
      <c r="Q138" s="372"/>
      <c r="R138" s="372"/>
      <c r="S138" s="360" t="s">
        <v>839</v>
      </c>
      <c r="T138" s="372"/>
      <c r="U138" s="702" t="s">
        <v>1522</v>
      </c>
      <c r="V138" s="292"/>
      <c r="W138" s="740" t="s">
        <v>30</v>
      </c>
      <c r="X138" s="372"/>
      <c r="Y138" s="372"/>
      <c r="Z138" s="372"/>
      <c r="AA138" s="372"/>
      <c r="AB138" s="372" t="s">
        <v>610</v>
      </c>
      <c r="AC138" s="372"/>
      <c r="AD138" s="372"/>
      <c r="AE138" s="374" t="s">
        <v>658</v>
      </c>
      <c r="AF138" s="372">
        <v>500</v>
      </c>
      <c r="AG138" s="372" t="s">
        <v>72</v>
      </c>
      <c r="AH138" s="372"/>
      <c r="AI138" s="372"/>
      <c r="AJ138" s="375"/>
      <c r="AK138" s="147" t="s">
        <v>30</v>
      </c>
      <c r="AL138" s="147"/>
      <c r="AM138" s="147" t="s">
        <v>1100</v>
      </c>
      <c r="AN138" s="915" t="s">
        <v>1375</v>
      </c>
      <c r="AO138" s="915" t="s">
        <v>1382</v>
      </c>
      <c r="AP138" s="865" t="s">
        <v>1902</v>
      </c>
      <c r="AQ138" s="865">
        <v>9458826147</v>
      </c>
      <c r="AR138" s="910"/>
      <c r="AS138" s="359"/>
      <c r="AT138" s="821" t="s">
        <v>910</v>
      </c>
    </row>
    <row r="139" spans="1:46" s="274" customFormat="1" ht="16.5">
      <c r="A139" s="172">
        <v>138</v>
      </c>
      <c r="B139" s="130" t="s">
        <v>1982</v>
      </c>
      <c r="C139" s="413">
        <v>2</v>
      </c>
      <c r="D139" s="148" t="str">
        <f>VLOOKUP(C139,Table8[],2,0)</f>
        <v>LAURA</v>
      </c>
      <c r="E139" s="354">
        <v>79614880677</v>
      </c>
      <c r="F139" s="366" t="s">
        <v>1235</v>
      </c>
      <c r="G139" s="246"/>
      <c r="H139" s="377"/>
      <c r="I139" s="372">
        <v>41.2</v>
      </c>
      <c r="J139" s="378" t="s">
        <v>30</v>
      </c>
      <c r="K139" s="378" t="s">
        <v>30</v>
      </c>
      <c r="L139" s="612" t="s">
        <v>1026</v>
      </c>
      <c r="M139" s="468" t="s">
        <v>1445</v>
      </c>
      <c r="N139" s="357" t="s">
        <v>44</v>
      </c>
      <c r="O139" s="788" t="s">
        <v>34</v>
      </c>
      <c r="P139" s="372"/>
      <c r="Q139" s="372"/>
      <c r="R139" s="372" t="s">
        <v>31</v>
      </c>
      <c r="S139" s="748" t="s">
        <v>839</v>
      </c>
      <c r="T139" s="372"/>
      <c r="U139" s="606" t="s">
        <v>1186</v>
      </c>
      <c r="V139" s="292"/>
      <c r="W139" s="740" t="s">
        <v>30</v>
      </c>
      <c r="X139" s="372"/>
      <c r="Y139" s="372"/>
      <c r="Z139" s="372"/>
      <c r="AA139" s="372"/>
      <c r="AB139" s="372" t="s">
        <v>559</v>
      </c>
      <c r="AC139" s="372"/>
      <c r="AD139" s="372"/>
      <c r="AE139" s="374" t="s">
        <v>579</v>
      </c>
      <c r="AF139" s="372">
        <v>500</v>
      </c>
      <c r="AG139" s="372" t="s">
        <v>72</v>
      </c>
      <c r="AH139" s="372" t="s">
        <v>656</v>
      </c>
      <c r="AI139" s="372"/>
      <c r="AJ139" s="375"/>
      <c r="AK139" s="147" t="s">
        <v>30</v>
      </c>
      <c r="AL139" s="147"/>
      <c r="AM139" s="147"/>
      <c r="AN139" s="915" t="s">
        <v>1375</v>
      </c>
      <c r="AO139" s="915" t="s">
        <v>1382</v>
      </c>
      <c r="AP139" s="865" t="s">
        <v>1903</v>
      </c>
      <c r="AQ139" s="865">
        <v>31046512116</v>
      </c>
      <c r="AR139" s="910"/>
      <c r="AS139" s="359"/>
      <c r="AT139" s="821" t="s">
        <v>1235</v>
      </c>
    </row>
    <row r="140" spans="1:46" s="274" customFormat="1" ht="24.75" customHeight="1">
      <c r="A140" s="172">
        <v>139</v>
      </c>
      <c r="B140" s="259" t="s">
        <v>951</v>
      </c>
      <c r="C140" s="372">
        <v>29</v>
      </c>
      <c r="D140" s="148" t="str">
        <f>VLOOKUP(C140,Table8[],2,0)</f>
        <v>KP/MARKO</v>
      </c>
      <c r="E140" s="354">
        <v>29229995383</v>
      </c>
      <c r="F140" s="528" t="s">
        <v>1261</v>
      </c>
      <c r="G140" s="686" t="s">
        <v>1477</v>
      </c>
      <c r="H140" s="377"/>
      <c r="I140" s="408" t="s">
        <v>925</v>
      </c>
      <c r="J140" s="372" t="s">
        <v>30</v>
      </c>
      <c r="K140" s="372" t="s">
        <v>31</v>
      </c>
      <c r="L140" s="163" t="s">
        <v>1026</v>
      </c>
      <c r="M140" s="410" t="s">
        <v>1052</v>
      </c>
      <c r="N140" s="357" t="s">
        <v>876</v>
      </c>
      <c r="O140" s="785" t="s">
        <v>34</v>
      </c>
      <c r="P140" s="372"/>
      <c r="Q140" s="372"/>
      <c r="R140" s="372" t="s">
        <v>31</v>
      </c>
      <c r="S140" s="360" t="s">
        <v>839</v>
      </c>
      <c r="T140" s="372"/>
      <c r="U140" s="512" t="s">
        <v>1187</v>
      </c>
      <c r="V140" s="292"/>
      <c r="W140" s="740" t="s">
        <v>30</v>
      </c>
      <c r="X140" s="372"/>
      <c r="Y140" s="372"/>
      <c r="Z140" s="372"/>
      <c r="AA140" s="372"/>
      <c r="AB140" s="372" t="s">
        <v>563</v>
      </c>
      <c r="AC140" s="372"/>
      <c r="AD140" s="372"/>
      <c r="AE140" s="374" t="s">
        <v>648</v>
      </c>
      <c r="AF140" s="372">
        <v>500</v>
      </c>
      <c r="AG140" s="372" t="s">
        <v>72</v>
      </c>
      <c r="AH140" s="372">
        <v>150</v>
      </c>
      <c r="AI140" s="372"/>
      <c r="AJ140" s="375"/>
      <c r="AK140" s="147" t="s">
        <v>31</v>
      </c>
      <c r="AL140" s="147" t="s">
        <v>30</v>
      </c>
      <c r="AM140" s="147" t="s">
        <v>1100</v>
      </c>
      <c r="AN140" s="915" t="s">
        <v>1375</v>
      </c>
      <c r="AO140" s="915" t="s">
        <v>1382</v>
      </c>
      <c r="AP140" s="865" t="s">
        <v>1905</v>
      </c>
      <c r="AQ140" s="865">
        <v>86660021418</v>
      </c>
      <c r="AR140" s="910">
        <f>30*1.1</f>
        <v>33</v>
      </c>
      <c r="AS140" s="359"/>
      <c r="AT140" s="821" t="s">
        <v>1904</v>
      </c>
    </row>
    <row r="141" spans="1:46" s="274" customFormat="1" ht="16.5">
      <c r="A141" s="172">
        <v>140</v>
      </c>
      <c r="B141" s="647" t="s">
        <v>1426</v>
      </c>
      <c r="C141" s="372">
        <v>15</v>
      </c>
      <c r="D141" s="148" t="str">
        <f>VLOOKUP(C141,Table8[],2,0)</f>
        <v>NIKOLINA</v>
      </c>
      <c r="E141" s="354">
        <v>81040686135</v>
      </c>
      <c r="F141" s="390" t="s">
        <v>108</v>
      </c>
      <c r="G141" s="686" t="s">
        <v>1478</v>
      </c>
      <c r="H141" s="427" t="s">
        <v>665</v>
      </c>
      <c r="I141" s="377" t="s">
        <v>109</v>
      </c>
      <c r="J141" s="372" t="s">
        <v>31</v>
      </c>
      <c r="K141" s="372" t="s">
        <v>31</v>
      </c>
      <c r="L141" s="161" t="s">
        <v>1026</v>
      </c>
      <c r="M141" s="410" t="s">
        <v>992</v>
      </c>
      <c r="N141" s="382" t="s">
        <v>876</v>
      </c>
      <c r="O141" s="788" t="s">
        <v>34</v>
      </c>
      <c r="P141" s="372"/>
      <c r="Q141" s="372"/>
      <c r="R141" s="372" t="s">
        <v>31</v>
      </c>
      <c r="S141" s="358" t="s">
        <v>134</v>
      </c>
      <c r="T141" s="372"/>
      <c r="U141" s="512" t="s">
        <v>1146</v>
      </c>
      <c r="V141" s="292"/>
      <c r="W141" s="740" t="s">
        <v>30</v>
      </c>
      <c r="X141" s="372"/>
      <c r="Y141" s="372"/>
      <c r="Z141" s="372"/>
      <c r="AA141" s="372"/>
      <c r="AB141" s="372" t="s">
        <v>664</v>
      </c>
      <c r="AC141" s="372"/>
      <c r="AD141" s="372"/>
      <c r="AE141" s="374"/>
      <c r="AF141" s="372"/>
      <c r="AG141" s="372"/>
      <c r="AH141" s="372"/>
      <c r="AI141" s="372"/>
      <c r="AJ141" s="375"/>
      <c r="AK141" s="147" t="s">
        <v>30</v>
      </c>
      <c r="AL141" s="388"/>
      <c r="AM141" s="147"/>
      <c r="AN141" s="915" t="s">
        <v>1732</v>
      </c>
      <c r="AO141" s="915" t="s">
        <v>1906</v>
      </c>
      <c r="AP141" s="865" t="s">
        <v>1907</v>
      </c>
      <c r="AQ141" s="865">
        <v>3930263809</v>
      </c>
      <c r="AR141" s="910">
        <f>106.18*1.1</f>
        <v>116.79800000000002</v>
      </c>
      <c r="AS141" s="359"/>
      <c r="AT141" s="821" t="s">
        <v>108</v>
      </c>
    </row>
    <row r="142" spans="1:46" s="274" customFormat="1">
      <c r="A142" s="172">
        <v>141</v>
      </c>
      <c r="B142" s="268" t="s">
        <v>654</v>
      </c>
      <c r="C142" s="360">
        <v>11</v>
      </c>
      <c r="D142" s="148" t="str">
        <f>VLOOKUP(C142,Table8[],2,0)</f>
        <v>GABRIJELA</v>
      </c>
      <c r="E142" s="354">
        <v>4823285991</v>
      </c>
      <c r="F142" s="366" t="s">
        <v>99</v>
      </c>
      <c r="G142" s="246" t="s">
        <v>100</v>
      </c>
      <c r="H142" s="377"/>
      <c r="I142" s="372">
        <v>55.9</v>
      </c>
      <c r="J142" s="372" t="s">
        <v>30</v>
      </c>
      <c r="K142" s="372" t="s">
        <v>31</v>
      </c>
      <c r="L142" s="169">
        <v>2026</v>
      </c>
      <c r="M142" s="543" t="s">
        <v>1095</v>
      </c>
      <c r="N142" s="357" t="s">
        <v>875</v>
      </c>
      <c r="O142" s="785" t="s">
        <v>37</v>
      </c>
      <c r="P142" s="372"/>
      <c r="Q142" s="372"/>
      <c r="R142" s="372"/>
      <c r="S142" s="360" t="s">
        <v>839</v>
      </c>
      <c r="T142" s="372"/>
      <c r="U142" s="601" t="s">
        <v>1317</v>
      </c>
      <c r="V142" s="292"/>
      <c r="W142" s="740" t="s">
        <v>38</v>
      </c>
      <c r="X142" s="372"/>
      <c r="Y142" s="372"/>
      <c r="Z142" s="372"/>
      <c r="AA142" s="372"/>
      <c r="AB142" s="372" t="s">
        <v>555</v>
      </c>
      <c r="AC142" s="372"/>
      <c r="AD142" s="372"/>
      <c r="AE142" s="374"/>
      <c r="AF142" s="372"/>
      <c r="AG142" s="372"/>
      <c r="AH142" s="372" t="s">
        <v>655</v>
      </c>
      <c r="AI142" s="372"/>
      <c r="AJ142" s="375"/>
      <c r="AK142" s="147" t="s">
        <v>31</v>
      </c>
      <c r="AL142" s="147" t="s">
        <v>30</v>
      </c>
      <c r="AM142" s="147"/>
      <c r="AN142" s="356"/>
      <c r="AO142" s="356"/>
      <c r="AP142" s="356"/>
      <c r="AQ142" s="355"/>
      <c r="AR142" s="910"/>
      <c r="AS142" s="359"/>
      <c r="AT142" s="334"/>
    </row>
    <row r="143" spans="1:46" s="274" customFormat="1">
      <c r="A143" s="172">
        <v>142</v>
      </c>
      <c r="B143" s="146" t="s">
        <v>961</v>
      </c>
      <c r="C143" s="147">
        <v>25</v>
      </c>
      <c r="D143" s="442" t="str">
        <f>VLOOKUP(C143,Table8[],2,0)</f>
        <v>F. MARKO</v>
      </c>
      <c r="E143" s="437" t="s">
        <v>1573</v>
      </c>
      <c r="F143" s="404" t="s">
        <v>908</v>
      </c>
      <c r="G143" s="476" t="s">
        <v>909</v>
      </c>
      <c r="H143" s="355"/>
      <c r="I143" s="147"/>
      <c r="J143" s="477" t="s">
        <v>30</v>
      </c>
      <c r="K143" s="477" t="s">
        <v>31</v>
      </c>
      <c r="L143" s="155" t="s">
        <v>1026</v>
      </c>
      <c r="M143" s="410" t="s">
        <v>1073</v>
      </c>
      <c r="N143" s="638" t="s">
        <v>876</v>
      </c>
      <c r="O143" s="779" t="s">
        <v>42</v>
      </c>
      <c r="P143" s="147" t="s">
        <v>31</v>
      </c>
      <c r="Q143" s="147" t="s">
        <v>31</v>
      </c>
      <c r="R143" s="147" t="s">
        <v>31</v>
      </c>
      <c r="S143" s="477" t="s">
        <v>839</v>
      </c>
      <c r="T143" s="147"/>
      <c r="U143" s="510" t="s">
        <v>804</v>
      </c>
      <c r="W143" s="628" t="s">
        <v>1367</v>
      </c>
      <c r="X143" s="147"/>
      <c r="Y143" s="147"/>
      <c r="Z143" s="147"/>
      <c r="AA143" s="147"/>
      <c r="AB143" s="147"/>
      <c r="AC143" s="359">
        <v>45931</v>
      </c>
      <c r="AD143" s="147"/>
      <c r="AE143" s="359"/>
      <c r="AF143" s="147"/>
      <c r="AG143" s="147"/>
      <c r="AH143" s="147"/>
      <c r="AI143" s="147"/>
      <c r="AJ143" s="147"/>
      <c r="AK143" s="147"/>
      <c r="AL143" s="147" t="s">
        <v>30</v>
      </c>
      <c r="AM143" s="147" t="s">
        <v>1100</v>
      </c>
      <c r="AN143" s="147"/>
      <c r="AO143" s="147"/>
      <c r="AP143" s="147"/>
      <c r="AQ143" s="355"/>
      <c r="AR143" s="147"/>
      <c r="AS143" s="359"/>
      <c r="AT143" s="147"/>
    </row>
    <row r="144" spans="1:46" s="274" customFormat="1" ht="36">
      <c r="A144" s="172">
        <v>143</v>
      </c>
      <c r="B144" s="647" t="s">
        <v>1427</v>
      </c>
      <c r="C144" s="147">
        <v>15</v>
      </c>
      <c r="D144" s="148" t="str">
        <f>VLOOKUP(C144,Table8[],2,0)</f>
        <v>NIKOLINA</v>
      </c>
      <c r="E144" s="416" t="s">
        <v>1612</v>
      </c>
      <c r="F144" s="460" t="s">
        <v>1260</v>
      </c>
      <c r="G144" s="538" t="s">
        <v>1653</v>
      </c>
      <c r="H144" s="355"/>
      <c r="I144" s="147"/>
      <c r="J144" s="147" t="s">
        <v>31</v>
      </c>
      <c r="K144" s="147" t="s">
        <v>31</v>
      </c>
      <c r="L144" s="163" t="s">
        <v>1026</v>
      </c>
      <c r="M144" s="410" t="s">
        <v>995</v>
      </c>
      <c r="N144" s="357" t="s">
        <v>44</v>
      </c>
      <c r="O144" s="775" t="s">
        <v>42</v>
      </c>
      <c r="P144" s="147"/>
      <c r="Q144" s="147"/>
      <c r="R144" s="147"/>
      <c r="S144" s="360" t="s">
        <v>839</v>
      </c>
      <c r="T144" s="147"/>
      <c r="U144" s="502" t="s">
        <v>1135</v>
      </c>
      <c r="W144" s="738" t="s">
        <v>30</v>
      </c>
      <c r="X144" s="147"/>
      <c r="Y144" s="147"/>
      <c r="Z144" s="147"/>
      <c r="AA144" s="147"/>
      <c r="AB144" s="147"/>
      <c r="AC144" s="359">
        <v>45729</v>
      </c>
      <c r="AD144" s="147"/>
      <c r="AE144" s="359"/>
      <c r="AF144" s="147"/>
      <c r="AG144" s="147"/>
      <c r="AH144" s="147"/>
      <c r="AI144" s="147"/>
      <c r="AJ144" s="147"/>
      <c r="AK144" s="147" t="s">
        <v>30</v>
      </c>
      <c r="AL144" s="147" t="s">
        <v>30</v>
      </c>
      <c r="AM144" s="147" t="s">
        <v>1100</v>
      </c>
      <c r="AN144" s="915" t="s">
        <v>1908</v>
      </c>
      <c r="AO144" s="915" t="s">
        <v>1909</v>
      </c>
      <c r="AP144" s="865" t="s">
        <v>1911</v>
      </c>
      <c r="AQ144" s="865">
        <v>62703428739</v>
      </c>
      <c r="AR144" s="910">
        <f>100*1.1</f>
        <v>110.00000000000001</v>
      </c>
      <c r="AS144" s="359"/>
      <c r="AT144" s="821" t="s">
        <v>1910</v>
      </c>
    </row>
    <row r="145" spans="1:46" s="274" customFormat="1" ht="15.75" customHeight="1">
      <c r="A145" s="172">
        <v>144</v>
      </c>
      <c r="B145" s="130" t="s">
        <v>1428</v>
      </c>
      <c r="C145" s="372">
        <v>15</v>
      </c>
      <c r="D145" s="148" t="str">
        <f>VLOOKUP(C145,Table8[],2,0)</f>
        <v>NIKOLINA</v>
      </c>
      <c r="E145" s="354">
        <v>72939553263</v>
      </c>
      <c r="F145" s="530" t="s">
        <v>1259</v>
      </c>
      <c r="G145" s="385">
        <v>36308192267</v>
      </c>
      <c r="H145" s="377"/>
      <c r="I145" s="372">
        <v>45.4</v>
      </c>
      <c r="J145" s="372" t="s">
        <v>30</v>
      </c>
      <c r="K145" s="372" t="s">
        <v>31</v>
      </c>
      <c r="L145" s="161" t="s">
        <v>1026</v>
      </c>
      <c r="M145" s="410" t="s">
        <v>997</v>
      </c>
      <c r="N145" s="382" t="s">
        <v>876</v>
      </c>
      <c r="O145" s="785" t="s">
        <v>34</v>
      </c>
      <c r="P145" s="372"/>
      <c r="Q145" s="372"/>
      <c r="R145" s="372" t="s">
        <v>31</v>
      </c>
      <c r="S145" s="360" t="s">
        <v>839</v>
      </c>
      <c r="T145" s="372"/>
      <c r="U145" s="512" t="s">
        <v>1188</v>
      </c>
      <c r="V145" s="292"/>
      <c r="W145" s="747" t="s">
        <v>30</v>
      </c>
      <c r="X145" s="372"/>
      <c r="Y145" s="372"/>
      <c r="Z145" s="372"/>
      <c r="AA145" s="372"/>
      <c r="AB145" s="372" t="s">
        <v>637</v>
      </c>
      <c r="AC145" s="372"/>
      <c r="AD145" s="372"/>
      <c r="AE145" s="374"/>
      <c r="AF145" s="372"/>
      <c r="AG145" s="372"/>
      <c r="AH145" s="372" t="s">
        <v>638</v>
      </c>
      <c r="AI145" s="372"/>
      <c r="AJ145" s="375"/>
      <c r="AK145" s="147" t="s">
        <v>30</v>
      </c>
      <c r="AL145" s="147"/>
      <c r="AM145" s="147" t="s">
        <v>1100</v>
      </c>
      <c r="AN145" s="915" t="s">
        <v>1357</v>
      </c>
      <c r="AO145" s="915" t="s">
        <v>1929</v>
      </c>
      <c r="AP145" s="865" t="s">
        <v>1913</v>
      </c>
      <c r="AQ145" s="865">
        <v>75269030081</v>
      </c>
      <c r="AR145" s="910">
        <f>104.5*1.1</f>
        <v>114.95</v>
      </c>
      <c r="AS145" s="359"/>
      <c r="AT145" s="821" t="s">
        <v>1912</v>
      </c>
    </row>
    <row r="146" spans="1:46" s="274" customFormat="1" ht="28.5" customHeight="1">
      <c r="A146" s="172">
        <v>145</v>
      </c>
      <c r="B146" s="130" t="s">
        <v>114</v>
      </c>
      <c r="C146" s="360">
        <v>10</v>
      </c>
      <c r="D146" s="148" t="str">
        <f>VLOOKUP(C146,Table8[],2,0)</f>
        <v>MAJA</v>
      </c>
      <c r="E146" s="354">
        <v>6770289546</v>
      </c>
      <c r="F146" s="532" t="s">
        <v>1258</v>
      </c>
      <c r="G146" s="525" t="s">
        <v>1450</v>
      </c>
      <c r="H146" s="377" t="s">
        <v>670</v>
      </c>
      <c r="I146" s="408" t="s">
        <v>928</v>
      </c>
      <c r="J146" s="372" t="s">
        <v>31</v>
      </c>
      <c r="K146" s="478" t="s">
        <v>31</v>
      </c>
      <c r="L146" s="589" t="s">
        <v>1026</v>
      </c>
      <c r="M146" s="653" t="s">
        <v>1446</v>
      </c>
      <c r="N146" s="357" t="s">
        <v>44</v>
      </c>
      <c r="O146" s="785" t="s">
        <v>37</v>
      </c>
      <c r="P146" s="372"/>
      <c r="Q146" s="372"/>
      <c r="R146" s="372"/>
      <c r="S146" s="360" t="s">
        <v>839</v>
      </c>
      <c r="T146" s="372"/>
      <c r="U146" s="507" t="s">
        <v>1170</v>
      </c>
      <c r="V146" s="292"/>
      <c r="W146" s="740" t="s">
        <v>38</v>
      </c>
      <c r="X146" s="372"/>
      <c r="Y146" s="372"/>
      <c r="Z146" s="372"/>
      <c r="AA146" s="372"/>
      <c r="AB146" s="372" t="s">
        <v>571</v>
      </c>
      <c r="AC146" s="372"/>
      <c r="AD146" s="372"/>
      <c r="AE146" s="374"/>
      <c r="AF146" s="372"/>
      <c r="AG146" s="372"/>
      <c r="AH146" s="372" t="s">
        <v>669</v>
      </c>
      <c r="AI146" s="372"/>
      <c r="AJ146" s="375"/>
      <c r="AK146" s="147" t="s">
        <v>30</v>
      </c>
      <c r="AL146" s="147" t="s">
        <v>30</v>
      </c>
      <c r="AM146" s="147"/>
      <c r="AN146" s="356"/>
      <c r="AO146" s="356"/>
      <c r="AP146" s="356"/>
      <c r="AQ146" s="355"/>
      <c r="AR146" s="910"/>
      <c r="AS146" s="359"/>
      <c r="AT146" s="334"/>
    </row>
    <row r="147" spans="1:46" s="274" customFormat="1" ht="23.25" customHeight="1">
      <c r="A147" s="172">
        <v>146</v>
      </c>
      <c r="B147" s="508" t="s">
        <v>906</v>
      </c>
      <c r="C147" s="147">
        <v>9</v>
      </c>
      <c r="D147" s="479" t="str">
        <f>VLOOKUP(C147,Table8[],2,0)</f>
        <v>SANDRA</v>
      </c>
      <c r="E147" s="821">
        <v>60177911252</v>
      </c>
      <c r="F147" s="533" t="s">
        <v>1257</v>
      </c>
      <c r="G147" s="518" t="s">
        <v>907</v>
      </c>
      <c r="H147" s="355"/>
      <c r="I147" s="355" t="s">
        <v>940</v>
      </c>
      <c r="J147" s="480" t="s">
        <v>30</v>
      </c>
      <c r="K147" s="481" t="s">
        <v>31</v>
      </c>
      <c r="L147" s="589" t="s">
        <v>1026</v>
      </c>
      <c r="M147" s="590" t="s">
        <v>1300</v>
      </c>
      <c r="N147" s="638" t="s">
        <v>876</v>
      </c>
      <c r="O147" s="780" t="s">
        <v>42</v>
      </c>
      <c r="P147" s="147"/>
      <c r="Q147" s="147"/>
      <c r="R147" s="147"/>
      <c r="S147" s="447" t="s">
        <v>134</v>
      </c>
      <c r="T147" s="147"/>
      <c r="U147" s="930" t="s">
        <v>1958</v>
      </c>
      <c r="W147" s="745" t="s">
        <v>30</v>
      </c>
      <c r="X147" s="147"/>
      <c r="Y147" s="147"/>
      <c r="Z147" s="147"/>
      <c r="AA147" s="147"/>
      <c r="AB147" s="147"/>
      <c r="AC147" s="359">
        <v>45931</v>
      </c>
      <c r="AD147" s="147"/>
      <c r="AE147" s="359"/>
      <c r="AF147" s="147"/>
      <c r="AG147" s="147"/>
      <c r="AH147" s="147"/>
      <c r="AI147" s="147"/>
      <c r="AJ147" s="147"/>
      <c r="AK147" s="147"/>
      <c r="AL147" s="147" t="s">
        <v>30</v>
      </c>
      <c r="AM147" s="639" t="s">
        <v>1099</v>
      </c>
      <c r="AN147" s="915" t="s">
        <v>1914</v>
      </c>
      <c r="AO147" s="915" t="s">
        <v>1915</v>
      </c>
      <c r="AP147" s="865" t="s">
        <v>1917</v>
      </c>
      <c r="AQ147" s="865">
        <v>14217547530</v>
      </c>
      <c r="AR147" s="910"/>
      <c r="AS147" s="359"/>
      <c r="AT147" s="821" t="s">
        <v>1916</v>
      </c>
    </row>
    <row r="148" spans="1:46" s="274" customFormat="1">
      <c r="A148" s="172">
        <v>147</v>
      </c>
      <c r="B148" s="269" t="s">
        <v>846</v>
      </c>
      <c r="C148" s="147">
        <v>0</v>
      </c>
      <c r="D148" s="148" t="str">
        <f>VLOOKUP(C148,Table8[],2,0)</f>
        <v>NITKO</v>
      </c>
      <c r="E148" s="391">
        <v>37272363861</v>
      </c>
      <c r="F148" s="404" t="s">
        <v>847</v>
      </c>
      <c r="G148" s="686" t="s">
        <v>1479</v>
      </c>
      <c r="H148" s="355"/>
      <c r="I148" s="147"/>
      <c r="J148" s="472" t="s">
        <v>30</v>
      </c>
      <c r="K148" s="472" t="s">
        <v>30</v>
      </c>
      <c r="L148" s="162" t="s">
        <v>1026</v>
      </c>
      <c r="M148" s="410"/>
      <c r="N148" s="357" t="s">
        <v>44</v>
      </c>
      <c r="O148" s="472" t="s">
        <v>42</v>
      </c>
      <c r="P148" s="147" t="s">
        <v>31</v>
      </c>
      <c r="Q148" s="147" t="s">
        <v>31</v>
      </c>
      <c r="R148" s="147" t="s">
        <v>31</v>
      </c>
      <c r="S148" s="358" t="s">
        <v>134</v>
      </c>
      <c r="T148" s="147"/>
      <c r="U148" s="502" t="s">
        <v>1115</v>
      </c>
      <c r="W148" s="147" t="s">
        <v>31</v>
      </c>
      <c r="X148" s="147"/>
      <c r="Y148" s="147"/>
      <c r="Z148" s="147"/>
      <c r="AA148" s="147"/>
      <c r="AB148" s="147"/>
      <c r="AC148" s="359">
        <v>45778</v>
      </c>
      <c r="AD148" s="147"/>
      <c r="AE148" s="359"/>
      <c r="AF148" s="147"/>
      <c r="AG148" s="147"/>
      <c r="AH148" s="147"/>
      <c r="AI148" s="147"/>
      <c r="AJ148" s="147"/>
      <c r="AK148" s="147" t="s">
        <v>30</v>
      </c>
      <c r="AL148" s="147" t="s">
        <v>30</v>
      </c>
      <c r="AM148" s="147"/>
      <c r="AN148" s="147"/>
      <c r="AO148" s="147"/>
      <c r="AP148" s="147"/>
      <c r="AQ148" s="355"/>
      <c r="AR148" s="147"/>
      <c r="AS148" s="359"/>
      <c r="AT148" s="147"/>
    </row>
    <row r="149" spans="1:46" s="274" customFormat="1">
      <c r="A149" s="172">
        <v>148</v>
      </c>
      <c r="B149" s="130" t="s">
        <v>126</v>
      </c>
      <c r="C149" s="360">
        <v>10</v>
      </c>
      <c r="D149" s="148" t="str">
        <f>VLOOKUP(C149,Table8[],2,0)</f>
        <v>MAJA</v>
      </c>
      <c r="E149" s="354">
        <v>71229001739</v>
      </c>
      <c r="F149" s="404" t="s">
        <v>1956</v>
      </c>
      <c r="G149" s="686" t="s">
        <v>1480</v>
      </c>
      <c r="H149" s="377"/>
      <c r="I149" s="372">
        <v>55.9</v>
      </c>
      <c r="J149" s="372" t="s">
        <v>30</v>
      </c>
      <c r="K149" s="372" t="s">
        <v>31</v>
      </c>
      <c r="L149" s="612" t="s">
        <v>1026</v>
      </c>
      <c r="M149" s="554" t="s">
        <v>1055</v>
      </c>
      <c r="N149" s="357" t="s">
        <v>875</v>
      </c>
      <c r="O149" s="785" t="s">
        <v>37</v>
      </c>
      <c r="P149" s="372"/>
      <c r="Q149" s="372"/>
      <c r="R149" s="372" t="s">
        <v>31</v>
      </c>
      <c r="S149" s="360" t="s">
        <v>839</v>
      </c>
      <c r="T149" s="372"/>
      <c r="U149" s="520" t="s">
        <v>1247</v>
      </c>
      <c r="V149" s="292"/>
      <c r="W149" s="740" t="s">
        <v>38</v>
      </c>
      <c r="X149" s="372"/>
      <c r="Y149" s="372"/>
      <c r="Z149" s="372"/>
      <c r="AA149" s="372"/>
      <c r="AB149" s="372" t="s">
        <v>555</v>
      </c>
      <c r="AC149" s="374" t="s">
        <v>679</v>
      </c>
      <c r="AD149" s="374" t="s">
        <v>679</v>
      </c>
      <c r="AE149" s="374"/>
      <c r="AF149" s="372"/>
      <c r="AG149" s="372"/>
      <c r="AH149" s="372"/>
      <c r="AI149" s="372"/>
      <c r="AJ149" s="375"/>
      <c r="AK149" s="147" t="s">
        <v>31</v>
      </c>
      <c r="AL149" s="147" t="s">
        <v>30</v>
      </c>
      <c r="AM149" s="147"/>
      <c r="AN149" s="356"/>
      <c r="AO149" s="356"/>
      <c r="AP149" s="356"/>
      <c r="AQ149" s="355"/>
      <c r="AR149" s="910"/>
      <c r="AS149" s="359"/>
      <c r="AT149" s="334"/>
    </row>
    <row r="150" spans="1:46" s="274" customFormat="1" ht="18" customHeight="1">
      <c r="A150" s="172">
        <v>149</v>
      </c>
      <c r="B150" s="251" t="s">
        <v>1429</v>
      </c>
      <c r="C150" s="360">
        <v>5</v>
      </c>
      <c r="D150" s="148" t="str">
        <f>VLOOKUP(C150,Table8[],2,0)</f>
        <v>KP/LAURA</v>
      </c>
      <c r="E150" s="400">
        <v>99758375153</v>
      </c>
      <c r="F150" s="404" t="s">
        <v>1224</v>
      </c>
      <c r="G150" s="482" t="s">
        <v>69</v>
      </c>
      <c r="H150" s="377"/>
      <c r="I150" s="372" t="s">
        <v>613</v>
      </c>
      <c r="J150" s="372" t="s">
        <v>30</v>
      </c>
      <c r="K150" s="372" t="s">
        <v>31</v>
      </c>
      <c r="L150" s="588" t="s">
        <v>1306</v>
      </c>
      <c r="M150" s="543" t="s">
        <v>1202</v>
      </c>
      <c r="N150" s="357" t="s">
        <v>44</v>
      </c>
      <c r="O150" s="785" t="s">
        <v>34</v>
      </c>
      <c r="P150" s="372"/>
      <c r="Q150" s="372"/>
      <c r="R150" s="372" t="s">
        <v>31</v>
      </c>
      <c r="S150" s="360" t="s">
        <v>839</v>
      </c>
      <c r="T150" s="372"/>
      <c r="U150" s="735" t="s">
        <v>1532</v>
      </c>
      <c r="V150" s="292" t="s">
        <v>70</v>
      </c>
      <c r="W150" s="740" t="s">
        <v>30</v>
      </c>
      <c r="X150" s="483"/>
      <c r="Y150" s="372"/>
      <c r="Z150" s="372"/>
      <c r="AA150" s="372"/>
      <c r="AB150" s="372" t="s">
        <v>571</v>
      </c>
      <c r="AC150" s="372"/>
      <c r="AD150" s="372"/>
      <c r="AE150" s="374"/>
      <c r="AF150" s="372"/>
      <c r="AG150" s="372"/>
      <c r="AH150" s="372" t="s">
        <v>614</v>
      </c>
      <c r="AI150" s="372"/>
      <c r="AJ150" s="375"/>
      <c r="AK150" s="147" t="s">
        <v>30</v>
      </c>
      <c r="AL150" s="147" t="s">
        <v>30</v>
      </c>
      <c r="AM150" s="147"/>
      <c r="AN150" s="915" t="s">
        <v>1214</v>
      </c>
      <c r="AO150" s="915" t="s">
        <v>1918</v>
      </c>
      <c r="AP150" s="922" t="s">
        <v>1920</v>
      </c>
      <c r="AQ150" s="865">
        <v>53289069232</v>
      </c>
      <c r="AR150" s="910"/>
      <c r="AS150" s="359"/>
      <c r="AT150" s="821" t="s">
        <v>1919</v>
      </c>
    </row>
    <row r="151" spans="1:46" s="274" customFormat="1">
      <c r="A151" s="172">
        <v>150</v>
      </c>
      <c r="B151" s="130" t="s">
        <v>132</v>
      </c>
      <c r="C151" s="372">
        <v>6</v>
      </c>
      <c r="D151" s="148" t="str">
        <f>VLOOKUP(C151,Table8[],2,0)</f>
        <v>F. ANA P.</v>
      </c>
      <c r="E151" s="391">
        <v>50891994502</v>
      </c>
      <c r="F151" s="390" t="s">
        <v>133</v>
      </c>
      <c r="G151" s="246"/>
      <c r="H151" s="484">
        <v>5827191</v>
      </c>
      <c r="I151" s="372">
        <v>16.29</v>
      </c>
      <c r="J151" s="372" t="s">
        <v>30</v>
      </c>
      <c r="K151" s="372" t="s">
        <v>30</v>
      </c>
      <c r="L151" s="589" t="s">
        <v>1026</v>
      </c>
      <c r="M151" s="590" t="s">
        <v>271</v>
      </c>
      <c r="N151" s="382" t="s">
        <v>271</v>
      </c>
      <c r="O151" s="786" t="s">
        <v>37</v>
      </c>
      <c r="P151" s="372"/>
      <c r="Q151" s="372"/>
      <c r="R151" s="372" t="s">
        <v>31</v>
      </c>
      <c r="S151" s="358" t="s">
        <v>134</v>
      </c>
      <c r="T151" s="372"/>
      <c r="U151" s="502" t="s">
        <v>1133</v>
      </c>
      <c r="V151" s="292"/>
      <c r="W151" s="628" t="s">
        <v>1367</v>
      </c>
      <c r="X151" s="372"/>
      <c r="Y151" s="372"/>
      <c r="Z151" s="372"/>
      <c r="AA151" s="372"/>
      <c r="AB151" s="372" t="s">
        <v>578</v>
      </c>
      <c r="AC151" s="374" t="s">
        <v>683</v>
      </c>
      <c r="AD151" s="372"/>
      <c r="AE151" s="374"/>
      <c r="AF151" s="372"/>
      <c r="AG151" s="372"/>
      <c r="AH151" s="372"/>
      <c r="AI151" s="485" t="s">
        <v>135</v>
      </c>
      <c r="AJ151" s="486"/>
      <c r="AK151" s="147" t="s">
        <v>30</v>
      </c>
      <c r="AL151" s="147" t="s">
        <v>30</v>
      </c>
      <c r="AM151" s="147"/>
      <c r="AN151" s="147"/>
      <c r="AO151" s="147"/>
      <c r="AP151" s="147"/>
      <c r="AQ151" s="355"/>
      <c r="AR151" s="147"/>
      <c r="AS151" s="359"/>
      <c r="AT151" s="147"/>
    </row>
    <row r="152" spans="1:46" s="274" customFormat="1" ht="16.5">
      <c r="A152" s="172">
        <v>151</v>
      </c>
      <c r="B152" s="255" t="s">
        <v>950</v>
      </c>
      <c r="C152" s="365">
        <v>2</v>
      </c>
      <c r="D152" s="148" t="str">
        <f>VLOOKUP(C152,Table8[],2,0)</f>
        <v>LAURA</v>
      </c>
      <c r="E152" s="354">
        <v>80408968089</v>
      </c>
      <c r="F152" s="370" t="s">
        <v>705</v>
      </c>
      <c r="G152" s="367" t="s">
        <v>1481</v>
      </c>
      <c r="H152" s="368"/>
      <c r="I152" s="365">
        <v>68.2</v>
      </c>
      <c r="J152" s="365" t="s">
        <v>30</v>
      </c>
      <c r="K152" s="365" t="s">
        <v>31</v>
      </c>
      <c r="L152" s="157" t="s">
        <v>1026</v>
      </c>
      <c r="M152" s="410" t="s">
        <v>1041</v>
      </c>
      <c r="N152" s="357" t="s">
        <v>44</v>
      </c>
      <c r="O152" s="784" t="s">
        <v>34</v>
      </c>
      <c r="P152" s="365" t="s">
        <v>31</v>
      </c>
      <c r="Q152" s="365" t="s">
        <v>31</v>
      </c>
      <c r="R152" s="365" t="s">
        <v>31</v>
      </c>
      <c r="S152" s="360" t="s">
        <v>839</v>
      </c>
      <c r="T152" s="365"/>
      <c r="U152" s="370" t="s">
        <v>1174</v>
      </c>
      <c r="V152" s="370"/>
      <c r="W152" s="739" t="s">
        <v>30</v>
      </c>
      <c r="X152" s="365"/>
      <c r="Y152" s="365"/>
      <c r="Z152" s="365"/>
      <c r="AA152" s="365"/>
      <c r="AB152" s="365" t="s">
        <v>610</v>
      </c>
      <c r="AC152" s="365" t="s">
        <v>704</v>
      </c>
      <c r="AD152" s="365"/>
      <c r="AE152" s="371" t="s">
        <v>704</v>
      </c>
      <c r="AF152" s="365">
        <v>500</v>
      </c>
      <c r="AG152" s="365" t="s">
        <v>72</v>
      </c>
      <c r="AH152" s="365"/>
      <c r="AI152" s="365"/>
      <c r="AJ152" s="365"/>
      <c r="AK152" s="147" t="s">
        <v>30</v>
      </c>
      <c r="AL152" s="147"/>
      <c r="AM152" s="147"/>
      <c r="AN152" s="915" t="s">
        <v>1375</v>
      </c>
      <c r="AO152" s="915" t="s">
        <v>1382</v>
      </c>
      <c r="AP152" s="865" t="s">
        <v>1922</v>
      </c>
      <c r="AQ152" s="865">
        <v>14177548986</v>
      </c>
      <c r="AR152" s="910"/>
      <c r="AS152" s="359"/>
      <c r="AT152" s="821" t="s">
        <v>1921</v>
      </c>
    </row>
    <row r="153" spans="1:46" s="274" customFormat="1">
      <c r="A153" s="172">
        <v>152</v>
      </c>
      <c r="B153" s="146" t="s">
        <v>971</v>
      </c>
      <c r="C153" s="147">
        <v>20</v>
      </c>
      <c r="D153" s="376" t="str">
        <f>VLOOKUP(C153,Table8[],2,0)</f>
        <v>VESNA</v>
      </c>
      <c r="E153" s="354"/>
      <c r="F153" s="404" t="s">
        <v>984</v>
      </c>
      <c r="G153" s="146" t="s">
        <v>973</v>
      </c>
      <c r="H153" s="355"/>
      <c r="I153" s="147"/>
      <c r="J153" s="147" t="s">
        <v>31</v>
      </c>
      <c r="K153" s="147" t="s">
        <v>31</v>
      </c>
      <c r="L153" s="155" t="s">
        <v>1026</v>
      </c>
      <c r="M153" s="542" t="s">
        <v>550</v>
      </c>
      <c r="N153" s="362" t="s">
        <v>44</v>
      </c>
      <c r="O153" s="774" t="s">
        <v>37</v>
      </c>
      <c r="P153" s="147" t="s">
        <v>31</v>
      </c>
      <c r="Q153" s="147" t="s">
        <v>31</v>
      </c>
      <c r="R153" s="147" t="s">
        <v>31</v>
      </c>
      <c r="S153" s="147" t="s">
        <v>134</v>
      </c>
      <c r="T153" s="147"/>
      <c r="U153" s="274" t="s">
        <v>2021</v>
      </c>
      <c r="W153" s="738" t="s">
        <v>31</v>
      </c>
      <c r="X153" s="147"/>
      <c r="Y153" s="147"/>
      <c r="Z153" s="147"/>
      <c r="AA153" s="147"/>
      <c r="AB153" s="147"/>
      <c r="AC153" s="359">
        <v>45292</v>
      </c>
      <c r="AD153" s="147"/>
      <c r="AE153" s="359"/>
      <c r="AF153" s="147"/>
      <c r="AG153" s="147"/>
      <c r="AH153" s="147"/>
      <c r="AI153" s="147"/>
      <c r="AJ153" s="147"/>
      <c r="AK153" s="147"/>
      <c r="AL153" s="147" t="s">
        <v>30</v>
      </c>
      <c r="AM153" s="147"/>
      <c r="AN153" s="356"/>
      <c r="AO153" s="356"/>
      <c r="AP153" s="356"/>
      <c r="AQ153" s="355"/>
      <c r="AR153" s="910"/>
      <c r="AS153" s="359"/>
      <c r="AT153" s="334"/>
    </row>
    <row r="154" spans="1:46" s="274" customFormat="1">
      <c r="A154" s="172">
        <v>153</v>
      </c>
      <c r="B154" s="251" t="s">
        <v>1613</v>
      </c>
      <c r="C154" s="360">
        <v>5</v>
      </c>
      <c r="D154" s="148" t="str">
        <f>VLOOKUP(C154,Table8[],2,0)</f>
        <v>KP/LAURA</v>
      </c>
      <c r="E154" s="354">
        <v>99986895436</v>
      </c>
      <c r="F154" s="384" t="s">
        <v>94</v>
      </c>
      <c r="G154" s="688" t="s">
        <v>1482</v>
      </c>
      <c r="H154" s="377"/>
      <c r="I154" s="372">
        <v>47.22</v>
      </c>
      <c r="J154" s="372" t="s">
        <v>30</v>
      </c>
      <c r="K154" s="372" t="s">
        <v>31</v>
      </c>
      <c r="L154" s="165">
        <v>2026</v>
      </c>
      <c r="M154" s="543"/>
      <c r="N154" s="357" t="s">
        <v>875</v>
      </c>
      <c r="O154" s="785" t="s">
        <v>37</v>
      </c>
      <c r="P154" s="372"/>
      <c r="Q154" s="372"/>
      <c r="R154" s="372"/>
      <c r="S154" s="360" t="s">
        <v>839</v>
      </c>
      <c r="T154" s="372"/>
      <c r="U154" s="616" t="s">
        <v>1346</v>
      </c>
      <c r="V154" s="292"/>
      <c r="W154" s="740" t="s">
        <v>38</v>
      </c>
      <c r="X154" s="372"/>
      <c r="Y154" s="372"/>
      <c r="Z154" s="372"/>
      <c r="AA154" s="372"/>
      <c r="AB154" s="372" t="s">
        <v>571</v>
      </c>
      <c r="AC154" s="372"/>
      <c r="AD154" s="372"/>
      <c r="AE154" s="374"/>
      <c r="AF154" s="372"/>
      <c r="AG154" s="372"/>
      <c r="AH154" s="372" t="s">
        <v>647</v>
      </c>
      <c r="AI154" s="372"/>
      <c r="AJ154" s="375"/>
      <c r="AK154" s="147" t="s">
        <v>30</v>
      </c>
      <c r="AL154" s="147" t="s">
        <v>30</v>
      </c>
      <c r="AM154" s="147"/>
      <c r="AN154" s="356"/>
      <c r="AO154" s="356"/>
      <c r="AP154" s="356"/>
      <c r="AQ154" s="355"/>
      <c r="AR154" s="910">
        <f>40*1.1</f>
        <v>44</v>
      </c>
      <c r="AS154" s="359"/>
      <c r="AT154" s="334"/>
    </row>
    <row r="155" spans="1:46" s="274" customFormat="1" ht="16.5">
      <c r="A155" s="172">
        <v>154</v>
      </c>
      <c r="B155" s="146" t="s">
        <v>1189</v>
      </c>
      <c r="C155" s="147">
        <v>5</v>
      </c>
      <c r="D155" s="148" t="str">
        <f>VLOOKUP(C155,Table8[],2,0)</f>
        <v>KP/LAURA</v>
      </c>
      <c r="E155" s="354">
        <v>9333839589</v>
      </c>
      <c r="F155" s="274" t="s">
        <v>838</v>
      </c>
      <c r="G155" s="614" t="s">
        <v>1337</v>
      </c>
      <c r="H155" s="355"/>
      <c r="I155" s="355" t="s">
        <v>938</v>
      </c>
      <c r="J155" s="147" t="s">
        <v>30</v>
      </c>
      <c r="K155" s="147" t="s">
        <v>31</v>
      </c>
      <c r="L155" s="651" t="s">
        <v>1442</v>
      </c>
      <c r="M155" s="410" t="s">
        <v>1201</v>
      </c>
      <c r="N155" s="357" t="s">
        <v>876</v>
      </c>
      <c r="O155" s="639" t="s">
        <v>42</v>
      </c>
      <c r="P155" s="147"/>
      <c r="Q155" s="147"/>
      <c r="R155" s="147"/>
      <c r="S155" s="360" t="s">
        <v>839</v>
      </c>
      <c r="T155" s="147"/>
      <c r="U155" s="1048" t="s">
        <v>2051</v>
      </c>
      <c r="W155" s="738" t="s">
        <v>30</v>
      </c>
      <c r="X155" s="147"/>
      <c r="Y155" s="147"/>
      <c r="Z155" s="147"/>
      <c r="AA155" s="147"/>
      <c r="AB155" s="147"/>
      <c r="AC155" s="359">
        <v>45748</v>
      </c>
      <c r="AD155" s="147"/>
      <c r="AE155" s="359"/>
      <c r="AF155" s="147"/>
      <c r="AG155" s="147"/>
      <c r="AH155" s="147"/>
      <c r="AI155" s="147"/>
      <c r="AJ155" s="147"/>
      <c r="AK155" s="147" t="s">
        <v>30</v>
      </c>
      <c r="AL155" s="147" t="s">
        <v>30</v>
      </c>
      <c r="AM155" s="147" t="s">
        <v>1100</v>
      </c>
      <c r="AN155" s="915" t="s">
        <v>1375</v>
      </c>
      <c r="AO155" s="356" t="s">
        <v>1382</v>
      </c>
      <c r="AP155" s="356" t="s">
        <v>1658</v>
      </c>
      <c r="AQ155" s="926">
        <v>38072963871</v>
      </c>
      <c r="AR155" s="910">
        <f>100*1.1</f>
        <v>110.00000000000001</v>
      </c>
      <c r="AS155" s="359"/>
      <c r="AT155" s="334"/>
    </row>
    <row r="156" spans="1:46" s="274" customFormat="1">
      <c r="A156" s="172">
        <v>155</v>
      </c>
      <c r="B156" s="130" t="s">
        <v>71</v>
      </c>
      <c r="C156" s="372">
        <v>15</v>
      </c>
      <c r="D156" s="148" t="str">
        <f>VLOOKUP(C156,Table8[],2,0)</f>
        <v>NIKOLINA</v>
      </c>
      <c r="E156" s="354">
        <v>45575918003</v>
      </c>
      <c r="F156" s="366" t="s">
        <v>966</v>
      </c>
      <c r="G156" s="686" t="s">
        <v>1467</v>
      </c>
      <c r="H156" s="487"/>
      <c r="I156" s="372">
        <v>47.99</v>
      </c>
      <c r="J156" s="372" t="s">
        <v>30</v>
      </c>
      <c r="K156" s="372" t="s">
        <v>30</v>
      </c>
      <c r="L156" s="589" t="s">
        <v>1314</v>
      </c>
      <c r="M156" s="541"/>
      <c r="N156" s="382" t="s">
        <v>44</v>
      </c>
      <c r="O156" s="785" t="s">
        <v>34</v>
      </c>
      <c r="P156" s="372"/>
      <c r="Q156" s="372"/>
      <c r="R156" s="372" t="s">
        <v>31</v>
      </c>
      <c r="S156" s="360" t="s">
        <v>839</v>
      </c>
      <c r="T156" s="372"/>
      <c r="U156" s="379" t="s">
        <v>1113</v>
      </c>
      <c r="V156" s="292"/>
      <c r="W156" s="740" t="s">
        <v>30</v>
      </c>
      <c r="X156" s="372"/>
      <c r="Y156" s="372"/>
      <c r="Z156" s="372"/>
      <c r="AA156" s="372"/>
      <c r="AB156" s="372" t="s">
        <v>571</v>
      </c>
      <c r="AC156" s="372"/>
      <c r="AD156" s="372"/>
      <c r="AE156" s="374" t="s">
        <v>615</v>
      </c>
      <c r="AF156" s="372">
        <v>500</v>
      </c>
      <c r="AG156" s="372" t="s">
        <v>72</v>
      </c>
      <c r="AH156" s="372" t="s">
        <v>616</v>
      </c>
      <c r="AI156" s="372"/>
      <c r="AJ156" s="375"/>
      <c r="AK156" s="147" t="s">
        <v>31</v>
      </c>
      <c r="AL156" s="147"/>
      <c r="AM156" s="639"/>
      <c r="AN156" s="915" t="s">
        <v>1375</v>
      </c>
      <c r="AO156" s="356" t="s">
        <v>1382</v>
      </c>
      <c r="AP156" s="915" t="s">
        <v>1923</v>
      </c>
      <c r="AQ156" s="355"/>
      <c r="AR156" s="910"/>
      <c r="AS156" s="359"/>
      <c r="AT156" s="334"/>
    </row>
    <row r="157" spans="1:46" s="274" customFormat="1" ht="21.75" customHeight="1">
      <c r="A157" s="172">
        <v>156</v>
      </c>
      <c r="B157" s="821" t="s">
        <v>1924</v>
      </c>
      <c r="C157" s="147">
        <v>23</v>
      </c>
      <c r="D157" s="148" t="str">
        <f>VLOOKUP(C157,Table8[],2,0)</f>
        <v>MARKO</v>
      </c>
      <c r="E157" s="354" t="s">
        <v>1574</v>
      </c>
      <c r="F157" s="530" t="s">
        <v>723</v>
      </c>
      <c r="G157" s="1042" t="s">
        <v>1483</v>
      </c>
      <c r="H157" s="355"/>
      <c r="I157" s="147" t="s">
        <v>703</v>
      </c>
      <c r="J157" s="147" t="s">
        <v>30</v>
      </c>
      <c r="K157" s="147" t="s">
        <v>30</v>
      </c>
      <c r="L157" s="161" t="s">
        <v>1026</v>
      </c>
      <c r="M157" s="410" t="s">
        <v>1008</v>
      </c>
      <c r="N157" s="362" t="s">
        <v>876</v>
      </c>
      <c r="O157" s="776" t="s">
        <v>42</v>
      </c>
      <c r="P157" s="147" t="s">
        <v>31</v>
      </c>
      <c r="Q157" s="147" t="s">
        <v>31</v>
      </c>
      <c r="R157" s="147" t="s">
        <v>31</v>
      </c>
      <c r="S157" s="360" t="s">
        <v>839</v>
      </c>
      <c r="T157" s="147"/>
      <c r="U157" s="274" t="s">
        <v>1175</v>
      </c>
      <c r="W157" s="738" t="s">
        <v>30</v>
      </c>
      <c r="X157" s="147"/>
      <c r="Y157" s="147"/>
      <c r="Z157" s="147"/>
      <c r="AA157" s="147"/>
      <c r="AB157" s="147"/>
      <c r="AC157" s="359">
        <v>45536</v>
      </c>
      <c r="AD157" s="147"/>
      <c r="AE157" s="359">
        <v>45536</v>
      </c>
      <c r="AF157" s="147">
        <v>500</v>
      </c>
      <c r="AG157" s="147" t="s">
        <v>72</v>
      </c>
      <c r="AH157" s="147"/>
      <c r="AI157" s="147"/>
      <c r="AJ157" s="147"/>
      <c r="AK157" s="147" t="s">
        <v>30</v>
      </c>
      <c r="AL157" s="147" t="s">
        <v>30</v>
      </c>
      <c r="AM157" s="147" t="s">
        <v>1100</v>
      </c>
      <c r="AN157" s="915" t="s">
        <v>1375</v>
      </c>
      <c r="AO157" s="915" t="s">
        <v>1382</v>
      </c>
      <c r="AP157" s="865" t="s">
        <v>1926</v>
      </c>
      <c r="AQ157" s="865">
        <v>39048000137</v>
      </c>
      <c r="AR157" s="910">
        <f>200*1.1</f>
        <v>220.00000000000003</v>
      </c>
      <c r="AS157" s="359"/>
      <c r="AT157" s="821" t="s">
        <v>1925</v>
      </c>
    </row>
    <row r="158" spans="1:46" s="274" customFormat="1" ht="16.5">
      <c r="A158" s="172">
        <v>157</v>
      </c>
      <c r="B158" s="270" t="s">
        <v>824</v>
      </c>
      <c r="C158" s="147">
        <v>15</v>
      </c>
      <c r="D158" s="148" t="str">
        <f>VLOOKUP(C158,Table8[],2,0)</f>
        <v>NIKOLINA</v>
      </c>
      <c r="E158" s="354" t="s">
        <v>1575</v>
      </c>
      <c r="F158" s="404" t="s">
        <v>825</v>
      </c>
      <c r="G158" s="270" t="s">
        <v>822</v>
      </c>
      <c r="H158" s="355"/>
      <c r="I158" s="147"/>
      <c r="J158" s="389" t="s">
        <v>30</v>
      </c>
      <c r="K158" s="389" t="s">
        <v>31</v>
      </c>
      <c r="L158" s="589" t="s">
        <v>1026</v>
      </c>
      <c r="M158" s="154" t="s">
        <v>993</v>
      </c>
      <c r="N158" s="382" t="s">
        <v>884</v>
      </c>
      <c r="O158" s="781" t="s">
        <v>42</v>
      </c>
      <c r="P158" s="147"/>
      <c r="Q158" s="147"/>
      <c r="R158" s="147"/>
      <c r="S158" s="358" t="s">
        <v>134</v>
      </c>
      <c r="T158" s="147"/>
      <c r="U158" s="502" t="s">
        <v>1147</v>
      </c>
      <c r="W158" s="744" t="s">
        <v>30</v>
      </c>
      <c r="X158" s="147"/>
      <c r="Y158" s="147"/>
      <c r="Z158" s="147"/>
      <c r="AA158" s="147"/>
      <c r="AB158" s="147"/>
      <c r="AC158" s="359">
        <v>45688</v>
      </c>
      <c r="AD158" s="147"/>
      <c r="AE158" s="359"/>
      <c r="AF158" s="147"/>
      <c r="AG158" s="147"/>
      <c r="AH158" s="147"/>
      <c r="AI158" s="147"/>
      <c r="AJ158" s="147"/>
      <c r="AK158" s="147" t="s">
        <v>31</v>
      </c>
      <c r="AL158" s="147"/>
      <c r="AM158" s="639"/>
      <c r="AN158" s="915" t="s">
        <v>1214</v>
      </c>
      <c r="AO158" s="915" t="s">
        <v>1927</v>
      </c>
      <c r="AP158" s="865" t="s">
        <v>1928</v>
      </c>
      <c r="AQ158" s="865">
        <v>76082949250</v>
      </c>
      <c r="AR158" s="910"/>
      <c r="AS158" s="359"/>
      <c r="AT158" s="919" t="s">
        <v>42</v>
      </c>
    </row>
    <row r="159" spans="1:46" s="274" customFormat="1">
      <c r="A159" s="172">
        <v>158</v>
      </c>
      <c r="B159" s="130" t="s">
        <v>1430</v>
      </c>
      <c r="C159" s="372">
        <v>6</v>
      </c>
      <c r="D159" s="148" t="str">
        <f>VLOOKUP(C159,Table8[],2,0)</f>
        <v>F. ANA P.</v>
      </c>
      <c r="E159" s="354">
        <v>12091735333</v>
      </c>
      <c r="F159" s="390" t="s">
        <v>90</v>
      </c>
      <c r="G159" s="488" t="s">
        <v>1484</v>
      </c>
      <c r="H159" s="373" t="s">
        <v>641</v>
      </c>
      <c r="I159" s="372">
        <v>47.91</v>
      </c>
      <c r="J159" s="372" t="s">
        <v>30</v>
      </c>
      <c r="K159" s="372" t="s">
        <v>30</v>
      </c>
      <c r="L159" s="589" t="s">
        <v>1026</v>
      </c>
      <c r="M159" s="590" t="s">
        <v>271</v>
      </c>
      <c r="N159" s="382" t="s">
        <v>271</v>
      </c>
      <c r="O159" s="785" t="s">
        <v>34</v>
      </c>
      <c r="P159" s="372"/>
      <c r="Q159" s="372"/>
      <c r="R159" s="372" t="s">
        <v>31</v>
      </c>
      <c r="S159" s="358" t="s">
        <v>134</v>
      </c>
      <c r="T159" s="372"/>
      <c r="U159" s="502" t="s">
        <v>1134</v>
      </c>
      <c r="V159" s="292"/>
      <c r="W159" s="628" t="s">
        <v>1367</v>
      </c>
      <c r="X159" s="374" t="s">
        <v>560</v>
      </c>
      <c r="Y159" s="374" t="s">
        <v>560</v>
      </c>
      <c r="Z159" s="372" t="s">
        <v>42</v>
      </c>
      <c r="AA159" s="372" t="s">
        <v>42</v>
      </c>
      <c r="AB159" s="372" t="s">
        <v>595</v>
      </c>
      <c r="AC159" s="372"/>
      <c r="AD159" s="372"/>
      <c r="AE159" s="374"/>
      <c r="AF159" s="372"/>
      <c r="AG159" s="372"/>
      <c r="AH159" s="372" t="s">
        <v>640</v>
      </c>
      <c r="AI159" s="372"/>
      <c r="AJ159" s="375"/>
      <c r="AK159" s="147" t="s">
        <v>31</v>
      </c>
      <c r="AL159" s="147"/>
      <c r="AM159" s="639"/>
      <c r="AN159" s="147"/>
      <c r="AO159" s="147"/>
      <c r="AP159" s="147"/>
      <c r="AQ159" s="355"/>
      <c r="AR159" s="147"/>
      <c r="AS159" s="359"/>
      <c r="AT159" s="147"/>
    </row>
    <row r="160" spans="1:46" s="274" customFormat="1" ht="30">
      <c r="A160" s="172">
        <v>159</v>
      </c>
      <c r="B160" s="259" t="s">
        <v>955</v>
      </c>
      <c r="C160" s="413">
        <v>7</v>
      </c>
      <c r="D160" s="475" t="str">
        <f>VLOOKUP(C160,Table8[],2,0)</f>
        <v>SJEDIŠTE</v>
      </c>
      <c r="E160" s="489">
        <v>24279864703</v>
      </c>
      <c r="F160" s="490" t="s">
        <v>1254</v>
      </c>
      <c r="G160" s="691" t="s">
        <v>1485</v>
      </c>
      <c r="H160" s="634"/>
      <c r="I160" s="413">
        <v>70.22</v>
      </c>
      <c r="J160" s="413" t="s">
        <v>30</v>
      </c>
      <c r="K160" s="413" t="s">
        <v>30</v>
      </c>
      <c r="L160" s="591" t="s">
        <v>1309</v>
      </c>
      <c r="M160" s="494"/>
      <c r="N160" s="357" t="s">
        <v>44</v>
      </c>
      <c r="O160" s="785" t="s">
        <v>34</v>
      </c>
      <c r="P160" s="372"/>
      <c r="Q160" s="372"/>
      <c r="R160" s="372" t="s">
        <v>31</v>
      </c>
      <c r="S160" s="360" t="s">
        <v>839</v>
      </c>
      <c r="T160" s="372"/>
      <c r="U160" s="409" t="s">
        <v>855</v>
      </c>
      <c r="V160" s="292" t="s">
        <v>74</v>
      </c>
      <c r="W160" s="147" t="s">
        <v>31</v>
      </c>
      <c r="X160" s="372"/>
      <c r="Y160" s="372"/>
      <c r="Z160" s="372"/>
      <c r="AA160" s="372"/>
      <c r="AB160" s="372" t="s">
        <v>558</v>
      </c>
      <c r="AC160" s="413"/>
      <c r="AD160" s="413"/>
      <c r="AE160" s="423" t="s">
        <v>623</v>
      </c>
      <c r="AF160" s="491" t="s">
        <v>749</v>
      </c>
      <c r="AG160" s="413" t="s">
        <v>75</v>
      </c>
      <c r="AH160" s="372"/>
      <c r="AI160" s="372"/>
      <c r="AJ160" s="375"/>
      <c r="AK160" s="147" t="s">
        <v>30</v>
      </c>
      <c r="AL160" s="147"/>
      <c r="AM160" s="639"/>
      <c r="AN160" s="147"/>
      <c r="AO160" s="147"/>
      <c r="AP160" s="147"/>
      <c r="AQ160" s="355"/>
      <c r="AR160" s="147"/>
      <c r="AS160" s="359"/>
      <c r="AT160" s="147"/>
    </row>
    <row r="161" spans="1:46" s="274" customFormat="1">
      <c r="A161" s="172">
        <v>160</v>
      </c>
      <c r="B161" s="259" t="s">
        <v>2052</v>
      </c>
      <c r="C161" s="413">
        <v>7</v>
      </c>
      <c r="D161" s="475" t="str">
        <f>VLOOKUP(C161,Table8[],2,0)</f>
        <v>SJEDIŠTE</v>
      </c>
      <c r="E161" s="421">
        <v>65558424071</v>
      </c>
      <c r="F161" s="515" t="s">
        <v>1191</v>
      </c>
      <c r="G161" s="434" t="s">
        <v>115</v>
      </c>
      <c r="H161" s="492" t="s">
        <v>672</v>
      </c>
      <c r="I161" s="413">
        <v>41.2</v>
      </c>
      <c r="J161" s="435" t="s">
        <v>30</v>
      </c>
      <c r="K161" s="413" t="s">
        <v>31</v>
      </c>
      <c r="L161" s="591" t="s">
        <v>1309</v>
      </c>
      <c r="M161" s="494"/>
      <c r="N161" s="493" t="s">
        <v>44</v>
      </c>
      <c r="O161" s="788" t="s">
        <v>34</v>
      </c>
      <c r="P161" s="413"/>
      <c r="Q161" s="413"/>
      <c r="R161" s="413" t="s">
        <v>31</v>
      </c>
      <c r="S161" s="493" t="s">
        <v>839</v>
      </c>
      <c r="T161" s="413"/>
      <c r="U161" s="422" t="s">
        <v>855</v>
      </c>
      <c r="V161" s="494"/>
      <c r="W161" s="147" t="s">
        <v>31</v>
      </c>
      <c r="X161" s="413"/>
      <c r="Y161" s="413"/>
      <c r="Z161" s="413"/>
      <c r="AA161" s="413"/>
      <c r="AB161" s="413" t="s">
        <v>559</v>
      </c>
      <c r="AC161" s="413"/>
      <c r="AD161" s="413"/>
      <c r="AE161" s="423" t="s">
        <v>671</v>
      </c>
      <c r="AF161" s="413" t="s">
        <v>116</v>
      </c>
      <c r="AG161" s="413" t="s">
        <v>72</v>
      </c>
      <c r="AH161" s="413">
        <v>175</v>
      </c>
      <c r="AI161" s="413"/>
      <c r="AJ161" s="495"/>
      <c r="AK161" s="388" t="s">
        <v>30</v>
      </c>
      <c r="AL161" s="147"/>
      <c r="AM161" s="639"/>
      <c r="AN161" s="147"/>
      <c r="AO161" s="147"/>
      <c r="AP161" s="147"/>
      <c r="AQ161" s="355"/>
      <c r="AR161" s="147"/>
      <c r="AS161" s="359"/>
      <c r="AT161" s="147"/>
    </row>
    <row r="162" spans="1:46" s="274" customFormat="1" ht="22.5" customHeight="1">
      <c r="A162" s="172">
        <v>161</v>
      </c>
      <c r="B162" s="259" t="s">
        <v>2053</v>
      </c>
      <c r="C162" s="413">
        <v>7</v>
      </c>
      <c r="D162" s="475" t="str">
        <f>VLOOKUP(C162,Table8[],2,0)</f>
        <v>SJEDIŠTE</v>
      </c>
      <c r="E162" s="421">
        <v>79314395739</v>
      </c>
      <c r="F162" s="539" t="s">
        <v>1256</v>
      </c>
      <c r="G162" s="434" t="s">
        <v>115</v>
      </c>
      <c r="H162" s="634" t="s">
        <v>673</v>
      </c>
      <c r="I162" s="413">
        <v>41.2</v>
      </c>
      <c r="J162" s="435" t="s">
        <v>30</v>
      </c>
      <c r="K162" s="413" t="s">
        <v>31</v>
      </c>
      <c r="L162" s="591" t="s">
        <v>1309</v>
      </c>
      <c r="M162" s="494"/>
      <c r="N162" s="357" t="s">
        <v>44</v>
      </c>
      <c r="O162" s="788" t="s">
        <v>34</v>
      </c>
      <c r="P162" s="372"/>
      <c r="Q162" s="372"/>
      <c r="R162" s="372" t="s">
        <v>31</v>
      </c>
      <c r="S162" s="360" t="s">
        <v>839</v>
      </c>
      <c r="T162" s="372"/>
      <c r="U162" s="422" t="s">
        <v>855</v>
      </c>
      <c r="V162" s="292"/>
      <c r="W162" s="147" t="s">
        <v>31</v>
      </c>
      <c r="X162" s="372"/>
      <c r="Y162" s="372"/>
      <c r="Z162" s="372"/>
      <c r="AA162" s="372"/>
      <c r="AB162" s="372" t="s">
        <v>559</v>
      </c>
      <c r="AC162" s="413"/>
      <c r="AD162" s="413"/>
      <c r="AE162" s="423" t="s">
        <v>671</v>
      </c>
      <c r="AF162" s="413" t="s">
        <v>116</v>
      </c>
      <c r="AG162" s="413" t="s">
        <v>72</v>
      </c>
      <c r="AH162" s="372">
        <v>1275</v>
      </c>
      <c r="AI162" s="372"/>
      <c r="AJ162" s="375"/>
      <c r="AK162" s="388" t="s">
        <v>30</v>
      </c>
      <c r="AL162" s="147"/>
      <c r="AM162" s="147"/>
      <c r="AN162" s="147"/>
      <c r="AO162" s="147"/>
      <c r="AP162" s="147"/>
      <c r="AQ162" s="355"/>
      <c r="AR162" s="147"/>
      <c r="AS162" s="359"/>
      <c r="AT162" s="147"/>
    </row>
    <row r="163" spans="1:46" s="274" customFormat="1" ht="15" customHeight="1">
      <c r="A163" s="172">
        <v>162</v>
      </c>
      <c r="B163" s="259" t="s">
        <v>2054</v>
      </c>
      <c r="C163" s="413">
        <v>7</v>
      </c>
      <c r="D163" s="475" t="str">
        <f>VLOOKUP(C163,Table8[],2,0)</f>
        <v>SJEDIŠTE</v>
      </c>
      <c r="E163" s="344">
        <v>31521842055</v>
      </c>
      <c r="F163" s="490" t="s">
        <v>1190</v>
      </c>
      <c r="G163" s="691" t="s">
        <v>1485</v>
      </c>
      <c r="H163" s="634"/>
      <c r="I163" s="413">
        <v>41.1</v>
      </c>
      <c r="J163" s="413" t="s">
        <v>30</v>
      </c>
      <c r="K163" s="435" t="s">
        <v>30</v>
      </c>
      <c r="L163" s="591" t="s">
        <v>1309</v>
      </c>
      <c r="M163" s="557"/>
      <c r="N163" s="357" t="s">
        <v>44</v>
      </c>
      <c r="O163" s="785" t="s">
        <v>34</v>
      </c>
      <c r="P163" s="372"/>
      <c r="Q163" s="372"/>
      <c r="R163" s="372" t="s">
        <v>31</v>
      </c>
      <c r="S163" s="360" t="s">
        <v>839</v>
      </c>
      <c r="T163" s="372"/>
      <c r="U163" s="409" t="s">
        <v>855</v>
      </c>
      <c r="V163" s="292"/>
      <c r="W163" s="147" t="s">
        <v>31</v>
      </c>
      <c r="X163" s="372"/>
      <c r="Y163" s="372"/>
      <c r="Z163" s="372"/>
      <c r="AA163" s="372"/>
      <c r="AB163" s="372" t="s">
        <v>599</v>
      </c>
      <c r="AC163" s="413"/>
      <c r="AD163" s="413"/>
      <c r="AE163" s="423" t="s">
        <v>623</v>
      </c>
      <c r="AF163" s="491" t="s">
        <v>749</v>
      </c>
      <c r="AG163" s="496" t="s">
        <v>75</v>
      </c>
      <c r="AH163" s="372">
        <v>175</v>
      </c>
      <c r="AI163" s="372"/>
      <c r="AJ163" s="375"/>
      <c r="AK163" s="147" t="s">
        <v>30</v>
      </c>
      <c r="AL163" s="147"/>
      <c r="AM163" s="639"/>
      <c r="AN163" s="147"/>
      <c r="AO163" s="147"/>
      <c r="AP163" s="147"/>
      <c r="AQ163" s="355"/>
      <c r="AR163" s="147"/>
      <c r="AS163" s="359"/>
      <c r="AT163" s="147"/>
    </row>
    <row r="164" spans="1:46" s="274" customFormat="1" ht="27.75" customHeight="1">
      <c r="A164" s="172">
        <v>163</v>
      </c>
      <c r="B164" s="130" t="s">
        <v>1431</v>
      </c>
      <c r="C164" s="372">
        <v>11</v>
      </c>
      <c r="D164" s="148" t="str">
        <f>VLOOKUP(C164,Table8[],2,0)</f>
        <v>GABRIJELA</v>
      </c>
      <c r="E164" s="391">
        <v>51878301205</v>
      </c>
      <c r="F164" s="384" t="s">
        <v>1342</v>
      </c>
      <c r="G164" s="654" t="s">
        <v>1341</v>
      </c>
      <c r="H164" s="377"/>
      <c r="I164" s="372">
        <v>46.9</v>
      </c>
      <c r="J164" s="372" t="s">
        <v>31</v>
      </c>
      <c r="K164" s="372" t="s">
        <v>31</v>
      </c>
      <c r="L164" s="651" t="s">
        <v>1442</v>
      </c>
      <c r="M164" s="410" t="s">
        <v>1343</v>
      </c>
      <c r="N164" s="357" t="s">
        <v>44</v>
      </c>
      <c r="O164" s="785" t="s">
        <v>34</v>
      </c>
      <c r="P164" s="372"/>
      <c r="Q164" s="372"/>
      <c r="R164" s="372"/>
      <c r="S164" s="360" t="s">
        <v>839</v>
      </c>
      <c r="T164" s="372"/>
      <c r="U164" s="620" t="s">
        <v>1354</v>
      </c>
      <c r="V164" s="292"/>
      <c r="W164" s="740" t="s">
        <v>30</v>
      </c>
      <c r="X164" s="372"/>
      <c r="Y164" s="372"/>
      <c r="Z164" s="372"/>
      <c r="AA164" s="372"/>
      <c r="AB164" s="372" t="s">
        <v>571</v>
      </c>
      <c r="AC164" s="372"/>
      <c r="AD164" s="372"/>
      <c r="AE164" s="374" t="s">
        <v>617</v>
      </c>
      <c r="AF164" s="372">
        <v>500</v>
      </c>
      <c r="AG164" s="703" t="s">
        <v>1523</v>
      </c>
      <c r="AH164" s="372"/>
      <c r="AI164" s="372"/>
      <c r="AJ164" s="375"/>
      <c r="AK164" s="147" t="s">
        <v>30</v>
      </c>
      <c r="AL164" s="147" t="s">
        <v>30</v>
      </c>
      <c r="AM164" s="881" t="s">
        <v>1100</v>
      </c>
      <c r="AN164" s="915" t="s">
        <v>1357</v>
      </c>
      <c r="AO164" s="915" t="s">
        <v>1714</v>
      </c>
      <c r="AP164" s="865" t="s">
        <v>1931</v>
      </c>
      <c r="AQ164" s="865">
        <v>21414214175</v>
      </c>
      <c r="AR164" s="910"/>
      <c r="AS164" s="359"/>
      <c r="AT164" s="821" t="s">
        <v>1930</v>
      </c>
    </row>
    <row r="165" spans="1:46" s="274" customFormat="1">
      <c r="A165" s="172">
        <v>164</v>
      </c>
      <c r="B165" s="130" t="s">
        <v>119</v>
      </c>
      <c r="C165" s="372">
        <v>9</v>
      </c>
      <c r="D165" s="148" t="str">
        <f>VLOOKUP(C165,Table8[],2,0)</f>
        <v>SANDRA</v>
      </c>
      <c r="E165" s="354">
        <v>18815480324</v>
      </c>
      <c r="F165" s="366" t="s">
        <v>120</v>
      </c>
      <c r="G165" s="655" t="s">
        <v>1447</v>
      </c>
      <c r="H165" s="377"/>
      <c r="I165" s="372">
        <v>93.12</v>
      </c>
      <c r="J165" s="372" t="s">
        <v>31</v>
      </c>
      <c r="K165" s="372" t="s">
        <v>31</v>
      </c>
      <c r="L165" s="153">
        <v>2026</v>
      </c>
      <c r="M165" s="590" t="s">
        <v>1313</v>
      </c>
      <c r="N165" s="357" t="s">
        <v>875</v>
      </c>
      <c r="O165" s="785" t="s">
        <v>37</v>
      </c>
      <c r="P165" s="372"/>
      <c r="Q165" s="372"/>
      <c r="R165" s="372" t="s">
        <v>31</v>
      </c>
      <c r="S165" s="358" t="s">
        <v>134</v>
      </c>
      <c r="T165" s="372"/>
      <c r="U165" s="502" t="s">
        <v>1116</v>
      </c>
      <c r="V165" s="292"/>
      <c r="W165" s="740" t="s">
        <v>38</v>
      </c>
      <c r="X165" s="372"/>
      <c r="Y165" s="372"/>
      <c r="Z165" s="372"/>
      <c r="AA165" s="372"/>
      <c r="AB165" s="372" t="s">
        <v>675</v>
      </c>
      <c r="AC165" s="372"/>
      <c r="AD165" s="372"/>
      <c r="AE165" s="374"/>
      <c r="AF165" s="372"/>
      <c r="AG165" s="372"/>
      <c r="AH165" s="372" t="s">
        <v>676</v>
      </c>
      <c r="AI165" s="372"/>
      <c r="AJ165" s="375"/>
      <c r="AK165" s="147" t="s">
        <v>30</v>
      </c>
      <c r="AL165" s="147"/>
      <c r="AM165" s="640"/>
      <c r="AN165" s="356"/>
      <c r="AO165" s="356"/>
      <c r="AP165" s="356"/>
      <c r="AQ165" s="355"/>
      <c r="AR165" s="917">
        <f>30*1.1</f>
        <v>33</v>
      </c>
      <c r="AS165" s="359"/>
      <c r="AT165" s="334"/>
    </row>
    <row r="166" spans="1:46" s="274" customFormat="1" ht="30">
      <c r="A166" s="172">
        <v>165</v>
      </c>
      <c r="B166" s="245" t="s">
        <v>754</v>
      </c>
      <c r="C166" s="147">
        <v>23</v>
      </c>
      <c r="D166" s="148" t="str">
        <f>VLOOKUP(C166,Table8[],2,0)</f>
        <v>MARKO</v>
      </c>
      <c r="E166" s="354">
        <v>15351437887</v>
      </c>
      <c r="F166" s="384" t="s">
        <v>1255</v>
      </c>
      <c r="G166" s="260" t="s">
        <v>1339</v>
      </c>
      <c r="H166" s="355"/>
      <c r="I166" s="147"/>
      <c r="J166" s="147" t="s">
        <v>30</v>
      </c>
      <c r="K166" s="147" t="s">
        <v>31</v>
      </c>
      <c r="L166" s="619" t="s">
        <v>1355</v>
      </c>
      <c r="M166" s="543" t="s">
        <v>1328</v>
      </c>
      <c r="N166" s="357" t="s">
        <v>44</v>
      </c>
      <c r="O166" s="783" t="s">
        <v>34</v>
      </c>
      <c r="P166" s="147" t="s">
        <v>31</v>
      </c>
      <c r="Q166" s="147" t="s">
        <v>31</v>
      </c>
      <c r="R166" s="147" t="s">
        <v>31</v>
      </c>
      <c r="S166" s="360" t="s">
        <v>839</v>
      </c>
      <c r="T166" s="147"/>
      <c r="U166" s="601" t="s">
        <v>1320</v>
      </c>
      <c r="W166" s="738" t="s">
        <v>30</v>
      </c>
      <c r="X166" s="147"/>
      <c r="Y166" s="147"/>
      <c r="Z166" s="147"/>
      <c r="AA166" s="147"/>
      <c r="AB166" s="147"/>
      <c r="AC166" s="359"/>
      <c r="AD166" s="147"/>
      <c r="AE166" s="359"/>
      <c r="AF166" s="147"/>
      <c r="AG166" s="147"/>
      <c r="AH166" s="147"/>
      <c r="AI166" s="147"/>
      <c r="AJ166" s="147"/>
      <c r="AK166" s="147" t="s">
        <v>30</v>
      </c>
      <c r="AL166" s="147"/>
      <c r="AM166" s="147"/>
      <c r="AN166" s="915" t="s">
        <v>1748</v>
      </c>
      <c r="AO166" s="915" t="s">
        <v>1932</v>
      </c>
      <c r="AP166" s="865" t="s">
        <v>1934</v>
      </c>
      <c r="AQ166" s="865">
        <v>76545073861</v>
      </c>
      <c r="AR166" s="910">
        <f>115*1.1</f>
        <v>126.50000000000001</v>
      </c>
      <c r="AS166" s="359"/>
      <c r="AT166" s="821" t="s">
        <v>1933</v>
      </c>
    </row>
    <row r="167" spans="1:46" s="274" customFormat="1" ht="16.5">
      <c r="A167" s="172">
        <v>166</v>
      </c>
      <c r="B167" s="146" t="s">
        <v>1101</v>
      </c>
      <c r="C167" s="147">
        <v>25</v>
      </c>
      <c r="D167" s="418" t="str">
        <f>VLOOKUP(C167,Table8[],2,0)</f>
        <v>F. MARKO</v>
      </c>
      <c r="E167" s="354" t="s">
        <v>1584</v>
      </c>
      <c r="F167" s="404" t="s">
        <v>985</v>
      </c>
      <c r="G167" s="146"/>
      <c r="H167" s="355"/>
      <c r="I167" s="355"/>
      <c r="J167" s="147" t="s">
        <v>31</v>
      </c>
      <c r="K167" s="147" t="s">
        <v>30</v>
      </c>
      <c r="L167" s="163" t="s">
        <v>1026</v>
      </c>
      <c r="M167" s="542"/>
      <c r="N167" s="638" t="s">
        <v>876</v>
      </c>
      <c r="O167" s="776" t="s">
        <v>42</v>
      </c>
      <c r="P167" s="147" t="s">
        <v>31</v>
      </c>
      <c r="Q167" s="147" t="s">
        <v>31</v>
      </c>
      <c r="R167" s="147" t="s">
        <v>31</v>
      </c>
      <c r="S167" s="147" t="s">
        <v>134</v>
      </c>
      <c r="T167" s="147"/>
      <c r="U167" s="274" t="s">
        <v>976</v>
      </c>
      <c r="W167" s="738" t="s">
        <v>30</v>
      </c>
      <c r="X167" s="147"/>
      <c r="Y167" s="147"/>
      <c r="Z167" s="147"/>
      <c r="AA167" s="147"/>
      <c r="AB167" s="147"/>
      <c r="AC167" s="359">
        <v>45962</v>
      </c>
      <c r="AD167" s="147"/>
      <c r="AE167" s="359"/>
      <c r="AF167" s="147"/>
      <c r="AG167" s="147"/>
      <c r="AH167" s="147"/>
      <c r="AI167" s="147"/>
      <c r="AJ167" s="147"/>
      <c r="AK167" s="147"/>
      <c r="AL167" s="147"/>
      <c r="AM167" s="147" t="s">
        <v>1100</v>
      </c>
      <c r="AN167" s="915" t="s">
        <v>1375</v>
      </c>
      <c r="AO167" s="915" t="s">
        <v>1935</v>
      </c>
      <c r="AP167" s="865" t="s">
        <v>1936</v>
      </c>
      <c r="AQ167" s="865">
        <v>22360369572</v>
      </c>
      <c r="AR167" s="910">
        <v>55</v>
      </c>
      <c r="AS167" s="359"/>
      <c r="AT167" s="821" t="s">
        <v>985</v>
      </c>
    </row>
    <row r="168" spans="1:46" s="274" customFormat="1" ht="16.5">
      <c r="A168" s="172">
        <v>167</v>
      </c>
      <c r="B168" s="130" t="s">
        <v>1432</v>
      </c>
      <c r="C168" s="372">
        <v>20</v>
      </c>
      <c r="D168" s="148" t="str">
        <f>VLOOKUP(C168,Table8[],2,0)</f>
        <v>VESNA</v>
      </c>
      <c r="E168" s="354">
        <v>79460530595</v>
      </c>
      <c r="F168" s="497" t="s">
        <v>801</v>
      </c>
      <c r="G168" s="498" t="s">
        <v>802</v>
      </c>
      <c r="H168" s="377"/>
      <c r="I168" s="372">
        <v>63.11</v>
      </c>
      <c r="J168" s="372" t="s">
        <v>30</v>
      </c>
      <c r="K168" s="372" t="s">
        <v>30</v>
      </c>
      <c r="L168" s="157" t="s">
        <v>1026</v>
      </c>
      <c r="M168" s="549" t="s">
        <v>999</v>
      </c>
      <c r="N168" s="357" t="s">
        <v>44</v>
      </c>
      <c r="O168" s="788" t="s">
        <v>34</v>
      </c>
      <c r="P168" s="372"/>
      <c r="Q168" s="372"/>
      <c r="R168" s="372" t="s">
        <v>31</v>
      </c>
      <c r="S168" s="358" t="s">
        <v>134</v>
      </c>
      <c r="T168" s="372"/>
      <c r="U168" s="502" t="s">
        <v>1117</v>
      </c>
      <c r="V168" s="292"/>
      <c r="W168" s="743" t="s">
        <v>30</v>
      </c>
      <c r="X168" s="372"/>
      <c r="Y168" s="372"/>
      <c r="Z168" s="372"/>
      <c r="AA168" s="372"/>
      <c r="AB168" s="372" t="s">
        <v>688</v>
      </c>
      <c r="AC168" s="372"/>
      <c r="AD168" s="372"/>
      <c r="AE168" s="374"/>
      <c r="AF168" s="372"/>
      <c r="AG168" s="372"/>
      <c r="AH168" s="372"/>
      <c r="AI168" s="372"/>
      <c r="AJ168" s="375"/>
      <c r="AK168" s="147" t="s">
        <v>30</v>
      </c>
      <c r="AL168" s="147"/>
      <c r="AM168" s="639"/>
      <c r="AN168" s="915" t="s">
        <v>1937</v>
      </c>
      <c r="AO168" s="915" t="s">
        <v>1938</v>
      </c>
      <c r="AP168" s="865" t="s">
        <v>1939</v>
      </c>
      <c r="AQ168" s="865">
        <v>50791193834</v>
      </c>
      <c r="AR168" s="910">
        <f>150*1.1</f>
        <v>165</v>
      </c>
      <c r="AS168" s="359"/>
      <c r="AT168" s="865" t="s">
        <v>42</v>
      </c>
    </row>
    <row r="169" spans="1:46" s="274" customFormat="1" ht="30">
      <c r="A169" s="172">
        <v>168</v>
      </c>
      <c r="B169" s="271" t="s">
        <v>946</v>
      </c>
      <c r="C169" s="388">
        <v>7</v>
      </c>
      <c r="D169" s="475" t="str">
        <f>VLOOKUP(C169,Table8[],2,0)</f>
        <v>SJEDIŠTE</v>
      </c>
      <c r="E169" s="421" t="s">
        <v>1585</v>
      </c>
      <c r="F169" s="490" t="s">
        <v>1254</v>
      </c>
      <c r="G169" s="499" t="s">
        <v>115</v>
      </c>
      <c r="H169" s="635"/>
      <c r="I169" s="388"/>
      <c r="J169" s="451" t="s">
        <v>30</v>
      </c>
      <c r="K169" s="451" t="s">
        <v>31</v>
      </c>
      <c r="L169" s="591" t="s">
        <v>1309</v>
      </c>
      <c r="M169" s="558"/>
      <c r="N169" s="357" t="s">
        <v>875</v>
      </c>
      <c r="O169" s="500" t="s">
        <v>42</v>
      </c>
      <c r="P169" s="147"/>
      <c r="Q169" s="147"/>
      <c r="R169" s="147"/>
      <c r="S169" s="748" t="s">
        <v>839</v>
      </c>
      <c r="T169" s="147"/>
      <c r="U169" s="409" t="s">
        <v>855</v>
      </c>
      <c r="W169" s="147" t="s">
        <v>31</v>
      </c>
      <c r="X169" s="147"/>
      <c r="Y169" s="147"/>
      <c r="Z169" s="147"/>
      <c r="AA169" s="147"/>
      <c r="AB169" s="147"/>
      <c r="AC169" s="501">
        <v>45658</v>
      </c>
      <c r="AD169" s="388"/>
      <c r="AE169" s="501">
        <v>45901</v>
      </c>
      <c r="AF169" s="388"/>
      <c r="AG169" s="147" t="s">
        <v>72</v>
      </c>
      <c r="AH169" s="147"/>
      <c r="AI169" s="147"/>
      <c r="AJ169" s="147"/>
      <c r="AK169" s="147" t="s">
        <v>30</v>
      </c>
      <c r="AL169" s="147"/>
      <c r="AM169" s="147"/>
      <c r="AN169" s="147"/>
      <c r="AO169" s="147"/>
      <c r="AP169" s="147"/>
      <c r="AQ169" s="147"/>
      <c r="AR169" s="147"/>
      <c r="AS169" s="359"/>
      <c r="AT169" s="147"/>
    </row>
    <row r="170" spans="1:46" s="274" customFormat="1">
      <c r="A170" s="1074">
        <v>169</v>
      </c>
      <c r="B170" s="1077" t="s">
        <v>717</v>
      </c>
      <c r="C170" s="787">
        <v>11</v>
      </c>
      <c r="D170" s="1076" t="str">
        <f>VLOOKUP(C170,Table8[],2,0)</f>
        <v>GABRIJELA</v>
      </c>
      <c r="E170" s="354">
        <v>34331433066</v>
      </c>
      <c r="F170" s="366" t="s">
        <v>718</v>
      </c>
      <c r="G170" s="688" t="s">
        <v>1486</v>
      </c>
      <c r="H170" s="355"/>
      <c r="I170" s="147" t="s">
        <v>715</v>
      </c>
      <c r="J170" s="147" t="s">
        <v>30</v>
      </c>
      <c r="K170" s="147" t="s">
        <v>31</v>
      </c>
      <c r="L170" s="164">
        <v>2026</v>
      </c>
      <c r="M170" s="552"/>
      <c r="N170" s="357" t="s">
        <v>875</v>
      </c>
      <c r="O170" s="777" t="s">
        <v>37</v>
      </c>
      <c r="P170" s="147" t="s">
        <v>31</v>
      </c>
      <c r="Q170" s="147" t="s">
        <v>31</v>
      </c>
      <c r="R170" s="147" t="s">
        <v>31</v>
      </c>
      <c r="S170" s="360" t="s">
        <v>839</v>
      </c>
      <c r="T170" s="147"/>
      <c r="U170" s="601" t="s">
        <v>1318</v>
      </c>
      <c r="W170" s="738" t="s">
        <v>38</v>
      </c>
      <c r="X170" s="147"/>
      <c r="Y170" s="147"/>
      <c r="Z170" s="147"/>
      <c r="AA170" s="147"/>
      <c r="AB170" s="147" t="s">
        <v>555</v>
      </c>
      <c r="AC170" s="359">
        <v>45474</v>
      </c>
      <c r="AD170" s="147"/>
      <c r="AE170" s="359"/>
      <c r="AF170" s="147"/>
      <c r="AG170" s="147"/>
      <c r="AH170" s="147"/>
      <c r="AI170" s="147"/>
      <c r="AJ170" s="147"/>
      <c r="AK170" s="147" t="s">
        <v>31</v>
      </c>
      <c r="AL170" s="147"/>
      <c r="AM170" s="147"/>
      <c r="AN170" s="356"/>
      <c r="AO170" s="356"/>
      <c r="AP170" s="356"/>
      <c r="AQ170" s="355"/>
      <c r="AR170" s="917"/>
      <c r="AS170" s="359"/>
      <c r="AT170" s="334"/>
    </row>
    <row r="171" spans="1:46" s="274" customFormat="1" ht="16.5">
      <c r="A171" s="172">
        <v>170</v>
      </c>
      <c r="B171" s="130" t="s">
        <v>1434</v>
      </c>
      <c r="C171" s="372">
        <v>15</v>
      </c>
      <c r="D171" s="148" t="str">
        <f>VLOOKUP(C171,Table8[],2,0)</f>
        <v>NIKOLINA</v>
      </c>
      <c r="E171" s="354" t="s">
        <v>1433</v>
      </c>
      <c r="F171" s="366" t="s">
        <v>95</v>
      </c>
      <c r="G171" s="688" t="s">
        <v>1487</v>
      </c>
      <c r="H171" s="377"/>
      <c r="I171" s="372">
        <v>69.2</v>
      </c>
      <c r="J171" s="372" t="s">
        <v>30</v>
      </c>
      <c r="K171" s="372" t="s">
        <v>30</v>
      </c>
      <c r="L171" s="565" t="s">
        <v>1026</v>
      </c>
      <c r="M171" s="410" t="s">
        <v>1079</v>
      </c>
      <c r="N171" s="382" t="s">
        <v>876</v>
      </c>
      <c r="O171" s="785" t="s">
        <v>34</v>
      </c>
      <c r="P171" s="372"/>
      <c r="Q171" s="372"/>
      <c r="R171" s="372" t="s">
        <v>31</v>
      </c>
      <c r="S171" s="383" t="s">
        <v>880</v>
      </c>
      <c r="T171" s="372"/>
      <c r="U171" s="363" t="s">
        <v>1107</v>
      </c>
      <c r="V171" s="292"/>
      <c r="W171" s="740" t="s">
        <v>30</v>
      </c>
      <c r="X171" s="372"/>
      <c r="Y171" s="372"/>
      <c r="Z171" s="372"/>
      <c r="AA171" s="372"/>
      <c r="AB171" s="372" t="s">
        <v>561</v>
      </c>
      <c r="AC171" s="372"/>
      <c r="AD171" s="372"/>
      <c r="AE171" s="374"/>
      <c r="AF171" s="372"/>
      <c r="AG171" s="372"/>
      <c r="AH171" s="372">
        <v>350</v>
      </c>
      <c r="AI171" s="372"/>
      <c r="AJ171" s="375"/>
      <c r="AK171" s="147" t="s">
        <v>30</v>
      </c>
      <c r="AL171" s="147"/>
      <c r="AM171" s="147"/>
      <c r="AN171" s="915" t="s">
        <v>1748</v>
      </c>
      <c r="AO171" s="915" t="s">
        <v>1749</v>
      </c>
      <c r="AP171" s="865" t="s">
        <v>1940</v>
      </c>
      <c r="AQ171" s="865">
        <v>28786669452</v>
      </c>
      <c r="AR171" s="910"/>
      <c r="AS171" s="359"/>
      <c r="AT171" s="821" t="s">
        <v>95</v>
      </c>
    </row>
    <row r="172" spans="1:46" s="274" customFormat="1">
      <c r="A172" s="172">
        <v>171</v>
      </c>
      <c r="B172" s="262" t="s">
        <v>713</v>
      </c>
      <c r="C172" s="360">
        <v>14</v>
      </c>
      <c r="D172" s="148" t="str">
        <f>VLOOKUP(C172,Table8[],2,0)</f>
        <v>PONEKAD</v>
      </c>
      <c r="E172" s="354">
        <v>56324074115</v>
      </c>
      <c r="F172" s="366" t="s">
        <v>714</v>
      </c>
      <c r="G172" s="146" t="s">
        <v>716</v>
      </c>
      <c r="H172" s="355"/>
      <c r="I172" s="147" t="s">
        <v>715</v>
      </c>
      <c r="J172" s="147" t="s">
        <v>30</v>
      </c>
      <c r="K172" s="147" t="s">
        <v>31</v>
      </c>
      <c r="L172" s="861" t="s">
        <v>1027</v>
      </c>
      <c r="M172" s="556" t="s">
        <v>1650</v>
      </c>
      <c r="N172" s="357" t="s">
        <v>875</v>
      </c>
      <c r="O172" s="774" t="s">
        <v>37</v>
      </c>
      <c r="P172" s="147" t="s">
        <v>31</v>
      </c>
      <c r="Q172" s="147" t="s">
        <v>31</v>
      </c>
      <c r="R172" s="147" t="s">
        <v>31</v>
      </c>
      <c r="S172" s="360" t="s">
        <v>839</v>
      </c>
      <c r="T172" s="147"/>
      <c r="U172" s="601" t="s">
        <v>1321</v>
      </c>
      <c r="W172" s="738" t="s">
        <v>38</v>
      </c>
      <c r="X172" s="147"/>
      <c r="Y172" s="147"/>
      <c r="Z172" s="147"/>
      <c r="AA172" s="147"/>
      <c r="AB172" s="147" t="s">
        <v>555</v>
      </c>
      <c r="AC172" s="359">
        <v>45474</v>
      </c>
      <c r="AD172" s="147"/>
      <c r="AE172" s="359"/>
      <c r="AF172" s="147"/>
      <c r="AG172" s="147"/>
      <c r="AH172" s="147"/>
      <c r="AI172" s="147"/>
      <c r="AJ172" s="147"/>
      <c r="AK172" s="147" t="s">
        <v>31</v>
      </c>
      <c r="AL172" s="147"/>
      <c r="AM172" s="147"/>
      <c r="AN172" s="356"/>
      <c r="AO172" s="356"/>
      <c r="AP172" s="356"/>
      <c r="AQ172" s="355"/>
      <c r="AR172" s="910"/>
      <c r="AS172" s="359"/>
      <c r="AT172" s="334"/>
    </row>
    <row r="173" spans="1:46" s="274" customFormat="1">
      <c r="A173" s="172">
        <v>172</v>
      </c>
      <c r="B173" s="245" t="s">
        <v>755</v>
      </c>
      <c r="C173" s="147">
        <v>14</v>
      </c>
      <c r="D173" s="148" t="str">
        <f>VLOOKUP(C173,Table8[],2,0)</f>
        <v>PONEKAD</v>
      </c>
      <c r="E173" s="354" t="s">
        <v>756</v>
      </c>
      <c r="F173" s="366" t="s">
        <v>757</v>
      </c>
      <c r="G173" s="146" t="s">
        <v>758</v>
      </c>
      <c r="H173" s="355"/>
      <c r="I173" s="355" t="s">
        <v>42</v>
      </c>
      <c r="J173" s="147" t="s">
        <v>31</v>
      </c>
      <c r="K173" s="147" t="s">
        <v>31</v>
      </c>
      <c r="L173" s="164">
        <v>2026</v>
      </c>
      <c r="M173" s="552"/>
      <c r="N173" s="357" t="s">
        <v>875</v>
      </c>
      <c r="O173" s="788" t="s">
        <v>37</v>
      </c>
      <c r="P173" s="147" t="s">
        <v>128</v>
      </c>
      <c r="Q173" s="147" t="s">
        <v>128</v>
      </c>
      <c r="R173" s="147" t="s">
        <v>128</v>
      </c>
      <c r="S173" s="360" t="s">
        <v>839</v>
      </c>
      <c r="T173" s="147"/>
      <c r="U173" s="859" t="s">
        <v>1649</v>
      </c>
      <c r="W173" s="738" t="s">
        <v>38</v>
      </c>
      <c r="X173" s="147"/>
      <c r="Y173" s="147"/>
      <c r="Z173" s="147"/>
      <c r="AA173" s="147"/>
      <c r="AB173" s="147"/>
      <c r="AC173" s="359"/>
      <c r="AD173" s="147"/>
      <c r="AE173" s="359"/>
      <c r="AF173" s="147"/>
      <c r="AG173" s="147"/>
      <c r="AH173" s="147"/>
      <c r="AI173" s="147"/>
      <c r="AJ173" s="147"/>
      <c r="AK173" s="147" t="s">
        <v>30</v>
      </c>
      <c r="AL173" s="147"/>
      <c r="AM173" s="147"/>
      <c r="AN173" s="147"/>
      <c r="AO173" s="147"/>
      <c r="AP173" s="147"/>
      <c r="AQ173" s="355"/>
      <c r="AR173" s="147"/>
      <c r="AS173" s="359"/>
      <c r="AT173" s="147"/>
    </row>
    <row r="174" spans="1:46" s="274" customFormat="1" ht="18" customHeight="1">
      <c r="A174" s="172">
        <v>173</v>
      </c>
      <c r="B174" s="255" t="s">
        <v>1203</v>
      </c>
      <c r="C174" s="365">
        <v>23</v>
      </c>
      <c r="D174" s="148" t="str">
        <f>VLOOKUP(C174,Table8[],2,0)</f>
        <v>MARKO</v>
      </c>
      <c r="E174" s="368" t="s">
        <v>1213</v>
      </c>
      <c r="F174" s="277" t="s">
        <v>1253</v>
      </c>
      <c r="G174" s="367" t="s">
        <v>1448</v>
      </c>
      <c r="H174" s="368"/>
      <c r="I174" s="368" t="s">
        <v>1204</v>
      </c>
      <c r="J174" s="365" t="s">
        <v>30</v>
      </c>
      <c r="K174" s="365" t="s">
        <v>31</v>
      </c>
      <c r="L174" s="665" t="s">
        <v>1302</v>
      </c>
      <c r="M174" s="370"/>
      <c r="N174" s="357" t="s">
        <v>44</v>
      </c>
      <c r="O174" s="784" t="s">
        <v>37</v>
      </c>
      <c r="P174" s="365" t="s">
        <v>31</v>
      </c>
      <c r="Q174" s="365" t="s">
        <v>31</v>
      </c>
      <c r="R174" s="365" t="s">
        <v>31</v>
      </c>
      <c r="S174" s="365" t="s">
        <v>64</v>
      </c>
      <c r="T174" s="365"/>
      <c r="U174" s="370" t="s">
        <v>1205</v>
      </c>
      <c r="V174" s="370"/>
      <c r="W174" s="739" t="s">
        <v>1368</v>
      </c>
      <c r="X174" s="365"/>
      <c r="Y174" s="365"/>
      <c r="Z174" s="365"/>
      <c r="AA174" s="365"/>
      <c r="AB174" s="365" t="s">
        <v>1206</v>
      </c>
      <c r="AC174" s="371" t="s">
        <v>702</v>
      </c>
      <c r="AD174" s="365"/>
      <c r="AE174" s="371"/>
      <c r="AF174" s="365"/>
      <c r="AG174" s="365"/>
      <c r="AH174" s="365"/>
      <c r="AI174" s="365"/>
      <c r="AJ174" s="365" t="s">
        <v>557</v>
      </c>
      <c r="AK174" s="147" t="s">
        <v>30</v>
      </c>
      <c r="AL174" s="365" t="s">
        <v>30</v>
      </c>
      <c r="AM174" s="147"/>
      <c r="AN174" s="356" t="s">
        <v>1214</v>
      </c>
      <c r="AO174" s="356" t="s">
        <v>1215</v>
      </c>
      <c r="AP174" s="356" t="s">
        <v>1216</v>
      </c>
      <c r="AQ174" s="355"/>
      <c r="AR174" s="910">
        <v>100</v>
      </c>
      <c r="AS174" s="359" t="s">
        <v>1217</v>
      </c>
      <c r="AT174" s="334"/>
    </row>
    <row r="175" spans="1:46" s="274" customFormat="1">
      <c r="A175" s="666">
        <v>174</v>
      </c>
      <c r="B175" s="255" t="s">
        <v>1218</v>
      </c>
      <c r="C175" s="365">
        <v>2</v>
      </c>
      <c r="D175" s="148" t="str">
        <f>VLOOKUP(C175,Table8[],2,0)</f>
        <v>LAURA</v>
      </c>
      <c r="E175" s="667" t="s">
        <v>1219</v>
      </c>
      <c r="F175" s="145" t="s">
        <v>1220</v>
      </c>
      <c r="G175" s="367"/>
      <c r="H175" s="368"/>
      <c r="I175" s="368"/>
      <c r="J175" s="365" t="s">
        <v>31</v>
      </c>
      <c r="K175" s="365" t="s">
        <v>31</v>
      </c>
      <c r="L175" s="668" t="s">
        <v>1026</v>
      </c>
      <c r="M175" s="669" t="s">
        <v>37</v>
      </c>
      <c r="N175" s="357"/>
      <c r="O175" s="784" t="s">
        <v>37</v>
      </c>
      <c r="P175" s="365" t="s">
        <v>31</v>
      </c>
      <c r="Q175" s="365" t="s">
        <v>31</v>
      </c>
      <c r="R175" s="365" t="s">
        <v>31</v>
      </c>
      <c r="S175" s="365" t="s">
        <v>1535</v>
      </c>
      <c r="T175" s="365"/>
      <c r="U175" s="370" t="s">
        <v>1451</v>
      </c>
      <c r="V175" s="370"/>
      <c r="W175" s="739" t="s">
        <v>31</v>
      </c>
      <c r="X175" s="365"/>
      <c r="Y175" s="365"/>
      <c r="Z175" s="365"/>
      <c r="AA175" s="365"/>
      <c r="AB175" s="365"/>
      <c r="AC175" s="371"/>
      <c r="AD175" s="365"/>
      <c r="AE175" s="371"/>
      <c r="AF175" s="365"/>
      <c r="AG175" s="365"/>
      <c r="AH175" s="365"/>
      <c r="AI175" s="365"/>
      <c r="AJ175" s="365"/>
      <c r="AK175" s="147"/>
      <c r="AL175" s="365"/>
      <c r="AM175" s="147"/>
      <c r="AN175" s="356" t="s">
        <v>1222</v>
      </c>
      <c r="AO175" s="356" t="s">
        <v>1223</v>
      </c>
      <c r="AP175" s="356" t="s">
        <v>1221</v>
      </c>
      <c r="AQ175" s="355"/>
      <c r="AR175" s="910">
        <v>100</v>
      </c>
      <c r="AS175" s="359" t="s">
        <v>1217</v>
      </c>
      <c r="AT175" s="334"/>
    </row>
    <row r="176" spans="1:46" s="274" customFormat="1">
      <c r="A176" s="670">
        <v>175</v>
      </c>
      <c r="B176" s="255" t="s">
        <v>1232</v>
      </c>
      <c r="C176" s="365">
        <v>0</v>
      </c>
      <c r="D176" s="148" t="str">
        <f>VLOOKUP(C176,Table8[],2,0)</f>
        <v>NITKO</v>
      </c>
      <c r="E176" s="671" t="s">
        <v>1228</v>
      </c>
      <c r="F176" s="145" t="s">
        <v>1227</v>
      </c>
      <c r="G176" s="367" t="s">
        <v>1229</v>
      </c>
      <c r="H176" s="368"/>
      <c r="I176" s="368"/>
      <c r="J176" s="365" t="s">
        <v>30</v>
      </c>
      <c r="K176" s="365" t="s">
        <v>31</v>
      </c>
      <c r="L176" s="668" t="s">
        <v>1026</v>
      </c>
      <c r="M176" s="669" t="s">
        <v>1303</v>
      </c>
      <c r="N176" s="357" t="s">
        <v>875</v>
      </c>
      <c r="O176" s="784" t="s">
        <v>37</v>
      </c>
      <c r="P176" s="365" t="s">
        <v>31</v>
      </c>
      <c r="Q176" s="365" t="s">
        <v>31</v>
      </c>
      <c r="R176" s="365" t="s">
        <v>31</v>
      </c>
      <c r="S176" s="365" t="s">
        <v>839</v>
      </c>
      <c r="T176" s="365"/>
      <c r="U176" s="370" t="s">
        <v>1524</v>
      </c>
      <c r="V176" s="370"/>
      <c r="W176" s="739" t="s">
        <v>38</v>
      </c>
      <c r="X176" s="365"/>
      <c r="Y176" s="365"/>
      <c r="Z176" s="365"/>
      <c r="AA176" s="365"/>
      <c r="AB176" s="365"/>
      <c r="AC176" s="371"/>
      <c r="AD176" s="365"/>
      <c r="AE176" s="371"/>
      <c r="AF176" s="365"/>
      <c r="AG176" s="365"/>
      <c r="AH176" s="365"/>
      <c r="AI176" s="365"/>
      <c r="AJ176" s="365"/>
      <c r="AK176" s="147"/>
      <c r="AL176" s="365"/>
      <c r="AM176" s="147"/>
      <c r="AN176" s="356" t="s">
        <v>1230</v>
      </c>
      <c r="AO176" s="356" t="s">
        <v>1231</v>
      </c>
      <c r="AP176" s="356"/>
      <c r="AQ176" s="355"/>
      <c r="AR176" s="910"/>
      <c r="AS176" s="359"/>
      <c r="AT176" s="334"/>
    </row>
    <row r="177" spans="1:46" s="274" customFormat="1" ht="16.5" customHeight="1">
      <c r="A177" s="670">
        <v>176</v>
      </c>
      <c r="B177" s="255" t="s">
        <v>1356</v>
      </c>
      <c r="C177" s="441">
        <v>11</v>
      </c>
      <c r="D177" s="1073" t="str">
        <f>VLOOKUP(C177,Table8[],2,0)</f>
        <v>GABRIJELA</v>
      </c>
      <c r="E177" s="354" t="s">
        <v>1582</v>
      </c>
      <c r="F177" s="772" t="s">
        <v>1550</v>
      </c>
      <c r="G177" s="705" t="s">
        <v>1525</v>
      </c>
      <c r="H177" s="862"/>
      <c r="I177" s="368"/>
      <c r="J177" s="365" t="s">
        <v>30</v>
      </c>
      <c r="K177" s="365" t="s">
        <v>31</v>
      </c>
      <c r="L177" s="665" t="s">
        <v>1601</v>
      </c>
      <c r="M177" s="772" t="s">
        <v>1551</v>
      </c>
      <c r="N177" s="357" t="s">
        <v>34</v>
      </c>
      <c r="O177" s="782" t="s">
        <v>42</v>
      </c>
      <c r="P177" s="365" t="s">
        <v>31</v>
      </c>
      <c r="Q177" s="365" t="s">
        <v>31</v>
      </c>
      <c r="R177" s="365" t="s">
        <v>31</v>
      </c>
      <c r="S177" s="365" t="s">
        <v>839</v>
      </c>
      <c r="T177" s="365"/>
      <c r="U177" s="370" t="s">
        <v>1677</v>
      </c>
      <c r="V177" s="370"/>
      <c r="W177" s="739" t="s">
        <v>31</v>
      </c>
      <c r="X177" s="365"/>
      <c r="Y177" s="365"/>
      <c r="Z177" s="365"/>
      <c r="AA177" s="365"/>
      <c r="AB177" s="365"/>
      <c r="AC177" s="371"/>
      <c r="AD177" s="365"/>
      <c r="AE177" s="371">
        <v>46054</v>
      </c>
      <c r="AF177" s="365">
        <v>600</v>
      </c>
      <c r="AG177" s="365"/>
      <c r="AH177" s="365"/>
      <c r="AI177" s="365"/>
      <c r="AJ177" s="365"/>
      <c r="AK177" s="147"/>
      <c r="AL177" s="365"/>
      <c r="AM177" s="147" t="s">
        <v>1100</v>
      </c>
      <c r="AN177" s="356" t="s">
        <v>1357</v>
      </c>
      <c r="AO177" s="915" t="s">
        <v>1714</v>
      </c>
      <c r="AP177" s="865" t="s">
        <v>1941</v>
      </c>
      <c r="AQ177" s="865">
        <v>87870118418</v>
      </c>
      <c r="AR177" s="910" t="s">
        <v>1358</v>
      </c>
      <c r="AS177" s="359"/>
      <c r="AT177" s="821" t="s">
        <v>1550</v>
      </c>
    </row>
    <row r="178" spans="1:46" s="274" customFormat="1">
      <c r="A178" s="670">
        <v>177</v>
      </c>
      <c r="B178" s="255" t="s">
        <v>1373</v>
      </c>
      <c r="C178" s="365">
        <v>0</v>
      </c>
      <c r="D178" s="148" t="str">
        <f>VLOOKUP(C178,Table8[],2,0)</f>
        <v>NITKO</v>
      </c>
      <c r="E178" s="671" t="s">
        <v>1374</v>
      </c>
      <c r="F178" s="145" t="s">
        <v>1371</v>
      </c>
      <c r="G178" s="367" t="s">
        <v>1372</v>
      </c>
      <c r="H178" s="368"/>
      <c r="I178" s="368"/>
      <c r="J178" s="365" t="s">
        <v>31</v>
      </c>
      <c r="K178" s="365" t="s">
        <v>31</v>
      </c>
      <c r="L178" s="694" t="s">
        <v>1520</v>
      </c>
      <c r="M178" s="695" t="s">
        <v>1452</v>
      </c>
      <c r="N178" s="357"/>
      <c r="O178" s="784" t="s">
        <v>37</v>
      </c>
      <c r="P178" s="365" t="s">
        <v>31</v>
      </c>
      <c r="Q178" s="365" t="s">
        <v>31</v>
      </c>
      <c r="R178" s="365" t="s">
        <v>31</v>
      </c>
      <c r="S178" s="365" t="s">
        <v>134</v>
      </c>
      <c r="T178" s="365"/>
      <c r="U178" s="370" t="s">
        <v>1379</v>
      </c>
      <c r="V178" s="370"/>
      <c r="W178" s="739" t="s">
        <v>31</v>
      </c>
      <c r="X178" s="365"/>
      <c r="Y178" s="365"/>
      <c r="Z178" s="365"/>
      <c r="AA178" s="365"/>
      <c r="AB178" s="365"/>
      <c r="AC178" s="371">
        <v>46054</v>
      </c>
      <c r="AD178" s="365"/>
      <c r="AE178" s="371"/>
      <c r="AF178" s="365"/>
      <c r="AG178" s="365"/>
      <c r="AH178" s="365"/>
      <c r="AI178" s="365"/>
      <c r="AJ178" s="365"/>
      <c r="AK178" s="147"/>
      <c r="AL178" s="365"/>
      <c r="AM178" s="147"/>
      <c r="AN178" s="147" t="s">
        <v>1375</v>
      </c>
      <c r="AO178" s="147" t="s">
        <v>1376</v>
      </c>
      <c r="AP178" s="147" t="s">
        <v>1378</v>
      </c>
      <c r="AQ178" s="147">
        <v>96089562406</v>
      </c>
      <c r="AR178" s="147">
        <v>100</v>
      </c>
      <c r="AS178" s="359" t="s">
        <v>1377</v>
      </c>
      <c r="AT178" s="147"/>
    </row>
    <row r="179" spans="1:46" s="274" customFormat="1" ht="16.5">
      <c r="A179" s="670">
        <v>178</v>
      </c>
      <c r="B179" s="255" t="s">
        <v>1527</v>
      </c>
      <c r="C179" s="365">
        <v>2</v>
      </c>
      <c r="D179" s="148" t="str">
        <f>VLOOKUP(C179,Table8[],2,0)</f>
        <v>LAURA</v>
      </c>
      <c r="E179" s="354" t="s">
        <v>1576</v>
      </c>
      <c r="F179" s="145" t="s">
        <v>2074</v>
      </c>
      <c r="G179" s="367" t="s">
        <v>1530</v>
      </c>
      <c r="H179" s="368"/>
      <c r="I179" s="368"/>
      <c r="J179" s="365" t="s">
        <v>30</v>
      </c>
      <c r="K179" s="365" t="s">
        <v>31</v>
      </c>
      <c r="L179" s="665"/>
      <c r="M179" s="370"/>
      <c r="N179" s="357"/>
      <c r="O179" s="784" t="s">
        <v>34</v>
      </c>
      <c r="P179" s="365" t="s">
        <v>31</v>
      </c>
      <c r="Q179" s="365" t="s">
        <v>31</v>
      </c>
      <c r="R179" s="365" t="s">
        <v>31</v>
      </c>
      <c r="S179" s="365" t="s">
        <v>839</v>
      </c>
      <c r="T179" s="365"/>
      <c r="U179" s="370" t="s">
        <v>1942</v>
      </c>
      <c r="V179" s="370"/>
      <c r="W179" s="739" t="s">
        <v>30</v>
      </c>
      <c r="X179" s="365"/>
      <c r="Y179" s="365"/>
      <c r="Z179" s="365"/>
      <c r="AA179" s="365"/>
      <c r="AB179" s="365"/>
      <c r="AC179" s="371"/>
      <c r="AD179" s="365"/>
      <c r="AE179" s="371"/>
      <c r="AF179" s="365"/>
      <c r="AG179" s="365"/>
      <c r="AH179" s="365"/>
      <c r="AI179" s="365"/>
      <c r="AJ179" s="365"/>
      <c r="AK179" s="147"/>
      <c r="AL179" s="365"/>
      <c r="AM179" s="147"/>
      <c r="AN179" s="915" t="s">
        <v>1748</v>
      </c>
      <c r="AO179" s="915" t="s">
        <v>1943</v>
      </c>
      <c r="AP179" s="865" t="s">
        <v>1945</v>
      </c>
      <c r="AQ179" s="865">
        <v>73728126468</v>
      </c>
      <c r="AR179" s="910"/>
      <c r="AS179" s="359"/>
      <c r="AT179" s="821" t="s">
        <v>1944</v>
      </c>
    </row>
    <row r="180" spans="1:46" s="274" customFormat="1" ht="16.5">
      <c r="A180" s="670">
        <v>179</v>
      </c>
      <c r="B180" s="755" t="s">
        <v>1540</v>
      </c>
      <c r="C180" s="365">
        <v>11</v>
      </c>
      <c r="D180" s="148" t="str">
        <f>VLOOKUP(C180,Table8[],2,0)</f>
        <v>GABRIJELA</v>
      </c>
      <c r="E180" s="756">
        <v>38813102260</v>
      </c>
      <c r="F180" s="145" t="s">
        <v>1541</v>
      </c>
      <c r="G180" s="876" t="s">
        <v>1542</v>
      </c>
      <c r="H180" s="368"/>
      <c r="I180" s="368"/>
      <c r="J180" s="365" t="s">
        <v>31</v>
      </c>
      <c r="K180" s="365" t="s">
        <v>31</v>
      </c>
      <c r="L180" s="816" t="s">
        <v>1602</v>
      </c>
      <c r="M180" s="817" t="s">
        <v>1589</v>
      </c>
      <c r="N180" s="357" t="s">
        <v>44</v>
      </c>
      <c r="O180" s="782" t="s">
        <v>42</v>
      </c>
      <c r="P180" s="365" t="s">
        <v>31</v>
      </c>
      <c r="Q180" s="365" t="s">
        <v>31</v>
      </c>
      <c r="R180" s="365" t="s">
        <v>31</v>
      </c>
      <c r="S180" s="365" t="s">
        <v>839</v>
      </c>
      <c r="T180" s="365"/>
      <c r="U180" s="370" t="s">
        <v>1543</v>
      </c>
      <c r="V180" s="370"/>
      <c r="W180" s="365" t="s">
        <v>31</v>
      </c>
      <c r="X180" s="365"/>
      <c r="Y180" s="365"/>
      <c r="Z180" s="365"/>
      <c r="AA180" s="365"/>
      <c r="AB180" s="365"/>
      <c r="AC180" s="371">
        <v>46054</v>
      </c>
      <c r="AD180" s="365"/>
      <c r="AE180" s="371">
        <v>46054</v>
      </c>
      <c r="AF180" s="365">
        <v>600</v>
      </c>
      <c r="AG180" s="365" t="s">
        <v>1544</v>
      </c>
      <c r="AH180" s="365"/>
      <c r="AI180" s="365">
        <v>150</v>
      </c>
      <c r="AJ180" s="365"/>
      <c r="AK180" s="147"/>
      <c r="AL180" s="365"/>
      <c r="AM180" s="147" t="s">
        <v>1100</v>
      </c>
      <c r="AN180" s="865" t="s">
        <v>1946</v>
      </c>
      <c r="AO180" s="865" t="s">
        <v>1947</v>
      </c>
      <c r="AP180" s="865" t="s">
        <v>1948</v>
      </c>
      <c r="AQ180" s="865">
        <v>73479078002</v>
      </c>
      <c r="AR180" s="910"/>
      <c r="AS180" s="359"/>
      <c r="AT180" s="334"/>
    </row>
    <row r="181" spans="1:46" ht="22.5" customHeight="1">
      <c r="A181" s="797">
        <v>180</v>
      </c>
      <c r="B181" s="798" t="s">
        <v>1594</v>
      </c>
      <c r="C181" s="799">
        <v>10</v>
      </c>
      <c r="D181" s="148" t="str">
        <f>VLOOKUP(C181,Table8[],2,0)</f>
        <v>MAJA</v>
      </c>
      <c r="E181" s="800" t="s">
        <v>1595</v>
      </c>
      <c r="F181" s="801" t="s">
        <v>1596</v>
      </c>
      <c r="G181" s="802" t="s">
        <v>1597</v>
      </c>
      <c r="H181" s="803"/>
      <c r="I181" s="803" t="s">
        <v>1598</v>
      </c>
      <c r="J181" s="799" t="s">
        <v>31</v>
      </c>
      <c r="K181" s="799" t="s">
        <v>31</v>
      </c>
      <c r="L181" s="804"/>
      <c r="M181" s="799"/>
      <c r="N181" s="357"/>
      <c r="O181" s="799" t="s">
        <v>37</v>
      </c>
      <c r="P181" s="365" t="s">
        <v>31</v>
      </c>
      <c r="Q181" s="365" t="s">
        <v>31</v>
      </c>
      <c r="R181" s="365" t="s">
        <v>31</v>
      </c>
      <c r="S181" s="799" t="s">
        <v>134</v>
      </c>
      <c r="T181" s="799"/>
      <c r="U181" s="845" t="s">
        <v>1635</v>
      </c>
      <c r="V181" s="797"/>
      <c r="W181" s="799" t="s">
        <v>38</v>
      </c>
      <c r="X181" s="799"/>
      <c r="Y181" s="799"/>
      <c r="Z181" s="799"/>
      <c r="AA181" s="799"/>
      <c r="AB181" s="799" t="s">
        <v>1599</v>
      </c>
      <c r="AC181" s="799"/>
      <c r="AD181" s="799"/>
      <c r="AE181" s="805"/>
      <c r="AF181" s="799"/>
      <c r="AG181" s="799"/>
      <c r="AH181" s="799"/>
      <c r="AI181" s="799"/>
      <c r="AJ181" s="806" t="s">
        <v>557</v>
      </c>
      <c r="AK181" s="83" t="s">
        <v>31</v>
      </c>
      <c r="AL181" s="83"/>
      <c r="AM181" s="83"/>
      <c r="AP181" s="356"/>
      <c r="AQ181" s="355"/>
      <c r="AR181" s="910"/>
      <c r="AS181" s="359"/>
      <c r="AT181" s="334"/>
    </row>
    <row r="182" spans="1:46" ht="16.5">
      <c r="A182" s="813">
        <v>181</v>
      </c>
      <c r="B182" s="255" t="s">
        <v>1678</v>
      </c>
      <c r="C182" s="365">
        <v>15</v>
      </c>
      <c r="D182" s="148" t="str">
        <f>VLOOKUP(C182,Table8[],2,0)</f>
        <v>NIKOLINA</v>
      </c>
      <c r="E182" s="821">
        <v>90015101092</v>
      </c>
      <c r="F182" s="772" t="s">
        <v>2078</v>
      </c>
      <c r="G182" s="367" t="s">
        <v>1978</v>
      </c>
      <c r="H182" s="368"/>
      <c r="I182" s="368"/>
      <c r="J182" s="365" t="s">
        <v>31</v>
      </c>
      <c r="K182" s="365" t="s">
        <v>31</v>
      </c>
      <c r="L182" s="665" t="s">
        <v>1979</v>
      </c>
      <c r="M182" s="404" t="s">
        <v>1980</v>
      </c>
      <c r="N182" s="357"/>
      <c r="O182" s="365"/>
      <c r="P182" s="365" t="s">
        <v>31</v>
      </c>
      <c r="Q182" s="365" t="s">
        <v>31</v>
      </c>
      <c r="R182" s="365" t="s">
        <v>31</v>
      </c>
      <c r="S182" s="365" t="s">
        <v>839</v>
      </c>
      <c r="T182" s="365"/>
      <c r="U182" s="370" t="s">
        <v>1981</v>
      </c>
      <c r="V182" s="370"/>
      <c r="W182" s="365" t="s">
        <v>31</v>
      </c>
      <c r="X182" s="365"/>
      <c r="Y182" s="365"/>
      <c r="Z182" s="365"/>
      <c r="AA182" s="365"/>
      <c r="AB182" s="365"/>
      <c r="AC182" s="371"/>
      <c r="AD182" s="365"/>
      <c r="AE182" s="371"/>
      <c r="AF182" s="365" t="s">
        <v>1680</v>
      </c>
      <c r="AG182" s="365" t="s">
        <v>72</v>
      </c>
      <c r="AH182" s="365"/>
      <c r="AI182" s="365"/>
      <c r="AJ182" s="365"/>
      <c r="AK182" s="147"/>
      <c r="AL182" s="365"/>
      <c r="AN182" s="915" t="s">
        <v>1375</v>
      </c>
      <c r="AO182" s="906" t="s">
        <v>1382</v>
      </c>
      <c r="AP182" s="906" t="s">
        <v>1681</v>
      </c>
      <c r="AQ182" s="355">
        <v>66016054423</v>
      </c>
      <c r="AR182" s="911">
        <v>150</v>
      </c>
      <c r="AS182" s="359"/>
      <c r="AT182" s="821" t="s">
        <v>1679</v>
      </c>
    </row>
    <row r="183" spans="1:46" ht="30">
      <c r="A183" s="813">
        <v>182</v>
      </c>
      <c r="B183" s="830" t="s">
        <v>1609</v>
      </c>
      <c r="C183" s="365">
        <v>15</v>
      </c>
      <c r="D183" s="148" t="str">
        <f>VLOOKUP(C183,Table8[],2,0)</f>
        <v>NIKOLINA</v>
      </c>
      <c r="E183" s="821">
        <v>55507421439</v>
      </c>
      <c r="F183" s="145" t="s">
        <v>1614</v>
      </c>
      <c r="G183" s="367" t="s">
        <v>1615</v>
      </c>
      <c r="H183" s="368"/>
      <c r="I183" s="368"/>
      <c r="J183" s="365" t="s">
        <v>30</v>
      </c>
      <c r="K183" s="365" t="s">
        <v>31</v>
      </c>
      <c r="L183" s="875" t="s">
        <v>1351</v>
      </c>
      <c r="M183" s="370"/>
      <c r="N183" s="357"/>
      <c r="O183" s="365"/>
      <c r="P183" s="365" t="s">
        <v>31</v>
      </c>
      <c r="Q183" s="365" t="s">
        <v>31</v>
      </c>
      <c r="R183" s="365" t="s">
        <v>31</v>
      </c>
      <c r="S183" s="365" t="s">
        <v>839</v>
      </c>
      <c r="T183" s="365"/>
      <c r="U183" s="370" t="s">
        <v>1983</v>
      </c>
      <c r="V183" s="370"/>
      <c r="W183" s="365" t="s">
        <v>31</v>
      </c>
      <c r="X183" s="365"/>
      <c r="Y183" s="365"/>
      <c r="Z183" s="365"/>
      <c r="AA183" s="365"/>
      <c r="AB183" s="365"/>
      <c r="AC183" s="371">
        <v>46054</v>
      </c>
      <c r="AD183" s="365"/>
      <c r="AE183" s="371">
        <v>46722</v>
      </c>
      <c r="AF183" s="365">
        <v>600</v>
      </c>
      <c r="AG183" s="147" t="s">
        <v>72</v>
      </c>
      <c r="AH183" s="365"/>
      <c r="AI183" s="365"/>
      <c r="AJ183" s="365"/>
      <c r="AK183" s="147"/>
      <c r="AL183" s="365"/>
      <c r="AN183" s="915" t="s">
        <v>1375</v>
      </c>
      <c r="AO183" s="643" t="s">
        <v>1382</v>
      </c>
      <c r="AP183" s="643" t="s">
        <v>1984</v>
      </c>
      <c r="AQ183" s="355" t="s">
        <v>1985</v>
      </c>
      <c r="AR183" s="910">
        <v>100</v>
      </c>
      <c r="AS183" s="822">
        <v>46070</v>
      </c>
      <c r="AT183" s="821" t="s">
        <v>1949</v>
      </c>
    </row>
    <row r="184" spans="1:46">
      <c r="A184" s="813">
        <v>183</v>
      </c>
      <c r="B184" s="255" t="s">
        <v>1705</v>
      </c>
      <c r="C184" s="365">
        <v>2</v>
      </c>
      <c r="D184" s="148" t="str">
        <f>VLOOKUP(C184,Table8[],2,0)</f>
        <v>LAURA</v>
      </c>
      <c r="E184" s="354" t="s">
        <v>1703</v>
      </c>
      <c r="F184" s="145" t="s">
        <v>1619</v>
      </c>
      <c r="G184" s="367" t="s">
        <v>1700</v>
      </c>
      <c r="H184" s="368"/>
      <c r="I184" s="368"/>
      <c r="J184" s="365" t="s">
        <v>30</v>
      </c>
      <c r="K184" s="365" t="s">
        <v>31</v>
      </c>
      <c r="L184" s="665" t="s">
        <v>1701</v>
      </c>
      <c r="M184" s="404" t="s">
        <v>1702</v>
      </c>
      <c r="N184" s="357" t="s">
        <v>875</v>
      </c>
      <c r="O184" s="365" t="s">
        <v>37</v>
      </c>
      <c r="P184" s="365" t="s">
        <v>31</v>
      </c>
      <c r="Q184" s="365" t="s">
        <v>31</v>
      </c>
      <c r="R184" s="365" t="s">
        <v>31</v>
      </c>
      <c r="S184" s="365" t="s">
        <v>839</v>
      </c>
      <c r="T184" s="365"/>
      <c r="U184" s="370" t="s">
        <v>2056</v>
      </c>
      <c r="V184" s="370"/>
      <c r="W184" s="365" t="s">
        <v>31</v>
      </c>
      <c r="X184" s="365"/>
      <c r="Y184" s="365"/>
      <c r="Z184" s="365"/>
      <c r="AA184" s="365"/>
      <c r="AB184" s="365"/>
      <c r="AC184" s="371">
        <v>46054</v>
      </c>
      <c r="AD184" s="365"/>
      <c r="AE184" s="371"/>
      <c r="AF184" s="365"/>
      <c r="AG184" s="365"/>
      <c r="AH184" s="365"/>
      <c r="AI184" s="365"/>
      <c r="AJ184" s="365"/>
      <c r="AK184" s="147"/>
      <c r="AL184" s="365"/>
      <c r="AN184" s="356" t="s">
        <v>1704</v>
      </c>
      <c r="AO184" s="356" t="s">
        <v>1611</v>
      </c>
      <c r="AP184" s="356" t="s">
        <v>1620</v>
      </c>
      <c r="AQ184" s="355">
        <v>15361677770</v>
      </c>
      <c r="AR184" s="910">
        <v>100</v>
      </c>
      <c r="AS184" s="822">
        <v>46128</v>
      </c>
      <c r="AT184" s="334"/>
    </row>
    <row r="185" spans="1:46">
      <c r="A185" s="813">
        <v>184</v>
      </c>
      <c r="B185" s="709" t="s">
        <v>1637</v>
      </c>
      <c r="C185" s="365">
        <v>10</v>
      </c>
      <c r="D185" s="148" t="str">
        <f>VLOOKUP(C185,Table8[],2,0)</f>
        <v>MAJA</v>
      </c>
      <c r="E185" s="814"/>
      <c r="F185" s="3" t="s">
        <v>1641</v>
      </c>
      <c r="G185" s="877" t="s">
        <v>1642</v>
      </c>
      <c r="H185" s="368"/>
      <c r="I185" s="368"/>
      <c r="J185" s="365" t="s">
        <v>31</v>
      </c>
      <c r="K185" s="365" t="s">
        <v>31</v>
      </c>
      <c r="L185" s="665"/>
      <c r="M185" s="370"/>
      <c r="N185" s="357"/>
      <c r="O185" s="365"/>
      <c r="P185" s="365" t="s">
        <v>31</v>
      </c>
      <c r="Q185" s="365" t="s">
        <v>31</v>
      </c>
      <c r="R185" s="365" t="s">
        <v>31</v>
      </c>
      <c r="S185" s="365" t="s">
        <v>839</v>
      </c>
      <c r="T185" s="365"/>
      <c r="U185" s="370" t="s">
        <v>1693</v>
      </c>
      <c r="V185" s="370"/>
      <c r="W185" s="365" t="s">
        <v>31</v>
      </c>
      <c r="X185" s="365"/>
      <c r="Y185" s="365"/>
      <c r="Z185" s="365"/>
      <c r="AA185" s="365"/>
      <c r="AB185" s="365"/>
      <c r="AC185" s="371"/>
      <c r="AD185" s="365"/>
      <c r="AE185" s="371"/>
      <c r="AF185" s="365"/>
      <c r="AG185" s="365"/>
      <c r="AH185" s="365"/>
      <c r="AI185" s="365"/>
      <c r="AJ185" s="365"/>
      <c r="AK185" s="147"/>
      <c r="AL185" s="365"/>
      <c r="AN185" s="356" t="s">
        <v>1639</v>
      </c>
      <c r="AO185" s="356" t="s">
        <v>1638</v>
      </c>
      <c r="AP185" s="356" t="s">
        <v>1640</v>
      </c>
      <c r="AQ185" s="355"/>
      <c r="AR185" s="910">
        <v>100</v>
      </c>
      <c r="AS185" s="359">
        <v>46082</v>
      </c>
      <c r="AT185" s="334"/>
    </row>
    <row r="186" spans="1:46" ht="16.5">
      <c r="A186" s="813">
        <v>185</v>
      </c>
      <c r="B186" s="709" t="s">
        <v>1637</v>
      </c>
      <c r="C186" s="365">
        <v>10</v>
      </c>
      <c r="D186" s="148" t="str">
        <f>VLOOKUP(C186,Table8[],2,0)</f>
        <v>MAJA</v>
      </c>
      <c r="E186" s="821">
        <v>68555319042</v>
      </c>
      <c r="F186" s="860" t="s">
        <v>548</v>
      </c>
      <c r="G186" s="367" t="s">
        <v>1697</v>
      </c>
      <c r="H186" s="368"/>
      <c r="I186" s="368"/>
      <c r="J186" s="365" t="s">
        <v>31</v>
      </c>
      <c r="K186" s="365" t="s">
        <v>31</v>
      </c>
      <c r="L186" s="665"/>
      <c r="M186" s="370"/>
      <c r="N186" s="357"/>
      <c r="O186" s="365"/>
      <c r="P186" s="365" t="s">
        <v>31</v>
      </c>
      <c r="Q186" s="365" t="s">
        <v>31</v>
      </c>
      <c r="R186" s="365" t="s">
        <v>31</v>
      </c>
      <c r="S186" s="365" t="s">
        <v>839</v>
      </c>
      <c r="T186" s="365"/>
      <c r="U186" s="370" t="s">
        <v>1950</v>
      </c>
      <c r="V186" s="370"/>
      <c r="W186" s="365" t="s">
        <v>30</v>
      </c>
      <c r="X186" s="365"/>
      <c r="Y186" s="365"/>
      <c r="Z186" s="365"/>
      <c r="AA186" s="365"/>
      <c r="AB186" s="365"/>
      <c r="AC186" s="371"/>
      <c r="AD186" s="365"/>
      <c r="AE186" s="371"/>
      <c r="AF186" s="365"/>
      <c r="AG186" s="365"/>
      <c r="AH186" s="365"/>
      <c r="AI186" s="365"/>
      <c r="AJ186" s="365"/>
      <c r="AK186" s="147"/>
      <c r="AL186" s="365"/>
      <c r="AN186" s="915" t="s">
        <v>1737</v>
      </c>
      <c r="AO186" s="922" t="s">
        <v>1951</v>
      </c>
      <c r="AP186" s="865" t="s">
        <v>1952</v>
      </c>
      <c r="AQ186" s="865">
        <v>2561868846</v>
      </c>
      <c r="AR186" s="910"/>
      <c r="AS186" s="359"/>
      <c r="AT186" s="334"/>
    </row>
    <row r="187" spans="1:46">
      <c r="A187" s="813">
        <v>186</v>
      </c>
      <c r="B187" s="564" t="s">
        <v>1656</v>
      </c>
      <c r="C187" s="365">
        <v>10</v>
      </c>
      <c r="D187" s="148" t="str">
        <f>VLOOKUP(C187,Table8[],2,0)</f>
        <v>MAJA</v>
      </c>
      <c r="E187" s="814"/>
      <c r="F187" s="860" t="s">
        <v>548</v>
      </c>
      <c r="G187" s="878" t="s">
        <v>1697</v>
      </c>
      <c r="H187" s="368"/>
      <c r="I187" s="368"/>
      <c r="J187" s="365" t="s">
        <v>31</v>
      </c>
      <c r="K187" s="365" t="s">
        <v>31</v>
      </c>
      <c r="L187" s="665"/>
      <c r="M187" s="370"/>
      <c r="N187" s="357"/>
      <c r="O187" s="365"/>
      <c r="P187" s="365" t="s">
        <v>31</v>
      </c>
      <c r="Q187" s="365" t="s">
        <v>31</v>
      </c>
      <c r="R187" s="365" t="s">
        <v>31</v>
      </c>
      <c r="S187" s="365" t="s">
        <v>839</v>
      </c>
      <c r="T187" s="365"/>
      <c r="U187" s="370" t="s">
        <v>1657</v>
      </c>
      <c r="V187" s="370"/>
      <c r="W187" s="365" t="s">
        <v>31</v>
      </c>
      <c r="X187" s="365"/>
      <c r="Y187" s="365"/>
      <c r="Z187" s="365"/>
      <c r="AA187" s="365"/>
      <c r="AB187" s="365"/>
      <c r="AC187" s="371"/>
      <c r="AD187" s="365"/>
      <c r="AE187" s="371"/>
      <c r="AF187" s="365"/>
      <c r="AG187" s="365"/>
      <c r="AH187" s="365"/>
      <c r="AI187" s="365"/>
      <c r="AJ187" s="365"/>
      <c r="AK187" s="147"/>
      <c r="AL187" s="365"/>
      <c r="AN187" s="356"/>
      <c r="AO187" s="356"/>
      <c r="AP187" s="356"/>
      <c r="AQ187" s="355"/>
      <c r="AR187" s="910"/>
      <c r="AS187" s="359"/>
      <c r="AT187" s="334"/>
    </row>
    <row r="188" spans="1:46" ht="15.75" thickBot="1">
      <c r="A188" s="813">
        <v>187</v>
      </c>
      <c r="B188" s="255" t="s">
        <v>1662</v>
      </c>
      <c r="C188" s="365">
        <v>2</v>
      </c>
      <c r="D188" s="148" t="str">
        <f>VLOOKUP(C188,Table8[],2,0)</f>
        <v>LAURA</v>
      </c>
      <c r="E188" s="354" t="s">
        <v>2093</v>
      </c>
      <c r="F188" s="3" t="s">
        <v>1661</v>
      </c>
      <c r="G188" s="367" t="s">
        <v>1660</v>
      </c>
      <c r="H188" s="368"/>
      <c r="I188" s="368"/>
      <c r="J188" s="365" t="s">
        <v>31</v>
      </c>
      <c r="K188" s="365" t="s">
        <v>31</v>
      </c>
      <c r="L188" s="159" t="s">
        <v>1026</v>
      </c>
      <c r="M188" s="410" t="s">
        <v>2089</v>
      </c>
      <c r="N188" s="357" t="s">
        <v>882</v>
      </c>
      <c r="O188" s="365" t="s">
        <v>44</v>
      </c>
      <c r="P188" s="365" t="s">
        <v>31</v>
      </c>
      <c r="Q188" s="365" t="s">
        <v>31</v>
      </c>
      <c r="R188" s="365" t="s">
        <v>31</v>
      </c>
      <c r="S188" s="365" t="s">
        <v>839</v>
      </c>
      <c r="T188" s="365"/>
      <c r="U188" s="370" t="s">
        <v>1699</v>
      </c>
      <c r="V188" s="370"/>
      <c r="W188" s="365" t="s">
        <v>31</v>
      </c>
      <c r="X188" s="365"/>
      <c r="Y188" s="365"/>
      <c r="Z188" s="365"/>
      <c r="AA188" s="365"/>
      <c r="AB188" s="1070" t="s">
        <v>2090</v>
      </c>
      <c r="AC188" s="371">
        <v>46204</v>
      </c>
      <c r="AD188" s="365"/>
      <c r="AE188" s="371" t="s">
        <v>2091</v>
      </c>
      <c r="AF188" s="365"/>
      <c r="AG188" s="365" t="s">
        <v>1544</v>
      </c>
      <c r="AH188" s="365"/>
      <c r="AI188" s="365"/>
      <c r="AJ188" s="365"/>
      <c r="AK188" s="147"/>
      <c r="AL188" s="365"/>
      <c r="AM188" s="1071" t="s">
        <v>44</v>
      </c>
      <c r="AN188" s="915" t="s">
        <v>1718</v>
      </c>
      <c r="AO188" s="915" t="s">
        <v>1719</v>
      </c>
      <c r="AP188" s="915" t="s">
        <v>1720</v>
      </c>
      <c r="AQ188" s="1072" t="s">
        <v>2092</v>
      </c>
      <c r="AR188" s="910">
        <v>150</v>
      </c>
      <c r="AS188" s="359">
        <v>46133</v>
      </c>
      <c r="AT188" s="334"/>
    </row>
    <row r="189" spans="1:46" ht="15.75">
      <c r="A189" s="813">
        <v>188</v>
      </c>
      <c r="B189" s="255" t="s">
        <v>1664</v>
      </c>
      <c r="C189" s="365">
        <v>2</v>
      </c>
      <c r="D189" s="148" t="str">
        <f>VLOOKUP(C189,Table8[],2,0)</f>
        <v>LAURA</v>
      </c>
      <c r="E189" s="814"/>
      <c r="F189" s="3" t="s">
        <v>1663</v>
      </c>
      <c r="G189" s="879" t="s">
        <v>1668</v>
      </c>
      <c r="H189" s="368"/>
      <c r="I189" s="368"/>
      <c r="J189" s="365" t="s">
        <v>31</v>
      </c>
      <c r="K189" s="365" t="s">
        <v>31</v>
      </c>
      <c r="L189" s="665"/>
      <c r="M189" s="370"/>
      <c r="N189" s="357"/>
      <c r="O189" s="365"/>
      <c r="P189" s="365" t="s">
        <v>31</v>
      </c>
      <c r="Q189" s="365" t="s">
        <v>31</v>
      </c>
      <c r="R189" s="365" t="s">
        <v>31</v>
      </c>
      <c r="S189" s="365" t="s">
        <v>839</v>
      </c>
      <c r="T189" s="365"/>
      <c r="U189" s="370" t="s">
        <v>1693</v>
      </c>
      <c r="V189" s="370"/>
      <c r="W189" s="365" t="s">
        <v>31</v>
      </c>
      <c r="X189" s="365"/>
      <c r="Y189" s="365"/>
      <c r="Z189" s="365"/>
      <c r="AA189" s="365"/>
      <c r="AB189" s="365"/>
      <c r="AC189" s="371"/>
      <c r="AD189" s="365"/>
      <c r="AE189" s="371"/>
      <c r="AF189" s="365"/>
      <c r="AG189" s="365"/>
      <c r="AH189" s="365"/>
      <c r="AI189" s="365"/>
      <c r="AJ189" s="365"/>
      <c r="AK189" s="147"/>
      <c r="AL189" s="365"/>
      <c r="AN189" s="907" t="s">
        <v>1665</v>
      </c>
      <c r="AO189" s="907" t="s">
        <v>1666</v>
      </c>
      <c r="AP189" s="356" t="s">
        <v>1667</v>
      </c>
      <c r="AQ189" s="355"/>
      <c r="AR189" s="910"/>
      <c r="AS189" s="359"/>
      <c r="AT189" s="334"/>
    </row>
    <row r="190" spans="1:46">
      <c r="A190" s="813">
        <v>189</v>
      </c>
      <c r="B190" s="255" t="s">
        <v>1706</v>
      </c>
      <c r="C190" s="365">
        <v>11</v>
      </c>
      <c r="D190" s="148" t="str">
        <f>VLOOKUP(C190,Table8[],2,0)</f>
        <v>GABRIJELA</v>
      </c>
      <c r="E190" s="950">
        <v>72496058767</v>
      </c>
      <c r="F190" s="277" t="s">
        <v>1707</v>
      </c>
      <c r="G190" s="367" t="s">
        <v>1708</v>
      </c>
      <c r="H190" s="368"/>
      <c r="I190" s="368"/>
      <c r="J190" s="365"/>
      <c r="K190" s="365"/>
      <c r="L190" s="665"/>
      <c r="M190" s="815"/>
      <c r="N190" s="357"/>
      <c r="O190" s="365"/>
      <c r="P190" s="365"/>
      <c r="Q190" s="365"/>
      <c r="R190" s="365"/>
      <c r="S190" s="365" t="s">
        <v>839</v>
      </c>
      <c r="T190" s="365"/>
      <c r="U190" s="370"/>
      <c r="V190" s="370"/>
      <c r="W190" s="365"/>
      <c r="X190" s="365"/>
      <c r="Y190" s="365"/>
      <c r="Z190" s="365"/>
      <c r="AA190" s="365"/>
      <c r="AB190" s="365"/>
      <c r="AC190" s="371"/>
      <c r="AD190" s="365"/>
      <c r="AE190" s="371"/>
      <c r="AF190" s="365"/>
      <c r="AG190" s="365"/>
      <c r="AH190" s="365"/>
      <c r="AI190" s="365"/>
      <c r="AJ190" s="365"/>
      <c r="AK190" s="147"/>
      <c r="AL190" s="365"/>
      <c r="AN190" s="356"/>
      <c r="AO190" s="356"/>
      <c r="AP190" s="356"/>
      <c r="AQ190" s="355"/>
      <c r="AR190" s="910"/>
      <c r="AS190" s="359"/>
      <c r="AT190" s="334"/>
    </row>
    <row r="191" spans="1:46">
      <c r="A191" s="813">
        <v>190</v>
      </c>
      <c r="B191" s="255" t="s">
        <v>1962</v>
      </c>
      <c r="C191" s="365">
        <v>14</v>
      </c>
      <c r="D191" s="148" t="str">
        <f>VLOOKUP(C191,Table8[],2,0)</f>
        <v>PONEKAD</v>
      </c>
      <c r="E191" s="354" t="s">
        <v>1963</v>
      </c>
      <c r="F191" s="277"/>
      <c r="G191" s="367"/>
      <c r="H191" s="368"/>
      <c r="I191" s="368"/>
      <c r="J191" s="365"/>
      <c r="K191" s="365"/>
      <c r="L191" s="665"/>
      <c r="M191" s="815"/>
      <c r="N191" s="357"/>
      <c r="O191" s="365"/>
      <c r="P191" s="365"/>
      <c r="Q191" s="365"/>
      <c r="R191" s="365"/>
      <c r="S191" s="365" t="s">
        <v>839</v>
      </c>
      <c r="T191" s="365"/>
      <c r="U191" s="370"/>
      <c r="V191" s="370"/>
      <c r="W191" s="365"/>
      <c r="X191" s="365"/>
      <c r="Y191" s="365"/>
      <c r="Z191" s="365"/>
      <c r="AA191" s="365"/>
      <c r="AB191" s="365"/>
      <c r="AC191" s="371"/>
      <c r="AD191" s="365"/>
      <c r="AE191" s="371"/>
      <c r="AF191" s="365"/>
      <c r="AG191" s="365"/>
      <c r="AH191" s="365"/>
      <c r="AI191" s="365"/>
      <c r="AJ191" s="365"/>
      <c r="AK191" s="147"/>
      <c r="AL191" s="365"/>
      <c r="AN191" s="147" t="s">
        <v>1968</v>
      </c>
      <c r="AO191" s="147" t="s">
        <v>1969</v>
      </c>
      <c r="AP191" s="355" t="str">
        <f>Table6[[#This Row],[naziv]]</f>
        <v>Madár Józef Péter</v>
      </c>
      <c r="AQ191" s="355" t="str">
        <f>Table6[[#This Row],[naziv]]</f>
        <v>Madár Józef Péter</v>
      </c>
      <c r="AR191" s="910">
        <v>100</v>
      </c>
      <c r="AS191" s="359">
        <v>46113</v>
      </c>
      <c r="AT191" s="147"/>
    </row>
    <row r="192" spans="1:46">
      <c r="A192" s="813">
        <v>191</v>
      </c>
      <c r="B192" s="255" t="s">
        <v>1964</v>
      </c>
      <c r="C192" s="365">
        <v>14</v>
      </c>
      <c r="D192" s="148" t="str">
        <f>VLOOKUP(C192,Table8[],2,0)</f>
        <v>PONEKAD</v>
      </c>
      <c r="E192" s="354" t="s">
        <v>1965</v>
      </c>
      <c r="F192" s="277"/>
      <c r="G192" s="367"/>
      <c r="H192" s="368"/>
      <c r="I192" s="368"/>
      <c r="J192" s="365"/>
      <c r="K192" s="365"/>
      <c r="L192" s="665"/>
      <c r="M192" s="815"/>
      <c r="N192" s="357"/>
      <c r="O192" s="365"/>
      <c r="P192" s="365"/>
      <c r="Q192" s="365"/>
      <c r="R192" s="365"/>
      <c r="S192" s="365" t="s">
        <v>839</v>
      </c>
      <c r="T192" s="365"/>
      <c r="U192" s="370"/>
      <c r="V192" s="370"/>
      <c r="W192" s="365"/>
      <c r="X192" s="365"/>
      <c r="Y192" s="365"/>
      <c r="Z192" s="365"/>
      <c r="AA192" s="365"/>
      <c r="AB192" s="365"/>
      <c r="AC192" s="371"/>
      <c r="AD192" s="365"/>
      <c r="AE192" s="371"/>
      <c r="AF192" s="365"/>
      <c r="AG192" s="365"/>
      <c r="AH192" s="365"/>
      <c r="AI192" s="365"/>
      <c r="AJ192" s="365"/>
      <c r="AK192" s="147"/>
      <c r="AL192" s="365"/>
      <c r="AN192" s="147" t="s">
        <v>1966</v>
      </c>
      <c r="AO192" s="147" t="s">
        <v>1967</v>
      </c>
      <c r="AP192" s="355" t="str">
        <f>Table6[[#This Row],[naziv]]</f>
        <v>Zita Antal</v>
      </c>
      <c r="AQ192" s="355" t="str">
        <f>Table6[[#This Row],[naziv]]</f>
        <v>Zita Antal</v>
      </c>
      <c r="AR192" s="910">
        <v>100</v>
      </c>
      <c r="AS192" s="359">
        <v>46113</v>
      </c>
      <c r="AT192" s="147"/>
    </row>
    <row r="193" spans="1:46">
      <c r="A193" s="813">
        <v>192</v>
      </c>
      <c r="B193" s="255" t="s">
        <v>1970</v>
      </c>
      <c r="C193" s="365">
        <v>14</v>
      </c>
      <c r="D193" s="148" t="str">
        <f>VLOOKUP(C193,Table8[],2,0)</f>
        <v>PONEKAD</v>
      </c>
      <c r="E193" s="354" t="s">
        <v>1971</v>
      </c>
      <c r="F193" s="277"/>
      <c r="G193" s="367"/>
      <c r="H193" s="368"/>
      <c r="I193" s="368"/>
      <c r="J193" s="365"/>
      <c r="K193" s="365"/>
      <c r="L193" s="665"/>
      <c r="M193" s="815"/>
      <c r="N193" s="357"/>
      <c r="O193" s="365"/>
      <c r="P193" s="365"/>
      <c r="Q193" s="365"/>
      <c r="R193" s="365"/>
      <c r="S193" s="365" t="s">
        <v>839</v>
      </c>
      <c r="T193" s="365"/>
      <c r="U193" s="370"/>
      <c r="V193" s="370"/>
      <c r="W193" s="365"/>
      <c r="X193" s="365"/>
      <c r="Y193" s="365"/>
      <c r="Z193" s="365"/>
      <c r="AA193" s="365"/>
      <c r="AB193" s="365"/>
      <c r="AC193" s="371"/>
      <c r="AD193" s="365"/>
      <c r="AE193" s="371"/>
      <c r="AF193" s="365"/>
      <c r="AG193" s="365"/>
      <c r="AH193" s="365"/>
      <c r="AI193" s="365"/>
      <c r="AJ193" s="365"/>
      <c r="AK193" s="147"/>
      <c r="AL193" s="365"/>
      <c r="AN193" s="147" t="s">
        <v>1966</v>
      </c>
      <c r="AO193" s="147" t="s">
        <v>1972</v>
      </c>
      <c r="AP193" s="355" t="str">
        <f>Table6[[#This Row],[naziv]]</f>
        <v>Balás Gábor György</v>
      </c>
      <c r="AQ193" s="355" t="str">
        <f>Table6[[#This Row],[naziv]]</f>
        <v>Balás Gábor György</v>
      </c>
      <c r="AR193" s="147">
        <v>100</v>
      </c>
      <c r="AS193" s="359">
        <v>46113</v>
      </c>
      <c r="AT193" s="147"/>
    </row>
    <row r="194" spans="1:46">
      <c r="A194" s="946">
        <v>193</v>
      </c>
      <c r="B194" s="255"/>
      <c r="C194" s="441">
        <v>0</v>
      </c>
      <c r="D194" s="1073" t="str">
        <f>VLOOKUP(C194,Table8[],2,0)</f>
        <v>NITKO</v>
      </c>
      <c r="E194" s="947"/>
      <c r="F194" s="277"/>
      <c r="G194" s="367"/>
      <c r="H194" s="368"/>
      <c r="I194" s="368"/>
      <c r="J194" s="365"/>
      <c r="K194" s="365"/>
      <c r="L194" s="665"/>
      <c r="M194" s="815"/>
      <c r="N194" s="441"/>
      <c r="O194" s="365"/>
      <c r="P194" s="365"/>
      <c r="Q194" s="365"/>
      <c r="R194" s="365"/>
      <c r="S194" s="365" t="s">
        <v>839</v>
      </c>
      <c r="T194" s="365"/>
      <c r="U194" s="370" t="s">
        <v>2061</v>
      </c>
      <c r="V194" s="370"/>
      <c r="W194" s="365"/>
      <c r="X194" s="365"/>
      <c r="Y194" s="365"/>
      <c r="Z194" s="365"/>
      <c r="AA194" s="365"/>
      <c r="AB194" s="365"/>
      <c r="AC194" s="371"/>
      <c r="AD194" s="365"/>
      <c r="AE194" s="371"/>
      <c r="AF194" s="365"/>
      <c r="AG194" s="365"/>
      <c r="AH194" s="365"/>
      <c r="AI194" s="365"/>
      <c r="AJ194" s="365"/>
      <c r="AK194" s="147"/>
      <c r="AL194" s="365"/>
      <c r="AN194" s="147"/>
      <c r="AO194" s="147"/>
      <c r="AP194" s="147"/>
      <c r="AQ194" s="147"/>
      <c r="AR194" s="147"/>
      <c r="AS194" s="359"/>
      <c r="AT194" s="147"/>
    </row>
    <row r="195" spans="1:46" ht="15.75">
      <c r="A195" s="946">
        <v>194</v>
      </c>
      <c r="B195" s="255" t="s">
        <v>2070</v>
      </c>
      <c r="C195" s="365">
        <v>23</v>
      </c>
      <c r="D195" s="148" t="str">
        <f>VLOOKUP(C195,Table8[],2,0)</f>
        <v>MARKO</v>
      </c>
      <c r="E195" s="967">
        <v>74737335829</v>
      </c>
      <c r="F195" s="3" t="s">
        <v>2073</v>
      </c>
      <c r="G195" s="688" t="s">
        <v>1483</v>
      </c>
      <c r="H195" s="368"/>
      <c r="I195" s="368"/>
      <c r="J195" s="365" t="s">
        <v>30</v>
      </c>
      <c r="K195" s="365" t="s">
        <v>31</v>
      </c>
      <c r="L195" s="668" t="s">
        <v>1026</v>
      </c>
      <c r="M195" s="410" t="s">
        <v>2072</v>
      </c>
      <c r="N195" s="441" t="s">
        <v>884</v>
      </c>
      <c r="O195" s="365" t="s">
        <v>42</v>
      </c>
      <c r="P195" s="365" t="s">
        <v>31</v>
      </c>
      <c r="Q195" s="365" t="s">
        <v>31</v>
      </c>
      <c r="R195" s="365" t="s">
        <v>31</v>
      </c>
      <c r="S195" s="365" t="s">
        <v>839</v>
      </c>
      <c r="T195" s="365"/>
      <c r="U195" s="370" t="s">
        <v>2098</v>
      </c>
      <c r="V195" s="370" t="s">
        <v>2023</v>
      </c>
      <c r="W195" s="365" t="s">
        <v>30</v>
      </c>
      <c r="X195" s="365"/>
      <c r="Y195" s="365"/>
      <c r="Z195" s="365"/>
      <c r="AA195" s="365"/>
      <c r="AB195" s="365">
        <v>71129</v>
      </c>
      <c r="AC195" s="371">
        <v>46174</v>
      </c>
      <c r="AD195" s="365"/>
      <c r="AE195" s="371">
        <v>46204</v>
      </c>
      <c r="AF195" s="365">
        <v>500</v>
      </c>
      <c r="AG195" s="365"/>
      <c r="AH195" s="365"/>
      <c r="AI195" s="365"/>
      <c r="AJ195" s="365"/>
      <c r="AK195" s="147"/>
      <c r="AL195" s="365"/>
      <c r="AN195" s="147" t="s">
        <v>1375</v>
      </c>
      <c r="AO195" s="1064" t="s">
        <v>1382</v>
      </c>
      <c r="AP195" s="1023" t="s">
        <v>2024</v>
      </c>
      <c r="AQ195" s="147">
        <v>18445989175</v>
      </c>
      <c r="AR195" s="1023">
        <v>150</v>
      </c>
      <c r="AS195" s="359">
        <v>46174</v>
      </c>
      <c r="AT195" s="1024" t="s">
        <v>2025</v>
      </c>
    </row>
    <row r="196" spans="1:46" ht="15.75">
      <c r="A196" s="946">
        <v>195</v>
      </c>
      <c r="B196" s="255" t="s">
        <v>1986</v>
      </c>
      <c r="C196" s="365">
        <v>11</v>
      </c>
      <c r="D196" s="148" t="str">
        <f>VLOOKUP(C196,Table8[],2,0)</f>
        <v>GABRIJELA</v>
      </c>
      <c r="E196" s="967">
        <v>15959017978</v>
      </c>
      <c r="F196" s="277"/>
      <c r="G196" s="367"/>
      <c r="H196" s="368"/>
      <c r="I196" s="368"/>
      <c r="J196" s="365"/>
      <c r="K196" s="365"/>
      <c r="L196" s="665"/>
      <c r="M196" s="815"/>
      <c r="N196" s="441"/>
      <c r="O196" s="365"/>
      <c r="P196" s="365"/>
      <c r="Q196" s="365"/>
      <c r="R196" s="365"/>
      <c r="S196" s="365" t="s">
        <v>839</v>
      </c>
      <c r="T196" s="365"/>
      <c r="U196" s="370"/>
      <c r="V196" s="370"/>
      <c r="W196" s="365"/>
      <c r="X196" s="365"/>
      <c r="Y196" s="365"/>
      <c r="Z196" s="365"/>
      <c r="AA196" s="365"/>
      <c r="AB196" s="365"/>
      <c r="AC196" s="371"/>
      <c r="AD196" s="365"/>
      <c r="AE196" s="371"/>
      <c r="AF196" s="365"/>
      <c r="AG196" s="365"/>
      <c r="AH196" s="365"/>
      <c r="AI196" s="365"/>
      <c r="AJ196" s="365"/>
      <c r="AK196" s="147"/>
      <c r="AL196" s="365"/>
      <c r="AN196" s="147"/>
      <c r="AO196" s="147"/>
      <c r="AP196" s="147"/>
      <c r="AQ196" s="147"/>
      <c r="AR196" s="147"/>
      <c r="AS196" s="359"/>
      <c r="AT196" s="147"/>
    </row>
    <row r="197" spans="1:46">
      <c r="A197" s="946">
        <v>196</v>
      </c>
      <c r="B197" s="255" t="s">
        <v>2034</v>
      </c>
      <c r="C197" s="365">
        <v>14</v>
      </c>
      <c r="D197" s="148" t="str">
        <f>VLOOKUP(C197,Table8[],2,0)</f>
        <v>PONEKAD</v>
      </c>
      <c r="E197" s="1025" t="s">
        <v>2028</v>
      </c>
      <c r="F197" s="145" t="s">
        <v>2029</v>
      </c>
      <c r="G197" s="367" t="s">
        <v>2030</v>
      </c>
      <c r="H197" s="368"/>
      <c r="I197" s="368"/>
      <c r="J197" s="365"/>
      <c r="K197" s="365"/>
      <c r="L197" s="665"/>
      <c r="M197" s="815"/>
      <c r="N197" s="441"/>
      <c r="O197" s="365"/>
      <c r="P197" s="365"/>
      <c r="Q197" s="365"/>
      <c r="R197" s="365"/>
      <c r="S197" s="365" t="s">
        <v>839</v>
      </c>
      <c r="T197" s="365"/>
      <c r="U197" s="370" t="s">
        <v>2031</v>
      </c>
      <c r="V197" s="370"/>
      <c r="W197" s="365"/>
      <c r="X197" s="365"/>
      <c r="Y197" s="365"/>
      <c r="Z197" s="365"/>
      <c r="AA197" s="365"/>
      <c r="AB197" s="365"/>
      <c r="AC197" s="371"/>
      <c r="AD197" s="365"/>
      <c r="AE197" s="371"/>
      <c r="AF197" s="365"/>
      <c r="AG197" s="365"/>
      <c r="AH197" s="365"/>
      <c r="AI197" s="365"/>
      <c r="AJ197" s="365"/>
      <c r="AK197" s="147"/>
      <c r="AL197" s="365"/>
      <c r="AN197" s="147" t="s">
        <v>2032</v>
      </c>
      <c r="AO197" s="147" t="s">
        <v>2033</v>
      </c>
      <c r="AP197" s="147" t="s">
        <v>2034</v>
      </c>
      <c r="AQ197" s="147">
        <v>20039431173</v>
      </c>
      <c r="AR197" s="147">
        <v>50</v>
      </c>
      <c r="AS197" s="359">
        <v>46182</v>
      </c>
      <c r="AT197" s="147"/>
    </row>
    <row r="198" spans="1:46" ht="30">
      <c r="A198" s="946">
        <v>197</v>
      </c>
      <c r="B198" s="1039" t="s">
        <v>2038</v>
      </c>
      <c r="C198" s="365">
        <v>2</v>
      </c>
      <c r="D198" s="148" t="str">
        <f>VLOOKUP(C198,Table8[],2,0)</f>
        <v>LAURA</v>
      </c>
      <c r="E198" s="1038">
        <v>81730765098</v>
      </c>
      <c r="F198" s="277" t="s">
        <v>2039</v>
      </c>
      <c r="G198" s="367" t="s">
        <v>2040</v>
      </c>
      <c r="H198" s="368"/>
      <c r="I198" s="368"/>
      <c r="J198" s="365" t="s">
        <v>31</v>
      </c>
      <c r="K198" s="365" t="s">
        <v>30</v>
      </c>
      <c r="L198" s="665" t="s">
        <v>2041</v>
      </c>
      <c r="M198" s="815"/>
      <c r="N198" s="441" t="s">
        <v>44</v>
      </c>
      <c r="O198" s="365" t="s">
        <v>2042</v>
      </c>
      <c r="P198" s="365" t="s">
        <v>31</v>
      </c>
      <c r="Q198" s="365" t="s">
        <v>31</v>
      </c>
      <c r="R198" s="365" t="s">
        <v>31</v>
      </c>
      <c r="S198" s="365" t="s">
        <v>134</v>
      </c>
      <c r="T198" s="365"/>
      <c r="U198" s="370" t="s">
        <v>1543</v>
      </c>
      <c r="V198" s="370"/>
      <c r="W198" s="365" t="s">
        <v>31</v>
      </c>
      <c r="X198" s="365"/>
      <c r="Y198" s="365"/>
      <c r="Z198" s="365"/>
      <c r="AA198" s="365"/>
      <c r="AB198" s="365" t="s">
        <v>2043</v>
      </c>
      <c r="AC198" s="371">
        <v>46174</v>
      </c>
      <c r="AD198" s="365"/>
      <c r="AE198" s="371"/>
      <c r="AF198" s="365"/>
      <c r="AG198" s="365"/>
      <c r="AH198" s="365"/>
      <c r="AI198" s="365"/>
      <c r="AJ198" s="365"/>
      <c r="AK198" s="147"/>
      <c r="AL198" s="365"/>
      <c r="AN198" s="1038" t="s">
        <v>2045</v>
      </c>
      <c r="AO198" s="1038" t="s">
        <v>2044</v>
      </c>
      <c r="AP198" s="1038" t="s">
        <v>2046</v>
      </c>
      <c r="AQ198" s="3" t="s">
        <v>2047</v>
      </c>
      <c r="AR198" s="147">
        <v>150</v>
      </c>
      <c r="AS198" s="359">
        <v>46188</v>
      </c>
      <c r="AT198" s="1037" t="s">
        <v>2048</v>
      </c>
    </row>
    <row r="199" spans="1:46" ht="45">
      <c r="A199" s="946">
        <v>198</v>
      </c>
      <c r="B199" s="255" t="s">
        <v>2068</v>
      </c>
      <c r="C199" s="365">
        <v>23</v>
      </c>
      <c r="D199" s="148" t="str">
        <f>VLOOKUP(C199,Table8[],2,0)</f>
        <v>MARKO</v>
      </c>
      <c r="E199" s="1065" t="s">
        <v>2063</v>
      </c>
      <c r="F199" s="145" t="s">
        <v>2075</v>
      </c>
      <c r="G199" s="367" t="s">
        <v>2064</v>
      </c>
      <c r="H199" s="368"/>
      <c r="I199" s="368"/>
      <c r="J199" s="365" t="s">
        <v>31</v>
      </c>
      <c r="K199" s="365" t="s">
        <v>31</v>
      </c>
      <c r="L199" s="665" t="s">
        <v>2077</v>
      </c>
      <c r="M199" s="544" t="s">
        <v>2076</v>
      </c>
      <c r="N199" s="441"/>
      <c r="O199" s="365"/>
      <c r="P199" s="365"/>
      <c r="Q199" s="365"/>
      <c r="R199" s="365"/>
      <c r="S199" s="365"/>
      <c r="T199" s="365"/>
      <c r="U199" s="370" t="s">
        <v>2069</v>
      </c>
      <c r="V199" s="370"/>
      <c r="W199" s="365" t="s">
        <v>2065</v>
      </c>
      <c r="X199" s="365"/>
      <c r="Y199" s="365"/>
      <c r="Z199" s="365"/>
      <c r="AA199" s="365"/>
      <c r="AB199" s="365"/>
      <c r="AC199" s="371">
        <v>46204</v>
      </c>
      <c r="AD199" s="365"/>
      <c r="AE199" s="371"/>
      <c r="AF199" s="365"/>
      <c r="AG199" s="365"/>
      <c r="AH199" s="365"/>
      <c r="AI199" s="365"/>
      <c r="AJ199" s="365"/>
      <c r="AK199" s="147"/>
      <c r="AL199" s="365"/>
      <c r="AN199" s="147" t="s">
        <v>2066</v>
      </c>
      <c r="AO199" s="147" t="s">
        <v>2067</v>
      </c>
      <c r="AP199" s="147" t="s">
        <v>1883</v>
      </c>
      <c r="AQ199" s="147">
        <v>59310128271</v>
      </c>
      <c r="AR199" s="147">
        <v>100</v>
      </c>
      <c r="AS199" s="359">
        <v>46204</v>
      </c>
      <c r="AT199" s="147"/>
    </row>
    <row r="200" spans="1:46" ht="15.75">
      <c r="A200" s="505">
        <v>199</v>
      </c>
      <c r="B200" s="255" t="s">
        <v>2080</v>
      </c>
      <c r="C200" s="365">
        <v>2</v>
      </c>
      <c r="D200" s="148" t="str">
        <f>VLOOKUP(C200,Table8[],2,0)</f>
        <v>LAURA</v>
      </c>
      <c r="E200" s="1069">
        <v>92899913268</v>
      </c>
      <c r="F200" s="145" t="s">
        <v>2081</v>
      </c>
      <c r="G200" s="367" t="s">
        <v>2082</v>
      </c>
      <c r="H200" s="368"/>
      <c r="I200" s="368"/>
      <c r="J200" s="365" t="s">
        <v>31</v>
      </c>
      <c r="K200" s="365" t="s">
        <v>31</v>
      </c>
      <c r="L200" s="665" t="s">
        <v>37</v>
      </c>
      <c r="M200" s="815" t="s">
        <v>2084</v>
      </c>
      <c r="N200" s="441"/>
      <c r="O200" s="365"/>
      <c r="P200" s="365"/>
      <c r="Q200" s="365"/>
      <c r="R200" s="365"/>
      <c r="S200" s="365" t="s">
        <v>839</v>
      </c>
      <c r="T200" s="365"/>
      <c r="U200" s="370" t="s">
        <v>2083</v>
      </c>
      <c r="V200" s="370"/>
      <c r="W200" s="365" t="s">
        <v>31</v>
      </c>
      <c r="X200" s="365"/>
      <c r="Y200" s="365"/>
      <c r="Z200" s="365"/>
      <c r="AA200" s="365"/>
      <c r="AB200" s="365"/>
      <c r="AC200" s="371"/>
      <c r="AD200" s="365"/>
      <c r="AE200" s="371"/>
      <c r="AF200" s="365"/>
      <c r="AG200" s="365"/>
      <c r="AH200" s="365"/>
      <c r="AI200" s="365"/>
      <c r="AJ200" s="365"/>
      <c r="AK200" s="147"/>
      <c r="AL200" s="365"/>
      <c r="AN200" s="147"/>
      <c r="AO200" s="147"/>
      <c r="AP200" s="147"/>
      <c r="AQ200" s="147"/>
      <c r="AR200" s="147"/>
      <c r="AS200" s="359"/>
      <c r="AT200" s="147"/>
    </row>
    <row r="201" spans="1:46" ht="15.75">
      <c r="A201" s="505">
        <v>200</v>
      </c>
      <c r="B201" s="255" t="s">
        <v>2086</v>
      </c>
      <c r="C201" s="365">
        <v>2</v>
      </c>
      <c r="D201" s="148" t="str">
        <f>VLOOKUP(C201,Table8[],2,0)</f>
        <v>LAURA</v>
      </c>
      <c r="E201" s="1069">
        <v>62336785823</v>
      </c>
      <c r="F201" s="1068" t="s">
        <v>2081</v>
      </c>
      <c r="G201" s="367" t="s">
        <v>2087</v>
      </c>
      <c r="H201" s="368"/>
      <c r="I201" s="368"/>
      <c r="J201" s="365" t="s">
        <v>31</v>
      </c>
      <c r="K201" s="365" t="s">
        <v>31</v>
      </c>
      <c r="L201" s="665" t="s">
        <v>37</v>
      </c>
      <c r="M201" s="815" t="s">
        <v>2084</v>
      </c>
      <c r="N201" s="441"/>
      <c r="O201" s="365"/>
      <c r="P201" s="365"/>
      <c r="Q201" s="365"/>
      <c r="R201" s="365"/>
      <c r="S201" s="365" t="s">
        <v>839</v>
      </c>
      <c r="T201" s="365"/>
      <c r="U201" s="370" t="s">
        <v>2088</v>
      </c>
      <c r="V201" s="370"/>
      <c r="W201" s="365" t="s">
        <v>31</v>
      </c>
      <c r="X201" s="365"/>
      <c r="Y201" s="365"/>
      <c r="Z201" s="365"/>
      <c r="AA201" s="365"/>
      <c r="AB201" s="365"/>
      <c r="AC201" s="371"/>
      <c r="AD201" s="365"/>
      <c r="AE201" s="371"/>
      <c r="AF201" s="365"/>
      <c r="AG201" s="365"/>
      <c r="AH201" s="365"/>
      <c r="AI201" s="365"/>
      <c r="AJ201" s="365"/>
      <c r="AK201" s="147"/>
      <c r="AL201" s="365"/>
      <c r="AN201" s="147"/>
      <c r="AO201" s="147"/>
      <c r="AP201" s="147"/>
      <c r="AQ201" s="147"/>
      <c r="AR201" s="147"/>
      <c r="AS201" s="359"/>
      <c r="AT201" s="147"/>
    </row>
    <row r="202" spans="1:46">
      <c r="A202" s="505">
        <v>201</v>
      </c>
      <c r="B202" s="255" t="s">
        <v>2096</v>
      </c>
      <c r="C202" s="365">
        <v>2</v>
      </c>
      <c r="D202" s="148" t="str">
        <f>VLOOKUP(C202,Table8[],2,0)</f>
        <v>LAURA</v>
      </c>
      <c r="E202" s="354" t="s">
        <v>2095</v>
      </c>
      <c r="F202" s="145" t="s">
        <v>2097</v>
      </c>
      <c r="G202" s="367" t="s">
        <v>2099</v>
      </c>
      <c r="H202" s="368"/>
      <c r="I202" s="368"/>
      <c r="J202" s="365" t="s">
        <v>31</v>
      </c>
      <c r="K202" s="365" t="s">
        <v>31</v>
      </c>
      <c r="L202" s="665" t="s">
        <v>37</v>
      </c>
      <c r="M202" s="815"/>
      <c r="N202" s="441"/>
      <c r="O202" s="365"/>
      <c r="P202" s="365"/>
      <c r="Q202" s="365"/>
      <c r="R202" s="365"/>
      <c r="S202" s="365"/>
      <c r="T202" s="365"/>
      <c r="U202" s="370"/>
      <c r="V202" s="370"/>
      <c r="W202" s="365"/>
      <c r="X202" s="365"/>
      <c r="Y202" s="365"/>
      <c r="Z202" s="365"/>
      <c r="AA202" s="365"/>
      <c r="AB202" s="365"/>
      <c r="AC202" s="371">
        <v>46235</v>
      </c>
      <c r="AD202" s="365"/>
      <c r="AE202" s="371"/>
      <c r="AF202" s="365"/>
      <c r="AG202" s="365"/>
      <c r="AH202" s="365"/>
      <c r="AI202" s="365"/>
      <c r="AJ202" s="365"/>
      <c r="AK202" s="147"/>
      <c r="AL202" s="365"/>
      <c r="AN202" s="147" t="s">
        <v>2100</v>
      </c>
      <c r="AO202" s="147" t="s">
        <v>2101</v>
      </c>
      <c r="AP202" s="147" t="s">
        <v>2102</v>
      </c>
      <c r="AQ202" s="147"/>
      <c r="AR202" s="147">
        <v>100</v>
      </c>
      <c r="AS202" s="359">
        <v>46235</v>
      </c>
      <c r="AT202" s="147"/>
    </row>
    <row r="203" spans="1:46" ht="30">
      <c r="A203" s="505">
        <v>202</v>
      </c>
      <c r="B203" s="255" t="s">
        <v>2104</v>
      </c>
      <c r="C203" s="365">
        <v>2</v>
      </c>
      <c r="D203" s="148" t="str">
        <f>VLOOKUP(C203,Table8[],2,0)</f>
        <v>LAURA</v>
      </c>
      <c r="E203" s="354" t="s">
        <v>2105</v>
      </c>
      <c r="F203" s="277" t="s">
        <v>2106</v>
      </c>
      <c r="G203" s="367" t="s">
        <v>2107</v>
      </c>
      <c r="H203" s="368"/>
      <c r="I203" s="368"/>
      <c r="J203" s="365" t="s">
        <v>30</v>
      </c>
      <c r="K203" s="365" t="s">
        <v>31</v>
      </c>
      <c r="L203" s="665" t="s">
        <v>2108</v>
      </c>
      <c r="M203" s="815"/>
      <c r="N203" s="441" t="s">
        <v>875</v>
      </c>
      <c r="O203" s="365" t="s">
        <v>42</v>
      </c>
      <c r="P203" s="365" t="s">
        <v>31</v>
      </c>
      <c r="Q203" s="365" t="s">
        <v>31</v>
      </c>
      <c r="R203" s="365" t="s">
        <v>31</v>
      </c>
      <c r="S203" s="365" t="s">
        <v>839</v>
      </c>
      <c r="T203" s="365"/>
      <c r="U203" s="370" t="s">
        <v>2109</v>
      </c>
      <c r="V203" s="370"/>
      <c r="W203" s="365" t="s">
        <v>31</v>
      </c>
      <c r="X203" s="365"/>
      <c r="Y203" s="365"/>
      <c r="Z203" s="365"/>
      <c r="AA203" s="365"/>
      <c r="AB203" s="365"/>
      <c r="AC203" s="371">
        <v>46266</v>
      </c>
      <c r="AD203" s="365"/>
      <c r="AE203" s="371"/>
      <c r="AF203" s="365"/>
      <c r="AG203" s="365"/>
      <c r="AH203" s="365"/>
      <c r="AI203" s="365"/>
      <c r="AJ203" s="365"/>
      <c r="AK203" s="147"/>
      <c r="AL203" s="365"/>
      <c r="AN203" s="147" t="s">
        <v>2111</v>
      </c>
      <c r="AO203" s="147" t="s">
        <v>2110</v>
      </c>
      <c r="AP203" s="277" t="s">
        <v>2106</v>
      </c>
      <c r="AQ203" s="147"/>
      <c r="AR203" s="147">
        <v>100</v>
      </c>
      <c r="AS203" s="359">
        <v>46266</v>
      </c>
      <c r="AT203" s="147"/>
    </row>
    <row r="204" spans="1:46">
      <c r="A204" s="505"/>
      <c r="B204" s="255"/>
      <c r="C204" s="365"/>
      <c r="D204" s="148"/>
      <c r="E204" s="354"/>
      <c r="F204" s="277"/>
      <c r="G204" s="367"/>
      <c r="H204" s="368"/>
      <c r="I204" s="368"/>
      <c r="J204" s="365"/>
      <c r="K204" s="365"/>
      <c r="L204" s="665"/>
      <c r="M204" s="815"/>
      <c r="N204" s="441"/>
      <c r="O204" s="365"/>
      <c r="P204" s="365"/>
      <c r="Q204" s="365"/>
      <c r="R204" s="365"/>
      <c r="S204" s="365"/>
      <c r="T204" s="365"/>
      <c r="U204" s="370"/>
      <c r="V204" s="370"/>
      <c r="W204" s="365"/>
      <c r="X204" s="365"/>
      <c r="Y204" s="365"/>
      <c r="Z204" s="365"/>
      <c r="AA204" s="365"/>
      <c r="AB204" s="365"/>
      <c r="AC204" s="371"/>
      <c r="AD204" s="365"/>
      <c r="AE204" s="371"/>
      <c r="AF204" s="365"/>
      <c r="AG204" s="365"/>
      <c r="AH204" s="365"/>
      <c r="AI204" s="365"/>
      <c r="AJ204" s="365"/>
      <c r="AK204" s="147"/>
      <c r="AL204" s="365"/>
      <c r="AN204" s="147"/>
      <c r="AO204" s="147"/>
      <c r="AP204" s="147"/>
      <c r="AQ204" s="147"/>
      <c r="AR204" s="147"/>
      <c r="AS204" s="359"/>
      <c r="AT204" s="147"/>
    </row>
    <row r="205" spans="1:46">
      <c r="A205" s="505"/>
      <c r="B205" s="255"/>
      <c r="C205" s="365"/>
      <c r="D205" s="148"/>
      <c r="E205" s="354"/>
      <c r="F205" s="277"/>
      <c r="G205" s="367"/>
      <c r="H205" s="368"/>
      <c r="I205" s="368"/>
      <c r="J205" s="365"/>
      <c r="K205" s="365"/>
      <c r="L205" s="665"/>
      <c r="M205" s="815"/>
      <c r="N205" s="441"/>
      <c r="O205" s="365"/>
      <c r="P205" s="365"/>
      <c r="Q205" s="365"/>
      <c r="R205" s="365"/>
      <c r="S205" s="365"/>
      <c r="T205" s="365"/>
      <c r="U205" s="370"/>
      <c r="V205" s="370"/>
      <c r="W205" s="365"/>
      <c r="X205" s="365"/>
      <c r="Y205" s="365"/>
      <c r="Z205" s="365"/>
      <c r="AA205" s="365"/>
      <c r="AB205" s="365"/>
      <c r="AC205" s="371"/>
      <c r="AD205" s="365"/>
      <c r="AE205" s="371"/>
      <c r="AF205" s="365"/>
      <c r="AG205" s="365"/>
      <c r="AH205" s="365"/>
      <c r="AI205" s="365"/>
      <c r="AJ205" s="365"/>
      <c r="AK205" s="147"/>
      <c r="AL205" s="365"/>
      <c r="AN205" s="147"/>
      <c r="AO205" s="147"/>
      <c r="AP205" s="147"/>
      <c r="AQ205" s="147"/>
      <c r="AR205" s="147"/>
      <c r="AS205" s="359"/>
      <c r="AT205" s="147"/>
    </row>
    <row r="206" spans="1:46">
      <c r="A206" s="505"/>
      <c r="B206" s="255"/>
      <c r="C206" s="365"/>
      <c r="D206" s="148"/>
      <c r="E206" s="354"/>
      <c r="F206" s="277"/>
      <c r="G206" s="367"/>
      <c r="H206" s="368"/>
      <c r="I206" s="368"/>
      <c r="J206" s="365"/>
      <c r="K206" s="365"/>
      <c r="L206" s="665"/>
      <c r="M206" s="815"/>
      <c r="N206" s="441"/>
      <c r="O206" s="365"/>
      <c r="P206" s="365"/>
      <c r="Q206" s="365"/>
      <c r="R206" s="365"/>
      <c r="S206" s="365"/>
      <c r="T206" s="365"/>
      <c r="U206" s="370"/>
      <c r="V206" s="370"/>
      <c r="W206" s="365"/>
      <c r="X206" s="365"/>
      <c r="Y206" s="365"/>
      <c r="Z206" s="365"/>
      <c r="AA206" s="365"/>
      <c r="AB206" s="365"/>
      <c r="AC206" s="371"/>
      <c r="AD206" s="365"/>
      <c r="AE206" s="371"/>
      <c r="AF206" s="365"/>
      <c r="AG206" s="365"/>
      <c r="AH206" s="365"/>
      <c r="AI206" s="365"/>
      <c r="AJ206" s="365"/>
      <c r="AK206" s="147"/>
      <c r="AL206" s="365"/>
      <c r="AN206" s="147"/>
      <c r="AO206" s="147"/>
      <c r="AP206" s="147"/>
      <c r="AQ206" s="147"/>
      <c r="AR206" s="147"/>
      <c r="AS206" s="359"/>
      <c r="AT206" s="147"/>
    </row>
    <row r="207" spans="1:46">
      <c r="A207" s="505"/>
      <c r="B207" s="255"/>
      <c r="C207" s="365"/>
      <c r="D207" s="148"/>
      <c r="E207" s="354"/>
      <c r="F207" s="277"/>
      <c r="G207" s="367"/>
      <c r="H207" s="368"/>
      <c r="I207" s="368"/>
      <c r="J207" s="365"/>
      <c r="K207" s="365"/>
      <c r="L207" s="665"/>
      <c r="M207" s="815"/>
      <c r="N207" s="441"/>
      <c r="O207" s="365"/>
      <c r="P207" s="365"/>
      <c r="Q207" s="365"/>
      <c r="R207" s="365"/>
      <c r="S207" s="365"/>
      <c r="T207" s="365"/>
      <c r="U207" s="370"/>
      <c r="V207" s="370"/>
      <c r="W207" s="365"/>
      <c r="X207" s="365"/>
      <c r="Y207" s="365"/>
      <c r="Z207" s="365"/>
      <c r="AA207" s="365"/>
      <c r="AB207" s="365"/>
      <c r="AC207" s="371"/>
      <c r="AD207" s="365"/>
      <c r="AE207" s="371"/>
      <c r="AF207" s="365"/>
      <c r="AG207" s="365"/>
      <c r="AH207" s="365"/>
      <c r="AI207" s="365"/>
      <c r="AJ207" s="365"/>
      <c r="AK207" s="147"/>
      <c r="AL207" s="365"/>
      <c r="AN207" s="147"/>
      <c r="AO207" s="147"/>
      <c r="AP207" s="147"/>
      <c r="AQ207" s="147"/>
      <c r="AR207" s="147"/>
      <c r="AS207" s="359"/>
      <c r="AT207" s="147"/>
    </row>
    <row r="208" spans="1:46">
      <c r="A208" s="505"/>
      <c r="B208" s="255"/>
      <c r="C208" s="365"/>
      <c r="D208" s="148"/>
      <c r="E208" s="354"/>
      <c r="F208" s="277"/>
      <c r="G208" s="367"/>
      <c r="H208" s="368"/>
      <c r="I208" s="368"/>
      <c r="J208" s="365"/>
      <c r="K208" s="365"/>
      <c r="L208" s="665"/>
      <c r="M208" s="815"/>
      <c r="N208" s="441"/>
      <c r="O208" s="365"/>
      <c r="P208" s="365"/>
      <c r="Q208" s="365"/>
      <c r="R208" s="365"/>
      <c r="S208" s="365"/>
      <c r="T208" s="365"/>
      <c r="U208" s="370"/>
      <c r="V208" s="370"/>
      <c r="W208" s="365"/>
      <c r="X208" s="365"/>
      <c r="Y208" s="365"/>
      <c r="Z208" s="365"/>
      <c r="AA208" s="365"/>
      <c r="AB208" s="365"/>
      <c r="AC208" s="371"/>
      <c r="AD208" s="365"/>
      <c r="AE208" s="371"/>
      <c r="AF208" s="365"/>
      <c r="AG208" s="365"/>
      <c r="AH208" s="365"/>
      <c r="AI208" s="365"/>
      <c r="AJ208" s="365"/>
      <c r="AK208" s="147"/>
      <c r="AL208" s="365"/>
      <c r="AN208" s="147"/>
      <c r="AO208" s="147"/>
      <c r="AP208" s="147"/>
      <c r="AQ208" s="147"/>
      <c r="AR208" s="147"/>
      <c r="AS208" s="359"/>
      <c r="AT208" s="147"/>
    </row>
    <row r="209" spans="1:46">
      <c r="A209" s="505"/>
      <c r="B209" s="255"/>
      <c r="C209" s="365"/>
      <c r="D209" s="148"/>
      <c r="E209" s="354"/>
      <c r="F209" s="277"/>
      <c r="G209" s="367"/>
      <c r="H209" s="368"/>
      <c r="I209" s="368"/>
      <c r="J209" s="365"/>
      <c r="K209" s="365"/>
      <c r="L209" s="665"/>
      <c r="M209" s="815"/>
      <c r="N209" s="441"/>
      <c r="O209" s="365"/>
      <c r="P209" s="365"/>
      <c r="Q209" s="365"/>
      <c r="R209" s="365"/>
      <c r="S209" s="365"/>
      <c r="T209" s="365"/>
      <c r="U209" s="370"/>
      <c r="V209" s="370"/>
      <c r="W209" s="365"/>
      <c r="X209" s="365"/>
      <c r="Y209" s="365"/>
      <c r="Z209" s="365"/>
      <c r="AA209" s="365"/>
      <c r="AB209" s="365"/>
      <c r="AC209" s="371"/>
      <c r="AD209" s="365"/>
      <c r="AE209" s="371"/>
      <c r="AF209" s="365"/>
      <c r="AG209" s="365"/>
      <c r="AH209" s="365"/>
      <c r="AI209" s="365"/>
      <c r="AJ209" s="365"/>
      <c r="AK209" s="147"/>
      <c r="AL209" s="365"/>
      <c r="AN209" s="147"/>
      <c r="AO209" s="147"/>
      <c r="AP209" s="147"/>
      <c r="AQ209" s="147"/>
      <c r="AR209" s="147"/>
      <c r="AS209" s="359"/>
      <c r="AT209" s="147"/>
    </row>
    <row r="210" spans="1:46">
      <c r="A210" s="505"/>
      <c r="B210" s="255"/>
      <c r="C210" s="365"/>
      <c r="D210" s="148"/>
      <c r="E210" s="354"/>
      <c r="F210" s="277"/>
      <c r="G210" s="367"/>
      <c r="H210" s="368"/>
      <c r="I210" s="368"/>
      <c r="J210" s="365"/>
      <c r="K210" s="365"/>
      <c r="L210" s="665"/>
      <c r="M210" s="815"/>
      <c r="N210" s="441"/>
      <c r="O210" s="365"/>
      <c r="P210" s="365"/>
      <c r="Q210" s="365"/>
      <c r="R210" s="365"/>
      <c r="S210" s="365"/>
      <c r="T210" s="365"/>
      <c r="U210" s="370"/>
      <c r="V210" s="370"/>
      <c r="W210" s="365"/>
      <c r="X210" s="365"/>
      <c r="Y210" s="365"/>
      <c r="Z210" s="365"/>
      <c r="AA210" s="365"/>
      <c r="AB210" s="365"/>
      <c r="AC210" s="371"/>
      <c r="AD210" s="365"/>
      <c r="AE210" s="371"/>
      <c r="AF210" s="365"/>
      <c r="AG210" s="365"/>
      <c r="AH210" s="365"/>
      <c r="AI210" s="365"/>
      <c r="AJ210" s="365"/>
      <c r="AK210" s="147"/>
      <c r="AL210" s="365"/>
      <c r="AN210" s="147"/>
      <c r="AO210" s="147"/>
      <c r="AP210" s="147"/>
      <c r="AQ210" s="147"/>
      <c r="AR210" s="147"/>
      <c r="AS210" s="359"/>
      <c r="AT210" s="147"/>
    </row>
    <row r="211" spans="1:46">
      <c r="A211" s="946"/>
      <c r="B211" s="255"/>
      <c r="C211" s="365"/>
      <c r="D211" s="951"/>
      <c r="E211" s="947"/>
      <c r="F211" s="277"/>
      <c r="G211" s="367"/>
      <c r="H211" s="368"/>
      <c r="I211" s="368"/>
      <c r="J211" s="365"/>
      <c r="K211" s="365"/>
      <c r="L211" s="665"/>
      <c r="M211" s="815"/>
      <c r="N211" s="441"/>
      <c r="O211" s="365"/>
      <c r="P211" s="365"/>
      <c r="Q211" s="365"/>
      <c r="R211" s="365"/>
      <c r="S211" s="365"/>
      <c r="T211" s="365"/>
      <c r="U211" s="370"/>
      <c r="V211" s="370"/>
      <c r="W211" s="365"/>
      <c r="X211" s="365"/>
      <c r="Y211" s="365"/>
      <c r="Z211" s="365"/>
      <c r="AA211" s="365"/>
      <c r="AB211" s="365"/>
      <c r="AC211" s="371"/>
      <c r="AD211" s="365"/>
      <c r="AE211" s="371"/>
      <c r="AF211" s="365"/>
      <c r="AG211" s="365"/>
      <c r="AH211" s="365"/>
      <c r="AI211" s="365"/>
      <c r="AJ211" s="365"/>
      <c r="AK211" s="147"/>
      <c r="AL211" s="365"/>
      <c r="AN211" s="147"/>
      <c r="AO211" s="147"/>
      <c r="AP211" s="147"/>
      <c r="AQ211" s="147"/>
      <c r="AR211" s="147"/>
      <c r="AS211" s="359"/>
      <c r="AT211" s="147"/>
    </row>
    <row r="212" spans="1:46">
      <c r="A212" s="946"/>
      <c r="B212" s="255"/>
      <c r="C212" s="365"/>
      <c r="D212" s="951"/>
      <c r="E212" s="947"/>
      <c r="F212" s="277"/>
      <c r="G212" s="367"/>
      <c r="H212" s="368"/>
      <c r="I212" s="368"/>
      <c r="J212" s="365"/>
      <c r="K212" s="365"/>
      <c r="L212" s="665"/>
      <c r="M212" s="815"/>
      <c r="N212" s="441"/>
      <c r="O212" s="365"/>
      <c r="P212" s="365"/>
      <c r="Q212" s="365"/>
      <c r="R212" s="365"/>
      <c r="S212" s="365"/>
      <c r="T212" s="365"/>
      <c r="U212" s="370"/>
      <c r="V212" s="370"/>
      <c r="W212" s="365"/>
      <c r="X212" s="365"/>
      <c r="Y212" s="365"/>
      <c r="Z212" s="365"/>
      <c r="AA212" s="365"/>
      <c r="AB212" s="365"/>
      <c r="AC212" s="371"/>
      <c r="AD212" s="365"/>
      <c r="AE212" s="371"/>
      <c r="AF212" s="365"/>
      <c r="AG212" s="365"/>
      <c r="AH212" s="365"/>
      <c r="AI212" s="365"/>
      <c r="AJ212" s="365"/>
      <c r="AK212" s="147"/>
      <c r="AL212" s="365"/>
      <c r="AN212" s="147"/>
      <c r="AO212" s="147"/>
      <c r="AP212" s="147"/>
      <c r="AQ212" s="147"/>
      <c r="AR212" s="147"/>
      <c r="AS212" s="359"/>
      <c r="AT212" s="147"/>
    </row>
    <row r="213" spans="1:46">
      <c r="L213" s="152" t="s">
        <v>1025</v>
      </c>
      <c r="W213" s="83"/>
    </row>
    <row r="214" spans="1:46">
      <c r="L214" s="152" t="s">
        <v>1032</v>
      </c>
      <c r="AM214" s="505" t="s">
        <v>1289</v>
      </c>
    </row>
    <row r="215" spans="1:46">
      <c r="L215" s="152" t="s">
        <v>1333</v>
      </c>
      <c r="AM215" s="505" t="s">
        <v>1288</v>
      </c>
    </row>
    <row r="216" spans="1:46">
      <c r="C216" s="605"/>
      <c r="D216" s="144"/>
      <c r="L216" s="629" t="s">
        <v>1369</v>
      </c>
      <c r="AM216" s="505" t="s">
        <v>1290</v>
      </c>
    </row>
    <row r="217" spans="1:46">
      <c r="B217" s="272"/>
      <c r="D217" s="144"/>
      <c r="L217" s="618" t="s">
        <v>1350</v>
      </c>
      <c r="AM217" s="505" t="s">
        <v>1291</v>
      </c>
    </row>
    <row r="218" spans="1:46">
      <c r="B218" s="272"/>
      <c r="D218" s="144"/>
      <c r="L218" s="618" t="s">
        <v>1351</v>
      </c>
      <c r="AM218" s="356" t="s">
        <v>1606</v>
      </c>
    </row>
    <row r="219" spans="1:46">
      <c r="B219" s="272"/>
      <c r="D219" s="144"/>
      <c r="L219" s="156" t="s">
        <v>1027</v>
      </c>
      <c r="AM219" s="356" t="s">
        <v>1607</v>
      </c>
    </row>
    <row r="220" spans="1:46">
      <c r="B220" s="272"/>
      <c r="D220" s="144"/>
      <c r="L220" s="159" t="s">
        <v>1026</v>
      </c>
      <c r="AM220" s="505" t="s">
        <v>1388</v>
      </c>
    </row>
    <row r="221" spans="1:46">
      <c r="L221" s="164" t="s">
        <v>1084</v>
      </c>
      <c r="AM221" s="643" t="s">
        <v>1386</v>
      </c>
    </row>
    <row r="223" spans="1:46">
      <c r="AM223" s="644"/>
      <c r="AN223" s="914" t="s">
        <v>1292</v>
      </c>
    </row>
    <row r="224" spans="1:46">
      <c r="AM224" s="645"/>
      <c r="AN224" s="914" t="s">
        <v>1292</v>
      </c>
    </row>
    <row r="226" spans="4:4">
      <c r="D226" s="144"/>
    </row>
    <row r="227" spans="4:4">
      <c r="D227" s="144"/>
    </row>
    <row r="228" spans="4:4">
      <c r="D228" s="144"/>
    </row>
    <row r="229" spans="4:4">
      <c r="D229" s="144"/>
    </row>
  </sheetData>
  <phoneticPr fontId="286" type="noConversion"/>
  <hyperlinks>
    <hyperlink ref="F24" r:id="rId1" display="mailto:kristinavezaj@gmail.com" xr:uid="{00000000-0004-0000-0000-000000000000}"/>
    <hyperlink ref="F137" r:id="rId2" display="mailto:sukizsuzsa@gmail.com" xr:uid="{00000000-0004-0000-0000-000001000000}"/>
    <hyperlink ref="F85" r:id="rId3" xr:uid="{00000000-0004-0000-0000-000002000000}"/>
    <hyperlink ref="F81" r:id="rId4" xr:uid="{00000000-0004-0000-0000-000003000000}"/>
    <hyperlink ref="F110" r:id="rId5" xr:uid="{00000000-0004-0000-0000-000004000000}"/>
    <hyperlink ref="F108" r:id="rId6" xr:uid="{00000000-0004-0000-0000-000005000000}"/>
    <hyperlink ref="F170" r:id="rId7" xr:uid="{00000000-0004-0000-0000-000006000000}"/>
    <hyperlink ref="F136" r:id="rId8" xr:uid="{00000000-0004-0000-0000-000007000000}"/>
    <hyperlink ref="F99" r:id="rId9" xr:uid="{00000000-0004-0000-0000-000008000000}"/>
    <hyperlink ref="F96" r:id="rId10" xr:uid="{00000000-0004-0000-0000-000009000000}"/>
    <hyperlink ref="F86" r:id="rId11" display="nemethy.peter@lmland.hu" xr:uid="{00000000-0004-0000-0000-00000A000000}"/>
    <hyperlink ref="F58" r:id="rId12" xr:uid="{00000000-0004-0000-0000-00000B000000}"/>
    <hyperlink ref="F54" r:id="rId13" xr:uid="{00000000-0004-0000-0000-00000C000000}"/>
    <hyperlink ref="F173" r:id="rId14" xr:uid="{00000000-0004-0000-0000-00000D000000}"/>
    <hyperlink ref="F33" r:id="rId15" display="nexxpertisekft@gmail.com" xr:uid="{00000000-0004-0000-0000-00000E000000}"/>
    <hyperlink ref="F47" r:id="rId16" xr:uid="{00000000-0004-0000-0000-00000F000000}"/>
    <hyperlink ref="F77" r:id="rId17" xr:uid="{00000000-0004-0000-0000-000010000000}"/>
    <hyperlink ref="F172" r:id="rId18" xr:uid="{00000000-0004-0000-0000-000011000000}"/>
    <hyperlink ref="F4" r:id="rId19" xr:uid="{00000000-0004-0000-0000-000012000000}"/>
    <hyperlink ref="F36" r:id="rId20" display="SZILIKAZSOLT@EU-SOLAR.HU" xr:uid="{00000000-0004-0000-0000-000013000000}"/>
    <hyperlink ref="F3" r:id="rId21" xr:uid="{00000000-0004-0000-0000-000014000000}"/>
    <hyperlink ref="F140" r:id="rId22" display="rev.tkiraly@gmail.com" xr:uid="{00000000-0004-0000-0000-000015000000}"/>
    <hyperlink ref="F55" r:id="rId23" display="ipernar@yahoo.com" xr:uid="{00000000-0004-0000-0000-000016000000}"/>
    <hyperlink ref="F93" r:id="rId24" display="szafakormend@gmail.com," xr:uid="{00000000-0004-0000-0000-000017000000}"/>
    <hyperlink ref="F74" r:id="rId25" xr:uid="{00000000-0004-0000-0000-000018000000}"/>
    <hyperlink ref="F57" r:id="rId26" xr:uid="{00000000-0004-0000-0000-000019000000}"/>
    <hyperlink ref="F165" r:id="rId27" xr:uid="{00000000-0004-0000-0000-00001A000000}"/>
    <hyperlink ref="F158" r:id="rId28" xr:uid="{00000000-0004-0000-0000-00001B000000}"/>
    <hyperlink ref="F171" r:id="rId29" xr:uid="{00000000-0004-0000-0000-00001C000000}"/>
    <hyperlink ref="F39" r:id="rId30" display="balogh.levente@euronetrt.hu" xr:uid="{00000000-0004-0000-0000-00001D000000}"/>
    <hyperlink ref="F69" r:id="rId31" xr:uid="{00000000-0004-0000-0000-00001E000000}"/>
    <hyperlink ref="F9" r:id="rId32" display="info@agronomist.bio" xr:uid="{00000000-0004-0000-0000-00001F000000}"/>
    <hyperlink ref="G155" r:id="rId33" display="NEMES.ATTILA@EURONETRT.HU" xr:uid="{00000000-0004-0000-0000-000020000000}"/>
    <hyperlink ref="F109" r:id="rId34" display="kusic.rebeka@gmail.com" xr:uid="{00000000-0004-0000-0000-000021000000}"/>
    <hyperlink ref="F135" r:id="rId35" xr:uid="{00000000-0004-0000-0000-000022000000}"/>
    <hyperlink ref="F148" r:id="rId36" xr:uid="{00000000-0004-0000-0000-000023000000}"/>
    <hyperlink ref="F44" r:id="rId37" xr:uid="{00000000-0004-0000-0000-000024000000}"/>
    <hyperlink ref="F129" r:id="rId38" xr:uid="{00000000-0004-0000-0000-000025000000}"/>
    <hyperlink ref="F100" r:id="rId39" display="neoconsyachting@gmail.com" xr:uid="{00000000-0004-0000-0000-000026000000}"/>
    <hyperlink ref="F127" r:id="rId40" display="sandorfirobert@gmail.com,melissa.horvat21@gmail.com" xr:uid="{00000000-0004-0000-0000-000027000000}"/>
    <hyperlink ref="F166" r:id="rId41" display="robertmuszka90@gmail.com" xr:uid="{00000000-0004-0000-0000-000028000000}"/>
    <hyperlink ref="F169" r:id="rId42" display="robert.verebi@vr-consulting.hr,melissa.horvat21@gmail.com" xr:uid="{00000000-0004-0000-0000-000029000000}"/>
    <hyperlink ref="F31" r:id="rId43" xr:uid="{00000000-0004-0000-0000-00002A000000}"/>
    <hyperlink ref="F91" r:id="rId44" xr:uid="{00000000-0004-0000-0000-00002B000000}"/>
    <hyperlink ref="F126" r:id="rId45" xr:uid="{00000000-0004-0000-0000-00002C000000}"/>
    <hyperlink ref="F51" r:id="rId46" xr:uid="{00000000-0004-0000-0000-00002D000000}"/>
    <hyperlink ref="F46" r:id="rId47" xr:uid="{00000000-0004-0000-0000-00002E000000}"/>
    <hyperlink ref="F53" r:id="rId48" xr:uid="{00000000-0004-0000-0000-00002F000000}"/>
    <hyperlink ref="F125" r:id="rId49" display="szemeredi@kenlube.hu   " xr:uid="{00000000-0004-0000-0000-000030000000}"/>
    <hyperlink ref="F83" r:id="rId50" xr:uid="{00000000-0004-0000-0000-000031000000}"/>
    <hyperlink ref="F117" r:id="rId51" xr:uid="{00000000-0004-0000-0000-000032000000}"/>
    <hyperlink ref="F28" r:id="rId52" xr:uid="{00000000-0004-0000-0000-000033000000}"/>
    <hyperlink ref="F7" r:id="rId53" xr:uid="{00000000-0004-0000-0000-000034000000}"/>
    <hyperlink ref="F76" r:id="rId54" xr:uid="{00000000-0004-0000-0000-000035000000}"/>
    <hyperlink ref="F111" r:id="rId55" xr:uid="{00000000-0004-0000-0000-000036000000}"/>
    <hyperlink ref="F82" r:id="rId56" xr:uid="{00000000-0004-0000-0000-000037000000}"/>
    <hyperlink ref="F101" r:id="rId57" xr:uid="{00000000-0004-0000-0000-000038000000}"/>
    <hyperlink ref="F34" r:id="rId58" xr:uid="{00000000-0004-0000-0000-000039000000}"/>
    <hyperlink ref="F134" r:id="rId59" xr:uid="{00000000-0004-0000-0000-00003A000000}"/>
    <hyperlink ref="F164" r:id="rId60" display="buday.santha@gmail.com ZSOMBOR" xr:uid="{00000000-0004-0000-0000-00003B000000}"/>
    <hyperlink ref="F120" r:id="rId61" xr:uid="{00000000-0004-0000-0000-00003C000000}"/>
    <hyperlink ref="F163" r:id="rId62" xr:uid="{00000000-0004-0000-0000-00003D000000}"/>
    <hyperlink ref="F160" r:id="rId63" display="robert.verebi@vr-consulting.hr,melissa.horvat21@gmail.com" xr:uid="{00000000-0004-0000-0000-00003E000000}"/>
    <hyperlink ref="F124" r:id="rId64" xr:uid="{00000000-0004-0000-0000-00003F000000}"/>
    <hyperlink ref="F80" r:id="rId65" xr:uid="{00000000-0004-0000-0000-000040000000}"/>
    <hyperlink ref="F147" r:id="rId66" display="DKATUSIC13@GMAIL.COM" xr:uid="{00000000-0004-0000-0000-000041000000}"/>
    <hyperlink ref="F89" r:id="rId67" xr:uid="{00000000-0004-0000-0000-000042000000}"/>
    <hyperlink ref="F143" r:id="rId68" xr:uid="{00000000-0004-0000-0000-000043000000}"/>
    <hyperlink ref="F138" r:id="rId69" xr:uid="{00000000-0004-0000-0000-000044000000}"/>
    <hyperlink ref="F42" r:id="rId70" xr:uid="{00000000-0004-0000-0000-000045000000}"/>
    <hyperlink ref="F52" r:id="rId71" xr:uid="{00000000-0004-0000-0000-000046000000}"/>
    <hyperlink ref="F56" r:id="rId72" xr:uid="{00000000-0004-0000-0000-000047000000}"/>
    <hyperlink ref="F156" r:id="rId73" xr:uid="{00000000-0004-0000-0000-000048000000}"/>
    <hyperlink ref="F13" r:id="rId74" xr:uid="{00000000-0004-0000-0000-000049000000}"/>
    <hyperlink ref="F75" r:id="rId75" xr:uid="{00000000-0004-0000-0000-00004A000000}"/>
    <hyperlink ref="M43" r:id="rId76" xr:uid="{00000000-0004-0000-0000-00004B000000}"/>
    <hyperlink ref="F128" r:id="rId77" xr:uid="{00000000-0004-0000-0000-00004C000000}"/>
    <hyperlink ref="F70" r:id="rId78" xr:uid="{00000000-0004-0000-0000-00004D000000}"/>
    <hyperlink ref="F153" r:id="rId79" xr:uid="{00000000-0004-0000-0000-00004E000000}"/>
    <hyperlink ref="F167" r:id="rId80" xr:uid="{00000000-0004-0000-0000-00004F000000}"/>
    <hyperlink ref="M139" r:id="rId81" xr:uid="{00000000-0004-0000-0000-000050000000}"/>
    <hyperlink ref="F27" r:id="rId82" xr:uid="{00000000-0004-0000-0000-000051000000}"/>
    <hyperlink ref="M55" r:id="rId83" xr:uid="{00000000-0004-0000-0000-000052000000}"/>
    <hyperlink ref="M115" r:id="rId84" xr:uid="{00000000-0004-0000-0000-000053000000}"/>
    <hyperlink ref="M114" r:id="rId85" xr:uid="{00000000-0004-0000-0000-000054000000}"/>
    <hyperlink ref="M76" r:id="rId86" xr:uid="{00000000-0004-0000-0000-000055000000}"/>
    <hyperlink ref="M54" r:id="rId87" xr:uid="{00000000-0004-0000-0000-000056000000}"/>
    <hyperlink ref="M141" r:id="rId88" xr:uid="{00000000-0004-0000-0000-000057000000}"/>
    <hyperlink ref="M131" r:id="rId89" xr:uid="{00000000-0004-0000-0000-000058000000}"/>
    <hyperlink ref="M34" r:id="rId90" xr:uid="{00000000-0004-0000-0000-000059000000}"/>
    <hyperlink ref="M79" r:id="rId91" xr:uid="{00000000-0004-0000-0000-00005A000000}"/>
    <hyperlink ref="M96" r:id="rId92" xr:uid="{00000000-0004-0000-0000-00005B000000}"/>
    <hyperlink ref="M10" r:id="rId93" xr:uid="{00000000-0004-0000-0000-00005C000000}"/>
    <hyperlink ref="M116" r:id="rId94" xr:uid="{00000000-0004-0000-0000-00005D000000}"/>
    <hyperlink ref="M144" r:id="rId95" xr:uid="{00000000-0004-0000-0000-00005E000000}"/>
    <hyperlink ref="M132" r:id="rId96" xr:uid="{00000000-0004-0000-0000-00005F000000}"/>
    <hyperlink ref="M7" r:id="rId97" xr:uid="{00000000-0004-0000-0000-000060000000}"/>
    <hyperlink ref="M145" r:id="rId98" xr:uid="{00000000-0004-0000-0000-000061000000}"/>
    <hyperlink ref="M129" r:id="rId99" xr:uid="{00000000-0004-0000-0000-000062000000}"/>
    <hyperlink ref="M171" r:id="rId100" xr:uid="{00000000-0004-0000-0000-000063000000}"/>
    <hyperlink ref="M30" r:id="rId101" xr:uid="{00000000-0004-0000-0000-000064000000}"/>
    <hyperlink ref="M97" r:id="rId102" xr:uid="{00000000-0004-0000-0000-000065000000}"/>
    <hyperlink ref="M123" r:id="rId103" xr:uid="{00000000-0004-0000-0000-000066000000}"/>
    <hyperlink ref="M101" r:id="rId104" xr:uid="{00000000-0004-0000-0000-000067000000}"/>
    <hyperlink ref="M8" r:id="rId105" xr:uid="{00000000-0004-0000-0000-000068000000}"/>
    <hyperlink ref="M134" r:id="rId106" xr:uid="{00000000-0004-0000-0000-000069000000}"/>
    <hyperlink ref="M125" r:id="rId107" xr:uid="{00000000-0004-0000-0000-00006A000000}"/>
    <hyperlink ref="M157" r:id="rId108" xr:uid="{00000000-0004-0000-0000-00006B000000}"/>
    <hyperlink ref="M65" r:id="rId109" xr:uid="{00000000-0004-0000-0000-00006C000000}"/>
    <hyperlink ref="M38" r:id="rId110" xr:uid="{00000000-0004-0000-0000-00006D000000}"/>
    <hyperlink ref="M39" r:id="rId111" xr:uid="{00000000-0004-0000-0000-00006E000000}"/>
    <hyperlink ref="F59" r:id="rId112" xr:uid="{00000000-0004-0000-0000-00006F000000}"/>
    <hyperlink ref="F97" r:id="rId113" xr:uid="{00000000-0004-0000-0000-000070000000}"/>
    <hyperlink ref="M6" r:id="rId114" xr:uid="{00000000-0004-0000-0000-000071000000}"/>
    <hyperlink ref="F131" r:id="rId115" xr:uid="{00000000-0004-0000-0000-000072000000}"/>
    <hyperlink ref="M52" r:id="rId116" xr:uid="{00000000-0004-0000-0000-000073000000}"/>
    <hyperlink ref="F130" r:id="rId117" xr:uid="{00000000-0004-0000-0000-000074000000}"/>
    <hyperlink ref="F92" r:id="rId118" display="celia.blasszauer@medicalscan.hu" xr:uid="{00000000-0004-0000-0000-000075000000}"/>
    <hyperlink ref="M137" r:id="rId119" xr:uid="{00000000-0004-0000-0000-000076000000}"/>
    <hyperlink ref="M66" r:id="rId120" xr:uid="{00000000-0004-0000-0000-000077000000}"/>
    <hyperlink ref="F17" r:id="rId121" xr:uid="{00000000-0004-0000-0000-000078000000}"/>
    <hyperlink ref="M17" r:id="rId122" xr:uid="{00000000-0004-0000-0000-000079000000}"/>
    <hyperlink ref="F63" r:id="rId123" xr:uid="{00000000-0004-0000-0000-00007A000000}"/>
    <hyperlink ref="M63" r:id="rId124" xr:uid="{00000000-0004-0000-0000-00007B000000}"/>
    <hyperlink ref="M16" r:id="rId125" xr:uid="{00000000-0004-0000-0000-00007C000000}"/>
    <hyperlink ref="F62" r:id="rId126" display="moor.gabor@point-s.hu" xr:uid="{00000000-0004-0000-0000-00007D000000}"/>
    <hyperlink ref="M62" r:id="rId127" xr:uid="{00000000-0004-0000-0000-00007E000000}"/>
    <hyperlink ref="M69" r:id="rId128" xr:uid="{00000000-0004-0000-0000-00007F000000}"/>
    <hyperlink ref="M90" r:id="rId129" xr:uid="{00000000-0004-0000-0000-000080000000}"/>
    <hyperlink ref="M44" r:id="rId130" xr:uid="{00000000-0004-0000-0000-000081000000}"/>
    <hyperlink ref="M119" r:id="rId131" xr:uid="{00000000-0004-0000-0000-000082000000}"/>
    <hyperlink ref="M150" r:id="rId132" xr:uid="{00000000-0004-0000-0000-000083000000}"/>
    <hyperlink ref="M164" r:id="rId133" xr:uid="{00000000-0004-0000-0000-000084000000}"/>
    <hyperlink ref="M120" r:id="rId134" xr:uid="{00000000-0004-0000-0000-000085000000}"/>
    <hyperlink ref="M23" r:id="rId135" xr:uid="{00000000-0004-0000-0000-000086000000}"/>
    <hyperlink ref="M60" r:id="rId136" xr:uid="{00000000-0004-0000-0000-000087000000}"/>
    <hyperlink ref="M152" r:id="rId137" xr:uid="{00000000-0004-0000-0000-000088000000}"/>
    <hyperlink ref="M110" r:id="rId138" xr:uid="{00000000-0004-0000-0000-000089000000}"/>
    <hyperlink ref="M47" r:id="rId139" xr:uid="{00000000-0004-0000-0000-00008A000000}"/>
    <hyperlink ref="F12" r:id="rId140" xr:uid="{00000000-0004-0000-0000-00008B000000}"/>
    <hyperlink ref="M12" r:id="rId141" xr:uid="{00000000-0004-0000-0000-00008C000000}"/>
    <hyperlink ref="M84" r:id="rId142" xr:uid="{00000000-0004-0000-0000-00008D000000}"/>
    <hyperlink ref="M133" r:id="rId143" xr:uid="{00000000-0004-0000-0000-00008E000000}"/>
    <hyperlink ref="M121" r:id="rId144" xr:uid="{00000000-0004-0000-0000-00008F000000}"/>
    <hyperlink ref="F19" r:id="rId145" xr:uid="{00000000-0004-0000-0000-000090000000}"/>
    <hyperlink ref="M19" r:id="rId146" xr:uid="{00000000-0004-0000-0000-000091000000}"/>
    <hyperlink ref="M126" r:id="rId147" xr:uid="{00000000-0004-0000-0000-000092000000}"/>
    <hyperlink ref="M117" r:id="rId148" xr:uid="{00000000-0004-0000-0000-000093000000}"/>
    <hyperlink ref="M104" r:id="rId149" xr:uid="{00000000-0004-0000-0000-000094000000}"/>
    <hyperlink ref="M155" r:id="rId150" xr:uid="{00000000-0004-0000-0000-000095000000}"/>
    <hyperlink ref="M31" r:id="rId151" xr:uid="{00000000-0004-0000-0000-000096000000}"/>
    <hyperlink ref="M140" r:id="rId152" xr:uid="{00000000-0004-0000-0000-000097000000}"/>
    <hyperlink ref="M91" r:id="rId153" xr:uid="{00000000-0004-0000-0000-000098000000}"/>
    <hyperlink ref="F14" r:id="rId154" xr:uid="{00000000-0004-0000-0000-000099000000}"/>
    <hyperlink ref="M14" r:id="rId155" xr:uid="{00000000-0004-0000-0000-00009A000000}"/>
    <hyperlink ref="M142" r:id="rId156" xr:uid="{00000000-0004-0000-0000-00009B000000}"/>
    <hyperlink ref="F73" r:id="rId157" xr:uid="{00000000-0004-0000-0000-00009C000000}"/>
    <hyperlink ref="M73" r:id="rId158" xr:uid="{00000000-0004-0000-0000-00009D000000}"/>
    <hyperlink ref="M138" r:id="rId159" xr:uid="{00000000-0004-0000-0000-00009E000000}"/>
    <hyperlink ref="F30" r:id="rId160" xr:uid="{00000000-0004-0000-0000-00009F000000}"/>
    <hyperlink ref="F103" r:id="rId161" xr:uid="{00000000-0004-0000-0000-0000A0000000}"/>
    <hyperlink ref="M149" r:id="rId162" xr:uid="{00000000-0004-0000-0000-0000A1000000}"/>
    <hyperlink ref="F72" r:id="rId163" xr:uid="{00000000-0004-0000-0000-0000A2000000}"/>
    <hyperlink ref="M72" r:id="rId164" xr:uid="{00000000-0004-0000-0000-0000A3000000}"/>
    <hyperlink ref="M103" r:id="rId165" xr:uid="{00000000-0004-0000-0000-0000A4000000}"/>
    <hyperlink ref="M50" r:id="rId166" xr:uid="{00000000-0004-0000-0000-0000A5000000}"/>
    <hyperlink ref="M36" r:id="rId167" xr:uid="{00000000-0004-0000-0000-0000A6000000}"/>
    <hyperlink ref="F113" r:id="rId168" xr:uid="{00000000-0004-0000-0000-0000A7000000}"/>
    <hyperlink ref="F98" r:id="rId169" xr:uid="{00000000-0004-0000-0000-0000A8000000}"/>
    <hyperlink ref="M98" r:id="rId170" xr:uid="{00000000-0004-0000-0000-0000A9000000}"/>
    <hyperlink ref="M26" r:id="rId171" xr:uid="{00000000-0004-0000-0000-0000AA000000}"/>
    <hyperlink ref="F94" r:id="rId172" xr:uid="{00000000-0004-0000-0000-0000AB000000}"/>
    <hyperlink ref="M40" r:id="rId173" xr:uid="{00000000-0004-0000-0000-0000AC000000}"/>
    <hyperlink ref="M41" r:id="rId174" xr:uid="{00000000-0004-0000-0000-0000AD000000}"/>
    <hyperlink ref="M108" r:id="rId175" xr:uid="{00000000-0004-0000-0000-0000AE000000}"/>
    <hyperlink ref="M81" r:id="rId176" xr:uid="{00000000-0004-0000-0000-0000AF000000}"/>
    <hyperlink ref="M33" r:id="rId177" xr:uid="{00000000-0004-0000-0000-0000B0000000}"/>
    <hyperlink ref="M118" r:id="rId178" xr:uid="{00000000-0004-0000-0000-0000B1000000}"/>
    <hyperlink ref="M3" r:id="rId179" xr:uid="{00000000-0004-0000-0000-0000B2000000}"/>
    <hyperlink ref="M51" r:id="rId180" display="euro6truckdoo@gmail.com Lv2025" xr:uid="{00000000-0004-0000-0000-0000B3000000}"/>
    <hyperlink ref="M78" r:id="rId181" xr:uid="{00000000-0004-0000-0000-0000B4000000}"/>
    <hyperlink ref="M143" r:id="rId182" xr:uid="{00000000-0004-0000-0000-0000B5000000}"/>
    <hyperlink ref="M122" r:id="rId183" xr:uid="{00000000-0004-0000-0000-0000B6000000}"/>
    <hyperlink ref="M105" r:id="rId184" xr:uid="{00000000-0004-0000-0000-0000B7000000}"/>
    <hyperlink ref="M15" r:id="rId185" xr:uid="{00000000-0004-0000-0000-0000B8000000}"/>
    <hyperlink ref="M92" r:id="rId186" xr:uid="{00000000-0004-0000-0000-0000B9000000}"/>
    <hyperlink ref="M32" r:id="rId187" xr:uid="{00000000-0004-0000-0000-0000BA000000}"/>
    <hyperlink ref="M25" r:id="rId188" xr:uid="{00000000-0004-0000-0000-0000BB000000}"/>
    <hyperlink ref="F11" r:id="rId189" xr:uid="{00000000-0004-0000-0000-0000BC000000}"/>
    <hyperlink ref="M11" r:id="rId190" xr:uid="{00000000-0004-0000-0000-0000BD000000}"/>
    <hyperlink ref="F49" r:id="rId191" display="robert.verebi@vr-consulting.hr,melissa.horvat21@gmail.com" xr:uid="{00000000-0004-0000-0000-0000BE000000}"/>
    <hyperlink ref="F175" r:id="rId192" xr:uid="{00000000-0004-0000-0000-0000BF000000}"/>
    <hyperlink ref="F150" r:id="rId193" display="mailto:tradinghousedoo@protonmail.com" xr:uid="{00000000-0004-0000-0000-0000C0000000}"/>
    <hyperlink ref="F176" r:id="rId194" xr:uid="{00000000-0004-0000-0000-0000C1000000}"/>
    <hyperlink ref="M107" r:id="rId195" xr:uid="{00000000-0004-0000-0000-0000C2000000}"/>
    <hyperlink ref="F139" r:id="rId196" display="mailto:sunergosdoo@gmail.com" xr:uid="{00000000-0004-0000-0000-0000C3000000}"/>
    <hyperlink ref="M166" r:id="rId197" xr:uid="{00000000-0004-0000-0000-0000C4000000}"/>
    <hyperlink ref="M71" r:id="rId198" xr:uid="{00000000-0004-0000-0000-0000C5000000}"/>
    <hyperlink ref="M93" r:id="rId199" xr:uid="{00000000-0004-0000-0000-0000C6000000}"/>
    <hyperlink ref="M77" r:id="rId200" xr:uid="{00000000-0004-0000-0000-0000C7000000}"/>
    <hyperlink ref="F26" r:id="rId201" xr:uid="{00000000-0004-0000-0000-0000C8000000}"/>
    <hyperlink ref="F41" r:id="rId202" xr:uid="{00000000-0004-0000-0000-0000C9000000}"/>
    <hyperlink ref="F178" r:id="rId203" xr:uid="{00000000-0004-0000-0000-0000CA000000}"/>
    <hyperlink ref="M178" r:id="rId204" xr:uid="{00000000-0004-0000-0000-0000CB000000}"/>
    <hyperlink ref="F179" r:id="rId205" xr:uid="{00000000-0004-0000-0000-0000CC000000}"/>
    <hyperlink ref="F180" r:id="rId206" xr:uid="{00000000-0004-0000-0000-0000CD000000}"/>
    <hyperlink ref="F177" r:id="rId207" xr:uid="{00000000-0004-0000-0000-0000CE000000}"/>
    <hyperlink ref="M177" r:id="rId208" xr:uid="{00000000-0004-0000-0000-0000CF000000}"/>
    <hyperlink ref="M180" r:id="rId209" xr:uid="{00000000-0004-0000-0000-0000D0000000}"/>
    <hyperlink ref="F181" r:id="rId210" xr:uid="{00000000-0004-0000-0000-0000D1000000}"/>
    <hyperlink ref="F183" r:id="rId211" display="info@fairdistributions.com" xr:uid="{00000000-0004-0000-0000-0000D2000000}"/>
    <hyperlink ref="F184" r:id="rId212" xr:uid="{00000000-0004-0000-0000-0000D3000000}"/>
    <hyperlink ref="F118" r:id="rId213" xr:uid="{00000000-0004-0000-0000-0000D4000000}"/>
    <hyperlink ref="F185" r:id="rId214" display="mailto:zoltan.cebe@unitaltd.com" xr:uid="{00000000-0004-0000-0000-0000D5000000}"/>
    <hyperlink ref="M172" r:id="rId215" xr:uid="{00000000-0004-0000-0000-0000D6000000}"/>
    <hyperlink ref="F186" r:id="rId216" xr:uid="{00000000-0004-0000-0000-0000D7000000}"/>
    <hyperlink ref="F187" r:id="rId217" xr:uid="{00000000-0004-0000-0000-0000D8000000}"/>
    <hyperlink ref="F188" r:id="rId218" xr:uid="{00000000-0004-0000-0000-0000D9000000}"/>
    <hyperlink ref="F189" r:id="rId219" xr:uid="{00000000-0004-0000-0000-0000DA000000}"/>
    <hyperlink ref="M80" r:id="rId220" xr:uid="{00000000-0004-0000-0000-0000DB000000}"/>
    <hyperlink ref="M184" r:id="rId221" xr:uid="{00000000-0004-0000-0000-0000DC000000}"/>
    <hyperlink ref="AQ86" r:id="rId222" display="https://sudreg.pravosudje.hr/ords/r/esudreg/public/vezani-subjekti?p40_oib=26622309542&amp;p40_tip=1&amp;clear=RP,40&amp;cs=1B3FDD4CF1024AFA6FE5848DA57A06699" xr:uid="{00000000-0004-0000-0000-0000DD000000}"/>
    <hyperlink ref="AQ90" r:id="rId223" display="https://sudreg.pravosudje.hr/ords/r/esudreg/public/vezani-subjekti?p40_oib=8069253268&amp;p40_tip=1&amp;clear=RP,40&amp;cs=166D028841A69C166D283D136661887A9" xr:uid="{00000000-0004-0000-0000-0000DE000000}"/>
    <hyperlink ref="F84" r:id="rId224" xr:uid="{00000000-0004-0000-0000-0000DF000000}"/>
    <hyperlink ref="F78" r:id="rId225" xr:uid="{00000000-0004-0000-0000-0000E0000000}"/>
    <hyperlink ref="F122" r:id="rId226" xr:uid="{00000000-0004-0000-0000-0000E1000000}"/>
    <hyperlink ref="F149" r:id="rId227" xr:uid="{00000000-0004-0000-0000-0000E2000000}"/>
    <hyperlink ref="M182" r:id="rId228" xr:uid="{00000000-0004-0000-0000-0000E3000000}"/>
    <hyperlink ref="F195" r:id="rId229" display="penzugy@vivapalazzo.hu" xr:uid="{00000000-0004-0000-0000-0000E4000000}"/>
    <hyperlink ref="M195" r:id="rId230" xr:uid="{00000000-0004-0000-0000-0000E5000000}"/>
    <hyperlink ref="AT195" r:id="rId231" xr:uid="{00000000-0004-0000-0000-0000E6000000}"/>
    <hyperlink ref="F197" r:id="rId232" xr:uid="{00000000-0004-0000-0000-0000E7000000}"/>
    <hyperlink ref="AQ198" r:id="rId233" display="https://sudreg.pravosudje.hr/ords/r/esudreg/public/vezani-subjekti?p40_oib=79040669536&amp;p40_tip=1&amp;clear=RP,40&amp;cs=19B68820E791087DB0B116DED778E9460" xr:uid="{00000000-0004-0000-0000-0000E8000000}"/>
    <hyperlink ref="M61" r:id="rId234" xr:uid="{00000000-0004-0000-0000-0000E9000000}"/>
    <hyperlink ref="F182" r:id="rId235" display="gabor@bg7.hu" xr:uid="{00000000-0004-0000-0000-0000EA000000}"/>
    <hyperlink ref="F199" r:id="rId236" display="andocsi.janos@gmail.com" xr:uid="{00000000-0004-0000-0000-0000EB000000}"/>
    <hyperlink ref="M199" r:id="rId237" xr:uid="{00000000-0004-0000-0000-0000EC000000}"/>
    <hyperlink ref="F200" r:id="rId238" xr:uid="{00000000-0004-0000-0000-0000ED000000}"/>
    <hyperlink ref="F201" r:id="rId239" xr:uid="{00000000-0004-0000-0000-0000EE000000}"/>
    <hyperlink ref="M188" r:id="rId240" xr:uid="{00000000-0004-0000-0000-0000EF000000}"/>
    <hyperlink ref="F202" r:id="rId241" xr:uid="{00000000-0004-0000-0000-0000F0000000}"/>
  </hyperlinks>
  <pageMargins left="0.7" right="0.7" top="0.75" bottom="0.75" header="0.3" footer="0.3"/>
  <pageSetup paperSize="9" scale="13" fitToHeight="0" orientation="portrait" r:id="rId242"/>
  <legacyDrawing r:id="rId243"/>
  <tableParts count="1">
    <tablePart r:id="rId24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djelatnik!$I$16:$I$26</xm:f>
          </x14:formula1>
          <xm:sqref>N2:N10 N12:N212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A293"/>
  <sheetViews>
    <sheetView zoomScale="96" zoomScaleNormal="96" workbookViewId="0">
      <pane xSplit="7" ySplit="4" topLeftCell="AA171" activePane="bottomRight" state="frozen"/>
      <selection pane="topRight" activeCell="H1" sqref="H1"/>
      <selection pane="bottomLeft" activeCell="A5" sqref="A5"/>
      <selection pane="bottomRight" activeCell="A171" sqref="A171"/>
    </sheetView>
  </sheetViews>
  <sheetFormatPr defaultColWidth="9" defaultRowHeight="15"/>
  <cols>
    <col min="1" max="1" width="9" style="274"/>
    <col min="2" max="2" width="35.7109375" style="274" customWidth="1"/>
    <col min="3" max="3" width="18.140625" style="146" customWidth="1"/>
    <col min="4" max="4" width="42" style="274" customWidth="1"/>
    <col min="5" max="5" width="11.42578125" style="274" customWidth="1"/>
    <col min="6" max="6" width="9.7109375" style="280" customWidth="1"/>
    <col min="7" max="7" width="12.7109375" style="279" customWidth="1"/>
    <col min="8" max="8" width="12.7109375" style="279" hidden="1" customWidth="1"/>
    <col min="9" max="9" width="9.85546875" style="147" hidden="1" customWidth="1"/>
    <col min="10" max="11" width="12.140625" style="274" hidden="1" customWidth="1"/>
    <col min="12" max="12" width="6.85546875" style="274" hidden="1" customWidth="1"/>
    <col min="13" max="14" width="11" style="280" hidden="1" customWidth="1"/>
    <col min="15" max="15" width="11" style="274" hidden="1" customWidth="1"/>
    <col min="16" max="16" width="9.140625" style="280" hidden="1" customWidth="1"/>
    <col min="17" max="17" width="11.28515625" style="280" hidden="1" customWidth="1"/>
    <col min="18" max="18" width="11.28515625" style="274" hidden="1" customWidth="1"/>
    <col min="19" max="19" width="12.28515625" style="280" hidden="1" customWidth="1"/>
    <col min="20" max="20" width="8.7109375" style="280" hidden="1" customWidth="1"/>
    <col min="21" max="21" width="12.5703125" style="274" hidden="1" customWidth="1"/>
    <col min="22" max="22" width="12" style="280" hidden="1" customWidth="1"/>
    <col min="23" max="23" width="11.5703125" style="281" hidden="1" customWidth="1"/>
    <col min="24" max="24" width="6.28515625" style="274" hidden="1" customWidth="1"/>
    <col min="25" max="25" width="9.5703125" style="280" hidden="1" customWidth="1"/>
    <col min="26" max="26" width="10" style="281" hidden="1" customWidth="1"/>
    <col min="27" max="27" width="5.28515625" style="274" customWidth="1"/>
    <col min="28" max="28" width="12.42578125" style="280" customWidth="1"/>
    <col min="29" max="29" width="11.5703125" style="280" customWidth="1"/>
    <col min="30" max="30" width="5.28515625" style="274" customWidth="1"/>
    <col min="31" max="31" width="9.42578125" style="280" customWidth="1"/>
    <col min="32" max="32" width="9.85546875" style="280" customWidth="1"/>
    <col min="33" max="33" width="7.140625" style="274" customWidth="1"/>
    <col min="34" max="34" width="10" style="280" customWidth="1"/>
    <col min="35" max="35" width="13.42578125" style="280" customWidth="1"/>
    <col min="36" max="36" width="11" style="274" customWidth="1"/>
    <col min="37" max="37" width="11.7109375" style="280" customWidth="1"/>
    <col min="38" max="38" width="13.7109375" style="114" customWidth="1"/>
    <col min="39" max="39" width="11.140625" customWidth="1"/>
    <col min="40" max="41" width="13.85546875" style="114" customWidth="1"/>
    <col min="42" max="42" width="10" customWidth="1"/>
    <col min="43" max="43" width="13.85546875" style="114" customWidth="1"/>
    <col min="44" max="45" width="11" style="114" customWidth="1"/>
    <col min="46" max="46" width="14" style="115" customWidth="1"/>
    <col min="47" max="47" width="14.42578125" style="115" customWidth="1"/>
    <col min="48" max="48" width="12.140625" customWidth="1"/>
    <col min="49" max="49" width="11.5703125" customWidth="1"/>
    <col min="50" max="50" width="13.42578125" style="4" customWidth="1"/>
    <col min="51" max="51" width="11.85546875" customWidth="1"/>
    <col min="52" max="52" width="15.42578125" customWidth="1"/>
    <col min="53" max="53" width="10.42578125" customWidth="1"/>
    <col min="54" max="55" width="10.140625" customWidth="1"/>
  </cols>
  <sheetData>
    <row r="1" spans="1:53">
      <c r="S1" s="280" t="s">
        <v>147</v>
      </c>
    </row>
    <row r="2" spans="1:53">
      <c r="S2" s="280" t="s">
        <v>148</v>
      </c>
    </row>
    <row r="3" spans="1:53">
      <c r="G3" s="279" t="s">
        <v>149</v>
      </c>
      <c r="K3" s="282"/>
      <c r="N3" s="283"/>
      <c r="S3" s="280" t="s">
        <v>150</v>
      </c>
    </row>
    <row r="4" spans="1:53" ht="45">
      <c r="A4" s="329" t="s">
        <v>0</v>
      </c>
      <c r="B4" s="330" t="s">
        <v>151</v>
      </c>
      <c r="C4" s="331" t="s">
        <v>152</v>
      </c>
      <c r="D4" s="275" t="s">
        <v>153</v>
      </c>
      <c r="E4" s="338" t="s">
        <v>25</v>
      </c>
      <c r="F4" s="340" t="s">
        <v>1108</v>
      </c>
      <c r="G4" s="284" t="s">
        <v>2050</v>
      </c>
      <c r="H4" s="1021" t="s">
        <v>2020</v>
      </c>
      <c r="I4" s="285" t="s">
        <v>154</v>
      </c>
      <c r="J4" s="286" t="s">
        <v>155</v>
      </c>
      <c r="K4" s="286" t="s">
        <v>156</v>
      </c>
      <c r="L4" s="286" t="s">
        <v>157</v>
      </c>
      <c r="M4" s="333" t="s">
        <v>158</v>
      </c>
      <c r="N4" s="335" t="s">
        <v>159</v>
      </c>
      <c r="O4" s="336" t="s">
        <v>160</v>
      </c>
      <c r="P4" s="333" t="s">
        <v>161</v>
      </c>
      <c r="Q4" s="333" t="s">
        <v>162</v>
      </c>
      <c r="R4" s="334" t="s">
        <v>163</v>
      </c>
      <c r="S4" s="333" t="s">
        <v>164</v>
      </c>
      <c r="T4" s="952" t="s">
        <v>165</v>
      </c>
      <c r="U4" s="334" t="s">
        <v>166</v>
      </c>
      <c r="V4" s="333" t="s">
        <v>167</v>
      </c>
      <c r="W4" s="337" t="s">
        <v>168</v>
      </c>
      <c r="X4" s="334" t="s">
        <v>169</v>
      </c>
      <c r="Y4" s="333" t="s">
        <v>170</v>
      </c>
      <c r="Z4" s="335" t="s">
        <v>171</v>
      </c>
      <c r="AA4" s="334" t="s">
        <v>172</v>
      </c>
      <c r="AB4" s="333" t="s">
        <v>173</v>
      </c>
      <c r="AC4" s="333" t="s">
        <v>174</v>
      </c>
      <c r="AD4" s="334" t="s">
        <v>175</v>
      </c>
      <c r="AE4" s="333" t="s">
        <v>176</v>
      </c>
      <c r="AF4" s="335" t="s">
        <v>177</v>
      </c>
      <c r="AG4" s="334" t="s">
        <v>178</v>
      </c>
      <c r="AH4" s="333" t="s">
        <v>179</v>
      </c>
      <c r="AI4" s="333" t="s">
        <v>180</v>
      </c>
      <c r="AJ4" s="334" t="s">
        <v>181</v>
      </c>
      <c r="AK4" s="333" t="s">
        <v>182</v>
      </c>
      <c r="AL4" s="333" t="s">
        <v>183</v>
      </c>
      <c r="AM4" s="334" t="s">
        <v>184</v>
      </c>
      <c r="AN4" s="333" t="s">
        <v>185</v>
      </c>
      <c r="AO4" s="333" t="s">
        <v>186</v>
      </c>
      <c r="AP4" s="334" t="s">
        <v>187</v>
      </c>
      <c r="AQ4" s="333" t="s">
        <v>188</v>
      </c>
      <c r="AR4" s="333" t="s">
        <v>189</v>
      </c>
      <c r="AS4" s="333" t="s">
        <v>871</v>
      </c>
      <c r="AT4" s="333" t="s">
        <v>190</v>
      </c>
      <c r="AU4" s="333" t="s">
        <v>191</v>
      </c>
      <c r="AV4" s="334" t="s">
        <v>192</v>
      </c>
      <c r="AW4" s="334" t="s">
        <v>193</v>
      </c>
      <c r="AX4" s="332" t="s">
        <v>326</v>
      </c>
      <c r="AY4" s="334" t="s">
        <v>327</v>
      </c>
      <c r="AZ4" s="334" t="s">
        <v>27</v>
      </c>
    </row>
    <row r="5" spans="1:53" ht="15" customHeight="1">
      <c r="A5" s="287">
        <v>1</v>
      </c>
      <c r="B5" s="276" t="str">
        <f>VLOOKUP(Table1[[#This Row],[šifra]],Table6[],2,0)</f>
        <v>38 grad</v>
      </c>
      <c r="C5" s="276" t="str">
        <f>VLOOKUP(Table1[[#This Row],[šifra]],Table6[],4,0)</f>
        <v>NITKO</v>
      </c>
      <c r="D5" s="276" t="str">
        <f>VLOOKUP(A5,Table6[],21,0)</f>
        <v>najam ureda 350/mj+pdv</v>
      </c>
      <c r="E5" s="314" t="str">
        <f>IF(poduzeća!AE2="","",poduzeća!AE2)</f>
        <v/>
      </c>
      <c r="F5" s="313" t="str">
        <f>IF(poduzeća!AF2="","",poduzeća!AF2)</f>
        <v/>
      </c>
      <c r="G5" s="288"/>
      <c r="H5" s="288"/>
      <c r="I5" s="289"/>
      <c r="J5" s="290"/>
      <c r="K5" s="290"/>
      <c r="L5" s="289"/>
      <c r="M5" s="290"/>
      <c r="N5" s="290"/>
      <c r="O5" s="289"/>
      <c r="P5" s="290"/>
      <c r="Q5" s="290"/>
      <c r="R5" s="289"/>
      <c r="S5" s="290"/>
      <c r="T5" s="674"/>
      <c r="U5" s="289"/>
      <c r="V5" s="290"/>
      <c r="W5" s="290"/>
      <c r="X5" s="289"/>
      <c r="Y5" s="290"/>
      <c r="Z5" s="290"/>
      <c r="AA5" s="289"/>
      <c r="AB5" s="290"/>
      <c r="AC5" s="290"/>
      <c r="AD5" s="289"/>
      <c r="AE5" s="290"/>
      <c r="AF5" s="290"/>
      <c r="AG5" s="289"/>
      <c r="AH5" s="290"/>
      <c r="AI5" s="290"/>
      <c r="AJ5" s="289"/>
      <c r="AK5" s="290"/>
      <c r="AL5" s="290"/>
      <c r="AM5" s="289"/>
      <c r="AN5" s="290"/>
      <c r="AO5" s="290"/>
      <c r="AP5" s="289"/>
      <c r="AQ5" s="290"/>
      <c r="AR5" s="290"/>
      <c r="AS5" s="290"/>
      <c r="AT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5" s="288"/>
      <c r="AW5" s="288"/>
      <c r="AX5" s="327"/>
      <c r="AY5" s="328"/>
      <c r="AZ5" s="288">
        <f>VLOOKUP(A5,Table6[],30,0)</f>
        <v>0</v>
      </c>
      <c r="BA5" s="113"/>
    </row>
    <row r="6" spans="1:53" ht="27.75" customHeight="1">
      <c r="A6" s="287">
        <v>2</v>
      </c>
      <c r="B6" s="276" t="str">
        <f>VLOOKUP(Table1[[#This Row],[šifra]],Table6[],2,0)</f>
        <v>5SEDMINA j.d.o.o.</v>
      </c>
      <c r="C6" s="276" t="str">
        <f>VLOOKUP(Table1[[#This Row],[šifra]],Table6[],4,0)</f>
        <v>SANDRA</v>
      </c>
      <c r="D6" s="276" t="str">
        <f>VLOOKUP(A6,Table6[],21,0)</f>
        <v>150(+10%)+pdv - BEZ LICENCE ZA MINIMAX</v>
      </c>
      <c r="E6" s="314" t="str">
        <f>IF(poduzeća!AE3="","",poduzeća!AE3)</f>
        <v/>
      </c>
      <c r="F6" s="313" t="str">
        <f>IF(poduzeća!AF3="","",poduzeća!AF3)</f>
        <v/>
      </c>
      <c r="G6" s="1007"/>
      <c r="H6" s="293">
        <v>110</v>
      </c>
      <c r="I6" s="289" t="s">
        <v>897</v>
      </c>
      <c r="J6" s="291">
        <v>165</v>
      </c>
      <c r="K6" s="732">
        <v>165</v>
      </c>
      <c r="L6" s="289" t="s">
        <v>897</v>
      </c>
      <c r="M6" s="291">
        <v>165</v>
      </c>
      <c r="N6" s="732">
        <v>165</v>
      </c>
      <c r="O6" s="289" t="s">
        <v>897</v>
      </c>
      <c r="P6" s="868">
        <v>165</v>
      </c>
      <c r="Q6" s="291">
        <v>126.5</v>
      </c>
      <c r="R6" s="289" t="s">
        <v>897</v>
      </c>
      <c r="S6" s="291">
        <v>165</v>
      </c>
      <c r="T6" s="953">
        <v>330</v>
      </c>
      <c r="U6" s="289" t="s">
        <v>897</v>
      </c>
      <c r="V6" s="868">
        <v>165</v>
      </c>
      <c r="W6" s="732">
        <v>165</v>
      </c>
      <c r="X6" s="289" t="s">
        <v>897</v>
      </c>
      <c r="Y6" s="291">
        <v>165</v>
      </c>
      <c r="Z6" s="732">
        <v>165</v>
      </c>
      <c r="AA6" s="289" t="s">
        <v>897</v>
      </c>
      <c r="AB6" s="291">
        <v>165</v>
      </c>
      <c r="AC6" s="291">
        <v>165</v>
      </c>
      <c r="AD6" s="289" t="s">
        <v>897</v>
      </c>
      <c r="AE6" s="291">
        <v>165</v>
      </c>
      <c r="AF6" s="291">
        <v>165</v>
      </c>
      <c r="AG6" s="289" t="s">
        <v>897</v>
      </c>
      <c r="AH6" s="291">
        <v>165</v>
      </c>
      <c r="AI6" s="291"/>
      <c r="AJ6" s="289" t="s">
        <v>897</v>
      </c>
      <c r="AK6" s="291">
        <v>165</v>
      </c>
      <c r="AL6" s="291"/>
      <c r="AM6" s="289" t="s">
        <v>897</v>
      </c>
      <c r="AN6" s="291">
        <v>165</v>
      </c>
      <c r="AO6" s="291"/>
      <c r="AP6" s="289" t="s">
        <v>897</v>
      </c>
      <c r="AQ6" s="291">
        <v>165</v>
      </c>
      <c r="AR6" s="294"/>
      <c r="AS6" s="294"/>
      <c r="AT6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1980</v>
      </c>
      <c r="AU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1446.5</v>
      </c>
      <c r="AV6" s="293"/>
      <c r="AW6" s="293"/>
      <c r="AX6" s="327"/>
      <c r="AY6" s="328"/>
      <c r="AZ6" s="288">
        <f>VLOOKUP(A6,Table6[],30,0)</f>
        <v>0</v>
      </c>
    </row>
    <row r="7" spans="1:53" ht="34.5" customHeight="1">
      <c r="A7" s="292">
        <v>3</v>
      </c>
      <c r="B7" s="277" t="str">
        <f>VLOOKUP(Table1[[#This Row],[šifra]],Table6[],2,0)</f>
        <v>A.RES Secundus d.o.o.</v>
      </c>
      <c r="C7" s="277" t="str">
        <f>VLOOKUP(Table1[[#This Row],[šifra]],Table6[],4,0)</f>
        <v>LAURA</v>
      </c>
      <c r="D7" s="276" t="str">
        <f>VLOOKUP(A7,Table6[],21,0)</f>
        <v>120€+25 minimax+pdv   (120(+10%)+PDV+ 25 A MINIMAX n bi dizala malo posla)</v>
      </c>
      <c r="E7" s="314" t="str">
        <f>IF(poduzeća!AE4="","",poduzeća!AE4)</f>
        <v/>
      </c>
      <c r="F7" s="313" t="str">
        <f>IF(poduzeća!AF4="","",poduzeća!AF4)</f>
        <v/>
      </c>
      <c r="G7" s="1008"/>
      <c r="H7" s="1008"/>
      <c r="I7" s="728" t="s">
        <v>892</v>
      </c>
      <c r="J7" s="726">
        <v>120</v>
      </c>
      <c r="K7" s="726">
        <v>120</v>
      </c>
      <c r="L7" s="728" t="s">
        <v>892</v>
      </c>
      <c r="M7" s="726">
        <v>120</v>
      </c>
      <c r="N7" s="726">
        <v>120</v>
      </c>
      <c r="O7" s="728" t="s">
        <v>892</v>
      </c>
      <c r="P7" s="726">
        <v>120</v>
      </c>
      <c r="Q7" s="968">
        <v>120</v>
      </c>
      <c r="R7" s="728" t="s">
        <v>892</v>
      </c>
      <c r="S7" s="726">
        <v>120</v>
      </c>
      <c r="T7" s="954">
        <v>220</v>
      </c>
      <c r="U7" s="728" t="s">
        <v>892</v>
      </c>
      <c r="V7" s="1005">
        <v>120</v>
      </c>
      <c r="W7" s="732">
        <v>120</v>
      </c>
      <c r="X7" s="728" t="s">
        <v>892</v>
      </c>
      <c r="Y7" s="726">
        <v>120</v>
      </c>
      <c r="Z7" s="732">
        <v>120</v>
      </c>
      <c r="AA7" s="728" t="s">
        <v>892</v>
      </c>
      <c r="AB7" s="726">
        <v>120</v>
      </c>
      <c r="AC7" s="726">
        <v>120</v>
      </c>
      <c r="AD7" s="728" t="s">
        <v>892</v>
      </c>
      <c r="AE7" s="726">
        <v>120</v>
      </c>
      <c r="AF7" s="726"/>
      <c r="AG7" s="728" t="s">
        <v>892</v>
      </c>
      <c r="AH7" s="726">
        <v>120</v>
      </c>
      <c r="AI7" s="726"/>
      <c r="AJ7" s="728" t="s">
        <v>892</v>
      </c>
      <c r="AK7" s="726">
        <v>120</v>
      </c>
      <c r="AL7" s="726"/>
      <c r="AM7" s="728" t="s">
        <v>892</v>
      </c>
      <c r="AN7" s="726">
        <v>120</v>
      </c>
      <c r="AO7" s="726"/>
      <c r="AP7" s="728" t="s">
        <v>892</v>
      </c>
      <c r="AQ7" s="726">
        <v>120</v>
      </c>
      <c r="AR7" s="297"/>
      <c r="AS7" s="297"/>
      <c r="AT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1440</v>
      </c>
      <c r="AU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940</v>
      </c>
      <c r="AV7" s="295"/>
      <c r="AW7" s="295"/>
      <c r="AX7" s="327"/>
      <c r="AY7" s="328"/>
      <c r="AZ7" s="288">
        <f>VLOOKUP(A7,Table6[],30,0)</f>
        <v>0</v>
      </c>
    </row>
    <row r="8" spans="1:53" s="75" customFormat="1" ht="30" customHeight="1">
      <c r="A8" s="292">
        <v>4</v>
      </c>
      <c r="B8" s="277" t="str">
        <f>VLOOKUP(Table1[[#This Row],[šifra]],Table6[],2,0)</f>
        <v>ACTIVE SUMMER j.d.o.o.</v>
      </c>
      <c r="C8" s="277" t="str">
        <f>VLOOKUP(Table1[[#This Row],[šifra]],Table6[],4,0)</f>
        <v>GABRIJELA</v>
      </c>
      <c r="D8" s="276" t="str">
        <f>VLOOKUP(A8,Table6[],21,0)</f>
        <v>92€ +pdv /mj    (92(+10%) eur / mj)</v>
      </c>
      <c r="E8" s="314" t="str">
        <f>IF(poduzeća!AE5="","",poduzeća!AE5)</f>
        <v>20.8.2020</v>
      </c>
      <c r="F8" s="313">
        <f>IF(poduzeća!AF5="","",poduzeća!AF5)</f>
        <v>500</v>
      </c>
      <c r="G8" s="1053">
        <v>115</v>
      </c>
      <c r="H8" s="1008"/>
      <c r="I8" s="728" t="s">
        <v>892</v>
      </c>
      <c r="J8" s="731">
        <f>92</f>
        <v>92</v>
      </c>
      <c r="K8" s="726">
        <v>92</v>
      </c>
      <c r="L8" s="728" t="s">
        <v>892</v>
      </c>
      <c r="M8" s="731">
        <f>92</f>
        <v>92</v>
      </c>
      <c r="N8" s="726">
        <v>92</v>
      </c>
      <c r="O8" s="728" t="s">
        <v>892</v>
      </c>
      <c r="P8" s="731">
        <f>92</f>
        <v>92</v>
      </c>
      <c r="Q8" s="968">
        <v>92</v>
      </c>
      <c r="R8" s="728" t="s">
        <v>892</v>
      </c>
      <c r="S8" s="731">
        <f>92</f>
        <v>92</v>
      </c>
      <c r="T8" s="954">
        <f>92+92</f>
        <v>184</v>
      </c>
      <c r="U8" s="728" t="s">
        <v>892</v>
      </c>
      <c r="V8" s="1005">
        <f>92</f>
        <v>92</v>
      </c>
      <c r="W8" s="732">
        <v>92</v>
      </c>
      <c r="X8" s="728" t="s">
        <v>892</v>
      </c>
      <c r="Y8" s="731">
        <f>92</f>
        <v>92</v>
      </c>
      <c r="Z8" s="732">
        <v>92</v>
      </c>
      <c r="AA8" s="728" t="s">
        <v>892</v>
      </c>
      <c r="AB8" s="731">
        <f>92</f>
        <v>92</v>
      </c>
      <c r="AC8" s="726">
        <v>92</v>
      </c>
      <c r="AD8" s="728" t="s">
        <v>892</v>
      </c>
      <c r="AE8" s="731">
        <f>92+500</f>
        <v>592</v>
      </c>
      <c r="AF8" s="726"/>
      <c r="AG8" s="728" t="s">
        <v>892</v>
      </c>
      <c r="AH8" s="731">
        <f>92</f>
        <v>92</v>
      </c>
      <c r="AI8" s="726"/>
      <c r="AJ8" s="728" t="s">
        <v>892</v>
      </c>
      <c r="AK8" s="731">
        <f>92</f>
        <v>92</v>
      </c>
      <c r="AL8" s="726"/>
      <c r="AM8" s="728" t="s">
        <v>892</v>
      </c>
      <c r="AN8" s="731">
        <f>92</f>
        <v>92</v>
      </c>
      <c r="AO8" s="726"/>
      <c r="AP8" s="728" t="s">
        <v>892</v>
      </c>
      <c r="AQ8" s="731">
        <f>92</f>
        <v>92</v>
      </c>
      <c r="AR8" s="297"/>
      <c r="AS8" s="297"/>
      <c r="AT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1604</v>
      </c>
      <c r="AU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736</v>
      </c>
      <c r="AV8" s="295"/>
      <c r="AW8" s="295"/>
      <c r="AX8" s="327"/>
      <c r="AY8" s="328"/>
      <c r="AZ8" s="288">
        <f>VLOOKUP(A8,Table6[],30,0)</f>
        <v>0</v>
      </c>
    </row>
    <row r="9" spans="1:53" ht="15" customHeight="1">
      <c r="A9" s="287">
        <v>5</v>
      </c>
      <c r="B9" s="276" t="str">
        <f>VLOOKUP(Table1[[#This Row],[šifra]],Table6[],2,0)</f>
        <v>ADRIA -FENCING j.d.o.o.</v>
      </c>
      <c r="C9" s="276" t="str">
        <f>VLOOKUP(Table1[[#This Row],[šifra]],Table6[],4,0)</f>
        <v>GABRIJELA</v>
      </c>
      <c r="D9" s="276" t="str">
        <f>VLOOKUP(A9,Table6[],21,0)</f>
        <v>100€+pdv /mj    (100(+10%) EUR / HÓ  . Novi ne treba dizati)</v>
      </c>
      <c r="E9" s="314">
        <f>IF(poduzeća!AE6="","",poduzeća!AE6)</f>
        <v>45931</v>
      </c>
      <c r="F9" s="313">
        <f>IF(poduzeća!AF6="","",poduzeća!AF6)</f>
        <v>600</v>
      </c>
      <c r="G9" s="1055">
        <v>531.25</v>
      </c>
      <c r="H9" s="293"/>
      <c r="I9" s="289" t="s">
        <v>892</v>
      </c>
      <c r="J9" s="291">
        <f>100</f>
        <v>100</v>
      </c>
      <c r="K9" s="291">
        <v>100</v>
      </c>
      <c r="L9" s="289" t="s">
        <v>892</v>
      </c>
      <c r="M9" s="291">
        <f>100</f>
        <v>100</v>
      </c>
      <c r="N9" s="291">
        <v>100</v>
      </c>
      <c r="O9" s="289" t="s">
        <v>892</v>
      </c>
      <c r="P9" s="291">
        <f>100</f>
        <v>100</v>
      </c>
      <c r="Q9" s="732">
        <v>400</v>
      </c>
      <c r="R9" s="289" t="s">
        <v>892</v>
      </c>
      <c r="S9" s="291">
        <f>100</f>
        <v>100</v>
      </c>
      <c r="T9" s="953">
        <v>225</v>
      </c>
      <c r="U9" s="289" t="s">
        <v>892</v>
      </c>
      <c r="V9" s="868">
        <f>100</f>
        <v>100</v>
      </c>
      <c r="W9" s="732">
        <v>100</v>
      </c>
      <c r="X9" s="289" t="s">
        <v>892</v>
      </c>
      <c r="Y9" s="291">
        <f>100</f>
        <v>100</v>
      </c>
      <c r="Z9" s="732">
        <v>100</v>
      </c>
      <c r="AA9" s="289" t="s">
        <v>892</v>
      </c>
      <c r="AB9" s="291">
        <f>100</f>
        <v>100</v>
      </c>
      <c r="AC9" s="291">
        <v>100</v>
      </c>
      <c r="AD9" s="289" t="s">
        <v>892</v>
      </c>
      <c r="AE9" s="291">
        <f>100</f>
        <v>100</v>
      </c>
      <c r="AF9" s="291"/>
      <c r="AG9" s="289" t="s">
        <v>892</v>
      </c>
      <c r="AH9" s="291">
        <f>100</f>
        <v>100</v>
      </c>
      <c r="AI9" s="291"/>
      <c r="AJ9" s="289" t="s">
        <v>892</v>
      </c>
      <c r="AK9" s="291">
        <f>100+600</f>
        <v>700</v>
      </c>
      <c r="AL9" s="291"/>
      <c r="AM9" s="289" t="s">
        <v>892</v>
      </c>
      <c r="AN9" s="291">
        <f>100</f>
        <v>100</v>
      </c>
      <c r="AO9" s="291"/>
      <c r="AP9" s="289" t="s">
        <v>892</v>
      </c>
      <c r="AQ9" s="291">
        <f>100</f>
        <v>100</v>
      </c>
      <c r="AR9" s="294"/>
      <c r="AS9" s="294"/>
      <c r="AT9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1800</v>
      </c>
      <c r="AU9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1125</v>
      </c>
      <c r="AV9" s="293"/>
      <c r="AW9" s="293"/>
      <c r="AX9" s="327"/>
      <c r="AY9" s="328"/>
      <c r="AZ9" s="288">
        <f>VLOOKUP(A9,Table6[],30,0)</f>
        <v>0</v>
      </c>
    </row>
    <row r="10" spans="1:53" ht="16.5" customHeight="1">
      <c r="A10" s="287">
        <v>6</v>
      </c>
      <c r="B10" s="276" t="str">
        <f>VLOOKUP(Table1[[#This Row],[šifra]],Table6[],2,0)</f>
        <v>Agro Adria International d.o.o.</v>
      </c>
      <c r="C10" s="276" t="str">
        <f>VLOOKUP(Table1[[#This Row],[šifra]],Table6[],4,0)</f>
        <v>NIKOLINA</v>
      </c>
      <c r="D10" s="276" t="str">
        <f>VLOOKUP(A10,Table6[],21,0)</f>
        <v>300(+10%)+PDV  mj</v>
      </c>
      <c r="E10" s="314" t="str">
        <f>IF(poduzeća!AE7="","",poduzeća!AE7)</f>
        <v/>
      </c>
      <c r="F10" s="313" t="str">
        <f>IF(poduzeća!AF7="","",poduzeća!AF7)</f>
        <v/>
      </c>
      <c r="G10" s="293"/>
      <c r="H10" s="293"/>
      <c r="I10" s="289" t="s">
        <v>901</v>
      </c>
      <c r="J10" s="294">
        <v>350</v>
      </c>
      <c r="K10" s="675">
        <v>350</v>
      </c>
      <c r="L10" s="289" t="s">
        <v>901</v>
      </c>
      <c r="M10" s="294">
        <v>330</v>
      </c>
      <c r="N10" s="675">
        <v>330</v>
      </c>
      <c r="O10" s="289" t="s">
        <v>901</v>
      </c>
      <c r="P10" s="294">
        <v>330</v>
      </c>
      <c r="Q10" s="294">
        <v>330</v>
      </c>
      <c r="R10" s="289" t="s">
        <v>901</v>
      </c>
      <c r="S10" s="294">
        <v>330</v>
      </c>
      <c r="T10" s="955">
        <v>660</v>
      </c>
      <c r="U10" s="289" t="s">
        <v>901</v>
      </c>
      <c r="V10" s="294">
        <v>330</v>
      </c>
      <c r="W10" s="675">
        <v>410</v>
      </c>
      <c r="X10" s="289" t="s">
        <v>901</v>
      </c>
      <c r="Y10" s="294">
        <v>330</v>
      </c>
      <c r="Z10" s="675">
        <v>330</v>
      </c>
      <c r="AA10" s="289" t="s">
        <v>901</v>
      </c>
      <c r="AB10" s="294">
        <v>330</v>
      </c>
      <c r="AC10" s="294">
        <v>330</v>
      </c>
      <c r="AD10" s="289" t="s">
        <v>901</v>
      </c>
      <c r="AE10" s="294">
        <v>330</v>
      </c>
      <c r="AF10" s="294"/>
      <c r="AG10" s="289" t="s">
        <v>901</v>
      </c>
      <c r="AH10" s="294">
        <v>330</v>
      </c>
      <c r="AI10" s="294"/>
      <c r="AJ10" s="289" t="s">
        <v>901</v>
      </c>
      <c r="AK10" s="294">
        <v>330</v>
      </c>
      <c r="AL10" s="294"/>
      <c r="AM10" s="289" t="s">
        <v>901</v>
      </c>
      <c r="AN10" s="294">
        <v>330</v>
      </c>
      <c r="AO10" s="294"/>
      <c r="AP10" s="289" t="s">
        <v>901</v>
      </c>
      <c r="AQ10" s="294">
        <v>330</v>
      </c>
      <c r="AR10" s="294"/>
      <c r="AS10" s="294"/>
      <c r="AT10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3980</v>
      </c>
      <c r="AU10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2740</v>
      </c>
      <c r="AV10" s="293"/>
      <c r="AW10" s="293"/>
      <c r="AX10" s="327"/>
      <c r="AY10" s="328"/>
      <c r="AZ10" s="288">
        <f>VLOOKUP(A10,Table6[],30,0)</f>
        <v>0</v>
      </c>
    </row>
    <row r="11" spans="1:53">
      <c r="A11" s="292">
        <v>7</v>
      </c>
      <c r="B11" s="277" t="str">
        <f>VLOOKUP(Table1[[#This Row],[šifra]],Table6[],2,0)</f>
        <v>AGRO PMD d.o.o.</v>
      </c>
      <c r="C11" s="277" t="str">
        <f>VLOOKUP(Table1[[#This Row],[šifra]],Table6[],4,0)</f>
        <v>F. ANA P.</v>
      </c>
      <c r="D11" s="276" t="str">
        <f>VLOOKUP(A11,Table6[],21,0)</f>
        <v>500(+10%) eur /mj</v>
      </c>
      <c r="E11" s="314" t="str">
        <f>IF(poduzeća!AE8="","",poduzeća!AE8)</f>
        <v/>
      </c>
      <c r="F11" s="313" t="str">
        <f>IF(poduzeća!AF8="","",poduzeća!AF8)</f>
        <v/>
      </c>
      <c r="G11" s="1009"/>
      <c r="H11" s="1009"/>
      <c r="I11" s="296" t="s">
        <v>899</v>
      </c>
      <c r="J11" s="297">
        <v>0</v>
      </c>
      <c r="K11" s="297"/>
      <c r="L11" s="296" t="s">
        <v>899</v>
      </c>
      <c r="M11" s="297">
        <v>0</v>
      </c>
      <c r="N11" s="297"/>
      <c r="O11" s="296" t="s">
        <v>899</v>
      </c>
      <c r="P11" s="297">
        <v>0</v>
      </c>
      <c r="Q11" s="297"/>
      <c r="R11" s="296" t="s">
        <v>899</v>
      </c>
      <c r="S11" s="297">
        <v>0</v>
      </c>
      <c r="T11" s="676"/>
      <c r="U11" s="296" t="s">
        <v>899</v>
      </c>
      <c r="V11" s="297">
        <v>0</v>
      </c>
      <c r="W11" s="294"/>
      <c r="X11" s="296" t="s">
        <v>899</v>
      </c>
      <c r="Y11" s="297">
        <v>0</v>
      </c>
      <c r="Z11" s="294"/>
      <c r="AA11" s="296" t="s">
        <v>899</v>
      </c>
      <c r="AB11" s="297">
        <v>0</v>
      </c>
      <c r="AC11" s="297">
        <v>0</v>
      </c>
      <c r="AD11" s="296" t="s">
        <v>899</v>
      </c>
      <c r="AE11" s="297">
        <v>0</v>
      </c>
      <c r="AF11" s="297"/>
      <c r="AG11" s="296" t="s">
        <v>899</v>
      </c>
      <c r="AH11" s="297">
        <v>0</v>
      </c>
      <c r="AI11" s="298"/>
      <c r="AJ11" s="296" t="s">
        <v>899</v>
      </c>
      <c r="AK11" s="297">
        <v>0</v>
      </c>
      <c r="AL11" s="297"/>
      <c r="AM11" s="296" t="s">
        <v>899</v>
      </c>
      <c r="AN11" s="297">
        <v>0</v>
      </c>
      <c r="AO11" s="297"/>
      <c r="AP11" s="296" t="s">
        <v>899</v>
      </c>
      <c r="AQ11" s="297">
        <v>0</v>
      </c>
      <c r="AR11" s="297"/>
      <c r="AS11" s="297"/>
      <c r="AT1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1" s="295"/>
      <c r="AW11" s="295"/>
      <c r="AX11" s="327"/>
      <c r="AY11" s="328"/>
      <c r="AZ11" s="288">
        <f>VLOOKUP(A11,Table6[],30,0)</f>
        <v>0</v>
      </c>
    </row>
    <row r="12" spans="1:53" ht="15" customHeight="1">
      <c r="A12" s="287">
        <v>8</v>
      </c>
      <c r="B12" s="276" t="str">
        <f>VLOOKUP(Table1[[#This Row],[šifra]],Table6[],2,0)</f>
        <v>AGRONOMIST d.o.o.</v>
      </c>
      <c r="C12" s="276" t="str">
        <f>VLOOKUP(Table1[[#This Row],[šifra]],Table6[],4,0)</f>
        <v>NITKO</v>
      </c>
      <c r="D12" s="276" t="str">
        <f>VLOOKUP(A12,Table6[],21,0)</f>
        <v xml:space="preserve">30(+10%)/eur + MINIMAX mj - </v>
      </c>
      <c r="E12" s="314" t="str">
        <f>IF(poduzeća!AE9="","",poduzeća!AE9)</f>
        <v/>
      </c>
      <c r="F12" s="313" t="str">
        <f>IF(poduzeća!AF9="","",poduzeća!AF9)</f>
        <v/>
      </c>
      <c r="G12" s="288"/>
      <c r="H12" s="288"/>
      <c r="I12" s="305" t="s">
        <v>1105</v>
      </c>
      <c r="J12" s="290">
        <v>43</v>
      </c>
      <c r="K12" s="674">
        <v>43</v>
      </c>
      <c r="L12" s="301"/>
      <c r="M12" s="290"/>
      <c r="N12" s="290"/>
      <c r="O12" s="301"/>
      <c r="P12" s="290"/>
      <c r="Q12" s="290"/>
      <c r="R12" s="301"/>
      <c r="S12" s="290"/>
      <c r="T12" s="674"/>
      <c r="U12" s="301"/>
      <c r="V12" s="290"/>
      <c r="W12" s="290"/>
      <c r="X12" s="301"/>
      <c r="Y12" s="290"/>
      <c r="Z12" s="290"/>
      <c r="AA12" s="301"/>
      <c r="AB12" s="290"/>
      <c r="AC12" s="290"/>
      <c r="AD12" s="301"/>
      <c r="AE12" s="290"/>
      <c r="AF12" s="290"/>
      <c r="AG12" s="301"/>
      <c r="AH12" s="290"/>
      <c r="AI12" s="290"/>
      <c r="AJ12" s="301"/>
      <c r="AK12" s="290"/>
      <c r="AL12" s="290"/>
      <c r="AM12" s="301"/>
      <c r="AN12" s="290"/>
      <c r="AO12" s="290"/>
      <c r="AP12" s="301"/>
      <c r="AQ12" s="290"/>
      <c r="AR12" s="290"/>
      <c r="AS12" s="290"/>
      <c r="AT12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43</v>
      </c>
      <c r="AU12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43</v>
      </c>
      <c r="AV12" s="288"/>
      <c r="AW12" s="288"/>
      <c r="AX12" s="327"/>
      <c r="AY12" s="328"/>
      <c r="AZ12" s="288">
        <f>VLOOKUP(A12,Table6[],30,0)</f>
        <v>0</v>
      </c>
    </row>
    <row r="13" spans="1:53" ht="19.5" customHeight="1">
      <c r="A13" s="292">
        <v>9</v>
      </c>
      <c r="B13" s="277" t="str">
        <f>VLOOKUP(Table1[[#This Row],[šifra]],Table6[],2,0)</f>
        <v>Alpha adria charter d.o.o.</v>
      </c>
      <c r="C13" s="277" t="str">
        <f>VLOOKUP(Table1[[#This Row],[šifra]],Table6[],4,0)</f>
        <v>NIKOLINA</v>
      </c>
      <c r="D13" s="276" t="str">
        <f>VLOOKUP(A13,Table6[],21,0)</f>
        <v>50(+10%) +pdv /mj - plaća sva 3 mjeseca</v>
      </c>
      <c r="E13" s="314" t="str">
        <f>IF(poduzeća!AE10="","",poduzeća!AE10)</f>
        <v/>
      </c>
      <c r="F13" s="313" t="str">
        <f>IF(poduzeća!AF10="","",poduzeća!AF10)</f>
        <v/>
      </c>
      <c r="G13" s="1010"/>
      <c r="H13" s="1010"/>
      <c r="I13" s="299" t="s">
        <v>901</v>
      </c>
      <c r="J13" s="297">
        <f>50*1.1</f>
        <v>55.000000000000007</v>
      </c>
      <c r="K13" s="676">
        <v>55</v>
      </c>
      <c r="L13" s="299" t="s">
        <v>901</v>
      </c>
      <c r="M13" s="297">
        <f>50*1.1</f>
        <v>55.000000000000007</v>
      </c>
      <c r="N13" s="676">
        <v>55</v>
      </c>
      <c r="O13" s="299" t="s">
        <v>901</v>
      </c>
      <c r="P13" s="297">
        <f>50*1.1</f>
        <v>55.000000000000007</v>
      </c>
      <c r="Q13" s="297">
        <v>55</v>
      </c>
      <c r="R13" s="299" t="s">
        <v>901</v>
      </c>
      <c r="S13" s="297">
        <f>50*1.1</f>
        <v>55.000000000000007</v>
      </c>
      <c r="T13" s="956">
        <v>110</v>
      </c>
      <c r="U13" s="299" t="s">
        <v>901</v>
      </c>
      <c r="V13" s="297">
        <f>50*1.1</f>
        <v>55.000000000000007</v>
      </c>
      <c r="W13" s="675">
        <v>55</v>
      </c>
      <c r="X13" s="299" t="s">
        <v>901</v>
      </c>
      <c r="Y13" s="297">
        <f>50*1.1</f>
        <v>55.000000000000007</v>
      </c>
      <c r="Z13" s="675">
        <v>55</v>
      </c>
      <c r="AA13" s="299" t="s">
        <v>901</v>
      </c>
      <c r="AB13" s="297">
        <f>50*1.1</f>
        <v>55.000000000000007</v>
      </c>
      <c r="AC13" s="297">
        <v>55</v>
      </c>
      <c r="AD13" s="299" t="s">
        <v>901</v>
      </c>
      <c r="AE13" s="297">
        <f>50*1.1</f>
        <v>55.000000000000007</v>
      </c>
      <c r="AF13" s="297"/>
      <c r="AG13" s="299" t="s">
        <v>901</v>
      </c>
      <c r="AH13" s="297">
        <f>50*1.1</f>
        <v>55.000000000000007</v>
      </c>
      <c r="AI13" s="297"/>
      <c r="AJ13" s="299" t="s">
        <v>901</v>
      </c>
      <c r="AK13" s="297">
        <f>50*1.1</f>
        <v>55.000000000000007</v>
      </c>
      <c r="AL13" s="297"/>
      <c r="AM13" s="299" t="s">
        <v>901</v>
      </c>
      <c r="AN13" s="297">
        <f>50*1.1</f>
        <v>55.000000000000007</v>
      </c>
      <c r="AO13" s="297"/>
      <c r="AP13" s="299" t="s">
        <v>901</v>
      </c>
      <c r="AQ13" s="297">
        <f>50*1.1</f>
        <v>55.000000000000007</v>
      </c>
      <c r="AR13" s="297"/>
      <c r="AS13" s="297"/>
      <c r="AT1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660.00000000000011</v>
      </c>
      <c r="AU1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440</v>
      </c>
      <c r="AV13" s="295"/>
      <c r="AW13" s="295"/>
      <c r="AX13" s="327"/>
      <c r="AY13" s="328"/>
      <c r="AZ13" s="288">
        <f>VLOOKUP(A13,Table6[],30,0)</f>
        <v>0</v>
      </c>
    </row>
    <row r="14" spans="1:53" ht="15.75" customHeight="1">
      <c r="A14" s="292">
        <v>10</v>
      </c>
      <c r="B14" s="277" t="str">
        <f>VLOOKUP(Table1[[#This Row],[šifra]],Table6[],2,0)</f>
        <v>ANDREA SZETEY</v>
      </c>
      <c r="C14" s="277" t="str">
        <f>VLOOKUP(Table1[[#This Row],[šifra]],Table6[],4,0)</f>
        <v>GABRIJELA</v>
      </c>
      <c r="D14" s="276" t="str">
        <f>VLOOKUP(A14,Table6[],21,0)</f>
        <v>50(+10%)+PDV</v>
      </c>
      <c r="E14" s="314" t="str">
        <f>IF(poduzeća!AE11="","",poduzeća!AE11)</f>
        <v/>
      </c>
      <c r="F14" s="313" t="str">
        <f>IF(poduzeća!AF11="","",poduzeća!AF11)</f>
        <v/>
      </c>
      <c r="G14" s="295"/>
      <c r="H14" s="295"/>
      <c r="I14" s="300" t="s">
        <v>892</v>
      </c>
      <c r="J14" s="297">
        <f>50*1.1</f>
        <v>55.000000000000007</v>
      </c>
      <c r="K14" s="297">
        <v>55</v>
      </c>
      <c r="L14" s="610" t="s">
        <v>892</v>
      </c>
      <c r="M14" s="297">
        <f>50*1.1</f>
        <v>55.000000000000007</v>
      </c>
      <c r="N14" s="297">
        <v>55</v>
      </c>
      <c r="O14" s="610" t="s">
        <v>892</v>
      </c>
      <c r="P14" s="297">
        <f>50*1.1</f>
        <v>55.000000000000007</v>
      </c>
      <c r="Q14" s="676">
        <v>55</v>
      </c>
      <c r="R14" s="610" t="s">
        <v>892</v>
      </c>
      <c r="S14" s="297">
        <f>50*1.1</f>
        <v>55.000000000000007</v>
      </c>
      <c r="T14" s="956">
        <v>55</v>
      </c>
      <c r="U14" s="610" t="s">
        <v>892</v>
      </c>
      <c r="V14" s="869">
        <f>50*1.1</f>
        <v>55.000000000000007</v>
      </c>
      <c r="W14" s="675">
        <v>55</v>
      </c>
      <c r="X14" s="610" t="s">
        <v>892</v>
      </c>
      <c r="Y14" s="297">
        <f>50*1.1</f>
        <v>55.000000000000007</v>
      </c>
      <c r="Z14" s="1054">
        <v>55</v>
      </c>
      <c r="AA14" s="610" t="s">
        <v>892</v>
      </c>
      <c r="AB14" s="297">
        <f>50*1.1</f>
        <v>55.000000000000007</v>
      </c>
      <c r="AC14" s="297">
        <v>55</v>
      </c>
      <c r="AD14" s="610" t="s">
        <v>892</v>
      </c>
      <c r="AE14" s="297">
        <f>50*1.1</f>
        <v>55.000000000000007</v>
      </c>
      <c r="AF14" s="297"/>
      <c r="AG14" s="610" t="s">
        <v>892</v>
      </c>
      <c r="AH14" s="297">
        <f>50*1.1</f>
        <v>55.000000000000007</v>
      </c>
      <c r="AI14" s="297"/>
      <c r="AJ14" s="610" t="s">
        <v>892</v>
      </c>
      <c r="AK14" s="297">
        <f>50*1.1</f>
        <v>55.000000000000007</v>
      </c>
      <c r="AL14" s="297"/>
      <c r="AM14" s="610" t="s">
        <v>892</v>
      </c>
      <c r="AN14" s="297">
        <f>50*1.1</f>
        <v>55.000000000000007</v>
      </c>
      <c r="AO14" s="297"/>
      <c r="AP14" s="610" t="s">
        <v>892</v>
      </c>
      <c r="AQ14" s="297">
        <f>50*1.1</f>
        <v>55.000000000000007</v>
      </c>
      <c r="AR14" s="297"/>
      <c r="AS14" s="297"/>
      <c r="AT1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660.00000000000011</v>
      </c>
      <c r="AU1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385</v>
      </c>
      <c r="AV14" s="295"/>
      <c r="AW14" s="295"/>
      <c r="AX14" s="327"/>
      <c r="AY14" s="328"/>
      <c r="AZ14" s="288">
        <f>VLOOKUP(A14,Table6[],30,0)</f>
        <v>0</v>
      </c>
    </row>
    <row r="15" spans="1:53" ht="15" customHeight="1">
      <c r="A15" s="287">
        <v>11</v>
      </c>
      <c r="B15" s="276" t="str">
        <f>VLOOKUP(Table1[[#This Row],[šifra]],Table6[],2,0)</f>
        <v>ANDOR GYORGY FARKAS</v>
      </c>
      <c r="C15" s="276" t="str">
        <f>VLOOKUP(Table1[[#This Row],[šifra]],Table6[],4,0)</f>
        <v>GABRIJELA</v>
      </c>
      <c r="D15" s="276" t="str">
        <f>VLOOKUP(A15,Table6[],21,0)</f>
        <v xml:space="preserve">150€ kad je aktivan kad nije 100€ </v>
      </c>
      <c r="E15" s="314" t="str">
        <f>IF(poduzeća!AE12="","",poduzeća!AE12)</f>
        <v/>
      </c>
      <c r="F15" s="313" t="str">
        <f>IF(poduzeća!AF12="","",poduzeća!AF12)</f>
        <v/>
      </c>
      <c r="G15" s="1045">
        <v>125</v>
      </c>
      <c r="H15" s="293"/>
      <c r="I15" s="289" t="s">
        <v>892</v>
      </c>
      <c r="J15" s="294">
        <v>100</v>
      </c>
      <c r="K15" s="294">
        <v>100</v>
      </c>
      <c r="L15" s="289" t="s">
        <v>892</v>
      </c>
      <c r="M15" s="294">
        <v>100</v>
      </c>
      <c r="N15" s="294">
        <v>100</v>
      </c>
      <c r="O15" s="289" t="s">
        <v>892</v>
      </c>
      <c r="P15" s="294">
        <v>100</v>
      </c>
      <c r="Q15" s="675">
        <v>100</v>
      </c>
      <c r="R15" s="289" t="s">
        <v>892</v>
      </c>
      <c r="S15" s="294">
        <v>100</v>
      </c>
      <c r="T15" s="955">
        <v>100</v>
      </c>
      <c r="U15" s="289" t="s">
        <v>892</v>
      </c>
      <c r="V15" s="294">
        <v>100</v>
      </c>
      <c r="W15" s="675">
        <v>100</v>
      </c>
      <c r="X15" s="289" t="s">
        <v>892</v>
      </c>
      <c r="Y15" s="294">
        <v>100</v>
      </c>
      <c r="Z15" s="675">
        <v>100</v>
      </c>
      <c r="AA15" s="289" t="s">
        <v>892</v>
      </c>
      <c r="AB15" s="294">
        <v>100</v>
      </c>
      <c r="AC15" s="294">
        <v>100</v>
      </c>
      <c r="AD15" s="289" t="s">
        <v>892</v>
      </c>
      <c r="AE15" s="294">
        <v>100</v>
      </c>
      <c r="AF15" s="294"/>
      <c r="AG15" s="289" t="s">
        <v>892</v>
      </c>
      <c r="AH15" s="294">
        <v>100</v>
      </c>
      <c r="AI15" s="294"/>
      <c r="AJ15" s="289" t="s">
        <v>892</v>
      </c>
      <c r="AK15" s="294">
        <v>100</v>
      </c>
      <c r="AL15" s="294"/>
      <c r="AM15" s="289" t="s">
        <v>892</v>
      </c>
      <c r="AN15" s="294">
        <v>100</v>
      </c>
      <c r="AO15" s="294"/>
      <c r="AP15" s="289" t="s">
        <v>892</v>
      </c>
      <c r="AQ15" s="294">
        <v>100</v>
      </c>
      <c r="AR15" s="294"/>
      <c r="AS15" s="294"/>
      <c r="AT1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1200</v>
      </c>
      <c r="AU15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700</v>
      </c>
      <c r="AV15" s="293"/>
      <c r="AW15" s="293"/>
      <c r="AX15" s="327"/>
      <c r="AY15" s="328"/>
      <c r="AZ15" s="288">
        <f>VLOOKUP(A15,Table6[],30,0)</f>
        <v>0</v>
      </c>
    </row>
    <row r="16" spans="1:53" s="96" customFormat="1" ht="15" customHeight="1">
      <c r="A16" s="287">
        <v>12</v>
      </c>
      <c r="B16" s="276" t="str">
        <f>VLOOKUP(Table1[[#This Row],[šifra]],Table6[],2,0)</f>
        <v>ANEX - OBRT ANA PREVIŠIĆ - F</v>
      </c>
      <c r="C16" s="276" t="str">
        <f>VLOOKUP(Table1[[#This Row],[šifra]],Table6[],4,0)</f>
        <v>F. ANA P.</v>
      </c>
      <c r="D16" s="276" t="str">
        <f>VLOOKUP(A16,Table6[],21,0)</f>
        <v>FRANŠIZA</v>
      </c>
      <c r="E16" s="314" t="str">
        <f>IF(poduzeća!AE13="","",poduzeća!AE13)</f>
        <v/>
      </c>
      <c r="F16" s="313" t="str">
        <f>IF(poduzeća!AF13="","",poduzeća!AF13)</f>
        <v/>
      </c>
      <c r="G16" s="293"/>
      <c r="H16" s="293"/>
      <c r="I16" s="289" t="s">
        <v>897</v>
      </c>
      <c r="J16" s="294">
        <v>300</v>
      </c>
      <c r="K16" s="294">
        <v>313.91000000000003</v>
      </c>
      <c r="L16" s="289" t="s">
        <v>897</v>
      </c>
      <c r="M16" s="289">
        <v>200</v>
      </c>
      <c r="N16" s="294">
        <v>309</v>
      </c>
      <c r="O16" s="289" t="s">
        <v>897</v>
      </c>
      <c r="P16" s="675">
        <v>200</v>
      </c>
      <c r="Q16" s="294">
        <v>309.38</v>
      </c>
      <c r="R16" s="289" t="s">
        <v>897</v>
      </c>
      <c r="S16" s="294">
        <v>200</v>
      </c>
      <c r="T16" s="675">
        <v>268.94</v>
      </c>
      <c r="U16" s="289" t="s">
        <v>897</v>
      </c>
      <c r="V16" s="294">
        <v>200</v>
      </c>
      <c r="W16" s="294">
        <v>306</v>
      </c>
      <c r="X16" s="289" t="s">
        <v>897</v>
      </c>
      <c r="Y16" s="294">
        <v>200</v>
      </c>
      <c r="Z16" s="849"/>
      <c r="AA16" s="289" t="s">
        <v>897</v>
      </c>
      <c r="AB16" s="294">
        <v>200</v>
      </c>
      <c r="AC16" s="294">
        <v>176.36</v>
      </c>
      <c r="AD16" s="289" t="s">
        <v>897</v>
      </c>
      <c r="AE16" s="294">
        <v>200</v>
      </c>
      <c r="AF16" s="294"/>
      <c r="AG16" s="289" t="s">
        <v>897</v>
      </c>
      <c r="AH16" s="294">
        <v>200</v>
      </c>
      <c r="AI16" s="294"/>
      <c r="AJ16" s="289" t="s">
        <v>897</v>
      </c>
      <c r="AK16" s="294">
        <v>200</v>
      </c>
      <c r="AL16" s="294"/>
      <c r="AM16" s="289" t="s">
        <v>897</v>
      </c>
      <c r="AN16" s="294">
        <v>200</v>
      </c>
      <c r="AO16" s="294"/>
      <c r="AP16" s="289" t="s">
        <v>897</v>
      </c>
      <c r="AQ16" s="294">
        <v>200</v>
      </c>
      <c r="AR16" s="294"/>
      <c r="AS16" s="294"/>
      <c r="AT16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2500</v>
      </c>
      <c r="AU16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1683.5900000000001</v>
      </c>
      <c r="AV16" s="293"/>
      <c r="AW16" s="293"/>
      <c r="AX16" s="327"/>
      <c r="AY16" s="328"/>
      <c r="AZ16" s="288">
        <f>VLOOKUP(A16,Table6[],30,0)</f>
        <v>0</v>
      </c>
    </row>
    <row r="17" spans="1:52" ht="15" customHeight="1">
      <c r="A17" s="287">
        <v>13</v>
      </c>
      <c r="B17" s="276" t="str">
        <f>VLOOKUP(Table1[[#This Row],[šifra]],Table6[],2,0)</f>
        <v>SZELESZANNE VIRAG ANIKO</v>
      </c>
      <c r="C17" s="276" t="str">
        <f>VLOOKUP(Table1[[#This Row],[šifra]],Table6[],4,0)</f>
        <v>NITKO</v>
      </c>
      <c r="D17" s="276" t="str">
        <f>VLOOKUP(A17,Table6[],21,0)</f>
        <v xml:space="preserve">50(+10%)+pdv </v>
      </c>
      <c r="E17" s="314" t="str">
        <f>IF(poduzeća!AE14="","",poduzeća!AE14)</f>
        <v/>
      </c>
      <c r="F17" s="313" t="str">
        <f>IF(poduzeća!AF14="","",poduzeća!AF14)</f>
        <v/>
      </c>
      <c r="G17" s="293"/>
      <c r="H17" s="293"/>
      <c r="I17" s="289" t="s">
        <v>892</v>
      </c>
      <c r="J17" s="294">
        <f>50*1.1</f>
        <v>55.000000000000007</v>
      </c>
      <c r="K17" s="675">
        <v>55</v>
      </c>
      <c r="L17" s="796" t="s">
        <v>892</v>
      </c>
      <c r="M17" s="294">
        <f>50*1.1</f>
        <v>55.000000000000007</v>
      </c>
      <c r="N17" s="294"/>
      <c r="O17" s="697"/>
      <c r="P17" s="294"/>
      <c r="Q17" s="294"/>
      <c r="R17" s="697"/>
      <c r="S17" s="294"/>
      <c r="T17" s="675"/>
      <c r="U17" s="697"/>
      <c r="V17" s="294"/>
      <c r="W17" s="294"/>
      <c r="X17" s="697"/>
      <c r="Y17" s="294"/>
      <c r="Z17" s="294"/>
      <c r="AA17" s="697"/>
      <c r="AB17" s="294"/>
      <c r="AC17" s="294"/>
      <c r="AD17" s="697"/>
      <c r="AE17" s="294"/>
      <c r="AF17" s="294"/>
      <c r="AG17" s="697"/>
      <c r="AH17" s="294"/>
      <c r="AI17" s="294"/>
      <c r="AJ17" s="697"/>
      <c r="AK17" s="294"/>
      <c r="AL17" s="294"/>
      <c r="AM17" s="697"/>
      <c r="AN17" s="294"/>
      <c r="AO17" s="294"/>
      <c r="AP17" s="697"/>
      <c r="AQ17" s="294"/>
      <c r="AR17" s="294"/>
      <c r="AS17" s="294"/>
      <c r="AT17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110.00000000000001</v>
      </c>
      <c r="AU17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55</v>
      </c>
      <c r="AV17" s="293"/>
      <c r="AW17" s="293"/>
      <c r="AX17" s="327"/>
      <c r="AY17" s="328"/>
      <c r="AZ17" s="288">
        <f>VLOOKUP(A17,Table6[],30,0)</f>
        <v>0</v>
      </c>
    </row>
    <row r="18" spans="1:52" ht="15" customHeight="1">
      <c r="A18" s="292">
        <v>14</v>
      </c>
      <c r="B18" s="277" t="str">
        <f>VLOOKUP(Table1[[#This Row],[šifra]],Table6[],2,0)</f>
        <v>ANITA BERECZ-CZAP</v>
      </c>
      <c r="C18" s="277" t="str">
        <f>VLOOKUP(Table1[[#This Row],[šifra]],Table6[],4,0)</f>
        <v>NITKO</v>
      </c>
      <c r="D18" s="276" t="str">
        <f>VLOOKUP(A18,Table6[],21,0)</f>
        <v>Ishodovala je EX broj (50(+10 %)+10 minimax+pdv/mj)</v>
      </c>
      <c r="E18" s="314" t="str">
        <f>IF(poduzeća!AE15="","",poduzeća!AE15)</f>
        <v/>
      </c>
      <c r="F18" s="313" t="str">
        <f>IF(poduzeća!AF15="","",poduzeća!AF15)</f>
        <v/>
      </c>
      <c r="G18" s="1011">
        <v>325</v>
      </c>
      <c r="H18" s="1011">
        <v>27.5</v>
      </c>
      <c r="I18" s="736" t="s">
        <v>897</v>
      </c>
      <c r="J18" s="611">
        <f>50*1.1+10</f>
        <v>65</v>
      </c>
      <c r="K18" s="676">
        <v>65</v>
      </c>
      <c r="L18" s="736" t="s">
        <v>897</v>
      </c>
      <c r="M18" s="611">
        <f>50*1.1+10</f>
        <v>65</v>
      </c>
      <c r="N18" s="676">
        <v>65</v>
      </c>
      <c r="O18" s="736" t="s">
        <v>897</v>
      </c>
      <c r="P18" s="611">
        <f>50*1.1+10</f>
        <v>65</v>
      </c>
      <c r="Q18" s="297">
        <v>65</v>
      </c>
      <c r="R18" s="736" t="s">
        <v>897</v>
      </c>
      <c r="S18" s="611">
        <f>50*1.1+10</f>
        <v>65</v>
      </c>
      <c r="T18" s="956">
        <v>65</v>
      </c>
      <c r="U18" s="736" t="s">
        <v>897</v>
      </c>
      <c r="V18" s="869">
        <f>50*1.1+10</f>
        <v>65</v>
      </c>
      <c r="W18" s="676">
        <v>65</v>
      </c>
      <c r="X18" s="736" t="s">
        <v>897</v>
      </c>
      <c r="Y18" s="611">
        <f>50*1.1+10</f>
        <v>65</v>
      </c>
      <c r="Z18" s="675">
        <v>65</v>
      </c>
      <c r="AA18" s="736"/>
      <c r="AB18" s="611"/>
      <c r="AC18" s="297"/>
      <c r="AD18" s="736"/>
      <c r="AE18" s="611"/>
      <c r="AF18" s="297"/>
      <c r="AG18" s="736"/>
      <c r="AH18" s="611"/>
      <c r="AI18" s="297"/>
      <c r="AJ18" s="736"/>
      <c r="AK18" s="611"/>
      <c r="AL18" s="297"/>
      <c r="AM18" s="736"/>
      <c r="AN18" s="611"/>
      <c r="AO18" s="297"/>
      <c r="AP18" s="736"/>
      <c r="AQ18" s="611"/>
      <c r="AR18" s="297"/>
      <c r="AS18" s="297"/>
      <c r="AT1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390</v>
      </c>
      <c r="AU1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390</v>
      </c>
      <c r="AV18" s="295"/>
      <c r="AW18" s="295"/>
      <c r="AX18" s="327"/>
      <c r="AY18" s="328"/>
      <c r="AZ18" s="288">
        <f>VLOOKUP(A18,Table6[],30,0)</f>
        <v>0</v>
      </c>
    </row>
    <row r="19" spans="1:52" ht="15.75" customHeight="1">
      <c r="A19" s="292">
        <v>15</v>
      </c>
      <c r="B19" s="277" t="str">
        <f>VLOOKUP(Table1[[#This Row],[šifra]],Table6[],2,0)</f>
        <v>ANITA MOLNAR</v>
      </c>
      <c r="C19" s="277" t="str">
        <f>VLOOKUP(Table1[[#This Row],[šifra]],Table6[],4,0)</f>
        <v>MAJA</v>
      </c>
      <c r="D19" s="276" t="str">
        <f>VLOOKUP(A19,Table6[],21,0)</f>
        <v>40(+10%)+10 minimax+pdv /mj</v>
      </c>
      <c r="E19" s="314" t="str">
        <f>IF(poduzeća!AE16="","",poduzeća!AE16)</f>
        <v/>
      </c>
      <c r="F19" s="313" t="str">
        <f>IF(poduzeća!AF16="","",poduzeća!AF16)</f>
        <v/>
      </c>
      <c r="G19" s="295"/>
      <c r="H19" s="295">
        <v>22</v>
      </c>
      <c r="I19" s="301" t="s">
        <v>892</v>
      </c>
      <c r="J19" s="297">
        <f>40*1.1+10</f>
        <v>54</v>
      </c>
      <c r="K19" s="676">
        <v>54</v>
      </c>
      <c r="L19" s="697" t="s">
        <v>897</v>
      </c>
      <c r="M19" s="297">
        <f>40*1.1+10</f>
        <v>54</v>
      </c>
      <c r="N19" s="676">
        <v>54</v>
      </c>
      <c r="O19" s="697" t="s">
        <v>897</v>
      </c>
      <c r="P19" s="869">
        <f>40*1.1+10</f>
        <v>54</v>
      </c>
      <c r="Q19" s="297">
        <v>54</v>
      </c>
      <c r="R19" s="697" t="s">
        <v>897</v>
      </c>
      <c r="S19" s="297">
        <f>40*1.1+10</f>
        <v>54</v>
      </c>
      <c r="T19" s="956">
        <v>54</v>
      </c>
      <c r="U19" s="697" t="s">
        <v>897</v>
      </c>
      <c r="V19" s="869">
        <f>40*1.1+10</f>
        <v>54</v>
      </c>
      <c r="W19" s="677">
        <v>54</v>
      </c>
      <c r="X19" s="1036" t="s">
        <v>2036</v>
      </c>
      <c r="Y19" s="297">
        <f>40*1.1+10</f>
        <v>54</v>
      </c>
      <c r="Z19" s="675">
        <v>54</v>
      </c>
      <c r="AA19" s="1036" t="s">
        <v>2036</v>
      </c>
      <c r="AB19" s="297">
        <f>40*1.1+10</f>
        <v>54</v>
      </c>
      <c r="AC19" s="297">
        <v>54</v>
      </c>
      <c r="AD19" s="1036" t="s">
        <v>2036</v>
      </c>
      <c r="AE19" s="297">
        <f>40*1.1+10</f>
        <v>54</v>
      </c>
      <c r="AF19" s="297">
        <v>54</v>
      </c>
      <c r="AG19" s="697" t="s">
        <v>897</v>
      </c>
      <c r="AH19" s="297">
        <f>40*1.1+10</f>
        <v>54</v>
      </c>
      <c r="AI19" s="297"/>
      <c r="AJ19" s="697" t="s">
        <v>897</v>
      </c>
      <c r="AK19" s="297">
        <f>40*1.1+10</f>
        <v>54</v>
      </c>
      <c r="AL19" s="297"/>
      <c r="AM19" s="697" t="s">
        <v>897</v>
      </c>
      <c r="AN19" s="297">
        <f>40*1.1+10</f>
        <v>54</v>
      </c>
      <c r="AO19" s="297"/>
      <c r="AP19" s="697" t="s">
        <v>897</v>
      </c>
      <c r="AQ19" s="297">
        <f>40*1.1+10</f>
        <v>54</v>
      </c>
      <c r="AR19" s="297"/>
      <c r="AS19" s="297"/>
      <c r="AT1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648</v>
      </c>
      <c r="AU1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432</v>
      </c>
      <c r="AV19" s="295"/>
      <c r="AW19" s="295"/>
      <c r="AX19" s="327"/>
      <c r="AY19" s="328"/>
      <c r="AZ19" s="288">
        <f>VLOOKUP(A19,Table6[],30,0)</f>
        <v>0</v>
      </c>
    </row>
    <row r="20" spans="1:52" ht="15.75" customHeight="1">
      <c r="A20" s="292">
        <v>16</v>
      </c>
      <c r="B20" s="277" t="str">
        <f>VLOOKUP(Table1[[#This Row],[šifra]],Table6[],2,0)</f>
        <v>ARPAD VECSEY</v>
      </c>
      <c r="C20" s="277" t="str">
        <f>VLOOKUP(Table1[[#This Row],[šifra]],Table6[],4,0)</f>
        <v>MAJA</v>
      </c>
      <c r="D20" s="276" t="str">
        <f>VLOOKUP(A20,Table6[],21,0)</f>
        <v>45€+pdv    (40(+10%)+pdv /mj)</v>
      </c>
      <c r="E20" s="314" t="str">
        <f>IF(poduzeća!AE17="","",poduzeća!AE17)</f>
        <v/>
      </c>
      <c r="F20" s="313" t="str">
        <f>IF(poduzeća!AF17="","",poduzeća!AF17)</f>
        <v/>
      </c>
      <c r="G20" s="295"/>
      <c r="H20" s="295">
        <v>22.5</v>
      </c>
      <c r="I20" s="301" t="s">
        <v>892</v>
      </c>
      <c r="J20" s="303">
        <v>45</v>
      </c>
      <c r="K20" s="676">
        <v>45</v>
      </c>
      <c r="L20" s="697" t="s">
        <v>897</v>
      </c>
      <c r="M20" s="303">
        <v>45</v>
      </c>
      <c r="N20" s="676">
        <v>45</v>
      </c>
      <c r="O20" s="697" t="s">
        <v>897</v>
      </c>
      <c r="P20" s="866">
        <v>45</v>
      </c>
      <c r="Q20" s="297">
        <v>45</v>
      </c>
      <c r="R20" s="697" t="s">
        <v>897</v>
      </c>
      <c r="S20" s="303">
        <v>45</v>
      </c>
      <c r="T20" s="956">
        <v>45</v>
      </c>
      <c r="U20" s="697" t="s">
        <v>897</v>
      </c>
      <c r="V20" s="303">
        <v>45</v>
      </c>
      <c r="W20" s="677">
        <v>45</v>
      </c>
      <c r="X20" s="1036" t="s">
        <v>2036</v>
      </c>
      <c r="Y20" s="1043">
        <v>45</v>
      </c>
      <c r="Z20" s="675">
        <v>45</v>
      </c>
      <c r="AA20" s="1036" t="s">
        <v>2036</v>
      </c>
      <c r="AB20" s="303">
        <v>45</v>
      </c>
      <c r="AC20" s="297">
        <v>45</v>
      </c>
      <c r="AD20" s="1036" t="s">
        <v>2036</v>
      </c>
      <c r="AE20" s="303">
        <v>45</v>
      </c>
      <c r="AF20" s="297">
        <v>45</v>
      </c>
      <c r="AG20" s="697" t="s">
        <v>897</v>
      </c>
      <c r="AH20" s="303">
        <v>45</v>
      </c>
      <c r="AI20" s="297"/>
      <c r="AJ20" s="697" t="s">
        <v>897</v>
      </c>
      <c r="AK20" s="303">
        <v>45</v>
      </c>
      <c r="AL20" s="297"/>
      <c r="AM20" s="697" t="s">
        <v>897</v>
      </c>
      <c r="AN20" s="303">
        <v>45</v>
      </c>
      <c r="AO20" s="297"/>
      <c r="AP20" s="697" t="s">
        <v>897</v>
      </c>
      <c r="AQ20" s="303">
        <v>45</v>
      </c>
      <c r="AR20" s="297"/>
      <c r="AS20" s="297"/>
      <c r="AT2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540</v>
      </c>
      <c r="AU2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360</v>
      </c>
      <c r="AV20" s="316"/>
      <c r="AW20" s="295"/>
      <c r="AX20" s="327"/>
      <c r="AY20" s="328"/>
      <c r="AZ20" s="288">
        <f>VLOOKUP(A20,Table6[],30,0)</f>
        <v>0</v>
      </c>
    </row>
    <row r="21" spans="1:52" s="97" customFormat="1" ht="15" customHeight="1">
      <c r="A21" s="287">
        <v>17</v>
      </c>
      <c r="B21" s="276" t="str">
        <f>VLOOKUP(Table1[[#This Row],[šifra]],Table6[],2,0)</f>
        <v>AŠ MAGNET VL. ČABARKAPA MLADEN</v>
      </c>
      <c r="C21" s="276" t="str">
        <f>VLOOKUP(Table1[[#This Row],[šifra]],Table6[],4,0)</f>
        <v>NIKOLINA</v>
      </c>
      <c r="D21" s="276" t="str">
        <f>VLOOKUP(A21,Table6[],21,0)</f>
        <v>15,00 eur /kp po JOPPD obrascu</v>
      </c>
      <c r="E21" s="314" t="str">
        <f>IF(poduzeća!AE18="","",poduzeća!AE18)</f>
        <v/>
      </c>
      <c r="F21" s="313" t="str">
        <f>IF(poduzeća!AF18="","",poduzeća!AF18)</f>
        <v/>
      </c>
      <c r="G21" s="293"/>
      <c r="H21" s="293"/>
      <c r="I21" s="289"/>
      <c r="J21" s="303"/>
      <c r="K21" s="294"/>
      <c r="L21" s="289"/>
      <c r="M21" s="303"/>
      <c r="N21" s="294"/>
      <c r="O21" s="289"/>
      <c r="P21" s="303"/>
      <c r="Q21" s="294"/>
      <c r="R21" s="289"/>
      <c r="S21" s="303"/>
      <c r="T21" s="294"/>
      <c r="U21" s="289"/>
      <c r="V21" s="303"/>
      <c r="W21" s="304"/>
      <c r="X21" s="289"/>
      <c r="Y21" s="303"/>
      <c r="Z21" s="294"/>
      <c r="AA21" s="289"/>
      <c r="AB21" s="303"/>
      <c r="AC21" s="294"/>
      <c r="AD21" s="289"/>
      <c r="AE21" s="303"/>
      <c r="AF21" s="294"/>
      <c r="AG21" s="289"/>
      <c r="AH21" s="303"/>
      <c r="AI21" s="294"/>
      <c r="AJ21" s="289"/>
      <c r="AK21" s="303"/>
      <c r="AL21" s="294"/>
      <c r="AM21" s="289"/>
      <c r="AN21" s="303"/>
      <c r="AO21" s="294"/>
      <c r="AP21" s="289"/>
      <c r="AQ21" s="303"/>
      <c r="AR21" s="294"/>
      <c r="AS21" s="294"/>
      <c r="AT21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1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1" s="293"/>
      <c r="AW21" s="293"/>
      <c r="AX21" s="327"/>
      <c r="AY21" s="328"/>
      <c r="AZ21" s="288">
        <f>VLOOKUP(A21,Table6[],30,0)</f>
        <v>0</v>
      </c>
    </row>
    <row r="22" spans="1:52" ht="15" customHeight="1">
      <c r="A22" s="292">
        <v>18</v>
      </c>
      <c r="B22" s="277" t="str">
        <f>VLOOKUP(Table1[[#This Row],[šifra]],Table6[],2,0)</f>
        <v>ATTILA ScHNEIDER</v>
      </c>
      <c r="C22" s="277" t="str">
        <f>VLOOKUP(Table1[[#This Row],[šifra]],Table6[],4,0)</f>
        <v>NITKO</v>
      </c>
      <c r="D22" s="276" t="str">
        <f>VLOOKUP(A22,Table6[],21,0)</f>
        <v>45€+10 minimax+pdv   (40(+10%)+pdv /mj) raskid ugovora 30/4/26</v>
      </c>
      <c r="E22" s="314" t="str">
        <f>IF(poduzeća!AE19="","",poduzeća!AE19)</f>
        <v/>
      </c>
      <c r="F22" s="313" t="str">
        <f>IF(poduzeća!AF19="","",poduzeća!AF19)</f>
        <v/>
      </c>
      <c r="G22" s="295">
        <v>160.30000000000001</v>
      </c>
      <c r="H22" s="295">
        <v>22.5</v>
      </c>
      <c r="I22" s="301" t="s">
        <v>892</v>
      </c>
      <c r="J22" s="315">
        <f>45+10</f>
        <v>55</v>
      </c>
      <c r="K22" s="676">
        <v>55</v>
      </c>
      <c r="L22" s="697" t="s">
        <v>897</v>
      </c>
      <c r="M22" s="315">
        <f>45+10</f>
        <v>55</v>
      </c>
      <c r="N22" s="676">
        <v>55</v>
      </c>
      <c r="O22" s="697" t="s">
        <v>897</v>
      </c>
      <c r="P22" s="866">
        <f>45+10</f>
        <v>55</v>
      </c>
      <c r="Q22" s="297">
        <v>55</v>
      </c>
      <c r="R22" s="697" t="s">
        <v>897</v>
      </c>
      <c r="S22" s="315">
        <f>45+10</f>
        <v>55</v>
      </c>
      <c r="T22" s="956">
        <v>55</v>
      </c>
      <c r="U22" s="697" t="s">
        <v>897</v>
      </c>
      <c r="V22" s="315">
        <v>55</v>
      </c>
      <c r="W22" s="677">
        <v>55</v>
      </c>
      <c r="X22" s="697"/>
      <c r="Y22" s="315"/>
      <c r="Z22" s="294"/>
      <c r="AA22" s="697"/>
      <c r="AB22" s="315"/>
      <c r="AC22" s="297"/>
      <c r="AD22" s="697"/>
      <c r="AE22" s="315"/>
      <c r="AF22" s="297"/>
      <c r="AG22" s="697"/>
      <c r="AH22" s="315"/>
      <c r="AI22" s="297"/>
      <c r="AJ22" s="697"/>
      <c r="AK22" s="315"/>
      <c r="AL22" s="297"/>
      <c r="AM22" s="697"/>
      <c r="AN22" s="315"/>
      <c r="AO22" s="297"/>
      <c r="AP22" s="697"/>
      <c r="AQ22" s="315"/>
      <c r="AR22" s="297"/>
      <c r="AS22" s="297"/>
      <c r="AT2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275</v>
      </c>
      <c r="AU2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275</v>
      </c>
      <c r="AV22" s="295"/>
      <c r="AW22" s="295"/>
      <c r="AX22" s="327"/>
      <c r="AY22" s="328"/>
      <c r="AZ22" s="288">
        <f>VLOOKUP(A22,Table6[],30,0)</f>
        <v>0</v>
      </c>
    </row>
    <row r="23" spans="1:52" ht="15" customHeight="1">
      <c r="A23" s="292">
        <v>19</v>
      </c>
      <c r="B23" s="277" t="str">
        <f>VLOOKUP(Table1[[#This Row],[šifra]],Table6[],2,0)</f>
        <v>BAR KOD SUSTAVI d.o.o.</v>
      </c>
      <c r="C23" s="277" t="str">
        <f>VLOOKUP(Table1[[#This Row],[šifra]],Table6[],4,0)</f>
        <v>F. ANA P.</v>
      </c>
      <c r="D23" s="276" t="str">
        <f>VLOOKUP(A23,Table6[],21,0)</f>
        <v>82,5(+10%) eur /mj</v>
      </c>
      <c r="E23" s="314" t="str">
        <f>IF(poduzeća!AE20="","",poduzeća!AE20)</f>
        <v/>
      </c>
      <c r="F23" s="313" t="str">
        <f>IF(poduzeća!AF20="","",poduzeća!AF20)</f>
        <v/>
      </c>
      <c r="G23" s="295"/>
      <c r="H23" s="295"/>
      <c r="I23" s="301" t="s">
        <v>899</v>
      </c>
      <c r="J23" s="302">
        <v>0</v>
      </c>
      <c r="K23" s="297"/>
      <c r="L23" s="301" t="s">
        <v>899</v>
      </c>
      <c r="M23" s="302">
        <v>0</v>
      </c>
      <c r="N23" s="297"/>
      <c r="O23" s="301" t="s">
        <v>899</v>
      </c>
      <c r="P23" s="302">
        <v>0</v>
      </c>
      <c r="Q23" s="297"/>
      <c r="R23" s="301" t="s">
        <v>899</v>
      </c>
      <c r="S23" s="302">
        <v>0</v>
      </c>
      <c r="T23" s="676"/>
      <c r="U23" s="301" t="s">
        <v>899</v>
      </c>
      <c r="V23" s="302">
        <v>0</v>
      </c>
      <c r="W23" s="302"/>
      <c r="X23" s="301" t="s">
        <v>899</v>
      </c>
      <c r="Y23" s="302">
        <v>0</v>
      </c>
      <c r="Z23" s="294"/>
      <c r="AA23" s="301" t="s">
        <v>899</v>
      </c>
      <c r="AB23" s="302">
        <v>0</v>
      </c>
      <c r="AC23" s="297">
        <v>0</v>
      </c>
      <c r="AD23" s="301" t="s">
        <v>899</v>
      </c>
      <c r="AE23" s="302">
        <v>0</v>
      </c>
      <c r="AF23" s="297"/>
      <c r="AG23" s="301" t="s">
        <v>899</v>
      </c>
      <c r="AH23" s="302">
        <v>0</v>
      </c>
      <c r="AI23" s="297"/>
      <c r="AJ23" s="301" t="s">
        <v>899</v>
      </c>
      <c r="AK23" s="302">
        <v>0</v>
      </c>
      <c r="AL23" s="297"/>
      <c r="AM23" s="301" t="s">
        <v>899</v>
      </c>
      <c r="AN23" s="302">
        <v>0</v>
      </c>
      <c r="AO23" s="297"/>
      <c r="AP23" s="301" t="s">
        <v>899</v>
      </c>
      <c r="AQ23" s="302">
        <v>0</v>
      </c>
      <c r="AR23" s="297"/>
      <c r="AS23" s="297"/>
      <c r="AT2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3" s="295"/>
      <c r="AW23" s="295"/>
      <c r="AX23" s="327"/>
      <c r="AY23" s="328"/>
      <c r="AZ23" s="288">
        <f>VLOOKUP(A23,Table6[],30,0)</f>
        <v>0</v>
      </c>
    </row>
    <row r="24" spans="1:52" ht="15" customHeight="1">
      <c r="A24" s="292">
        <v>20</v>
      </c>
      <c r="B24" s="277" t="str">
        <f>VLOOKUP(Table1[[#This Row],[šifra]],Table6[],2,0)</f>
        <v>BB OIL d.o.o.</v>
      </c>
      <c r="C24" s="277" t="str">
        <f>VLOOKUP(Table1[[#This Row],[šifra]],Table6[],4,0)</f>
        <v>F. ANA P.</v>
      </c>
      <c r="D24" s="276" t="str">
        <f>VLOOKUP(A24,Table6[],21,0)</f>
        <v>412,5 (+10%)eur /mj</v>
      </c>
      <c r="E24" s="314" t="str">
        <f>IF(poduzeća!AE21="","",poduzeća!AE21)</f>
        <v/>
      </c>
      <c r="F24" s="313" t="str">
        <f>IF(poduzeća!AF21="","",poduzeća!AF21)</f>
        <v/>
      </c>
      <c r="G24" s="295"/>
      <c r="H24" s="295"/>
      <c r="I24" s="301" t="s">
        <v>899</v>
      </c>
      <c r="J24" s="297">
        <v>0</v>
      </c>
      <c r="K24" s="297"/>
      <c r="L24" s="301" t="s">
        <v>899</v>
      </c>
      <c r="M24" s="297">
        <v>0</v>
      </c>
      <c r="N24" s="297"/>
      <c r="O24" s="301" t="s">
        <v>899</v>
      </c>
      <c r="P24" s="297">
        <v>0</v>
      </c>
      <c r="Q24" s="297"/>
      <c r="R24" s="301" t="s">
        <v>899</v>
      </c>
      <c r="S24" s="297">
        <v>0</v>
      </c>
      <c r="T24" s="676"/>
      <c r="U24" s="301" t="s">
        <v>899</v>
      </c>
      <c r="V24" s="297">
        <v>0</v>
      </c>
      <c r="W24" s="302"/>
      <c r="X24" s="301" t="s">
        <v>899</v>
      </c>
      <c r="Y24" s="297">
        <v>0</v>
      </c>
      <c r="Z24" s="294"/>
      <c r="AA24" s="301" t="s">
        <v>899</v>
      </c>
      <c r="AB24" s="297">
        <v>0</v>
      </c>
      <c r="AC24" s="297">
        <v>0</v>
      </c>
      <c r="AD24" s="301" t="s">
        <v>899</v>
      </c>
      <c r="AE24" s="297">
        <v>0</v>
      </c>
      <c r="AF24" s="297"/>
      <c r="AG24" s="301" t="s">
        <v>899</v>
      </c>
      <c r="AH24" s="297">
        <v>0</v>
      </c>
      <c r="AI24" s="297"/>
      <c r="AJ24" s="301" t="s">
        <v>899</v>
      </c>
      <c r="AK24" s="297">
        <v>0</v>
      </c>
      <c r="AL24" s="297"/>
      <c r="AM24" s="301" t="s">
        <v>899</v>
      </c>
      <c r="AN24" s="297">
        <v>0</v>
      </c>
      <c r="AO24" s="297"/>
      <c r="AP24" s="301" t="s">
        <v>899</v>
      </c>
      <c r="AQ24" s="297">
        <v>0</v>
      </c>
      <c r="AR24" s="297"/>
      <c r="AS24" s="297"/>
      <c r="AT24" s="315">
        <v>0</v>
      </c>
      <c r="AU2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4" s="295"/>
      <c r="AW24" s="295"/>
      <c r="AX24" s="327"/>
      <c r="AY24" s="328"/>
      <c r="AZ24" s="288">
        <f>VLOOKUP(A24,Table6[],30,0)</f>
        <v>0</v>
      </c>
    </row>
    <row r="25" spans="1:52" ht="15" customHeight="1">
      <c r="A25" s="292">
        <v>21</v>
      </c>
      <c r="B25" s="277" t="str">
        <f>VLOOKUP(Table1[[#This Row],[šifra]],Table6[],2,0)</f>
        <v>BB YACHT obrt vl baka bela</v>
      </c>
      <c r="C25" s="277" t="str">
        <f>VLOOKUP(Table1[[#This Row],[šifra]],Table6[],4,0)</f>
        <v>NIKOLINA</v>
      </c>
      <c r="D25" s="276" t="str">
        <f>VLOOKUP(A25,Table6[],21,0)</f>
        <v>`- na računu zlatna školjka</v>
      </c>
      <c r="E25" s="314" t="str">
        <f>IF(poduzeća!AE22="","",poduzeća!AE22)</f>
        <v/>
      </c>
      <c r="F25" s="313" t="str">
        <f>IF(poduzeća!AF22="","",poduzeća!AF22)</f>
        <v/>
      </c>
      <c r="G25" s="295"/>
      <c r="H25" s="295"/>
      <c r="I25" s="305" t="s">
        <v>901</v>
      </c>
      <c r="J25" s="297">
        <v>0</v>
      </c>
      <c r="K25" s="676">
        <v>0</v>
      </c>
      <c r="L25" s="305" t="s">
        <v>901</v>
      </c>
      <c r="M25" s="297">
        <v>0</v>
      </c>
      <c r="N25" s="676">
        <v>0</v>
      </c>
      <c r="O25" s="305" t="s">
        <v>901</v>
      </c>
      <c r="P25" s="297">
        <v>0</v>
      </c>
      <c r="Q25" s="297">
        <v>0</v>
      </c>
      <c r="R25" s="305" t="s">
        <v>901</v>
      </c>
      <c r="S25" s="297">
        <v>0</v>
      </c>
      <c r="T25" s="676"/>
      <c r="U25" s="305" t="s">
        <v>901</v>
      </c>
      <c r="V25" s="297">
        <v>0</v>
      </c>
      <c r="W25" s="302">
        <v>0</v>
      </c>
      <c r="X25" s="305" t="s">
        <v>901</v>
      </c>
      <c r="Y25" s="297">
        <v>0</v>
      </c>
      <c r="Z25" s="294">
        <v>0</v>
      </c>
      <c r="AA25" s="305" t="s">
        <v>901</v>
      </c>
      <c r="AB25" s="297">
        <v>0</v>
      </c>
      <c r="AC25" s="297">
        <v>0</v>
      </c>
      <c r="AD25" s="305" t="s">
        <v>901</v>
      </c>
      <c r="AE25" s="297">
        <v>0</v>
      </c>
      <c r="AF25" s="297"/>
      <c r="AG25" s="305" t="s">
        <v>901</v>
      </c>
      <c r="AH25" s="297">
        <v>0</v>
      </c>
      <c r="AI25" s="297"/>
      <c r="AJ25" s="305" t="s">
        <v>901</v>
      </c>
      <c r="AK25" s="297">
        <v>0</v>
      </c>
      <c r="AL25" s="297"/>
      <c r="AM25" s="305" t="s">
        <v>901</v>
      </c>
      <c r="AN25" s="297">
        <v>0</v>
      </c>
      <c r="AO25" s="297"/>
      <c r="AP25" s="305" t="s">
        <v>901</v>
      </c>
      <c r="AQ25" s="297">
        <v>0</v>
      </c>
      <c r="AR25" s="297"/>
      <c r="AS25" s="297"/>
      <c r="AT2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5" s="316"/>
      <c r="AW25" s="295"/>
      <c r="AX25" s="327"/>
      <c r="AY25" s="328"/>
      <c r="AZ25" s="288">
        <f>VLOOKUP(A25,Table6[],30,0)</f>
        <v>0</v>
      </c>
    </row>
    <row r="26" spans="1:52" ht="15" customHeight="1">
      <c r="A26" s="292">
        <v>22</v>
      </c>
      <c r="B26" s="277" t="str">
        <f>VLOOKUP(Table1[[#This Row],[šifra]],Table6[],2,0)</f>
        <v>Beach-homes Privlaka j.d.o.o.</v>
      </c>
      <c r="C26" s="277" t="str">
        <f>VLOOKUP(Table1[[#This Row],[šifra]],Table6[],4,0)</f>
        <v>GABRIJELA</v>
      </c>
      <c r="D26" s="276" t="str">
        <f>VLOOKUP(A26,Table6[],21,0)</f>
        <v>80+pdv /mj</v>
      </c>
      <c r="E26" s="1058" t="str">
        <f>IF(poduzeća!AE23="","",poduzeća!AE23)</f>
        <v>7.7.2021</v>
      </c>
      <c r="F26" s="1059">
        <f>IF(poduzeća!AF23="","",poduzeća!AF23)</f>
        <v>500</v>
      </c>
      <c r="G26" s="1056"/>
      <c r="H26" s="1010"/>
      <c r="I26" s="299" t="s">
        <v>892</v>
      </c>
      <c r="J26" s="297">
        <f>130*1.1</f>
        <v>143</v>
      </c>
      <c r="K26" s="297">
        <v>143</v>
      </c>
      <c r="L26" s="299" t="s">
        <v>892</v>
      </c>
      <c r="M26" s="838">
        <v>143</v>
      </c>
      <c r="N26" s="297">
        <v>143</v>
      </c>
      <c r="O26" s="299" t="s">
        <v>892</v>
      </c>
      <c r="P26" s="676">
        <v>143</v>
      </c>
      <c r="Q26" s="676">
        <v>100</v>
      </c>
      <c r="R26" s="299" t="s">
        <v>892</v>
      </c>
      <c r="S26" s="297">
        <v>143</v>
      </c>
      <c r="T26" s="676">
        <v>160</v>
      </c>
      <c r="U26" s="299" t="s">
        <v>892</v>
      </c>
      <c r="V26" s="869">
        <v>80</v>
      </c>
      <c r="W26" s="677">
        <v>80</v>
      </c>
      <c r="X26" s="299" t="s">
        <v>892</v>
      </c>
      <c r="Y26" s="297">
        <v>80</v>
      </c>
      <c r="Z26" s="675">
        <v>80</v>
      </c>
      <c r="AA26" s="299" t="s">
        <v>892</v>
      </c>
      <c r="AB26" s="297">
        <v>580</v>
      </c>
      <c r="AC26" s="297">
        <v>580</v>
      </c>
      <c r="AD26" s="299" t="s">
        <v>892</v>
      </c>
      <c r="AE26" s="297">
        <v>80</v>
      </c>
      <c r="AF26" s="297"/>
      <c r="AG26" s="299" t="s">
        <v>892</v>
      </c>
      <c r="AH26" s="297">
        <v>80</v>
      </c>
      <c r="AI26" s="297"/>
      <c r="AJ26" s="299" t="s">
        <v>892</v>
      </c>
      <c r="AK26" s="297">
        <v>80</v>
      </c>
      <c r="AL26" s="297"/>
      <c r="AM26" s="299" t="s">
        <v>892</v>
      </c>
      <c r="AN26" s="297">
        <v>80</v>
      </c>
      <c r="AO26" s="297"/>
      <c r="AP26" s="299" t="s">
        <v>892</v>
      </c>
      <c r="AQ26" s="297">
        <v>80</v>
      </c>
      <c r="AR26" s="297"/>
      <c r="AS26" s="297"/>
      <c r="AT2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1712</v>
      </c>
      <c r="AU2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1286</v>
      </c>
      <c r="AV26" s="295"/>
      <c r="AW26" s="295"/>
      <c r="AX26" s="327"/>
      <c r="AY26" s="328"/>
      <c r="AZ26" s="288">
        <f>VLOOKUP(A26,Table6[],30,0)</f>
        <v>0</v>
      </c>
    </row>
    <row r="27" spans="1:52" ht="15" customHeight="1">
      <c r="A27" s="292">
        <v>23</v>
      </c>
      <c r="B27" s="277" t="str">
        <f>VLOOKUP(Table1[[#This Row],[šifra]],Table6[],2,0)</f>
        <v>BELLISSIMA j.d.o.o.</v>
      </c>
      <c r="C27" s="277" t="str">
        <f>VLOOKUP(Table1[[#This Row],[šifra]],Table6[],4,0)</f>
        <v>NITKO</v>
      </c>
      <c r="D27" s="276" t="str">
        <f>VLOOKUP(A27,Table6[],21,0)</f>
        <v>70(+10%)+pdv /mj</v>
      </c>
      <c r="E27" s="314" t="str">
        <f>IF(poduzeća!AE24="","",poduzeća!AE24)</f>
        <v/>
      </c>
      <c r="F27" s="313" t="str">
        <f>IF(poduzeća!AF24="","",poduzeća!AF24)</f>
        <v/>
      </c>
      <c r="G27" s="295">
        <v>23.04</v>
      </c>
      <c r="H27" s="295"/>
      <c r="I27" s="296" t="s">
        <v>892</v>
      </c>
      <c r="J27" s="295">
        <v>77</v>
      </c>
      <c r="K27" s="295">
        <v>77</v>
      </c>
      <c r="L27" s="296"/>
      <c r="M27" s="306"/>
      <c r="N27" s="306"/>
      <c r="O27" s="296"/>
      <c r="P27" s="306"/>
      <c r="Q27" s="306"/>
      <c r="R27" s="296"/>
      <c r="S27" s="306"/>
      <c r="T27" s="676"/>
      <c r="U27" s="296"/>
      <c r="V27" s="306"/>
      <c r="W27" s="302"/>
      <c r="X27" s="296"/>
      <c r="Y27" s="306"/>
      <c r="Z27" s="294"/>
      <c r="AA27" s="296"/>
      <c r="AB27" s="306"/>
      <c r="AC27" s="297"/>
      <c r="AD27" s="296"/>
      <c r="AE27" s="306"/>
      <c r="AF27" s="297"/>
      <c r="AG27" s="296"/>
      <c r="AH27" s="306"/>
      <c r="AI27" s="297"/>
      <c r="AJ27" s="296"/>
      <c r="AK27" s="306"/>
      <c r="AL27" s="297"/>
      <c r="AM27" s="296"/>
      <c r="AN27" s="306"/>
      <c r="AO27" s="297"/>
      <c r="AP27" s="296"/>
      <c r="AQ27" s="306"/>
      <c r="AR27" s="297"/>
      <c r="AS27" s="297"/>
      <c r="AT2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77</v>
      </c>
      <c r="AU2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77</v>
      </c>
      <c r="AV27" s="295"/>
      <c r="AW27" s="295"/>
      <c r="AX27" s="327"/>
      <c r="AY27" s="328"/>
      <c r="AZ27" s="288">
        <f>VLOOKUP(A27,Table6[],30,0)</f>
        <v>0</v>
      </c>
    </row>
    <row r="28" spans="1:52" ht="18" customHeight="1">
      <c r="A28" s="292">
        <v>24</v>
      </c>
      <c r="B28" s="277" t="str">
        <f>VLOOKUP(Table1[[#This Row],[šifra]],Table6[],2,0)</f>
        <v>BERNADETT VINCZE</v>
      </c>
      <c r="C28" s="277" t="str">
        <f>VLOOKUP(Table1[[#This Row],[šifra]],Table6[],4,0)</f>
        <v>MAJA</v>
      </c>
      <c r="D28" s="276" t="str">
        <f>VLOOKUP(A28,Table6[],21,0)</f>
        <v>40(+10%)+pdv /mj</v>
      </c>
      <c r="E28" s="314" t="str">
        <f>IF(poduzeća!AE25="","",poduzeća!AE25)</f>
        <v/>
      </c>
      <c r="F28" s="313" t="str">
        <f>IF(poduzeća!AF25="","",poduzeća!AF25)</f>
        <v/>
      </c>
      <c r="G28" s="295">
        <v>55</v>
      </c>
      <c r="H28" s="295">
        <v>22.5</v>
      </c>
      <c r="I28" s="305" t="s">
        <v>892</v>
      </c>
      <c r="J28" s="297">
        <f>40*1.1</f>
        <v>44</v>
      </c>
      <c r="K28" s="676">
        <v>44</v>
      </c>
      <c r="L28" s="697" t="s">
        <v>897</v>
      </c>
      <c r="M28" s="297">
        <f>40*1.1</f>
        <v>44</v>
      </c>
      <c r="N28" s="676">
        <v>44</v>
      </c>
      <c r="O28" s="697" t="s">
        <v>897</v>
      </c>
      <c r="P28" s="869">
        <f>40*1.1</f>
        <v>44</v>
      </c>
      <c r="Q28" s="297">
        <v>44</v>
      </c>
      <c r="R28" s="697" t="s">
        <v>897</v>
      </c>
      <c r="S28" s="297">
        <f>40*1.1</f>
        <v>44</v>
      </c>
      <c r="T28" s="956">
        <v>44</v>
      </c>
      <c r="U28" s="697" t="s">
        <v>897</v>
      </c>
      <c r="V28" s="869">
        <f>40*1.1</f>
        <v>44</v>
      </c>
      <c r="W28" s="677">
        <v>44</v>
      </c>
      <c r="X28" s="1036" t="s">
        <v>2036</v>
      </c>
      <c r="Y28" s="838">
        <f>40*1.1</f>
        <v>44</v>
      </c>
      <c r="Z28" s="675">
        <v>44</v>
      </c>
      <c r="AA28" s="1036" t="s">
        <v>2036</v>
      </c>
      <c r="AB28" s="297">
        <f>40*1.1</f>
        <v>44</v>
      </c>
      <c r="AC28" s="297">
        <v>44</v>
      </c>
      <c r="AD28" s="1036" t="s">
        <v>2036</v>
      </c>
      <c r="AE28" s="297">
        <f>40*1.1</f>
        <v>44</v>
      </c>
      <c r="AF28" s="297">
        <v>44</v>
      </c>
      <c r="AG28" s="697" t="s">
        <v>897</v>
      </c>
      <c r="AH28" s="297">
        <f>40*1.1</f>
        <v>44</v>
      </c>
      <c r="AI28" s="297"/>
      <c r="AJ28" s="697" t="s">
        <v>897</v>
      </c>
      <c r="AK28" s="297">
        <f>40*1.1</f>
        <v>44</v>
      </c>
      <c r="AL28" s="297"/>
      <c r="AM28" s="697" t="s">
        <v>897</v>
      </c>
      <c r="AN28" s="297">
        <f>40*1.1</f>
        <v>44</v>
      </c>
      <c r="AO28" s="297"/>
      <c r="AP28" s="697" t="s">
        <v>897</v>
      </c>
      <c r="AQ28" s="297">
        <f>40*1.1</f>
        <v>44</v>
      </c>
      <c r="AR28" s="297"/>
      <c r="AS28" s="297"/>
      <c r="AT2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528</v>
      </c>
      <c r="AU2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352</v>
      </c>
      <c r="AV28" s="295"/>
      <c r="AW28" s="295"/>
      <c r="AX28" s="327"/>
      <c r="AY28" s="328"/>
      <c r="AZ28" s="288">
        <f>VLOOKUP(A28,Table6[],30,0)</f>
        <v>0</v>
      </c>
    </row>
    <row r="29" spans="1:52" ht="14.25" customHeight="1">
      <c r="A29" s="292">
        <v>25</v>
      </c>
      <c r="B29" s="277" t="str">
        <f>VLOOKUP(Table1[[#This Row],[šifra]],Table6[],2,0)</f>
        <v>BEST LOGISTICS PARTNER d.o.o.</v>
      </c>
      <c r="C29" s="277" t="str">
        <f>VLOOKUP(Table1[[#This Row],[šifra]],Table6[],4,0)</f>
        <v>STOPIRAN</v>
      </c>
      <c r="D29" s="276" t="str">
        <f>VLOOKUP(A29,Table6[],21,0)</f>
        <v>115(+10%)+pdv/mj</v>
      </c>
      <c r="E29" s="314" t="str">
        <f>IF(poduzeća!AE26="","",poduzeća!AE26)</f>
        <v/>
      </c>
      <c r="F29" s="313" t="str">
        <f>IF(poduzeća!AF26="","",poduzeća!AF26)</f>
        <v/>
      </c>
      <c r="G29" s="1010"/>
      <c r="H29" s="932"/>
      <c r="I29" s="289" t="s">
        <v>897</v>
      </c>
      <c r="J29" s="297">
        <f>115*1.1</f>
        <v>126.50000000000001</v>
      </c>
      <c r="K29" s="676">
        <v>126.5</v>
      </c>
      <c r="L29" s="289" t="s">
        <v>897</v>
      </c>
      <c r="M29" s="297">
        <f>115*1.1</f>
        <v>126.50000000000001</v>
      </c>
      <c r="N29" s="676">
        <v>126.5</v>
      </c>
      <c r="O29" s="289" t="s">
        <v>897</v>
      </c>
      <c r="P29" s="869">
        <f>115*1.1</f>
        <v>126.50000000000001</v>
      </c>
      <c r="Q29" s="297">
        <v>126.5</v>
      </c>
      <c r="R29" s="289" t="s">
        <v>897</v>
      </c>
      <c r="S29" s="297">
        <f>115*1.1</f>
        <v>126.50000000000001</v>
      </c>
      <c r="T29" s="955">
        <v>253</v>
      </c>
      <c r="U29" s="289" t="s">
        <v>897</v>
      </c>
      <c r="V29" s="869">
        <f>115*1.1</f>
        <v>126.50000000000001</v>
      </c>
      <c r="W29" s="677">
        <v>140.6</v>
      </c>
      <c r="X29" s="289" t="s">
        <v>897</v>
      </c>
      <c r="Y29" s="838">
        <v>0</v>
      </c>
      <c r="Z29" s="294">
        <v>0</v>
      </c>
      <c r="AA29" s="289" t="s">
        <v>897</v>
      </c>
      <c r="AB29" s="297">
        <v>0</v>
      </c>
      <c r="AC29" s="297">
        <v>0</v>
      </c>
      <c r="AD29" s="289" t="s">
        <v>897</v>
      </c>
      <c r="AE29" s="297">
        <v>0</v>
      </c>
      <c r="AF29" s="297"/>
      <c r="AG29" s="289" t="s">
        <v>897</v>
      </c>
      <c r="AH29" s="297">
        <f>115*1.1</f>
        <v>126.50000000000001</v>
      </c>
      <c r="AI29" s="297"/>
      <c r="AJ29" s="289" t="s">
        <v>897</v>
      </c>
      <c r="AK29" s="297">
        <f>115*1.1</f>
        <v>126.50000000000001</v>
      </c>
      <c r="AL29" s="297"/>
      <c r="AM29" s="289" t="s">
        <v>897</v>
      </c>
      <c r="AN29" s="297">
        <f>115*1.1</f>
        <v>126.50000000000001</v>
      </c>
      <c r="AO29" s="297"/>
      <c r="AP29" s="289" t="s">
        <v>897</v>
      </c>
      <c r="AQ29" s="297">
        <f>115*1.1</f>
        <v>126.50000000000001</v>
      </c>
      <c r="AR29" s="297"/>
      <c r="AS29" s="297"/>
      <c r="AT2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1138.5000000000002</v>
      </c>
      <c r="AU2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773.1</v>
      </c>
      <c r="AV29" s="295"/>
      <c r="AW29" s="295"/>
      <c r="AX29" s="327"/>
      <c r="AY29" s="328"/>
      <c r="AZ29" s="288">
        <f>VLOOKUP(A29,Table6[],30,0)</f>
        <v>0</v>
      </c>
    </row>
    <row r="30" spans="1:52" ht="15" customHeight="1">
      <c r="A30" s="292">
        <v>26</v>
      </c>
      <c r="B30" s="277" t="str">
        <f>VLOOKUP(Table1[[#This Row],[šifra]],Table6[],2,0)</f>
        <v>BetonOS vl. RUDOLF GERGELJ</v>
      </c>
      <c r="C30" s="277" t="str">
        <f>VLOOKUP(Table1[[#This Row],[šifra]],Table6[],4,0)</f>
        <v>MAJA</v>
      </c>
      <c r="D30" s="276" t="str">
        <f>VLOOKUP(A30,Table6[],21,0)</f>
        <v>GRATIS</v>
      </c>
      <c r="E30" s="314" t="str">
        <f>IF(poduzeća!AE27="","",poduzeća!AE27)</f>
        <v/>
      </c>
      <c r="F30" s="313" t="str">
        <f>IF(poduzeća!AF27="","",poduzeća!AF27)</f>
        <v/>
      </c>
      <c r="G30" s="295"/>
      <c r="H30" s="295"/>
      <c r="I30" s="321" t="s">
        <v>897</v>
      </c>
      <c r="J30" s="297">
        <v>0</v>
      </c>
      <c r="K30" s="676">
        <v>0</v>
      </c>
      <c r="L30" s="321" t="s">
        <v>897</v>
      </c>
      <c r="M30" s="297"/>
      <c r="N30" s="838"/>
      <c r="O30" s="321" t="s">
        <v>897</v>
      </c>
      <c r="P30" s="297"/>
      <c r="Q30" s="297"/>
      <c r="R30" s="321" t="s">
        <v>897</v>
      </c>
      <c r="S30" s="297"/>
      <c r="T30" s="676"/>
      <c r="U30" s="321" t="s">
        <v>897</v>
      </c>
      <c r="V30" s="297"/>
      <c r="W30" s="302"/>
      <c r="X30" s="321" t="s">
        <v>897</v>
      </c>
      <c r="Y30" s="838"/>
      <c r="Z30" s="294"/>
      <c r="AA30" s="321" t="s">
        <v>897</v>
      </c>
      <c r="AB30" s="297"/>
      <c r="AC30" s="297"/>
      <c r="AD30" s="321" t="s">
        <v>897</v>
      </c>
      <c r="AE30" s="297"/>
      <c r="AF30" s="297"/>
      <c r="AG30" s="321" t="s">
        <v>897</v>
      </c>
      <c r="AH30" s="297"/>
      <c r="AI30" s="297"/>
      <c r="AJ30" s="321" t="s">
        <v>897</v>
      </c>
      <c r="AK30" s="297"/>
      <c r="AL30" s="297"/>
      <c r="AM30" s="321" t="s">
        <v>897</v>
      </c>
      <c r="AN30" s="297"/>
      <c r="AO30" s="297"/>
      <c r="AP30" s="321" t="s">
        <v>897</v>
      </c>
      <c r="AQ30" s="297"/>
      <c r="AR30" s="297"/>
      <c r="AS30" s="297"/>
      <c r="AT3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3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30" s="295"/>
      <c r="AW30" s="295"/>
      <c r="AX30" s="327"/>
      <c r="AY30" s="328"/>
      <c r="AZ30" s="288">
        <f>VLOOKUP(A30,Table6[],30,0)</f>
        <v>0</v>
      </c>
    </row>
    <row r="31" spans="1:52" ht="15" customHeight="1">
      <c r="A31" s="292">
        <v>27</v>
      </c>
      <c r="B31" s="277" t="str">
        <f>VLOOKUP(Table1[[#This Row],[šifra]],Table6[],2,0)</f>
        <v>BEYONDI d.o.o.</v>
      </c>
      <c r="C31" s="277" t="str">
        <f>VLOOKUP(Table1[[#This Row],[šifra]],Table6[],4,0)</f>
        <v>NITKO</v>
      </c>
      <c r="D31" s="276" t="str">
        <f>VLOOKUP(A31,Table6[],21,0)</f>
        <v>FRANŠIZA</v>
      </c>
      <c r="E31" s="314" t="str">
        <f>IF(poduzeća!AE28="","",poduzeća!AE28)</f>
        <v/>
      </c>
      <c r="F31" s="313" t="str">
        <f>IF(poduzeća!AF28="","",poduzeća!AF28)</f>
        <v/>
      </c>
      <c r="G31" s="295"/>
      <c r="H31" s="295"/>
      <c r="I31" s="305"/>
      <c r="J31" s="297"/>
      <c r="K31" s="297"/>
      <c r="L31" s="305"/>
      <c r="M31" s="726"/>
      <c r="N31" s="297"/>
      <c r="O31" s="305"/>
      <c r="P31" s="297"/>
      <c r="Q31" s="297"/>
      <c r="R31" s="305"/>
      <c r="S31" s="297"/>
      <c r="T31" s="676"/>
      <c r="U31" s="305"/>
      <c r="V31" s="297"/>
      <c r="W31" s="302"/>
      <c r="X31" s="305"/>
      <c r="Y31" s="297"/>
      <c r="Z31" s="294"/>
      <c r="AA31" s="305"/>
      <c r="AB31" s="297"/>
      <c r="AC31" s="297"/>
      <c r="AD31" s="305"/>
      <c r="AE31" s="297"/>
      <c r="AF31" s="297"/>
      <c r="AG31" s="305"/>
      <c r="AH31" s="297"/>
      <c r="AI31" s="297"/>
      <c r="AJ31" s="305"/>
      <c r="AK31" s="297"/>
      <c r="AL31" s="297"/>
      <c r="AM31" s="305"/>
      <c r="AN31" s="297"/>
      <c r="AO31" s="297"/>
      <c r="AP31" s="305"/>
      <c r="AQ31" s="297"/>
      <c r="AR31" s="297"/>
      <c r="AS31" s="297"/>
      <c r="AT3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3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31" s="295"/>
      <c r="AW31" s="295"/>
      <c r="AX31" s="327"/>
      <c r="AY31" s="328"/>
      <c r="AZ31" s="288">
        <f>VLOOKUP(A31,Table6[],30,0)</f>
        <v>0</v>
      </c>
    </row>
    <row r="32" spans="1:52" s="97" customFormat="1" ht="15" customHeight="1">
      <c r="A32" s="287">
        <v>28</v>
      </c>
      <c r="B32" s="276" t="str">
        <f>VLOOKUP(Table1[[#This Row],[šifra]],Table6[],2,0)</f>
        <v>BO.V.AT j.d.o.o.</v>
      </c>
      <c r="C32" s="276" t="str">
        <f>VLOOKUP(Table1[[#This Row],[šifra]],Table6[],4,0)</f>
        <v>VESNA</v>
      </c>
      <c r="D32" s="276" t="str">
        <f>VLOOKUP(A32,Table6[],21,0)</f>
        <v>Vodi vesna gratis</v>
      </c>
      <c r="E32" s="314" t="str">
        <f>IF(poduzeća!AE29="","",poduzeća!AE29)</f>
        <v/>
      </c>
      <c r="F32" s="313" t="str">
        <f>IF(poduzeća!AF29="","",poduzeća!AF29)</f>
        <v/>
      </c>
      <c r="G32" s="293"/>
      <c r="H32" s="293"/>
      <c r="I32" s="289" t="s">
        <v>897</v>
      </c>
      <c r="J32" s="294">
        <v>0</v>
      </c>
      <c r="K32" s="675">
        <v>0</v>
      </c>
      <c r="L32" s="289" t="s">
        <v>897</v>
      </c>
      <c r="M32" s="294"/>
      <c r="N32" s="837"/>
      <c r="O32" s="289" t="s">
        <v>897</v>
      </c>
      <c r="P32" s="294"/>
      <c r="Q32" s="294"/>
      <c r="R32" s="289" t="s">
        <v>897</v>
      </c>
      <c r="S32" s="294"/>
      <c r="T32" s="675"/>
      <c r="U32" s="289" t="s">
        <v>897</v>
      </c>
      <c r="V32" s="294"/>
      <c r="W32" s="304"/>
      <c r="X32" s="289" t="s">
        <v>897</v>
      </c>
      <c r="Y32" s="837"/>
      <c r="Z32" s="294"/>
      <c r="AA32" s="289" t="s">
        <v>897</v>
      </c>
      <c r="AB32" s="294"/>
      <c r="AC32" s="294"/>
      <c r="AD32" s="289" t="s">
        <v>897</v>
      </c>
      <c r="AE32" s="294"/>
      <c r="AF32" s="294"/>
      <c r="AG32" s="289" t="s">
        <v>897</v>
      </c>
      <c r="AH32" s="294"/>
      <c r="AI32" s="294"/>
      <c r="AJ32" s="289" t="s">
        <v>897</v>
      </c>
      <c r="AK32" s="294"/>
      <c r="AL32" s="294"/>
      <c r="AM32" s="289" t="s">
        <v>897</v>
      </c>
      <c r="AN32" s="294"/>
      <c r="AO32" s="294"/>
      <c r="AP32" s="289" t="s">
        <v>897</v>
      </c>
      <c r="AQ32" s="294"/>
      <c r="AR32" s="294"/>
      <c r="AS32" s="294"/>
      <c r="AT32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32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32" s="317" t="s">
        <v>198</v>
      </c>
      <c r="AW32" s="293"/>
      <c r="AX32" s="327"/>
      <c r="AY32" s="328"/>
      <c r="AZ32" s="288">
        <f>VLOOKUP(A32,Table6[],30,0)</f>
        <v>0</v>
      </c>
    </row>
    <row r="33" spans="1:52" ht="15" customHeight="1">
      <c r="A33" s="292">
        <v>29</v>
      </c>
      <c r="B33" s="277" t="str">
        <f>VLOOKUP(Table1[[#This Row],[šifra]],Table6[],2,0)</f>
        <v>BOLE VL.BOŠNJAK ŽELJKO</v>
      </c>
      <c r="C33" s="277" t="str">
        <f>VLOOKUP(Table1[[#This Row],[šifra]],Table6[],4,0)</f>
        <v>NIKOLINA</v>
      </c>
      <c r="D33" s="276" t="str">
        <f>VLOOKUP(A33,Table6[],21,0)</f>
        <v>106,18(+10%) + pdv /mj</v>
      </c>
      <c r="E33" s="314" t="str">
        <f>IF(poduzeća!AE30="","",poduzeća!AE30)</f>
        <v/>
      </c>
      <c r="F33" s="313" t="str">
        <f>IF(poduzeća!AF30="","",poduzeća!AF30)</f>
        <v/>
      </c>
      <c r="G33" s="295"/>
      <c r="H33" s="295"/>
      <c r="I33" s="305" t="s">
        <v>901</v>
      </c>
      <c r="J33" s="297">
        <v>120</v>
      </c>
      <c r="K33" s="676">
        <v>120</v>
      </c>
      <c r="L33" s="305" t="s">
        <v>901</v>
      </c>
      <c r="M33" s="297">
        <v>120</v>
      </c>
      <c r="N33" s="676">
        <v>240</v>
      </c>
      <c r="O33" s="305" t="s">
        <v>901</v>
      </c>
      <c r="P33" s="297">
        <v>120</v>
      </c>
      <c r="Q33" s="297">
        <v>120</v>
      </c>
      <c r="R33" s="305" t="s">
        <v>901</v>
      </c>
      <c r="S33" s="297">
        <v>120</v>
      </c>
      <c r="T33" s="956">
        <v>120</v>
      </c>
      <c r="U33" s="305" t="s">
        <v>901</v>
      </c>
      <c r="V33" s="297">
        <v>120</v>
      </c>
      <c r="W33" s="677">
        <v>120</v>
      </c>
      <c r="X33" s="305" t="s">
        <v>901</v>
      </c>
      <c r="Y33" s="297">
        <v>120</v>
      </c>
      <c r="Z33" s="675">
        <v>120</v>
      </c>
      <c r="AA33" s="305" t="s">
        <v>901</v>
      </c>
      <c r="AB33" s="297">
        <v>120</v>
      </c>
      <c r="AC33" s="297">
        <v>120</v>
      </c>
      <c r="AD33" s="305" t="s">
        <v>901</v>
      </c>
      <c r="AE33" s="297">
        <v>120</v>
      </c>
      <c r="AF33" s="297"/>
      <c r="AG33" s="305" t="s">
        <v>901</v>
      </c>
      <c r="AH33" s="297">
        <v>120</v>
      </c>
      <c r="AI33" s="297"/>
      <c r="AJ33" s="305" t="s">
        <v>901</v>
      </c>
      <c r="AK33" s="297">
        <v>120</v>
      </c>
      <c r="AL33" s="297"/>
      <c r="AM33" s="305" t="s">
        <v>901</v>
      </c>
      <c r="AN33" s="297">
        <v>120</v>
      </c>
      <c r="AO33" s="297"/>
      <c r="AP33" s="305" t="s">
        <v>901</v>
      </c>
      <c r="AQ33" s="297">
        <v>120</v>
      </c>
      <c r="AR33" s="297"/>
      <c r="AS33" s="297"/>
      <c r="AT3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1440</v>
      </c>
      <c r="AU3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960</v>
      </c>
      <c r="AV33" s="295"/>
      <c r="AW33" s="295"/>
      <c r="AX33" s="327"/>
      <c r="AY33" s="328"/>
      <c r="AZ33" s="288">
        <f>VLOOKUP(A33,Table6[],30,0)</f>
        <v>0</v>
      </c>
    </row>
    <row r="34" spans="1:52" ht="15" customHeight="1">
      <c r="A34" s="292">
        <v>30</v>
      </c>
      <c r="B34" s="277" t="str">
        <f>VLOOKUP(Table1[[#This Row],[šifra]],Table6[],2,0)</f>
        <v>BUCCANEER d.o.o.</v>
      </c>
      <c r="C34" s="277" t="str">
        <f>VLOOKUP(Table1[[#This Row],[šifra]],Table6[],4,0)</f>
        <v>MARKO</v>
      </c>
      <c r="D34" s="276" t="str">
        <f>VLOOKUP(A34,Table6[],21,0)</f>
        <v>50(+10 %)+ 30 SJEDIŠTE / MJ</v>
      </c>
      <c r="E34" s="314" t="str">
        <f>IF(poduzeća!AE31="","",poduzeća!AE31)</f>
        <v/>
      </c>
      <c r="F34" s="313" t="str">
        <f>IF(poduzeća!AF31="","",poduzeća!AF31)</f>
        <v/>
      </c>
      <c r="G34" s="295"/>
      <c r="H34" s="295">
        <v>27.5</v>
      </c>
      <c r="I34" s="522" t="s">
        <v>897</v>
      </c>
      <c r="J34" s="297">
        <f>50*1.1+30</f>
        <v>85</v>
      </c>
      <c r="K34" s="676">
        <v>85</v>
      </c>
      <c r="L34" s="898" t="s">
        <v>897</v>
      </c>
      <c r="M34" s="297">
        <f>50*1.1+30</f>
        <v>85</v>
      </c>
      <c r="N34" s="676">
        <v>85</v>
      </c>
      <c r="O34" s="736" t="s">
        <v>897</v>
      </c>
      <c r="P34" s="297">
        <f>50*1.1+30</f>
        <v>85</v>
      </c>
      <c r="Q34" s="297">
        <v>85</v>
      </c>
      <c r="R34" s="736" t="s">
        <v>897</v>
      </c>
      <c r="S34" s="297">
        <f>50*1.1+30</f>
        <v>85</v>
      </c>
      <c r="T34" s="956">
        <v>85</v>
      </c>
      <c r="U34" s="736" t="s">
        <v>897</v>
      </c>
      <c r="V34" s="869">
        <f>50*1.1+30</f>
        <v>85</v>
      </c>
      <c r="W34" s="677">
        <v>85</v>
      </c>
      <c r="X34" s="736" t="s">
        <v>897</v>
      </c>
      <c r="Y34" s="297">
        <f>50*1.1+30</f>
        <v>85</v>
      </c>
      <c r="Z34" s="294">
        <v>85</v>
      </c>
      <c r="AA34" s="736" t="s">
        <v>897</v>
      </c>
      <c r="AB34" s="297">
        <f>50*1.1+30</f>
        <v>85</v>
      </c>
      <c r="AC34" s="297">
        <v>85</v>
      </c>
      <c r="AD34" s="736" t="s">
        <v>897</v>
      </c>
      <c r="AE34" s="297">
        <f>50*1.1+30</f>
        <v>85</v>
      </c>
      <c r="AF34" s="297"/>
      <c r="AG34" s="736" t="s">
        <v>897</v>
      </c>
      <c r="AH34" s="297">
        <f>50*1.1+30</f>
        <v>85</v>
      </c>
      <c r="AI34" s="297"/>
      <c r="AJ34" s="736" t="s">
        <v>897</v>
      </c>
      <c r="AK34" s="297">
        <f>50*1.1+30</f>
        <v>85</v>
      </c>
      <c r="AL34" s="297"/>
      <c r="AM34" s="736" t="s">
        <v>897</v>
      </c>
      <c r="AN34" s="297">
        <f>50*1.1+30</f>
        <v>85</v>
      </c>
      <c r="AO34" s="297"/>
      <c r="AP34" s="736" t="s">
        <v>897</v>
      </c>
      <c r="AQ34" s="297">
        <f>50*1.1+30</f>
        <v>85</v>
      </c>
      <c r="AR34" s="297"/>
      <c r="AS34" s="297"/>
      <c r="AT3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1020</v>
      </c>
      <c r="AU3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595</v>
      </c>
      <c r="AV34" s="311" t="s">
        <v>198</v>
      </c>
      <c r="AW34" s="295"/>
      <c r="AX34" s="327"/>
      <c r="AY34" s="328"/>
      <c r="AZ34" s="288">
        <f>VLOOKUP(A34,Table6[],30,0)</f>
        <v>0</v>
      </c>
    </row>
    <row r="35" spans="1:52" ht="15" customHeight="1">
      <c r="A35" s="292">
        <v>31</v>
      </c>
      <c r="B35" s="277" t="str">
        <f>VLOOKUP(Table1[[#This Row],[šifra]],Table6[],2,0)</f>
        <v>Cardiorent j.d.o.o.</v>
      </c>
      <c r="C35" s="277" t="str">
        <f>VLOOKUP(Table1[[#This Row],[šifra]],Table6[],4,0)</f>
        <v>LAURA</v>
      </c>
      <c r="D35" s="276" t="str">
        <f>VLOOKUP(A35,Table6[],21,0)</f>
        <v>50(+ 10%)pdv</v>
      </c>
      <c r="E35" s="503" t="str">
        <f>IF(poduzeća!AE32="","",poduzeća!AE32)</f>
        <v>1.6.2024</v>
      </c>
      <c r="F35" s="504">
        <f>IF(poduzeća!AF32="","",poduzeća!AF32)</f>
        <v>500</v>
      </c>
      <c r="G35" s="295">
        <v>625</v>
      </c>
      <c r="H35" s="295">
        <v>27.5</v>
      </c>
      <c r="I35" s="736" t="s">
        <v>897</v>
      </c>
      <c r="J35" s="297">
        <f>50*1.1</f>
        <v>55.000000000000007</v>
      </c>
      <c r="K35" s="676">
        <v>55</v>
      </c>
      <c r="L35" s="736" t="s">
        <v>897</v>
      </c>
      <c r="M35" s="297">
        <f>50*1.1</f>
        <v>55.000000000000007</v>
      </c>
      <c r="N35" s="676">
        <v>68.75</v>
      </c>
      <c r="O35" s="736" t="s">
        <v>897</v>
      </c>
      <c r="P35" s="297">
        <f>50*1.1</f>
        <v>55.000000000000007</v>
      </c>
      <c r="Q35" s="297">
        <v>55</v>
      </c>
      <c r="R35" s="736" t="s">
        <v>897</v>
      </c>
      <c r="S35" s="297">
        <f>50*1.1</f>
        <v>55.000000000000007</v>
      </c>
      <c r="T35" s="956">
        <v>110</v>
      </c>
      <c r="U35" s="736" t="s">
        <v>897</v>
      </c>
      <c r="V35" s="869">
        <f>50*1.1</f>
        <v>55.000000000000007</v>
      </c>
      <c r="W35" s="677">
        <v>55</v>
      </c>
      <c r="X35" s="736" t="s">
        <v>897</v>
      </c>
      <c r="Y35" s="1044">
        <v>555</v>
      </c>
      <c r="Z35" s="675">
        <v>555</v>
      </c>
      <c r="AA35" s="736" t="s">
        <v>897</v>
      </c>
      <c r="AB35" s="297">
        <f>50*1.1</f>
        <v>55.000000000000007</v>
      </c>
      <c r="AC35" s="297">
        <v>55</v>
      </c>
      <c r="AD35" s="736" t="s">
        <v>897</v>
      </c>
      <c r="AE35" s="297">
        <f>50*1.1</f>
        <v>55.000000000000007</v>
      </c>
      <c r="AF35" s="297">
        <v>55</v>
      </c>
      <c r="AG35" s="736" t="s">
        <v>897</v>
      </c>
      <c r="AH35" s="297">
        <f>50*1.1</f>
        <v>55.000000000000007</v>
      </c>
      <c r="AI35" s="297"/>
      <c r="AJ35" s="736" t="s">
        <v>897</v>
      </c>
      <c r="AK35" s="297">
        <f>50*1.1</f>
        <v>55.000000000000007</v>
      </c>
      <c r="AL35" s="297"/>
      <c r="AM35" s="736" t="s">
        <v>897</v>
      </c>
      <c r="AN35" s="297">
        <f>50*1.1</f>
        <v>55.000000000000007</v>
      </c>
      <c r="AO35" s="297"/>
      <c r="AP35" s="736" t="s">
        <v>897</v>
      </c>
      <c r="AQ35" s="297">
        <f>50*1.1</f>
        <v>55.000000000000007</v>
      </c>
      <c r="AR35" s="297"/>
      <c r="AS35" s="297"/>
      <c r="AT3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1160</v>
      </c>
      <c r="AU3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1008.75</v>
      </c>
      <c r="AV35" s="295"/>
      <c r="AW35" s="295"/>
      <c r="AX35" s="327"/>
      <c r="AY35" s="328"/>
      <c r="AZ35" s="288">
        <f>VLOOKUP(A35,Table6[],30,0)</f>
        <v>0</v>
      </c>
    </row>
    <row r="36" spans="1:52" ht="16.5" customHeight="1">
      <c r="A36" s="292">
        <v>32</v>
      </c>
      <c r="B36" s="277" t="str">
        <f>VLOOKUP(Table1[[#This Row],[šifra]],Table6[],2,0)</f>
        <v>CEDRUM PROJEKT j.d.o.o.</v>
      </c>
      <c r="C36" s="277" t="str">
        <f>VLOOKUP(Table1[[#This Row],[šifra]],Table6[],4,0)</f>
        <v>GABRIJELA</v>
      </c>
      <c r="D36" s="276" t="str">
        <f>VLOOKUP(A36,Table6[],21,0)</f>
        <v>50(+10%)+pdv /mj</v>
      </c>
      <c r="E36" s="314" t="str">
        <f>IF(poduzeća!AE33="","",poduzeća!AE33)</f>
        <v/>
      </c>
      <c r="F36" s="313" t="str">
        <f>IF(poduzeća!AF33="","",poduzeća!AF33)</f>
        <v/>
      </c>
      <c r="G36" s="295">
        <v>-18.57</v>
      </c>
      <c r="H36" s="295"/>
      <c r="I36" s="305" t="s">
        <v>892</v>
      </c>
      <c r="J36" s="297">
        <f>50*1.1</f>
        <v>55.000000000000007</v>
      </c>
      <c r="K36" s="297">
        <v>55</v>
      </c>
      <c r="L36" s="305" t="s">
        <v>892</v>
      </c>
      <c r="M36" s="698"/>
      <c r="N36" s="698">
        <v>55</v>
      </c>
      <c r="O36" s="699" t="s">
        <v>892</v>
      </c>
      <c r="P36" s="698"/>
      <c r="Q36" s="676">
        <v>55</v>
      </c>
      <c r="R36" s="699" t="s">
        <v>892</v>
      </c>
      <c r="S36" s="698">
        <v>55</v>
      </c>
      <c r="T36" s="956">
        <v>155</v>
      </c>
      <c r="U36" s="305" t="s">
        <v>892</v>
      </c>
      <c r="V36" s="869">
        <f>50*1.1</f>
        <v>55.000000000000007</v>
      </c>
      <c r="W36" s="677">
        <v>55</v>
      </c>
      <c r="X36" s="305" t="s">
        <v>892</v>
      </c>
      <c r="Y36" s="297">
        <f>50*1.1</f>
        <v>55.000000000000007</v>
      </c>
      <c r="Z36" s="675">
        <v>55</v>
      </c>
      <c r="AA36" s="305" t="s">
        <v>892</v>
      </c>
      <c r="AB36" s="297">
        <f>50*1.1</f>
        <v>55.000000000000007</v>
      </c>
      <c r="AC36" s="297">
        <v>55</v>
      </c>
      <c r="AD36" s="305" t="s">
        <v>892</v>
      </c>
      <c r="AE36" s="297">
        <f>50*1.1</f>
        <v>55.000000000000007</v>
      </c>
      <c r="AF36" s="297"/>
      <c r="AG36" s="305" t="s">
        <v>892</v>
      </c>
      <c r="AH36" s="297">
        <f>50*1.1</f>
        <v>55.000000000000007</v>
      </c>
      <c r="AI36" s="297"/>
      <c r="AJ36" s="305" t="s">
        <v>892</v>
      </c>
      <c r="AK36" s="297">
        <f>50*1.1</f>
        <v>55.000000000000007</v>
      </c>
      <c r="AL36" s="297"/>
      <c r="AM36" s="305" t="s">
        <v>892</v>
      </c>
      <c r="AN36" s="297">
        <f>50*1.1</f>
        <v>55.000000000000007</v>
      </c>
      <c r="AO36" s="297"/>
      <c r="AP36" s="305" t="s">
        <v>892</v>
      </c>
      <c r="AQ36" s="297">
        <f>50*1.1</f>
        <v>55.000000000000007</v>
      </c>
      <c r="AR36" s="297"/>
      <c r="AS36" s="297"/>
      <c r="AT3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550</v>
      </c>
      <c r="AU3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485</v>
      </c>
      <c r="AV36" s="295"/>
      <c r="AW36" s="295"/>
      <c r="AX36" s="327"/>
      <c r="AY36" s="328"/>
      <c r="AZ36" s="288">
        <f>VLOOKUP(A36,Table6[],30,0)</f>
        <v>0</v>
      </c>
    </row>
    <row r="37" spans="1:52" ht="15" customHeight="1">
      <c r="A37" s="292">
        <v>33</v>
      </c>
      <c r="B37" s="277" t="str">
        <f>VLOOKUP(Table1[[#This Row],[šifra]],Table6[],2,0)</f>
        <v>ComVin Agro d.o.o.</v>
      </c>
      <c r="C37" s="277" t="str">
        <f>VLOOKUP(Table1[[#This Row],[šifra]],Table6[],4,0)</f>
        <v>NIKOLINA</v>
      </c>
      <c r="D37" s="276" t="str">
        <f>VLOOKUP(A37,Table6[],21,0)</f>
        <v>187,50 (+10%) +pdv mj treba novi ugovor</v>
      </c>
      <c r="E37" s="314" t="str">
        <f>IF(poduzeća!AE34="","",poduzeća!AE34)</f>
        <v/>
      </c>
      <c r="F37" s="313" t="str">
        <f>IF(poduzeća!AF34="","",poduzeća!AF34)</f>
        <v/>
      </c>
      <c r="G37" s="295">
        <v>325</v>
      </c>
      <c r="H37" s="295"/>
      <c r="I37" s="305" t="s">
        <v>901</v>
      </c>
      <c r="J37" s="297">
        <f>150*1.1</f>
        <v>165</v>
      </c>
      <c r="K37" s="676">
        <v>165</v>
      </c>
      <c r="L37" s="301" t="s">
        <v>901</v>
      </c>
      <c r="M37" s="297">
        <f>150*1.1</f>
        <v>165</v>
      </c>
      <c r="N37" s="676">
        <v>165</v>
      </c>
      <c r="O37" s="301" t="s">
        <v>901</v>
      </c>
      <c r="P37" s="297">
        <f>150*1.1</f>
        <v>165</v>
      </c>
      <c r="Q37" s="297">
        <v>165</v>
      </c>
      <c r="R37" s="301" t="s">
        <v>901</v>
      </c>
      <c r="S37" s="297">
        <f>150*1.1</f>
        <v>165</v>
      </c>
      <c r="T37" s="956">
        <v>330</v>
      </c>
      <c r="U37" s="301" t="s">
        <v>901</v>
      </c>
      <c r="V37" s="297">
        <f>150*1.1</f>
        <v>165</v>
      </c>
      <c r="W37" s="677">
        <v>245</v>
      </c>
      <c r="X37" s="301" t="s">
        <v>901</v>
      </c>
      <c r="Y37" s="297">
        <f>150*1.1</f>
        <v>165</v>
      </c>
      <c r="Z37" s="675">
        <v>165</v>
      </c>
      <c r="AA37" s="301" t="s">
        <v>901</v>
      </c>
      <c r="AB37" s="297">
        <f>150*1.1</f>
        <v>165</v>
      </c>
      <c r="AC37" s="297">
        <v>165</v>
      </c>
      <c r="AD37" s="301" t="s">
        <v>901</v>
      </c>
      <c r="AE37" s="297">
        <f>150*1.1</f>
        <v>165</v>
      </c>
      <c r="AF37" s="297"/>
      <c r="AG37" s="301" t="s">
        <v>901</v>
      </c>
      <c r="AH37" s="297">
        <f>150*1.1</f>
        <v>165</v>
      </c>
      <c r="AI37" s="297"/>
      <c r="AJ37" s="301" t="s">
        <v>901</v>
      </c>
      <c r="AK37" s="297">
        <f>150*1.1</f>
        <v>165</v>
      </c>
      <c r="AL37" s="297"/>
      <c r="AM37" s="301" t="s">
        <v>901</v>
      </c>
      <c r="AN37" s="297">
        <f>150*1.1</f>
        <v>165</v>
      </c>
      <c r="AO37" s="297"/>
      <c r="AP37" s="301" t="s">
        <v>901</v>
      </c>
      <c r="AQ37" s="297">
        <f>150*1.1</f>
        <v>165</v>
      </c>
      <c r="AR37" s="297"/>
      <c r="AS37" s="297"/>
      <c r="AT3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1980</v>
      </c>
      <c r="AU3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1400</v>
      </c>
      <c r="AV37" s="295"/>
      <c r="AW37" s="295"/>
      <c r="AX37" s="327"/>
      <c r="AY37" s="328"/>
      <c r="AZ37" s="288">
        <f>VLOOKUP(A37,Table6[],30,0)</f>
        <v>0</v>
      </c>
    </row>
    <row r="38" spans="1:52" ht="15" customHeight="1">
      <c r="A38" s="292">
        <v>34</v>
      </c>
      <c r="B38" s="277" t="str">
        <f>VLOOKUP(Table1[[#This Row],[šifra]],Table6[],2,0)</f>
        <v>Creative Group d.o.o.</v>
      </c>
      <c r="C38" s="277" t="str">
        <f>VLOOKUP(Table1[[#This Row],[šifra]],Table6[],4,0)</f>
        <v>NITKO</v>
      </c>
      <c r="D38" s="276" t="str">
        <f>VLOOKUP(A38,Table6[],21,0)</f>
        <v>50- JOPPD +2 EUR / DJELATNIKU</v>
      </c>
      <c r="E38" s="314" t="str">
        <f>IF(poduzeća!AE35="","",poduzeća!AE35)</f>
        <v/>
      </c>
      <c r="F38" s="313" t="str">
        <f>IF(poduzeća!AF35="","",poduzeća!AF35)</f>
        <v/>
      </c>
      <c r="G38" s="1010"/>
      <c r="H38" s="1010"/>
      <c r="I38" s="299"/>
      <c r="J38" s="307"/>
      <c r="K38" s="302"/>
      <c r="L38" s="299"/>
      <c r="M38" s="307"/>
      <c r="N38" s="302"/>
      <c r="O38" s="299"/>
      <c r="P38" s="307"/>
      <c r="Q38" s="302"/>
      <c r="R38" s="299"/>
      <c r="S38" s="307"/>
      <c r="T38" s="677"/>
      <c r="U38" s="299"/>
      <c r="V38" s="307"/>
      <c r="W38" s="302"/>
      <c r="X38" s="299"/>
      <c r="Y38" s="307"/>
      <c r="Z38" s="304"/>
      <c r="AA38" s="299"/>
      <c r="AB38" s="307"/>
      <c r="AC38" s="302"/>
      <c r="AD38" s="299"/>
      <c r="AE38" s="307"/>
      <c r="AF38" s="302"/>
      <c r="AG38" s="299"/>
      <c r="AH38" s="307"/>
      <c r="AI38" s="302"/>
      <c r="AJ38" s="299"/>
      <c r="AK38" s="307"/>
      <c r="AL38" s="302"/>
      <c r="AM38" s="299"/>
      <c r="AN38" s="307"/>
      <c r="AO38" s="302"/>
      <c r="AP38" s="299"/>
      <c r="AQ38" s="307"/>
      <c r="AR38" s="297"/>
      <c r="AS38" s="297"/>
      <c r="AT3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3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38" s="311" t="s">
        <v>198</v>
      </c>
      <c r="AW38" s="295"/>
      <c r="AX38" s="327"/>
      <c r="AY38" s="328"/>
      <c r="AZ38" s="288">
        <f>VLOOKUP(A38,Table6[],30,0)</f>
        <v>0</v>
      </c>
    </row>
    <row r="39" spans="1:52" ht="15" customHeight="1">
      <c r="A39" s="292">
        <v>35</v>
      </c>
      <c r="B39" s="277" t="str">
        <f>VLOOKUP(Table1[[#This Row],[šifra]],Table6[],2,0)</f>
        <v>CRO ENERGIJA d.o.o.</v>
      </c>
      <c r="C39" s="277" t="str">
        <f>VLOOKUP(Table1[[#This Row],[šifra]],Table6[],4,0)</f>
        <v>GABRIJELA</v>
      </c>
      <c r="D39" s="276" t="str">
        <f>VLOOKUP(A39,Table6[],21,0)</f>
        <v xml:space="preserve"> plaća EU solar</v>
      </c>
      <c r="E39" s="314" t="str">
        <f>IF(poduzeća!AE36="","",poduzeća!AE36)</f>
        <v/>
      </c>
      <c r="F39" s="313" t="str">
        <f>IF(poduzeća!AF36="","",poduzeća!AF36)</f>
        <v/>
      </c>
      <c r="G39" s="1010">
        <v>156.25</v>
      </c>
      <c r="H39" s="1010"/>
      <c r="I39" s="299" t="s">
        <v>892</v>
      </c>
      <c r="J39" s="302"/>
      <c r="K39" s="302"/>
      <c r="L39" s="299" t="s">
        <v>892</v>
      </c>
      <c r="M39" s="302"/>
      <c r="N39" s="853"/>
      <c r="O39" s="299" t="s">
        <v>892</v>
      </c>
      <c r="P39" s="302"/>
      <c r="Q39" s="677"/>
      <c r="R39" s="299" t="s">
        <v>892</v>
      </c>
      <c r="S39" s="302"/>
      <c r="T39" s="677"/>
      <c r="U39" s="299" t="s">
        <v>892</v>
      </c>
      <c r="V39" s="302">
        <v>125</v>
      </c>
      <c r="W39" s="302">
        <v>125</v>
      </c>
      <c r="X39" s="299" t="s">
        <v>892</v>
      </c>
      <c r="Y39" s="302">
        <v>125</v>
      </c>
      <c r="Z39" s="677">
        <v>125</v>
      </c>
      <c r="AA39" s="299" t="s">
        <v>892</v>
      </c>
      <c r="AB39" s="302">
        <v>125</v>
      </c>
      <c r="AC39" s="853"/>
      <c r="AD39" s="299" t="s">
        <v>892</v>
      </c>
      <c r="AE39" s="302">
        <v>125</v>
      </c>
      <c r="AF39" s="302"/>
      <c r="AG39" s="299" t="s">
        <v>892</v>
      </c>
      <c r="AH39" s="302">
        <v>125</v>
      </c>
      <c r="AI39" s="302"/>
      <c r="AJ39" s="299" t="s">
        <v>892</v>
      </c>
      <c r="AK39" s="302">
        <v>125</v>
      </c>
      <c r="AL39" s="302"/>
      <c r="AM39" s="299" t="s">
        <v>892</v>
      </c>
      <c r="AN39" s="302">
        <v>125</v>
      </c>
      <c r="AO39" s="302"/>
      <c r="AP39" s="299" t="s">
        <v>892</v>
      </c>
      <c r="AQ39" s="302">
        <v>125</v>
      </c>
      <c r="AR39" s="297"/>
      <c r="AS39" s="297"/>
      <c r="AT3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1000</v>
      </c>
      <c r="AU3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250</v>
      </c>
      <c r="AV39" s="295"/>
      <c r="AW39" s="295"/>
      <c r="AX39" s="327"/>
      <c r="AY39" s="328"/>
      <c r="AZ39" s="288">
        <f>VLOOKUP(A39,Table6[],30,0)</f>
        <v>0</v>
      </c>
    </row>
    <row r="40" spans="1:52" ht="15" customHeight="1">
      <c r="A40" s="292">
        <v>36</v>
      </c>
      <c r="B40" s="277" t="str">
        <f>VLOOKUP(Table1[[#This Row],[šifra]],Table6[],2,0)</f>
        <v>CRUDA NAVITAS d.o.o.</v>
      </c>
      <c r="C40" s="277" t="str">
        <f>VLOOKUP(Table1[[#This Row],[šifra]],Table6[],4,0)</f>
        <v>LAURA /IVA INAN.</v>
      </c>
      <c r="D40" s="276" t="str">
        <f>VLOOKUP(A40,Table6[],21,0)</f>
        <v>360(+10%)+PDV /mj</v>
      </c>
      <c r="E40" s="314">
        <f>IF(poduzeća!AE37="","",poduzeća!AE37)</f>
        <v>45870</v>
      </c>
      <c r="F40" s="313">
        <f>IF(poduzeća!AF37="","",poduzeća!AF37)</f>
        <v>600</v>
      </c>
      <c r="G40" s="295"/>
      <c r="H40" s="295"/>
      <c r="I40" s="326" t="s">
        <v>897</v>
      </c>
      <c r="J40" s="302">
        <f>360*1.1</f>
        <v>396.00000000000006</v>
      </c>
      <c r="K40" s="677">
        <v>396</v>
      </c>
      <c r="L40" s="326" t="s">
        <v>897</v>
      </c>
      <c r="M40" s="302">
        <f>360*1.1</f>
        <v>396.00000000000006</v>
      </c>
      <c r="N40" s="677">
        <v>495</v>
      </c>
      <c r="O40" s="326" t="s">
        <v>897</v>
      </c>
      <c r="P40" s="867">
        <f>360*1.1</f>
        <v>396.00000000000006</v>
      </c>
      <c r="Q40" s="302">
        <f>396+209</f>
        <v>605</v>
      </c>
      <c r="R40" s="326" t="s">
        <v>897</v>
      </c>
      <c r="S40" s="302">
        <f>360*1.1</f>
        <v>396.00000000000006</v>
      </c>
      <c r="T40" s="957">
        <v>1290</v>
      </c>
      <c r="U40" s="326" t="s">
        <v>897</v>
      </c>
      <c r="V40" s="867">
        <f>360*1.1</f>
        <v>396.00000000000006</v>
      </c>
      <c r="W40" s="677">
        <v>396</v>
      </c>
      <c r="X40" s="326" t="s">
        <v>897</v>
      </c>
      <c r="Y40" s="302">
        <f>360*1.1</f>
        <v>396.00000000000006</v>
      </c>
      <c r="Z40" s="678">
        <v>396</v>
      </c>
      <c r="AA40" s="326" t="s">
        <v>897</v>
      </c>
      <c r="AB40" s="302">
        <f>360*1.1</f>
        <v>396.00000000000006</v>
      </c>
      <c r="AC40" s="302">
        <v>396</v>
      </c>
      <c r="AD40" s="326" t="s">
        <v>897</v>
      </c>
      <c r="AE40" s="302">
        <f>360*1.1</f>
        <v>396.00000000000006</v>
      </c>
      <c r="AF40" s="302">
        <v>396</v>
      </c>
      <c r="AG40" s="326" t="s">
        <v>897</v>
      </c>
      <c r="AH40" s="302">
        <f>360*1.1</f>
        <v>396.00000000000006</v>
      </c>
      <c r="AI40" s="302"/>
      <c r="AJ40" s="326" t="s">
        <v>897</v>
      </c>
      <c r="AK40" s="302">
        <f>360*1.1</f>
        <v>396.00000000000006</v>
      </c>
      <c r="AL40" s="302"/>
      <c r="AM40" s="326" t="s">
        <v>897</v>
      </c>
      <c r="AN40" s="302">
        <f>360*1.1</f>
        <v>396.00000000000006</v>
      </c>
      <c r="AO40" s="302"/>
      <c r="AP40" s="326" t="s">
        <v>897</v>
      </c>
      <c r="AQ40" s="302">
        <f>360*1.1</f>
        <v>396.00000000000006</v>
      </c>
      <c r="AR40" s="297"/>
      <c r="AS40" s="297"/>
      <c r="AT4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4752.0000000000009</v>
      </c>
      <c r="AU4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4370</v>
      </c>
      <c r="AV40" s="316"/>
      <c r="AW40" s="295"/>
      <c r="AX40" s="327"/>
      <c r="AY40" s="328"/>
      <c r="AZ40" s="288">
        <f>VLOOKUP(A40,Table6[],30,0)</f>
        <v>0</v>
      </c>
    </row>
    <row r="41" spans="1:52" ht="15" customHeight="1">
      <c r="A41" s="287">
        <v>37</v>
      </c>
      <c r="B41" s="276" t="str">
        <f>VLOOKUP(Table1[[#This Row],[šifra]],Table6[],2,0)</f>
        <v>CRYSTAL HOLIDAY RESIDENCE d.o.o.</v>
      </c>
      <c r="C41" s="276" t="str">
        <f>VLOOKUP(Table1[[#This Row],[šifra]],Table6[],4,0)</f>
        <v>MARKO</v>
      </c>
      <c r="D41" s="276" t="str">
        <f>VLOOKUP(A41,Table6[],21,0)</f>
        <v>190(+10%)+pdv /mj</v>
      </c>
      <c r="E41" s="314" t="str">
        <f>IF(poduzeća!AE38="","",poduzeća!AE38)</f>
        <v>3.3.2022</v>
      </c>
      <c r="F41" s="313">
        <f>IF(poduzeća!AF38="","",poduzeća!AF38)</f>
        <v>500</v>
      </c>
      <c r="G41" s="293"/>
      <c r="H41" s="293">
        <v>104.5</v>
      </c>
      <c r="I41" s="736" t="s">
        <v>897</v>
      </c>
      <c r="J41" s="304">
        <f>190*1.1</f>
        <v>209.00000000000003</v>
      </c>
      <c r="K41" s="678">
        <v>209</v>
      </c>
      <c r="L41" s="736" t="s">
        <v>897</v>
      </c>
      <c r="M41" s="304">
        <f>190*1.1</f>
        <v>209.00000000000003</v>
      </c>
      <c r="N41" s="678">
        <v>261.25</v>
      </c>
      <c r="O41" s="736" t="s">
        <v>897</v>
      </c>
      <c r="P41" s="304">
        <f>190*1.1+500</f>
        <v>709</v>
      </c>
      <c r="Q41" s="304">
        <v>709</v>
      </c>
      <c r="R41" s="736" t="s">
        <v>897</v>
      </c>
      <c r="S41" s="304">
        <f>190*1.1</f>
        <v>209.00000000000003</v>
      </c>
      <c r="T41" s="958">
        <v>209</v>
      </c>
      <c r="U41" s="736" t="s">
        <v>897</v>
      </c>
      <c r="V41" s="870">
        <f>190*1.1</f>
        <v>209.00000000000003</v>
      </c>
      <c r="W41" s="678">
        <v>209</v>
      </c>
      <c r="X41" s="736" t="s">
        <v>897</v>
      </c>
      <c r="Y41" s="304">
        <f>190*1.1</f>
        <v>209.00000000000003</v>
      </c>
      <c r="Z41" s="304">
        <v>209</v>
      </c>
      <c r="AA41" s="736" t="s">
        <v>897</v>
      </c>
      <c r="AB41" s="304">
        <f>190*1.1</f>
        <v>209.00000000000003</v>
      </c>
      <c r="AC41" s="304">
        <v>209</v>
      </c>
      <c r="AD41" s="736" t="s">
        <v>897</v>
      </c>
      <c r="AE41" s="304">
        <f>190*1.1</f>
        <v>209.00000000000003</v>
      </c>
      <c r="AF41" s="304"/>
      <c r="AG41" s="736" t="s">
        <v>897</v>
      </c>
      <c r="AH41" s="304">
        <f>190*1.1</f>
        <v>209.00000000000003</v>
      </c>
      <c r="AI41" s="304"/>
      <c r="AJ41" s="736" t="s">
        <v>897</v>
      </c>
      <c r="AK41" s="304">
        <f>190*1.1</f>
        <v>209.00000000000003</v>
      </c>
      <c r="AL41" s="304"/>
      <c r="AM41" s="736" t="s">
        <v>897</v>
      </c>
      <c r="AN41" s="304">
        <f>190*1.1</f>
        <v>209.00000000000003</v>
      </c>
      <c r="AO41" s="304"/>
      <c r="AP41" s="736" t="s">
        <v>897</v>
      </c>
      <c r="AQ41" s="304">
        <f>190*1.1</f>
        <v>209.00000000000003</v>
      </c>
      <c r="AR41" s="294"/>
      <c r="AS41" s="294"/>
      <c r="AT41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3008</v>
      </c>
      <c r="AU41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2015.25</v>
      </c>
      <c r="AV41" s="293"/>
      <c r="AW41" s="293"/>
      <c r="AX41" s="327"/>
      <c r="AY41" s="328"/>
      <c r="AZ41" s="288">
        <f>VLOOKUP(A41,Table6[],30,0)</f>
        <v>0</v>
      </c>
    </row>
    <row r="42" spans="1:52" ht="15" customHeight="1">
      <c r="A42" s="292">
        <v>38</v>
      </c>
      <c r="B42" s="277" t="str">
        <f>VLOOKUP(Table1[[#This Row],[šifra]],Table6[],2,0)</f>
        <v>Dalmatia Asset Operation d.o.o.</v>
      </c>
      <c r="C42" s="277" t="str">
        <f>VLOOKUP(Table1[[#This Row],[šifra]],Table6[],4,0)</f>
        <v>VESNA</v>
      </c>
      <c r="D42" s="276" t="str">
        <f>VLOOKUP(A42,Table6[],21,0)</f>
        <v>100(+10%)+pdv/mj</v>
      </c>
      <c r="E42" s="314" t="str">
        <f>IF(poduzeća!AE39="","",poduzeća!AE39)</f>
        <v/>
      </c>
      <c r="F42" s="313" t="str">
        <f>IF(poduzeća!AF39="","",poduzeća!AF39)</f>
        <v/>
      </c>
      <c r="G42" s="295">
        <v>362.5</v>
      </c>
      <c r="H42" s="295">
        <v>90</v>
      </c>
      <c r="I42" s="289" t="s">
        <v>897</v>
      </c>
      <c r="J42" s="302">
        <f>100*1.1</f>
        <v>110.00000000000001</v>
      </c>
      <c r="K42" s="677">
        <v>110</v>
      </c>
      <c r="L42" s="289" t="s">
        <v>897</v>
      </c>
      <c r="M42" s="302">
        <f>100*1.1</f>
        <v>110.00000000000001</v>
      </c>
      <c r="N42" s="677">
        <v>110</v>
      </c>
      <c r="O42" s="289" t="s">
        <v>897</v>
      </c>
      <c r="P42" s="867">
        <f>100*1.1</f>
        <v>110.00000000000001</v>
      </c>
      <c r="Q42" s="302">
        <v>110</v>
      </c>
      <c r="R42" s="289" t="s">
        <v>897</v>
      </c>
      <c r="S42" s="302">
        <f>100*1.1</f>
        <v>110.00000000000001</v>
      </c>
      <c r="T42" s="957">
        <v>270</v>
      </c>
      <c r="U42" s="289" t="s">
        <v>897</v>
      </c>
      <c r="V42" s="867">
        <f>100*1.1</f>
        <v>110.00000000000001</v>
      </c>
      <c r="W42" s="678">
        <v>180</v>
      </c>
      <c r="X42" s="289" t="s">
        <v>897</v>
      </c>
      <c r="Y42" s="836">
        <f>100*1.1</f>
        <v>110.00000000000001</v>
      </c>
      <c r="Z42" s="678">
        <v>110</v>
      </c>
      <c r="AA42" s="289" t="s">
        <v>897</v>
      </c>
      <c r="AB42" s="302">
        <f>100*1.1</f>
        <v>110.00000000000001</v>
      </c>
      <c r="AC42" s="302">
        <v>110</v>
      </c>
      <c r="AD42" s="289" t="s">
        <v>897</v>
      </c>
      <c r="AE42" s="302">
        <f>100*1.1</f>
        <v>110.00000000000001</v>
      </c>
      <c r="AF42" s="302">
        <v>110</v>
      </c>
      <c r="AG42" s="289" t="s">
        <v>897</v>
      </c>
      <c r="AH42" s="302">
        <f>100*1.1</f>
        <v>110.00000000000001</v>
      </c>
      <c r="AI42" s="302"/>
      <c r="AJ42" s="289" t="s">
        <v>897</v>
      </c>
      <c r="AK42" s="302">
        <f>100*1.1</f>
        <v>110.00000000000001</v>
      </c>
      <c r="AL42" s="302"/>
      <c r="AM42" s="289" t="s">
        <v>897</v>
      </c>
      <c r="AN42" s="302">
        <f>100*1.1</f>
        <v>110.00000000000001</v>
      </c>
      <c r="AO42" s="302"/>
      <c r="AP42" s="289" t="s">
        <v>897</v>
      </c>
      <c r="AQ42" s="302">
        <f>100*1.1</f>
        <v>110.00000000000001</v>
      </c>
      <c r="AR42" s="297"/>
      <c r="AS42" s="297"/>
      <c r="AT4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4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1110</v>
      </c>
      <c r="AV42" s="295"/>
      <c r="AW42" s="295"/>
      <c r="AX42" s="327"/>
      <c r="AY42" s="328"/>
      <c r="AZ42" s="288">
        <f>VLOOKUP(A42,Table6[],30,0)</f>
        <v>0</v>
      </c>
    </row>
    <row r="43" spans="1:52" ht="15" customHeight="1">
      <c r="A43" s="292">
        <v>39</v>
      </c>
      <c r="B43" s="277" t="str">
        <f>VLOOKUP(Table1[[#This Row],[šifra]],Table6[],2,0)</f>
        <v>DECKMAN C-BELT KFT</v>
      </c>
      <c r="C43" s="277" t="str">
        <f>VLOOKUP(Table1[[#This Row],[šifra]],Table6[],4,0)</f>
        <v>NIKOLINA</v>
      </c>
      <c r="D43" s="276" t="str">
        <f>VLOOKUP(A43,Table6[],21,0)</f>
        <v>100(+10%) /mj</v>
      </c>
      <c r="E43" s="314" t="str">
        <f>IF(poduzeća!AE40="","",poduzeća!AE40)</f>
        <v/>
      </c>
      <c r="F43" s="313" t="str">
        <f>IF(poduzeća!AF40="","",poduzeća!AF40)</f>
        <v/>
      </c>
      <c r="G43" s="295"/>
      <c r="H43" s="295"/>
      <c r="I43" s="300" t="s">
        <v>892</v>
      </c>
      <c r="J43" s="302">
        <f>100*1.1</f>
        <v>110.00000000000001</v>
      </c>
      <c r="K43" s="302">
        <v>110</v>
      </c>
      <c r="L43" s="300" t="s">
        <v>892</v>
      </c>
      <c r="M43" s="302">
        <f>100*1.1</f>
        <v>110.00000000000001</v>
      </c>
      <c r="N43" s="302">
        <v>110</v>
      </c>
      <c r="O43" s="300" t="s">
        <v>892</v>
      </c>
      <c r="P43" s="302">
        <f>100*1.1</f>
        <v>110.00000000000001</v>
      </c>
      <c r="Q43" s="677">
        <v>110</v>
      </c>
      <c r="R43" s="300" t="s">
        <v>892</v>
      </c>
      <c r="S43" s="302">
        <f>100*1.1</f>
        <v>110.00000000000001</v>
      </c>
      <c r="T43" s="957">
        <v>110</v>
      </c>
      <c r="U43" s="300" t="s">
        <v>892</v>
      </c>
      <c r="V43" s="867">
        <f>100*1.1</f>
        <v>110.00000000000001</v>
      </c>
      <c r="W43" s="678">
        <v>110</v>
      </c>
      <c r="X43" s="300" t="s">
        <v>892</v>
      </c>
      <c r="Y43" s="302">
        <f>100*1.1</f>
        <v>110.00000000000001</v>
      </c>
      <c r="Z43" s="678">
        <v>110</v>
      </c>
      <c r="AA43" s="300" t="s">
        <v>892</v>
      </c>
      <c r="AB43" s="302">
        <f>100*1.1</f>
        <v>110.00000000000001</v>
      </c>
      <c r="AC43" s="302">
        <v>110</v>
      </c>
      <c r="AD43" s="736" t="s">
        <v>897</v>
      </c>
      <c r="AE43" s="302">
        <f>100*1.1</f>
        <v>110.00000000000001</v>
      </c>
      <c r="AF43" s="302"/>
      <c r="AG43" s="736" t="s">
        <v>897</v>
      </c>
      <c r="AH43" s="302">
        <f>100*1.1</f>
        <v>110.00000000000001</v>
      </c>
      <c r="AI43" s="297"/>
      <c r="AJ43" s="736" t="s">
        <v>897</v>
      </c>
      <c r="AK43" s="302">
        <f>100*1.1</f>
        <v>110.00000000000001</v>
      </c>
      <c r="AL43" s="302"/>
      <c r="AM43" s="736" t="s">
        <v>897</v>
      </c>
      <c r="AN43" s="302">
        <f>100*1.1</f>
        <v>110.00000000000001</v>
      </c>
      <c r="AO43" s="302"/>
      <c r="AP43" s="736" t="s">
        <v>897</v>
      </c>
      <c r="AQ43" s="302">
        <f>100*1.1</f>
        <v>110.00000000000001</v>
      </c>
      <c r="AR43" s="297"/>
      <c r="AS43" s="297"/>
      <c r="AT4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4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770</v>
      </c>
      <c r="AV43" s="295"/>
      <c r="AW43" s="295"/>
      <c r="AX43" s="327"/>
      <c r="AY43" s="328"/>
      <c r="AZ43" s="288">
        <f>VLOOKUP(A43,Table6[],30,0)</f>
        <v>0</v>
      </c>
    </row>
    <row r="44" spans="1:52" ht="15.75" customHeight="1">
      <c r="A44" s="292">
        <v>40</v>
      </c>
      <c r="B44" s="277" t="str">
        <f>VLOOKUP(Table1[[#This Row],[šifra]],Table6[],2,0)</f>
        <v>DEEP CONSTRUCT j.d.o.o.</v>
      </c>
      <c r="C44" s="277" t="str">
        <f>VLOOKUP(Table1[[#This Row],[šifra]],Table6[],4,0)</f>
        <v>F. MARKO</v>
      </c>
      <c r="D44" s="276" t="str">
        <f>VLOOKUP(A44,Table6[],21,0)</f>
        <v>FRANŠIZA</v>
      </c>
      <c r="E44" s="314">
        <f>IF(poduzeća!AE41="","",poduzeća!AE41)</f>
        <v>45536</v>
      </c>
      <c r="F44" s="313">
        <f>IF(poduzeća!AF41="","",poduzeća!AF41)</f>
        <v>500</v>
      </c>
      <c r="G44" s="295"/>
      <c r="H44" s="295"/>
      <c r="I44" s="736" t="s">
        <v>897</v>
      </c>
      <c r="J44" s="302"/>
      <c r="K44" s="302"/>
      <c r="L44" s="736" t="s">
        <v>897</v>
      </c>
      <c r="M44" s="302"/>
      <c r="N44" s="302"/>
      <c r="O44" s="736" t="s">
        <v>897</v>
      </c>
      <c r="P44" s="302"/>
      <c r="Q44" s="302"/>
      <c r="R44" s="736" t="s">
        <v>897</v>
      </c>
      <c r="S44" s="302"/>
      <c r="T44" s="677"/>
      <c r="U44" s="736" t="s">
        <v>897</v>
      </c>
      <c r="V44" s="302"/>
      <c r="W44" s="304"/>
      <c r="X44" s="736" t="s">
        <v>897</v>
      </c>
      <c r="Y44" s="302"/>
      <c r="Z44" s="304"/>
      <c r="AA44" s="736" t="s">
        <v>897</v>
      </c>
      <c r="AB44" s="302"/>
      <c r="AC44" s="302"/>
      <c r="AD44" s="736" t="s">
        <v>897</v>
      </c>
      <c r="AE44" s="302"/>
      <c r="AF44" s="302"/>
      <c r="AG44" s="736" t="s">
        <v>897</v>
      </c>
      <c r="AH44" s="302">
        <v>500</v>
      </c>
      <c r="AI44" s="302"/>
      <c r="AJ44" s="736" t="s">
        <v>897</v>
      </c>
      <c r="AK44" s="302"/>
      <c r="AL44" s="302"/>
      <c r="AM44" s="736" t="s">
        <v>897</v>
      </c>
      <c r="AN44" s="302"/>
      <c r="AO44" s="302"/>
      <c r="AP44" s="736" t="s">
        <v>897</v>
      </c>
      <c r="AQ44" s="302"/>
      <c r="AR44" s="297"/>
      <c r="AS44" s="297"/>
      <c r="AT4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500</v>
      </c>
      <c r="AU4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44" s="295"/>
      <c r="AW44" s="295"/>
      <c r="AX44" s="327"/>
      <c r="AY44" s="328"/>
      <c r="AZ44" s="288">
        <f>VLOOKUP(A44,Table6[],30,0)</f>
        <v>0</v>
      </c>
    </row>
    <row r="45" spans="1:52" ht="16.5" customHeight="1">
      <c r="A45" s="287">
        <v>41</v>
      </c>
      <c r="B45" s="276" t="str">
        <f>VLOOKUP(Table1[[#This Row],[šifra]],Table6[],2,0)</f>
        <v>DEICO franšizer IVAN</v>
      </c>
      <c r="C45" s="276" t="str">
        <f>VLOOKUP(Table1[[#This Row],[šifra]],Table6[],4,0)</f>
        <v>F. IVAN</v>
      </c>
      <c r="D45" s="276" t="str">
        <f>VLOOKUP(A45,Table6[],21,0)</f>
        <v>5% OD PROMETA</v>
      </c>
      <c r="E45" s="314" t="str">
        <f>IF(poduzeća!AE42="","",poduzeća!AE42)</f>
        <v/>
      </c>
      <c r="F45" s="313" t="str">
        <f>IF(poduzeća!AF42="","",poduzeća!AF42)</f>
        <v/>
      </c>
      <c r="G45" s="293">
        <v>750</v>
      </c>
      <c r="H45" s="293"/>
      <c r="I45" s="326" t="s">
        <v>897</v>
      </c>
      <c r="J45" s="304">
        <v>80</v>
      </c>
      <c r="K45" s="304">
        <v>77.5</v>
      </c>
      <c r="L45" s="326" t="s">
        <v>897</v>
      </c>
      <c r="M45" s="304">
        <v>80</v>
      </c>
      <c r="N45" s="678">
        <v>93.5</v>
      </c>
      <c r="O45" s="326" t="s">
        <v>897</v>
      </c>
      <c r="P45" s="678">
        <v>80</v>
      </c>
      <c r="Q45" s="304">
        <v>91</v>
      </c>
      <c r="R45" s="326" t="s">
        <v>897</v>
      </c>
      <c r="S45" s="304">
        <v>80</v>
      </c>
      <c r="T45" s="678">
        <v>91</v>
      </c>
      <c r="U45" s="326" t="s">
        <v>897</v>
      </c>
      <c r="V45" s="678">
        <v>80</v>
      </c>
      <c r="W45" s="678">
        <v>126</v>
      </c>
      <c r="X45" s="326" t="s">
        <v>897</v>
      </c>
      <c r="Y45" s="678">
        <v>80</v>
      </c>
      <c r="Z45" s="678">
        <v>129</v>
      </c>
      <c r="AA45" s="326" t="s">
        <v>897</v>
      </c>
      <c r="AB45" s="304">
        <v>80</v>
      </c>
      <c r="AC45" s="304">
        <v>202.75</v>
      </c>
      <c r="AD45" s="326" t="s">
        <v>897</v>
      </c>
      <c r="AE45" s="304">
        <v>80</v>
      </c>
      <c r="AF45" s="304"/>
      <c r="AG45" s="326" t="s">
        <v>897</v>
      </c>
      <c r="AH45" s="304">
        <v>80</v>
      </c>
      <c r="AI45" s="304"/>
      <c r="AJ45" s="326" t="s">
        <v>897</v>
      </c>
      <c r="AK45" s="304">
        <v>80</v>
      </c>
      <c r="AL45" s="304"/>
      <c r="AM45" s="326" t="s">
        <v>897</v>
      </c>
      <c r="AN45" s="304">
        <v>80</v>
      </c>
      <c r="AO45" s="304"/>
      <c r="AP45" s="326" t="s">
        <v>897</v>
      </c>
      <c r="AQ45" s="304">
        <v>80</v>
      </c>
      <c r="AR45" s="294"/>
      <c r="AS45" s="294"/>
      <c r="AT4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960</v>
      </c>
      <c r="AU45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810.75</v>
      </c>
      <c r="AV45" s="318" t="s">
        <v>198</v>
      </c>
      <c r="AW45" s="293"/>
      <c r="AX45" s="327"/>
      <c r="AY45" s="328"/>
      <c r="AZ45" s="288">
        <f>VLOOKUP(A45,Table6[],30,0)</f>
        <v>0</v>
      </c>
    </row>
    <row r="46" spans="1:52" ht="15" customHeight="1">
      <c r="A46" s="287">
        <v>42</v>
      </c>
      <c r="B46" s="276" t="str">
        <f>VLOOKUP(Table1[[#This Row],[šifra]],Table6[],2,0)</f>
        <v>DÉNÁR KFT</v>
      </c>
      <c r="C46" s="276" t="str">
        <f>VLOOKUP(Table1[[#This Row],[šifra]],Table6[],4,0)</f>
        <v>MAJA</v>
      </c>
      <c r="D46" s="276" t="str">
        <f>VLOOKUP(A46,Table6[],21,0)</f>
        <v>50(+10%)</v>
      </c>
      <c r="E46" s="314" t="str">
        <f>IF(poduzeća!AE43="","",poduzeća!AE43)</f>
        <v/>
      </c>
      <c r="F46" s="313" t="str">
        <f>IF(poduzeća!AF43="","",poduzeća!AF43)</f>
        <v/>
      </c>
      <c r="G46" s="293"/>
      <c r="H46" s="293"/>
      <c r="I46" s="326" t="s">
        <v>897</v>
      </c>
      <c r="J46" s="304">
        <v>55</v>
      </c>
      <c r="K46" s="678">
        <v>55</v>
      </c>
      <c r="L46" s="326" t="s">
        <v>897</v>
      </c>
      <c r="M46" s="304">
        <v>55</v>
      </c>
      <c r="N46" s="678">
        <v>55</v>
      </c>
      <c r="O46" s="326" t="s">
        <v>897</v>
      </c>
      <c r="P46" s="870">
        <v>55</v>
      </c>
      <c r="Q46" s="304">
        <v>55</v>
      </c>
      <c r="R46" s="326" t="s">
        <v>897</v>
      </c>
      <c r="S46" s="304">
        <v>55</v>
      </c>
      <c r="T46" s="958">
        <f>55+55</f>
        <v>110</v>
      </c>
      <c r="U46" s="326" t="s">
        <v>897</v>
      </c>
      <c r="V46" s="870">
        <v>55</v>
      </c>
      <c r="W46" s="678">
        <v>55</v>
      </c>
      <c r="X46" s="326" t="s">
        <v>897</v>
      </c>
      <c r="Y46" s="835">
        <v>55</v>
      </c>
      <c r="Z46" s="678">
        <v>55</v>
      </c>
      <c r="AA46" s="326" t="s">
        <v>897</v>
      </c>
      <c r="AB46" s="304">
        <v>55</v>
      </c>
      <c r="AC46" s="304">
        <v>55</v>
      </c>
      <c r="AD46" s="326" t="s">
        <v>897</v>
      </c>
      <c r="AE46" s="304">
        <v>55</v>
      </c>
      <c r="AF46" s="304">
        <v>55</v>
      </c>
      <c r="AG46" s="326" t="s">
        <v>897</v>
      </c>
      <c r="AH46" s="304">
        <v>55</v>
      </c>
      <c r="AI46" s="304"/>
      <c r="AJ46" s="326" t="s">
        <v>897</v>
      </c>
      <c r="AK46" s="304">
        <v>55</v>
      </c>
      <c r="AL46" s="304"/>
      <c r="AM46" s="326" t="s">
        <v>897</v>
      </c>
      <c r="AN46" s="304">
        <v>55</v>
      </c>
      <c r="AO46" s="304"/>
      <c r="AP46" s="326" t="s">
        <v>897</v>
      </c>
      <c r="AQ46" s="304">
        <v>55</v>
      </c>
      <c r="AR46" s="294"/>
      <c r="AS46" s="294"/>
      <c r="AT46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</v>
      </c>
      <c r="AU46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495</v>
      </c>
      <c r="AV46" s="318" t="s">
        <v>198</v>
      </c>
      <c r="AW46" s="293"/>
      <c r="AX46" s="327"/>
      <c r="AY46" s="328"/>
      <c r="AZ46" s="288">
        <f>VLOOKUP(A46,Table6[],30,0)</f>
        <v>0</v>
      </c>
    </row>
    <row r="47" spans="1:52" ht="14.25" customHeight="1">
      <c r="A47" s="292">
        <v>43</v>
      </c>
      <c r="B47" s="277" t="str">
        <f>VLOOKUP(Table1[[#This Row],[šifra]],Table6[],2,0)</f>
        <v>DG-ELEKTRO j.d.o.o.</v>
      </c>
      <c r="C47" s="277" t="str">
        <f>VLOOKUP(Table1[[#This Row],[šifra]],Table6[],4,0)</f>
        <v>VESNA</v>
      </c>
      <c r="D47" s="276" t="str">
        <f>VLOOKUP(A47,Table6[],21,0)</f>
        <v>80 (+10%)+PDV/mj</v>
      </c>
      <c r="E47" s="314" t="str">
        <f>IF(poduzeća!AE44="","",poduzeća!AE44)</f>
        <v/>
      </c>
      <c r="F47" s="313" t="str">
        <f>IF(poduzeća!AF44="","",poduzeća!AF44)</f>
        <v/>
      </c>
      <c r="G47" s="295">
        <v>220</v>
      </c>
      <c r="H47" s="295">
        <v>44</v>
      </c>
      <c r="I47" s="289" t="s">
        <v>897</v>
      </c>
      <c r="J47" s="302">
        <f>80*1.1</f>
        <v>88</v>
      </c>
      <c r="K47" s="677">
        <v>88</v>
      </c>
      <c r="L47" s="289" t="s">
        <v>897</v>
      </c>
      <c r="M47" s="302">
        <f>80*1.1</f>
        <v>88</v>
      </c>
      <c r="N47" s="677">
        <v>88</v>
      </c>
      <c r="O47" s="289" t="s">
        <v>897</v>
      </c>
      <c r="P47" s="867">
        <f>80*1.1</f>
        <v>88</v>
      </c>
      <c r="Q47" s="302">
        <v>88</v>
      </c>
      <c r="R47" s="289" t="s">
        <v>897</v>
      </c>
      <c r="S47" s="302">
        <f>80*1.1</f>
        <v>88</v>
      </c>
      <c r="T47" s="957">
        <v>198</v>
      </c>
      <c r="U47" s="289" t="s">
        <v>897</v>
      </c>
      <c r="V47" s="867">
        <f>80*1.1</f>
        <v>88</v>
      </c>
      <c r="W47" s="678">
        <v>88</v>
      </c>
      <c r="X47" s="289" t="s">
        <v>897</v>
      </c>
      <c r="Y47" s="302">
        <f>80*1.1</f>
        <v>88</v>
      </c>
      <c r="Z47" s="678">
        <v>88</v>
      </c>
      <c r="AA47" s="289" t="s">
        <v>897</v>
      </c>
      <c r="AB47" s="302">
        <f>80*1.1</f>
        <v>88</v>
      </c>
      <c r="AC47" s="302">
        <v>88</v>
      </c>
      <c r="AD47" s="289" t="s">
        <v>897</v>
      </c>
      <c r="AE47" s="302">
        <f>80*1.1</f>
        <v>88</v>
      </c>
      <c r="AF47" s="302">
        <v>88</v>
      </c>
      <c r="AG47" s="289" t="s">
        <v>897</v>
      </c>
      <c r="AH47" s="302">
        <f>80*1.1</f>
        <v>88</v>
      </c>
      <c r="AI47" s="302"/>
      <c r="AJ47" s="289" t="s">
        <v>897</v>
      </c>
      <c r="AK47" s="302">
        <f>80*1.1</f>
        <v>88</v>
      </c>
      <c r="AL47" s="302"/>
      <c r="AM47" s="289" t="s">
        <v>897</v>
      </c>
      <c r="AN47" s="302">
        <f>80*1.1</f>
        <v>88</v>
      </c>
      <c r="AO47" s="302"/>
      <c r="AP47" s="289" t="s">
        <v>897</v>
      </c>
      <c r="AQ47" s="302">
        <f>80*1.1</f>
        <v>88</v>
      </c>
      <c r="AR47" s="297"/>
      <c r="AS47" s="297"/>
      <c r="AT4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1056</v>
      </c>
      <c r="AU4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814</v>
      </c>
      <c r="AV47" s="316"/>
      <c r="AW47" s="295"/>
      <c r="AX47" s="327"/>
      <c r="AY47" s="328"/>
      <c r="AZ47" s="288">
        <f>VLOOKUP(A47,Table6[],30,0)</f>
        <v>0</v>
      </c>
    </row>
    <row r="48" spans="1:52" ht="14.25" customHeight="1">
      <c r="A48" s="287">
        <v>44</v>
      </c>
      <c r="B48" s="276" t="str">
        <f>VLOOKUP(Table1[[#This Row],[šifra]],Table6[],2,0)</f>
        <v>D-INVOICE d.o.o.</v>
      </c>
      <c r="C48" s="276" t="str">
        <f>VLOOKUP(Table1[[#This Row],[šifra]],Table6[],4,0)</f>
        <v>LAURA</v>
      </c>
      <c r="D48" s="276" t="str">
        <f>VLOOKUP(A48,Table6[],21,0)</f>
        <v>gartis</v>
      </c>
      <c r="E48" s="314" t="str">
        <f>IF(poduzeća!AE45="","",poduzeća!AE45)</f>
        <v/>
      </c>
      <c r="F48" s="313" t="str">
        <f>IF(poduzeća!AF45="","",poduzeća!AF45)</f>
        <v/>
      </c>
      <c r="G48" s="293"/>
      <c r="H48" s="293"/>
      <c r="I48" s="326" t="s">
        <v>897</v>
      </c>
      <c r="J48" s="304">
        <v>0</v>
      </c>
      <c r="K48" s="678">
        <v>0</v>
      </c>
      <c r="L48" s="326" t="s">
        <v>897</v>
      </c>
      <c r="M48" s="304"/>
      <c r="N48" s="835"/>
      <c r="O48" s="326" t="s">
        <v>897</v>
      </c>
      <c r="P48" s="304"/>
      <c r="Q48" s="304"/>
      <c r="R48" s="326" t="s">
        <v>897</v>
      </c>
      <c r="S48" s="304"/>
      <c r="T48" s="678"/>
      <c r="U48" s="326" t="s">
        <v>897</v>
      </c>
      <c r="V48" s="304"/>
      <c r="W48" s="304"/>
      <c r="X48" s="326" t="s">
        <v>897</v>
      </c>
      <c r="Y48" s="304"/>
      <c r="Z48" s="304"/>
      <c r="AA48" s="326" t="s">
        <v>897</v>
      </c>
      <c r="AB48" s="304"/>
      <c r="AC48" s="304"/>
      <c r="AD48" s="736" t="s">
        <v>897</v>
      </c>
      <c r="AE48" s="304"/>
      <c r="AF48" s="304"/>
      <c r="AG48" s="736" t="s">
        <v>897</v>
      </c>
      <c r="AH48" s="304"/>
      <c r="AI48" s="304"/>
      <c r="AJ48" s="736" t="s">
        <v>897</v>
      </c>
      <c r="AK48" s="304"/>
      <c r="AL48" s="304"/>
      <c r="AM48" s="736" t="s">
        <v>897</v>
      </c>
      <c r="AN48" s="304"/>
      <c r="AO48" s="304"/>
      <c r="AP48" s="736" t="s">
        <v>897</v>
      </c>
      <c r="AQ48" s="304"/>
      <c r="AR48" s="294"/>
      <c r="AS48" s="294"/>
      <c r="AT48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48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48" s="293"/>
      <c r="AW48" s="293"/>
      <c r="AX48" s="327"/>
      <c r="AY48" s="328"/>
      <c r="AZ48" s="288">
        <f>VLOOKUP(A48,Table6[],30,0)</f>
        <v>0</v>
      </c>
    </row>
    <row r="49" spans="1:52" ht="14.25" customHeight="1">
      <c r="A49" s="292">
        <v>45</v>
      </c>
      <c r="B49" s="276" t="str">
        <f>VLOOKUP(Table1[[#This Row],[šifra]],Table6[],2,0)</f>
        <v>DOMOKOS j.d.o.o.</v>
      </c>
      <c r="C49" s="277" t="str">
        <f>VLOOKUP(Table1[[#This Row],[šifra]],Table6[],4,0)</f>
        <v>LAURA</v>
      </c>
      <c r="D49" s="276" t="str">
        <f>VLOOKUP(A49,Table6[],21,0)</f>
        <v>209+pdv /mj</v>
      </c>
      <c r="E49" s="314" t="str">
        <f>IF(poduzeća!AE46="","",poduzeća!AE46)</f>
        <v/>
      </c>
      <c r="F49" s="313" t="str">
        <f>IF(poduzeća!AF46="","",poduzeća!AF46)</f>
        <v/>
      </c>
      <c r="G49" s="295"/>
      <c r="H49" s="295"/>
      <c r="I49" s="321" t="s">
        <v>897</v>
      </c>
      <c r="J49" s="302">
        <v>209</v>
      </c>
      <c r="K49" s="677">
        <v>209</v>
      </c>
      <c r="L49" s="321" t="s">
        <v>897</v>
      </c>
      <c r="M49" s="302">
        <v>209</v>
      </c>
      <c r="N49" s="677">
        <v>209</v>
      </c>
      <c r="O49" s="321" t="s">
        <v>897</v>
      </c>
      <c r="P49" s="867">
        <v>209</v>
      </c>
      <c r="Q49" s="302">
        <v>418</v>
      </c>
      <c r="R49" s="321" t="s">
        <v>897</v>
      </c>
      <c r="S49" s="302">
        <v>209</v>
      </c>
      <c r="T49" s="957">
        <v>209</v>
      </c>
      <c r="U49" s="321" t="s">
        <v>897</v>
      </c>
      <c r="V49" s="867">
        <v>209</v>
      </c>
      <c r="W49" s="678">
        <v>216.86</v>
      </c>
      <c r="X49" s="321" t="s">
        <v>897</v>
      </c>
      <c r="Y49" s="302">
        <v>209</v>
      </c>
      <c r="Z49" s="678">
        <v>209</v>
      </c>
      <c r="AA49" s="321" t="s">
        <v>897</v>
      </c>
      <c r="AB49" s="302">
        <v>209</v>
      </c>
      <c r="AC49" s="302">
        <v>209</v>
      </c>
      <c r="AD49" s="736" t="s">
        <v>897</v>
      </c>
      <c r="AE49" s="302">
        <v>209</v>
      </c>
      <c r="AF49" s="302">
        <v>209</v>
      </c>
      <c r="AG49" s="736" t="s">
        <v>897</v>
      </c>
      <c r="AH49" s="302">
        <v>209</v>
      </c>
      <c r="AI49" s="302"/>
      <c r="AJ49" s="736" t="s">
        <v>897</v>
      </c>
      <c r="AK49" s="302">
        <v>209</v>
      </c>
      <c r="AL49" s="302"/>
      <c r="AM49" s="736" t="s">
        <v>897</v>
      </c>
      <c r="AN49" s="302">
        <v>209</v>
      </c>
      <c r="AO49" s="302"/>
      <c r="AP49" s="736" t="s">
        <v>897</v>
      </c>
      <c r="AQ49" s="302">
        <v>209</v>
      </c>
      <c r="AR49" s="297"/>
      <c r="AS49" s="297"/>
      <c r="AT4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2508</v>
      </c>
      <c r="AU4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1888.8600000000001</v>
      </c>
      <c r="AV49" s="316"/>
      <c r="AW49" s="295"/>
      <c r="AX49" s="327"/>
      <c r="AY49" s="328"/>
      <c r="AZ49" s="288">
        <f>VLOOKUP(A49,Table6[],30,0)</f>
        <v>0</v>
      </c>
    </row>
    <row r="50" spans="1:52" ht="14.25" customHeight="1">
      <c r="A50" s="287">
        <v>46</v>
      </c>
      <c r="B50" s="276" t="str">
        <f>VLOOKUP(Table1[[#This Row],[šifra]],Table6[],2,0)</f>
        <v>Duna-assist bau d.o.o.</v>
      </c>
      <c r="C50" s="276" t="str">
        <f>VLOOKUP(Table1[[#This Row],[šifra]],Table6[],4,0)</f>
        <v>MARKO</v>
      </c>
      <c r="D50" s="276" t="str">
        <f>VLOOKUP(A50,Table6[],21,0)</f>
        <v>100(+10%)+PDV /mj</v>
      </c>
      <c r="E50" s="314" t="str">
        <f>IF(poduzeća!AE47="","",poduzeća!AE47)</f>
        <v/>
      </c>
      <c r="F50" s="313" t="str">
        <f>IF(poduzeća!AF47="","",poduzeća!AF47)</f>
        <v/>
      </c>
      <c r="G50" s="293">
        <v>275</v>
      </c>
      <c r="H50" s="293">
        <v>55</v>
      </c>
      <c r="I50" s="736" t="s">
        <v>897</v>
      </c>
      <c r="J50" s="304">
        <f>100*1.1</f>
        <v>110.00000000000001</v>
      </c>
      <c r="K50" s="678">
        <v>110</v>
      </c>
      <c r="L50" s="736" t="s">
        <v>897</v>
      </c>
      <c r="M50" s="304">
        <f>100*1.1</f>
        <v>110.00000000000001</v>
      </c>
      <c r="N50" s="678">
        <v>125</v>
      </c>
      <c r="O50" s="736" t="s">
        <v>897</v>
      </c>
      <c r="P50" s="304">
        <f>100*1.1</f>
        <v>110.00000000000001</v>
      </c>
      <c r="Q50" s="304">
        <v>110</v>
      </c>
      <c r="R50" s="736" t="s">
        <v>897</v>
      </c>
      <c r="S50" s="304">
        <f>100*1.1</f>
        <v>110.00000000000001</v>
      </c>
      <c r="T50" s="958">
        <v>110</v>
      </c>
      <c r="U50" s="736" t="s">
        <v>897</v>
      </c>
      <c r="V50" s="870">
        <f>100*1.1</f>
        <v>110.00000000000001</v>
      </c>
      <c r="W50" s="678">
        <v>110</v>
      </c>
      <c r="X50" s="736" t="s">
        <v>897</v>
      </c>
      <c r="Y50" s="304">
        <f>100*1.1</f>
        <v>110.00000000000001</v>
      </c>
      <c r="Z50" s="304">
        <v>110</v>
      </c>
      <c r="AA50" s="736" t="s">
        <v>897</v>
      </c>
      <c r="AB50" s="304">
        <f>100*1.1</f>
        <v>110.00000000000001</v>
      </c>
      <c r="AC50" s="304">
        <v>110</v>
      </c>
      <c r="AD50" s="736" t="s">
        <v>897</v>
      </c>
      <c r="AE50" s="304">
        <f>100*1.1</f>
        <v>110.00000000000001</v>
      </c>
      <c r="AF50" s="304"/>
      <c r="AG50" s="736" t="s">
        <v>897</v>
      </c>
      <c r="AH50" s="304">
        <f>100*1.1</f>
        <v>110.00000000000001</v>
      </c>
      <c r="AI50" s="304"/>
      <c r="AJ50" s="736" t="s">
        <v>897</v>
      </c>
      <c r="AK50" s="304">
        <f>100*1.1</f>
        <v>110.00000000000001</v>
      </c>
      <c r="AL50" s="304"/>
      <c r="AM50" s="736" t="s">
        <v>897</v>
      </c>
      <c r="AN50" s="304">
        <f>100*1.1</f>
        <v>110.00000000000001</v>
      </c>
      <c r="AO50" s="304"/>
      <c r="AP50" s="736" t="s">
        <v>897</v>
      </c>
      <c r="AQ50" s="304">
        <f>100*1.1</f>
        <v>110.00000000000001</v>
      </c>
      <c r="AR50" s="294"/>
      <c r="AS50" s="294"/>
      <c r="AT50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50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785</v>
      </c>
      <c r="AV50" s="293"/>
      <c r="AW50" s="293"/>
      <c r="AX50" s="327"/>
      <c r="AY50" s="328"/>
      <c r="AZ50" s="288">
        <f>VLOOKUP(A50,Table6[],30,0)</f>
        <v>0</v>
      </c>
    </row>
    <row r="51" spans="1:52" ht="14.25" customHeight="1">
      <c r="A51" s="292">
        <v>47</v>
      </c>
      <c r="B51" s="277" t="str">
        <f>VLOOKUP(Table1[[#This Row],[šifra]],Table6[],2,0)</f>
        <v>EGTS Europsak Grupacija PANONIJA</v>
      </c>
      <c r="C51" s="277" t="str">
        <f>VLOOKUP(Table1[[#This Row],[šifra]],Table6[],4,0)</f>
        <v>MAJA</v>
      </c>
      <c r="D51" s="276" t="str">
        <f>VLOOKUP(A51,Table6[],21,0)</f>
        <v>ne izdajemo račun, U računato u Sagita konsalting 30(+10%)+pdv /mj</v>
      </c>
      <c r="E51" s="314" t="str">
        <f>IF(poduzeća!AE48="","",poduzeća!AE48)</f>
        <v/>
      </c>
      <c r="F51" s="313" t="str">
        <f>IF(poduzeća!AF48="","",poduzeća!AF48)</f>
        <v/>
      </c>
      <c r="G51" s="295">
        <v>116.25</v>
      </c>
      <c r="H51" s="295"/>
      <c r="I51" s="622" t="s">
        <v>897</v>
      </c>
      <c r="J51" s="617">
        <v>33</v>
      </c>
      <c r="K51" s="679">
        <v>33</v>
      </c>
      <c r="L51" s="622" t="s">
        <v>897</v>
      </c>
      <c r="M51" s="302"/>
      <c r="N51" s="836"/>
      <c r="O51" s="622" t="s">
        <v>897</v>
      </c>
      <c r="P51" s="302"/>
      <c r="Q51" s="302"/>
      <c r="R51" s="622" t="s">
        <v>897</v>
      </c>
      <c r="S51" s="302"/>
      <c r="T51" s="677"/>
      <c r="U51" s="622" t="s">
        <v>897</v>
      </c>
      <c r="V51" s="302"/>
      <c r="W51" s="304"/>
      <c r="X51" s="1036" t="s">
        <v>2036</v>
      </c>
      <c r="Y51" s="302"/>
      <c r="Z51" s="304"/>
      <c r="AA51" s="1036" t="s">
        <v>2036</v>
      </c>
      <c r="AB51" s="302"/>
      <c r="AC51" s="302"/>
      <c r="AD51" s="1036" t="s">
        <v>2036</v>
      </c>
      <c r="AE51" s="302"/>
      <c r="AF51" s="302"/>
      <c r="AG51" s="622" t="s">
        <v>897</v>
      </c>
      <c r="AH51" s="302"/>
      <c r="AI51" s="302"/>
      <c r="AJ51" s="622" t="s">
        <v>897</v>
      </c>
      <c r="AK51" s="302"/>
      <c r="AL51" s="302"/>
      <c r="AM51" s="622" t="s">
        <v>897</v>
      </c>
      <c r="AN51" s="302"/>
      <c r="AO51" s="302"/>
      <c r="AP51" s="622" t="s">
        <v>897</v>
      </c>
      <c r="AQ51" s="302"/>
      <c r="AR51" s="297"/>
      <c r="AS51" s="297"/>
      <c r="AT5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33</v>
      </c>
      <c r="AU5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33</v>
      </c>
      <c r="AV51" s="295"/>
      <c r="AW51" s="295"/>
      <c r="AX51" s="327"/>
      <c r="AY51" s="328"/>
      <c r="AZ51" s="288">
        <f>VLOOKUP(A51,Table6[],30,0)</f>
        <v>45930</v>
      </c>
    </row>
    <row r="52" spans="1:52" ht="14.25" customHeight="1">
      <c r="A52" s="292">
        <v>48</v>
      </c>
      <c r="B52" s="277" t="str">
        <f>VLOOKUP(Table1[[#This Row],[šifra]],Table6[],2,0)</f>
        <v>EKO TRON j.d.o.o.</v>
      </c>
      <c r="C52" s="277" t="str">
        <f>VLOOKUP(Table1[[#This Row],[šifra]],Table6[],4,0)</f>
        <v>SJEDIŠTE</v>
      </c>
      <c r="D52" s="276" t="str">
        <f>VLOOKUP(A52,Table6[],21,0)</f>
        <v>40 SJEDIŠTE / MJ</v>
      </c>
      <c r="E52" s="314" t="str">
        <f>IF(poduzeća!AE49="","",poduzeća!AE49)</f>
        <v>15.1.2022</v>
      </c>
      <c r="F52" s="313">
        <f>IF(poduzeća!AF49="","",poduzeća!AF49)</f>
        <v>500</v>
      </c>
      <c r="G52" s="295"/>
      <c r="H52" s="295"/>
      <c r="I52" s="522" t="s">
        <v>897</v>
      </c>
      <c r="J52" s="302">
        <v>40</v>
      </c>
      <c r="K52" s="677">
        <v>40</v>
      </c>
      <c r="L52" s="522" t="s">
        <v>897</v>
      </c>
      <c r="M52" s="302">
        <v>40</v>
      </c>
      <c r="N52" s="677">
        <v>40</v>
      </c>
      <c r="O52" s="522" t="s">
        <v>897</v>
      </c>
      <c r="P52" s="867">
        <v>40</v>
      </c>
      <c r="Q52" s="302">
        <v>40</v>
      </c>
      <c r="R52" s="522" t="s">
        <v>897</v>
      </c>
      <c r="S52" s="302">
        <v>40</v>
      </c>
      <c r="T52" s="957">
        <v>40</v>
      </c>
      <c r="U52" s="522" t="s">
        <v>897</v>
      </c>
      <c r="V52" s="867">
        <v>40</v>
      </c>
      <c r="W52" s="678">
        <v>40</v>
      </c>
      <c r="X52" s="522" t="s">
        <v>897</v>
      </c>
      <c r="Y52" s="302">
        <v>40</v>
      </c>
      <c r="Z52" s="678">
        <v>40</v>
      </c>
      <c r="AA52" s="522" t="s">
        <v>897</v>
      </c>
      <c r="AB52" s="302">
        <v>40</v>
      </c>
      <c r="AC52" s="302">
        <v>40</v>
      </c>
      <c r="AD52" s="522" t="s">
        <v>897</v>
      </c>
      <c r="AE52" s="302">
        <v>40</v>
      </c>
      <c r="AF52" s="302">
        <v>40</v>
      </c>
      <c r="AG52" s="522" t="s">
        <v>897</v>
      </c>
      <c r="AH52" s="302">
        <v>40</v>
      </c>
      <c r="AI52" s="302"/>
      <c r="AJ52" s="522" t="s">
        <v>897</v>
      </c>
      <c r="AK52" s="302">
        <v>40</v>
      </c>
      <c r="AL52" s="302"/>
      <c r="AM52" s="522" t="s">
        <v>897</v>
      </c>
      <c r="AN52" s="302">
        <v>40</v>
      </c>
      <c r="AO52" s="302"/>
      <c r="AP52" s="522" t="s">
        <v>897</v>
      </c>
      <c r="AQ52" s="302">
        <v>40</v>
      </c>
      <c r="AR52" s="297"/>
      <c r="AS52" s="297"/>
      <c r="AT5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480</v>
      </c>
      <c r="AU5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320</v>
      </c>
      <c r="AV52" s="295"/>
      <c r="AW52" s="295"/>
      <c r="AX52" s="327"/>
      <c r="AY52" s="328"/>
      <c r="AZ52" s="288">
        <f>VLOOKUP(A52,Table6[],30,0)</f>
        <v>0</v>
      </c>
    </row>
    <row r="53" spans="1:52" ht="14.25" customHeight="1">
      <c r="A53" s="287">
        <v>49</v>
      </c>
      <c r="B53" s="277" t="str">
        <f>VLOOKUP(Table1[[#This Row],[šifra]],Table6[],2,0)</f>
        <v>Erdey Enikö Elemerivna</v>
      </c>
      <c r="C53" s="276" t="str">
        <f>VLOOKUP(Table1[[#This Row],[šifra]],Table6[],4,0)</f>
        <v>STOPIRAN</v>
      </c>
      <c r="D53" s="276" t="str">
        <f>VLOOKUP(A53,Table6[],21,0)</f>
        <v>ne izdajemoviše račun za nju dok ne plati 55(+10%)++minimax+pdv/mj</v>
      </c>
      <c r="E53" s="314" t="str">
        <f>IF(poduzeća!AE50="","",poduzeća!AE50)</f>
        <v/>
      </c>
      <c r="F53" s="313" t="str">
        <f>IF(poduzeća!AF50="","",poduzeća!AF50)</f>
        <v/>
      </c>
      <c r="G53" s="1045">
        <v>803.78</v>
      </c>
      <c r="H53" s="293">
        <v>30.25</v>
      </c>
      <c r="I53" s="289" t="s">
        <v>892</v>
      </c>
      <c r="J53" s="304">
        <v>70.5</v>
      </c>
      <c r="K53" s="678">
        <v>70.5</v>
      </c>
      <c r="L53" s="697" t="s">
        <v>897</v>
      </c>
      <c r="M53" s="304">
        <v>70.5</v>
      </c>
      <c r="N53" s="678">
        <v>70.5</v>
      </c>
      <c r="O53" s="697" t="s">
        <v>897</v>
      </c>
      <c r="P53" s="870">
        <v>70.5</v>
      </c>
      <c r="Q53" s="304">
        <v>70.5</v>
      </c>
      <c r="R53" s="697" t="s">
        <v>897</v>
      </c>
      <c r="S53" s="304">
        <v>70.5</v>
      </c>
      <c r="T53" s="958">
        <v>70.5</v>
      </c>
      <c r="U53" s="697" t="s">
        <v>897</v>
      </c>
      <c r="V53" s="870">
        <v>70.5</v>
      </c>
      <c r="W53" s="678">
        <v>70.5</v>
      </c>
      <c r="X53" s="697" t="s">
        <v>897</v>
      </c>
      <c r="Y53" s="304">
        <v>70.5</v>
      </c>
      <c r="Z53" s="678">
        <v>70.5</v>
      </c>
      <c r="AA53" s="697" t="s">
        <v>897</v>
      </c>
      <c r="AB53" s="304"/>
      <c r="AC53" s="304"/>
      <c r="AD53" s="697" t="s">
        <v>897</v>
      </c>
      <c r="AE53" s="304"/>
      <c r="AF53" s="304"/>
      <c r="AG53" s="697" t="s">
        <v>897</v>
      </c>
      <c r="AH53" s="304"/>
      <c r="AI53" s="304"/>
      <c r="AJ53" s="697" t="s">
        <v>897</v>
      </c>
      <c r="AK53" s="304"/>
      <c r="AL53" s="304"/>
      <c r="AM53" s="697" t="s">
        <v>897</v>
      </c>
      <c r="AN53" s="304"/>
      <c r="AO53" s="304"/>
      <c r="AP53" s="697" t="s">
        <v>897</v>
      </c>
      <c r="AQ53" s="304">
        <v>70.5</v>
      </c>
      <c r="AR53" s="294"/>
      <c r="AS53" s="294"/>
      <c r="AT53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493.5</v>
      </c>
      <c r="AU5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423</v>
      </c>
      <c r="AV53" s="293"/>
      <c r="AW53" s="293"/>
      <c r="AX53" s="327"/>
      <c r="AY53" s="328"/>
      <c r="AZ53" s="288">
        <f>VLOOKUP(A53,Table6[],30,0)</f>
        <v>0</v>
      </c>
    </row>
    <row r="54" spans="1:52" s="96" customFormat="1" ht="27" customHeight="1">
      <c r="A54" s="292">
        <v>50</v>
      </c>
      <c r="B54" s="277" t="str">
        <f>VLOOKUP(Table1[[#This Row],[šifra]],Table6[],2,0)</f>
        <v>Euro6 Truck d.o.o.</v>
      </c>
      <c r="C54" s="277" t="str">
        <f>VLOOKUP(Table1[[#This Row],[šifra]],Table6[],4,0)</f>
        <v>GABRIJELA</v>
      </c>
      <c r="D54" s="276" t="str">
        <f>VLOOKUP(A54,Table6[],21,0)</f>
        <v>100(+10%)+PDV +30 eur sjedište  / račune svaka 3 mjeseca / - sjedište ide godišnje a računi za knj. 3mjesečno 
platio sve do 31.12.2025 sjedište a knj do 9. mjeseca</v>
      </c>
      <c r="E54" s="314">
        <f>IF(poduzeća!AE51="","",poduzeća!AE51)</f>
        <v>46022</v>
      </c>
      <c r="F54" s="313">
        <f>IF(poduzeća!AF51="","",poduzeća!AF51)</f>
        <v>500</v>
      </c>
      <c r="G54" s="1041">
        <v>625</v>
      </c>
      <c r="H54" s="295"/>
      <c r="I54" s="730" t="s">
        <v>892</v>
      </c>
      <c r="J54" s="302"/>
      <c r="K54" s="302"/>
      <c r="L54" s="730" t="s">
        <v>892</v>
      </c>
      <c r="M54" s="302"/>
      <c r="N54" s="851"/>
      <c r="O54" s="730" t="s">
        <v>892</v>
      </c>
      <c r="P54" s="677">
        <v>300</v>
      </c>
      <c r="Q54" s="973">
        <v>200</v>
      </c>
      <c r="R54" s="730" t="s">
        <v>892</v>
      </c>
      <c r="S54" s="302"/>
      <c r="T54" s="974">
        <f>300+100</f>
        <v>400</v>
      </c>
      <c r="U54" s="730" t="s">
        <v>892</v>
      </c>
      <c r="V54" s="302"/>
      <c r="W54" s="304"/>
      <c r="X54" s="730" t="s">
        <v>892</v>
      </c>
      <c r="Y54" s="302">
        <v>300</v>
      </c>
      <c r="Z54" s="678">
        <v>100</v>
      </c>
      <c r="AA54" s="730" t="s">
        <v>892</v>
      </c>
      <c r="AB54" s="302"/>
      <c r="AC54" s="302"/>
      <c r="AD54" s="730" t="s">
        <v>892</v>
      </c>
      <c r="AE54" s="302"/>
      <c r="AF54" s="302"/>
      <c r="AG54" s="730" t="s">
        <v>892</v>
      </c>
      <c r="AH54" s="302">
        <v>300</v>
      </c>
      <c r="AI54" s="302"/>
      <c r="AJ54" s="730" t="s">
        <v>892</v>
      </c>
      <c r="AK54" s="302"/>
      <c r="AL54" s="302"/>
      <c r="AM54" s="730" t="s">
        <v>892</v>
      </c>
      <c r="AN54" s="302"/>
      <c r="AO54" s="302"/>
      <c r="AP54" s="730" t="s">
        <v>892</v>
      </c>
      <c r="AQ54" s="302">
        <f>360+300</f>
        <v>660</v>
      </c>
      <c r="AR54" s="297"/>
      <c r="AS54" s="297"/>
      <c r="AT5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1560</v>
      </c>
      <c r="AU5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700</v>
      </c>
      <c r="AV54" s="316" t="s">
        <v>198</v>
      </c>
      <c r="AW54" s="295"/>
      <c r="AX54" s="327"/>
      <c r="AY54" s="328"/>
      <c r="AZ54" s="288">
        <f>VLOOKUP(A54,Table6[],30,0)</f>
        <v>0</v>
      </c>
    </row>
    <row r="55" spans="1:52" ht="14.25" customHeight="1">
      <c r="A55" s="292">
        <v>51</v>
      </c>
      <c r="B55" s="277" t="str">
        <f>VLOOKUP(Table1[[#This Row],[šifra]],Table6[],2,0)</f>
        <v>FI project d.o.o.</v>
      </c>
      <c r="C55" s="277" t="str">
        <f>VLOOKUP(Table1[[#This Row],[šifra]],Table6[],4,0)</f>
        <v>NIKOLINA</v>
      </c>
      <c r="D55" s="276" t="str">
        <f>VLOOKUP(A55,Table6[],21,0)</f>
        <v>100 (+10%)+PDV /mj</v>
      </c>
      <c r="E55" s="314" t="str">
        <f>IF(poduzeća!AE52="","",poduzeća!AE52)</f>
        <v/>
      </c>
      <c r="F55" s="313" t="str">
        <f>IF(poduzeća!AF52="","",poduzeća!AF52)</f>
        <v/>
      </c>
      <c r="G55" s="295"/>
      <c r="H55" s="295"/>
      <c r="I55" s="301" t="s">
        <v>901</v>
      </c>
      <c r="J55" s="302">
        <f>100*1.1</f>
        <v>110.00000000000001</v>
      </c>
      <c r="K55" s="677">
        <v>110</v>
      </c>
      <c r="L55" s="301" t="s">
        <v>901</v>
      </c>
      <c r="M55" s="302">
        <f>100*1.1</f>
        <v>110.00000000000001</v>
      </c>
      <c r="N55" s="677">
        <v>110</v>
      </c>
      <c r="O55" s="301" t="s">
        <v>901</v>
      </c>
      <c r="P55" s="302">
        <f>100*1.1</f>
        <v>110.00000000000001</v>
      </c>
      <c r="Q55" s="302">
        <v>110</v>
      </c>
      <c r="R55" s="301" t="s">
        <v>901</v>
      </c>
      <c r="S55" s="302">
        <f>100*1.1</f>
        <v>110.00000000000001</v>
      </c>
      <c r="T55" s="957">
        <v>220</v>
      </c>
      <c r="U55" s="301" t="s">
        <v>901</v>
      </c>
      <c r="V55" s="302">
        <f>100*1.1</f>
        <v>110.00000000000001</v>
      </c>
      <c r="W55" s="678">
        <v>110</v>
      </c>
      <c r="X55" s="301" t="s">
        <v>901</v>
      </c>
      <c r="Y55" s="302">
        <f>100*1.1</f>
        <v>110.00000000000001</v>
      </c>
      <c r="Z55" s="678">
        <v>110</v>
      </c>
      <c r="AA55" s="301" t="s">
        <v>901</v>
      </c>
      <c r="AB55" s="302">
        <f>100*1.1</f>
        <v>110.00000000000001</v>
      </c>
      <c r="AC55" s="302">
        <v>110</v>
      </c>
      <c r="AD55" s="301" t="s">
        <v>901</v>
      </c>
      <c r="AE55" s="302">
        <f>100*1.1</f>
        <v>110.00000000000001</v>
      </c>
      <c r="AF55" s="302"/>
      <c r="AG55" s="301" t="s">
        <v>901</v>
      </c>
      <c r="AH55" s="302">
        <f>100*1.1</f>
        <v>110.00000000000001</v>
      </c>
      <c r="AI55" s="302"/>
      <c r="AJ55" s="301" t="s">
        <v>901</v>
      </c>
      <c r="AK55" s="302">
        <f>100*1.1</f>
        <v>110.00000000000001</v>
      </c>
      <c r="AL55" s="302"/>
      <c r="AM55" s="301" t="s">
        <v>901</v>
      </c>
      <c r="AN55" s="302">
        <f>100*1.1</f>
        <v>110.00000000000001</v>
      </c>
      <c r="AO55" s="302"/>
      <c r="AP55" s="301" t="s">
        <v>901</v>
      </c>
      <c r="AQ55" s="302">
        <f>100*1.1</f>
        <v>110.00000000000001</v>
      </c>
      <c r="AR55" s="297"/>
      <c r="AS55" s="297"/>
      <c r="AT5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5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880</v>
      </c>
      <c r="AV55" s="316"/>
      <c r="AW55" s="295"/>
      <c r="AX55" s="327"/>
      <c r="AY55" s="328"/>
      <c r="AZ55" s="288">
        <f>VLOOKUP(A55,Table6[],30,0)</f>
        <v>0</v>
      </c>
    </row>
    <row r="56" spans="1:52" ht="14.25" customHeight="1">
      <c r="A56" s="292">
        <v>52</v>
      </c>
      <c r="B56" s="277" t="str">
        <f>VLOOKUP(Table1[[#This Row],[šifra]],Table6[],2,0)</f>
        <v>FRANCHISIA j.d.o.o.</v>
      </c>
      <c r="C56" s="277" t="str">
        <f>VLOOKUP(Table1[[#This Row],[šifra]],Table6[],4,0)</f>
        <v>NIKOLINA</v>
      </c>
      <c r="D56" s="276" t="str">
        <f>VLOOKUP(A56,Table6[],21,0)</f>
        <v>50 (+10%)+pdv /mj</v>
      </c>
      <c r="E56" s="314" t="str">
        <f>IF(poduzeća!AE53="","",poduzeća!AE53)</f>
        <v/>
      </c>
      <c r="F56" s="313" t="str">
        <f>IF(poduzeća!AF53="","",poduzeća!AF53)</f>
        <v/>
      </c>
      <c r="G56" s="1012"/>
      <c r="H56" s="1012"/>
      <c r="I56" s="305" t="s">
        <v>901</v>
      </c>
      <c r="J56" s="302">
        <f>50*1.1</f>
        <v>55.000000000000007</v>
      </c>
      <c r="K56" s="677">
        <v>55</v>
      </c>
      <c r="L56" s="305" t="s">
        <v>901</v>
      </c>
      <c r="M56" s="302">
        <f>50*1.1</f>
        <v>55.000000000000007</v>
      </c>
      <c r="N56" s="677">
        <v>55</v>
      </c>
      <c r="O56" s="305" t="s">
        <v>901</v>
      </c>
      <c r="P56" s="302">
        <f>50*1.1</f>
        <v>55.000000000000007</v>
      </c>
      <c r="Q56" s="302">
        <v>55</v>
      </c>
      <c r="R56" s="305" t="s">
        <v>901</v>
      </c>
      <c r="S56" s="302">
        <f>50*1.1</f>
        <v>55.000000000000007</v>
      </c>
      <c r="T56" s="957">
        <v>110</v>
      </c>
      <c r="U56" s="305" t="s">
        <v>901</v>
      </c>
      <c r="V56" s="302">
        <f>50*1.1</f>
        <v>55.000000000000007</v>
      </c>
      <c r="W56" s="678">
        <v>55</v>
      </c>
      <c r="X56" s="305" t="s">
        <v>901</v>
      </c>
      <c r="Y56" s="302">
        <f>50*1.1</f>
        <v>55.000000000000007</v>
      </c>
      <c r="Z56" s="678">
        <v>55</v>
      </c>
      <c r="AA56" s="305" t="s">
        <v>901</v>
      </c>
      <c r="AB56" s="302">
        <f>50*1.1</f>
        <v>55.000000000000007</v>
      </c>
      <c r="AC56" s="302">
        <v>55</v>
      </c>
      <c r="AD56" s="305" t="s">
        <v>901</v>
      </c>
      <c r="AE56" s="302">
        <f>50*1.1</f>
        <v>55.000000000000007</v>
      </c>
      <c r="AF56" s="302"/>
      <c r="AG56" s="305" t="s">
        <v>901</v>
      </c>
      <c r="AH56" s="302">
        <f>50*1.1</f>
        <v>55.000000000000007</v>
      </c>
      <c r="AI56" s="304"/>
      <c r="AJ56" s="305" t="s">
        <v>901</v>
      </c>
      <c r="AK56" s="302">
        <f>50*1.1</f>
        <v>55.000000000000007</v>
      </c>
      <c r="AL56" s="302"/>
      <c r="AM56" s="305" t="s">
        <v>901</v>
      </c>
      <c r="AN56" s="302">
        <f>50*1.1</f>
        <v>55.000000000000007</v>
      </c>
      <c r="AO56" s="302"/>
      <c r="AP56" s="305" t="s">
        <v>901</v>
      </c>
      <c r="AQ56" s="302">
        <f>50*1.1</f>
        <v>55.000000000000007</v>
      </c>
      <c r="AR56" s="297"/>
      <c r="AS56" s="297"/>
      <c r="AT5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660.00000000000011</v>
      </c>
      <c r="AU5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440</v>
      </c>
      <c r="AV56" s="295"/>
      <c r="AW56" s="295"/>
      <c r="AX56" s="327"/>
      <c r="AY56" s="328"/>
      <c r="AZ56" s="288">
        <f>VLOOKUP(A56,Table6[],30,0)</f>
        <v>0</v>
      </c>
    </row>
    <row r="57" spans="1:52" ht="14.25" customHeight="1">
      <c r="A57" s="292">
        <v>53</v>
      </c>
      <c r="B57" s="277" t="str">
        <f>VLOOKUP(Table1[[#This Row],[šifra]],Table6[],2,0)</f>
        <v>FRANCOS j.d.o.o.</v>
      </c>
      <c r="C57" s="277" t="str">
        <f>VLOOKUP(Table1[[#This Row],[šifra]],Table6[],4,0)</f>
        <v>NIKOLINA</v>
      </c>
      <c r="D57" s="276" t="str">
        <f>VLOOKUP(A57,Table6[],21,0)</f>
        <v>100 (+10%) +pdv eur /mj</v>
      </c>
      <c r="E57" s="314" t="str">
        <f>IF(poduzeća!AE54="","",poduzeća!AE54)</f>
        <v/>
      </c>
      <c r="F57" s="313" t="str">
        <f>IF(poduzeća!AF54="","",poduzeća!AF54)</f>
        <v/>
      </c>
      <c r="G57" s="295"/>
      <c r="H57" s="295"/>
      <c r="I57" s="301" t="s">
        <v>901</v>
      </c>
      <c r="J57" s="302">
        <f>100*1.1</f>
        <v>110.00000000000001</v>
      </c>
      <c r="K57" s="677">
        <v>110</v>
      </c>
      <c r="L57" s="301" t="s">
        <v>901</v>
      </c>
      <c r="M57" s="302">
        <v>90</v>
      </c>
      <c r="N57" s="677">
        <v>90</v>
      </c>
      <c r="O57" s="301" t="s">
        <v>901</v>
      </c>
      <c r="P57" s="302">
        <v>100</v>
      </c>
      <c r="Q57" s="302">
        <v>100</v>
      </c>
      <c r="R57" s="301" t="s">
        <v>901</v>
      </c>
      <c r="S57" s="302">
        <v>100</v>
      </c>
      <c r="T57" s="957">
        <v>200</v>
      </c>
      <c r="U57" s="301" t="s">
        <v>901</v>
      </c>
      <c r="V57" s="302">
        <v>100</v>
      </c>
      <c r="W57" s="678">
        <v>106.47</v>
      </c>
      <c r="X57" s="301" t="s">
        <v>901</v>
      </c>
      <c r="Y57" s="302">
        <v>100</v>
      </c>
      <c r="Z57" s="678">
        <v>100</v>
      </c>
      <c r="AA57" s="301" t="s">
        <v>901</v>
      </c>
      <c r="AB57" s="302">
        <v>100</v>
      </c>
      <c r="AC57" s="302">
        <v>100</v>
      </c>
      <c r="AD57" s="301" t="s">
        <v>901</v>
      </c>
      <c r="AE57" s="302">
        <v>100</v>
      </c>
      <c r="AF57" s="302"/>
      <c r="AG57" s="301" t="s">
        <v>901</v>
      </c>
      <c r="AH57" s="302">
        <v>100</v>
      </c>
      <c r="AI57" s="302"/>
      <c r="AJ57" s="301" t="s">
        <v>901</v>
      </c>
      <c r="AK57" s="302">
        <v>100</v>
      </c>
      <c r="AL57" s="302"/>
      <c r="AM57" s="301" t="s">
        <v>901</v>
      </c>
      <c r="AN57" s="302">
        <v>100</v>
      </c>
      <c r="AO57" s="302"/>
      <c r="AP57" s="301" t="s">
        <v>901</v>
      </c>
      <c r="AQ57" s="302">
        <v>100</v>
      </c>
      <c r="AR57" s="297"/>
      <c r="AS57" s="297"/>
      <c r="AT5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1200</v>
      </c>
      <c r="AU5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806.47</v>
      </c>
      <c r="AV57" s="316"/>
      <c r="AW57" s="295"/>
      <c r="AX57" s="327"/>
      <c r="AY57" s="328"/>
      <c r="AZ57" s="288">
        <f>VLOOKUP(A57,Table6[],30,0)</f>
        <v>0</v>
      </c>
    </row>
    <row r="58" spans="1:52" ht="14.25" customHeight="1">
      <c r="A58" s="292">
        <v>54</v>
      </c>
      <c r="B58" s="277" t="str">
        <f>VLOOKUP(Table1[[#This Row],[šifra]],Table6[],2,0)</f>
        <v>Freedom Square d.o.o.</v>
      </c>
      <c r="C58" s="277" t="str">
        <f>VLOOKUP(Table1[[#This Row],[šifra]],Table6[],4,0)</f>
        <v>MARKO</v>
      </c>
      <c r="D58" s="276" t="str">
        <f>VLOOKUP(A58,Table6[],21,0)</f>
        <v>nema/ liberland 100 eur / month - revolut</v>
      </c>
      <c r="E58" s="314" t="str">
        <f>IF(poduzeća!AE55="","",poduzeća!AE55)</f>
        <v/>
      </c>
      <c r="F58" s="313" t="str">
        <f>IF(poduzeća!AF55="","",poduzeća!AF55)</f>
        <v/>
      </c>
      <c r="G58" s="295">
        <v>262.5</v>
      </c>
      <c r="H58" s="295">
        <v>55</v>
      </c>
      <c r="I58" s="736" t="s">
        <v>897</v>
      </c>
      <c r="J58" s="302">
        <v>110</v>
      </c>
      <c r="K58" s="677">
        <v>110</v>
      </c>
      <c r="L58" s="736" t="s">
        <v>897</v>
      </c>
      <c r="M58" s="302">
        <v>110</v>
      </c>
      <c r="N58" s="677">
        <v>110</v>
      </c>
      <c r="O58" s="736" t="s">
        <v>897</v>
      </c>
      <c r="P58" s="302">
        <v>110</v>
      </c>
      <c r="Q58" s="302">
        <v>110</v>
      </c>
      <c r="R58" s="736" t="s">
        <v>897</v>
      </c>
      <c r="S58" s="302">
        <v>110</v>
      </c>
      <c r="T58" s="957">
        <v>110</v>
      </c>
      <c r="U58" s="736" t="s">
        <v>897</v>
      </c>
      <c r="V58" s="867">
        <v>110</v>
      </c>
      <c r="W58" s="678">
        <v>110</v>
      </c>
      <c r="X58" s="736" t="s">
        <v>897</v>
      </c>
      <c r="Y58" s="302">
        <v>110</v>
      </c>
      <c r="Z58" s="304">
        <v>110</v>
      </c>
      <c r="AA58" s="736" t="s">
        <v>897</v>
      </c>
      <c r="AB58" s="302">
        <v>110</v>
      </c>
      <c r="AC58" s="302">
        <v>110</v>
      </c>
      <c r="AD58" s="736" t="s">
        <v>897</v>
      </c>
      <c r="AE58" s="302">
        <v>110</v>
      </c>
      <c r="AF58" s="682"/>
      <c r="AG58" s="736" t="s">
        <v>897</v>
      </c>
      <c r="AH58" s="302">
        <v>110</v>
      </c>
      <c r="AI58" s="302"/>
      <c r="AJ58" s="736" t="s">
        <v>897</v>
      </c>
      <c r="AK58" s="302">
        <v>110</v>
      </c>
      <c r="AL58" s="302"/>
      <c r="AM58" s="736" t="s">
        <v>897</v>
      </c>
      <c r="AN58" s="302">
        <v>110</v>
      </c>
      <c r="AO58" s="302"/>
      <c r="AP58" s="736" t="s">
        <v>897</v>
      </c>
      <c r="AQ58" s="302">
        <v>110</v>
      </c>
      <c r="AR58" s="297"/>
      <c r="AS58" s="297"/>
      <c r="AT5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</v>
      </c>
      <c r="AU5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770</v>
      </c>
      <c r="AV58" s="316"/>
      <c r="AW58" s="295"/>
      <c r="AX58" s="327"/>
      <c r="AY58" s="328"/>
      <c r="AZ58" s="288">
        <f>VLOOKUP(A58,Table6[],30,0)</f>
        <v>0</v>
      </c>
    </row>
    <row r="59" spans="1:52" ht="14.25" customHeight="1">
      <c r="A59" s="287">
        <v>55</v>
      </c>
      <c r="B59" s="276" t="str">
        <f>VLOOKUP(Table1[[#This Row],[šifra]],Table6[],2,0)</f>
        <v>FREIGEIST d.o.o.</v>
      </c>
      <c r="C59" s="276" t="str">
        <f>VLOOKUP(Table1[[#This Row],[šifra]],Table6[],4,0)</f>
        <v>MAJA</v>
      </c>
      <c r="D59" s="276" t="str">
        <f>VLOOKUP(A59,Table6[],21,0)</f>
        <v>500+minimax+PDV/GODIŠNJE - javit će se za godišnji 4 mj.</v>
      </c>
      <c r="E59" s="314" t="str">
        <f>IF(poduzeća!AE56="","",poduzeća!AE56)</f>
        <v/>
      </c>
      <c r="F59" s="313" t="str">
        <f>IF(poduzeća!AF56="","",poduzeća!AF56)</f>
        <v/>
      </c>
      <c r="G59" s="293"/>
      <c r="H59" s="293"/>
      <c r="I59" s="305" t="s">
        <v>1105</v>
      </c>
      <c r="J59" s="304"/>
      <c r="K59" s="304"/>
      <c r="L59" s="305" t="s">
        <v>1105</v>
      </c>
      <c r="M59" s="714"/>
      <c r="N59" s="835"/>
      <c r="O59" s="305" t="s">
        <v>1105</v>
      </c>
      <c r="P59" s="678">
        <f>500+50</f>
        <v>550</v>
      </c>
      <c r="Q59" s="304">
        <v>550</v>
      </c>
      <c r="R59" s="305" t="s">
        <v>1105</v>
      </c>
      <c r="S59" s="304"/>
      <c r="T59" s="678"/>
      <c r="U59" s="305" t="s">
        <v>1105</v>
      </c>
      <c r="V59" s="304"/>
      <c r="W59" s="304"/>
      <c r="X59" s="305" t="s">
        <v>1105</v>
      </c>
      <c r="Y59" s="304"/>
      <c r="Z59" s="304"/>
      <c r="AA59" s="305" t="s">
        <v>1105</v>
      </c>
      <c r="AB59" s="304"/>
      <c r="AC59" s="304"/>
      <c r="AD59" s="305" t="s">
        <v>1105</v>
      </c>
      <c r="AE59" s="304"/>
      <c r="AF59" s="304"/>
      <c r="AG59" s="305" t="s">
        <v>1105</v>
      </c>
      <c r="AH59" s="304"/>
      <c r="AI59" s="304"/>
      <c r="AJ59" s="305" t="s">
        <v>1105</v>
      </c>
      <c r="AK59" s="304"/>
      <c r="AL59" s="304"/>
      <c r="AM59" s="305" t="s">
        <v>1105</v>
      </c>
      <c r="AN59" s="304"/>
      <c r="AO59" s="304"/>
      <c r="AP59" s="305" t="s">
        <v>1105</v>
      </c>
      <c r="AQ59" s="304"/>
      <c r="AR59" s="294"/>
      <c r="AS59" s="294"/>
      <c r="AT59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550</v>
      </c>
      <c r="AU59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550</v>
      </c>
      <c r="AV59" s="293"/>
      <c r="AW59" s="293"/>
      <c r="AX59" s="327"/>
      <c r="AY59" s="328"/>
      <c r="AZ59" s="288">
        <f>VLOOKUP(A59,Table6[],30,0)</f>
        <v>0</v>
      </c>
    </row>
    <row r="60" spans="1:52" ht="14.25" customHeight="1">
      <c r="A60" s="287">
        <v>56</v>
      </c>
      <c r="B60" s="276" t="str">
        <f>VLOOKUP(Table1[[#This Row],[šifra]],Table6[],2,0)</f>
        <v>Gergely d.o.o.</v>
      </c>
      <c r="C60" s="276" t="str">
        <f>VLOOKUP(Table1[[#This Row],[šifra]],Table6[],4,0)</f>
        <v>MAJA</v>
      </c>
      <c r="D60" s="276" t="str">
        <f>VLOOKUP(A60,Table6[],21,0)</f>
        <v>gratis</v>
      </c>
      <c r="E60" s="314" t="str">
        <f>IF(poduzeća!AE57="","",poduzeća!AE57)</f>
        <v/>
      </c>
      <c r="F60" s="313" t="str">
        <f>IF(poduzeća!AF57="","",poduzeća!AF57)</f>
        <v/>
      </c>
      <c r="G60" s="293"/>
      <c r="H60" s="293"/>
      <c r="I60" s="289" t="s">
        <v>1105</v>
      </c>
      <c r="J60" s="304">
        <v>0</v>
      </c>
      <c r="K60" s="678">
        <v>0</v>
      </c>
      <c r="L60" s="289" t="s">
        <v>1105</v>
      </c>
      <c r="M60" s="304"/>
      <c r="N60" s="835"/>
      <c r="O60" s="289" t="s">
        <v>1105</v>
      </c>
      <c r="P60" s="304"/>
      <c r="Q60" s="304"/>
      <c r="R60" s="289" t="s">
        <v>1105</v>
      </c>
      <c r="S60" s="304"/>
      <c r="T60" s="678"/>
      <c r="U60" s="289" t="s">
        <v>1105</v>
      </c>
      <c r="V60" s="304"/>
      <c r="W60" s="304"/>
      <c r="X60" s="289" t="s">
        <v>1105</v>
      </c>
      <c r="Y60" s="304"/>
      <c r="Z60" s="304"/>
      <c r="AA60" s="289" t="s">
        <v>1105</v>
      </c>
      <c r="AB60" s="304"/>
      <c r="AC60" s="304"/>
      <c r="AD60" s="289" t="s">
        <v>1105</v>
      </c>
      <c r="AE60" s="304"/>
      <c r="AF60" s="304"/>
      <c r="AG60" s="289" t="s">
        <v>1105</v>
      </c>
      <c r="AH60" s="304"/>
      <c r="AI60" s="304"/>
      <c r="AJ60" s="289" t="s">
        <v>1105</v>
      </c>
      <c r="AK60" s="304"/>
      <c r="AL60" s="304"/>
      <c r="AM60" s="289" t="s">
        <v>1105</v>
      </c>
      <c r="AN60" s="304"/>
      <c r="AO60" s="304"/>
      <c r="AP60" s="289" t="s">
        <v>1105</v>
      </c>
      <c r="AQ60" s="304"/>
      <c r="AR60" s="294"/>
      <c r="AS60" s="294"/>
      <c r="AT60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60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60" s="293"/>
      <c r="AW60" s="293"/>
      <c r="AX60" s="327"/>
      <c r="AY60" s="328"/>
      <c r="AZ60" s="288">
        <f>VLOOKUP(A60,Table6[],30,0)</f>
        <v>0</v>
      </c>
    </row>
    <row r="61" spans="1:52" ht="14.25" customHeight="1">
      <c r="A61" s="292">
        <v>57</v>
      </c>
      <c r="B61" s="277" t="str">
        <f>VLOOKUP(Table1[[#This Row],[šifra]],Table6[],2,0)</f>
        <v xml:space="preserve">Katodna zaštita GORAN PRODANOVIĆ </v>
      </c>
      <c r="C61" s="277" t="str">
        <f>VLOOKUP(Table1[[#This Row],[šifra]],Table6[],4,0)</f>
        <v>NIKOLINA</v>
      </c>
      <c r="D61" s="276" t="str">
        <f>VLOOKUP(A61,Table6[],21,0)</f>
        <v>50,00(+10%)+minimax+pdv /mj</v>
      </c>
      <c r="E61" s="314" t="str">
        <f>IF(poduzeća!AE58="","",poduzeća!AE58)</f>
        <v/>
      </c>
      <c r="F61" s="313" t="str">
        <f>IF(poduzeća!AF58="","",poduzeća!AF58)</f>
        <v/>
      </c>
      <c r="G61" s="295"/>
      <c r="H61" s="295"/>
      <c r="I61" s="305" t="s">
        <v>901</v>
      </c>
      <c r="J61" s="302">
        <f>50*1.1+10</f>
        <v>65</v>
      </c>
      <c r="K61" s="677">
        <v>65</v>
      </c>
      <c r="L61" s="305" t="s">
        <v>901</v>
      </c>
      <c r="M61" s="302">
        <f>50*1.1+10</f>
        <v>65</v>
      </c>
      <c r="N61" s="677">
        <v>120</v>
      </c>
      <c r="O61" s="305" t="s">
        <v>901</v>
      </c>
      <c r="P61" s="302">
        <f>50*1.1+10</f>
        <v>65</v>
      </c>
      <c r="Q61" s="302">
        <v>65</v>
      </c>
      <c r="R61" s="305" t="s">
        <v>901</v>
      </c>
      <c r="S61" s="302">
        <f>50*1.1+10</f>
        <v>65</v>
      </c>
      <c r="T61" s="957">
        <v>65</v>
      </c>
      <c r="U61" s="305" t="s">
        <v>901</v>
      </c>
      <c r="V61" s="302">
        <f>50*1.1+10</f>
        <v>65</v>
      </c>
      <c r="W61" s="678">
        <v>65</v>
      </c>
      <c r="X61" s="305" t="s">
        <v>901</v>
      </c>
      <c r="Y61" s="302">
        <f>50*1.1+10</f>
        <v>65</v>
      </c>
      <c r="Z61" s="678">
        <v>65</v>
      </c>
      <c r="AA61" s="305" t="s">
        <v>901</v>
      </c>
      <c r="AB61" s="302">
        <f>50*1.1+10</f>
        <v>65</v>
      </c>
      <c r="AC61" s="302">
        <v>65</v>
      </c>
      <c r="AD61" s="305" t="s">
        <v>901</v>
      </c>
      <c r="AE61" s="302">
        <f>50*1.1+10</f>
        <v>65</v>
      </c>
      <c r="AF61" s="302"/>
      <c r="AG61" s="305" t="s">
        <v>901</v>
      </c>
      <c r="AH61" s="302">
        <f>50*1.1+10</f>
        <v>65</v>
      </c>
      <c r="AI61" s="302"/>
      <c r="AJ61" s="305" t="s">
        <v>901</v>
      </c>
      <c r="AK61" s="302">
        <f>50*1.1+10</f>
        <v>65</v>
      </c>
      <c r="AL61" s="302"/>
      <c r="AM61" s="305" t="s">
        <v>901</v>
      </c>
      <c r="AN61" s="302">
        <f>50*1.1+10</f>
        <v>65</v>
      </c>
      <c r="AO61" s="302"/>
      <c r="AP61" s="305" t="s">
        <v>901</v>
      </c>
      <c r="AQ61" s="302">
        <f>50*1.1+10</f>
        <v>65</v>
      </c>
      <c r="AR61" s="297"/>
      <c r="AS61" s="297"/>
      <c r="AT6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780</v>
      </c>
      <c r="AU6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510</v>
      </c>
      <c r="AV61" s="295"/>
      <c r="AW61" s="295"/>
      <c r="AX61" s="327"/>
      <c r="AY61" s="328"/>
      <c r="AZ61" s="288">
        <f>VLOOKUP(A61,Table6[],30,0)</f>
        <v>0</v>
      </c>
    </row>
    <row r="62" spans="1:52" ht="14.25" customHeight="1">
      <c r="A62" s="292">
        <v>58</v>
      </c>
      <c r="B62" s="277" t="str">
        <f>VLOOKUP(Table1[[#This Row],[šifra]],Table6[],2,0)</f>
        <v>Grentek bio refinery d.o.o.</v>
      </c>
      <c r="C62" s="277" t="str">
        <f>VLOOKUP(Table1[[#This Row],[šifra]],Table6[],4,0)</f>
        <v>F. IVAN</v>
      </c>
      <c r="D62" s="276" t="str">
        <f>VLOOKUP(A62,Table6[],21,0)</f>
        <v>850+PDV ZA 3 PODUZEÁA</v>
      </c>
      <c r="E62" s="314" t="str">
        <f>IF(poduzeća!AE59="","",poduzeća!AE59)</f>
        <v/>
      </c>
      <c r="F62" s="313" t="str">
        <f>IF(poduzeća!AF59="","",poduzeća!AF59)</f>
        <v/>
      </c>
      <c r="G62" s="295"/>
      <c r="H62" s="295"/>
      <c r="I62" s="522"/>
      <c r="J62" s="307"/>
      <c r="K62" s="302"/>
      <c r="L62" s="522"/>
      <c r="M62" s="307"/>
      <c r="N62" s="302"/>
      <c r="O62" s="522"/>
      <c r="P62" s="307"/>
      <c r="Q62" s="302"/>
      <c r="R62" s="522"/>
      <c r="S62" s="307"/>
      <c r="T62" s="677"/>
      <c r="U62" s="522"/>
      <c r="V62" s="307"/>
      <c r="W62" s="304"/>
      <c r="X62" s="522"/>
      <c r="Y62" s="307"/>
      <c r="Z62" s="304"/>
      <c r="AA62" s="522"/>
      <c r="AB62" s="307"/>
      <c r="AC62" s="308"/>
      <c r="AD62" s="522"/>
      <c r="AE62" s="307"/>
      <c r="AF62" s="302"/>
      <c r="AG62" s="522"/>
      <c r="AH62" s="307"/>
      <c r="AI62" s="302"/>
      <c r="AJ62" s="522"/>
      <c r="AK62" s="307"/>
      <c r="AL62" s="302"/>
      <c r="AM62" s="522"/>
      <c r="AN62" s="307"/>
      <c r="AO62" s="302"/>
      <c r="AP62" s="522"/>
      <c r="AQ62" s="307"/>
      <c r="AR62" s="297"/>
      <c r="AS62" s="297"/>
      <c r="AT6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6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62" s="295"/>
      <c r="AW62" s="295"/>
      <c r="AX62" s="327"/>
      <c r="AY62" s="328"/>
      <c r="AZ62" s="288">
        <f>VLOOKUP(A62,Table6[],30,0)</f>
        <v>0</v>
      </c>
    </row>
    <row r="63" spans="1:52" s="96" customFormat="1" ht="14.25" customHeight="1">
      <c r="A63" s="287">
        <v>59</v>
      </c>
      <c r="B63" s="276" t="str">
        <f>VLOOKUP(Table1[[#This Row],[šifra]],Table6[],2,0)</f>
        <v>GRIN-CENTER j.d.o.o.</v>
      </c>
      <c r="C63" s="276" t="str">
        <f>VLOOKUP(Table1[[#This Row],[šifra]],Table6[],4,0)</f>
        <v>LAURA</v>
      </c>
      <c r="D63" s="276" t="str">
        <f>VLOOKUP(A63,Table6[],21,0)</f>
        <v>55+ 10 minimax+pdv /mj</v>
      </c>
      <c r="E63" s="314" t="str">
        <f>IF(poduzeća!AE60="","",poduzeća!AE60)</f>
        <v/>
      </c>
      <c r="F63" s="313" t="str">
        <f>IF(poduzeća!AF60="","",poduzeća!AF60)</f>
        <v/>
      </c>
      <c r="G63" s="293">
        <v>115.76</v>
      </c>
      <c r="H63" s="293"/>
      <c r="I63" s="289" t="s">
        <v>892</v>
      </c>
      <c r="J63" s="304">
        <f>33*1.1+10</f>
        <v>46.300000000000004</v>
      </c>
      <c r="K63" s="304">
        <v>193</v>
      </c>
      <c r="L63" s="289" t="s">
        <v>892</v>
      </c>
      <c r="M63" s="304">
        <f>33*1.1+10</f>
        <v>46.300000000000004</v>
      </c>
      <c r="N63" s="678">
        <v>46.3</v>
      </c>
      <c r="O63" s="289" t="s">
        <v>892</v>
      </c>
      <c r="P63" s="678">
        <f>33*1.1+10</f>
        <v>46.300000000000004</v>
      </c>
      <c r="Q63" s="678">
        <v>43</v>
      </c>
      <c r="R63" s="289" t="s">
        <v>892</v>
      </c>
      <c r="S63" s="304">
        <f>33*1.1+10</f>
        <v>46.300000000000004</v>
      </c>
      <c r="T63" s="958">
        <v>82.9</v>
      </c>
      <c r="U63" s="289" t="s">
        <v>892</v>
      </c>
      <c r="V63" s="870">
        <f>33*1.1+10</f>
        <v>46.300000000000004</v>
      </c>
      <c r="W63" s="678">
        <v>46.3</v>
      </c>
      <c r="X63" s="289" t="s">
        <v>892</v>
      </c>
      <c r="Y63" s="304">
        <f>33*1.1+10</f>
        <v>46.300000000000004</v>
      </c>
      <c r="Z63" s="678">
        <v>46.3</v>
      </c>
      <c r="AA63" s="289" t="s">
        <v>897</v>
      </c>
      <c r="AB63" s="304">
        <f>33*1.1+10</f>
        <v>46.300000000000004</v>
      </c>
      <c r="AC63" s="304">
        <v>46.3</v>
      </c>
      <c r="AD63" s="736" t="s">
        <v>897</v>
      </c>
      <c r="AE63" s="304">
        <v>65</v>
      </c>
      <c r="AF63" s="304">
        <v>65</v>
      </c>
      <c r="AG63" s="736" t="s">
        <v>897</v>
      </c>
      <c r="AH63" s="304">
        <v>65</v>
      </c>
      <c r="AI63" s="304"/>
      <c r="AJ63" s="736" t="s">
        <v>897</v>
      </c>
      <c r="AK63" s="304">
        <v>65</v>
      </c>
      <c r="AL63" s="304"/>
      <c r="AM63" s="736" t="s">
        <v>897</v>
      </c>
      <c r="AN63" s="304">
        <v>65</v>
      </c>
      <c r="AO63" s="304"/>
      <c r="AP63" s="736" t="s">
        <v>897</v>
      </c>
      <c r="AQ63" s="304">
        <v>65</v>
      </c>
      <c r="AR63" s="294"/>
      <c r="AS63" s="294"/>
      <c r="AT63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649.1</v>
      </c>
      <c r="AU63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569.10000000000014</v>
      </c>
      <c r="AV63" s="293"/>
      <c r="AW63" s="293"/>
      <c r="AX63" s="327"/>
      <c r="AY63" s="328"/>
      <c r="AZ63" s="288">
        <f>VLOOKUP(A63,Table6[],30,0)</f>
        <v>0</v>
      </c>
    </row>
    <row r="64" spans="1:52" ht="14.25" customHeight="1">
      <c r="A64" s="292">
        <v>60</v>
      </c>
      <c r="B64" s="277" t="str">
        <f>VLOOKUP(Table1[[#This Row],[šifra]],Table6[],2,0)</f>
        <v>GUGA NATURA j.d.o.o</v>
      </c>
      <c r="C64" s="277" t="str">
        <f>VLOOKUP(Table1[[#This Row],[šifra]],Table6[],4,0)</f>
        <v>LAURA</v>
      </c>
      <c r="D64" s="276" t="str">
        <f>VLOOKUP(A64,Table6[],21,0)</f>
        <v>?120+pdv / istek ugovora sa 31.12.2025</v>
      </c>
      <c r="E64" s="314" t="str">
        <f>IF(poduzeća!AE61="","",poduzeća!AE61)</f>
        <v/>
      </c>
      <c r="F64" s="313" t="str">
        <f>IF(poduzeća!AF61="","",poduzeća!AF61)</f>
        <v/>
      </c>
      <c r="G64" s="1047"/>
      <c r="H64" s="295"/>
      <c r="I64" s="289" t="s">
        <v>897</v>
      </c>
      <c r="J64" s="302">
        <v>0</v>
      </c>
      <c r="K64" s="677">
        <v>0</v>
      </c>
      <c r="L64" s="289" t="s">
        <v>897</v>
      </c>
      <c r="M64" s="302"/>
      <c r="N64" s="836"/>
      <c r="O64" s="289" t="s">
        <v>897</v>
      </c>
      <c r="P64" s="302"/>
      <c r="Q64" s="302"/>
      <c r="R64" s="289" t="s">
        <v>897</v>
      </c>
      <c r="S64" s="302"/>
      <c r="T64" s="677"/>
      <c r="U64" s="289" t="s">
        <v>897</v>
      </c>
      <c r="V64" s="302"/>
      <c r="W64" s="304"/>
      <c r="X64" s="289" t="s">
        <v>897</v>
      </c>
      <c r="Y64" s="302"/>
      <c r="Z64" s="304"/>
      <c r="AA64" s="289" t="s">
        <v>897</v>
      </c>
      <c r="AB64" s="302"/>
      <c r="AC64" s="302"/>
      <c r="AD64" s="736" t="s">
        <v>897</v>
      </c>
      <c r="AE64" s="302"/>
      <c r="AF64" s="302"/>
      <c r="AG64" s="736" t="s">
        <v>897</v>
      </c>
      <c r="AH64" s="302"/>
      <c r="AI64" s="302"/>
      <c r="AJ64" s="736" t="s">
        <v>897</v>
      </c>
      <c r="AK64" s="302"/>
      <c r="AL64" s="302"/>
      <c r="AM64" s="736" t="s">
        <v>897</v>
      </c>
      <c r="AN64" s="302"/>
      <c r="AO64" s="302"/>
      <c r="AP64" s="736" t="s">
        <v>897</v>
      </c>
      <c r="AQ64" s="302"/>
      <c r="AR64" s="297"/>
      <c r="AS64" s="297"/>
      <c r="AT6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6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64" s="316"/>
      <c r="AW64" s="295"/>
      <c r="AX64" s="327"/>
      <c r="AY64" s="328"/>
      <c r="AZ64" s="288">
        <f>VLOOKUP(A64,Table6[],30,0)</f>
        <v>0</v>
      </c>
    </row>
    <row r="65" spans="1:52" ht="14.25" customHeight="1">
      <c r="A65" s="292">
        <v>61</v>
      </c>
      <c r="B65" s="277" t="str">
        <f>VLOOKUP(Table1[[#This Row],[šifra]],Table6[],2,0)</f>
        <v>GUMENET d.o.o.</v>
      </c>
      <c r="C65" s="277" t="str">
        <f>VLOOKUP(Table1[[#This Row],[šifra]],Table6[],4,0)</f>
        <v>F. ANA P.</v>
      </c>
      <c r="D65" s="276" t="str">
        <f>VLOOKUP(A65,Table6[],21,0)</f>
        <v>451 (+10%)eur/mj</v>
      </c>
      <c r="E65" s="314" t="str">
        <f>IF(poduzeća!AE62="","",poduzeća!AE62)</f>
        <v/>
      </c>
      <c r="F65" s="313" t="str">
        <f>IF(poduzeća!AF62="","",poduzeća!AF62)</f>
        <v/>
      </c>
      <c r="G65" s="295"/>
      <c r="H65" s="295"/>
      <c r="I65" s="305" t="s">
        <v>899</v>
      </c>
      <c r="J65" s="302">
        <v>0</v>
      </c>
      <c r="K65" s="302"/>
      <c r="L65" s="305" t="s">
        <v>899</v>
      </c>
      <c r="M65" s="302">
        <v>0</v>
      </c>
      <c r="N65" s="302"/>
      <c r="O65" s="305" t="s">
        <v>899</v>
      </c>
      <c r="P65" s="302">
        <v>0</v>
      </c>
      <c r="Q65" s="302"/>
      <c r="R65" s="305" t="s">
        <v>899</v>
      </c>
      <c r="S65" s="302">
        <v>0</v>
      </c>
      <c r="T65" s="677"/>
      <c r="U65" s="305" t="s">
        <v>899</v>
      </c>
      <c r="V65" s="302">
        <v>0</v>
      </c>
      <c r="W65" s="304"/>
      <c r="X65" s="305" t="s">
        <v>899</v>
      </c>
      <c r="Y65" s="302">
        <v>0</v>
      </c>
      <c r="Z65" s="304"/>
      <c r="AA65" s="305" t="s">
        <v>899</v>
      </c>
      <c r="AB65" s="302">
        <v>0</v>
      </c>
      <c r="AC65" s="302">
        <v>0</v>
      </c>
      <c r="AD65" s="305" t="s">
        <v>899</v>
      </c>
      <c r="AE65" s="302">
        <v>0</v>
      </c>
      <c r="AF65" s="302"/>
      <c r="AG65" s="305" t="s">
        <v>899</v>
      </c>
      <c r="AH65" s="302">
        <v>0</v>
      </c>
      <c r="AI65" s="302"/>
      <c r="AJ65" s="305" t="s">
        <v>899</v>
      </c>
      <c r="AK65" s="302">
        <v>0</v>
      </c>
      <c r="AL65" s="302"/>
      <c r="AM65" s="305" t="s">
        <v>899</v>
      </c>
      <c r="AN65" s="302">
        <v>0</v>
      </c>
      <c r="AO65" s="302"/>
      <c r="AP65" s="305" t="s">
        <v>899</v>
      </c>
      <c r="AQ65" s="302">
        <v>0</v>
      </c>
      <c r="AR65" s="297"/>
      <c r="AS65" s="297"/>
      <c r="AT6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6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65" s="316"/>
      <c r="AW65" s="295"/>
      <c r="AX65" s="327"/>
      <c r="AY65" s="328"/>
      <c r="AZ65" s="288">
        <f>VLOOKUP(A65,Table6[],30,0)</f>
        <v>0</v>
      </c>
    </row>
    <row r="66" spans="1:52" ht="14.25" customHeight="1">
      <c r="A66" s="292">
        <v>62</v>
      </c>
      <c r="B66" s="277" t="str">
        <f>VLOOKUP(Table1[[#This Row],[šifra]],Table6[],2,0)</f>
        <v xml:space="preserve">Irén Maria Hagyó </v>
      </c>
      <c r="C66" s="277" t="str">
        <f>VLOOKUP(Table1[[#This Row],[šifra]],Table6[],4,0)</f>
        <v>MAJA</v>
      </c>
      <c r="D66" s="276" t="str">
        <f>VLOOKUP(A66,Table6[],21,0)</f>
        <v>40(+10%)+pdv /mj</v>
      </c>
      <c r="E66" s="314" t="str">
        <f>IF(poduzeća!AE63="","",poduzeća!AE63)</f>
        <v/>
      </c>
      <c r="F66" s="313" t="str">
        <f>IF(poduzeća!AF63="","",poduzeća!AF63)</f>
        <v/>
      </c>
      <c r="G66" s="295"/>
      <c r="H66" s="295">
        <v>22</v>
      </c>
      <c r="I66" s="305" t="s">
        <v>892</v>
      </c>
      <c r="J66" s="302">
        <f>40*1.1</f>
        <v>44</v>
      </c>
      <c r="K66" s="677">
        <v>44</v>
      </c>
      <c r="L66" s="697" t="s">
        <v>897</v>
      </c>
      <c r="M66" s="302">
        <f>40*1.1</f>
        <v>44</v>
      </c>
      <c r="N66" s="677">
        <v>44</v>
      </c>
      <c r="O66" s="697" t="s">
        <v>897</v>
      </c>
      <c r="P66" s="867">
        <f>40*1.1</f>
        <v>44</v>
      </c>
      <c r="Q66" s="302">
        <v>44</v>
      </c>
      <c r="R66" s="697" t="s">
        <v>897</v>
      </c>
      <c r="S66" s="302">
        <f>40*1.1</f>
        <v>44</v>
      </c>
      <c r="T66" s="957">
        <v>44</v>
      </c>
      <c r="U66" s="697" t="s">
        <v>897</v>
      </c>
      <c r="V66" s="867">
        <f>40*1.1</f>
        <v>44</v>
      </c>
      <c r="W66" s="678">
        <v>44</v>
      </c>
      <c r="X66" s="1036" t="s">
        <v>2036</v>
      </c>
      <c r="Y66" s="302">
        <f>40*1.1</f>
        <v>44</v>
      </c>
      <c r="Z66" s="678">
        <v>44</v>
      </c>
      <c r="AA66" s="1036" t="s">
        <v>2036</v>
      </c>
      <c r="AB66" s="302">
        <f>40*1.1</f>
        <v>44</v>
      </c>
      <c r="AC66" s="302">
        <v>44</v>
      </c>
      <c r="AD66" s="1036" t="s">
        <v>2036</v>
      </c>
      <c r="AE66" s="302">
        <f>40*1.1</f>
        <v>44</v>
      </c>
      <c r="AF66" s="302">
        <v>44</v>
      </c>
      <c r="AG66" s="697" t="s">
        <v>897</v>
      </c>
      <c r="AH66" s="302">
        <f>40*1.1</f>
        <v>44</v>
      </c>
      <c r="AI66" s="302"/>
      <c r="AJ66" s="697" t="s">
        <v>897</v>
      </c>
      <c r="AK66" s="302">
        <f>40*1.1</f>
        <v>44</v>
      </c>
      <c r="AL66" s="302"/>
      <c r="AM66" s="697" t="s">
        <v>897</v>
      </c>
      <c r="AN66" s="302">
        <f>40*1.1</f>
        <v>44</v>
      </c>
      <c r="AO66" s="302"/>
      <c r="AP66" s="697" t="s">
        <v>897</v>
      </c>
      <c r="AQ66" s="302">
        <f>40*1.1</f>
        <v>44</v>
      </c>
      <c r="AR66" s="297"/>
      <c r="AS66" s="297"/>
      <c r="AT6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528</v>
      </c>
      <c r="AU6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352</v>
      </c>
      <c r="AV66" s="319" t="s">
        <v>198</v>
      </c>
      <c r="AW66" s="295"/>
      <c r="AX66" s="327"/>
      <c r="AY66" s="328"/>
      <c r="AZ66" s="288">
        <f>VLOOKUP(A66,Table6[],30,0)</f>
        <v>0</v>
      </c>
    </row>
    <row r="67" spans="1:52" ht="15" customHeight="1">
      <c r="A67" s="287">
        <v>63</v>
      </c>
      <c r="B67" s="276" t="str">
        <f>VLOOKUP(Table1[[#This Row],[šifra]],Table6[],2,0)</f>
        <v>HAUKI j.d.o.o.</v>
      </c>
      <c r="C67" s="276" t="str">
        <f>VLOOKUP(Table1[[#This Row],[šifra]],Table6[],4,0)</f>
        <v>NITKO</v>
      </c>
      <c r="D67" s="276" t="str">
        <f>VLOOKUP(A67,Table6[],21,0)</f>
        <v>100(+10%)+10 minimax+pdv /mj</v>
      </c>
      <c r="E67" s="314" t="str">
        <f>IF(poduzeća!AE64="","",poduzeća!AE64)</f>
        <v/>
      </c>
      <c r="F67" s="313" t="str">
        <f>IF(poduzeća!AF64="","",poduzeća!AF64)</f>
        <v/>
      </c>
      <c r="G67" s="1013">
        <v>150</v>
      </c>
      <c r="H67" s="1013">
        <v>55</v>
      </c>
      <c r="I67" s="736" t="s">
        <v>897</v>
      </c>
      <c r="J67" s="304">
        <v>150</v>
      </c>
      <c r="K67" s="678">
        <v>120</v>
      </c>
      <c r="L67" s="736" t="s">
        <v>897</v>
      </c>
      <c r="M67" s="304">
        <f>100*1.1+10</f>
        <v>120.00000000000001</v>
      </c>
      <c r="N67" s="678">
        <v>120</v>
      </c>
      <c r="O67" s="736" t="s">
        <v>897</v>
      </c>
      <c r="P67" s="872">
        <f>100*1.1+10</f>
        <v>120.00000000000001</v>
      </c>
      <c r="Q67" s="304">
        <v>120</v>
      </c>
      <c r="R67" s="736" t="s">
        <v>897</v>
      </c>
      <c r="S67" s="304">
        <f>100*1.1+10</f>
        <v>120.00000000000001</v>
      </c>
      <c r="T67" s="958">
        <v>230</v>
      </c>
      <c r="U67" s="736" t="s">
        <v>897</v>
      </c>
      <c r="V67" s="870">
        <f>100*1.1+10</f>
        <v>120.00000000000001</v>
      </c>
      <c r="W67" s="678">
        <v>120</v>
      </c>
      <c r="X67" s="736" t="s">
        <v>897</v>
      </c>
      <c r="Y67" s="304">
        <f>100*1.1+10</f>
        <v>120.00000000000001</v>
      </c>
      <c r="Z67" s="304">
        <v>120</v>
      </c>
      <c r="AA67" s="736" t="s">
        <v>897</v>
      </c>
      <c r="AB67" s="304">
        <v>0</v>
      </c>
      <c r="AC67" s="304"/>
      <c r="AD67" s="736" t="s">
        <v>897</v>
      </c>
      <c r="AE67" s="304">
        <v>0</v>
      </c>
      <c r="AF67" s="304"/>
      <c r="AG67" s="736" t="s">
        <v>897</v>
      </c>
      <c r="AH67" s="304">
        <v>0</v>
      </c>
      <c r="AI67" s="304"/>
      <c r="AJ67" s="736" t="s">
        <v>897</v>
      </c>
      <c r="AK67" s="304">
        <v>0</v>
      </c>
      <c r="AL67" s="304"/>
      <c r="AM67" s="736" t="s">
        <v>897</v>
      </c>
      <c r="AN67" s="304">
        <v>0</v>
      </c>
      <c r="AO67" s="304"/>
      <c r="AP67" s="736" t="s">
        <v>897</v>
      </c>
      <c r="AQ67" s="304">
        <v>0</v>
      </c>
      <c r="AR67" s="294"/>
      <c r="AS67" s="294"/>
      <c r="AT67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750</v>
      </c>
      <c r="AU67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830</v>
      </c>
      <c r="AV67" s="293"/>
      <c r="AW67" s="293"/>
      <c r="AX67" s="327"/>
      <c r="AY67" s="328"/>
      <c r="AZ67" s="288">
        <f>VLOOKUP(A67,Table6[],30,0)</f>
        <v>0</v>
      </c>
    </row>
    <row r="68" spans="1:52" ht="14.25" customHeight="1">
      <c r="A68" s="287">
        <v>64</v>
      </c>
      <c r="B68" s="276" t="str">
        <f>VLOOKUP(Table1[[#This Row],[šifra]],Table6[],2,0)</f>
        <v>HELLA'91 KFT</v>
      </c>
      <c r="C68" s="276" t="str">
        <f>VLOOKUP(Table1[[#This Row],[šifra]],Table6[],4,0)</f>
        <v>LAURA</v>
      </c>
      <c r="D68" s="276" t="str">
        <f>VLOOKUP(A68,Table6[],21,0)</f>
        <v>50(+10%) /mj</v>
      </c>
      <c r="E68" s="314" t="str">
        <f>IF(poduzeća!AE65="","",poduzeća!AE65)</f>
        <v/>
      </c>
      <c r="F68" s="313" t="str">
        <f>IF(poduzeća!AF65="","",poduzeća!AF65)</f>
        <v/>
      </c>
      <c r="G68" s="293"/>
      <c r="H68" s="293"/>
      <c r="I68" s="289" t="s">
        <v>892</v>
      </c>
      <c r="J68" s="304">
        <f>50*1.1</f>
        <v>55.000000000000007</v>
      </c>
      <c r="K68" s="304">
        <v>55</v>
      </c>
      <c r="L68" s="289" t="s">
        <v>892</v>
      </c>
      <c r="M68" s="304">
        <f>50*1.1</f>
        <v>55.000000000000007</v>
      </c>
      <c r="N68" s="304">
        <v>55</v>
      </c>
      <c r="O68" s="289" t="s">
        <v>892</v>
      </c>
      <c r="P68" s="304">
        <f>50*1.1</f>
        <v>55.000000000000007</v>
      </c>
      <c r="Q68" s="678">
        <v>55</v>
      </c>
      <c r="R68" s="289" t="s">
        <v>892</v>
      </c>
      <c r="S68" s="304">
        <f>50*1.1</f>
        <v>55.000000000000007</v>
      </c>
      <c r="T68" s="958">
        <v>55</v>
      </c>
      <c r="U68" s="289" t="s">
        <v>892</v>
      </c>
      <c r="V68" s="870">
        <f>50*1.1</f>
        <v>55.000000000000007</v>
      </c>
      <c r="W68" s="678">
        <v>55</v>
      </c>
      <c r="X68" s="289" t="s">
        <v>892</v>
      </c>
      <c r="Y68" s="304">
        <f>50*1.1</f>
        <v>55.000000000000007</v>
      </c>
      <c r="Z68" s="678">
        <v>55</v>
      </c>
      <c r="AA68" s="289" t="s">
        <v>892</v>
      </c>
      <c r="AB68" s="304">
        <f>50*1.1</f>
        <v>55.000000000000007</v>
      </c>
      <c r="AC68" s="304">
        <v>55</v>
      </c>
      <c r="AD68" s="736" t="s">
        <v>897</v>
      </c>
      <c r="AE68" s="304">
        <f>50*1.1</f>
        <v>55.000000000000007</v>
      </c>
      <c r="AF68" s="304"/>
      <c r="AG68" s="736" t="s">
        <v>897</v>
      </c>
      <c r="AH68" s="304">
        <f>50*1.1</f>
        <v>55.000000000000007</v>
      </c>
      <c r="AI68" s="304"/>
      <c r="AJ68" s="736" t="s">
        <v>897</v>
      </c>
      <c r="AK68" s="304">
        <f>50*1.1</f>
        <v>55.000000000000007</v>
      </c>
      <c r="AL68" s="304"/>
      <c r="AM68" s="736" t="s">
        <v>897</v>
      </c>
      <c r="AN68" s="304">
        <f>50*1.1</f>
        <v>55.000000000000007</v>
      </c>
      <c r="AO68" s="304"/>
      <c r="AP68" s="736" t="s">
        <v>897</v>
      </c>
      <c r="AQ68" s="304">
        <f>50*1.1</f>
        <v>55.000000000000007</v>
      </c>
      <c r="AR68" s="294"/>
      <c r="AS68" s="294"/>
      <c r="AT68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660.00000000000011</v>
      </c>
      <c r="AU68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385</v>
      </c>
      <c r="AV68" s="293"/>
      <c r="AW68" s="293"/>
      <c r="AX68" s="327"/>
      <c r="AY68" s="328"/>
      <c r="AZ68" s="288">
        <f>VLOOKUP(A68,Table6[],30,0)</f>
        <v>0</v>
      </c>
    </row>
    <row r="69" spans="1:52" ht="14.25" customHeight="1">
      <c r="A69" s="292">
        <v>65</v>
      </c>
      <c r="B69" s="277" t="str">
        <f>VLOOKUP(Table1[[#This Row],[šifra]],Table6[],2,0)</f>
        <v>HOME PLUS d.o.o.</v>
      </c>
      <c r="C69" s="277" t="str">
        <f>VLOOKUP(Table1[[#This Row],[šifra]],Table6[],4,0)</f>
        <v>NIKOLINA</v>
      </c>
      <c r="D69" s="276" t="str">
        <f>VLOOKUP(A69,Table6[],21,0)</f>
        <v>1500 (+10%) + pdv  /mj</v>
      </c>
      <c r="E69" s="314" t="str">
        <f>IF(poduzeća!AE66="","",poduzeća!AE66)</f>
        <v/>
      </c>
      <c r="F69" s="313" t="str">
        <f>IF(poduzeća!AF66="","",poduzeća!AF66)</f>
        <v/>
      </c>
      <c r="G69" s="295">
        <v>637.5</v>
      </c>
      <c r="H69" s="295"/>
      <c r="I69" s="301" t="s">
        <v>901</v>
      </c>
      <c r="J69" s="302">
        <f>1200*1.1</f>
        <v>1320</v>
      </c>
      <c r="K69" s="677">
        <v>1320</v>
      </c>
      <c r="L69" s="301" t="s">
        <v>901</v>
      </c>
      <c r="M69" s="302">
        <f>1200*1.1</f>
        <v>1320</v>
      </c>
      <c r="N69" s="677">
        <v>1320</v>
      </c>
      <c r="O69" s="301" t="s">
        <v>901</v>
      </c>
      <c r="P69" s="302">
        <f>1200*1.1</f>
        <v>1320</v>
      </c>
      <c r="Q69" s="302">
        <v>1320</v>
      </c>
      <c r="R69" s="301" t="s">
        <v>901</v>
      </c>
      <c r="S69" s="302">
        <f>1200*1.1</f>
        <v>1320</v>
      </c>
      <c r="T69" s="957">
        <v>2900</v>
      </c>
      <c r="U69" s="301" t="s">
        <v>901</v>
      </c>
      <c r="V69" s="302">
        <f>1200*1.1</f>
        <v>1320</v>
      </c>
      <c r="W69" s="678">
        <v>1330.74</v>
      </c>
      <c r="X69" s="301" t="s">
        <v>901</v>
      </c>
      <c r="Y69" s="302">
        <f>1200*1.1</f>
        <v>1320</v>
      </c>
      <c r="Z69" s="678">
        <v>1800</v>
      </c>
      <c r="AA69" s="301" t="s">
        <v>901</v>
      </c>
      <c r="AB69" s="302">
        <f>1200*1.1</f>
        <v>1320</v>
      </c>
      <c r="AC69" s="302">
        <v>1320</v>
      </c>
      <c r="AD69" s="301" t="s">
        <v>901</v>
      </c>
      <c r="AE69" s="302">
        <f>1200*1.1</f>
        <v>1320</v>
      </c>
      <c r="AF69" s="302"/>
      <c r="AG69" s="301" t="s">
        <v>901</v>
      </c>
      <c r="AH69" s="302">
        <f>1200*1.1</f>
        <v>1320</v>
      </c>
      <c r="AI69" s="302"/>
      <c r="AJ69" s="301" t="s">
        <v>901</v>
      </c>
      <c r="AK69" s="302">
        <f>1200*1.1</f>
        <v>1320</v>
      </c>
      <c r="AL69" s="302"/>
      <c r="AM69" s="301" t="s">
        <v>901</v>
      </c>
      <c r="AN69" s="302">
        <f>1200*1.1</f>
        <v>1320</v>
      </c>
      <c r="AO69" s="302"/>
      <c r="AP69" s="301" t="s">
        <v>901</v>
      </c>
      <c r="AQ69" s="302">
        <f>1200*1.1</f>
        <v>1320</v>
      </c>
      <c r="AR69" s="297"/>
      <c r="AS69" s="297"/>
      <c r="AT6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15840</v>
      </c>
      <c r="AU6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11310.74</v>
      </c>
      <c r="AV69" s="316"/>
      <c r="AW69" s="295"/>
      <c r="AX69" s="327"/>
      <c r="AY69" s="328"/>
      <c r="AZ69" s="288">
        <f>VLOOKUP(A69,Table6[],30,0)</f>
        <v>0</v>
      </c>
    </row>
    <row r="70" spans="1:52" s="138" customFormat="1" ht="14.25" customHeight="1">
      <c r="A70" s="292">
        <v>66</v>
      </c>
      <c r="B70" s="277" t="str">
        <f>VLOOKUP(Table1[[#This Row],[šifra]],Table6[],2,0)</f>
        <v>HUNOS j.d.o.o.</v>
      </c>
      <c r="C70" s="277" t="str">
        <f>VLOOKUP(Table1[[#This Row],[šifra]],Table6[],4,0)</f>
        <v>SJEDIŠTE</v>
      </c>
      <c r="D70" s="276" t="str">
        <f>VLOOKUP(A70,Table6[],21,0)</f>
        <v>40 SJEDIŠTE / MJ - plaáa 1 godiőnje u 7.mj</v>
      </c>
      <c r="E70" s="314" t="str">
        <f>IF(poduzeća!AE67="","",poduzeća!AE67)</f>
        <v>14.7.2021</v>
      </c>
      <c r="F70" s="313">
        <f>IF(poduzeća!AF67="","",poduzeća!AF67)</f>
        <v>500</v>
      </c>
      <c r="G70" s="295"/>
      <c r="H70" s="295"/>
      <c r="I70" s="522" t="s">
        <v>897</v>
      </c>
      <c r="J70" s="302"/>
      <c r="K70" s="677">
        <v>0</v>
      </c>
      <c r="L70" s="522" t="s">
        <v>897</v>
      </c>
      <c r="M70" s="302"/>
      <c r="N70" s="836"/>
      <c r="O70" s="522" t="s">
        <v>897</v>
      </c>
      <c r="P70" s="302"/>
      <c r="Q70" s="302"/>
      <c r="R70" s="522" t="s">
        <v>897</v>
      </c>
      <c r="S70" s="302"/>
      <c r="T70" s="677"/>
      <c r="U70" s="522" t="s">
        <v>897</v>
      </c>
      <c r="V70" s="302"/>
      <c r="W70" s="304"/>
      <c r="X70" s="522" t="s">
        <v>897</v>
      </c>
      <c r="Y70" s="302"/>
      <c r="Z70" s="304"/>
      <c r="AA70" s="522" t="s">
        <v>897</v>
      </c>
      <c r="AB70" s="302">
        <v>500</v>
      </c>
      <c r="AC70" s="302">
        <v>500</v>
      </c>
      <c r="AD70" s="522" t="s">
        <v>897</v>
      </c>
      <c r="AE70" s="302"/>
      <c r="AF70" s="302"/>
      <c r="AG70" s="522" t="s">
        <v>897</v>
      </c>
      <c r="AH70" s="302"/>
      <c r="AI70" s="302"/>
      <c r="AJ70" s="522" t="s">
        <v>897</v>
      </c>
      <c r="AK70" s="302"/>
      <c r="AL70" s="302"/>
      <c r="AM70" s="522" t="s">
        <v>897</v>
      </c>
      <c r="AN70" s="302"/>
      <c r="AO70" s="302"/>
      <c r="AP70" s="522" t="s">
        <v>897</v>
      </c>
      <c r="AQ70" s="302"/>
      <c r="AR70" s="297"/>
      <c r="AS70" s="297"/>
      <c r="AT7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500</v>
      </c>
      <c r="AU7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500</v>
      </c>
      <c r="AV70" s="316"/>
      <c r="AW70" s="295"/>
      <c r="AX70" s="327"/>
      <c r="AY70" s="328"/>
      <c r="AZ70" s="288">
        <f>VLOOKUP(A70,Table6[],30,0)</f>
        <v>0</v>
      </c>
    </row>
    <row r="71" spans="1:52" s="96" customFormat="1" ht="13.5" customHeight="1">
      <c r="A71" s="292">
        <v>67</v>
      </c>
      <c r="B71" s="277" t="str">
        <f>VLOOKUP(Table1[[#This Row],[šifra]],Table6[],2,0)</f>
        <v>InvMDLD d.o.o.</v>
      </c>
      <c r="C71" s="277" t="str">
        <f>VLOOKUP(Table1[[#This Row],[šifra]],Table6[],4,0)</f>
        <v>NIKOLINA</v>
      </c>
      <c r="D71" s="276" t="str">
        <f>VLOOKUP(A71,Table6[],21,0)</f>
        <v>100 (+10%)+pdv /mj</v>
      </c>
      <c r="E71" s="314" t="str">
        <f>IF(poduzeća!AE68="","",poduzeća!AE68)</f>
        <v/>
      </c>
      <c r="F71" s="313" t="str">
        <f>IF(poduzeća!AF68="","",poduzeća!AF68)</f>
        <v/>
      </c>
      <c r="G71" s="295"/>
      <c r="H71" s="295"/>
      <c r="I71" s="305" t="s">
        <v>901</v>
      </c>
      <c r="J71" s="302">
        <f>100*1.1</f>
        <v>110.00000000000001</v>
      </c>
      <c r="K71" s="677">
        <v>110</v>
      </c>
      <c r="L71" s="305" t="s">
        <v>901</v>
      </c>
      <c r="M71" s="302">
        <f>100*1.1</f>
        <v>110.00000000000001</v>
      </c>
      <c r="N71" s="677">
        <v>110</v>
      </c>
      <c r="O71" s="305" t="s">
        <v>901</v>
      </c>
      <c r="P71" s="302">
        <f>100*1.1</f>
        <v>110.00000000000001</v>
      </c>
      <c r="Q71" s="302">
        <v>110</v>
      </c>
      <c r="R71" s="305" t="s">
        <v>901</v>
      </c>
      <c r="S71" s="302">
        <f>100*1.1</f>
        <v>110.00000000000001</v>
      </c>
      <c r="T71" s="957">
        <v>220</v>
      </c>
      <c r="U71" s="305" t="s">
        <v>901</v>
      </c>
      <c r="V71" s="302">
        <f>100*1.1</f>
        <v>110.00000000000001</v>
      </c>
      <c r="W71" s="678">
        <v>110</v>
      </c>
      <c r="X71" s="305" t="s">
        <v>901</v>
      </c>
      <c r="Y71" s="302">
        <f>100*1.1</f>
        <v>110.00000000000001</v>
      </c>
      <c r="Z71" s="678">
        <v>110</v>
      </c>
      <c r="AA71" s="305" t="s">
        <v>901</v>
      </c>
      <c r="AB71" s="302">
        <f>100*1.1</f>
        <v>110.00000000000001</v>
      </c>
      <c r="AC71" s="302">
        <v>110</v>
      </c>
      <c r="AD71" s="305" t="s">
        <v>901</v>
      </c>
      <c r="AE71" s="302">
        <f>100*1.1</f>
        <v>110.00000000000001</v>
      </c>
      <c r="AF71" s="302"/>
      <c r="AG71" s="305" t="s">
        <v>901</v>
      </c>
      <c r="AH71" s="302">
        <f>100*1.1</f>
        <v>110.00000000000001</v>
      </c>
      <c r="AI71" s="302"/>
      <c r="AJ71" s="305" t="s">
        <v>901</v>
      </c>
      <c r="AK71" s="302">
        <f>100*1.1</f>
        <v>110.00000000000001</v>
      </c>
      <c r="AL71" s="302"/>
      <c r="AM71" s="305" t="s">
        <v>901</v>
      </c>
      <c r="AN71" s="302">
        <f>100*1.1</f>
        <v>110.00000000000001</v>
      </c>
      <c r="AO71" s="302"/>
      <c r="AP71" s="305" t="s">
        <v>901</v>
      </c>
      <c r="AQ71" s="302">
        <f>100*1.1</f>
        <v>110.00000000000001</v>
      </c>
      <c r="AR71" s="297"/>
      <c r="AS71" s="297"/>
      <c r="AT7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7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880</v>
      </c>
      <c r="AV71" s="295"/>
      <c r="AW71" s="295"/>
      <c r="AX71" s="327"/>
      <c r="AY71" s="328"/>
      <c r="AZ71" s="288">
        <f>VLOOKUP(A71,Table6[],30,0)</f>
        <v>0</v>
      </c>
    </row>
    <row r="72" spans="1:52" ht="14.25" customHeight="1">
      <c r="A72" s="292">
        <v>68</v>
      </c>
      <c r="B72" s="277" t="str">
        <f>VLOOKUP(Table1[[#This Row],[šifra]],Table6[],2,0)</f>
        <v>Istvan Zoltan Gal</v>
      </c>
      <c r="C72" s="277" t="str">
        <f>VLOOKUP(Table1[[#This Row],[šifra]],Table6[],4,0)</f>
        <v>MAJA</v>
      </c>
      <c r="D72" s="276" t="str">
        <f>VLOOKUP(A72,Table6[],21,0)</f>
        <v>500(+10%)+minimax eur / godišnje obračun svaka 3 mj 550+120=670/4</v>
      </c>
      <c r="E72" s="314" t="str">
        <f>IF(poduzeća!AE69="","",poduzeća!AE69)</f>
        <v/>
      </c>
      <c r="F72" s="313" t="str">
        <f>IF(poduzeća!AF69="","",poduzeća!AF69)</f>
        <v/>
      </c>
      <c r="G72" s="295"/>
      <c r="H72" s="295"/>
      <c r="I72" s="305" t="s">
        <v>1105</v>
      </c>
      <c r="J72" s="302"/>
      <c r="K72" s="684"/>
      <c r="L72" s="697" t="s">
        <v>897</v>
      </c>
      <c r="M72" s="302"/>
      <c r="N72" s="836"/>
      <c r="O72" s="697" t="s">
        <v>897</v>
      </c>
      <c r="P72" s="302"/>
      <c r="Q72" s="302"/>
      <c r="R72" s="697" t="s">
        <v>897</v>
      </c>
      <c r="S72" s="302"/>
      <c r="T72" s="677"/>
      <c r="U72" s="697" t="s">
        <v>897</v>
      </c>
      <c r="V72" s="302"/>
      <c r="W72" s="304"/>
      <c r="X72" s="1036" t="s">
        <v>2036</v>
      </c>
      <c r="Y72" s="302">
        <v>550</v>
      </c>
      <c r="Z72" s="304">
        <v>550</v>
      </c>
      <c r="AA72" s="1036" t="s">
        <v>2036</v>
      </c>
      <c r="AB72" s="302"/>
      <c r="AC72" s="302"/>
      <c r="AD72" s="1036" t="s">
        <v>2036</v>
      </c>
      <c r="AE72" s="302"/>
      <c r="AF72" s="302"/>
      <c r="AG72" s="1063" t="s">
        <v>2036</v>
      </c>
      <c r="AH72" s="302"/>
      <c r="AI72" s="302"/>
      <c r="AJ72" s="834" t="s">
        <v>897</v>
      </c>
      <c r="AK72" s="302"/>
      <c r="AL72" s="302"/>
      <c r="AM72" s="522" t="s">
        <v>897</v>
      </c>
      <c r="AN72" s="302"/>
      <c r="AO72" s="302"/>
      <c r="AP72" s="834" t="s">
        <v>897</v>
      </c>
      <c r="AQ72" s="302"/>
      <c r="AR72" s="297"/>
      <c r="AS72" s="297"/>
      <c r="AT7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550</v>
      </c>
      <c r="AU7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550</v>
      </c>
      <c r="AV72" s="295"/>
      <c r="AW72" s="295"/>
      <c r="AX72" s="327"/>
      <c r="AY72" s="328"/>
      <c r="AZ72" s="288">
        <f>VLOOKUP(A72,Table6[],30,0)</f>
        <v>0</v>
      </c>
    </row>
    <row r="73" spans="1:52" ht="14.25" customHeight="1">
      <c r="A73" s="287">
        <v>69</v>
      </c>
      <c r="B73" s="276" t="str">
        <f>VLOOKUP(Table1[[#This Row],[šifra]],Table6[],2,0)</f>
        <v>IVA franšizer</v>
      </c>
      <c r="C73" s="276" t="str">
        <f>VLOOKUP(Table1[[#This Row],[šifra]],Table6[],4,0)</f>
        <v>LAURA</v>
      </c>
      <c r="D73" s="276" t="str">
        <f>VLOOKUP(A73,Table6[],21,0)</f>
        <v>66% + promet / 100 eur</v>
      </c>
      <c r="E73" s="314" t="str">
        <f>IF(poduzeća!AE70="","",poduzeća!AE70)</f>
        <v/>
      </c>
      <c r="F73" s="313" t="str">
        <f>IF(poduzeća!AF70="","",poduzeća!AF70)</f>
        <v/>
      </c>
      <c r="G73" s="293"/>
      <c r="H73" s="293"/>
      <c r="I73" s="289" t="s">
        <v>1105</v>
      </c>
      <c r="J73" s="304"/>
      <c r="K73" s="304"/>
      <c r="L73" s="697" t="s">
        <v>897</v>
      </c>
      <c r="M73" s="304">
        <v>-100</v>
      </c>
      <c r="N73" s="835">
        <v>-100</v>
      </c>
      <c r="O73" s="289" t="s">
        <v>1105</v>
      </c>
      <c r="P73" s="678">
        <v>-100</v>
      </c>
      <c r="Q73" s="304">
        <v>-100</v>
      </c>
      <c r="R73" s="289" t="s">
        <v>1105</v>
      </c>
      <c r="S73" s="304">
        <v>-100</v>
      </c>
      <c r="T73" s="1006"/>
      <c r="U73" s="697" t="s">
        <v>897</v>
      </c>
      <c r="V73" s="678">
        <v>-100</v>
      </c>
      <c r="W73" s="678">
        <v>-200</v>
      </c>
      <c r="X73" s="289" t="s">
        <v>1105</v>
      </c>
      <c r="Y73" s="304">
        <v>-100</v>
      </c>
      <c r="Z73" s="304">
        <v>-100</v>
      </c>
      <c r="AA73" s="697" t="s">
        <v>897</v>
      </c>
      <c r="AB73" s="304">
        <v>-100</v>
      </c>
      <c r="AC73" s="852"/>
      <c r="AD73" s="736" t="s">
        <v>897</v>
      </c>
      <c r="AE73" s="304">
        <v>-100</v>
      </c>
      <c r="AF73" s="304"/>
      <c r="AG73" s="736" t="s">
        <v>897</v>
      </c>
      <c r="AH73" s="304">
        <v>-100</v>
      </c>
      <c r="AI73" s="304"/>
      <c r="AJ73" s="736" t="s">
        <v>897</v>
      </c>
      <c r="AK73" s="304">
        <v>-100</v>
      </c>
      <c r="AL73" s="294"/>
      <c r="AM73" s="736" t="s">
        <v>897</v>
      </c>
      <c r="AN73" s="304">
        <v>-100</v>
      </c>
      <c r="AO73" s="304"/>
      <c r="AP73" s="736" t="s">
        <v>897</v>
      </c>
      <c r="AQ73" s="304">
        <v>-100</v>
      </c>
      <c r="AR73" s="294"/>
      <c r="AS73" s="294"/>
      <c r="AT73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-1100</v>
      </c>
      <c r="AU73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-500</v>
      </c>
      <c r="AV73" s="293"/>
      <c r="AW73" s="293"/>
      <c r="AX73" s="327"/>
      <c r="AY73" s="328"/>
      <c r="AZ73" s="288">
        <f>VLOOKUP(A73,Table6[],30,0)</f>
        <v>0</v>
      </c>
    </row>
    <row r="74" spans="1:52" ht="14.25" customHeight="1">
      <c r="A74" s="292">
        <v>70</v>
      </c>
      <c r="B74" s="277" t="str">
        <f>VLOOKUP(Table1[[#This Row],[šifra]],Table6[],2,0)</f>
        <v>I-WARM d.o.o.</v>
      </c>
      <c r="C74" s="277" t="str">
        <f>VLOOKUP(Table1[[#This Row],[šifra]],Table6[],4,0)</f>
        <v>STOPIRAN</v>
      </c>
      <c r="D74" s="276" t="str">
        <f>VLOOKUP(A74,Table6[],21,0)</f>
        <v>177(+10%)  -</v>
      </c>
      <c r="E74" s="314" t="str">
        <f>IF(poduzeća!AE71="","",poduzeća!AE71)</f>
        <v/>
      </c>
      <c r="F74" s="313"/>
      <c r="G74" s="1046">
        <v>3973.52</v>
      </c>
      <c r="H74" s="295"/>
      <c r="I74" s="736" t="s">
        <v>897</v>
      </c>
      <c r="J74" s="302">
        <v>194.7</v>
      </c>
      <c r="K74" s="677">
        <v>194.7</v>
      </c>
      <c r="L74" s="736" t="s">
        <v>897</v>
      </c>
      <c r="M74" s="302">
        <v>194.7</v>
      </c>
      <c r="N74" s="677">
        <v>194.7</v>
      </c>
      <c r="O74" s="736" t="s">
        <v>897</v>
      </c>
      <c r="P74" s="302">
        <v>194.7</v>
      </c>
      <c r="Q74" s="302">
        <v>194.7</v>
      </c>
      <c r="R74" s="736" t="s">
        <v>897</v>
      </c>
      <c r="S74" s="302">
        <v>194.7</v>
      </c>
      <c r="T74" s="957">
        <v>194.7</v>
      </c>
      <c r="U74" s="736" t="s">
        <v>897</v>
      </c>
      <c r="V74" s="302"/>
      <c r="W74" s="304"/>
      <c r="X74" s="736" t="s">
        <v>897</v>
      </c>
      <c r="Y74" s="302"/>
      <c r="Z74" s="304"/>
      <c r="AA74" s="736" t="s">
        <v>897</v>
      </c>
      <c r="AB74" s="302"/>
      <c r="AC74" s="302"/>
      <c r="AD74" s="736" t="s">
        <v>897</v>
      </c>
      <c r="AE74" s="302"/>
      <c r="AF74" s="302"/>
      <c r="AG74" s="736" t="s">
        <v>897</v>
      </c>
      <c r="AH74" s="302"/>
      <c r="AI74" s="302"/>
      <c r="AJ74" s="736" t="s">
        <v>897</v>
      </c>
      <c r="AK74" s="302"/>
      <c r="AL74" s="302"/>
      <c r="AM74" s="736" t="s">
        <v>897</v>
      </c>
      <c r="AN74" s="302"/>
      <c r="AO74" s="302"/>
      <c r="AP74" s="736" t="s">
        <v>897</v>
      </c>
      <c r="AQ74" s="302"/>
      <c r="AR74" s="297"/>
      <c r="AS74" s="297"/>
      <c r="AT7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778.8</v>
      </c>
      <c r="AU7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778.8</v>
      </c>
      <c r="AV74" s="295"/>
      <c r="AW74" s="295"/>
      <c r="AX74" s="327"/>
      <c r="AY74" s="328"/>
      <c r="AZ74" s="288">
        <f>VLOOKUP(A74,Table6[],30,0)</f>
        <v>0</v>
      </c>
    </row>
    <row r="75" spans="1:52" s="96" customFormat="1" ht="14.25" customHeight="1">
      <c r="A75" s="287">
        <v>71</v>
      </c>
      <c r="B75" s="276" t="str">
        <f>VLOOKUP(Table1[[#This Row],[šifra]],Table6[],2,0)</f>
        <v>JANOS GIBERT  Crystal obrt</v>
      </c>
      <c r="C75" s="276" t="str">
        <f>VLOOKUP(Table1[[#This Row],[šifra]],Table6[],4,0)</f>
        <v>LAURA</v>
      </c>
      <c r="D75" s="276" t="str">
        <f>VLOOKUP(A75,Table6[],21,0)</f>
        <v>330+minimax +120 - jednom godišnje (februar)</v>
      </c>
      <c r="E75" s="314" t="str">
        <f>IF(poduzeća!AE72="","",poduzeća!AE72)</f>
        <v/>
      </c>
      <c r="F75" s="313" t="str">
        <f>IF(poduzeća!AF72="","",poduzeća!AF72)</f>
        <v/>
      </c>
      <c r="G75" s="293"/>
      <c r="H75" s="293"/>
      <c r="I75" s="289" t="s">
        <v>892</v>
      </c>
      <c r="J75" s="304"/>
      <c r="K75" s="304"/>
      <c r="L75" s="610" t="s">
        <v>892</v>
      </c>
      <c r="M75" s="304">
        <v>450</v>
      </c>
      <c r="N75" s="852"/>
      <c r="O75" s="884" t="s">
        <v>897</v>
      </c>
      <c r="P75" s="304"/>
      <c r="Q75" s="304"/>
      <c r="R75" s="884" t="s">
        <v>897</v>
      </c>
      <c r="S75" s="304">
        <v>870</v>
      </c>
      <c r="T75" s="678">
        <v>870</v>
      </c>
      <c r="U75" s="884" t="s">
        <v>897</v>
      </c>
      <c r="V75" s="304"/>
      <c r="W75" s="304"/>
      <c r="X75" s="884" t="s">
        <v>897</v>
      </c>
      <c r="Y75" s="304"/>
      <c r="Z75" s="304"/>
      <c r="AA75" s="884" t="s">
        <v>897</v>
      </c>
      <c r="AB75" s="304"/>
      <c r="AC75" s="304"/>
      <c r="AD75" s="736" t="s">
        <v>897</v>
      </c>
      <c r="AE75" s="304"/>
      <c r="AF75" s="304"/>
      <c r="AG75" s="736" t="s">
        <v>897</v>
      </c>
      <c r="AH75" s="304"/>
      <c r="AI75" s="304"/>
      <c r="AJ75" s="736" t="s">
        <v>897</v>
      </c>
      <c r="AK75" s="304"/>
      <c r="AL75" s="304"/>
      <c r="AM75" s="736" t="s">
        <v>897</v>
      </c>
      <c r="AN75" s="304"/>
      <c r="AO75" s="304"/>
      <c r="AP75" s="736" t="s">
        <v>897</v>
      </c>
      <c r="AQ75" s="304"/>
      <c r="AR75" s="294"/>
      <c r="AS75" s="294"/>
      <c r="AT7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</v>
      </c>
      <c r="AU75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870</v>
      </c>
      <c r="AV75" s="293"/>
      <c r="AW75" s="293"/>
      <c r="AX75" s="327"/>
      <c r="AY75" s="328"/>
      <c r="AZ75" s="288">
        <f>VLOOKUP(A75,Table6[],30,0)</f>
        <v>0</v>
      </c>
    </row>
    <row r="76" spans="1:52" ht="14.25" customHeight="1">
      <c r="A76" s="292">
        <v>72</v>
      </c>
      <c r="B76" s="277" t="str">
        <f>VLOOKUP(Table1[[#This Row],[šifra]],Table6[],2,0)</f>
        <v>JÁNOS KORAN</v>
      </c>
      <c r="C76" s="277" t="str">
        <f>VLOOKUP(Table1[[#This Row],[šifra]],Table6[],4,0)</f>
        <v>MAJA</v>
      </c>
      <c r="D76" s="276" t="str">
        <f>VLOOKUP(A76,Table6[],21,0)</f>
        <v>30EUR/ MJ + SAOP MINIMAX (ugovor se raskida uskoro)</v>
      </c>
      <c r="E76" s="314" t="str">
        <f>IF(poduzeća!AE73="","",poduzeća!AE73)</f>
        <v/>
      </c>
      <c r="F76" s="313" t="str">
        <f>IF(poduzeća!AF73="","",poduzeća!AF73)</f>
        <v/>
      </c>
      <c r="G76" s="295"/>
      <c r="H76" s="295">
        <v>16.5</v>
      </c>
      <c r="I76" s="321" t="s">
        <v>897</v>
      </c>
      <c r="J76" s="302">
        <f>30*1.1+10</f>
        <v>43</v>
      </c>
      <c r="K76" s="677">
        <v>43</v>
      </c>
      <c r="L76" s="697" t="s">
        <v>897</v>
      </c>
      <c r="M76" s="302">
        <f>30*1.1+10</f>
        <v>43</v>
      </c>
      <c r="N76" s="677">
        <v>43</v>
      </c>
      <c r="O76" s="697" t="s">
        <v>897</v>
      </c>
      <c r="P76" s="867">
        <f>30*1.1+10</f>
        <v>43</v>
      </c>
      <c r="Q76" s="302">
        <v>43</v>
      </c>
      <c r="R76" s="697" t="s">
        <v>897</v>
      </c>
      <c r="S76" s="302">
        <f>30*1.1+10</f>
        <v>43</v>
      </c>
      <c r="T76" s="957">
        <v>43</v>
      </c>
      <c r="U76" s="697" t="s">
        <v>897</v>
      </c>
      <c r="V76" s="302">
        <v>43</v>
      </c>
      <c r="W76" s="304">
        <v>43</v>
      </c>
      <c r="X76" s="1036" t="s">
        <v>2036</v>
      </c>
      <c r="Y76" s="302">
        <f>30*1.1+10</f>
        <v>43</v>
      </c>
      <c r="Z76" s="678">
        <v>43</v>
      </c>
      <c r="AA76" s="1036" t="s">
        <v>2036</v>
      </c>
      <c r="AB76" s="302">
        <f>30*1.1+10</f>
        <v>43</v>
      </c>
      <c r="AC76" s="302">
        <v>43</v>
      </c>
      <c r="AD76" s="1036" t="s">
        <v>2036</v>
      </c>
      <c r="AE76" s="302">
        <f>30*1.1+10</f>
        <v>43</v>
      </c>
      <c r="AF76" s="302">
        <v>43</v>
      </c>
      <c r="AG76" s="697" t="s">
        <v>897</v>
      </c>
      <c r="AH76" s="302">
        <f>30*1.1+10</f>
        <v>43</v>
      </c>
      <c r="AI76" s="302"/>
      <c r="AJ76" s="697" t="s">
        <v>897</v>
      </c>
      <c r="AK76" s="302">
        <f>30*1.1+10</f>
        <v>43</v>
      </c>
      <c r="AL76" s="302"/>
      <c r="AM76" s="697" t="s">
        <v>897</v>
      </c>
      <c r="AN76" s="302">
        <f>30*1.1+10</f>
        <v>43</v>
      </c>
      <c r="AO76" s="302"/>
      <c r="AP76" s="697" t="s">
        <v>897</v>
      </c>
      <c r="AQ76" s="302">
        <f>30*1.1+10</f>
        <v>43</v>
      </c>
      <c r="AR76" s="297"/>
      <c r="AS76" s="297"/>
      <c r="AT7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516</v>
      </c>
      <c r="AU7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344</v>
      </c>
      <c r="AV76" s="316" t="s">
        <v>195</v>
      </c>
      <c r="AW76" s="295"/>
      <c r="AX76" s="327"/>
      <c r="AY76" s="328"/>
      <c r="AZ76" s="288">
        <f>VLOOKUP(A76,Table6[],30,0)</f>
        <v>0</v>
      </c>
    </row>
    <row r="77" spans="1:52" ht="14.25" customHeight="1">
      <c r="A77" s="287">
        <v>73</v>
      </c>
      <c r="B77" s="276" t="str">
        <f>VLOOKUP(Table1[[#This Row],[šifra]],Table6[],2,0)</f>
        <v>KA-RLO d.o.o.</v>
      </c>
      <c r="C77" s="276" t="str">
        <f>VLOOKUP(Table1[[#This Row],[šifra]],Table6[],4,0)</f>
        <v>MAJA</v>
      </c>
      <c r="D77" s="276" t="str">
        <f>VLOOKUP(A77,Table6[],21,0)</f>
        <v>GRATIS</v>
      </c>
      <c r="E77" s="314" t="str">
        <f>IF(poduzeća!AE74="","",poduzeća!AE74)</f>
        <v/>
      </c>
      <c r="F77" s="313" t="str">
        <f>IF(poduzeća!AF74="","",poduzeća!AF74)</f>
        <v/>
      </c>
      <c r="G77" s="293"/>
      <c r="H77" s="293"/>
      <c r="I77" s="289" t="s">
        <v>1105</v>
      </c>
      <c r="J77" s="304">
        <v>0</v>
      </c>
      <c r="K77" s="678">
        <v>0</v>
      </c>
      <c r="L77" s="289" t="s">
        <v>1105</v>
      </c>
      <c r="M77" s="304"/>
      <c r="N77" s="835"/>
      <c r="O77" s="289" t="s">
        <v>1105</v>
      </c>
      <c r="P77" s="304"/>
      <c r="Q77" s="304"/>
      <c r="R77" s="289" t="s">
        <v>1105</v>
      </c>
      <c r="S77" s="304"/>
      <c r="T77" s="678"/>
      <c r="U77" s="289" t="s">
        <v>1105</v>
      </c>
      <c r="V77" s="304"/>
      <c r="W77" s="304"/>
      <c r="X77" s="289" t="s">
        <v>1105</v>
      </c>
      <c r="Y77" s="304"/>
      <c r="Z77" s="304"/>
      <c r="AA77" s="289" t="s">
        <v>1105</v>
      </c>
      <c r="AB77" s="304"/>
      <c r="AC77" s="304"/>
      <c r="AD77" s="697" t="s">
        <v>897</v>
      </c>
      <c r="AE77" s="304"/>
      <c r="AF77" s="304"/>
      <c r="AG77" s="289" t="s">
        <v>1105</v>
      </c>
      <c r="AH77" s="304"/>
      <c r="AI77" s="304"/>
      <c r="AJ77" s="289" t="s">
        <v>1105</v>
      </c>
      <c r="AK77" s="304"/>
      <c r="AL77" s="304"/>
      <c r="AM77" s="289" t="s">
        <v>1105</v>
      </c>
      <c r="AN77" s="304"/>
      <c r="AO77" s="304"/>
      <c r="AP77" s="289" t="s">
        <v>1105</v>
      </c>
      <c r="AQ77" s="304"/>
      <c r="AR77" s="294"/>
      <c r="AS77" s="294"/>
      <c r="AT77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77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77" s="318" t="s">
        <v>198</v>
      </c>
      <c r="AW77" s="293"/>
      <c r="AX77" s="327"/>
      <c r="AY77" s="328"/>
      <c r="AZ77" s="288">
        <f>VLOOKUP(A77,Table6[],30,0)</f>
        <v>0</v>
      </c>
    </row>
    <row r="78" spans="1:52" s="138" customFormat="1" ht="13.5" customHeight="1">
      <c r="A78" s="292">
        <v>74</v>
      </c>
      <c r="B78" s="277" t="str">
        <f>VLOOKUP(Table1[[#This Row],[šifra]],Table6[],2,0)</f>
        <v>Kelemen Peter obrt</v>
      </c>
      <c r="C78" s="277" t="str">
        <f>VLOOKUP(Table1[[#This Row],[šifra]],Table6[],4,0)</f>
        <v>NITKO</v>
      </c>
      <c r="D78" s="276" t="str">
        <f>VLOOKUP(A78,Table6[],21,0)</f>
        <v>50(+10%)+PDV /mj   / knjižimo do 31.12.2025</v>
      </c>
      <c r="E78" s="314" t="str">
        <f>IF(poduzeća!AE75="","",poduzeća!AE75)</f>
        <v/>
      </c>
      <c r="F78" s="313" t="str">
        <f>IF(poduzeća!AF75="","",poduzeća!AF75)</f>
        <v/>
      </c>
      <c r="G78" s="295"/>
      <c r="H78" s="295"/>
      <c r="I78" s="322"/>
      <c r="J78" s="307"/>
      <c r="K78" s="302"/>
      <c r="L78" s="322"/>
      <c r="M78" s="307"/>
      <c r="N78" s="302"/>
      <c r="O78" s="322"/>
      <c r="P78" s="307"/>
      <c r="Q78" s="302"/>
      <c r="R78" s="322"/>
      <c r="S78" s="307"/>
      <c r="T78" s="677"/>
      <c r="U78" s="322"/>
      <c r="V78" s="307"/>
      <c r="W78" s="304"/>
      <c r="X78" s="322"/>
      <c r="Y78" s="307"/>
      <c r="Z78" s="304"/>
      <c r="AA78" s="322"/>
      <c r="AB78" s="307"/>
      <c r="AC78" s="302"/>
      <c r="AD78" s="322"/>
      <c r="AE78" s="307"/>
      <c r="AF78" s="302"/>
      <c r="AG78" s="322"/>
      <c r="AH78" s="307"/>
      <c r="AI78" s="302"/>
      <c r="AJ78" s="322"/>
      <c r="AK78" s="307"/>
      <c r="AL78" s="302"/>
      <c r="AM78" s="322"/>
      <c r="AN78" s="307"/>
      <c r="AO78" s="302"/>
      <c r="AP78" s="322"/>
      <c r="AQ78" s="307"/>
      <c r="AR78" s="297"/>
      <c r="AS78" s="297"/>
      <c r="AT7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7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78" s="316"/>
      <c r="AW78" s="295"/>
      <c r="AX78" s="327"/>
      <c r="AY78" s="328"/>
      <c r="AZ78" s="288">
        <f>VLOOKUP(A78,Table6[],30,0)</f>
        <v>0</v>
      </c>
    </row>
    <row r="79" spans="1:52" s="96" customFormat="1" ht="14.25" customHeight="1">
      <c r="A79" s="292">
        <v>75</v>
      </c>
      <c r="B79" s="277" t="str">
        <f>VLOOKUP(Table1[[#This Row],[šifra]],Table6[],2,0)</f>
        <v>KERAMIKA ZOKA j.d.o.o.</v>
      </c>
      <c r="C79" s="277" t="str">
        <f>VLOOKUP(Table1[[#This Row],[šifra]],Table6[],4,0)</f>
        <v>NIKOLINA</v>
      </c>
      <c r="D79" s="276" t="str">
        <f>VLOOKUP(A79,Table6[],21,0)</f>
        <v>100,00 (+10%) +pdv /mj</v>
      </c>
      <c r="E79" s="314" t="str">
        <f>IF(poduzeća!AE76="","",poduzeća!AE76)</f>
        <v/>
      </c>
      <c r="F79" s="313" t="str">
        <f>IF(poduzeća!AF76="","",poduzeća!AF76)</f>
        <v/>
      </c>
      <c r="G79" s="295"/>
      <c r="H79" s="295"/>
      <c r="I79" s="305" t="s">
        <v>901</v>
      </c>
      <c r="J79" s="302">
        <f>100*1.1</f>
        <v>110.00000000000001</v>
      </c>
      <c r="K79" s="677">
        <v>110</v>
      </c>
      <c r="L79" s="305" t="s">
        <v>901</v>
      </c>
      <c r="M79" s="302">
        <v>90</v>
      </c>
      <c r="N79" s="677">
        <v>90</v>
      </c>
      <c r="O79" s="305" t="s">
        <v>901</v>
      </c>
      <c r="P79" s="302">
        <v>100</v>
      </c>
      <c r="Q79" s="302">
        <v>100</v>
      </c>
      <c r="R79" s="305" t="s">
        <v>901</v>
      </c>
      <c r="S79" s="302">
        <v>100</v>
      </c>
      <c r="T79" s="957">
        <v>200</v>
      </c>
      <c r="U79" s="305" t="s">
        <v>901</v>
      </c>
      <c r="V79" s="302">
        <v>100</v>
      </c>
      <c r="W79" s="678">
        <v>108.72</v>
      </c>
      <c r="X79" s="305" t="s">
        <v>901</v>
      </c>
      <c r="Y79" s="302">
        <v>100</v>
      </c>
      <c r="Z79" s="678">
        <v>100</v>
      </c>
      <c r="AA79" s="305" t="s">
        <v>901</v>
      </c>
      <c r="AB79" s="302">
        <v>100</v>
      </c>
      <c r="AC79" s="302">
        <v>100</v>
      </c>
      <c r="AD79" s="305" t="s">
        <v>901</v>
      </c>
      <c r="AE79" s="302">
        <v>100</v>
      </c>
      <c r="AF79" s="302"/>
      <c r="AG79" s="305" t="s">
        <v>901</v>
      </c>
      <c r="AH79" s="302">
        <v>100</v>
      </c>
      <c r="AI79" s="302"/>
      <c r="AJ79" s="305" t="s">
        <v>901</v>
      </c>
      <c r="AK79" s="302">
        <v>100</v>
      </c>
      <c r="AL79" s="302"/>
      <c r="AM79" s="305" t="s">
        <v>901</v>
      </c>
      <c r="AN79" s="302">
        <v>100</v>
      </c>
      <c r="AO79" s="302"/>
      <c r="AP79" s="305" t="s">
        <v>901</v>
      </c>
      <c r="AQ79" s="302">
        <v>100</v>
      </c>
      <c r="AR79" s="297"/>
      <c r="AS79" s="297"/>
      <c r="AT7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1200</v>
      </c>
      <c r="AU7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808.72</v>
      </c>
      <c r="AV79" s="295"/>
      <c r="AW79" s="295"/>
      <c r="AX79" s="327"/>
      <c r="AY79" s="328"/>
      <c r="AZ79" s="288">
        <f>VLOOKUP(A79,Table6[],30,0)</f>
        <v>0</v>
      </c>
    </row>
    <row r="80" spans="1:52" ht="17.25" customHeight="1">
      <c r="A80" s="292">
        <v>76</v>
      </c>
      <c r="B80" s="277" t="str">
        <f>VLOOKUP(Table1[[#This Row],[šifra]],Table6[],2,0)</f>
        <v>KERSTAR KFT</v>
      </c>
      <c r="C80" s="277" t="str">
        <f>VLOOKUP(Table1[[#This Row],[šifra]],Table6[],4,0)</f>
        <v>GABRIJELA</v>
      </c>
      <c r="D80" s="276" t="str">
        <f>VLOOKUP(A80,Table6[],21,0)</f>
        <v>100(+10%) /mj</v>
      </c>
      <c r="E80" s="314" t="str">
        <f>IF(poduzeća!AE77="","",poduzeća!AE77)</f>
        <v/>
      </c>
      <c r="F80" s="313" t="str">
        <f>IF(poduzeća!AF77="","",poduzeća!AF77)</f>
        <v/>
      </c>
      <c r="G80" s="932">
        <v>260</v>
      </c>
      <c r="H80" s="1010"/>
      <c r="I80" s="299" t="s">
        <v>892</v>
      </c>
      <c r="J80" s="302">
        <v>110</v>
      </c>
      <c r="K80" s="302">
        <v>110</v>
      </c>
      <c r="L80" s="299" t="s">
        <v>892</v>
      </c>
      <c r="M80" s="302">
        <v>110</v>
      </c>
      <c r="N80" s="302">
        <v>110</v>
      </c>
      <c r="O80" s="299" t="s">
        <v>892</v>
      </c>
      <c r="P80" s="302">
        <v>110</v>
      </c>
      <c r="Q80" s="677">
        <v>110</v>
      </c>
      <c r="R80" s="299" t="s">
        <v>892</v>
      </c>
      <c r="S80" s="302">
        <v>110</v>
      </c>
      <c r="T80" s="957">
        <v>110</v>
      </c>
      <c r="U80" s="299" t="s">
        <v>892</v>
      </c>
      <c r="V80" s="867">
        <v>110</v>
      </c>
      <c r="W80" s="678">
        <v>110</v>
      </c>
      <c r="X80" s="299" t="s">
        <v>892</v>
      </c>
      <c r="Y80" s="302">
        <v>110</v>
      </c>
      <c r="Z80" s="678">
        <v>110</v>
      </c>
      <c r="AA80" s="299" t="s">
        <v>892</v>
      </c>
      <c r="AB80" s="302">
        <v>110</v>
      </c>
      <c r="AC80" s="1066">
        <v>110</v>
      </c>
      <c r="AD80" s="299" t="s">
        <v>892</v>
      </c>
      <c r="AE80" s="302">
        <v>110</v>
      </c>
      <c r="AF80" s="302"/>
      <c r="AG80" s="299" t="s">
        <v>892</v>
      </c>
      <c r="AH80" s="302">
        <v>110</v>
      </c>
      <c r="AI80" s="302"/>
      <c r="AJ80" s="299" t="s">
        <v>892</v>
      </c>
      <c r="AK80" s="302">
        <v>110</v>
      </c>
      <c r="AL80" s="302"/>
      <c r="AM80" s="299" t="s">
        <v>892</v>
      </c>
      <c r="AN80" s="302">
        <v>110</v>
      </c>
      <c r="AO80" s="302"/>
      <c r="AP80" s="299" t="s">
        <v>892</v>
      </c>
      <c r="AQ80" s="302">
        <v>110</v>
      </c>
      <c r="AR80" s="297"/>
      <c r="AS80" s="297"/>
      <c r="AT8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</v>
      </c>
      <c r="AU8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770</v>
      </c>
      <c r="AV80" s="295"/>
      <c r="AW80" s="295"/>
      <c r="AX80" s="327"/>
      <c r="AY80" s="328"/>
      <c r="AZ80" s="288">
        <f>VLOOKUP(A80,Table6[],30,0)</f>
        <v>0</v>
      </c>
    </row>
    <row r="81" spans="1:52" ht="15" customHeight="1">
      <c r="A81" s="287">
        <v>77</v>
      </c>
      <c r="B81" s="276" t="str">
        <f>VLOOKUP(Table1[[#This Row],[šifra]],Table6[],2,0)</f>
        <v>Kiss inzinjering i Gradnja d.o.o.</v>
      </c>
      <c r="C81" s="276" t="str">
        <f>VLOOKUP(Table1[[#This Row],[šifra]],Table6[],4,0)</f>
        <v>MARKO</v>
      </c>
      <c r="D81" s="276" t="str">
        <f>VLOOKUP(A81,Table6[],21,0)</f>
        <v>100(+10%)+PDV /mj  A ONDA KAD KRENU RADITI 450 +PDV</v>
      </c>
      <c r="E81" s="314">
        <f>IF(poduzeća!AE78="","",poduzeća!AE78)</f>
        <v>45809</v>
      </c>
      <c r="F81" s="313">
        <f>IF(poduzeća!AF78="","",poduzeća!AF78)</f>
        <v>600</v>
      </c>
      <c r="G81" s="293"/>
      <c r="H81" s="293">
        <v>55</v>
      </c>
      <c r="I81" s="736" t="s">
        <v>897</v>
      </c>
      <c r="J81" s="304">
        <f>100*1.1</f>
        <v>110.00000000000001</v>
      </c>
      <c r="K81" s="678">
        <v>110</v>
      </c>
      <c r="L81" s="736" t="s">
        <v>897</v>
      </c>
      <c r="M81" s="304">
        <f>100*1.1</f>
        <v>110.00000000000001</v>
      </c>
      <c r="N81" s="678">
        <v>110</v>
      </c>
      <c r="O81" s="736" t="s">
        <v>897</v>
      </c>
      <c r="P81" s="304">
        <f>100*1.1</f>
        <v>110.00000000000001</v>
      </c>
      <c r="Q81" s="304">
        <f>110+110</f>
        <v>220</v>
      </c>
      <c r="R81" s="736" t="s">
        <v>897</v>
      </c>
      <c r="S81" s="304">
        <f>100*1.1</f>
        <v>110.00000000000001</v>
      </c>
      <c r="T81" s="958">
        <v>110</v>
      </c>
      <c r="U81" s="736" t="s">
        <v>897</v>
      </c>
      <c r="V81" s="870">
        <f>100*1.1</f>
        <v>110.00000000000001</v>
      </c>
      <c r="W81" s="678">
        <v>110</v>
      </c>
      <c r="X81" s="736" t="s">
        <v>897</v>
      </c>
      <c r="Y81" s="304">
        <f>100*1.1+600</f>
        <v>710</v>
      </c>
      <c r="Z81" s="304">
        <v>710</v>
      </c>
      <c r="AA81" s="736" t="s">
        <v>897</v>
      </c>
      <c r="AB81" s="304">
        <f>100*1.1</f>
        <v>110.00000000000001</v>
      </c>
      <c r="AC81" s="304">
        <v>710</v>
      </c>
      <c r="AD81" s="736" t="s">
        <v>897</v>
      </c>
      <c r="AE81" s="304">
        <f>100*1.1</f>
        <v>110.00000000000001</v>
      </c>
      <c r="AF81" s="304"/>
      <c r="AG81" s="736" t="s">
        <v>897</v>
      </c>
      <c r="AH81" s="304">
        <f>100*1.1</f>
        <v>110.00000000000001</v>
      </c>
      <c r="AI81" s="304"/>
      <c r="AJ81" s="736" t="s">
        <v>897</v>
      </c>
      <c r="AK81" s="304">
        <f>100*1.1</f>
        <v>110.00000000000001</v>
      </c>
      <c r="AL81" s="304"/>
      <c r="AM81" s="736" t="s">
        <v>897</v>
      </c>
      <c r="AN81" s="304">
        <f>100*1.1</f>
        <v>110.00000000000001</v>
      </c>
      <c r="AO81" s="304"/>
      <c r="AP81" s="736" t="s">
        <v>897</v>
      </c>
      <c r="AQ81" s="304">
        <f>100*1.1</f>
        <v>110.00000000000001</v>
      </c>
      <c r="AR81" s="294"/>
      <c r="AS81" s="294"/>
      <c r="AT81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1920</v>
      </c>
      <c r="AU81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2080</v>
      </c>
      <c r="AV81" s="293"/>
      <c r="AW81" s="293"/>
      <c r="AX81" s="327"/>
      <c r="AY81" s="328"/>
      <c r="AZ81" s="288">
        <f>VLOOKUP(A81,Table6[],30,0)</f>
        <v>0</v>
      </c>
    </row>
    <row r="82" spans="1:52" s="138" customFormat="1" ht="15" customHeight="1">
      <c r="A82" s="292">
        <v>78</v>
      </c>
      <c r="B82" s="277" t="str">
        <f>VLOOKUP(Table1[[#This Row],[šifra]],Table6[],2,0)</f>
        <v>KONTROLEX d.o.o.</v>
      </c>
      <c r="C82" s="277" t="str">
        <f>VLOOKUP(Table1[[#This Row],[šifra]],Table6[],4,0)</f>
        <v>NIKOLINA</v>
      </c>
      <c r="D82" s="276" t="str">
        <f>VLOOKUP(A82,Table6[],21,0)</f>
        <v>100 (+10%) +pdv /mj</v>
      </c>
      <c r="E82" s="314">
        <f>IF(poduzeća!AE79="","",poduzeća!AE79)</f>
        <v>45474</v>
      </c>
      <c r="F82" s="313">
        <f>IF(poduzeća!AF79="","",poduzeća!AF79)</f>
        <v>500</v>
      </c>
      <c r="G82" s="295"/>
      <c r="H82" s="295"/>
      <c r="I82" s="301" t="s">
        <v>901</v>
      </c>
      <c r="J82" s="302">
        <f>100*1.1</f>
        <v>110.00000000000001</v>
      </c>
      <c r="K82" s="677">
        <v>160</v>
      </c>
      <c r="L82" s="301" t="s">
        <v>901</v>
      </c>
      <c r="M82" s="302">
        <f>100*1.1</f>
        <v>110.00000000000001</v>
      </c>
      <c r="N82" s="677">
        <v>110</v>
      </c>
      <c r="O82" s="301" t="s">
        <v>901</v>
      </c>
      <c r="P82" s="302">
        <f>100*1.1</f>
        <v>110.00000000000001</v>
      </c>
      <c r="Q82" s="302">
        <v>110</v>
      </c>
      <c r="R82" s="301" t="s">
        <v>901</v>
      </c>
      <c r="S82" s="302">
        <f>100*1.1</f>
        <v>110.00000000000001</v>
      </c>
      <c r="T82" s="957">
        <v>220</v>
      </c>
      <c r="U82" s="301" t="s">
        <v>901</v>
      </c>
      <c r="V82" s="302">
        <f>100*1.1</f>
        <v>110.00000000000001</v>
      </c>
      <c r="W82" s="678">
        <v>110</v>
      </c>
      <c r="X82" s="301" t="s">
        <v>901</v>
      </c>
      <c r="Y82" s="302">
        <f>100*1.1</f>
        <v>110.00000000000001</v>
      </c>
      <c r="Z82" s="678">
        <v>110</v>
      </c>
      <c r="AA82" s="301" t="s">
        <v>901</v>
      </c>
      <c r="AB82" s="302">
        <f>100*1.1+500</f>
        <v>610</v>
      </c>
      <c r="AC82" s="302">
        <v>610</v>
      </c>
      <c r="AD82" s="301" t="s">
        <v>901</v>
      </c>
      <c r="AE82" s="302">
        <f>100*1.1</f>
        <v>110.00000000000001</v>
      </c>
      <c r="AF82" s="302"/>
      <c r="AG82" s="301" t="s">
        <v>901</v>
      </c>
      <c r="AH82" s="302">
        <f>100*1.1</f>
        <v>110.00000000000001</v>
      </c>
      <c r="AI82" s="302"/>
      <c r="AJ82" s="301" t="s">
        <v>901</v>
      </c>
      <c r="AK82" s="302">
        <f>100*1.1</f>
        <v>110.00000000000001</v>
      </c>
      <c r="AL82" s="302"/>
      <c r="AM82" s="301" t="s">
        <v>901</v>
      </c>
      <c r="AN82" s="302">
        <f>100*1.1</f>
        <v>110.00000000000001</v>
      </c>
      <c r="AO82" s="302"/>
      <c r="AP82" s="301" t="s">
        <v>901</v>
      </c>
      <c r="AQ82" s="302">
        <f>100*1.1</f>
        <v>110.00000000000001</v>
      </c>
      <c r="AR82" s="297"/>
      <c r="AS82" s="297"/>
      <c r="AT8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1820</v>
      </c>
      <c r="AU8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1430</v>
      </c>
      <c r="AV82" s="316"/>
      <c r="AW82" s="295"/>
      <c r="AX82" s="327"/>
      <c r="AY82" s="328"/>
      <c r="AZ82" s="288"/>
    </row>
    <row r="83" spans="1:52" s="138" customFormat="1" ht="15" customHeight="1">
      <c r="A83" s="292">
        <v>79</v>
      </c>
      <c r="B83" s="277" t="str">
        <f>VLOOKUP(Table1[[#This Row],[šifra]],Table6[],2,0)</f>
        <v>Koszicsi j.d.o.o.</v>
      </c>
      <c r="C83" s="277" t="str">
        <f>VLOOKUP(Table1[[#This Row],[šifra]],Table6[],4,0)</f>
        <v>F. MARKO</v>
      </c>
      <c r="D83" s="276" t="str">
        <f>VLOOKUP(A83,Table6[],21,0)</f>
        <v>50(+10%)+minimax+pdv /mj</v>
      </c>
      <c r="E83" s="314">
        <f>IF(poduzeća!AE80="","",poduzeća!AE80)</f>
        <v>45901</v>
      </c>
      <c r="F83" s="313">
        <f>IF(poduzeća!AF80="","",poduzeća!AF80)</f>
        <v>500</v>
      </c>
      <c r="G83" s="1011"/>
      <c r="H83" s="1011"/>
      <c r="I83" s="736" t="s">
        <v>897</v>
      </c>
      <c r="J83" s="302">
        <f>50*1.1+10</f>
        <v>65</v>
      </c>
      <c r="K83" s="677">
        <v>65</v>
      </c>
      <c r="L83" s="736" t="s">
        <v>897</v>
      </c>
      <c r="M83" s="302">
        <f>50*1.1+10</f>
        <v>65</v>
      </c>
      <c r="N83" s="302"/>
      <c r="O83" s="736" t="s">
        <v>897</v>
      </c>
      <c r="P83" s="302">
        <f>50*1.1+10</f>
        <v>65</v>
      </c>
      <c r="Q83" s="302">
        <v>65</v>
      </c>
      <c r="R83" s="736" t="s">
        <v>897</v>
      </c>
      <c r="S83" s="302"/>
      <c r="T83" s="677"/>
      <c r="U83" s="736" t="s">
        <v>897</v>
      </c>
      <c r="V83" s="302"/>
      <c r="W83" s="304"/>
      <c r="X83" s="736" t="s">
        <v>897</v>
      </c>
      <c r="Y83" s="302"/>
      <c r="Z83" s="304"/>
      <c r="AA83" s="736" t="s">
        <v>897</v>
      </c>
      <c r="AB83" s="302"/>
      <c r="AC83" s="302"/>
      <c r="AD83" s="736" t="s">
        <v>897</v>
      </c>
      <c r="AE83" s="302"/>
      <c r="AF83" s="302"/>
      <c r="AG83" s="736" t="s">
        <v>897</v>
      </c>
      <c r="AH83" s="302">
        <f>500</f>
        <v>500</v>
      </c>
      <c r="AI83" s="302"/>
      <c r="AJ83" s="736" t="s">
        <v>897</v>
      </c>
      <c r="AK83" s="302"/>
      <c r="AL83" s="302"/>
      <c r="AM83" s="736" t="s">
        <v>897</v>
      </c>
      <c r="AN83" s="302"/>
      <c r="AO83" s="302"/>
      <c r="AP83" s="736" t="s">
        <v>897</v>
      </c>
      <c r="AQ83" s="302"/>
      <c r="AR83" s="297"/>
      <c r="AS83" s="297"/>
      <c r="AT8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695</v>
      </c>
      <c r="AU8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130</v>
      </c>
      <c r="AV83" s="316"/>
      <c r="AW83" s="295"/>
      <c r="AX83" s="327"/>
      <c r="AY83" s="328"/>
      <c r="AZ83" s="288">
        <f>VLOOKUP(A83,Table6[],30,0)</f>
        <v>0</v>
      </c>
    </row>
    <row r="84" spans="1:52" ht="15" customHeight="1">
      <c r="A84" s="287">
        <v>80</v>
      </c>
      <c r="B84" s="276" t="str">
        <f>VLOOKUP(Table1[[#This Row],[šifra]],Table6[],2,0)</f>
        <v>KREATIVNI KOLEKTIV d.o.o.</v>
      </c>
      <c r="C84" s="276" t="str">
        <f>VLOOKUP(Table1[[#This Row],[šifra]],Table6[],4,0)</f>
        <v>F. ANA P.</v>
      </c>
      <c r="D84" s="276" t="str">
        <f>VLOOKUP(A84,Table6[],21,0)</f>
        <v>150 (+10%)+PDV /mj</v>
      </c>
      <c r="E84" s="314" t="str">
        <f>IF(poduzeća!AE81="","",poduzeća!AE81)</f>
        <v/>
      </c>
      <c r="F84" s="313" t="str">
        <f>IF(poduzeća!AF81="","",poduzeća!AF81)</f>
        <v/>
      </c>
      <c r="G84" s="293"/>
      <c r="H84" s="293"/>
      <c r="I84" s="289" t="s">
        <v>899</v>
      </c>
      <c r="J84" s="304">
        <v>0</v>
      </c>
      <c r="K84" s="304"/>
      <c r="L84" s="301" t="s">
        <v>899</v>
      </c>
      <c r="M84" s="304">
        <v>0</v>
      </c>
      <c r="N84" s="304"/>
      <c r="O84" s="289" t="s">
        <v>899</v>
      </c>
      <c r="P84" s="304">
        <v>0</v>
      </c>
      <c r="Q84" s="304"/>
      <c r="R84" s="289" t="s">
        <v>899</v>
      </c>
      <c r="S84" s="304">
        <v>0</v>
      </c>
      <c r="T84" s="678"/>
      <c r="U84" s="289" t="s">
        <v>899</v>
      </c>
      <c r="V84" s="304">
        <v>0</v>
      </c>
      <c r="W84" s="304"/>
      <c r="X84" s="301" t="s">
        <v>899</v>
      </c>
      <c r="Y84" s="304">
        <v>0</v>
      </c>
      <c r="Z84" s="304"/>
      <c r="AA84" s="301" t="s">
        <v>899</v>
      </c>
      <c r="AB84" s="304">
        <v>0</v>
      </c>
      <c r="AC84" s="304">
        <v>0</v>
      </c>
      <c r="AD84" s="301" t="s">
        <v>899</v>
      </c>
      <c r="AE84" s="304">
        <v>0</v>
      </c>
      <c r="AF84" s="304"/>
      <c r="AG84" s="289" t="s">
        <v>899</v>
      </c>
      <c r="AH84" s="304">
        <v>0</v>
      </c>
      <c r="AI84" s="304"/>
      <c r="AJ84" s="289" t="s">
        <v>899</v>
      </c>
      <c r="AK84" s="304">
        <v>0</v>
      </c>
      <c r="AL84" s="304"/>
      <c r="AM84" s="289" t="s">
        <v>899</v>
      </c>
      <c r="AN84" s="304">
        <v>0</v>
      </c>
      <c r="AO84" s="304"/>
      <c r="AP84" s="289" t="s">
        <v>899</v>
      </c>
      <c r="AQ84" s="304">
        <v>0</v>
      </c>
      <c r="AR84" s="294"/>
      <c r="AS84" s="294"/>
      <c r="AT84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84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84" s="318"/>
      <c r="AW84" s="293"/>
      <c r="AX84" s="327"/>
      <c r="AY84" s="328"/>
      <c r="AZ84" s="288">
        <f>VLOOKUP(A84,Table6[],30,0)</f>
        <v>0</v>
      </c>
    </row>
    <row r="85" spans="1:52" ht="17.25" customHeight="1">
      <c r="A85" s="292">
        <v>81</v>
      </c>
      <c r="B85" s="277" t="str">
        <f>VLOOKUP(Table1[[#This Row],[šifra]],Table6[],2,0)</f>
        <v>LAJMIR j.d.o.o.</v>
      </c>
      <c r="C85" s="277" t="str">
        <f>VLOOKUP(Table1[[#This Row],[šifra]],Table6[],4,0)</f>
        <v>GABRIJELA</v>
      </c>
      <c r="D85" s="276" t="str">
        <f>VLOOKUP(A85,Table6[],21,0)</f>
        <v>150(+10%)+pdv /mj   .Pričat će sa njim 170€</v>
      </c>
      <c r="E85" s="314" t="str">
        <f>IF(poduzeća!AE82="","",poduzeća!AE82)</f>
        <v/>
      </c>
      <c r="F85" s="313" t="str">
        <f>IF(poduzeća!AF82="","",poduzeća!AF82)</f>
        <v/>
      </c>
      <c r="G85" s="1010"/>
      <c r="H85" s="1010"/>
      <c r="I85" s="299" t="s">
        <v>892</v>
      </c>
      <c r="J85" s="302">
        <v>165</v>
      </c>
      <c r="K85" s="302">
        <v>165</v>
      </c>
      <c r="L85" s="299" t="s">
        <v>892</v>
      </c>
      <c r="M85" s="302">
        <v>165</v>
      </c>
      <c r="N85" s="302">
        <v>165</v>
      </c>
      <c r="O85" s="299" t="s">
        <v>892</v>
      </c>
      <c r="P85" s="302">
        <v>165</v>
      </c>
      <c r="Q85" s="677">
        <v>165</v>
      </c>
      <c r="R85" s="299" t="s">
        <v>892</v>
      </c>
      <c r="S85" s="302">
        <v>165</v>
      </c>
      <c r="T85" s="957">
        <v>165</v>
      </c>
      <c r="U85" s="299" t="s">
        <v>892</v>
      </c>
      <c r="V85" s="867">
        <v>165</v>
      </c>
      <c r="W85" s="678">
        <v>165</v>
      </c>
      <c r="X85" s="299" t="s">
        <v>892</v>
      </c>
      <c r="Y85" s="302">
        <v>165</v>
      </c>
      <c r="Z85" s="678">
        <v>165</v>
      </c>
      <c r="AA85" s="299" t="s">
        <v>892</v>
      </c>
      <c r="AB85" s="302">
        <v>165</v>
      </c>
      <c r="AC85" s="302">
        <v>165</v>
      </c>
      <c r="AD85" s="299" t="s">
        <v>892</v>
      </c>
      <c r="AE85" s="302">
        <v>165</v>
      </c>
      <c r="AF85" s="302"/>
      <c r="AG85" s="299" t="s">
        <v>892</v>
      </c>
      <c r="AH85" s="302">
        <v>165</v>
      </c>
      <c r="AI85" s="302"/>
      <c r="AJ85" s="299" t="s">
        <v>892</v>
      </c>
      <c r="AK85" s="302">
        <v>165</v>
      </c>
      <c r="AL85" s="302"/>
      <c r="AM85" s="299" t="s">
        <v>892</v>
      </c>
      <c r="AN85" s="302">
        <v>165</v>
      </c>
      <c r="AO85" s="302"/>
      <c r="AP85" s="299" t="s">
        <v>892</v>
      </c>
      <c r="AQ85" s="302">
        <v>165</v>
      </c>
      <c r="AR85" s="297"/>
      <c r="AS85" s="297"/>
      <c r="AT8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1980</v>
      </c>
      <c r="AU8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1155</v>
      </c>
      <c r="AV85" s="295"/>
      <c r="AW85" s="295"/>
      <c r="AX85" s="327"/>
      <c r="AY85" s="328"/>
      <c r="AZ85" s="288">
        <f>VLOOKUP(A85,Table6[],30,0)</f>
        <v>0</v>
      </c>
    </row>
    <row r="86" spans="1:52" ht="14.25" customHeight="1">
      <c r="A86" s="292">
        <v>82</v>
      </c>
      <c r="B86" s="277" t="str">
        <f>VLOOKUP(Table1[[#This Row],[šifra]],Table6[],2,0)</f>
        <v>LASZLO BERTOK</v>
      </c>
      <c r="C86" s="277" t="str">
        <f>VLOOKUP(Table1[[#This Row],[šifra]],Table6[],4,0)</f>
        <v>MAJA</v>
      </c>
      <c r="D86" s="276" t="str">
        <f>VLOOKUP(A86,Table6[],21,0)</f>
        <v>u 7 mj 220€ za knjigovodstvo+minimax 120€ - CIJELA GODINA</v>
      </c>
      <c r="E86" s="314" t="str">
        <f>IF(poduzeća!AE83="","",poduzeća!AE83)</f>
        <v/>
      </c>
      <c r="F86" s="313" t="str">
        <f>IF(poduzeća!AF83="","",poduzeća!AF83)</f>
        <v/>
      </c>
      <c r="G86" s="295"/>
      <c r="H86" s="295"/>
      <c r="I86" s="321" t="s">
        <v>897</v>
      </c>
      <c r="J86" s="302"/>
      <c r="K86" s="684"/>
      <c r="L86" s="697" t="s">
        <v>897</v>
      </c>
      <c r="M86" s="302"/>
      <c r="N86" s="836"/>
      <c r="O86" s="697" t="s">
        <v>897</v>
      </c>
      <c r="P86" s="302"/>
      <c r="Q86" s="302"/>
      <c r="R86" s="697" t="s">
        <v>897</v>
      </c>
      <c r="S86" s="302"/>
      <c r="T86" s="677"/>
      <c r="U86" s="697" t="s">
        <v>897</v>
      </c>
      <c r="V86" s="302"/>
      <c r="W86" s="304"/>
      <c r="X86" s="1036" t="s">
        <v>2036</v>
      </c>
      <c r="Y86" s="302"/>
      <c r="Z86" s="304"/>
      <c r="AA86" s="1036" t="s">
        <v>2036</v>
      </c>
      <c r="AB86" s="302">
        <f>220+120</f>
        <v>340</v>
      </c>
      <c r="AC86" s="302">
        <v>340</v>
      </c>
      <c r="AD86" s="1036" t="s">
        <v>2036</v>
      </c>
      <c r="AE86" s="302"/>
      <c r="AF86" s="302"/>
      <c r="AG86" s="697" t="s">
        <v>897</v>
      </c>
      <c r="AH86" s="302"/>
      <c r="AI86" s="302"/>
      <c r="AJ86" s="697" t="s">
        <v>897</v>
      </c>
      <c r="AK86" s="302"/>
      <c r="AL86" s="302"/>
      <c r="AM86" s="697" t="s">
        <v>897</v>
      </c>
      <c r="AN86" s="302"/>
      <c r="AO86" s="302"/>
      <c r="AP86" s="697" t="s">
        <v>897</v>
      </c>
      <c r="AQ86" s="302"/>
      <c r="AR86" s="297"/>
      <c r="AS86" s="297"/>
      <c r="AT8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340</v>
      </c>
      <c r="AU8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340</v>
      </c>
      <c r="AV86" s="295"/>
      <c r="AW86" s="295"/>
      <c r="AX86" s="327"/>
      <c r="AY86" s="328"/>
      <c r="AZ86" s="288">
        <f>VLOOKUP(A86,Table6[],30,0)</f>
        <v>0</v>
      </c>
    </row>
    <row r="87" spans="1:52" s="138" customFormat="1" ht="15.75" customHeight="1">
      <c r="A87" s="292">
        <v>83</v>
      </c>
      <c r="B87" s="277" t="str">
        <f>VLOOKUP(Table1[[#This Row],[šifra]],Table6[],2,0)</f>
        <v>LENCSE ZOLTÁN</v>
      </c>
      <c r="C87" s="277" t="str">
        <f>VLOOKUP(Table1[[#This Row],[šifra]],Table6[],4,0)</f>
        <v>MAJA</v>
      </c>
      <c r="D87" s="276" t="str">
        <f>VLOOKUP(A87,Table6[],21,0)</f>
        <v>40(+10%)+pdv /mj</v>
      </c>
      <c r="E87" s="314" t="str">
        <f>IF(poduzeća!AE84="","",poduzeća!AE84)</f>
        <v/>
      </c>
      <c r="F87" s="313" t="str">
        <f>IF(poduzeća!AF84="","",poduzeća!AF84)</f>
        <v/>
      </c>
      <c r="G87" s="295">
        <v>50</v>
      </c>
      <c r="H87" s="295">
        <v>22</v>
      </c>
      <c r="I87" s="301" t="s">
        <v>892</v>
      </c>
      <c r="J87" s="302">
        <f>40*1.1</f>
        <v>44</v>
      </c>
      <c r="K87" s="677">
        <v>44</v>
      </c>
      <c r="L87" s="697" t="s">
        <v>897</v>
      </c>
      <c r="M87" s="302">
        <f>40*1.1</f>
        <v>44</v>
      </c>
      <c r="N87" s="677">
        <v>44</v>
      </c>
      <c r="O87" s="697" t="s">
        <v>897</v>
      </c>
      <c r="P87" s="867">
        <f>40*1.1</f>
        <v>44</v>
      </c>
      <c r="Q87" s="302">
        <v>44</v>
      </c>
      <c r="R87" s="697" t="s">
        <v>897</v>
      </c>
      <c r="S87" s="302">
        <f>40*1.1</f>
        <v>44</v>
      </c>
      <c r="T87" s="957">
        <v>44</v>
      </c>
      <c r="U87" s="697" t="s">
        <v>897</v>
      </c>
      <c r="V87" s="867">
        <f>40*1.1</f>
        <v>44</v>
      </c>
      <c r="W87" s="678">
        <v>44</v>
      </c>
      <c r="X87" s="1036" t="s">
        <v>2036</v>
      </c>
      <c r="Y87" s="302">
        <v>44</v>
      </c>
      <c r="Z87" s="678">
        <v>44</v>
      </c>
      <c r="AA87" s="1036" t="s">
        <v>2036</v>
      </c>
      <c r="AB87" s="302">
        <f>40*1.1</f>
        <v>44</v>
      </c>
      <c r="AC87" s="302">
        <v>44</v>
      </c>
      <c r="AD87" s="1036" t="s">
        <v>2036</v>
      </c>
      <c r="AE87" s="302">
        <f>40*1.1</f>
        <v>44</v>
      </c>
      <c r="AF87" s="302">
        <v>44</v>
      </c>
      <c r="AG87" s="697" t="s">
        <v>897</v>
      </c>
      <c r="AH87" s="302">
        <f>40*1.1</f>
        <v>44</v>
      </c>
      <c r="AI87" s="302"/>
      <c r="AJ87" s="697" t="s">
        <v>897</v>
      </c>
      <c r="AK87" s="302">
        <f>40*1.1</f>
        <v>44</v>
      </c>
      <c r="AL87" s="302"/>
      <c r="AM87" s="697" t="s">
        <v>897</v>
      </c>
      <c r="AN87" s="302">
        <f>40*1.1</f>
        <v>44</v>
      </c>
      <c r="AO87" s="302"/>
      <c r="AP87" s="697" t="s">
        <v>897</v>
      </c>
      <c r="AQ87" s="302">
        <f>40*1.1</f>
        <v>44</v>
      </c>
      <c r="AR87" s="297"/>
      <c r="AS87" s="297"/>
      <c r="AT8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528</v>
      </c>
      <c r="AU8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352</v>
      </c>
      <c r="AV87" s="316"/>
      <c r="AW87" s="295"/>
      <c r="AX87" s="327"/>
      <c r="AY87" s="328"/>
      <c r="AZ87" s="288">
        <f>VLOOKUP(A87,Table6[],30,0)</f>
        <v>0</v>
      </c>
    </row>
    <row r="88" spans="1:52" ht="15.75" customHeight="1">
      <c r="A88" s="292">
        <v>84</v>
      </c>
      <c r="B88" s="277" t="str">
        <f>VLOOKUP(Table1[[#This Row],[šifra]],Table6[],2,0)</f>
        <v>LIGA PROTIV RAKA BARANJA</v>
      </c>
      <c r="C88" s="277" t="str">
        <f>VLOOKUP(Table1[[#This Row],[šifra]],Table6[],4,0)</f>
        <v>F/GABRIJELA</v>
      </c>
      <c r="D88" s="276" t="str">
        <f>VLOOKUP(A88,Table6[],21,0)</f>
        <v>BESPLATNO</v>
      </c>
      <c r="E88" s="314" t="str">
        <f>IF(poduzeća!AE85="","",poduzeća!AE85)</f>
        <v/>
      </c>
      <c r="F88" s="313" t="str">
        <f>IF(poduzeća!AF85="","",poduzeća!AF85)</f>
        <v/>
      </c>
      <c r="G88" s="1011"/>
      <c r="H88" s="1011"/>
      <c r="I88" s="305" t="s">
        <v>892</v>
      </c>
      <c r="J88" s="302"/>
      <c r="K88" s="302"/>
      <c r="L88" s="305" t="s">
        <v>892</v>
      </c>
      <c r="M88" s="302"/>
      <c r="N88" s="302"/>
      <c r="O88" s="305" t="s">
        <v>892</v>
      </c>
      <c r="P88" s="302"/>
      <c r="Q88" s="677"/>
      <c r="R88" s="305" t="s">
        <v>892</v>
      </c>
      <c r="S88" s="302"/>
      <c r="T88" s="677"/>
      <c r="U88" s="305" t="s">
        <v>892</v>
      </c>
      <c r="V88" s="302"/>
      <c r="W88" s="294"/>
      <c r="X88" s="305" t="s">
        <v>892</v>
      </c>
      <c r="Y88" s="302"/>
      <c r="Z88" s="304"/>
      <c r="AA88" s="305" t="s">
        <v>892</v>
      </c>
      <c r="AB88" s="302"/>
      <c r="AC88" s="302"/>
      <c r="AD88" s="305" t="s">
        <v>892</v>
      </c>
      <c r="AE88" s="302"/>
      <c r="AF88" s="302"/>
      <c r="AG88" s="305" t="s">
        <v>892</v>
      </c>
      <c r="AH88" s="302"/>
      <c r="AI88" s="302"/>
      <c r="AJ88" s="305" t="s">
        <v>892</v>
      </c>
      <c r="AK88" s="302"/>
      <c r="AL88" s="302"/>
      <c r="AM88" s="305" t="s">
        <v>892</v>
      </c>
      <c r="AN88" s="302"/>
      <c r="AO88" s="320"/>
      <c r="AP88" s="305" t="s">
        <v>892</v>
      </c>
      <c r="AQ88" s="302"/>
      <c r="AR88" s="297"/>
      <c r="AS88" s="297"/>
      <c r="AT8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8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88" s="319" t="s">
        <v>198</v>
      </c>
      <c r="AW88" s="295"/>
      <c r="AX88" s="327"/>
      <c r="AY88" s="328"/>
      <c r="AZ88" s="288">
        <f>VLOOKUP(A88,Table6[],30,0)</f>
        <v>0</v>
      </c>
    </row>
    <row r="89" spans="1:52" ht="29.25" customHeight="1">
      <c r="A89" s="292">
        <v>85</v>
      </c>
      <c r="B89" s="277" t="str">
        <f>VLOOKUP(Table1[[#This Row],[šifra]],Table6[],2,0)</f>
        <v>LMLand d.o.o.</v>
      </c>
      <c r="C89" s="277" t="str">
        <f>VLOOKUP(Table1[[#This Row],[šifra]],Table6[],4,0)</f>
        <v>GABRIJELA</v>
      </c>
      <c r="D89" s="276" t="str">
        <f>VLOOKUP(A89,Table6[],21,0)</f>
        <v>160(+10%)+pdv /mj    . Ostaviti 160€?</v>
      </c>
      <c r="E89" s="314">
        <f>IF(poduzeća!AE86="","",poduzeća!AE86)</f>
        <v>45658</v>
      </c>
      <c r="F89" s="313">
        <f>IF(poduzeća!AF86="","",poduzeća!AF86)</f>
        <v>500</v>
      </c>
      <c r="G89" s="1011"/>
      <c r="H89" s="1011"/>
      <c r="I89" s="296" t="s">
        <v>892</v>
      </c>
      <c r="J89" s="302">
        <f>160+500</f>
        <v>660</v>
      </c>
      <c r="K89" s="302">
        <v>660</v>
      </c>
      <c r="L89" s="296" t="s">
        <v>892</v>
      </c>
      <c r="M89" s="302">
        <v>160</v>
      </c>
      <c r="N89" s="302">
        <v>160</v>
      </c>
      <c r="O89" s="296" t="s">
        <v>892</v>
      </c>
      <c r="P89" s="302">
        <v>160</v>
      </c>
      <c r="Q89" s="677">
        <v>160</v>
      </c>
      <c r="R89" s="296" t="s">
        <v>892</v>
      </c>
      <c r="S89" s="302">
        <v>160</v>
      </c>
      <c r="T89" s="957">
        <v>320</v>
      </c>
      <c r="U89" s="296" t="s">
        <v>892</v>
      </c>
      <c r="V89" s="302">
        <v>160</v>
      </c>
      <c r="W89" s="678">
        <v>160</v>
      </c>
      <c r="X89" s="296" t="s">
        <v>892</v>
      </c>
      <c r="Y89" s="302">
        <v>160</v>
      </c>
      <c r="Z89" s="678">
        <v>210.14</v>
      </c>
      <c r="AA89" s="296" t="s">
        <v>892</v>
      </c>
      <c r="AB89" s="302">
        <v>160</v>
      </c>
      <c r="AC89" s="302">
        <v>160</v>
      </c>
      <c r="AD89" s="296" t="s">
        <v>892</v>
      </c>
      <c r="AE89" s="302">
        <v>160</v>
      </c>
      <c r="AF89" s="302"/>
      <c r="AG89" s="296" t="s">
        <v>892</v>
      </c>
      <c r="AH89" s="302">
        <v>160</v>
      </c>
      <c r="AI89" s="302"/>
      <c r="AJ89" s="296" t="s">
        <v>892</v>
      </c>
      <c r="AK89" s="302">
        <v>160</v>
      </c>
      <c r="AL89" s="302"/>
      <c r="AM89" s="296" t="s">
        <v>892</v>
      </c>
      <c r="AN89" s="302">
        <v>160</v>
      </c>
      <c r="AO89" s="302"/>
      <c r="AP89" s="296" t="s">
        <v>892</v>
      </c>
      <c r="AQ89" s="302">
        <v>160</v>
      </c>
      <c r="AR89" s="297"/>
      <c r="AS89" s="297"/>
      <c r="AT8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2420</v>
      </c>
      <c r="AU8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1830.1399999999999</v>
      </c>
      <c r="AV89" s="316"/>
      <c r="AW89" s="295"/>
      <c r="AX89" s="327"/>
      <c r="AY89" s="328"/>
      <c r="AZ89" s="288">
        <f>VLOOKUP(A89,Table6[],30,0)</f>
        <v>0</v>
      </c>
    </row>
    <row r="90" spans="1:52" ht="15" customHeight="1">
      <c r="A90" s="292">
        <v>86</v>
      </c>
      <c r="B90" s="277" t="str">
        <f>VLOOKUP(Table1[[#This Row],[šifra]],Table6[],2,0)</f>
        <v>LOGO CENTAR PETRA MIKUŠ d.o.o.</v>
      </c>
      <c r="C90" s="277" t="str">
        <f>VLOOKUP(Table1[[#This Row],[šifra]],Table6[],4,0)</f>
        <v>F. ANA P.</v>
      </c>
      <c r="D90" s="276" t="str">
        <f>VLOOKUP(A90,Table6[],21,0)</f>
        <v>80 (+10%)eur + pdv /mj</v>
      </c>
      <c r="E90" s="314" t="str">
        <f>IF(poduzeća!AE87="","",poduzeća!AE87)</f>
        <v/>
      </c>
      <c r="F90" s="313" t="str">
        <f>IF(poduzeća!AF87="","",poduzeća!AF87)</f>
        <v/>
      </c>
      <c r="G90" s="295"/>
      <c r="H90" s="295"/>
      <c r="I90" s="305" t="s">
        <v>899</v>
      </c>
      <c r="J90" s="302">
        <v>0</v>
      </c>
      <c r="K90" s="302"/>
      <c r="L90" s="305" t="s">
        <v>899</v>
      </c>
      <c r="M90" s="302">
        <v>0</v>
      </c>
      <c r="N90" s="302"/>
      <c r="O90" s="305" t="s">
        <v>899</v>
      </c>
      <c r="P90" s="302">
        <v>0</v>
      </c>
      <c r="Q90" s="302"/>
      <c r="R90" s="305" t="s">
        <v>899</v>
      </c>
      <c r="S90" s="302">
        <v>0</v>
      </c>
      <c r="T90" s="677"/>
      <c r="U90" s="305" t="s">
        <v>899</v>
      </c>
      <c r="V90" s="302">
        <v>0</v>
      </c>
      <c r="W90" s="304"/>
      <c r="X90" s="305" t="s">
        <v>899</v>
      </c>
      <c r="Y90" s="302">
        <v>0</v>
      </c>
      <c r="Z90" s="304"/>
      <c r="AA90" s="305" t="s">
        <v>899</v>
      </c>
      <c r="AB90" s="302">
        <v>0</v>
      </c>
      <c r="AC90" s="302">
        <v>0</v>
      </c>
      <c r="AD90" s="305" t="s">
        <v>899</v>
      </c>
      <c r="AE90" s="302">
        <v>0</v>
      </c>
      <c r="AF90" s="302"/>
      <c r="AG90" s="305" t="s">
        <v>899</v>
      </c>
      <c r="AH90" s="302">
        <v>0</v>
      </c>
      <c r="AI90" s="302"/>
      <c r="AJ90" s="305" t="s">
        <v>899</v>
      </c>
      <c r="AK90" s="302">
        <v>0</v>
      </c>
      <c r="AL90" s="302"/>
      <c r="AM90" s="305" t="s">
        <v>899</v>
      </c>
      <c r="AN90" s="302">
        <v>0</v>
      </c>
      <c r="AO90" s="302"/>
      <c r="AP90" s="305" t="s">
        <v>899</v>
      </c>
      <c r="AQ90" s="302">
        <v>0</v>
      </c>
      <c r="AR90" s="297"/>
      <c r="AS90" s="297"/>
      <c r="AT9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9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90" s="295"/>
      <c r="AW90" s="295"/>
      <c r="AX90" s="327"/>
      <c r="AY90" s="328"/>
      <c r="AZ90" s="288">
        <f>VLOOKUP(A90,Table6[],30,0)</f>
        <v>0</v>
      </c>
    </row>
    <row r="91" spans="1:52" ht="15" customHeight="1">
      <c r="A91" s="292">
        <v>87</v>
      </c>
      <c r="B91" s="277" t="str">
        <f>VLOOKUP(Table1[[#This Row],[šifra]],Table6[],2,0)</f>
        <v>LOGO PUŽ j.d.o.o</v>
      </c>
      <c r="C91" s="277" t="str">
        <f>VLOOKUP(Table1[[#This Row],[šifra]],Table6[],4,0)</f>
        <v>F. ANA P.</v>
      </c>
      <c r="D91" s="276" t="str">
        <f>VLOOKUP(A91,Table6[],21,0)</f>
        <v>82,5(+10%) eur/mj</v>
      </c>
      <c r="E91" s="314" t="str">
        <f>IF(poduzeća!AE88="","",poduzeća!AE88)</f>
        <v/>
      </c>
      <c r="F91" s="313" t="str">
        <f>IF(poduzeća!AF88="","",poduzeća!AF88)</f>
        <v/>
      </c>
      <c r="G91" s="295"/>
      <c r="H91" s="295"/>
      <c r="I91" s="305" t="s">
        <v>899</v>
      </c>
      <c r="J91" s="302">
        <v>0</v>
      </c>
      <c r="K91" s="302"/>
      <c r="L91" s="301" t="s">
        <v>899</v>
      </c>
      <c r="M91" s="302">
        <v>0</v>
      </c>
      <c r="N91" s="302"/>
      <c r="O91" s="301" t="s">
        <v>899</v>
      </c>
      <c r="P91" s="302">
        <v>0</v>
      </c>
      <c r="Q91" s="302"/>
      <c r="R91" s="301" t="s">
        <v>899</v>
      </c>
      <c r="S91" s="302">
        <v>0</v>
      </c>
      <c r="T91" s="677"/>
      <c r="U91" s="301" t="s">
        <v>899</v>
      </c>
      <c r="V91" s="302">
        <v>0</v>
      </c>
      <c r="W91" s="304"/>
      <c r="X91" s="301" t="s">
        <v>899</v>
      </c>
      <c r="Y91" s="302">
        <v>0</v>
      </c>
      <c r="Z91" s="304"/>
      <c r="AA91" s="301" t="s">
        <v>899</v>
      </c>
      <c r="AB91" s="302">
        <v>0</v>
      </c>
      <c r="AC91" s="302">
        <v>0</v>
      </c>
      <c r="AD91" s="301" t="s">
        <v>899</v>
      </c>
      <c r="AE91" s="302">
        <v>0</v>
      </c>
      <c r="AF91" s="302"/>
      <c r="AG91" s="301" t="s">
        <v>899</v>
      </c>
      <c r="AH91" s="302">
        <v>0</v>
      </c>
      <c r="AI91" s="302"/>
      <c r="AJ91" s="301" t="s">
        <v>899</v>
      </c>
      <c r="AK91" s="302">
        <v>0</v>
      </c>
      <c r="AL91" s="302"/>
      <c r="AM91" s="301" t="s">
        <v>899</v>
      </c>
      <c r="AN91" s="302">
        <v>0</v>
      </c>
      <c r="AO91" s="302"/>
      <c r="AP91" s="301" t="s">
        <v>899</v>
      </c>
      <c r="AQ91" s="302">
        <v>0</v>
      </c>
      <c r="AR91" s="297"/>
      <c r="AS91" s="297"/>
      <c r="AT9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9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91" s="319" t="s">
        <v>198</v>
      </c>
      <c r="AW91" s="295"/>
      <c r="AX91" s="327"/>
      <c r="AY91" s="328"/>
      <c r="AZ91" s="288"/>
    </row>
    <row r="92" spans="1:52" s="96" customFormat="1" ht="15" customHeight="1">
      <c r="A92" s="287">
        <v>88</v>
      </c>
      <c r="B92" s="276" t="str">
        <f>VLOOKUP(Table1[[#This Row],[šifra]],Table6[],2,0)</f>
        <v>M_CONSULTING d.o.o. frašizer</v>
      </c>
      <c r="C92" s="276" t="str">
        <f>VLOOKUP(Table1[[#This Row],[šifra]],Table6[],4,0)</f>
        <v>F. MARKO</v>
      </c>
      <c r="D92" s="276" t="str">
        <f>VLOOKUP(A92,Table6[],21,0)</f>
        <v>50%  i - 7 promet</v>
      </c>
      <c r="E92" s="314"/>
      <c r="F92" s="313"/>
      <c r="G92" s="293">
        <v>3982.75</v>
      </c>
      <c r="H92" s="293"/>
      <c r="I92" s="736" t="s">
        <v>897</v>
      </c>
      <c r="J92" s="304">
        <f>215-883.7</f>
        <v>-668.7</v>
      </c>
      <c r="K92" s="304"/>
      <c r="L92" s="736" t="s">
        <v>897</v>
      </c>
      <c r="M92" s="304">
        <f>215-883.7</f>
        <v>-668.7</v>
      </c>
      <c r="N92" s="678">
        <v>-1249.1400000000001</v>
      </c>
      <c r="O92" s="736" t="s">
        <v>897</v>
      </c>
      <c r="P92" s="304">
        <v>-1200</v>
      </c>
      <c r="Q92" s="304">
        <f>-278.21-1700</f>
        <v>-1978.21</v>
      </c>
      <c r="R92" s="736" t="s">
        <v>897</v>
      </c>
      <c r="S92" s="304">
        <v>-1200</v>
      </c>
      <c r="T92" s="678">
        <v>-1364.1</v>
      </c>
      <c r="U92" s="736" t="s">
        <v>897</v>
      </c>
      <c r="V92" s="678">
        <v>-1200</v>
      </c>
      <c r="W92" s="678">
        <f>-1129.25+229.97</f>
        <v>-899.28</v>
      </c>
      <c r="X92" s="736" t="s">
        <v>897</v>
      </c>
      <c r="Y92" s="678">
        <v>-1200</v>
      </c>
      <c r="Z92" s="678">
        <f>204.03-1169.75</f>
        <v>-965.72</v>
      </c>
      <c r="AA92" s="736" t="s">
        <v>897</v>
      </c>
      <c r="AB92" s="304">
        <v>-1200</v>
      </c>
      <c r="AC92" s="304">
        <v>382.52</v>
      </c>
      <c r="AD92" s="736" t="s">
        <v>897</v>
      </c>
      <c r="AE92" s="304">
        <v>-1200</v>
      </c>
      <c r="AF92" s="304"/>
      <c r="AG92" s="736" t="s">
        <v>897</v>
      </c>
      <c r="AH92" s="304">
        <v>-1200</v>
      </c>
      <c r="AI92" s="304"/>
      <c r="AJ92" s="736" t="s">
        <v>897</v>
      </c>
      <c r="AK92" s="304">
        <v>-1200</v>
      </c>
      <c r="AL92" s="304"/>
      <c r="AM92" s="736" t="s">
        <v>897</v>
      </c>
      <c r="AN92" s="304">
        <v>-1200</v>
      </c>
      <c r="AO92" s="304"/>
      <c r="AP92" s="736" t="s">
        <v>897</v>
      </c>
      <c r="AQ92" s="304">
        <v>-1200</v>
      </c>
      <c r="AR92" s="294"/>
      <c r="AS92" s="294"/>
      <c r="AT92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-13337.4</v>
      </c>
      <c r="AU92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-6073.93</v>
      </c>
      <c r="AV92" s="293"/>
      <c r="AW92" s="293"/>
      <c r="AX92" s="327"/>
      <c r="AY92" s="328"/>
      <c r="AZ92" s="288">
        <f>VLOOKUP(A92,Table6[],30,0)</f>
        <v>0</v>
      </c>
    </row>
    <row r="93" spans="1:52" ht="16.5" customHeight="1">
      <c r="A93" s="292">
        <v>89</v>
      </c>
      <c r="B93" s="277" t="str">
        <f>VLOOKUP(Table1[[#This Row],[šifra]],Table6[],2,0)</f>
        <v>MARIJANIS j.d.o.o.</v>
      </c>
      <c r="C93" s="277" t="str">
        <f>VLOOKUP(Table1[[#This Row],[šifra]],Table6[],4,0)</f>
        <v>NIKOLINA</v>
      </c>
      <c r="D93" s="276" t="str">
        <f>VLOOKUP(A93,Table6[],21,0)</f>
        <v>70(+10%)+pdv /mj</v>
      </c>
      <c r="E93" s="314" t="str">
        <f>IF(poduzeća!AE90="","",poduzeća!AE90)</f>
        <v/>
      </c>
      <c r="F93" s="313" t="str">
        <f>IF(poduzeća!AF90="","",poduzeća!AF90)</f>
        <v/>
      </c>
      <c r="G93" s="295"/>
      <c r="H93" s="295"/>
      <c r="I93" s="305" t="s">
        <v>892</v>
      </c>
      <c r="J93" s="302">
        <f>70*1.1</f>
        <v>77</v>
      </c>
      <c r="K93" s="302">
        <v>77</v>
      </c>
      <c r="L93" s="305" t="s">
        <v>892</v>
      </c>
      <c r="M93" s="302">
        <f>70*1.1</f>
        <v>77</v>
      </c>
      <c r="N93" s="302">
        <v>77</v>
      </c>
      <c r="O93" s="305" t="s">
        <v>892</v>
      </c>
      <c r="P93" s="302">
        <f>70*1.1</f>
        <v>77</v>
      </c>
      <c r="Q93" s="677">
        <v>77</v>
      </c>
      <c r="R93" s="305" t="s">
        <v>892</v>
      </c>
      <c r="S93" s="302">
        <f>70*1.1</f>
        <v>77</v>
      </c>
      <c r="T93" s="957">
        <v>154</v>
      </c>
      <c r="U93" s="305" t="s">
        <v>892</v>
      </c>
      <c r="V93" s="302">
        <f>70*1.1</f>
        <v>77</v>
      </c>
      <c r="W93" s="678">
        <v>77</v>
      </c>
      <c r="X93" s="305" t="s">
        <v>892</v>
      </c>
      <c r="Y93" s="302">
        <f>70*1.1</f>
        <v>77</v>
      </c>
      <c r="Z93" s="678">
        <v>77</v>
      </c>
      <c r="AA93" s="289" t="s">
        <v>1105</v>
      </c>
      <c r="AB93" s="302">
        <f>70*1.1</f>
        <v>77</v>
      </c>
      <c r="AC93" s="302">
        <v>77</v>
      </c>
      <c r="AD93" s="736" t="s">
        <v>897</v>
      </c>
      <c r="AE93" s="302">
        <f>70*1.1</f>
        <v>77</v>
      </c>
      <c r="AF93" s="302"/>
      <c r="AG93" s="736" t="s">
        <v>897</v>
      </c>
      <c r="AH93" s="302">
        <f>70*1.1</f>
        <v>77</v>
      </c>
      <c r="AI93" s="302"/>
      <c r="AJ93" s="736" t="s">
        <v>897</v>
      </c>
      <c r="AK93" s="302">
        <f>70*1.1</f>
        <v>77</v>
      </c>
      <c r="AL93" s="302"/>
      <c r="AM93" s="736" t="s">
        <v>897</v>
      </c>
      <c r="AN93" s="302">
        <f>70*1.1</f>
        <v>77</v>
      </c>
      <c r="AO93" s="302"/>
      <c r="AP93" s="736" t="s">
        <v>897</v>
      </c>
      <c r="AQ93" s="302">
        <f>70*1.1</f>
        <v>77</v>
      </c>
      <c r="AR93" s="297"/>
      <c r="AS93" s="297"/>
      <c r="AT9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924</v>
      </c>
      <c r="AU9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616</v>
      </c>
      <c r="AV93" s="295"/>
      <c r="AW93" s="295"/>
      <c r="AX93" s="327"/>
      <c r="AY93" s="328"/>
      <c r="AZ93" s="288">
        <f>VLOOKUP(A93,Table6[],30,0)</f>
        <v>0</v>
      </c>
    </row>
    <row r="94" spans="1:52" ht="30" customHeight="1">
      <c r="A94" s="287">
        <v>90</v>
      </c>
      <c r="B94" s="276" t="str">
        <f>VLOOKUP(Table1[[#This Row],[šifra]],Table6[],2,0)</f>
        <v>Martinović destilery j.d.o.o</v>
      </c>
      <c r="C94" s="276" t="str">
        <f>VLOOKUP(Table1[[#This Row],[šifra]],Table6[],4,0)</f>
        <v>LAURA</v>
      </c>
      <c r="D94" s="276" t="str">
        <f>VLOOKUP(A94,Table6[],21,0)</f>
        <v>60(+10%) po mjesecu  do 06.2026 ima besplatno.</v>
      </c>
      <c r="E94" s="314" t="str">
        <f>IF(poduzeća!AE91="","",poduzeća!AE91)</f>
        <v/>
      </c>
      <c r="F94" s="313" t="str">
        <f>IF(poduzeća!AF91="","",poduzeća!AF91)</f>
        <v/>
      </c>
      <c r="G94" s="293">
        <v>582.5</v>
      </c>
      <c r="H94" s="293"/>
      <c r="I94" s="289" t="s">
        <v>1105</v>
      </c>
      <c r="J94" s="304"/>
      <c r="K94" s="304"/>
      <c r="L94" s="289" t="s">
        <v>1105</v>
      </c>
      <c r="M94" s="304"/>
      <c r="N94" s="835"/>
      <c r="O94" s="289" t="s">
        <v>1105</v>
      </c>
      <c r="P94" s="304"/>
      <c r="Q94" s="304"/>
      <c r="R94" s="289" t="s">
        <v>1105</v>
      </c>
      <c r="S94" s="304"/>
      <c r="T94" s="678"/>
      <c r="U94" s="289" t="s">
        <v>1105</v>
      </c>
      <c r="V94" s="304"/>
      <c r="W94" s="304"/>
      <c r="X94" s="289" t="s">
        <v>1105</v>
      </c>
      <c r="Y94" s="304">
        <v>66</v>
      </c>
      <c r="Z94" s="678">
        <v>66</v>
      </c>
      <c r="AA94" s="289" t="s">
        <v>1105</v>
      </c>
      <c r="AB94" s="304">
        <v>66</v>
      </c>
      <c r="AC94" s="304">
        <v>66</v>
      </c>
      <c r="AD94" s="736" t="s">
        <v>897</v>
      </c>
      <c r="AE94" s="304">
        <v>66</v>
      </c>
      <c r="AF94" s="304">
        <v>66</v>
      </c>
      <c r="AG94" s="736" t="s">
        <v>897</v>
      </c>
      <c r="AH94" s="304">
        <v>66</v>
      </c>
      <c r="AI94" s="304"/>
      <c r="AJ94" s="736" t="s">
        <v>897</v>
      </c>
      <c r="AK94" s="304">
        <v>66</v>
      </c>
      <c r="AL94" s="304"/>
      <c r="AM94" s="736" t="s">
        <v>897</v>
      </c>
      <c r="AN94" s="304">
        <v>66</v>
      </c>
      <c r="AO94" s="304"/>
      <c r="AP94" s="736" t="s">
        <v>897</v>
      </c>
      <c r="AQ94" s="304">
        <v>66</v>
      </c>
      <c r="AR94" s="294"/>
      <c r="AS94" s="294"/>
      <c r="AT94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462</v>
      </c>
      <c r="AU94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198</v>
      </c>
      <c r="AV94" s="293"/>
      <c r="AW94" s="293"/>
      <c r="AX94" s="327"/>
      <c r="AY94" s="328"/>
      <c r="AZ94" s="288">
        <f>VLOOKUP(A94,Table6[],30,0)</f>
        <v>0</v>
      </c>
    </row>
    <row r="95" spans="1:52" ht="16.5" customHeight="1">
      <c r="A95" s="292">
        <v>91</v>
      </c>
      <c r="B95" s="277" t="str">
        <f>VLOOKUP(Table1[[#This Row],[šifra]],Table6[],2,0)</f>
        <v>MedicalScan doo</v>
      </c>
      <c r="C95" s="277" t="str">
        <f>VLOOKUP(Table1[[#This Row],[šifra]],Table6[],4,0)</f>
        <v>NIKOLINA</v>
      </c>
      <c r="D95" s="276" t="str">
        <f>VLOOKUP(A95,Table6[],21,0)</f>
        <v>PLAĆA MEDICALSCAN KFT 100 EUR</v>
      </c>
      <c r="E95" s="314" t="str">
        <f>IF(poduzeća!AE92="","",poduzeća!AE92)</f>
        <v/>
      </c>
      <c r="F95" s="313" t="str">
        <f>IF(poduzeća!AF92="","",poduzeća!AF92)</f>
        <v/>
      </c>
      <c r="G95" s="295"/>
      <c r="H95" s="295"/>
      <c r="I95" s="733" t="s">
        <v>897</v>
      </c>
      <c r="J95" s="302">
        <v>100</v>
      </c>
      <c r="K95" s="678">
        <v>100</v>
      </c>
      <c r="L95" s="733" t="s">
        <v>897</v>
      </c>
      <c r="M95" s="302">
        <v>100</v>
      </c>
      <c r="N95" s="677">
        <v>100</v>
      </c>
      <c r="O95" s="733" t="s">
        <v>897</v>
      </c>
      <c r="P95" s="677">
        <v>100</v>
      </c>
      <c r="Q95" s="677">
        <v>100</v>
      </c>
      <c r="R95" s="733" t="s">
        <v>897</v>
      </c>
      <c r="S95" s="302">
        <v>100</v>
      </c>
      <c r="T95" s="957">
        <v>100</v>
      </c>
      <c r="U95" s="733" t="s">
        <v>897</v>
      </c>
      <c r="V95" s="867">
        <v>100</v>
      </c>
      <c r="W95" s="678">
        <v>100</v>
      </c>
      <c r="X95" s="733" t="s">
        <v>897</v>
      </c>
      <c r="Y95" s="302">
        <v>100</v>
      </c>
      <c r="Z95" s="678">
        <v>150</v>
      </c>
      <c r="AA95" s="733" t="s">
        <v>897</v>
      </c>
      <c r="AB95" s="302">
        <v>100</v>
      </c>
      <c r="AC95" s="302">
        <v>150</v>
      </c>
      <c r="AD95" s="733" t="s">
        <v>897</v>
      </c>
      <c r="AE95" s="302">
        <v>100</v>
      </c>
      <c r="AF95" s="302"/>
      <c r="AG95" s="733" t="s">
        <v>897</v>
      </c>
      <c r="AH95" s="302">
        <v>100</v>
      </c>
      <c r="AI95" s="302"/>
      <c r="AJ95" s="733" t="s">
        <v>897</v>
      </c>
      <c r="AK95" s="302">
        <v>100</v>
      </c>
      <c r="AL95" s="302"/>
      <c r="AM95" s="733" t="s">
        <v>897</v>
      </c>
      <c r="AN95" s="302">
        <v>100</v>
      </c>
      <c r="AO95" s="302"/>
      <c r="AP95" s="733" t="s">
        <v>897</v>
      </c>
      <c r="AQ95" s="302">
        <v>100</v>
      </c>
      <c r="AR95" s="297"/>
      <c r="AS95" s="297"/>
      <c r="AT9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1200</v>
      </c>
      <c r="AU9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800</v>
      </c>
      <c r="AV95" s="316"/>
      <c r="AW95" s="295"/>
      <c r="AX95" s="327"/>
      <c r="AY95" s="328"/>
      <c r="AZ95" s="288">
        <f>VLOOKUP(A95,Table6[],30,0)</f>
        <v>0</v>
      </c>
    </row>
    <row r="96" spans="1:52" ht="16.5" customHeight="1">
      <c r="A96" s="292">
        <v>92</v>
      </c>
      <c r="B96" s="277" t="str">
        <f>VLOOKUP(Table1[[#This Row],[šifra]],Table6[],2,0)</f>
        <v>Mediterranean homes j.d.o.o.</v>
      </c>
      <c r="C96" s="277" t="str">
        <f>VLOOKUP(Table1[[#This Row],[šifra]],Table6[],4,0)</f>
        <v>MARKO</v>
      </c>
      <c r="D96" s="276" t="str">
        <f>VLOOKUP(A96,Table6[],21,0)</f>
        <v>50(+10)+10 minimax+pdv /mj</v>
      </c>
      <c r="E96" s="314" t="str">
        <f>IF(poduzeća!AE93="","",poduzeća!AE93)</f>
        <v/>
      </c>
      <c r="F96" s="313" t="str">
        <f>IF(poduzeća!AF93="","",poduzeća!AF93)</f>
        <v/>
      </c>
      <c r="G96" s="295">
        <v>293.75</v>
      </c>
      <c r="H96" s="295">
        <v>27.5</v>
      </c>
      <c r="I96" s="736" t="s">
        <v>897</v>
      </c>
      <c r="J96" s="307">
        <v>65</v>
      </c>
      <c r="K96" s="677">
        <v>65</v>
      </c>
      <c r="L96" s="736" t="s">
        <v>897</v>
      </c>
      <c r="M96" s="307">
        <v>65</v>
      </c>
      <c r="N96" s="677">
        <v>65</v>
      </c>
      <c r="O96" s="736" t="s">
        <v>897</v>
      </c>
      <c r="P96" s="307">
        <v>65</v>
      </c>
      <c r="Q96" s="302">
        <v>65</v>
      </c>
      <c r="R96" s="736" t="s">
        <v>897</v>
      </c>
      <c r="S96" s="307">
        <v>65</v>
      </c>
      <c r="T96" s="957">
        <v>120</v>
      </c>
      <c r="U96" s="736" t="s">
        <v>897</v>
      </c>
      <c r="V96" s="867">
        <v>65</v>
      </c>
      <c r="W96" s="678">
        <v>65</v>
      </c>
      <c r="X96" s="736" t="s">
        <v>897</v>
      </c>
      <c r="Y96" s="307">
        <v>65</v>
      </c>
      <c r="Z96" s="304">
        <v>65</v>
      </c>
      <c r="AA96" s="736" t="s">
        <v>897</v>
      </c>
      <c r="AB96" s="307">
        <v>65</v>
      </c>
      <c r="AC96" s="302">
        <v>65</v>
      </c>
      <c r="AD96" s="736" t="s">
        <v>897</v>
      </c>
      <c r="AE96" s="307">
        <v>65</v>
      </c>
      <c r="AF96" s="302"/>
      <c r="AG96" s="736" t="s">
        <v>897</v>
      </c>
      <c r="AH96" s="307">
        <v>65</v>
      </c>
      <c r="AI96" s="302"/>
      <c r="AJ96" s="736" t="s">
        <v>897</v>
      </c>
      <c r="AK96" s="307">
        <v>65</v>
      </c>
      <c r="AL96" s="302"/>
      <c r="AM96" s="736" t="s">
        <v>897</v>
      </c>
      <c r="AN96" s="307">
        <v>65</v>
      </c>
      <c r="AO96" s="302"/>
      <c r="AP96" s="736" t="s">
        <v>897</v>
      </c>
      <c r="AQ96" s="307">
        <v>65</v>
      </c>
      <c r="AR96" s="297"/>
      <c r="AS96" s="297"/>
      <c r="AT9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780</v>
      </c>
      <c r="AU9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510</v>
      </c>
      <c r="AV96" s="295"/>
      <c r="AW96" s="295"/>
      <c r="AX96" s="327"/>
      <c r="AY96" s="328"/>
      <c r="AZ96" s="288">
        <f>VLOOKUP(A96,Table6[],30,0)</f>
        <v>0</v>
      </c>
    </row>
    <row r="97" spans="1:52" ht="32.25" customHeight="1">
      <c r="A97" s="292">
        <v>93</v>
      </c>
      <c r="B97" s="277" t="str">
        <f>VLOOKUP(Table1[[#This Row],[šifra]],Table6[],2,0)</f>
        <v>MICHAL/EVA BOHAČ</v>
      </c>
      <c r="C97" s="277" t="str">
        <f>VLOOKUP(Table1[[#This Row],[šifra]],Table6[],4,0)</f>
        <v>NITKO</v>
      </c>
      <c r="D97" s="276" t="str">
        <f>VLOOKUP(A97,Table6[],21,0)</f>
        <v>100+minimax+pdv / početak - KAD RADI..    LJETO/ ne vodimo više</v>
      </c>
      <c r="E97" s="314" t="str">
        <f>IF(poduzeća!AE94="","",poduzeća!AE94)</f>
        <v/>
      </c>
      <c r="F97" s="313" t="str">
        <f>IF(poduzeća!AF94="","",poduzeća!AF94)</f>
        <v/>
      </c>
      <c r="G97" s="295"/>
      <c r="H97" s="295"/>
      <c r="I97" s="301" t="s">
        <v>892</v>
      </c>
      <c r="J97" s="307"/>
      <c r="K97" s="684"/>
      <c r="L97" s="697" t="s">
        <v>897</v>
      </c>
      <c r="M97" s="307"/>
      <c r="N97" s="676">
        <v>0</v>
      </c>
      <c r="O97" s="697" t="s">
        <v>897</v>
      </c>
      <c r="P97" s="307"/>
      <c r="Q97" s="302"/>
      <c r="R97" s="697" t="s">
        <v>897</v>
      </c>
      <c r="S97" s="307"/>
      <c r="T97" s="677"/>
      <c r="U97" s="697" t="s">
        <v>897</v>
      </c>
      <c r="V97" s="307"/>
      <c r="W97" s="304"/>
      <c r="X97" s="697" t="s">
        <v>897</v>
      </c>
      <c r="Y97" s="307">
        <v>0</v>
      </c>
      <c r="Z97" s="294"/>
      <c r="AA97" s="697" t="s">
        <v>897</v>
      </c>
      <c r="AB97" s="307">
        <v>0</v>
      </c>
      <c r="AC97" s="302">
        <v>0</v>
      </c>
      <c r="AD97" s="697" t="s">
        <v>897</v>
      </c>
      <c r="AE97" s="307">
        <v>0</v>
      </c>
      <c r="AF97" s="302"/>
      <c r="AG97" s="697" t="s">
        <v>897</v>
      </c>
      <c r="AH97" s="307">
        <v>0</v>
      </c>
      <c r="AI97" s="302"/>
      <c r="AJ97" s="697" t="s">
        <v>897</v>
      </c>
      <c r="AK97" s="307">
        <v>0</v>
      </c>
      <c r="AL97" s="302"/>
      <c r="AM97" s="697" t="s">
        <v>897</v>
      </c>
      <c r="AN97" s="307">
        <v>0</v>
      </c>
      <c r="AO97" s="302"/>
      <c r="AP97" s="697" t="s">
        <v>897</v>
      </c>
      <c r="AQ97" s="307">
        <v>0</v>
      </c>
      <c r="AR97" s="297"/>
      <c r="AS97" s="297"/>
      <c r="AT9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9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97" s="295"/>
      <c r="AW97" s="295"/>
      <c r="AX97" s="327"/>
      <c r="AY97" s="328"/>
      <c r="AZ97" s="288">
        <f>VLOOKUP(A97,Table6[],30,0)</f>
        <v>0</v>
      </c>
    </row>
    <row r="98" spans="1:52" ht="15" customHeight="1">
      <c r="A98" s="292">
        <v>94</v>
      </c>
      <c r="B98" s="277" t="str">
        <f>VLOOKUP(Table1[[#This Row],[šifra]],Table6[],2,0)</f>
        <v>MILA YACHTING d.o.o.</v>
      </c>
      <c r="C98" s="277" t="str">
        <f>VLOOKUP(Table1[[#This Row],[šifra]],Table6[],4,0)</f>
        <v>SJEDIŠTE</v>
      </c>
      <c r="D98" s="276" t="str">
        <f>VLOOKUP(A98,Table6[],21,0)</f>
        <v>30 SJEDIŠTE +pdv/ MJ</v>
      </c>
      <c r="E98" s="314" t="str">
        <f>IF(poduzeća!AE95="","",poduzeća!AE95)</f>
        <v/>
      </c>
      <c r="F98" s="313" t="str">
        <f>IF(poduzeća!AF95="","",poduzeća!AF95)</f>
        <v/>
      </c>
      <c r="G98" s="295"/>
      <c r="H98" s="295"/>
      <c r="I98" s="522" t="s">
        <v>897</v>
      </c>
      <c r="J98" s="302">
        <v>30</v>
      </c>
      <c r="K98" s="677">
        <v>30</v>
      </c>
      <c r="L98" s="522" t="s">
        <v>897</v>
      </c>
      <c r="M98" s="302">
        <v>30</v>
      </c>
      <c r="N98" s="676">
        <v>30</v>
      </c>
      <c r="O98" s="522" t="s">
        <v>897</v>
      </c>
      <c r="P98" s="867">
        <v>30</v>
      </c>
      <c r="Q98" s="302">
        <v>30</v>
      </c>
      <c r="R98" s="522" t="s">
        <v>897</v>
      </c>
      <c r="S98" s="302">
        <v>30</v>
      </c>
      <c r="T98" s="957">
        <v>30</v>
      </c>
      <c r="U98" s="522" t="s">
        <v>897</v>
      </c>
      <c r="V98" s="867">
        <v>30</v>
      </c>
      <c r="W98" s="678">
        <v>30</v>
      </c>
      <c r="X98" s="522" t="s">
        <v>897</v>
      </c>
      <c r="Y98" s="302">
        <v>30</v>
      </c>
      <c r="Z98" s="675">
        <v>30</v>
      </c>
      <c r="AA98" s="522" t="s">
        <v>897</v>
      </c>
      <c r="AB98" s="302">
        <v>30</v>
      </c>
      <c r="AC98" s="302">
        <v>30</v>
      </c>
      <c r="AD98" s="522" t="s">
        <v>897</v>
      </c>
      <c r="AE98" s="302">
        <v>30</v>
      </c>
      <c r="AF98" s="302">
        <v>30</v>
      </c>
      <c r="AG98" s="522" t="s">
        <v>897</v>
      </c>
      <c r="AH98" s="302">
        <v>30</v>
      </c>
      <c r="AI98" s="302"/>
      <c r="AJ98" s="522" t="s">
        <v>897</v>
      </c>
      <c r="AK98" s="302">
        <v>30</v>
      </c>
      <c r="AL98" s="302"/>
      <c r="AM98" s="522" t="s">
        <v>897</v>
      </c>
      <c r="AN98" s="302">
        <v>30</v>
      </c>
      <c r="AO98" s="302"/>
      <c r="AP98" s="522" t="s">
        <v>897</v>
      </c>
      <c r="AQ98" s="302">
        <v>30</v>
      </c>
      <c r="AR98" s="297"/>
      <c r="AS98" s="297"/>
      <c r="AT9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360</v>
      </c>
      <c r="AU9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240</v>
      </c>
      <c r="AV98" s="295"/>
      <c r="AW98" s="295"/>
      <c r="AX98" s="327"/>
      <c r="AY98" s="328"/>
      <c r="AZ98" s="288">
        <f>VLOOKUP(A98,Table6[],30,0)</f>
        <v>0</v>
      </c>
    </row>
    <row r="99" spans="1:52" ht="15" customHeight="1">
      <c r="A99" s="292">
        <v>95</v>
      </c>
      <c r="B99" s="277" t="str">
        <f>VLOOKUP(Table1[[#This Row],[šifra]],Table6[],2,0)</f>
        <v>MJA MARITIMUS d.o.o.</v>
      </c>
      <c r="C99" s="277" t="str">
        <f>VLOOKUP(Table1[[#This Row],[šifra]],Table6[],4,0)</f>
        <v>NIKOLINA</v>
      </c>
      <c r="D99" s="276" t="str">
        <f>VLOOKUP(A99,Table6[],21,0)</f>
        <v>100 (+10%)+pdv /mj</v>
      </c>
      <c r="E99" s="314" t="str">
        <f>IF(poduzeća!AE96="","",poduzeća!AE96)</f>
        <v/>
      </c>
      <c r="F99" s="313" t="str">
        <f>IF(poduzeća!AF96="","",poduzeća!AF96)</f>
        <v/>
      </c>
      <c r="G99" s="295">
        <v>137.5</v>
      </c>
      <c r="H99" s="295"/>
      <c r="I99" s="305" t="s">
        <v>901</v>
      </c>
      <c r="J99" s="302">
        <f>100*1.1</f>
        <v>110.00000000000001</v>
      </c>
      <c r="K99" s="677">
        <v>110</v>
      </c>
      <c r="L99" s="301" t="s">
        <v>901</v>
      </c>
      <c r="M99" s="302">
        <f>100*1.1</f>
        <v>110.00000000000001</v>
      </c>
      <c r="N99" s="676">
        <v>110</v>
      </c>
      <c r="O99" s="305" t="s">
        <v>901</v>
      </c>
      <c r="P99" s="302">
        <f>100*1.1</f>
        <v>110.00000000000001</v>
      </c>
      <c r="Q99" s="302">
        <v>110</v>
      </c>
      <c r="R99" s="305" t="s">
        <v>901</v>
      </c>
      <c r="S99" s="302">
        <f>100*1.1</f>
        <v>110.00000000000001</v>
      </c>
      <c r="T99" s="957">
        <v>220</v>
      </c>
      <c r="U99" s="305" t="s">
        <v>901</v>
      </c>
      <c r="V99" s="302">
        <f>100*1.1</f>
        <v>110.00000000000001</v>
      </c>
      <c r="W99" s="678">
        <v>110</v>
      </c>
      <c r="X99" s="301" t="s">
        <v>901</v>
      </c>
      <c r="Y99" s="302">
        <f>100*1.1</f>
        <v>110.00000000000001</v>
      </c>
      <c r="Z99" s="675">
        <v>110</v>
      </c>
      <c r="AA99" s="301" t="s">
        <v>901</v>
      </c>
      <c r="AB99" s="302">
        <f>100*1.1</f>
        <v>110.00000000000001</v>
      </c>
      <c r="AC99" s="302">
        <v>110</v>
      </c>
      <c r="AD99" s="301" t="s">
        <v>901</v>
      </c>
      <c r="AE99" s="302">
        <f>100*1.1</f>
        <v>110.00000000000001</v>
      </c>
      <c r="AF99" s="302"/>
      <c r="AG99" s="305" t="s">
        <v>901</v>
      </c>
      <c r="AH99" s="302">
        <f>100*1.1</f>
        <v>110.00000000000001</v>
      </c>
      <c r="AI99" s="302"/>
      <c r="AJ99" s="305" t="s">
        <v>901</v>
      </c>
      <c r="AK99" s="302">
        <f>100*1.1</f>
        <v>110.00000000000001</v>
      </c>
      <c r="AL99" s="302"/>
      <c r="AM99" s="305" t="s">
        <v>901</v>
      </c>
      <c r="AN99" s="302">
        <f>100*1.1</f>
        <v>110.00000000000001</v>
      </c>
      <c r="AO99" s="302"/>
      <c r="AP99" s="305" t="s">
        <v>901</v>
      </c>
      <c r="AQ99" s="302">
        <f>100*1.1</f>
        <v>110.00000000000001</v>
      </c>
      <c r="AR99" s="297"/>
      <c r="AS99" s="297"/>
      <c r="AT9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9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880</v>
      </c>
      <c r="AV99" s="295"/>
      <c r="AW99" s="295"/>
      <c r="AX99" s="327"/>
      <c r="AY99" s="328"/>
      <c r="AZ99" s="288">
        <f>VLOOKUP(A99,Table6[],30,0)</f>
        <v>0</v>
      </c>
    </row>
    <row r="100" spans="1:52" ht="15" customHeight="1">
      <c r="A100" s="287">
        <v>96</v>
      </c>
      <c r="B100" s="276" t="str">
        <f>VLOOKUP(Table1[[#This Row],[šifra]],Table6[],2,0)</f>
        <v>MLM Transport d.o.o.</v>
      </c>
      <c r="C100" s="276" t="str">
        <f>VLOOKUP(Table1[[#This Row],[šifra]],Table6[],4,0)</f>
        <v>NIKOLINA</v>
      </c>
      <c r="D100" s="276" t="str">
        <f>VLOOKUP(A100,Table6[],21,0)</f>
        <v>132,72 (+10%) +pdv /mj</v>
      </c>
      <c r="E100" s="314" t="str">
        <f>IF(poduzeća!AE97="","",poduzeća!AE97)</f>
        <v/>
      </c>
      <c r="F100" s="313" t="str">
        <f>IF(poduzeća!AF97="","",poduzeća!AF97)</f>
        <v/>
      </c>
      <c r="G100" s="293"/>
      <c r="H100" s="293"/>
      <c r="I100" s="289" t="s">
        <v>901</v>
      </c>
      <c r="J100" s="304">
        <v>146</v>
      </c>
      <c r="K100" s="678">
        <v>166</v>
      </c>
      <c r="L100" s="289" t="s">
        <v>901</v>
      </c>
      <c r="M100" s="304">
        <v>146</v>
      </c>
      <c r="N100" s="675">
        <v>146</v>
      </c>
      <c r="O100" s="289" t="s">
        <v>901</v>
      </c>
      <c r="P100" s="304">
        <v>146</v>
      </c>
      <c r="Q100" s="304">
        <v>146</v>
      </c>
      <c r="R100" s="289" t="s">
        <v>901</v>
      </c>
      <c r="S100" s="304">
        <v>146</v>
      </c>
      <c r="T100" s="958">
        <v>292</v>
      </c>
      <c r="U100" s="289" t="s">
        <v>901</v>
      </c>
      <c r="V100" s="304">
        <v>146</v>
      </c>
      <c r="W100" s="678">
        <v>146</v>
      </c>
      <c r="X100" s="289" t="s">
        <v>901</v>
      </c>
      <c r="Y100" s="304">
        <v>146</v>
      </c>
      <c r="Z100" s="675">
        <v>146</v>
      </c>
      <c r="AA100" s="289" t="s">
        <v>901</v>
      </c>
      <c r="AB100" s="304">
        <v>146</v>
      </c>
      <c r="AC100" s="304">
        <v>146</v>
      </c>
      <c r="AD100" s="289" t="s">
        <v>901</v>
      </c>
      <c r="AE100" s="304">
        <v>146</v>
      </c>
      <c r="AF100" s="304"/>
      <c r="AG100" s="289" t="s">
        <v>901</v>
      </c>
      <c r="AH100" s="304">
        <v>146</v>
      </c>
      <c r="AI100" s="304"/>
      <c r="AJ100" s="289" t="s">
        <v>901</v>
      </c>
      <c r="AK100" s="304">
        <v>146</v>
      </c>
      <c r="AL100" s="304"/>
      <c r="AM100" s="289" t="s">
        <v>901</v>
      </c>
      <c r="AN100" s="304">
        <v>146</v>
      </c>
      <c r="AO100" s="304"/>
      <c r="AP100" s="289" t="s">
        <v>901</v>
      </c>
      <c r="AQ100" s="304">
        <v>146</v>
      </c>
      <c r="AR100" s="294"/>
      <c r="AS100" s="294"/>
      <c r="AT100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1752</v>
      </c>
      <c r="AU100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1188</v>
      </c>
      <c r="AV100" s="293"/>
      <c r="AW100" s="293"/>
      <c r="AX100" s="327"/>
      <c r="AY100" s="328"/>
      <c r="AZ100" s="288">
        <f>VLOOKUP(A100,Table6[],30,0)</f>
        <v>0</v>
      </c>
    </row>
    <row r="101" spans="1:52" ht="15" customHeight="1">
      <c r="A101" s="292">
        <v>97</v>
      </c>
      <c r="B101" s="277" t="str">
        <f>VLOOKUP(Table1[[#This Row],[šifra]],Table6[],2,0)</f>
        <v>Muci d.o.o.</v>
      </c>
      <c r="C101" s="277" t="str">
        <f>VLOOKUP(Table1[[#This Row],[šifra]],Table6[],4,0)</f>
        <v>LAURA</v>
      </c>
      <c r="D101" s="276" t="str">
        <f>VLOOKUP(A101,Table6[],21,0)</f>
        <v xml:space="preserve">??? 75(+10%)+pdv /3mjesečni     </v>
      </c>
      <c r="E101" s="314" t="str">
        <f>IF(poduzeća!AE98="","",poduzeća!AE98)</f>
        <v/>
      </c>
      <c r="F101" s="313" t="str">
        <f>IF(poduzeća!AF98="","",poduzeća!AF98)</f>
        <v/>
      </c>
      <c r="G101" s="295"/>
      <c r="H101" s="295"/>
      <c r="I101" s="301" t="s">
        <v>892</v>
      </c>
      <c r="J101" s="302"/>
      <c r="K101" s="302"/>
      <c r="L101" s="301" t="s">
        <v>892</v>
      </c>
      <c r="M101" s="302"/>
      <c r="N101" s="297"/>
      <c r="O101" s="301" t="s">
        <v>892</v>
      </c>
      <c r="P101" s="302">
        <v>82.5</v>
      </c>
      <c r="Q101" s="677">
        <v>82.5</v>
      </c>
      <c r="R101" s="301" t="s">
        <v>892</v>
      </c>
      <c r="S101" s="302"/>
      <c r="T101" s="677"/>
      <c r="U101" s="301" t="s">
        <v>892</v>
      </c>
      <c r="V101" s="302"/>
      <c r="W101" s="304"/>
      <c r="X101" s="1034" t="s">
        <v>897</v>
      </c>
      <c r="Y101" s="302">
        <v>82.5</v>
      </c>
      <c r="Z101" s="675">
        <v>82.5</v>
      </c>
      <c r="AA101" s="1034" t="s">
        <v>897</v>
      </c>
      <c r="AB101" s="302"/>
      <c r="AC101" s="302"/>
      <c r="AD101" s="736" t="s">
        <v>897</v>
      </c>
      <c r="AE101" s="302"/>
      <c r="AF101" s="302"/>
      <c r="AG101" s="736" t="s">
        <v>897</v>
      </c>
      <c r="AH101" s="302">
        <v>82.5</v>
      </c>
      <c r="AI101" s="302"/>
      <c r="AJ101" s="736" t="s">
        <v>897</v>
      </c>
      <c r="AK101" s="302"/>
      <c r="AL101" s="302"/>
      <c r="AM101" s="736" t="s">
        <v>897</v>
      </c>
      <c r="AN101" s="302"/>
      <c r="AO101" s="302"/>
      <c r="AP101" s="736" t="s">
        <v>897</v>
      </c>
      <c r="AQ101" s="302">
        <v>82.5</v>
      </c>
      <c r="AR101" s="297"/>
      <c r="AS101" s="297"/>
      <c r="AT10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330</v>
      </c>
      <c r="AU10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165</v>
      </c>
      <c r="AV101" s="295"/>
      <c r="AW101" s="295"/>
      <c r="AX101" s="327"/>
      <c r="AY101" s="328"/>
      <c r="AZ101" s="288">
        <f>VLOOKUP(A101,Table6[],30,0)</f>
        <v>0</v>
      </c>
    </row>
    <row r="102" spans="1:52" s="96" customFormat="1" ht="15" customHeight="1">
      <c r="A102" s="287">
        <v>98</v>
      </c>
      <c r="B102" s="276" t="str">
        <f>VLOOKUP(Table1[[#This Row],[šifra]],Table6[],2,B1233)</f>
        <v>NANAADRIA j.d.o.o.</v>
      </c>
      <c r="C102" s="276" t="str">
        <f>VLOOKUP(Table1[[#This Row],[šifra]],Table6[],4,0)</f>
        <v>SANDRA</v>
      </c>
      <c r="D102" s="276" t="str">
        <f>VLOOKUP(A102,Table6[],21,0)</f>
        <v>75(+10%)+ licenca minimax 20 eur+pdv/mj</v>
      </c>
      <c r="E102" s="314">
        <f>IF(poduzeća!AE99="","",poduzeća!AE99)</f>
        <v>45597</v>
      </c>
      <c r="F102" s="313">
        <f>IF(poduzeća!AF99="","",poduzeća!AF99)</f>
        <v>500</v>
      </c>
      <c r="G102" s="1014"/>
      <c r="H102" s="1014">
        <v>55</v>
      </c>
      <c r="I102" s="289" t="s">
        <v>897</v>
      </c>
      <c r="J102" s="304">
        <f>75*1.1+20</f>
        <v>102.5</v>
      </c>
      <c r="K102" s="678">
        <v>102.5</v>
      </c>
      <c r="L102" s="289" t="s">
        <v>897</v>
      </c>
      <c r="M102" s="304">
        <f>75*1.1+20</f>
        <v>102.5</v>
      </c>
      <c r="N102" s="675">
        <v>102.5</v>
      </c>
      <c r="O102" s="289" t="s">
        <v>897</v>
      </c>
      <c r="P102" s="870">
        <f>75*1.1+20</f>
        <v>102.5</v>
      </c>
      <c r="Q102" s="304">
        <v>102.5</v>
      </c>
      <c r="R102" s="289" t="s">
        <v>897</v>
      </c>
      <c r="S102" s="304">
        <f>75*1.1+20</f>
        <v>102.5</v>
      </c>
      <c r="T102" s="958">
        <v>185</v>
      </c>
      <c r="U102" s="289" t="s">
        <v>897</v>
      </c>
      <c r="V102" s="870">
        <f>75*1.1+20</f>
        <v>102.5</v>
      </c>
      <c r="W102" s="678">
        <v>102.5</v>
      </c>
      <c r="X102" s="289" t="s">
        <v>897</v>
      </c>
      <c r="Y102" s="304">
        <f>75*1.1+20</f>
        <v>102.5</v>
      </c>
      <c r="Z102" s="675">
        <v>102.5</v>
      </c>
      <c r="AA102" s="289" t="s">
        <v>897</v>
      </c>
      <c r="AB102" s="304">
        <f>75*1.1+20</f>
        <v>102.5</v>
      </c>
      <c r="AC102" s="304">
        <v>102.5</v>
      </c>
      <c r="AD102" s="289" t="s">
        <v>897</v>
      </c>
      <c r="AE102" s="304">
        <f>75*1.1+20</f>
        <v>102.5</v>
      </c>
      <c r="AF102" s="304">
        <v>102.5</v>
      </c>
      <c r="AG102" s="289" t="s">
        <v>897</v>
      </c>
      <c r="AH102" s="304">
        <f>75*1.1+20</f>
        <v>102.5</v>
      </c>
      <c r="AI102" s="304"/>
      <c r="AJ102" s="289" t="s">
        <v>897</v>
      </c>
      <c r="AK102" s="304">
        <f>75*1.1+20</f>
        <v>102.5</v>
      </c>
      <c r="AL102" s="304"/>
      <c r="AM102" s="289" t="s">
        <v>897</v>
      </c>
      <c r="AN102" s="304">
        <f>75*1.1+20</f>
        <v>102.5</v>
      </c>
      <c r="AO102" s="304"/>
      <c r="AP102" s="289" t="s">
        <v>897</v>
      </c>
      <c r="AQ102" s="304">
        <f>75*1.1+20</f>
        <v>102.5</v>
      </c>
      <c r="AR102" s="294"/>
      <c r="AS102" s="294"/>
      <c r="AT102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1230</v>
      </c>
      <c r="AU102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902.5</v>
      </c>
      <c r="AV102" s="293"/>
      <c r="AW102" s="293"/>
      <c r="AX102" s="327"/>
      <c r="AY102" s="328"/>
      <c r="AZ102" s="288">
        <f>VLOOKUP(A102,Table6[],30,0)</f>
        <v>0</v>
      </c>
    </row>
    <row r="103" spans="1:52" ht="14.25" customHeight="1">
      <c r="A103" s="292">
        <v>99</v>
      </c>
      <c r="B103" s="277" t="str">
        <f>VLOOKUP(Table1[[#This Row],[šifra]],Table6[],2,0)</f>
        <v>Neocons yachting d.o.o.</v>
      </c>
      <c r="C103" s="277" t="str">
        <f>VLOOKUP(Table1[[#This Row],[šifra]],Table6[],4,0)</f>
        <v>SJEDIŠTE</v>
      </c>
      <c r="D103" s="276" t="str">
        <f>VLOOKUP(A103,Table6[],21,0)</f>
        <v>30 SJEDIŠTE +pdv / MJ</v>
      </c>
      <c r="E103" s="314" t="str">
        <f>IF(poduzeća!AE100="","",poduzeća!AE100)</f>
        <v/>
      </c>
      <c r="F103" s="313" t="str">
        <f>IF(poduzeća!AF100="","",poduzeća!AF100)</f>
        <v/>
      </c>
      <c r="G103" s="1011"/>
      <c r="H103" s="1011"/>
      <c r="I103" s="522" t="s">
        <v>897</v>
      </c>
      <c r="J103" s="302">
        <v>30</v>
      </c>
      <c r="K103" s="677">
        <v>30</v>
      </c>
      <c r="L103" s="522" t="s">
        <v>897</v>
      </c>
      <c r="M103" s="302">
        <v>30</v>
      </c>
      <c r="N103" s="676">
        <v>30</v>
      </c>
      <c r="O103" s="522" t="s">
        <v>897</v>
      </c>
      <c r="P103" s="867">
        <v>30</v>
      </c>
      <c r="Q103" s="302">
        <v>30</v>
      </c>
      <c r="R103" s="522" t="s">
        <v>897</v>
      </c>
      <c r="S103" s="302">
        <v>30</v>
      </c>
      <c r="T103" s="957">
        <v>30</v>
      </c>
      <c r="U103" s="522" t="s">
        <v>897</v>
      </c>
      <c r="V103" s="867">
        <v>30</v>
      </c>
      <c r="W103" s="678">
        <v>30</v>
      </c>
      <c r="X103" s="522" t="s">
        <v>897</v>
      </c>
      <c r="Y103" s="302">
        <v>30</v>
      </c>
      <c r="Z103" s="675">
        <v>30</v>
      </c>
      <c r="AA103" s="522" t="s">
        <v>897</v>
      </c>
      <c r="AB103" s="302">
        <v>30</v>
      </c>
      <c r="AC103" s="302">
        <v>30</v>
      </c>
      <c r="AD103" s="522" t="s">
        <v>897</v>
      </c>
      <c r="AE103" s="302">
        <v>30</v>
      </c>
      <c r="AF103" s="302">
        <v>30</v>
      </c>
      <c r="AG103" s="522" t="s">
        <v>897</v>
      </c>
      <c r="AH103" s="302">
        <v>30</v>
      </c>
      <c r="AI103" s="302"/>
      <c r="AJ103" s="522" t="s">
        <v>897</v>
      </c>
      <c r="AK103" s="302">
        <v>30</v>
      </c>
      <c r="AL103" s="302"/>
      <c r="AM103" s="522" t="s">
        <v>897</v>
      </c>
      <c r="AN103" s="302">
        <v>30</v>
      </c>
      <c r="AO103" s="302"/>
      <c r="AP103" s="522" t="s">
        <v>897</v>
      </c>
      <c r="AQ103" s="302">
        <v>30</v>
      </c>
      <c r="AR103" s="297"/>
      <c r="AS103" s="297"/>
      <c r="AT10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360</v>
      </c>
      <c r="AU10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240</v>
      </c>
      <c r="AV103" s="295"/>
      <c r="AW103" s="295"/>
      <c r="AX103" s="327"/>
      <c r="AY103" s="328"/>
      <c r="AZ103" s="288">
        <f>VLOOKUP(A103,Table6[],30,0)</f>
        <v>0</v>
      </c>
    </row>
    <row r="104" spans="1:52" ht="15" customHeight="1">
      <c r="A104" s="287">
        <v>100</v>
      </c>
      <c r="B104" s="276" t="str">
        <f>VLOOKUP(Table1[[#This Row],[šifra]],Table6[],2,0)</f>
        <v>N.E.S.T.  d.o.o.</v>
      </c>
      <c r="C104" s="276" t="str">
        <f>VLOOKUP(Table1[[#This Row],[šifra]],Table6[],4,0)</f>
        <v>LAURA</v>
      </c>
      <c r="D104" s="276" t="str">
        <f>VLOOKUP(A104,Table6[],21,0)</f>
        <v>100(+10%)+pdv  /mj</v>
      </c>
      <c r="E104" s="314" t="str">
        <f>IF(poduzeća!AE101="","",poduzeća!AE101)</f>
        <v/>
      </c>
      <c r="F104" s="313" t="str">
        <f>IF(poduzeća!AF101="","",poduzeća!AF101)</f>
        <v/>
      </c>
      <c r="G104" s="293">
        <v>137.5</v>
      </c>
      <c r="H104" s="293"/>
      <c r="I104" s="289" t="s">
        <v>892</v>
      </c>
      <c r="J104" s="304">
        <v>110</v>
      </c>
      <c r="K104" s="304">
        <v>110</v>
      </c>
      <c r="L104" s="289" t="s">
        <v>892</v>
      </c>
      <c r="M104" s="304">
        <v>110</v>
      </c>
      <c r="N104" s="294">
        <v>110</v>
      </c>
      <c r="O104" s="289" t="s">
        <v>892</v>
      </c>
      <c r="P104" s="304">
        <v>110</v>
      </c>
      <c r="Q104" s="678">
        <v>110</v>
      </c>
      <c r="R104" s="289" t="s">
        <v>892</v>
      </c>
      <c r="S104" s="304">
        <v>110</v>
      </c>
      <c r="T104" s="958">
        <v>220</v>
      </c>
      <c r="U104" s="289" t="s">
        <v>892</v>
      </c>
      <c r="V104" s="304">
        <v>110</v>
      </c>
      <c r="W104" s="678">
        <v>110</v>
      </c>
      <c r="X104" s="289" t="s">
        <v>892</v>
      </c>
      <c r="Y104" s="304">
        <v>110</v>
      </c>
      <c r="Z104" s="675">
        <v>110</v>
      </c>
      <c r="AA104" s="289" t="s">
        <v>892</v>
      </c>
      <c r="AB104" s="304">
        <v>110</v>
      </c>
      <c r="AC104" s="304">
        <v>110</v>
      </c>
      <c r="AD104" s="736" t="s">
        <v>897</v>
      </c>
      <c r="AE104" s="304">
        <v>110</v>
      </c>
      <c r="AF104" s="304">
        <v>110</v>
      </c>
      <c r="AG104" s="736" t="s">
        <v>897</v>
      </c>
      <c r="AH104" s="304">
        <v>110</v>
      </c>
      <c r="AI104" s="304"/>
      <c r="AJ104" s="736" t="s">
        <v>897</v>
      </c>
      <c r="AK104" s="304">
        <v>110</v>
      </c>
      <c r="AL104" s="304"/>
      <c r="AM104" s="736" t="s">
        <v>897</v>
      </c>
      <c r="AN104" s="304">
        <v>110</v>
      </c>
      <c r="AO104" s="304"/>
      <c r="AP104" s="736" t="s">
        <v>897</v>
      </c>
      <c r="AQ104" s="304">
        <v>110</v>
      </c>
      <c r="AR104" s="294"/>
      <c r="AS104" s="294"/>
      <c r="AT104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</v>
      </c>
      <c r="AU104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990</v>
      </c>
      <c r="AV104" s="293"/>
      <c r="AW104" s="293"/>
      <c r="AX104" s="327"/>
      <c r="AY104" s="328"/>
      <c r="AZ104" s="288">
        <f>VLOOKUP(A104,Table6[],30,0)</f>
        <v>0</v>
      </c>
    </row>
    <row r="105" spans="1:52" ht="15" customHeight="1">
      <c r="A105" s="292">
        <v>101</v>
      </c>
      <c r="B105" s="277" t="str">
        <f>VLOOKUP(Table1[[#This Row],[šifra]],Table6[],2,0)</f>
        <v>NOBILIS KRISTOF</v>
      </c>
      <c r="C105" s="277" t="str">
        <f>VLOOKUP(Table1[[#This Row],[šifra]],Table6[],4,0)</f>
        <v>LAURA</v>
      </c>
      <c r="D105" s="276" t="str">
        <f>VLOOKUP(A105,Table6[],21,0)</f>
        <v>???? Pričati sa Laurom U CIJENI FENESTELA /BERN BETON</v>
      </c>
      <c r="E105" s="314" t="str">
        <f>IF(poduzeća!AE102="","",poduzeća!AE102)</f>
        <v/>
      </c>
      <c r="F105" s="313" t="str">
        <f>IF(poduzeća!AF102="","",poduzeća!AF102)</f>
        <v/>
      </c>
      <c r="G105" s="1010"/>
      <c r="H105" s="1010"/>
      <c r="I105" s="299" t="s">
        <v>892</v>
      </c>
      <c r="J105" s="302"/>
      <c r="K105" s="684"/>
      <c r="L105" s="697" t="s">
        <v>897</v>
      </c>
      <c r="M105" s="302"/>
      <c r="N105" s="676"/>
      <c r="O105" s="697" t="s">
        <v>897</v>
      </c>
      <c r="P105" s="302"/>
      <c r="Q105" s="302"/>
      <c r="R105" s="697" t="s">
        <v>897</v>
      </c>
      <c r="S105" s="302"/>
      <c r="T105" s="677"/>
      <c r="U105" s="697" t="s">
        <v>897</v>
      </c>
      <c r="V105" s="302"/>
      <c r="W105" s="304"/>
      <c r="X105" s="697" t="s">
        <v>897</v>
      </c>
      <c r="Y105" s="302">
        <v>0</v>
      </c>
      <c r="Z105" s="294"/>
      <c r="AA105" s="697" t="s">
        <v>897</v>
      </c>
      <c r="AB105" s="302">
        <v>0</v>
      </c>
      <c r="AC105" s="302">
        <v>0</v>
      </c>
      <c r="AD105" s="736" t="s">
        <v>897</v>
      </c>
      <c r="AE105" s="302">
        <v>0</v>
      </c>
      <c r="AF105" s="302">
        <v>0</v>
      </c>
      <c r="AG105" s="736" t="s">
        <v>897</v>
      </c>
      <c r="AH105" s="302">
        <v>0</v>
      </c>
      <c r="AI105" s="302"/>
      <c r="AJ105" s="736" t="s">
        <v>897</v>
      </c>
      <c r="AK105" s="302">
        <v>0</v>
      </c>
      <c r="AL105" s="302"/>
      <c r="AM105" s="736" t="s">
        <v>897</v>
      </c>
      <c r="AN105" s="302">
        <v>0</v>
      </c>
      <c r="AO105" s="302"/>
      <c r="AP105" s="736" t="s">
        <v>897</v>
      </c>
      <c r="AQ105" s="302">
        <v>0</v>
      </c>
      <c r="AR105" s="297"/>
      <c r="AS105" s="297"/>
      <c r="AT10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0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05" s="295"/>
      <c r="AW105" s="295"/>
      <c r="AX105" s="327"/>
      <c r="AY105" s="328"/>
      <c r="AZ105" s="288">
        <f>VLOOKUP(A105,Table6[],30,0)</f>
        <v>0</v>
      </c>
    </row>
    <row r="106" spans="1:52" ht="15" customHeight="1">
      <c r="A106" s="287">
        <v>102</v>
      </c>
      <c r="B106" s="276" t="str">
        <f>VLOOKUP(Table1[[#This Row],[šifra]],Table6[],2,0)</f>
        <v>Novila market d.o.o</v>
      </c>
      <c r="C106" s="276" t="str">
        <f>VLOOKUP(Table1[[#This Row],[šifra]],Table6[],4,0)</f>
        <v>MAJA</v>
      </c>
      <c r="D106" s="276" t="str">
        <f>VLOOKUP(A106,Table6[],21,0)</f>
        <v xml:space="preserve">100(+10%)+pdv /mj </v>
      </c>
      <c r="E106" s="314" t="str">
        <f>IF(poduzeća!AE103="","",poduzeća!AE103)</f>
        <v>1.6.2023</v>
      </c>
      <c r="F106" s="313">
        <f>IF(poduzeća!AF103="","",poduzeća!AF103)</f>
        <v>500</v>
      </c>
      <c r="G106" s="1015">
        <v>900</v>
      </c>
      <c r="H106" s="1015"/>
      <c r="I106" s="289" t="s">
        <v>1105</v>
      </c>
      <c r="J106" s="304">
        <v>110</v>
      </c>
      <c r="K106" s="678">
        <v>110</v>
      </c>
      <c r="L106" s="289" t="s">
        <v>1105</v>
      </c>
      <c r="M106" s="304">
        <v>110</v>
      </c>
      <c r="N106" s="675">
        <v>110</v>
      </c>
      <c r="O106" s="289" t="s">
        <v>1105</v>
      </c>
      <c r="P106" s="870">
        <v>110</v>
      </c>
      <c r="Q106" s="304">
        <v>110</v>
      </c>
      <c r="R106" s="289" t="s">
        <v>1105</v>
      </c>
      <c r="S106" s="304">
        <v>110</v>
      </c>
      <c r="T106" s="958">
        <v>220</v>
      </c>
      <c r="U106" s="289" t="s">
        <v>1105</v>
      </c>
      <c r="V106" s="870">
        <v>110</v>
      </c>
      <c r="W106" s="678">
        <v>110</v>
      </c>
      <c r="X106" s="289" t="s">
        <v>1105</v>
      </c>
      <c r="Y106" s="304">
        <f>110+500</f>
        <v>610</v>
      </c>
      <c r="Z106" s="675">
        <v>610</v>
      </c>
      <c r="AA106" s="289" t="s">
        <v>1105</v>
      </c>
      <c r="AB106" s="304">
        <v>110</v>
      </c>
      <c r="AC106" s="304">
        <v>110</v>
      </c>
      <c r="AD106" s="697" t="s">
        <v>897</v>
      </c>
      <c r="AE106" s="304">
        <v>110</v>
      </c>
      <c r="AF106" s="304">
        <v>110</v>
      </c>
      <c r="AG106" s="289" t="s">
        <v>1105</v>
      </c>
      <c r="AH106" s="304">
        <v>110</v>
      </c>
      <c r="AI106" s="304"/>
      <c r="AJ106" s="289" t="s">
        <v>1105</v>
      </c>
      <c r="AK106" s="304">
        <v>110</v>
      </c>
      <c r="AL106" s="304"/>
      <c r="AM106" s="289" t="s">
        <v>1105</v>
      </c>
      <c r="AN106" s="304">
        <v>110</v>
      </c>
      <c r="AO106" s="304"/>
      <c r="AP106" s="289" t="s">
        <v>1105</v>
      </c>
      <c r="AQ106" s="304">
        <v>110</v>
      </c>
      <c r="AR106" s="294"/>
      <c r="AS106" s="294"/>
      <c r="AT106" s="313"/>
      <c r="AU106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1490</v>
      </c>
      <c r="AV106" s="293"/>
      <c r="AW106" s="293"/>
      <c r="AX106" s="327"/>
      <c r="AY106" s="328"/>
      <c r="AZ106" s="288">
        <f>VLOOKUP(A106,Table6[],30,0)</f>
        <v>0</v>
      </c>
    </row>
    <row r="107" spans="1:52" ht="15" customHeight="1">
      <c r="A107" s="287">
        <v>103</v>
      </c>
      <c r="B107" s="276" t="str">
        <f>VLOOKUP(Table1[[#This Row],[šifra]],Table6[],2,0)</f>
        <v>Nyugat epitö KFT</v>
      </c>
      <c r="C107" s="276" t="str">
        <f>VLOOKUP(Table1[[#This Row],[šifra]],Table6[],4,0)</f>
        <v>MARKO</v>
      </c>
      <c r="D107" s="276" t="str">
        <f>VLOOKUP(A107,Table6[],21,0)</f>
        <v>100(+10%)+ 10 minimax+PDV mj</v>
      </c>
      <c r="E107" s="314" t="str">
        <f>IF(poduzeća!AE104="","",poduzeća!AE104)</f>
        <v/>
      </c>
      <c r="F107" s="313" t="str">
        <f>IF(poduzeća!AF104="","",poduzeća!AF104)</f>
        <v/>
      </c>
      <c r="G107" s="293">
        <v>712.5</v>
      </c>
      <c r="H107" s="293">
        <v>192.5</v>
      </c>
      <c r="I107" s="736" t="s">
        <v>897</v>
      </c>
      <c r="J107" s="304">
        <v>120</v>
      </c>
      <c r="K107" s="678">
        <v>120</v>
      </c>
      <c r="L107" s="736" t="s">
        <v>897</v>
      </c>
      <c r="M107" s="304">
        <v>120</v>
      </c>
      <c r="N107" s="675">
        <v>335</v>
      </c>
      <c r="O107" s="736" t="s">
        <v>897</v>
      </c>
      <c r="P107" s="304">
        <v>120</v>
      </c>
      <c r="Q107" s="304">
        <v>325</v>
      </c>
      <c r="R107" s="736" t="s">
        <v>897</v>
      </c>
      <c r="S107" s="304">
        <v>120</v>
      </c>
      <c r="T107" s="958">
        <v>325</v>
      </c>
      <c r="U107" s="736" t="s">
        <v>897</v>
      </c>
      <c r="V107" s="870">
        <v>325</v>
      </c>
      <c r="W107" s="678">
        <v>385</v>
      </c>
      <c r="X107" s="736" t="s">
        <v>897</v>
      </c>
      <c r="Y107" s="304">
        <v>120</v>
      </c>
      <c r="Z107" s="294">
        <v>385</v>
      </c>
      <c r="AA107" s="736" t="s">
        <v>897</v>
      </c>
      <c r="AB107" s="304">
        <v>120</v>
      </c>
      <c r="AC107" s="304">
        <v>285</v>
      </c>
      <c r="AD107" s="736" t="s">
        <v>897</v>
      </c>
      <c r="AE107" s="304">
        <v>120</v>
      </c>
      <c r="AF107" s="304"/>
      <c r="AG107" s="736" t="s">
        <v>897</v>
      </c>
      <c r="AH107" s="304">
        <v>120</v>
      </c>
      <c r="AI107" s="304"/>
      <c r="AJ107" s="736" t="s">
        <v>897</v>
      </c>
      <c r="AK107" s="304">
        <v>120</v>
      </c>
      <c r="AL107" s="304"/>
      <c r="AM107" s="736" t="s">
        <v>897</v>
      </c>
      <c r="AN107" s="304">
        <v>120</v>
      </c>
      <c r="AO107" s="304"/>
      <c r="AP107" s="736" t="s">
        <v>897</v>
      </c>
      <c r="AQ107" s="304">
        <v>120</v>
      </c>
      <c r="AR107" s="294"/>
      <c r="AS107" s="294"/>
      <c r="AT107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1645</v>
      </c>
      <c r="AU107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2160</v>
      </c>
      <c r="AV107" s="293"/>
      <c r="AW107" s="293"/>
      <c r="AX107" s="327"/>
      <c r="AY107" s="328"/>
      <c r="AZ107" s="288">
        <f>VLOOKUP(A107,Table6[],30,0)</f>
        <v>0</v>
      </c>
    </row>
    <row r="108" spans="1:52" ht="15" customHeight="1">
      <c r="A108" s="931">
        <v>104</v>
      </c>
      <c r="B108" s="277" t="str">
        <f>VLOOKUP(Table1[[#This Row],[šifra]],Table6[],2,0)</f>
        <v>NZG 2025 j.do.o.</v>
      </c>
      <c r="C108" s="277" t="str">
        <f>VLOOKUP(Table1[[#This Row],[šifra]],Table6[],4,0)</f>
        <v>NITKO</v>
      </c>
      <c r="D108" s="276" t="str">
        <f>VLOOKUP(A108,Table6[],21,0)</f>
        <v>110 +10 MINIMAX+ PDV, vodimo do 30.4.2026</v>
      </c>
      <c r="E108" s="314">
        <f>IF(poduzeća!AE105="","",poduzeća!AE105)</f>
        <v>45791</v>
      </c>
      <c r="F108" s="313">
        <f>IF(poduzeća!AF105="","",poduzeća!AF105)</f>
        <v>500</v>
      </c>
      <c r="G108" s="295"/>
      <c r="H108" s="295"/>
      <c r="I108" s="736" t="s">
        <v>897</v>
      </c>
      <c r="J108" s="302">
        <v>120</v>
      </c>
      <c r="K108" s="677">
        <v>120</v>
      </c>
      <c r="L108" s="736" t="s">
        <v>897</v>
      </c>
      <c r="M108" s="302">
        <v>120</v>
      </c>
      <c r="N108" s="676">
        <v>120</v>
      </c>
      <c r="O108" s="736" t="s">
        <v>897</v>
      </c>
      <c r="P108" s="867">
        <v>120</v>
      </c>
      <c r="Q108" s="302">
        <v>325</v>
      </c>
      <c r="R108" s="736" t="s">
        <v>897</v>
      </c>
      <c r="S108" s="677"/>
      <c r="T108" s="974">
        <v>-1523.33</v>
      </c>
      <c r="U108" s="736"/>
      <c r="V108" s="734"/>
      <c r="W108" s="304"/>
      <c r="X108" s="736"/>
      <c r="Y108" s="302"/>
      <c r="Z108" s="294"/>
      <c r="AA108" s="736"/>
      <c r="AB108" s="302"/>
      <c r="AC108" s="302"/>
      <c r="AD108" s="736"/>
      <c r="AE108" s="302"/>
      <c r="AF108" s="302"/>
      <c r="AG108" s="736"/>
      <c r="AH108" s="302"/>
      <c r="AI108" s="302"/>
      <c r="AJ108" s="736"/>
      <c r="AK108" s="302"/>
      <c r="AL108" s="302"/>
      <c r="AM108" s="736"/>
      <c r="AN108" s="302"/>
      <c r="AO108" s="302"/>
      <c r="AP108" s="736"/>
      <c r="AQ108" s="302"/>
      <c r="AR108" s="297"/>
      <c r="AS108" s="297"/>
      <c r="AT10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360</v>
      </c>
      <c r="AU10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-958.32999999999993</v>
      </c>
      <c r="AV108" s="295"/>
      <c r="AW108" s="295"/>
      <c r="AX108" s="327"/>
      <c r="AY108" s="328"/>
      <c r="AZ108" s="288">
        <f>VLOOKUP(A108,Table6[],30,0)</f>
        <v>0</v>
      </c>
    </row>
    <row r="109" spans="1:52" ht="15.75" customHeight="1">
      <c r="A109" s="292">
        <v>105</v>
      </c>
      <c r="B109" s="277" t="str">
        <f>VLOOKUP(Table1[[#This Row],[šifra]],Table6[],2,0)</f>
        <v>Obrt Bambo, vl. Toni Puljek</v>
      </c>
      <c r="C109" s="277" t="str">
        <f>VLOOKUP(Table1[[#This Row],[šifra]],Table6[],4,0)</f>
        <v>NITKO</v>
      </c>
      <c r="D109" s="276" t="str">
        <f>VLOOKUP(A109,Table6[],21,0)</f>
        <v>???200 (+10%)+PDV/mj</v>
      </c>
      <c r="E109" s="314" t="str">
        <f>IF(poduzeća!AE106="","",poduzeća!AE106)</f>
        <v/>
      </c>
      <c r="F109" s="313" t="str">
        <f>IF(poduzeća!AF106="","",poduzeća!AF106)</f>
        <v/>
      </c>
      <c r="G109" s="295"/>
      <c r="H109" s="295"/>
      <c r="I109" s="305"/>
      <c r="J109" s="309"/>
      <c r="K109" s="302"/>
      <c r="L109" s="305"/>
      <c r="M109" s="309"/>
      <c r="N109" s="297"/>
      <c r="O109" s="305"/>
      <c r="P109" s="309"/>
      <c r="Q109" s="302"/>
      <c r="R109" s="305"/>
      <c r="S109" s="309"/>
      <c r="T109" s="677"/>
      <c r="U109" s="305"/>
      <c r="V109" s="309"/>
      <c r="W109" s="304"/>
      <c r="X109" s="305"/>
      <c r="Y109" s="309"/>
      <c r="Z109" s="294"/>
      <c r="AA109" s="305"/>
      <c r="AB109" s="309"/>
      <c r="AC109" s="302"/>
      <c r="AD109" s="305"/>
      <c r="AE109" s="309"/>
      <c r="AF109" s="302"/>
      <c r="AG109" s="305"/>
      <c r="AH109" s="309"/>
      <c r="AI109" s="302"/>
      <c r="AJ109" s="305"/>
      <c r="AK109" s="309"/>
      <c r="AL109" s="302"/>
      <c r="AM109" s="305"/>
      <c r="AN109" s="309"/>
      <c r="AO109" s="302"/>
      <c r="AP109" s="305"/>
      <c r="AQ109" s="309"/>
      <c r="AR109" s="297"/>
      <c r="AS109" s="297"/>
      <c r="AT10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0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09" s="295"/>
      <c r="AW109" s="295"/>
      <c r="AX109" s="327"/>
      <c r="AY109" s="328"/>
      <c r="AZ109" s="288">
        <f>VLOOKUP(A109,Table6[],30,0)</f>
        <v>45565</v>
      </c>
    </row>
    <row r="110" spans="1:52" ht="15" customHeight="1">
      <c r="A110" s="287">
        <v>106</v>
      </c>
      <c r="B110" s="276" t="str">
        <f>VLOOKUP(Table1[[#This Row],[šifra]],Table6[],2,0)</f>
        <v>OMS24 ZRT</v>
      </c>
      <c r="C110" s="276" t="str">
        <f>VLOOKUP(Table1[[#This Row],[šifra]],Table6[],4,0)</f>
        <v>GABRIJELA</v>
      </c>
      <c r="D110" s="276" t="str">
        <f>VLOOKUP(A110,Table6[],21,0)</f>
        <v>150(+10%)+pdv /mj</v>
      </c>
      <c r="E110" s="314" t="str">
        <f>IF(poduzeća!AE107="","",poduzeća!AE107)</f>
        <v/>
      </c>
      <c r="F110" s="313" t="str">
        <f>IF(poduzeća!AF107="","",poduzeća!AF107)</f>
        <v/>
      </c>
      <c r="G110" s="1045"/>
      <c r="H110" s="293"/>
      <c r="I110" s="289" t="s">
        <v>892</v>
      </c>
      <c r="J110" s="304">
        <v>165</v>
      </c>
      <c r="K110" s="304">
        <v>165</v>
      </c>
      <c r="L110" s="289" t="s">
        <v>892</v>
      </c>
      <c r="M110" s="304">
        <v>165</v>
      </c>
      <c r="N110" s="294">
        <v>165</v>
      </c>
      <c r="O110" s="289" t="s">
        <v>892</v>
      </c>
      <c r="P110" s="304">
        <v>165</v>
      </c>
      <c r="Q110" s="678">
        <v>165</v>
      </c>
      <c r="R110" s="289" t="s">
        <v>892</v>
      </c>
      <c r="S110" s="304">
        <v>165</v>
      </c>
      <c r="T110" s="958">
        <v>165</v>
      </c>
      <c r="U110" s="289" t="s">
        <v>892</v>
      </c>
      <c r="V110" s="870">
        <v>165</v>
      </c>
      <c r="W110" s="678">
        <v>165</v>
      </c>
      <c r="X110" s="289" t="s">
        <v>892</v>
      </c>
      <c r="Y110" s="304">
        <v>165</v>
      </c>
      <c r="Z110" s="675">
        <v>165</v>
      </c>
      <c r="AA110" s="289" t="s">
        <v>892</v>
      </c>
      <c r="AB110" s="304">
        <v>165</v>
      </c>
      <c r="AC110" s="304">
        <v>165</v>
      </c>
      <c r="AD110" s="289" t="s">
        <v>892</v>
      </c>
      <c r="AE110" s="304">
        <v>165</v>
      </c>
      <c r="AF110" s="304"/>
      <c r="AG110" s="289" t="s">
        <v>892</v>
      </c>
      <c r="AH110" s="304">
        <v>165</v>
      </c>
      <c r="AI110" s="304"/>
      <c r="AJ110" s="289" t="s">
        <v>892</v>
      </c>
      <c r="AK110" s="304">
        <v>165</v>
      </c>
      <c r="AL110" s="304"/>
      <c r="AM110" s="289" t="s">
        <v>892</v>
      </c>
      <c r="AN110" s="304">
        <v>165</v>
      </c>
      <c r="AO110" s="304"/>
      <c r="AP110" s="289" t="s">
        <v>892</v>
      </c>
      <c r="AQ110" s="304">
        <v>165</v>
      </c>
      <c r="AR110" s="294"/>
      <c r="AS110" s="294"/>
      <c r="AT110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1980</v>
      </c>
      <c r="AU110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1155</v>
      </c>
      <c r="AV110" s="293"/>
      <c r="AW110" s="293"/>
      <c r="AX110" s="327"/>
      <c r="AY110" s="328"/>
      <c r="AZ110" s="288">
        <f>VLOOKUP(A110,Table6[],30,0)</f>
        <v>0</v>
      </c>
    </row>
    <row r="111" spans="1:52" ht="15" customHeight="1">
      <c r="A111" s="292">
        <v>107</v>
      </c>
      <c r="B111" s="277" t="str">
        <f>VLOOKUP(Table1[[#This Row],[šifra]],Table6[],2,0)</f>
        <v>PAHACO j.d.o.o.</v>
      </c>
      <c r="C111" s="277" t="str">
        <f>VLOOKUP(Table1[[#This Row],[šifra]],Table6[],4,0)</f>
        <v>LAURA</v>
      </c>
      <c r="D111" s="276" t="str">
        <f>VLOOKUP(A111,Table6[],21,0)</f>
        <v>100(+10%)+PDV /mj</v>
      </c>
      <c r="E111" s="314">
        <f>IF(poduzeća!AE108="","",poduzeća!AE108)</f>
        <v>45536</v>
      </c>
      <c r="F111" s="313">
        <f>IF(poduzeća!AF108="","",poduzeća!AF108)</f>
        <v>500</v>
      </c>
      <c r="G111" s="295"/>
      <c r="H111" s="295"/>
      <c r="I111" s="727" t="s">
        <v>897</v>
      </c>
      <c r="J111" s="302">
        <f>100*1.1</f>
        <v>110.00000000000001</v>
      </c>
      <c r="K111" s="677">
        <v>110</v>
      </c>
      <c r="L111" s="727" t="s">
        <v>897</v>
      </c>
      <c r="M111" s="302">
        <f>100*1.1</f>
        <v>110.00000000000001</v>
      </c>
      <c r="N111" s="676">
        <v>110</v>
      </c>
      <c r="O111" s="727" t="s">
        <v>897</v>
      </c>
      <c r="P111" s="867">
        <f>100*1.1</f>
        <v>110.00000000000001</v>
      </c>
      <c r="Q111" s="302">
        <v>110</v>
      </c>
      <c r="R111" s="727" t="s">
        <v>897</v>
      </c>
      <c r="S111" s="302">
        <f>100*1.1</f>
        <v>110.00000000000001</v>
      </c>
      <c r="T111" s="957">
        <v>220</v>
      </c>
      <c r="U111" s="727" t="s">
        <v>897</v>
      </c>
      <c r="V111" s="867">
        <f>100*1.1</f>
        <v>110.00000000000001</v>
      </c>
      <c r="W111" s="678">
        <v>110</v>
      </c>
      <c r="X111" s="727" t="s">
        <v>897</v>
      </c>
      <c r="Y111" s="302">
        <f>100*1.1</f>
        <v>110.00000000000001</v>
      </c>
      <c r="Z111" s="675">
        <v>110</v>
      </c>
      <c r="AA111" s="727" t="s">
        <v>897</v>
      </c>
      <c r="AB111" s="302">
        <f>100*1.1</f>
        <v>110.00000000000001</v>
      </c>
      <c r="AC111" s="302">
        <v>110</v>
      </c>
      <c r="AD111" s="736" t="s">
        <v>897</v>
      </c>
      <c r="AE111" s="302">
        <f>100*1.1</f>
        <v>110.00000000000001</v>
      </c>
      <c r="AF111" s="302">
        <v>110</v>
      </c>
      <c r="AG111" s="736" t="s">
        <v>897</v>
      </c>
      <c r="AH111" s="302">
        <f>100*1.1+500</f>
        <v>610</v>
      </c>
      <c r="AI111" s="302"/>
      <c r="AJ111" s="736" t="s">
        <v>897</v>
      </c>
      <c r="AK111" s="302">
        <f>100*1.1</f>
        <v>110.00000000000001</v>
      </c>
      <c r="AL111" s="302"/>
      <c r="AM111" s="736" t="s">
        <v>897</v>
      </c>
      <c r="AN111" s="302">
        <f>100*1.1</f>
        <v>110.00000000000001</v>
      </c>
      <c r="AO111" s="302"/>
      <c r="AP111" s="736" t="s">
        <v>897</v>
      </c>
      <c r="AQ111" s="302">
        <f>100*1.1</f>
        <v>110.00000000000001</v>
      </c>
      <c r="AR111" s="297"/>
      <c r="AS111" s="297"/>
      <c r="AT11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1820</v>
      </c>
      <c r="AU11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990</v>
      </c>
      <c r="AV111" s="295"/>
      <c r="AW111" s="295"/>
      <c r="AX111" s="327"/>
      <c r="AY111" s="328"/>
      <c r="AZ111" s="288">
        <f>VLOOKUP(A111,Table6[],30,0)</f>
        <v>0</v>
      </c>
    </row>
    <row r="112" spans="1:52" ht="15" customHeight="1">
      <c r="A112" s="287">
        <v>108</v>
      </c>
      <c r="B112" s="276" t="str">
        <f>VLOOKUP(Table1[[#This Row],[šifra]],Table6[],2,0)</f>
        <v>PhasedConnect d.o.o.</v>
      </c>
      <c r="C112" s="276" t="str">
        <f>VLOOKUP(Table1[[#This Row],[šifra]],Table6[],4,0)</f>
        <v>NIKOLINA</v>
      </c>
      <c r="D112" s="276" t="str">
        <f>VLOOKUP(A112,Table6[],21,0)</f>
        <v>150 (+10%) + pdv /mj</v>
      </c>
      <c r="E112" s="314" t="str">
        <f>IF(poduzeća!AE109="","",poduzeća!AE109)</f>
        <v/>
      </c>
      <c r="F112" s="313" t="str">
        <f>IF(poduzeća!AF109="","",poduzeća!AF109)</f>
        <v/>
      </c>
      <c r="G112" s="293"/>
      <c r="H112" s="293"/>
      <c r="I112" s="289" t="s">
        <v>901</v>
      </c>
      <c r="J112" s="304">
        <f>150*1.1</f>
        <v>165</v>
      </c>
      <c r="K112" s="678">
        <v>165</v>
      </c>
      <c r="L112" s="289" t="s">
        <v>901</v>
      </c>
      <c r="M112" s="304">
        <f>150*1.1</f>
        <v>165</v>
      </c>
      <c r="N112" s="675">
        <v>165</v>
      </c>
      <c r="O112" s="289" t="s">
        <v>901</v>
      </c>
      <c r="P112" s="304">
        <v>185</v>
      </c>
      <c r="Q112" s="304">
        <v>185</v>
      </c>
      <c r="R112" s="289" t="s">
        <v>901</v>
      </c>
      <c r="S112" s="304">
        <f>150*1.1</f>
        <v>165</v>
      </c>
      <c r="T112" s="958">
        <v>330</v>
      </c>
      <c r="U112" s="289" t="s">
        <v>901</v>
      </c>
      <c r="V112" s="304">
        <f>150*1.1</f>
        <v>165</v>
      </c>
      <c r="W112" s="678">
        <v>165</v>
      </c>
      <c r="X112" s="289" t="s">
        <v>901</v>
      </c>
      <c r="Y112" s="304">
        <f>150*1.1</f>
        <v>165</v>
      </c>
      <c r="Z112" s="675">
        <v>165</v>
      </c>
      <c r="AA112" s="289" t="s">
        <v>901</v>
      </c>
      <c r="AB112" s="304">
        <f>150*1.1</f>
        <v>165</v>
      </c>
      <c r="AC112" s="304">
        <v>165</v>
      </c>
      <c r="AD112" s="289" t="s">
        <v>901</v>
      </c>
      <c r="AE112" s="304">
        <f>150*1.1</f>
        <v>165</v>
      </c>
      <c r="AF112" s="304"/>
      <c r="AG112" s="289" t="s">
        <v>901</v>
      </c>
      <c r="AH112" s="304">
        <f>150*1.1</f>
        <v>165</v>
      </c>
      <c r="AI112" s="304"/>
      <c r="AJ112" s="289" t="s">
        <v>901</v>
      </c>
      <c r="AK112" s="304">
        <f>150*1.1</f>
        <v>165</v>
      </c>
      <c r="AL112" s="304"/>
      <c r="AM112" s="289" t="s">
        <v>901</v>
      </c>
      <c r="AN112" s="304">
        <f>150*1.1</f>
        <v>165</v>
      </c>
      <c r="AO112" s="304"/>
      <c r="AP112" s="289" t="s">
        <v>901</v>
      </c>
      <c r="AQ112" s="304">
        <f>150*1.1</f>
        <v>165</v>
      </c>
      <c r="AR112" s="294"/>
      <c r="AS112" s="294"/>
      <c r="AT112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2000</v>
      </c>
      <c r="AU112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1340</v>
      </c>
      <c r="AV112" s="317" t="s">
        <v>198</v>
      </c>
      <c r="AW112" s="293"/>
      <c r="AX112" s="327"/>
      <c r="AY112" s="328"/>
      <c r="AZ112" s="288">
        <f>VLOOKUP(A112,Table6[],30,0)</f>
        <v>0</v>
      </c>
    </row>
    <row r="113" spans="1:52" ht="15" customHeight="1">
      <c r="A113" s="287">
        <v>109</v>
      </c>
      <c r="B113" s="276" t="str">
        <f>VLOOKUP(Table1[[#This Row],[šifra]],Table6[],2,0)</f>
        <v>PINETA d.o.o.</v>
      </c>
      <c r="C113" s="276" t="str">
        <f>VLOOKUP(Table1[[#This Row],[šifra]],Table6[],4,0)</f>
        <v>F. MARKO</v>
      </c>
      <c r="D113" s="276" t="str">
        <f>VLOOKUP(A113,Table6[],21,0)</f>
        <v>FRANŠIZA</v>
      </c>
      <c r="E113" s="314" t="str">
        <f>IF(poduzeća!AE110="","",poduzeća!AE110)</f>
        <v/>
      </c>
      <c r="F113" s="313" t="str">
        <f>IF(poduzeća!AF110="","",poduzeća!AF110)</f>
        <v/>
      </c>
      <c r="G113" s="293"/>
      <c r="H113" s="293"/>
      <c r="I113" s="736" t="s">
        <v>897</v>
      </c>
      <c r="J113" s="304"/>
      <c r="K113" s="304"/>
      <c r="L113" s="736" t="s">
        <v>897</v>
      </c>
      <c r="M113" s="304"/>
      <c r="N113" s="837"/>
      <c r="O113" s="736" t="s">
        <v>897</v>
      </c>
      <c r="P113" s="304"/>
      <c r="Q113" s="304"/>
      <c r="R113" s="736" t="s">
        <v>897</v>
      </c>
      <c r="S113" s="304"/>
      <c r="T113" s="678"/>
      <c r="U113" s="736" t="s">
        <v>897</v>
      </c>
      <c r="V113" s="304"/>
      <c r="W113" s="304"/>
      <c r="X113" s="736" t="s">
        <v>897</v>
      </c>
      <c r="Y113" s="304"/>
      <c r="Z113" s="294"/>
      <c r="AA113" s="736" t="s">
        <v>897</v>
      </c>
      <c r="AB113" s="304"/>
      <c r="AC113" s="304"/>
      <c r="AD113" s="736" t="s">
        <v>897</v>
      </c>
      <c r="AE113" s="304"/>
      <c r="AF113" s="304"/>
      <c r="AG113" s="736" t="s">
        <v>897</v>
      </c>
      <c r="AH113" s="304"/>
      <c r="AI113" s="304"/>
      <c r="AJ113" s="736" t="s">
        <v>897</v>
      </c>
      <c r="AK113" s="304"/>
      <c r="AL113" s="304"/>
      <c r="AM113" s="736" t="s">
        <v>897</v>
      </c>
      <c r="AN113" s="304"/>
      <c r="AO113" s="304"/>
      <c r="AP113" s="736" t="s">
        <v>897</v>
      </c>
      <c r="AQ113" s="304"/>
      <c r="AR113" s="294"/>
      <c r="AS113" s="294"/>
      <c r="AT113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13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13" s="293"/>
      <c r="AW113" s="293"/>
      <c r="AX113" s="327"/>
      <c r="AY113" s="328"/>
      <c r="AZ113" s="288">
        <f>VLOOKUP(A113,Table6[],30,0)</f>
        <v>0</v>
      </c>
    </row>
    <row r="114" spans="1:52" ht="15" customHeight="1">
      <c r="A114" s="292">
        <v>110</v>
      </c>
      <c r="B114" s="277" t="str">
        <f>VLOOKUP(Table1[[#This Row],[šifra]],Table6[],2,0)</f>
        <v>PopBor j.d.o.o.</v>
      </c>
      <c r="C114" s="277" t="str">
        <f>VLOOKUP(Table1[[#This Row],[šifra]],Table6[],4,0)</f>
        <v>NITKO</v>
      </c>
      <c r="D114" s="276" t="str">
        <f>VLOOKUP(A114,Table6[],21,0)</f>
        <v>100(+10%)+PDV /mj</v>
      </c>
      <c r="E114" s="314" t="str">
        <f>IF(poduzeća!AE111="","",poduzeća!AE111)</f>
        <v/>
      </c>
      <c r="F114" s="313" t="str">
        <f>IF(poduzeća!AF111="","",poduzeća!AF111)</f>
        <v/>
      </c>
      <c r="G114" s="295"/>
      <c r="H114" s="295">
        <v>73.33</v>
      </c>
      <c r="I114" s="289" t="s">
        <v>897</v>
      </c>
      <c r="J114" s="302">
        <f>100*1.1</f>
        <v>110.00000000000001</v>
      </c>
      <c r="K114" s="677">
        <v>110</v>
      </c>
      <c r="L114" s="289" t="s">
        <v>897</v>
      </c>
      <c r="M114" s="302">
        <f>100*1.1</f>
        <v>110.00000000000001</v>
      </c>
      <c r="N114" s="676">
        <v>110</v>
      </c>
      <c r="O114" s="289" t="s">
        <v>897</v>
      </c>
      <c r="P114" s="867">
        <f>100*1.1</f>
        <v>110.00000000000001</v>
      </c>
      <c r="Q114" s="302">
        <v>110</v>
      </c>
      <c r="R114" s="289" t="s">
        <v>897</v>
      </c>
      <c r="S114" s="302">
        <f>100*1.1</f>
        <v>110.00000000000001</v>
      </c>
      <c r="T114" s="957">
        <v>220</v>
      </c>
      <c r="U114" s="289" t="s">
        <v>897</v>
      </c>
      <c r="V114" s="867">
        <f>100*1.1</f>
        <v>110.00000000000001</v>
      </c>
      <c r="W114" s="678">
        <v>110</v>
      </c>
      <c r="X114" s="289"/>
      <c r="Y114" s="302"/>
      <c r="Z114" s="294"/>
      <c r="AA114" s="289"/>
      <c r="AB114" s="302"/>
      <c r="AC114" s="302"/>
      <c r="AD114" s="289"/>
      <c r="AE114" s="302"/>
      <c r="AF114" s="302"/>
      <c r="AG114" s="289"/>
      <c r="AH114" s="302"/>
      <c r="AI114" s="302"/>
      <c r="AJ114" s="289"/>
      <c r="AK114" s="302"/>
      <c r="AL114" s="302"/>
      <c r="AM114" s="289"/>
      <c r="AN114" s="302"/>
      <c r="AO114" s="302"/>
      <c r="AP114" s="289"/>
      <c r="AQ114" s="302"/>
      <c r="AR114" s="297"/>
      <c r="AS114" s="297"/>
      <c r="AT11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550.00000000000011</v>
      </c>
      <c r="AU11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660</v>
      </c>
      <c r="AV114" s="295"/>
      <c r="AW114" s="295"/>
      <c r="AX114" s="327"/>
      <c r="AY114" s="328"/>
      <c r="AZ114" s="288">
        <f>VLOOKUP(A114,Table6[],30,0)</f>
        <v>0</v>
      </c>
    </row>
    <row r="115" spans="1:52" ht="15" customHeight="1">
      <c r="A115" s="292">
        <v>111</v>
      </c>
      <c r="B115" s="277" t="str">
        <f>VLOOKUP(Table1[[#This Row],[šifra]],Table6[],2,0)</f>
        <v>Povucizakulturu - udruga</v>
      </c>
      <c r="C115" s="277" t="str">
        <f>VLOOKUP(Table1[[#This Row],[šifra]],Table6[],4,0)</f>
        <v>GABRIJELA</v>
      </c>
      <c r="D115" s="276" t="str">
        <f>VLOOKUP(A115,Table6[],21,0)</f>
        <v>90(+10%)+pdv /mj    .100€</v>
      </c>
      <c r="E115" s="314" t="str">
        <f>IF(poduzeća!AE112="","",poduzeća!AE112)</f>
        <v/>
      </c>
      <c r="F115" s="313" t="str">
        <f>IF(poduzeća!AF112="","",poduzeća!AF112)</f>
        <v/>
      </c>
      <c r="G115" s="1010"/>
      <c r="H115" s="1010"/>
      <c r="I115" s="299" t="s">
        <v>892</v>
      </c>
      <c r="J115" s="302">
        <f>90*1.1</f>
        <v>99.000000000000014</v>
      </c>
      <c r="K115" s="302">
        <v>99</v>
      </c>
      <c r="L115" s="299" t="s">
        <v>892</v>
      </c>
      <c r="M115" s="302">
        <f>90*1.1</f>
        <v>99.000000000000014</v>
      </c>
      <c r="N115" s="297">
        <v>99</v>
      </c>
      <c r="O115" s="299" t="s">
        <v>892</v>
      </c>
      <c r="P115" s="302">
        <f>90*1.1</f>
        <v>99.000000000000014</v>
      </c>
      <c r="Q115" s="677">
        <v>99</v>
      </c>
      <c r="R115" s="299" t="s">
        <v>892</v>
      </c>
      <c r="S115" s="302">
        <f>90*1.1</f>
        <v>99.000000000000014</v>
      </c>
      <c r="T115" s="957">
        <v>99</v>
      </c>
      <c r="U115" s="299" t="s">
        <v>892</v>
      </c>
      <c r="V115" s="867">
        <f>90*1.1</f>
        <v>99.000000000000014</v>
      </c>
      <c r="W115" s="678">
        <v>99</v>
      </c>
      <c r="X115" s="299" t="s">
        <v>892</v>
      </c>
      <c r="Y115" s="302">
        <f>90*1.1</f>
        <v>99.000000000000014</v>
      </c>
      <c r="Z115" s="675">
        <f>99+17.46</f>
        <v>116.46000000000001</v>
      </c>
      <c r="AA115" s="299" t="s">
        <v>892</v>
      </c>
      <c r="AB115" s="302">
        <f>90*1.1</f>
        <v>99.000000000000014</v>
      </c>
      <c r="AC115" s="302">
        <v>99</v>
      </c>
      <c r="AD115" s="299" t="s">
        <v>892</v>
      </c>
      <c r="AE115" s="302">
        <f>90*1.1</f>
        <v>99.000000000000014</v>
      </c>
      <c r="AF115" s="302"/>
      <c r="AG115" s="299" t="s">
        <v>892</v>
      </c>
      <c r="AH115" s="302">
        <f>90*1.1</f>
        <v>99.000000000000014</v>
      </c>
      <c r="AI115" s="302"/>
      <c r="AJ115" s="299" t="s">
        <v>892</v>
      </c>
      <c r="AK115" s="302">
        <f>90*1.1</f>
        <v>99.000000000000014</v>
      </c>
      <c r="AL115" s="302"/>
      <c r="AM115" s="299" t="s">
        <v>892</v>
      </c>
      <c r="AN115" s="302">
        <f>90*1.1</f>
        <v>99.000000000000014</v>
      </c>
      <c r="AO115" s="302"/>
      <c r="AP115" s="299" t="s">
        <v>892</v>
      </c>
      <c r="AQ115" s="302">
        <f>90*1.1</f>
        <v>99.000000000000014</v>
      </c>
      <c r="AR115" s="297"/>
      <c r="AS115" s="297"/>
      <c r="AT11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1188.0000000000002</v>
      </c>
      <c r="AU11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710.46</v>
      </c>
      <c r="AV115" s="295"/>
      <c r="AW115" s="295"/>
      <c r="AX115" s="327"/>
      <c r="AY115" s="328"/>
      <c r="AZ115" s="288">
        <f>VLOOKUP(A115,Table6[],30,0)</f>
        <v>0</v>
      </c>
    </row>
    <row r="116" spans="1:52" ht="15" customHeight="1">
      <c r="A116" s="292">
        <v>112</v>
      </c>
      <c r="B116" s="277" t="str">
        <f>VLOOKUP(Table1[[#This Row],[šifra]],Table6[],2,0)</f>
        <v>PRIKOLICE CO. j.d.o.o.</v>
      </c>
      <c r="C116" s="277" t="str">
        <f>VLOOKUP(Table1[[#This Row],[šifra]],Table6[],4,0)</f>
        <v>GABRIJELA</v>
      </c>
      <c r="D116" s="276" t="str">
        <f>VLOOKUP(A116,Table6[],21,0)</f>
        <v>150(+10%)+pdv /mj</v>
      </c>
      <c r="E116" s="314" t="str">
        <f>IF(poduzeća!AE113="","",poduzeća!AE113)</f>
        <v/>
      </c>
      <c r="F116" s="313" t="str">
        <f>IF(poduzeća!AF113="","",poduzeća!AF113)</f>
        <v/>
      </c>
      <c r="G116" s="1041"/>
      <c r="H116" s="295"/>
      <c r="I116" s="322" t="s">
        <v>892</v>
      </c>
      <c r="J116" s="302">
        <f>150*1.1</f>
        <v>165</v>
      </c>
      <c r="K116" s="302">
        <v>165</v>
      </c>
      <c r="L116" s="322" t="s">
        <v>892</v>
      </c>
      <c r="M116" s="302">
        <f>150*1.1</f>
        <v>165</v>
      </c>
      <c r="N116" s="297">
        <v>165</v>
      </c>
      <c r="O116" s="322" t="s">
        <v>892</v>
      </c>
      <c r="P116" s="302">
        <f>150*1.1</f>
        <v>165</v>
      </c>
      <c r="Q116" s="677">
        <v>165</v>
      </c>
      <c r="R116" s="322" t="s">
        <v>892</v>
      </c>
      <c r="S116" s="302">
        <f>150*1.1</f>
        <v>165</v>
      </c>
      <c r="T116" s="956">
        <v>165</v>
      </c>
      <c r="U116" s="322" t="s">
        <v>892</v>
      </c>
      <c r="V116" s="867">
        <f>150*1.1</f>
        <v>165</v>
      </c>
      <c r="W116" s="677">
        <v>165</v>
      </c>
      <c r="X116" s="322" t="s">
        <v>892</v>
      </c>
      <c r="Y116" s="302">
        <f>150*1.1</f>
        <v>165</v>
      </c>
      <c r="Z116" s="675">
        <v>165</v>
      </c>
      <c r="AA116" s="322" t="s">
        <v>892</v>
      </c>
      <c r="AB116" s="302">
        <f>150*1.1</f>
        <v>165</v>
      </c>
      <c r="AC116" s="302">
        <v>165</v>
      </c>
      <c r="AD116" s="322" t="s">
        <v>892</v>
      </c>
      <c r="AE116" s="302">
        <f>150*1.1</f>
        <v>165</v>
      </c>
      <c r="AF116" s="302"/>
      <c r="AG116" s="322" t="s">
        <v>892</v>
      </c>
      <c r="AH116" s="302">
        <f>150*1.1</f>
        <v>165</v>
      </c>
      <c r="AI116" s="302"/>
      <c r="AJ116" s="322" t="s">
        <v>892</v>
      </c>
      <c r="AK116" s="302">
        <f>150*1.1</f>
        <v>165</v>
      </c>
      <c r="AL116" s="302"/>
      <c r="AM116" s="322" t="s">
        <v>892</v>
      </c>
      <c r="AN116" s="302">
        <f>150*1.1</f>
        <v>165</v>
      </c>
      <c r="AO116" s="302"/>
      <c r="AP116" s="322" t="s">
        <v>892</v>
      </c>
      <c r="AQ116" s="302">
        <f>150*1.1</f>
        <v>165</v>
      </c>
      <c r="AR116" s="297"/>
      <c r="AS116" s="297"/>
      <c r="AT11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1980</v>
      </c>
      <c r="AU11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1155</v>
      </c>
      <c r="AV116" s="295"/>
      <c r="AW116" s="295"/>
      <c r="AX116" s="327"/>
      <c r="AY116" s="328"/>
      <c r="AZ116" s="288">
        <f>VLOOKUP(A116,Table6[],30,0)</f>
        <v>0</v>
      </c>
    </row>
    <row r="117" spans="1:52" ht="15" customHeight="1">
      <c r="A117" s="292">
        <v>113</v>
      </c>
      <c r="B117" s="277" t="str">
        <f>VLOOKUP(Table1[[#This Row],[šifra]],Table6[],2,0)</f>
        <v>MEDEM/ Promotop d.o.o.</v>
      </c>
      <c r="C117" s="277" t="str">
        <f>VLOOKUP(Table1[[#This Row],[šifra]],Table6[],4,0)</f>
        <v>NIKOLINA</v>
      </c>
      <c r="D117" s="276" t="str">
        <f>VLOOKUP(A117,Table6[],21,0)</f>
        <v>račun preko Vital group doo</v>
      </c>
      <c r="E117" s="314" t="str">
        <f>IF(poduzeća!AE114="","",poduzeća!AE114)</f>
        <v/>
      </c>
      <c r="F117" s="313" t="str">
        <f>IF(poduzeća!AF114="","",poduzeća!AF114)</f>
        <v/>
      </c>
      <c r="G117" s="295"/>
      <c r="H117" s="295"/>
      <c r="I117" s="321" t="s">
        <v>901</v>
      </c>
      <c r="J117" s="302">
        <v>0</v>
      </c>
      <c r="K117" s="677">
        <v>0</v>
      </c>
      <c r="L117" s="321" t="s">
        <v>901</v>
      </c>
      <c r="M117" s="302">
        <v>0</v>
      </c>
      <c r="N117" s="676">
        <v>0</v>
      </c>
      <c r="O117" s="321" t="s">
        <v>901</v>
      </c>
      <c r="P117" s="302">
        <v>0</v>
      </c>
      <c r="Q117" s="302">
        <v>0</v>
      </c>
      <c r="R117" s="321" t="s">
        <v>901</v>
      </c>
      <c r="S117" s="302">
        <v>0</v>
      </c>
      <c r="T117" s="676"/>
      <c r="U117" s="321" t="s">
        <v>901</v>
      </c>
      <c r="V117" s="302">
        <v>0</v>
      </c>
      <c r="W117" s="304">
        <v>0</v>
      </c>
      <c r="X117" s="321" t="s">
        <v>901</v>
      </c>
      <c r="Y117" s="302">
        <v>0</v>
      </c>
      <c r="Z117" s="675"/>
      <c r="AA117" s="321" t="s">
        <v>901</v>
      </c>
      <c r="AB117" s="302">
        <v>0</v>
      </c>
      <c r="AC117" s="302">
        <v>0</v>
      </c>
      <c r="AD117" s="321" t="s">
        <v>901</v>
      </c>
      <c r="AE117" s="302">
        <v>0</v>
      </c>
      <c r="AF117" s="302"/>
      <c r="AG117" s="321" t="s">
        <v>901</v>
      </c>
      <c r="AH117" s="302">
        <v>0</v>
      </c>
      <c r="AI117" s="302"/>
      <c r="AJ117" s="321" t="s">
        <v>901</v>
      </c>
      <c r="AK117" s="302">
        <v>0</v>
      </c>
      <c r="AL117" s="302"/>
      <c r="AM117" s="321" t="s">
        <v>901</v>
      </c>
      <c r="AN117" s="302">
        <v>0</v>
      </c>
      <c r="AO117" s="302"/>
      <c r="AP117" s="321" t="s">
        <v>901</v>
      </c>
      <c r="AQ117" s="302">
        <v>0</v>
      </c>
      <c r="AR117" s="297"/>
      <c r="AS117" s="297"/>
      <c r="AT11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1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17" s="295"/>
      <c r="AW117" s="295"/>
      <c r="AX117" s="327"/>
      <c r="AY117" s="328"/>
      <c r="AZ117" s="288">
        <f>VLOOKUP(A117,Table6[],30,0)</f>
        <v>0</v>
      </c>
    </row>
    <row r="118" spans="1:52" ht="15" customHeight="1">
      <c r="A118" s="287">
        <v>114</v>
      </c>
      <c r="B118" s="276" t="str">
        <f>VLOOKUP(Table1[[#This Row],[šifra]],Table6[],2,0)</f>
        <v>PROTECTS LIFE/WAX d.o.o.</v>
      </c>
      <c r="C118" s="276" t="str">
        <f>VLOOKUP(Table1[[#This Row],[šifra]],Table6[],4,0)</f>
        <v>NIKOLINA</v>
      </c>
      <c r="D118" s="276" t="str">
        <f>VLOOKUP(A118,Table6[],21,0)</f>
        <v>račun preko Vital group doo</v>
      </c>
      <c r="E118" s="314" t="str">
        <f>IF(poduzeća!AE115="","",poduzeća!AE115)</f>
        <v/>
      </c>
      <c r="F118" s="313" t="str">
        <f>IF(poduzeća!AF115="","",poduzeća!AF115)</f>
        <v/>
      </c>
      <c r="G118" s="293"/>
      <c r="H118" s="293"/>
      <c r="I118" s="289" t="s">
        <v>901</v>
      </c>
      <c r="J118" s="304">
        <v>0</v>
      </c>
      <c r="K118" s="678">
        <v>0</v>
      </c>
      <c r="L118" s="289" t="s">
        <v>901</v>
      </c>
      <c r="M118" s="304">
        <v>0</v>
      </c>
      <c r="N118" s="675">
        <v>0</v>
      </c>
      <c r="O118" s="289" t="s">
        <v>901</v>
      </c>
      <c r="P118" s="304">
        <v>0</v>
      </c>
      <c r="Q118" s="304">
        <v>0</v>
      </c>
      <c r="R118" s="289" t="s">
        <v>901</v>
      </c>
      <c r="S118" s="304">
        <v>0</v>
      </c>
      <c r="T118" s="675"/>
      <c r="U118" s="289" t="s">
        <v>901</v>
      </c>
      <c r="V118" s="304">
        <v>0</v>
      </c>
      <c r="W118" s="304">
        <v>0</v>
      </c>
      <c r="X118" s="289" t="s">
        <v>901</v>
      </c>
      <c r="Y118" s="304">
        <v>0</v>
      </c>
      <c r="Z118" s="675"/>
      <c r="AA118" s="289" t="s">
        <v>901</v>
      </c>
      <c r="AB118" s="304">
        <v>0</v>
      </c>
      <c r="AC118" s="304">
        <v>0</v>
      </c>
      <c r="AD118" s="289" t="s">
        <v>901</v>
      </c>
      <c r="AE118" s="304">
        <v>0</v>
      </c>
      <c r="AF118" s="304"/>
      <c r="AG118" s="289" t="s">
        <v>901</v>
      </c>
      <c r="AH118" s="304">
        <v>0</v>
      </c>
      <c r="AI118" s="304"/>
      <c r="AJ118" s="289" t="s">
        <v>901</v>
      </c>
      <c r="AK118" s="304">
        <v>0</v>
      </c>
      <c r="AL118" s="304"/>
      <c r="AM118" s="289" t="s">
        <v>901</v>
      </c>
      <c r="AN118" s="304">
        <v>0</v>
      </c>
      <c r="AO118" s="304"/>
      <c r="AP118" s="289" t="s">
        <v>901</v>
      </c>
      <c r="AQ118" s="304">
        <v>0</v>
      </c>
      <c r="AR118" s="294"/>
      <c r="AS118" s="294"/>
      <c r="AT118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18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18" s="293"/>
      <c r="AW118" s="293"/>
      <c r="AX118" s="327"/>
      <c r="AY118" s="328"/>
      <c r="AZ118" s="288">
        <f>VLOOKUP(A118,Table6[],30,0)</f>
        <v>0</v>
      </c>
    </row>
    <row r="119" spans="1:52" ht="15" customHeight="1">
      <c r="A119" s="292">
        <v>115</v>
      </c>
      <c r="B119" s="277" t="str">
        <f>VLOOKUP(Table1[[#This Row],[šifra]],Table6[],2,0)</f>
        <v>ProVir Apartments d.o.o.</v>
      </c>
      <c r="C119" s="277" t="str">
        <f>VLOOKUP(Table1[[#This Row],[šifra]],Table6[],4,0)</f>
        <v>NIKOLINA</v>
      </c>
      <c r="D119" s="276" t="str">
        <f>VLOOKUP(A119,Table6[],21,0)</f>
        <v>02.2027 500€/god+pdv+120 minimax</v>
      </c>
      <c r="E119" s="314">
        <v>46022</v>
      </c>
      <c r="F119" s="313">
        <v>600</v>
      </c>
      <c r="G119" s="295"/>
      <c r="H119" s="295"/>
      <c r="I119" s="321" t="s">
        <v>901</v>
      </c>
      <c r="J119" s="302">
        <f>50*1.1</f>
        <v>55.000000000000007</v>
      </c>
      <c r="K119" s="677">
        <v>55</v>
      </c>
      <c r="L119" s="321" t="s">
        <v>901</v>
      </c>
      <c r="M119" s="302">
        <v>100</v>
      </c>
      <c r="N119" s="676">
        <v>100</v>
      </c>
      <c r="O119" s="321" t="s">
        <v>901</v>
      </c>
      <c r="P119" s="677"/>
      <c r="Q119" s="302">
        <v>0</v>
      </c>
      <c r="R119" s="321" t="s">
        <v>901</v>
      </c>
      <c r="S119" s="302"/>
      <c r="T119" s="676"/>
      <c r="U119" s="321" t="s">
        <v>901</v>
      </c>
      <c r="V119" s="302"/>
      <c r="W119" s="304"/>
      <c r="X119" s="321" t="s">
        <v>901</v>
      </c>
      <c r="Y119" s="302"/>
      <c r="Z119" s="294"/>
      <c r="AA119" s="321" t="s">
        <v>901</v>
      </c>
      <c r="AB119" s="302"/>
      <c r="AC119" s="302"/>
      <c r="AD119" s="321" t="s">
        <v>901</v>
      </c>
      <c r="AE119" s="302"/>
      <c r="AF119" s="302"/>
      <c r="AG119" s="321" t="s">
        <v>901</v>
      </c>
      <c r="AH119" s="302"/>
      <c r="AI119" s="310"/>
      <c r="AJ119" s="321" t="s">
        <v>901</v>
      </c>
      <c r="AK119" s="302"/>
      <c r="AL119" s="302"/>
      <c r="AM119" s="321" t="s">
        <v>901</v>
      </c>
      <c r="AN119" s="302"/>
      <c r="AO119" s="302"/>
      <c r="AP119" s="321" t="s">
        <v>901</v>
      </c>
      <c r="AQ119" s="302">
        <f>500+120+600</f>
        <v>1220</v>
      </c>
      <c r="AR119" s="297"/>
      <c r="AS119" s="297"/>
      <c r="AT11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1375</v>
      </c>
      <c r="AU11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155</v>
      </c>
      <c r="AV119" s="295"/>
      <c r="AW119" s="295"/>
      <c r="AX119" s="327"/>
      <c r="AY119" s="328"/>
      <c r="AZ119" s="288">
        <f>VLOOKUP(A119,Table6[],30,0)</f>
        <v>0</v>
      </c>
    </row>
    <row r="120" spans="1:52" ht="15" customHeight="1">
      <c r="A120" s="287">
        <v>116</v>
      </c>
      <c r="B120" s="276" t="str">
        <f>VLOOKUP(Table1[[#This Row],[šifra]],Table6[],2,0)</f>
        <v>RACZ YACHTING d.o.o.</v>
      </c>
      <c r="C120" s="276" t="str">
        <f>VLOOKUP(Table1[[#This Row],[šifra]],Table6[],4,0)</f>
        <v>MARKO</v>
      </c>
      <c r="D120" s="276" t="str">
        <f>VLOOKUP(A120,Table6[],21,0)</f>
        <v>50(10%) +30 SJEDIŠTE +PDV/ mj</v>
      </c>
      <c r="E120" s="314" t="str">
        <f>IF(poduzeća!AE117="","",poduzeća!AE117)</f>
        <v/>
      </c>
      <c r="F120" s="313" t="str">
        <f>IF(poduzeća!AF117="","",poduzeća!AF117)</f>
        <v/>
      </c>
      <c r="G120" s="293"/>
      <c r="H120" s="293">
        <v>27.5</v>
      </c>
      <c r="I120" s="289" t="s">
        <v>1105</v>
      </c>
      <c r="J120" s="304">
        <v>85</v>
      </c>
      <c r="K120" s="678">
        <v>85</v>
      </c>
      <c r="L120" s="736" t="s">
        <v>897</v>
      </c>
      <c r="M120" s="304">
        <v>85</v>
      </c>
      <c r="N120" s="675">
        <v>85</v>
      </c>
      <c r="O120" s="736" t="s">
        <v>897</v>
      </c>
      <c r="P120" s="304">
        <v>85</v>
      </c>
      <c r="Q120" s="304">
        <v>85</v>
      </c>
      <c r="R120" s="736" t="s">
        <v>897</v>
      </c>
      <c r="S120" s="304">
        <v>85</v>
      </c>
      <c r="T120" s="955">
        <v>140</v>
      </c>
      <c r="U120" s="736" t="s">
        <v>897</v>
      </c>
      <c r="V120" s="870">
        <v>85</v>
      </c>
      <c r="W120" s="678">
        <v>85</v>
      </c>
      <c r="X120" s="736" t="s">
        <v>897</v>
      </c>
      <c r="Y120" s="304">
        <v>85</v>
      </c>
      <c r="Z120" s="294">
        <v>85</v>
      </c>
      <c r="AA120" s="736" t="s">
        <v>897</v>
      </c>
      <c r="AB120" s="304">
        <v>85</v>
      </c>
      <c r="AC120" s="304">
        <v>85</v>
      </c>
      <c r="AD120" s="736" t="s">
        <v>897</v>
      </c>
      <c r="AE120" s="304">
        <v>85</v>
      </c>
      <c r="AF120" s="304"/>
      <c r="AG120" s="736" t="s">
        <v>897</v>
      </c>
      <c r="AH120" s="304">
        <v>85</v>
      </c>
      <c r="AI120" s="304"/>
      <c r="AJ120" s="736" t="s">
        <v>897</v>
      </c>
      <c r="AK120" s="304">
        <v>85</v>
      </c>
      <c r="AL120" s="304"/>
      <c r="AM120" s="736" t="s">
        <v>897</v>
      </c>
      <c r="AN120" s="304">
        <v>85</v>
      </c>
      <c r="AO120" s="304"/>
      <c r="AP120" s="736" t="s">
        <v>897</v>
      </c>
      <c r="AQ120" s="304">
        <v>85</v>
      </c>
      <c r="AR120" s="294"/>
      <c r="AS120" s="294"/>
      <c r="AT120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1020</v>
      </c>
      <c r="AU120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650</v>
      </c>
      <c r="AV120" s="293"/>
      <c r="AW120" s="293"/>
      <c r="AX120" s="327"/>
      <c r="AY120" s="328"/>
      <c r="AZ120" s="288">
        <f>VLOOKUP(A120,Table6[],30,0)</f>
        <v>0</v>
      </c>
    </row>
    <row r="121" spans="1:52" ht="15" customHeight="1">
      <c r="A121" s="287">
        <v>117</v>
      </c>
      <c r="B121" s="276" t="str">
        <f>VLOOKUP(Table1[[#This Row],[šifra]],Table6[],2,0)</f>
        <v>Radzeer d.o.o.</v>
      </c>
      <c r="C121" s="276" t="str">
        <f>VLOOKUP(Table1[[#This Row],[šifra]],Table6[],4,0)</f>
        <v>VESNA</v>
      </c>
      <c r="D121" s="276" t="str">
        <f>VLOOKUP(A121,Table6[],21,0)</f>
        <v>100(+10%)+PDV /mj</v>
      </c>
      <c r="E121" s="314" t="str">
        <f>IF(poduzeća!AE118="","",poduzeća!AE118)</f>
        <v/>
      </c>
      <c r="F121" s="313" t="str">
        <f>IF(poduzeća!AF118="","",poduzeća!AF118)</f>
        <v/>
      </c>
      <c r="G121" s="293">
        <v>325</v>
      </c>
      <c r="H121" s="293">
        <v>55</v>
      </c>
      <c r="I121" s="289" t="s">
        <v>897</v>
      </c>
      <c r="J121" s="304">
        <f>100*1.1</f>
        <v>110.00000000000001</v>
      </c>
      <c r="K121" s="678">
        <v>110</v>
      </c>
      <c r="L121" s="289" t="s">
        <v>897</v>
      </c>
      <c r="M121" s="304">
        <f>100*1.1</f>
        <v>110.00000000000001</v>
      </c>
      <c r="N121" s="675">
        <v>110</v>
      </c>
      <c r="O121" s="289" t="s">
        <v>897</v>
      </c>
      <c r="P121" s="870">
        <f>100*1.1</f>
        <v>110.00000000000001</v>
      </c>
      <c r="Q121" s="304">
        <v>110</v>
      </c>
      <c r="R121" s="289" t="s">
        <v>897</v>
      </c>
      <c r="S121" s="304">
        <f>100*1.1</f>
        <v>110.00000000000001</v>
      </c>
      <c r="T121" s="955">
        <v>220</v>
      </c>
      <c r="U121" s="289" t="s">
        <v>897</v>
      </c>
      <c r="V121" s="870">
        <f>100*1.1</f>
        <v>110.00000000000001</v>
      </c>
      <c r="W121" s="678">
        <v>110</v>
      </c>
      <c r="X121" s="289" t="s">
        <v>897</v>
      </c>
      <c r="Y121" s="304">
        <f>100*1.1</f>
        <v>110.00000000000001</v>
      </c>
      <c r="Z121" s="675">
        <v>110</v>
      </c>
      <c r="AA121" s="289" t="s">
        <v>897</v>
      </c>
      <c r="AB121" s="304">
        <v>70</v>
      </c>
      <c r="AC121" s="304">
        <v>-150</v>
      </c>
      <c r="AD121" s="289" t="s">
        <v>897</v>
      </c>
      <c r="AE121" s="304">
        <v>70</v>
      </c>
      <c r="AF121" s="304">
        <v>70</v>
      </c>
      <c r="AG121" s="289" t="s">
        <v>897</v>
      </c>
      <c r="AH121" s="304">
        <v>70</v>
      </c>
      <c r="AI121" s="304"/>
      <c r="AJ121" s="289" t="s">
        <v>897</v>
      </c>
      <c r="AK121" s="304">
        <v>70</v>
      </c>
      <c r="AL121" s="304"/>
      <c r="AM121" s="289" t="s">
        <v>897</v>
      </c>
      <c r="AN121" s="304">
        <v>70</v>
      </c>
      <c r="AO121" s="304"/>
      <c r="AP121" s="289" t="s">
        <v>897</v>
      </c>
      <c r="AQ121" s="304">
        <v>70</v>
      </c>
      <c r="AR121" s="294"/>
      <c r="AS121" s="294"/>
      <c r="AT121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1080</v>
      </c>
      <c r="AU121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690</v>
      </c>
      <c r="AV121" s="293"/>
      <c r="AW121" s="293"/>
      <c r="AX121" s="327"/>
      <c r="AY121" s="328"/>
      <c r="AZ121" s="288">
        <f>VLOOKUP(A121,Table6[],30,0)</f>
        <v>0</v>
      </c>
    </row>
    <row r="122" spans="1:52" ht="15" customHeight="1">
      <c r="A122" s="292">
        <v>118</v>
      </c>
      <c r="B122" s="277" t="str">
        <f>VLOOKUP(Table1[[#This Row],[šifra]],Table6[],2,0)</f>
        <v>RAU GROUP d.o.o.</v>
      </c>
      <c r="C122" s="277" t="str">
        <f>VLOOKUP(Table1[[#This Row],[šifra]],Table6[],4,0)</f>
        <v>GABRIJELA</v>
      </c>
      <c r="D122" s="276" t="str">
        <f>VLOOKUP(A122,Table6[],21,0)</f>
        <v>150(+10%)+pdv /mj</v>
      </c>
      <c r="E122" s="1058" t="str">
        <f>IF(poduzeća!AE119="","",poduzeća!AE119)</f>
        <v>1.1.2022</v>
      </c>
      <c r="F122" s="1059">
        <f>IF(poduzeća!AF119="","",poduzeća!AF119)</f>
        <v>600</v>
      </c>
      <c r="G122" s="1016"/>
      <c r="H122" s="1016"/>
      <c r="I122" s="322" t="s">
        <v>892</v>
      </c>
      <c r="J122" s="302">
        <f>150*1.1</f>
        <v>165</v>
      </c>
      <c r="K122" s="302">
        <v>165</v>
      </c>
      <c r="L122" s="322" t="s">
        <v>892</v>
      </c>
      <c r="M122" s="302">
        <f>150*1.1+500</f>
        <v>665</v>
      </c>
      <c r="N122" s="297">
        <v>765</v>
      </c>
      <c r="O122" s="322" t="s">
        <v>892</v>
      </c>
      <c r="P122" s="874">
        <f>150*1.1</f>
        <v>165</v>
      </c>
      <c r="Q122" s="677">
        <v>165</v>
      </c>
      <c r="R122" s="322" t="s">
        <v>892</v>
      </c>
      <c r="S122" s="302">
        <f>150*1.1</f>
        <v>165</v>
      </c>
      <c r="T122" s="956">
        <v>165</v>
      </c>
      <c r="U122" s="322" t="s">
        <v>892</v>
      </c>
      <c r="V122" s="867">
        <f>150*1.1</f>
        <v>165</v>
      </c>
      <c r="W122" s="678">
        <v>165</v>
      </c>
      <c r="X122" s="322" t="s">
        <v>892</v>
      </c>
      <c r="Y122" s="302">
        <f>150*1.1</f>
        <v>165</v>
      </c>
      <c r="Z122" s="675">
        <v>165</v>
      </c>
      <c r="AA122" s="322" t="s">
        <v>892</v>
      </c>
      <c r="AB122" s="302">
        <f>150*1.1</f>
        <v>165</v>
      </c>
      <c r="AC122" s="302">
        <v>165</v>
      </c>
      <c r="AD122" s="322" t="s">
        <v>892</v>
      </c>
      <c r="AE122" s="302">
        <f>150*1.1</f>
        <v>165</v>
      </c>
      <c r="AF122" s="302"/>
      <c r="AG122" s="322" t="s">
        <v>892</v>
      </c>
      <c r="AH122" s="302">
        <f>150*1.1</f>
        <v>165</v>
      </c>
      <c r="AI122" s="302"/>
      <c r="AJ122" s="322" t="s">
        <v>892</v>
      </c>
      <c r="AK122" s="302">
        <f>150*1.1</f>
        <v>165</v>
      </c>
      <c r="AL122" s="302"/>
      <c r="AM122" s="322" t="s">
        <v>892</v>
      </c>
      <c r="AN122" s="302">
        <f>150*1.1</f>
        <v>165</v>
      </c>
      <c r="AO122" s="302"/>
      <c r="AP122" s="322" t="s">
        <v>892</v>
      </c>
      <c r="AQ122" s="302">
        <f>150*1.1</f>
        <v>165</v>
      </c>
      <c r="AR122" s="297"/>
      <c r="AS122" s="297"/>
      <c r="AT12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2480</v>
      </c>
      <c r="AU12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1755</v>
      </c>
      <c r="AV122" s="295"/>
      <c r="AW122" s="295"/>
      <c r="AX122" s="327"/>
      <c r="AY122" s="328"/>
      <c r="AZ122" s="288">
        <f>VLOOKUP(A122,Table6[],30,0)</f>
        <v>0</v>
      </c>
    </row>
    <row r="123" spans="1:52" ht="15" customHeight="1">
      <c r="A123" s="287">
        <v>119</v>
      </c>
      <c r="B123" s="276" t="str">
        <f>VLOOKUP(Table1[[#This Row],[šifra]],Table6[],2,0)</f>
        <v>Ready or Not d.o.o.</v>
      </c>
      <c r="C123" s="276" t="str">
        <f>VLOOKUP(Table1[[#This Row],[šifra]],Table6[],4,0)</f>
        <v>GABRIJELA</v>
      </c>
      <c r="D123" s="276" t="str">
        <f>VLOOKUP(A123,Table6[],21,0)</f>
        <v>100(+10%)+pdv /mj</v>
      </c>
      <c r="E123" s="1058">
        <f>IF(poduzeća!AE120="","",poduzeća!AE120)</f>
        <v>45689</v>
      </c>
      <c r="F123" s="1059">
        <f>IF(poduzeća!AF120="","",poduzeća!AF120)</f>
        <v>600</v>
      </c>
      <c r="G123" s="1045">
        <v>412.5</v>
      </c>
      <c r="H123" s="293"/>
      <c r="I123" s="289" t="s">
        <v>892</v>
      </c>
      <c r="J123" s="304">
        <f>100*1.1</f>
        <v>110.00000000000001</v>
      </c>
      <c r="K123" s="304">
        <v>110</v>
      </c>
      <c r="L123" s="289" t="s">
        <v>892</v>
      </c>
      <c r="M123" s="304">
        <f>100*1.1+600</f>
        <v>710</v>
      </c>
      <c r="N123" s="294">
        <v>710</v>
      </c>
      <c r="O123" s="289" t="s">
        <v>892</v>
      </c>
      <c r="P123" s="304">
        <f>100*1.1</f>
        <v>110.00000000000001</v>
      </c>
      <c r="Q123" s="678">
        <v>110</v>
      </c>
      <c r="R123" s="289" t="s">
        <v>892</v>
      </c>
      <c r="S123" s="304">
        <f>100*1.1</f>
        <v>110.00000000000001</v>
      </c>
      <c r="T123" s="955">
        <v>110</v>
      </c>
      <c r="U123" s="289" t="s">
        <v>892</v>
      </c>
      <c r="V123" s="870">
        <f>100*1.1</f>
        <v>110.00000000000001</v>
      </c>
      <c r="W123" s="678">
        <v>110</v>
      </c>
      <c r="X123" s="289" t="s">
        <v>892</v>
      </c>
      <c r="Y123" s="304">
        <f>100*1.1</f>
        <v>110.00000000000001</v>
      </c>
      <c r="Z123" s="675">
        <v>110</v>
      </c>
      <c r="AA123" s="289" t="s">
        <v>892</v>
      </c>
      <c r="AB123" s="304">
        <f>100*1.1</f>
        <v>110.00000000000001</v>
      </c>
      <c r="AC123" s="304">
        <v>110</v>
      </c>
      <c r="AD123" s="289" t="s">
        <v>892</v>
      </c>
      <c r="AE123" s="304">
        <f>100*1.1</f>
        <v>110.00000000000001</v>
      </c>
      <c r="AF123" s="304"/>
      <c r="AG123" s="289" t="s">
        <v>892</v>
      </c>
      <c r="AH123" s="304">
        <f>100*1.1</f>
        <v>110.00000000000001</v>
      </c>
      <c r="AI123" s="304"/>
      <c r="AJ123" s="289" t="s">
        <v>892</v>
      </c>
      <c r="AK123" s="304">
        <f>100*1.1</f>
        <v>110.00000000000001</v>
      </c>
      <c r="AL123" s="304"/>
      <c r="AM123" s="289" t="s">
        <v>892</v>
      </c>
      <c r="AN123" s="304">
        <f>100*1.1</f>
        <v>110.00000000000001</v>
      </c>
      <c r="AO123" s="304"/>
      <c r="AP123" s="289" t="s">
        <v>892</v>
      </c>
      <c r="AQ123" s="304">
        <f>100*1.1</f>
        <v>110.00000000000001</v>
      </c>
      <c r="AR123" s="294"/>
      <c r="AS123" s="294"/>
      <c r="AT123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1920</v>
      </c>
      <c r="AU123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1370</v>
      </c>
      <c r="AV123" s="293"/>
      <c r="AW123" s="293"/>
      <c r="AX123" s="327"/>
      <c r="AY123" s="328"/>
      <c r="AZ123" s="288">
        <f>VLOOKUP(A123,Table6[],30,0)</f>
        <v>0</v>
      </c>
    </row>
    <row r="124" spans="1:52" ht="18" customHeight="1">
      <c r="A124" s="292">
        <v>120</v>
      </c>
      <c r="B124" s="277" t="str">
        <f>VLOOKUP(Table1[[#This Row],[šifra]],Table6[],2,0)</f>
        <v>REVERTOR RESORT j.d.o.o.</v>
      </c>
      <c r="C124" s="277" t="str">
        <f>VLOOKUP(Table1[[#This Row],[šifra]],Table6[],4,0)</f>
        <v>GABRIJELA</v>
      </c>
      <c r="D124" s="276" t="str">
        <f>VLOOKUP(A124,Table6[],21,0)</f>
        <v xml:space="preserve">???2 puta godišnje 600€     (100(10%)+pdv) . </v>
      </c>
      <c r="E124" s="1058" t="str">
        <f>IF(poduzeća!AE121="","",poduzeća!AE121)</f>
        <v>30.6.2022</v>
      </c>
      <c r="F124" s="1059">
        <f>IF(poduzeća!AF121="","",poduzeća!AF121)</f>
        <v>500</v>
      </c>
      <c r="G124" s="295"/>
      <c r="H124" s="295"/>
      <c r="I124" s="323" t="s">
        <v>892</v>
      </c>
      <c r="J124" s="524"/>
      <c r="K124" s="701"/>
      <c r="L124" s="323" t="s">
        <v>892</v>
      </c>
      <c r="M124" s="524"/>
      <c r="N124" s="297"/>
      <c r="O124" s="323" t="s">
        <v>892</v>
      </c>
      <c r="P124" s="524">
        <v>660</v>
      </c>
      <c r="Q124" s="677">
        <v>660</v>
      </c>
      <c r="R124" s="323" t="s">
        <v>892</v>
      </c>
      <c r="S124" s="524"/>
      <c r="T124" s="676"/>
      <c r="U124" s="323" t="s">
        <v>892</v>
      </c>
      <c r="V124" s="524">
        <f>660+500</f>
        <v>1160</v>
      </c>
      <c r="W124" s="678">
        <v>110</v>
      </c>
      <c r="X124" s="323" t="s">
        <v>892</v>
      </c>
      <c r="Y124" s="899">
        <v>600</v>
      </c>
      <c r="Z124" s="675">
        <v>110</v>
      </c>
      <c r="AA124" s="323" t="s">
        <v>892</v>
      </c>
      <c r="AB124" s="524"/>
      <c r="AC124" s="302"/>
      <c r="AD124" s="323" t="s">
        <v>892</v>
      </c>
      <c r="AE124" s="524"/>
      <c r="AF124" s="302"/>
      <c r="AG124" s="323" t="s">
        <v>892</v>
      </c>
      <c r="AH124" s="524"/>
      <c r="AI124" s="302"/>
      <c r="AJ124" s="323" t="s">
        <v>892</v>
      </c>
      <c r="AK124" s="524"/>
      <c r="AL124" s="302"/>
      <c r="AM124" s="323" t="s">
        <v>892</v>
      </c>
      <c r="AN124" s="524">
        <v>660</v>
      </c>
      <c r="AO124" s="302"/>
      <c r="AP124" s="323" t="s">
        <v>892</v>
      </c>
      <c r="AQ124" s="524"/>
      <c r="AR124" s="297"/>
      <c r="AS124" s="297"/>
      <c r="AT12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3080</v>
      </c>
      <c r="AU124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880</v>
      </c>
      <c r="AV124" s="295"/>
      <c r="AW124" s="295"/>
      <c r="AX124" s="327"/>
      <c r="AY124" s="328"/>
      <c r="AZ124" s="288">
        <f>VLOOKUP(A124,Table6[],30,0)</f>
        <v>0</v>
      </c>
    </row>
    <row r="125" spans="1:52" ht="15" customHeight="1">
      <c r="A125" s="292">
        <v>121</v>
      </c>
      <c r="B125" s="277" t="str">
        <f>VLOOKUP(Table1[[#This Row],[šifra]],Table6[],2,0)</f>
        <v>RUSKO INVEST d.o.o.</v>
      </c>
      <c r="C125" s="277" t="str">
        <f>VLOOKUP(Table1[[#This Row],[šifra]],Table6[],4,0)</f>
        <v>F. MARKO</v>
      </c>
      <c r="D125" s="276" t="str">
        <f>VLOOKUP(A125,Table6[],21,0)</f>
        <v>FRANŠIZA</v>
      </c>
      <c r="E125" s="314" t="str">
        <f>IF(poduzeća!AE122="","",poduzeća!AE122)</f>
        <v/>
      </c>
      <c r="F125" s="313" t="str">
        <f>IF(poduzeća!AF122="","",poduzeća!AF122)</f>
        <v/>
      </c>
      <c r="G125" s="295"/>
      <c r="H125" s="295"/>
      <c r="I125" s="736" t="s">
        <v>897</v>
      </c>
      <c r="J125" s="302"/>
      <c r="K125" s="302"/>
      <c r="L125" s="736" t="s">
        <v>897</v>
      </c>
      <c r="M125" s="302"/>
      <c r="N125" s="838"/>
      <c r="O125" s="736" t="s">
        <v>897</v>
      </c>
      <c r="P125" s="302"/>
      <c r="Q125" s="302"/>
      <c r="R125" s="736" t="s">
        <v>897</v>
      </c>
      <c r="S125" s="302"/>
      <c r="T125" s="676"/>
      <c r="U125" s="736" t="s">
        <v>897</v>
      </c>
      <c r="V125" s="302"/>
      <c r="W125" s="304"/>
      <c r="X125" s="736" t="s">
        <v>897</v>
      </c>
      <c r="Y125" s="302"/>
      <c r="Z125" s="294"/>
      <c r="AA125" s="736" t="s">
        <v>897</v>
      </c>
      <c r="AB125" s="302"/>
      <c r="AC125" s="302"/>
      <c r="AD125" s="736" t="s">
        <v>897</v>
      </c>
      <c r="AE125" s="302"/>
      <c r="AF125" s="302"/>
      <c r="AG125" s="736" t="s">
        <v>897</v>
      </c>
      <c r="AH125" s="302"/>
      <c r="AI125" s="302"/>
      <c r="AJ125" s="736" t="s">
        <v>897</v>
      </c>
      <c r="AK125" s="302"/>
      <c r="AL125" s="302"/>
      <c r="AM125" s="736" t="s">
        <v>897</v>
      </c>
      <c r="AN125" s="302"/>
      <c r="AO125" s="302"/>
      <c r="AP125" s="736" t="s">
        <v>897</v>
      </c>
      <c r="AQ125" s="302"/>
      <c r="AR125" s="297"/>
      <c r="AS125" s="297"/>
      <c r="AT12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2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25" s="295"/>
      <c r="AW125" s="295"/>
      <c r="AX125" s="327"/>
      <c r="AY125" s="328"/>
      <c r="AZ125" s="288">
        <f>VLOOKUP(A125,Table6[],30,0)</f>
        <v>0</v>
      </c>
    </row>
    <row r="126" spans="1:52" ht="15.75" customHeight="1">
      <c r="A126" s="292">
        <v>122</v>
      </c>
      <c r="B126" s="277" t="str">
        <f>VLOOKUP(Table1[[#This Row],[šifra]],Table6[],2,0)</f>
        <v>SAGITTA CONSULTING d.o.o.</v>
      </c>
      <c r="C126" s="277" t="str">
        <f>VLOOKUP(Table1[[#This Row],[šifra]],Table6[],4,0)</f>
        <v>MARKO</v>
      </c>
      <c r="D126" s="276" t="str">
        <f>VLOOKUP(A126,Table6[],21,0)</f>
        <v>100/mj+ (10%)</v>
      </c>
      <c r="E126" s="314" t="str">
        <f>IF(poduzeća!AE123="","",poduzeća!AE123)</f>
        <v/>
      </c>
      <c r="F126" s="313" t="str">
        <f>IF(poduzeća!AF123="","",poduzeća!AF123)</f>
        <v/>
      </c>
      <c r="G126" s="1041">
        <v>1663.04</v>
      </c>
      <c r="H126" s="295">
        <v>55</v>
      </c>
      <c r="I126" s="736" t="s">
        <v>897</v>
      </c>
      <c r="J126" s="302">
        <f>100*1.1</f>
        <v>110.00000000000001</v>
      </c>
      <c r="K126" s="677">
        <v>110</v>
      </c>
      <c r="L126" s="736" t="s">
        <v>897</v>
      </c>
      <c r="M126" s="302">
        <f>100*1.1</f>
        <v>110.00000000000001</v>
      </c>
      <c r="N126" s="676">
        <v>110</v>
      </c>
      <c r="O126" s="736" t="s">
        <v>897</v>
      </c>
      <c r="P126" s="302">
        <f>100*1.1</f>
        <v>110.00000000000001</v>
      </c>
      <c r="Q126" s="966">
        <f>110+110</f>
        <v>220</v>
      </c>
      <c r="R126" s="736" t="s">
        <v>897</v>
      </c>
      <c r="S126" s="302">
        <f>100*1.1</f>
        <v>110.00000000000001</v>
      </c>
      <c r="T126" s="956">
        <v>110</v>
      </c>
      <c r="U126" s="736" t="s">
        <v>897</v>
      </c>
      <c r="V126" s="867">
        <f>100*1.1</f>
        <v>110.00000000000001</v>
      </c>
      <c r="W126" s="678">
        <v>110</v>
      </c>
      <c r="X126" s="736" t="s">
        <v>897</v>
      </c>
      <c r="Y126" s="302">
        <f>100*1.1</f>
        <v>110.00000000000001</v>
      </c>
      <c r="Z126" s="294">
        <v>110</v>
      </c>
      <c r="AA126" s="736" t="s">
        <v>897</v>
      </c>
      <c r="AB126" s="302">
        <f>100*1.1</f>
        <v>110.00000000000001</v>
      </c>
      <c r="AC126" s="302">
        <v>100</v>
      </c>
      <c r="AD126" s="736" t="s">
        <v>897</v>
      </c>
      <c r="AE126" s="302">
        <f>100*1.1</f>
        <v>110.00000000000001</v>
      </c>
      <c r="AF126" s="302"/>
      <c r="AG126" s="736" t="s">
        <v>897</v>
      </c>
      <c r="AH126" s="302">
        <f>100*1.1</f>
        <v>110.00000000000001</v>
      </c>
      <c r="AI126" s="302"/>
      <c r="AJ126" s="736" t="s">
        <v>897</v>
      </c>
      <c r="AK126" s="302">
        <f>100*1.1</f>
        <v>110.00000000000001</v>
      </c>
      <c r="AL126" s="302"/>
      <c r="AM126" s="736" t="s">
        <v>897</v>
      </c>
      <c r="AN126" s="302">
        <f>100*1.1</f>
        <v>110.00000000000001</v>
      </c>
      <c r="AO126" s="302"/>
      <c r="AP126" s="736" t="s">
        <v>897</v>
      </c>
      <c r="AQ126" s="302">
        <f>100*1.1</f>
        <v>110.00000000000001</v>
      </c>
      <c r="AR126" s="297"/>
      <c r="AS126" s="297"/>
      <c r="AT12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12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870</v>
      </c>
      <c r="AV126" s="295"/>
      <c r="AW126" s="295"/>
      <c r="AX126" s="327"/>
      <c r="AY126" s="328"/>
      <c r="AZ126" s="288">
        <f>VLOOKUP(A126,Table6[],30,0)</f>
        <v>45930</v>
      </c>
    </row>
    <row r="127" spans="1:52" ht="16.5" customHeight="1">
      <c r="A127" s="292">
        <v>123</v>
      </c>
      <c r="B127" s="277" t="str">
        <f>VLOOKUP(Table1[[#This Row],[šifra]],Table6[],2,0)</f>
        <v>SAILINFO d.o.o.</v>
      </c>
      <c r="C127" s="277" t="str">
        <f>VLOOKUP(Table1[[#This Row],[šifra]],Table6[],4,0)</f>
        <v>MARKO</v>
      </c>
      <c r="D127" s="276" t="str">
        <f>VLOOKUP(A127,Table6[],21,0)</f>
        <v>140 PAUŠAL / BEZ POVEĆANJA</v>
      </c>
      <c r="E127" s="314" t="str">
        <f>IF(poduzeća!AE124="","",poduzeća!AE124)</f>
        <v>1.11.2021</v>
      </c>
      <c r="F127" s="313">
        <f>IF(poduzeća!AF124="","",poduzeća!AF124)</f>
        <v>500</v>
      </c>
      <c r="G127" s="295">
        <v>175</v>
      </c>
      <c r="H127" s="295">
        <v>70</v>
      </c>
      <c r="I127" s="322" t="s">
        <v>1105</v>
      </c>
      <c r="J127" s="324">
        <f>140</f>
        <v>140</v>
      </c>
      <c r="K127" s="677">
        <v>140</v>
      </c>
      <c r="L127" s="736" t="s">
        <v>897</v>
      </c>
      <c r="M127" s="324">
        <f>140</f>
        <v>140</v>
      </c>
      <c r="N127" s="676">
        <v>140</v>
      </c>
      <c r="O127" s="736" t="s">
        <v>897</v>
      </c>
      <c r="P127" s="324">
        <f>140</f>
        <v>140</v>
      </c>
      <c r="Q127" s="302">
        <v>140</v>
      </c>
      <c r="R127" s="736" t="s">
        <v>897</v>
      </c>
      <c r="S127" s="324">
        <f>140</f>
        <v>140</v>
      </c>
      <c r="T127" s="956">
        <v>280</v>
      </c>
      <c r="U127" s="736" t="s">
        <v>897</v>
      </c>
      <c r="V127" s="867">
        <f>140</f>
        <v>140</v>
      </c>
      <c r="W127" s="678">
        <v>210</v>
      </c>
      <c r="X127" s="736" t="s">
        <v>897</v>
      </c>
      <c r="Y127" s="324">
        <f>140</f>
        <v>140</v>
      </c>
      <c r="Z127" s="294">
        <v>140</v>
      </c>
      <c r="AA127" s="736" t="s">
        <v>897</v>
      </c>
      <c r="AB127" s="324">
        <f>140</f>
        <v>140</v>
      </c>
      <c r="AC127" s="302">
        <v>140</v>
      </c>
      <c r="AD127" s="736" t="s">
        <v>897</v>
      </c>
      <c r="AE127" s="324">
        <f>140</f>
        <v>140</v>
      </c>
      <c r="AF127" s="302"/>
      <c r="AG127" s="736" t="s">
        <v>897</v>
      </c>
      <c r="AH127" s="324">
        <f>140</f>
        <v>140</v>
      </c>
      <c r="AI127" s="302"/>
      <c r="AJ127" s="736" t="s">
        <v>897</v>
      </c>
      <c r="AK127" s="324">
        <f>140</f>
        <v>140</v>
      </c>
      <c r="AL127" s="302"/>
      <c r="AM127" s="736" t="s">
        <v>897</v>
      </c>
      <c r="AN127" s="324">
        <f>140+500</f>
        <v>640</v>
      </c>
      <c r="AO127" s="302"/>
      <c r="AP127" s="736" t="s">
        <v>897</v>
      </c>
      <c r="AQ127" s="324">
        <f>140</f>
        <v>140</v>
      </c>
      <c r="AR127" s="297"/>
      <c r="AS127" s="297"/>
      <c r="AT12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2180</v>
      </c>
      <c r="AU12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1190</v>
      </c>
      <c r="AV127" s="295"/>
      <c r="AW127" s="295"/>
      <c r="AX127" s="327"/>
      <c r="AY127" s="328"/>
      <c r="AZ127" s="288">
        <f>VLOOKUP(A127,Table6[],30,0)</f>
        <v>0</v>
      </c>
    </row>
    <row r="128" spans="1:52" ht="15" customHeight="1">
      <c r="A128" s="292">
        <v>124</v>
      </c>
      <c r="B128" s="277" t="str">
        <f>VLOOKUP(Table1[[#This Row],[šifra]],Table6[],2,0)</f>
        <v>Sailing Investment d.o.o.</v>
      </c>
      <c r="C128" s="277" t="str">
        <f>VLOOKUP(Table1[[#This Row],[šifra]],Table6[],4,0)</f>
        <v>MARKO</v>
      </c>
      <c r="D128" s="276" t="str">
        <f>VLOOKUP(A128,Table6[],21,0)</f>
        <v xml:space="preserve">65(+10%)+PDV/mj </v>
      </c>
      <c r="E128" s="314" t="str">
        <f>IF(poduzeća!AE125="","",poduzeća!AE125)</f>
        <v>10.12.2020</v>
      </c>
      <c r="F128" s="313">
        <f>IF(poduzeća!AF125="","",poduzeća!AF125)</f>
        <v>300</v>
      </c>
      <c r="G128" s="295">
        <v>89.38</v>
      </c>
      <c r="H128" s="295">
        <v>35.75</v>
      </c>
      <c r="I128" s="523" t="s">
        <v>1105</v>
      </c>
      <c r="J128" s="302">
        <v>71.5</v>
      </c>
      <c r="K128" s="677">
        <v>71.5</v>
      </c>
      <c r="L128" s="736" t="s">
        <v>897</v>
      </c>
      <c r="M128" s="302">
        <v>71.5</v>
      </c>
      <c r="N128" s="676">
        <v>71.5</v>
      </c>
      <c r="O128" s="736" t="s">
        <v>897</v>
      </c>
      <c r="P128" s="302">
        <v>71.5</v>
      </c>
      <c r="Q128" s="302">
        <f>71.5+71.5</f>
        <v>143</v>
      </c>
      <c r="R128" s="736" t="s">
        <v>897</v>
      </c>
      <c r="S128" s="302">
        <v>71.5</v>
      </c>
      <c r="T128" s="956">
        <v>71.5</v>
      </c>
      <c r="U128" s="736" t="s">
        <v>897</v>
      </c>
      <c r="V128" s="867">
        <v>71.5</v>
      </c>
      <c r="W128" s="678">
        <v>71.5</v>
      </c>
      <c r="X128" s="736" t="s">
        <v>897</v>
      </c>
      <c r="Y128" s="302">
        <v>71.5</v>
      </c>
      <c r="Z128" s="294">
        <v>71.5</v>
      </c>
      <c r="AA128" s="736" t="s">
        <v>897</v>
      </c>
      <c r="AB128" s="302">
        <v>71.5</v>
      </c>
      <c r="AC128" s="302">
        <v>71.5</v>
      </c>
      <c r="AD128" s="736" t="s">
        <v>897</v>
      </c>
      <c r="AE128" s="302">
        <v>71.5</v>
      </c>
      <c r="AF128" s="302"/>
      <c r="AG128" s="736" t="s">
        <v>897</v>
      </c>
      <c r="AH128" s="302">
        <v>71.5</v>
      </c>
      <c r="AI128" s="302"/>
      <c r="AJ128" s="736" t="s">
        <v>897</v>
      </c>
      <c r="AK128" s="302">
        <v>71.5</v>
      </c>
      <c r="AL128" s="302"/>
      <c r="AM128" s="736" t="s">
        <v>897</v>
      </c>
      <c r="AN128" s="302">
        <v>71.5</v>
      </c>
      <c r="AO128" s="302"/>
      <c r="AP128" s="736" t="s">
        <v>897</v>
      </c>
      <c r="AQ128" s="734">
        <f>71.5+300</f>
        <v>371.5</v>
      </c>
      <c r="AR128" s="297"/>
      <c r="AS128" s="297"/>
      <c r="AT12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1158</v>
      </c>
      <c r="AU12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572</v>
      </c>
      <c r="AV128" s="295"/>
      <c r="AW128" s="295"/>
      <c r="AX128" s="327"/>
      <c r="AY128" s="328"/>
      <c r="AZ128" s="288">
        <f>VLOOKUP(A128,Table6[],30,0)</f>
        <v>0</v>
      </c>
    </row>
    <row r="129" spans="1:52" s="97" customFormat="1" ht="15" customHeight="1">
      <c r="A129" s="292">
        <v>125</v>
      </c>
      <c r="B129" s="277" t="str">
        <f>VLOOKUP(Table1[[#This Row],[šifra]],Table6[],2,0)</f>
        <v>SAILVOY d.o.o.</v>
      </c>
      <c r="C129" s="277" t="str">
        <f>VLOOKUP(Table1[[#This Row],[šifra]],Table6[],4,0)</f>
        <v>MARKO</v>
      </c>
      <c r="D129" s="276" t="str">
        <f>VLOOKUP(A129,Table6[],21,0)</f>
        <v>115(+10%) EUR /mj</v>
      </c>
      <c r="E129" s="314" t="str">
        <f>IF(poduzeća!AE126="","",poduzeća!AE126)</f>
        <v>1.1.2023</v>
      </c>
      <c r="F129" s="313">
        <f>IF(poduzeća!AF126="","",poduzeća!AF126)</f>
        <v>400</v>
      </c>
      <c r="G129" s="295">
        <v>187.5</v>
      </c>
      <c r="H129" s="295">
        <v>63.25</v>
      </c>
      <c r="I129" s="322" t="s">
        <v>1105</v>
      </c>
      <c r="J129" s="302">
        <f>115*1.1</f>
        <v>126.50000000000001</v>
      </c>
      <c r="K129" s="677">
        <v>126.5</v>
      </c>
      <c r="L129" s="736" t="s">
        <v>897</v>
      </c>
      <c r="M129" s="302">
        <f>115*1.1+400</f>
        <v>526.5</v>
      </c>
      <c r="N129" s="676">
        <v>526.5</v>
      </c>
      <c r="O129" s="736" t="s">
        <v>897</v>
      </c>
      <c r="P129" s="302">
        <f>115*1.1</f>
        <v>126.50000000000001</v>
      </c>
      <c r="Q129" s="302">
        <v>126.5</v>
      </c>
      <c r="R129" s="736" t="s">
        <v>897</v>
      </c>
      <c r="S129" s="302">
        <f>115*1.1</f>
        <v>126.50000000000001</v>
      </c>
      <c r="T129" s="956">
        <v>253</v>
      </c>
      <c r="U129" s="736" t="s">
        <v>897</v>
      </c>
      <c r="V129" s="867">
        <f>115*1.1</f>
        <v>126.50000000000001</v>
      </c>
      <c r="W129" s="678">
        <v>126.5</v>
      </c>
      <c r="X129" s="736" t="s">
        <v>897</v>
      </c>
      <c r="Y129" s="302">
        <f>115*1.1</f>
        <v>126.50000000000001</v>
      </c>
      <c r="Z129" s="294">
        <v>126.5</v>
      </c>
      <c r="AA129" s="736" t="s">
        <v>897</v>
      </c>
      <c r="AB129" s="302">
        <f>115*1.1</f>
        <v>126.50000000000001</v>
      </c>
      <c r="AC129" s="302">
        <v>126.5</v>
      </c>
      <c r="AD129" s="736" t="s">
        <v>897</v>
      </c>
      <c r="AE129" s="302">
        <f>115*1.1</f>
        <v>126.50000000000001</v>
      </c>
      <c r="AF129" s="302"/>
      <c r="AG129" s="736" t="s">
        <v>897</v>
      </c>
      <c r="AH129" s="302">
        <f>115*1.1</f>
        <v>126.50000000000001</v>
      </c>
      <c r="AI129" s="302"/>
      <c r="AJ129" s="736" t="s">
        <v>897</v>
      </c>
      <c r="AK129" s="302">
        <f>115*1.1</f>
        <v>126.50000000000001</v>
      </c>
      <c r="AL129" s="302"/>
      <c r="AM129" s="736" t="s">
        <v>897</v>
      </c>
      <c r="AN129" s="302">
        <f>115*1.1</f>
        <v>126.50000000000001</v>
      </c>
      <c r="AO129" s="302"/>
      <c r="AP129" s="736" t="s">
        <v>897</v>
      </c>
      <c r="AQ129" s="302">
        <f>115*1.1</f>
        <v>126.50000000000001</v>
      </c>
      <c r="AR129" s="297"/>
      <c r="AS129" s="297"/>
      <c r="AT12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1918</v>
      </c>
      <c r="AU12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1412</v>
      </c>
      <c r="AV129" s="319" t="s">
        <v>195</v>
      </c>
      <c r="AW129" s="295"/>
      <c r="AX129" s="327"/>
      <c r="AY129" s="328"/>
      <c r="AZ129" s="288">
        <f>VLOOKUP(A129,Table6[],30,0)</f>
        <v>0</v>
      </c>
    </row>
    <row r="130" spans="1:52" ht="15" customHeight="1">
      <c r="A130" s="292">
        <v>126</v>
      </c>
      <c r="B130" s="277" t="str">
        <f>VLOOKUP(Table1[[#This Row],[šifra]],Table6[],2,0)</f>
        <v>SANDORFI YACHTING</v>
      </c>
      <c r="C130" s="277" t="str">
        <f>VLOOKUP(Table1[[#This Row],[šifra]],Table6[],4,0)</f>
        <v>SJEDIŠTE</v>
      </c>
      <c r="D130" s="276" t="str">
        <f>VLOOKUP(A130,Table6[],21,0)</f>
        <v>30 SJEDIŠTE+pdv / MJ</v>
      </c>
      <c r="E130" s="314" t="str">
        <f>IF(poduzeća!AE127="","",poduzeća!AE127)</f>
        <v/>
      </c>
      <c r="F130" s="313" t="str">
        <f>IF(poduzeća!AF127="","",poduzeća!AF127)</f>
        <v/>
      </c>
      <c r="G130" s="295"/>
      <c r="H130" s="295"/>
      <c r="I130" s="522" t="s">
        <v>897</v>
      </c>
      <c r="J130" s="302">
        <v>30</v>
      </c>
      <c r="K130" s="677">
        <v>30</v>
      </c>
      <c r="L130" s="522" t="s">
        <v>897</v>
      </c>
      <c r="M130" s="302">
        <v>30</v>
      </c>
      <c r="N130" s="676">
        <v>30</v>
      </c>
      <c r="O130" s="522" t="s">
        <v>897</v>
      </c>
      <c r="P130" s="867">
        <v>30</v>
      </c>
      <c r="Q130" s="302">
        <v>30</v>
      </c>
      <c r="R130" s="522" t="s">
        <v>897</v>
      </c>
      <c r="S130" s="302">
        <v>30</v>
      </c>
      <c r="T130" s="956">
        <v>30</v>
      </c>
      <c r="U130" s="522" t="s">
        <v>897</v>
      </c>
      <c r="V130" s="867">
        <v>30</v>
      </c>
      <c r="W130" s="678">
        <v>30</v>
      </c>
      <c r="X130" s="522" t="s">
        <v>897</v>
      </c>
      <c r="Y130" s="302">
        <v>30</v>
      </c>
      <c r="Z130" s="675">
        <v>30</v>
      </c>
      <c r="AA130" s="522" t="s">
        <v>897</v>
      </c>
      <c r="AB130" s="302">
        <v>30</v>
      </c>
      <c r="AC130" s="302">
        <v>30</v>
      </c>
      <c r="AD130" s="522" t="s">
        <v>897</v>
      </c>
      <c r="AE130" s="302">
        <v>30</v>
      </c>
      <c r="AF130" s="302">
        <v>30</v>
      </c>
      <c r="AG130" s="522" t="s">
        <v>897</v>
      </c>
      <c r="AH130" s="302">
        <v>30</v>
      </c>
      <c r="AI130" s="302"/>
      <c r="AJ130" s="522" t="s">
        <v>897</v>
      </c>
      <c r="AK130" s="302">
        <v>30</v>
      </c>
      <c r="AL130" s="302"/>
      <c r="AM130" s="522" t="s">
        <v>897</v>
      </c>
      <c r="AN130" s="302">
        <v>30</v>
      </c>
      <c r="AO130" s="302"/>
      <c r="AP130" s="522" t="s">
        <v>897</v>
      </c>
      <c r="AQ130" s="302">
        <v>30</v>
      </c>
      <c r="AR130" s="297"/>
      <c r="AS130" s="297"/>
      <c r="AT13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360</v>
      </c>
      <c r="AU13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240</v>
      </c>
      <c r="AV130" s="295"/>
      <c r="AW130" s="295"/>
      <c r="AX130" s="327"/>
      <c r="AY130" s="328"/>
      <c r="AZ130" s="288">
        <f>VLOOKUP(A130,Table6[],30,0)</f>
        <v>0</v>
      </c>
    </row>
    <row r="131" spans="1:52" ht="15" customHeight="1">
      <c r="A131" s="292">
        <v>127</v>
      </c>
      <c r="B131" s="277" t="str">
        <f>VLOOKUP(Table1[[#This Row],[šifra]],Table6[],2,0)</f>
        <v>Sandra franšizer</v>
      </c>
      <c r="C131" s="277" t="str">
        <f>VLOOKUP(Table1[[#This Row],[šifra]],Table6[],4,0)</f>
        <v>SANDRA</v>
      </c>
      <c r="D131" s="276" t="str">
        <f>VLOOKUP(A131,Table6[],21,0)</f>
        <v>66% - od prometa</v>
      </c>
      <c r="E131" s="314" t="str">
        <f>IF(poduzeća!AE128="","",poduzeća!AE128)</f>
        <v/>
      </c>
      <c r="F131" s="313" t="str">
        <f>IF(poduzeća!AF128="","",poduzeća!AF128)</f>
        <v/>
      </c>
      <c r="G131" s="295"/>
      <c r="H131" s="295"/>
      <c r="I131" s="322" t="s">
        <v>1105</v>
      </c>
      <c r="J131" s="302">
        <v>-497</v>
      </c>
      <c r="K131" s="696">
        <v>-497</v>
      </c>
      <c r="L131" s="322" t="s">
        <v>1105</v>
      </c>
      <c r="M131" s="302">
        <v>-497</v>
      </c>
      <c r="N131" s="676">
        <v>-355</v>
      </c>
      <c r="O131" s="322" t="s">
        <v>1105</v>
      </c>
      <c r="P131" s="677">
        <v>-355</v>
      </c>
      <c r="Q131" s="302">
        <v>-67</v>
      </c>
      <c r="R131" s="322" t="s">
        <v>1105</v>
      </c>
      <c r="S131" s="302">
        <v>-497</v>
      </c>
      <c r="T131" s="676">
        <v>-644</v>
      </c>
      <c r="U131" s="322" t="s">
        <v>1105</v>
      </c>
      <c r="V131" s="677">
        <v>-497</v>
      </c>
      <c r="W131" s="678">
        <f>-333+87.5</f>
        <v>-245.5</v>
      </c>
      <c r="X131" s="322" t="s">
        <v>1105</v>
      </c>
      <c r="Y131" s="302">
        <v>-260.55</v>
      </c>
      <c r="Z131" s="1061">
        <v>-294</v>
      </c>
      <c r="AA131" s="322" t="s">
        <v>1105</v>
      </c>
      <c r="AB131" s="302">
        <v>-260.55</v>
      </c>
      <c r="AC131" s="302">
        <v>-260</v>
      </c>
      <c r="AD131" s="697" t="s">
        <v>897</v>
      </c>
      <c r="AE131" s="302">
        <v>-260.55</v>
      </c>
      <c r="AF131" s="302"/>
      <c r="AG131" s="322" t="s">
        <v>1105</v>
      </c>
      <c r="AH131" s="302">
        <v>-260.55</v>
      </c>
      <c r="AI131" s="302"/>
      <c r="AJ131" s="322" t="s">
        <v>1105</v>
      </c>
      <c r="AK131" s="302">
        <v>-260.55</v>
      </c>
      <c r="AL131" s="302"/>
      <c r="AM131" s="322" t="s">
        <v>1105</v>
      </c>
      <c r="AN131" s="302">
        <v>-260.55</v>
      </c>
      <c r="AO131" s="302"/>
      <c r="AP131" s="322" t="s">
        <v>1105</v>
      </c>
      <c r="AQ131" s="302">
        <v>-260.55</v>
      </c>
      <c r="AR131" s="297"/>
      <c r="AS131" s="297"/>
      <c r="AT13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-4166.8500000000013</v>
      </c>
      <c r="AU13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-2362.5</v>
      </c>
      <c r="AV131" s="295"/>
      <c r="AW131" s="295"/>
      <c r="AX131" s="327"/>
      <c r="AY131" s="328"/>
      <c r="AZ131" s="288">
        <f>VLOOKUP(A131,Table6[],30,0)</f>
        <v>0</v>
      </c>
    </row>
    <row r="132" spans="1:52" ht="15" customHeight="1">
      <c r="A132" s="292">
        <v>128</v>
      </c>
      <c r="B132" s="277" t="str">
        <f>VLOOKUP(Table1[[#This Row],[šifra]],Table6[],2,0)</f>
        <v>SANSA MACHINE d.o.o.</v>
      </c>
      <c r="C132" s="277" t="str">
        <f>VLOOKUP(Table1[[#This Row],[šifra]],Table6[],4,0)</f>
        <v>NIKOLINA</v>
      </c>
      <c r="D132" s="276" t="str">
        <f>VLOOKUP(A132,Table6[],21,0)</f>
        <v>140 (+10%) +pdv /mj</v>
      </c>
      <c r="E132" s="314" t="str">
        <f>IF(poduzeća!AE129="","",poduzeća!AE129)</f>
        <v/>
      </c>
      <c r="F132" s="313" t="str">
        <f>IF(poduzeća!AF129="","",poduzeća!AF129)</f>
        <v/>
      </c>
      <c r="G132" s="295"/>
      <c r="H132" s="295"/>
      <c r="I132" s="322" t="s">
        <v>901</v>
      </c>
      <c r="J132" s="302">
        <f>140*1.1</f>
        <v>154</v>
      </c>
      <c r="K132" s="677">
        <v>154</v>
      </c>
      <c r="L132" s="322" t="s">
        <v>901</v>
      </c>
      <c r="M132" s="302">
        <f>140*1.1</f>
        <v>154</v>
      </c>
      <c r="N132" s="676">
        <v>154</v>
      </c>
      <c r="O132" s="322" t="s">
        <v>901</v>
      </c>
      <c r="P132" s="302">
        <f>140*1.1</f>
        <v>154</v>
      </c>
      <c r="Q132" s="302">
        <v>154</v>
      </c>
      <c r="R132" s="322" t="s">
        <v>901</v>
      </c>
      <c r="S132" s="302">
        <f>140*1.1</f>
        <v>154</v>
      </c>
      <c r="T132" s="956">
        <v>308</v>
      </c>
      <c r="U132" s="322" t="s">
        <v>901</v>
      </c>
      <c r="V132" s="302">
        <f>140*1.1</f>
        <v>154</v>
      </c>
      <c r="W132" s="678">
        <v>224</v>
      </c>
      <c r="X132" s="322" t="s">
        <v>901</v>
      </c>
      <c r="Y132" s="302">
        <f>140*1.1</f>
        <v>154</v>
      </c>
      <c r="Z132" s="675">
        <v>154</v>
      </c>
      <c r="AA132" s="322" t="s">
        <v>901</v>
      </c>
      <c r="AB132" s="302">
        <f>140*1.1</f>
        <v>154</v>
      </c>
      <c r="AC132" s="302">
        <v>154</v>
      </c>
      <c r="AD132" s="322" t="s">
        <v>901</v>
      </c>
      <c r="AE132" s="302">
        <f>140*1.1</f>
        <v>154</v>
      </c>
      <c r="AF132" s="302"/>
      <c r="AG132" s="322" t="s">
        <v>901</v>
      </c>
      <c r="AH132" s="302">
        <f>140*1.1</f>
        <v>154</v>
      </c>
      <c r="AI132" s="302"/>
      <c r="AJ132" s="322" t="s">
        <v>901</v>
      </c>
      <c r="AK132" s="302">
        <f>140*1.1</f>
        <v>154</v>
      </c>
      <c r="AL132" s="302"/>
      <c r="AM132" s="322" t="s">
        <v>901</v>
      </c>
      <c r="AN132" s="302">
        <f>140*1.1</f>
        <v>154</v>
      </c>
      <c r="AO132" s="302"/>
      <c r="AP132" s="322" t="s">
        <v>901</v>
      </c>
      <c r="AQ132" s="302">
        <f>140*1.1</f>
        <v>154</v>
      </c>
      <c r="AR132" s="297"/>
      <c r="AS132" s="297"/>
      <c r="AT13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1848</v>
      </c>
      <c r="AU13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1302</v>
      </c>
      <c r="AV132" s="295"/>
      <c r="AW132" s="295"/>
      <c r="AX132" s="327"/>
      <c r="AY132" s="328"/>
      <c r="AZ132" s="288">
        <f>VLOOKUP(A132,Table6[],30,0)</f>
        <v>0</v>
      </c>
    </row>
    <row r="133" spans="1:52" ht="18" customHeight="1">
      <c r="A133" s="292">
        <v>129</v>
      </c>
      <c r="B133" s="277" t="str">
        <f>VLOOKUP(Table1[[#This Row],[šifra]],Table6[],2,0)</f>
        <v>Sen desing sro</v>
      </c>
      <c r="C133" s="277" t="str">
        <f>VLOOKUP(Table1[[#This Row],[šifra]],Table6[],4,0)</f>
        <v>NITKO</v>
      </c>
      <c r="D133" s="276" t="str">
        <f>VLOOKUP(A133,Table6[],21,0)</f>
        <v>jednokratno godiőnje po dogovoru.. 600 eura godišnje-50 eura po mj</v>
      </c>
      <c r="E133" s="314" t="str">
        <f>IF(poduzeća!AE130="","",poduzeća!AE130)</f>
        <v/>
      </c>
      <c r="F133" s="313" t="str">
        <f>IF(poduzeća!AF130="","",poduzeća!AF130)</f>
        <v/>
      </c>
      <c r="G133" s="295"/>
      <c r="H133" s="295"/>
      <c r="I133" s="736" t="s">
        <v>897</v>
      </c>
      <c r="J133" s="524">
        <v>0</v>
      </c>
      <c r="K133" s="677">
        <v>0</v>
      </c>
      <c r="L133" s="736" t="s">
        <v>897</v>
      </c>
      <c r="M133" s="524"/>
      <c r="N133" s="838"/>
      <c r="O133" s="736" t="s">
        <v>897</v>
      </c>
      <c r="P133" s="899"/>
      <c r="Q133" s="302"/>
      <c r="R133" s="736" t="s">
        <v>897</v>
      </c>
      <c r="S133" s="524"/>
      <c r="T133" s="676"/>
      <c r="U133" s="736" t="s">
        <v>897</v>
      </c>
      <c r="V133" s="676"/>
      <c r="W133" s="678"/>
      <c r="X133" s="736" t="s">
        <v>897</v>
      </c>
      <c r="Y133" s="297"/>
      <c r="Z133" s="304"/>
      <c r="AA133" s="736" t="s">
        <v>897</v>
      </c>
      <c r="AB133" s="850"/>
      <c r="AC133" s="302"/>
      <c r="AD133" s="736" t="s">
        <v>897</v>
      </c>
      <c r="AE133" s="524"/>
      <c r="AF133" s="302"/>
      <c r="AG133" s="736" t="s">
        <v>897</v>
      </c>
      <c r="AH133" s="524"/>
      <c r="AI133" s="302"/>
      <c r="AJ133" s="736" t="s">
        <v>897</v>
      </c>
      <c r="AK133" s="524"/>
      <c r="AL133" s="302"/>
      <c r="AM133" s="736" t="s">
        <v>897</v>
      </c>
      <c r="AN133" s="524"/>
      <c r="AO133" s="302"/>
      <c r="AP133" s="736" t="s">
        <v>897</v>
      </c>
      <c r="AQ133" s="524"/>
      <c r="AR133" s="297"/>
      <c r="AS133" s="297"/>
      <c r="AT13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3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33" s="295"/>
      <c r="AW133" s="295"/>
      <c r="AX133" s="327"/>
      <c r="AY133" s="328"/>
      <c r="AZ133" s="288">
        <f>VLOOKUP(A133,Table6[],30,0)</f>
        <v>0</v>
      </c>
    </row>
    <row r="134" spans="1:52" ht="15" customHeight="1">
      <c r="A134" s="287">
        <v>130</v>
      </c>
      <c r="B134" s="276" t="str">
        <f>VLOOKUP(Table1[[#This Row],[šifra]],Table6[],2,0)</f>
        <v>Serafini d.o.o</v>
      </c>
      <c r="C134" s="276" t="str">
        <f>VLOOKUP(Table1[[#This Row],[šifra]],Table6[],4,0)</f>
        <v>NIKOLINA</v>
      </c>
      <c r="D134" s="276" t="str">
        <f>VLOOKUP(A134,Table6[],21,0)</f>
        <v>89,63 eur (+10%) +pdv /mj</v>
      </c>
      <c r="E134" s="314" t="str">
        <f>IF(poduzeća!AE131="","",poduzeća!AE131)</f>
        <v/>
      </c>
      <c r="F134" s="313" t="str">
        <f>IF(poduzeća!AF131="","",poduzeća!AF131)</f>
        <v/>
      </c>
      <c r="G134" s="293"/>
      <c r="H134" s="293"/>
      <c r="I134" s="289" t="s">
        <v>901</v>
      </c>
      <c r="J134" s="304">
        <f>79.63*1.1</f>
        <v>87.593000000000004</v>
      </c>
      <c r="K134" s="678">
        <v>88</v>
      </c>
      <c r="L134" s="289" t="s">
        <v>901</v>
      </c>
      <c r="M134" s="304">
        <v>88</v>
      </c>
      <c r="N134" s="675">
        <v>88</v>
      </c>
      <c r="O134" s="289" t="s">
        <v>901</v>
      </c>
      <c r="P134" s="304">
        <v>88</v>
      </c>
      <c r="Q134" s="304">
        <v>88</v>
      </c>
      <c r="R134" s="289" t="s">
        <v>901</v>
      </c>
      <c r="S134" s="304">
        <v>88</v>
      </c>
      <c r="T134" s="955">
        <v>176</v>
      </c>
      <c r="U134" s="289" t="s">
        <v>901</v>
      </c>
      <c r="V134" s="304">
        <v>88</v>
      </c>
      <c r="W134" s="678">
        <v>88</v>
      </c>
      <c r="X134" s="289" t="s">
        <v>901</v>
      </c>
      <c r="Y134" s="304">
        <v>88</v>
      </c>
      <c r="Z134" s="675">
        <v>88</v>
      </c>
      <c r="AA134" s="289" t="s">
        <v>901</v>
      </c>
      <c r="AB134" s="304">
        <v>88</v>
      </c>
      <c r="AC134" s="304">
        <v>88</v>
      </c>
      <c r="AD134" s="289" t="s">
        <v>901</v>
      </c>
      <c r="AE134" s="304">
        <v>88</v>
      </c>
      <c r="AF134" s="304"/>
      <c r="AG134" s="289" t="s">
        <v>901</v>
      </c>
      <c r="AH134" s="304">
        <v>88</v>
      </c>
      <c r="AI134" s="304"/>
      <c r="AJ134" s="289" t="s">
        <v>901</v>
      </c>
      <c r="AK134" s="304">
        <v>88</v>
      </c>
      <c r="AL134" s="304"/>
      <c r="AM134" s="289" t="s">
        <v>901</v>
      </c>
      <c r="AN134" s="304">
        <v>88</v>
      </c>
      <c r="AO134" s="304"/>
      <c r="AP134" s="289" t="s">
        <v>901</v>
      </c>
      <c r="AQ134" s="304">
        <v>88</v>
      </c>
      <c r="AR134" s="294"/>
      <c r="AS134" s="294"/>
      <c r="AT134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1055.5930000000001</v>
      </c>
      <c r="AU134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704</v>
      </c>
      <c r="AV134" s="293"/>
      <c r="AW134" s="293"/>
      <c r="AX134" s="327"/>
      <c r="AY134" s="328"/>
      <c r="AZ134" s="288">
        <f>VLOOKUP(A134,Table6[],30,0)</f>
        <v>0</v>
      </c>
    </row>
    <row r="135" spans="1:52" ht="30.75" customHeight="1">
      <c r="A135" s="292">
        <v>131</v>
      </c>
      <c r="B135" s="277" t="str">
        <f>VLOOKUP(Table1[[#This Row],[šifra]],Table6[],2,0)</f>
        <v>SILLER HANDELS GMBH</v>
      </c>
      <c r="C135" s="277" t="str">
        <f>VLOOKUP(Table1[[#This Row],[šifra]],Table6[],4,0)</f>
        <v>NIKOLINA</v>
      </c>
      <c r="D135" s="276" t="str">
        <f>VLOOKUP(A135,Table6[],21,0)</f>
        <v>50+PDV/MJ + 25 + PDV/za mjesece kad ima fiskalizaciju</v>
      </c>
      <c r="E135" s="314" t="str">
        <f>IF(poduzeća!AE132="","",poduzeća!AE132)</f>
        <v/>
      </c>
      <c r="F135" s="313" t="str">
        <f>IF(poduzeća!AF132="","",poduzeća!AF132)</f>
        <v/>
      </c>
      <c r="G135" s="295"/>
      <c r="H135" s="295"/>
      <c r="I135" s="322" t="s">
        <v>901</v>
      </c>
      <c r="J135" s="302">
        <f>50*1.1</f>
        <v>55.000000000000007</v>
      </c>
      <c r="K135" s="683">
        <v>55</v>
      </c>
      <c r="L135" s="322" t="s">
        <v>901</v>
      </c>
      <c r="M135" s="302">
        <f>50*1.1</f>
        <v>55.000000000000007</v>
      </c>
      <c r="N135" s="676">
        <v>55</v>
      </c>
      <c r="O135" s="322" t="s">
        <v>901</v>
      </c>
      <c r="P135" s="302">
        <f>50*1.1</f>
        <v>55.000000000000007</v>
      </c>
      <c r="Q135" s="302">
        <v>55</v>
      </c>
      <c r="R135" s="322" t="s">
        <v>901</v>
      </c>
      <c r="S135" s="302">
        <f>50*1.1</f>
        <v>55.000000000000007</v>
      </c>
      <c r="T135" s="956">
        <v>110</v>
      </c>
      <c r="U135" s="322" t="s">
        <v>901</v>
      </c>
      <c r="V135" s="302">
        <f>50*1.1</f>
        <v>55.000000000000007</v>
      </c>
      <c r="W135" s="678">
        <v>55</v>
      </c>
      <c r="X135" s="322" t="s">
        <v>901</v>
      </c>
      <c r="Y135" s="302">
        <f>50*1.1</f>
        <v>55.000000000000007</v>
      </c>
      <c r="Z135" s="675">
        <v>55</v>
      </c>
      <c r="AA135" s="322" t="s">
        <v>901</v>
      </c>
      <c r="AB135" s="302">
        <f>50*1.1</f>
        <v>55.000000000000007</v>
      </c>
      <c r="AC135" s="302">
        <v>55</v>
      </c>
      <c r="AD135" s="322" t="s">
        <v>901</v>
      </c>
      <c r="AE135" s="302">
        <f>50*1.1</f>
        <v>55.000000000000007</v>
      </c>
      <c r="AF135" s="302"/>
      <c r="AG135" s="322" t="s">
        <v>901</v>
      </c>
      <c r="AH135" s="302">
        <f>50*1.1</f>
        <v>55.000000000000007</v>
      </c>
      <c r="AI135" s="302"/>
      <c r="AJ135" s="322" t="s">
        <v>901</v>
      </c>
      <c r="AK135" s="302">
        <f>50*1.1</f>
        <v>55.000000000000007</v>
      </c>
      <c r="AL135" s="302"/>
      <c r="AM135" s="322" t="s">
        <v>901</v>
      </c>
      <c r="AN135" s="302">
        <f>50*1.1</f>
        <v>55.000000000000007</v>
      </c>
      <c r="AO135" s="302"/>
      <c r="AP135" s="322" t="s">
        <v>901</v>
      </c>
      <c r="AQ135" s="302">
        <f>50*1.1</f>
        <v>55.000000000000007</v>
      </c>
      <c r="AR135" s="297"/>
      <c r="AS135" s="297"/>
      <c r="AT135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660.00000000000011</v>
      </c>
      <c r="AU13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440</v>
      </c>
      <c r="AV135" s="295"/>
      <c r="AW135" s="295"/>
      <c r="AX135" s="327"/>
      <c r="AY135" s="328"/>
      <c r="AZ135" s="288">
        <f>VLOOKUP(A135,Table6[],30,0)</f>
        <v>0</v>
      </c>
    </row>
    <row r="136" spans="1:52" s="75" customFormat="1" ht="15.75" customHeight="1">
      <c r="A136" s="287">
        <v>132</v>
      </c>
      <c r="B136" s="276" t="str">
        <f>VLOOKUP(Table1[[#This Row],[šifra]],Table6[],2,0)</f>
        <v>SIMON PETER</v>
      </c>
      <c r="C136" s="276" t="str">
        <f>VLOOKUP(Table1[[#This Row],[šifra]],Table6[],4,0)</f>
        <v>PONEKAD</v>
      </c>
      <c r="D136" s="276" t="str">
        <f>VLOOKUP(A136,Table6[],21,0)</f>
        <v>??? havi 40 eur pitaj gabrijelu</v>
      </c>
      <c r="E136" s="314" t="str">
        <f>IF(poduzeća!AE133="","",poduzeća!AE133)</f>
        <v/>
      </c>
      <c r="F136" s="313" t="str">
        <f>IF(poduzeća!AF133="","",poduzeća!AF133)</f>
        <v/>
      </c>
      <c r="G136" s="293">
        <v>1000</v>
      </c>
      <c r="H136" s="293"/>
      <c r="I136" s="289"/>
      <c r="J136" s="304"/>
      <c r="K136" s="304"/>
      <c r="L136" s="289"/>
      <c r="M136" s="304"/>
      <c r="N136" s="294"/>
      <c r="O136" s="289"/>
      <c r="P136" s="304"/>
      <c r="Q136" s="304"/>
      <c r="R136" s="289"/>
      <c r="S136" s="304"/>
      <c r="T136" s="675"/>
      <c r="U136" s="289"/>
      <c r="V136" s="304"/>
      <c r="W136" s="304"/>
      <c r="X136" s="289"/>
      <c r="Y136" s="304"/>
      <c r="Z136" s="294"/>
      <c r="AA136" s="289"/>
      <c r="AB136" s="304"/>
      <c r="AC136" s="304"/>
      <c r="AD136" s="289"/>
      <c r="AE136" s="304"/>
      <c r="AF136" s="304"/>
      <c r="AG136" s="289"/>
      <c r="AH136" s="304"/>
      <c r="AI136" s="304"/>
      <c r="AJ136" s="289"/>
      <c r="AK136" s="304"/>
      <c r="AL136" s="304"/>
      <c r="AM136" s="289"/>
      <c r="AN136" s="304"/>
      <c r="AO136" s="304"/>
      <c r="AP136" s="289"/>
      <c r="AQ136" s="304"/>
      <c r="AR136" s="294"/>
      <c r="AS136" s="294"/>
      <c r="AT136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36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36" s="293"/>
      <c r="AW136" s="293"/>
      <c r="AX136" s="327"/>
      <c r="AY136" s="328"/>
      <c r="AZ136" s="288">
        <f>VLOOKUP(A136,Table6[],30,0)</f>
        <v>45930</v>
      </c>
    </row>
    <row r="137" spans="1:52" ht="14.25" customHeight="1">
      <c r="A137" s="287">
        <v>133</v>
      </c>
      <c r="B137" s="276" t="str">
        <f>VLOOKUP(Table1[[#This Row],[šifra]],Table6[],2,0)</f>
        <v>SO CONSULTING d.o.o.</v>
      </c>
      <c r="C137" s="276" t="str">
        <f>VLOOKUP(Table1[[#This Row],[šifra]],Table6[],4,0)</f>
        <v>GABRIJELA</v>
      </c>
      <c r="D137" s="276" t="str">
        <f>VLOOKUP(A137,Table6[],21,0)</f>
        <v>???70(+10%)+minimax+pdv /3mj</v>
      </c>
      <c r="E137" s="314" t="str">
        <f>IF(poduzeća!AE134="","",poduzeća!AE134)</f>
        <v/>
      </c>
      <c r="F137" s="313" t="str">
        <f>IF(poduzeća!AF134="","",poduzeća!AF134)</f>
        <v/>
      </c>
      <c r="G137" s="1045">
        <v>152.5</v>
      </c>
      <c r="H137" s="293"/>
      <c r="I137" s="289" t="s">
        <v>892</v>
      </c>
      <c r="J137" s="304"/>
      <c r="K137" s="304"/>
      <c r="L137" s="289" t="s">
        <v>892</v>
      </c>
      <c r="M137" s="304"/>
      <c r="N137" s="294"/>
      <c r="O137" s="289" t="s">
        <v>892</v>
      </c>
      <c r="P137" s="304">
        <f>82.5+30</f>
        <v>112.5</v>
      </c>
      <c r="Q137" s="678">
        <v>107</v>
      </c>
      <c r="R137" s="289" t="s">
        <v>892</v>
      </c>
      <c r="S137" s="304"/>
      <c r="T137" s="675"/>
      <c r="U137" s="289" t="s">
        <v>892</v>
      </c>
      <c r="V137" s="304"/>
      <c r="W137" s="304"/>
      <c r="X137" s="289" t="s">
        <v>892</v>
      </c>
      <c r="Y137" s="304">
        <f>82.5+30</f>
        <v>112.5</v>
      </c>
      <c r="Z137" s="294">
        <v>107</v>
      </c>
      <c r="AA137" s="289" t="s">
        <v>892</v>
      </c>
      <c r="AB137" s="304"/>
      <c r="AC137" s="304"/>
      <c r="AD137" s="289" t="s">
        <v>892</v>
      </c>
      <c r="AE137" s="304"/>
      <c r="AF137" s="304"/>
      <c r="AG137" s="289" t="s">
        <v>892</v>
      </c>
      <c r="AH137" s="304">
        <f>85+30</f>
        <v>115</v>
      </c>
      <c r="AI137" s="304"/>
      <c r="AJ137" s="289" t="s">
        <v>892</v>
      </c>
      <c r="AK137" s="304"/>
      <c r="AL137" s="304"/>
      <c r="AM137" s="289" t="s">
        <v>892</v>
      </c>
      <c r="AN137" s="304"/>
      <c r="AO137" s="304"/>
      <c r="AP137" s="289" t="s">
        <v>892</v>
      </c>
      <c r="AQ137" s="304">
        <v>112.5</v>
      </c>
      <c r="AR137" s="294"/>
      <c r="AS137" s="294"/>
      <c r="AT137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452.5</v>
      </c>
      <c r="AU137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214</v>
      </c>
      <c r="AV137" s="293"/>
      <c r="AW137" s="293"/>
      <c r="AX137" s="327"/>
      <c r="AY137" s="328"/>
      <c r="AZ137" s="288">
        <f>VLOOKUP(A137,Table6[],30,0)</f>
        <v>0</v>
      </c>
    </row>
    <row r="138" spans="1:52" ht="15" customHeight="1">
      <c r="A138" s="292">
        <v>134</v>
      </c>
      <c r="B138" s="277" t="str">
        <f>VLOOKUP(Table1[[#This Row],[šifra]],Table6[],2,0)</f>
        <v>Speed Box j.d.o.o.</v>
      </c>
      <c r="C138" s="277" t="str">
        <f>VLOOKUP(Table1[[#This Row],[šifra]],Table6[],4,0)</f>
        <v>F. MARKO</v>
      </c>
      <c r="D138" s="276" t="str">
        <f>VLOOKUP(A138,Table6[],21,0)</f>
        <v>FRANŠIZA</v>
      </c>
      <c r="E138" s="314" t="str">
        <f>IF(poduzeća!AE135="","",poduzeća!AE135)</f>
        <v/>
      </c>
      <c r="F138" s="313" t="str">
        <f>IF(poduzeća!AF135="","",poduzeća!AF135)</f>
        <v/>
      </c>
      <c r="G138" s="295"/>
      <c r="H138" s="295"/>
      <c r="I138" s="736" t="s">
        <v>897</v>
      </c>
      <c r="J138" s="302"/>
      <c r="K138" s="302"/>
      <c r="L138" s="736" t="s">
        <v>897</v>
      </c>
      <c r="M138" s="302"/>
      <c r="N138" s="838"/>
      <c r="O138" s="736" t="s">
        <v>897</v>
      </c>
      <c r="P138" s="302"/>
      <c r="Q138" s="302"/>
      <c r="R138" s="736" t="s">
        <v>897</v>
      </c>
      <c r="S138" s="302"/>
      <c r="T138" s="676">
        <v>-50</v>
      </c>
      <c r="U138" s="736" t="s">
        <v>897</v>
      </c>
      <c r="V138" s="302"/>
      <c r="W138" s="304"/>
      <c r="X138" s="736" t="s">
        <v>897</v>
      </c>
      <c r="Y138" s="302"/>
      <c r="Z138" s="294"/>
      <c r="AA138" s="736" t="s">
        <v>897</v>
      </c>
      <c r="AB138" s="302"/>
      <c r="AC138" s="302"/>
      <c r="AD138" s="736" t="s">
        <v>897</v>
      </c>
      <c r="AE138" s="302"/>
      <c r="AF138" s="302"/>
      <c r="AG138" s="736" t="s">
        <v>897</v>
      </c>
      <c r="AH138" s="302"/>
      <c r="AI138" s="302"/>
      <c r="AJ138" s="736" t="s">
        <v>897</v>
      </c>
      <c r="AK138" s="302"/>
      <c r="AL138" s="302"/>
      <c r="AM138" s="736" t="s">
        <v>897</v>
      </c>
      <c r="AN138" s="302"/>
      <c r="AO138" s="302"/>
      <c r="AP138" s="736" t="s">
        <v>897</v>
      </c>
      <c r="AQ138" s="302"/>
      <c r="AR138" s="297"/>
      <c r="AS138" s="297"/>
      <c r="AT13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3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-50</v>
      </c>
      <c r="AV138" s="295"/>
      <c r="AW138" s="295"/>
      <c r="AX138" s="327"/>
      <c r="AY138" s="328"/>
      <c r="AZ138" s="288">
        <f>VLOOKUP(A138,Table6[],30,0)</f>
        <v>0</v>
      </c>
    </row>
    <row r="139" spans="1:52" ht="15" customHeight="1">
      <c r="A139" s="292">
        <v>135</v>
      </c>
      <c r="B139" s="277" t="str">
        <f>VLOOKUP(Table1[[#This Row],[šifra]],Table6[],2,0)</f>
        <v>Sporteex Marketing KFT</v>
      </c>
      <c r="C139" s="277" t="str">
        <f>VLOOKUP(Table1[[#This Row],[šifra]],Table6[],4,0)</f>
        <v>LAURA</v>
      </c>
      <c r="D139" s="276" t="str">
        <f>VLOOKUP(A139,Table6[],21,0)</f>
        <v>50(+10%)+minimax+pdv /mj</v>
      </c>
      <c r="E139" s="314" t="str">
        <f>IF(poduzeća!AE136="","",poduzeća!AE136)</f>
        <v/>
      </c>
      <c r="F139" s="313" t="str">
        <f>IF(poduzeća!AF136="","",poduzeća!AF136)</f>
        <v/>
      </c>
      <c r="G139" s="295">
        <v>-13.75</v>
      </c>
      <c r="H139" s="295"/>
      <c r="I139" s="325" t="s">
        <v>892</v>
      </c>
      <c r="J139" s="302">
        <f>50*1.1</f>
        <v>55.000000000000007</v>
      </c>
      <c r="K139" s="302">
        <v>55</v>
      </c>
      <c r="L139" s="325" t="s">
        <v>892</v>
      </c>
      <c r="M139" s="302">
        <v>55</v>
      </c>
      <c r="N139" s="297">
        <v>55</v>
      </c>
      <c r="O139" s="325" t="s">
        <v>892</v>
      </c>
      <c r="P139" s="302">
        <v>55</v>
      </c>
      <c r="Q139" s="677">
        <v>55</v>
      </c>
      <c r="R139" s="325" t="s">
        <v>892</v>
      </c>
      <c r="S139" s="302">
        <f>50*1.1</f>
        <v>55.000000000000007</v>
      </c>
      <c r="T139" s="956">
        <v>55</v>
      </c>
      <c r="U139" s="325" t="s">
        <v>892</v>
      </c>
      <c r="V139" s="302">
        <f>50*1.1</f>
        <v>55.000000000000007</v>
      </c>
      <c r="W139" s="678">
        <v>55</v>
      </c>
      <c r="X139" s="325" t="s">
        <v>892</v>
      </c>
      <c r="Y139" s="302">
        <f>50*1.1</f>
        <v>55.000000000000007</v>
      </c>
      <c r="Z139" s="675">
        <v>55</v>
      </c>
      <c r="AA139" s="325" t="s">
        <v>892</v>
      </c>
      <c r="AB139" s="302">
        <f>50*1.1</f>
        <v>55.000000000000007</v>
      </c>
      <c r="AC139" s="302">
        <v>55</v>
      </c>
      <c r="AD139" s="736" t="s">
        <v>897</v>
      </c>
      <c r="AE139" s="302">
        <f>50*1.1</f>
        <v>55.000000000000007</v>
      </c>
      <c r="AF139" s="302">
        <v>55</v>
      </c>
      <c r="AG139" s="736" t="s">
        <v>897</v>
      </c>
      <c r="AH139" s="302">
        <f>50*1.1</f>
        <v>55.000000000000007</v>
      </c>
      <c r="AI139" s="302"/>
      <c r="AJ139" s="736" t="s">
        <v>897</v>
      </c>
      <c r="AK139" s="302">
        <f>50*1.1</f>
        <v>55.000000000000007</v>
      </c>
      <c r="AL139" s="302"/>
      <c r="AM139" s="736" t="s">
        <v>897</v>
      </c>
      <c r="AN139" s="302">
        <f>50*1.1</f>
        <v>55.000000000000007</v>
      </c>
      <c r="AO139" s="302"/>
      <c r="AP139" s="736" t="s">
        <v>897</v>
      </c>
      <c r="AQ139" s="302">
        <f>50*1.1</f>
        <v>55.000000000000007</v>
      </c>
      <c r="AR139" s="297"/>
      <c r="AS139" s="297"/>
      <c r="AT13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660</v>
      </c>
      <c r="AU13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440</v>
      </c>
      <c r="AV139" s="295">
        <v>45292</v>
      </c>
      <c r="AW139" s="295"/>
      <c r="AX139" s="327"/>
      <c r="AY139" s="328"/>
      <c r="AZ139" s="288">
        <f>VLOOKUP(A139,Table6[],30,0)</f>
        <v>0</v>
      </c>
    </row>
    <row r="140" spans="1:52" ht="15" customHeight="1">
      <c r="A140" s="292">
        <v>136</v>
      </c>
      <c r="B140" s="277" t="str">
        <f>VLOOKUP(Table1[[#This Row],[šifra]],Table6[],2,0)</f>
        <v xml:space="preserve">NAGY ZSUZSANNA JOZSEFNE SUKI </v>
      </c>
      <c r="C140" s="277" t="str">
        <f>VLOOKUP(Table1[[#This Row],[šifra]],Table6[],4,0)</f>
        <v>GABRIJELA</v>
      </c>
      <c r="D140" s="276" t="str">
        <f>VLOOKUP(A140,Table6[],21,0)</f>
        <v>40(+10%)+pdv /mj</v>
      </c>
      <c r="E140" s="314" t="str">
        <f>IF(poduzeća!AE137="","",poduzeća!AE137)</f>
        <v/>
      </c>
      <c r="F140" s="313" t="str">
        <f>IF(poduzeća!AF137="","",poduzeća!AF137)</f>
        <v/>
      </c>
      <c r="G140" s="1045">
        <v>580.53</v>
      </c>
      <c r="H140" s="1016"/>
      <c r="I140" s="322" t="s">
        <v>892</v>
      </c>
      <c r="J140" s="302">
        <f>40*1.1</f>
        <v>44</v>
      </c>
      <c r="K140" s="302">
        <v>44</v>
      </c>
      <c r="L140" s="610" t="s">
        <v>892</v>
      </c>
      <c r="M140" s="302">
        <f>40*1.1</f>
        <v>44</v>
      </c>
      <c r="N140" s="297">
        <v>44</v>
      </c>
      <c r="O140" s="610" t="s">
        <v>892</v>
      </c>
      <c r="P140" s="874">
        <f>40*1.1</f>
        <v>44</v>
      </c>
      <c r="Q140" s="677">
        <v>44</v>
      </c>
      <c r="R140" s="610" t="s">
        <v>892</v>
      </c>
      <c r="S140" s="302">
        <f>40*1.1</f>
        <v>44</v>
      </c>
      <c r="T140" s="956">
        <v>44</v>
      </c>
      <c r="U140" s="610" t="s">
        <v>892</v>
      </c>
      <c r="V140" s="302">
        <f>40*1.1</f>
        <v>44</v>
      </c>
      <c r="W140" s="678">
        <v>132</v>
      </c>
      <c r="X140" s="610" t="s">
        <v>892</v>
      </c>
      <c r="Y140" s="310"/>
      <c r="Z140" s="675">
        <v>150</v>
      </c>
      <c r="AA140" s="610" t="s">
        <v>892</v>
      </c>
      <c r="AB140" s="302"/>
      <c r="AC140" s="302"/>
      <c r="AD140" s="610" t="s">
        <v>892</v>
      </c>
      <c r="AE140" s="302">
        <f>40*1.1</f>
        <v>44</v>
      </c>
      <c r="AF140" s="302"/>
      <c r="AG140" s="610" t="s">
        <v>892</v>
      </c>
      <c r="AH140" s="302">
        <f>40*1.1</f>
        <v>44</v>
      </c>
      <c r="AI140" s="302"/>
      <c r="AJ140" s="610" t="s">
        <v>892</v>
      </c>
      <c r="AK140" s="302">
        <f>40*1.1</f>
        <v>44</v>
      </c>
      <c r="AL140" s="302"/>
      <c r="AM140" s="610" t="s">
        <v>892</v>
      </c>
      <c r="AN140" s="302">
        <f>40*1.1</f>
        <v>44</v>
      </c>
      <c r="AO140" s="302"/>
      <c r="AP140" s="610" t="s">
        <v>892</v>
      </c>
      <c r="AQ140" s="302">
        <f>40*1.1</f>
        <v>44</v>
      </c>
      <c r="AR140" s="297"/>
      <c r="AS140" s="297"/>
      <c r="AT14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440</v>
      </c>
      <c r="AU14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458</v>
      </c>
      <c r="AV140" s="295"/>
      <c r="AW140" s="295"/>
      <c r="AX140" s="327"/>
      <c r="AY140" s="328"/>
      <c r="AZ140" s="288">
        <f>VLOOKUP(A140,Table6[],30,0)</f>
        <v>0</v>
      </c>
    </row>
    <row r="141" spans="1:52" ht="18.75" customHeight="1">
      <c r="A141" s="292">
        <v>137</v>
      </c>
      <c r="B141" s="277" t="str">
        <f>VLOOKUP(Table1[[#This Row],[šifra]],Table6[],2,0)</f>
        <v>SU-KO CONSULTING d.o.o.</v>
      </c>
      <c r="C141" s="277" t="str">
        <f>VLOOKUP(Table1[[#This Row],[šifra]],Table6[],4,0)</f>
        <v>NIKOLINA</v>
      </c>
      <c r="D141" s="276" t="str">
        <f>VLOOKUP(A141,Table6[],21,0)</f>
        <v>115(+10%)+pdv /mj</v>
      </c>
      <c r="E141" s="314" t="str">
        <f>IF(poduzeća!AE138="","",poduzeća!AE138)</f>
        <v>1.5.2023</v>
      </c>
      <c r="F141" s="313">
        <f>IF(poduzeća!AF138="","",poduzeća!AF138)</f>
        <v>500</v>
      </c>
      <c r="G141" s="295">
        <v>158.13</v>
      </c>
      <c r="H141" s="295"/>
      <c r="I141" s="325" t="s">
        <v>892</v>
      </c>
      <c r="J141" s="302">
        <f>115*1.1</f>
        <v>126.50000000000001</v>
      </c>
      <c r="K141" s="302">
        <v>126.4</v>
      </c>
      <c r="L141" s="325" t="s">
        <v>892</v>
      </c>
      <c r="M141" s="302">
        <v>126.4</v>
      </c>
      <c r="N141" s="297">
        <v>126.4</v>
      </c>
      <c r="O141" s="325" t="s">
        <v>892</v>
      </c>
      <c r="P141" s="302">
        <f>115*1.1</f>
        <v>126.50000000000001</v>
      </c>
      <c r="Q141" s="677">
        <v>126.4</v>
      </c>
      <c r="R141" s="325" t="s">
        <v>892</v>
      </c>
      <c r="S141" s="302">
        <v>126.5</v>
      </c>
      <c r="T141" s="956">
        <v>253</v>
      </c>
      <c r="U141" s="325" t="s">
        <v>892</v>
      </c>
      <c r="V141" s="867">
        <f>(115*1.1)+500</f>
        <v>626.5</v>
      </c>
      <c r="W141" s="678">
        <v>626.5</v>
      </c>
      <c r="X141" s="325" t="s">
        <v>892</v>
      </c>
      <c r="Y141" s="302">
        <f>115*1.1</f>
        <v>126.50000000000001</v>
      </c>
      <c r="Z141" s="678">
        <v>126.5</v>
      </c>
      <c r="AA141" s="325" t="s">
        <v>892</v>
      </c>
      <c r="AB141" s="302">
        <f>115*1.1</f>
        <v>126.50000000000001</v>
      </c>
      <c r="AC141" s="304">
        <v>126.5</v>
      </c>
      <c r="AD141" s="736" t="s">
        <v>897</v>
      </c>
      <c r="AE141" s="302">
        <f>115*1.1</f>
        <v>126.50000000000001</v>
      </c>
      <c r="AF141" s="304"/>
      <c r="AG141" s="736" t="s">
        <v>897</v>
      </c>
      <c r="AH141" s="302">
        <f>115*1.1</f>
        <v>126.50000000000001</v>
      </c>
      <c r="AI141" s="304"/>
      <c r="AJ141" s="736" t="s">
        <v>897</v>
      </c>
      <c r="AK141" s="302">
        <f>115*1.1</f>
        <v>126.50000000000001</v>
      </c>
      <c r="AL141" s="304"/>
      <c r="AM141" s="736" t="s">
        <v>897</v>
      </c>
      <c r="AN141" s="302">
        <f>115*1.1</f>
        <v>126.50000000000001</v>
      </c>
      <c r="AO141" s="304"/>
      <c r="AP141" s="736" t="s">
        <v>897</v>
      </c>
      <c r="AQ141" s="302">
        <f>115*1.1</f>
        <v>126.50000000000001</v>
      </c>
      <c r="AR141" s="304"/>
      <c r="AS141" s="304"/>
      <c r="AT14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2017.9</v>
      </c>
      <c r="AU14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1511.7</v>
      </c>
      <c r="AV141" s="295"/>
      <c r="AW141" s="295"/>
      <c r="AX141" s="327"/>
      <c r="AY141" s="328"/>
      <c r="AZ141" s="288">
        <f>VLOOKUP(A141,Table6[],30,0)</f>
        <v>0</v>
      </c>
    </row>
    <row r="142" spans="1:52" ht="15" customHeight="1">
      <c r="A142" s="292">
        <v>138</v>
      </c>
      <c r="B142" s="277" t="str">
        <f>VLOOKUP(Table1[[#This Row],[šifra]],Table6[],2,0)</f>
        <v xml:space="preserve">SUNREG / GRENECO d.o.o. </v>
      </c>
      <c r="C142" s="277" t="str">
        <f>VLOOKUP(Table1[[#This Row],[šifra]],Table6[],4,0)</f>
        <v>LAURA</v>
      </c>
      <c r="D142" s="276" t="str">
        <f>VLOOKUP(A142,Table6[],21,0)</f>
        <v>???250 eur/mj od  ///6. mj 100/mj  (+10%) /mj</v>
      </c>
      <c r="E142" s="314" t="str">
        <f>IF(poduzeća!AE139="","",poduzeća!AE139)</f>
        <v>1.3.2023</v>
      </c>
      <c r="F142" s="313">
        <f>IF(poduzeća!AF139="","",poduzeća!AF139)</f>
        <v>500</v>
      </c>
      <c r="G142" s="295">
        <v>1800</v>
      </c>
      <c r="H142" s="295"/>
      <c r="I142" s="736" t="s">
        <v>897</v>
      </c>
      <c r="J142" s="302">
        <f>100*1.1</f>
        <v>110.00000000000001</v>
      </c>
      <c r="K142" s="677">
        <v>110</v>
      </c>
      <c r="L142" s="736" t="s">
        <v>897</v>
      </c>
      <c r="M142" s="302">
        <f>100*1.1</f>
        <v>110.00000000000001</v>
      </c>
      <c r="N142" s="676">
        <v>110</v>
      </c>
      <c r="O142" s="736" t="s">
        <v>897</v>
      </c>
      <c r="P142" s="302">
        <f>100*1.1+500</f>
        <v>610</v>
      </c>
      <c r="Q142" s="302">
        <v>610</v>
      </c>
      <c r="R142" s="736" t="s">
        <v>897</v>
      </c>
      <c r="S142" s="302">
        <f>100*1.1</f>
        <v>110.00000000000001</v>
      </c>
      <c r="T142" s="956">
        <v>110</v>
      </c>
      <c r="U142" s="736" t="s">
        <v>897</v>
      </c>
      <c r="V142" s="302"/>
      <c r="W142" s="304"/>
      <c r="X142" s="736" t="s">
        <v>897</v>
      </c>
      <c r="Y142" s="302"/>
      <c r="Z142" s="304"/>
      <c r="AA142" s="736" t="s">
        <v>897</v>
      </c>
      <c r="AB142" s="302"/>
      <c r="AC142" s="304"/>
      <c r="AD142" s="736" t="s">
        <v>897</v>
      </c>
      <c r="AE142" s="302"/>
      <c r="AF142" s="302"/>
      <c r="AG142" s="736" t="s">
        <v>897</v>
      </c>
      <c r="AH142" s="302"/>
      <c r="AI142" s="302"/>
      <c r="AJ142" s="736" t="s">
        <v>897</v>
      </c>
      <c r="AK142" s="302"/>
      <c r="AL142" s="302"/>
      <c r="AM142" s="736" t="s">
        <v>897</v>
      </c>
      <c r="AN142" s="302"/>
      <c r="AO142" s="302"/>
      <c r="AP142" s="736" t="s">
        <v>897</v>
      </c>
      <c r="AQ142" s="302"/>
      <c r="AR142" s="304"/>
      <c r="AS142" s="304"/>
      <c r="AT14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940</v>
      </c>
      <c r="AU14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940</v>
      </c>
      <c r="AV142" s="295"/>
      <c r="AW142" s="295"/>
      <c r="AX142" s="327"/>
      <c r="AY142" s="328"/>
      <c r="AZ142" s="288">
        <f>VLOOKUP(A142,Table6[],30,0)</f>
        <v>0</v>
      </c>
    </row>
    <row r="143" spans="1:52" ht="15" customHeight="1">
      <c r="A143" s="292">
        <v>139</v>
      </c>
      <c r="B143" s="277" t="str">
        <f>VLOOKUP(Table1[[#This Row],[šifra]],Table6[],2,0)</f>
        <v>SUTRA-TECH d.o.o.</v>
      </c>
      <c r="C143" s="277" t="str">
        <f>VLOOKUP(Table1[[#This Row],[šifra]],Table6[],4,0)</f>
        <v>KP/MARKO</v>
      </c>
      <c r="D143" s="276" t="str">
        <f>VLOOKUP(A143,Table6[],21,0)</f>
        <v>30(+10 %) /mj</v>
      </c>
      <c r="E143" s="314" t="str">
        <f>IF(poduzeća!AE140="","",poduzeća!AE140)</f>
        <v>1.12.2022</v>
      </c>
      <c r="F143" s="313">
        <f>IF(poduzeća!AF140="","",poduzeća!AF140)</f>
        <v>500</v>
      </c>
      <c r="G143" s="295">
        <v>956.25</v>
      </c>
      <c r="H143" s="295"/>
      <c r="I143" s="736" t="s">
        <v>897</v>
      </c>
      <c r="J143" s="302">
        <f>30*1.1</f>
        <v>33</v>
      </c>
      <c r="K143" s="677">
        <v>33</v>
      </c>
      <c r="L143" s="736" t="s">
        <v>897</v>
      </c>
      <c r="M143" s="302">
        <f>30*1.1</f>
        <v>33</v>
      </c>
      <c r="N143" s="676">
        <v>33</v>
      </c>
      <c r="O143" s="736" t="s">
        <v>897</v>
      </c>
      <c r="P143" s="677">
        <v>33</v>
      </c>
      <c r="Q143" s="302">
        <v>33</v>
      </c>
      <c r="R143" s="736" t="s">
        <v>897</v>
      </c>
      <c r="S143" s="302">
        <f>30*1.1</f>
        <v>33</v>
      </c>
      <c r="T143" s="977">
        <v>33</v>
      </c>
      <c r="U143" s="736" t="s">
        <v>897</v>
      </c>
      <c r="V143" s="302">
        <f>30*1.1</f>
        <v>33</v>
      </c>
      <c r="W143" s="678">
        <v>33</v>
      </c>
      <c r="X143" s="736" t="s">
        <v>897</v>
      </c>
      <c r="Y143" s="302">
        <f>30*1.1</f>
        <v>33</v>
      </c>
      <c r="Z143" s="835">
        <v>33</v>
      </c>
      <c r="AA143" s="736" t="s">
        <v>897</v>
      </c>
      <c r="AB143" s="302">
        <f>30*1.1</f>
        <v>33</v>
      </c>
      <c r="AC143" s="304">
        <v>33</v>
      </c>
      <c r="AD143" s="736" t="s">
        <v>897</v>
      </c>
      <c r="AE143" s="302">
        <f>30*1.1</f>
        <v>33</v>
      </c>
      <c r="AF143" s="302"/>
      <c r="AG143" s="736" t="s">
        <v>897</v>
      </c>
      <c r="AH143" s="302">
        <f>30*1.1</f>
        <v>33</v>
      </c>
      <c r="AI143" s="302"/>
      <c r="AJ143" s="736" t="s">
        <v>897</v>
      </c>
      <c r="AK143" s="302">
        <f>30*1.1</f>
        <v>33</v>
      </c>
      <c r="AL143" s="302"/>
      <c r="AM143" s="736" t="s">
        <v>897</v>
      </c>
      <c r="AN143" s="302">
        <f>30*1.1</f>
        <v>33</v>
      </c>
      <c r="AO143" s="302"/>
      <c r="AP143" s="736" t="s">
        <v>897</v>
      </c>
      <c r="AQ143" s="302">
        <f>30*1.1+500</f>
        <v>533</v>
      </c>
      <c r="AR143" s="304"/>
      <c r="AS143" s="304"/>
      <c r="AT14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896</v>
      </c>
      <c r="AU14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231</v>
      </c>
      <c r="AV143" s="295"/>
      <c r="AW143" s="295"/>
      <c r="AX143" s="327"/>
      <c r="AY143" s="328"/>
      <c r="AZ143" s="288">
        <f>VLOOKUP(A143,Table6[],30,0)</f>
        <v>0</v>
      </c>
    </row>
    <row r="144" spans="1:52" ht="15" customHeight="1">
      <c r="A144" s="292">
        <v>140</v>
      </c>
      <c r="B144" s="277" t="str">
        <f>VLOOKUP(Table1[[#This Row],[šifra]],Table6[],2,0)</f>
        <v>Sweet and Beauty j.d.o.o.</v>
      </c>
      <c r="C144" s="277" t="str">
        <f>VLOOKUP(Table1[[#This Row],[šifra]],Table6[],4,0)</f>
        <v>NIKOLINA</v>
      </c>
      <c r="D144" s="276" t="str">
        <f>VLOOKUP(A144,Table6[],21,0)</f>
        <v>106,18 (+10%)+pdv /mj</v>
      </c>
      <c r="E144" s="314" t="str">
        <f>IF(poduzeća!AE141="","",poduzeća!AE141)</f>
        <v/>
      </c>
      <c r="F144" s="313" t="str">
        <f>IF(poduzeća!AF141="","",poduzeća!AF141)</f>
        <v/>
      </c>
      <c r="G144" s="295">
        <v>292.5</v>
      </c>
      <c r="H144" s="295"/>
      <c r="I144" s="322" t="s">
        <v>901</v>
      </c>
      <c r="J144" s="302">
        <v>117</v>
      </c>
      <c r="K144" s="677">
        <v>117</v>
      </c>
      <c r="L144" s="322" t="s">
        <v>901</v>
      </c>
      <c r="M144" s="302">
        <v>117</v>
      </c>
      <c r="N144" s="676">
        <v>117</v>
      </c>
      <c r="O144" s="322" t="s">
        <v>901</v>
      </c>
      <c r="P144" s="302">
        <v>117</v>
      </c>
      <c r="Q144" s="302">
        <v>117</v>
      </c>
      <c r="R144" s="322" t="s">
        <v>901</v>
      </c>
      <c r="S144" s="302">
        <v>117</v>
      </c>
      <c r="T144" s="956">
        <v>234</v>
      </c>
      <c r="U144" s="322" t="s">
        <v>901</v>
      </c>
      <c r="V144" s="302">
        <v>117</v>
      </c>
      <c r="W144" s="678">
        <v>117</v>
      </c>
      <c r="X144" s="322" t="s">
        <v>901</v>
      </c>
      <c r="Y144" s="302">
        <v>117</v>
      </c>
      <c r="Z144" s="678">
        <v>117</v>
      </c>
      <c r="AA144" s="322" t="s">
        <v>901</v>
      </c>
      <c r="AB144" s="302">
        <v>117</v>
      </c>
      <c r="AC144" s="304">
        <v>117</v>
      </c>
      <c r="AD144" s="322" t="s">
        <v>901</v>
      </c>
      <c r="AE144" s="302">
        <v>117</v>
      </c>
      <c r="AF144" s="302"/>
      <c r="AG144" s="322" t="s">
        <v>901</v>
      </c>
      <c r="AH144" s="302">
        <v>117</v>
      </c>
      <c r="AI144" s="302"/>
      <c r="AJ144" s="322" t="s">
        <v>901</v>
      </c>
      <c r="AK144" s="302">
        <v>117</v>
      </c>
      <c r="AL144" s="302"/>
      <c r="AM144" s="322" t="s">
        <v>901</v>
      </c>
      <c r="AN144" s="302">
        <v>117</v>
      </c>
      <c r="AO144" s="302"/>
      <c r="AP144" s="322" t="s">
        <v>901</v>
      </c>
      <c r="AQ144" s="302">
        <v>117</v>
      </c>
      <c r="AR144" s="304"/>
      <c r="AS144" s="304"/>
      <c r="AT14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1404</v>
      </c>
      <c r="AU14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936</v>
      </c>
      <c r="AV144" s="295"/>
      <c r="AW144" s="295"/>
      <c r="AX144" s="327"/>
      <c r="AY144" s="328"/>
      <c r="AZ144" s="288">
        <f>VLOOKUP(A144,Table6[],30,0)</f>
        <v>0</v>
      </c>
    </row>
    <row r="145" spans="1:52" ht="15" customHeight="1">
      <c r="A145" s="287">
        <v>141</v>
      </c>
      <c r="B145" s="276" t="str">
        <f>VLOOKUP(Table1[[#This Row],[šifra]],Table6[],2,0)</f>
        <v>SZABÓ GYULA</v>
      </c>
      <c r="C145" s="276" t="str">
        <f>VLOOKUP(Table1[[#This Row],[šifra]],Table6[],4,0)</f>
        <v>GABRIJELA</v>
      </c>
      <c r="D145" s="276" t="str">
        <f>VLOOKUP(A145,Table6[],21,0)</f>
        <v>40(+10%)+minimax+pdv /mj</v>
      </c>
      <c r="E145" s="314" t="str">
        <f>IF(poduzeća!AE142="","",poduzeća!AE142)</f>
        <v/>
      </c>
      <c r="F145" s="313" t="str">
        <f>IF(poduzeća!AF142="","",poduzeća!AF142)</f>
        <v/>
      </c>
      <c r="G145" s="1045">
        <v>189.3</v>
      </c>
      <c r="H145" s="293"/>
      <c r="I145" s="289" t="s">
        <v>892</v>
      </c>
      <c r="J145" s="304">
        <f>40*1.1+10</f>
        <v>54</v>
      </c>
      <c r="K145" s="304">
        <v>54</v>
      </c>
      <c r="L145" s="610" t="s">
        <v>892</v>
      </c>
      <c r="M145" s="304">
        <v>54</v>
      </c>
      <c r="N145" s="294">
        <v>55</v>
      </c>
      <c r="O145" s="610" t="s">
        <v>892</v>
      </c>
      <c r="P145" s="304">
        <v>54</v>
      </c>
      <c r="Q145" s="678">
        <v>74</v>
      </c>
      <c r="R145" s="610" t="s">
        <v>892</v>
      </c>
      <c r="S145" s="304">
        <v>54</v>
      </c>
      <c r="T145" s="955">
        <v>54</v>
      </c>
      <c r="U145" s="610" t="s">
        <v>892</v>
      </c>
      <c r="V145" s="870">
        <v>54</v>
      </c>
      <c r="W145" s="678">
        <v>54</v>
      </c>
      <c r="X145" s="610" t="s">
        <v>892</v>
      </c>
      <c r="Y145" s="304">
        <v>54</v>
      </c>
      <c r="Z145" s="678">
        <f>54+53.22</f>
        <v>107.22</v>
      </c>
      <c r="AA145" s="610" t="s">
        <v>892</v>
      </c>
      <c r="AB145" s="304">
        <v>54</v>
      </c>
      <c r="AC145" s="304">
        <v>54</v>
      </c>
      <c r="AD145" s="610" t="s">
        <v>892</v>
      </c>
      <c r="AE145" s="304">
        <v>54</v>
      </c>
      <c r="AF145" s="304"/>
      <c r="AG145" s="610" t="s">
        <v>892</v>
      </c>
      <c r="AH145" s="304">
        <v>54</v>
      </c>
      <c r="AI145" s="304"/>
      <c r="AJ145" s="610" t="s">
        <v>892</v>
      </c>
      <c r="AK145" s="304">
        <v>54</v>
      </c>
      <c r="AL145" s="304"/>
      <c r="AM145" s="610" t="s">
        <v>892</v>
      </c>
      <c r="AN145" s="304">
        <v>54</v>
      </c>
      <c r="AO145" s="304"/>
      <c r="AP145" s="610" t="s">
        <v>892</v>
      </c>
      <c r="AQ145" s="304">
        <v>54</v>
      </c>
      <c r="AR145" s="304"/>
      <c r="AS145" s="304"/>
      <c r="AT14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648</v>
      </c>
      <c r="AU145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452.22</v>
      </c>
      <c r="AV145" s="293"/>
      <c r="AW145" s="293"/>
      <c r="AX145" s="327"/>
      <c r="AY145" s="328"/>
      <c r="AZ145" s="288">
        <f>VLOOKUP(A145,Table6[],30,0)</f>
        <v>0</v>
      </c>
    </row>
    <row r="146" spans="1:52" ht="15" customHeight="1">
      <c r="A146" s="292">
        <v>142</v>
      </c>
      <c r="B146" s="277" t="str">
        <f>VLOOKUP(Table1[[#This Row],[šifra]],Table6[],2,0)</f>
        <v>SZATEFBAU Kft - podružnica</v>
      </c>
      <c r="C146" s="277" t="str">
        <f>VLOOKUP(Table1[[#This Row],[šifra]],Table6[],4,0)</f>
        <v>F. MARKO</v>
      </c>
      <c r="D146" s="276" t="str">
        <f>VLOOKUP(A146,Table6[],21,0)</f>
        <v>FRANŠIZA</v>
      </c>
      <c r="E146" s="314" t="str">
        <f>IF(poduzeća!AE143="","",poduzeća!AE143)</f>
        <v/>
      </c>
      <c r="F146" s="313" t="str">
        <f>IF(poduzeća!AF143="","",poduzeća!AF143)</f>
        <v/>
      </c>
      <c r="G146" s="295"/>
      <c r="H146" s="295"/>
      <c r="I146" s="736" t="s">
        <v>897</v>
      </c>
      <c r="J146" s="302"/>
      <c r="K146" s="302"/>
      <c r="L146" s="736" t="s">
        <v>897</v>
      </c>
      <c r="M146" s="302"/>
      <c r="N146" s="838"/>
      <c r="O146" s="736" t="s">
        <v>897</v>
      </c>
      <c r="P146" s="302"/>
      <c r="Q146" s="302"/>
      <c r="R146" s="736" t="s">
        <v>897</v>
      </c>
      <c r="S146" s="302"/>
      <c r="T146" s="676"/>
      <c r="U146" s="736" t="s">
        <v>897</v>
      </c>
      <c r="V146" s="302"/>
      <c r="W146" s="304"/>
      <c r="X146" s="736" t="s">
        <v>897</v>
      </c>
      <c r="Y146" s="302"/>
      <c r="Z146" s="294"/>
      <c r="AA146" s="736" t="s">
        <v>897</v>
      </c>
      <c r="AB146" s="302"/>
      <c r="AC146" s="304"/>
      <c r="AD146" s="736" t="s">
        <v>897</v>
      </c>
      <c r="AE146" s="302"/>
      <c r="AF146" s="302"/>
      <c r="AG146" s="736" t="s">
        <v>897</v>
      </c>
      <c r="AH146" s="302"/>
      <c r="AI146" s="302"/>
      <c r="AJ146" s="736" t="s">
        <v>897</v>
      </c>
      <c r="AK146" s="302"/>
      <c r="AL146" s="302"/>
      <c r="AM146" s="736" t="s">
        <v>897</v>
      </c>
      <c r="AN146" s="302"/>
      <c r="AO146" s="302"/>
      <c r="AP146" s="736" t="s">
        <v>897</v>
      </c>
      <c r="AQ146" s="302"/>
      <c r="AR146" s="304"/>
      <c r="AS146" s="304"/>
      <c r="AT14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4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46" s="295"/>
      <c r="AW146" s="295"/>
      <c r="AX146" s="327"/>
      <c r="AY146" s="328"/>
      <c r="AZ146" s="288">
        <f>VLOOKUP(A146,Table6[],30,0)</f>
        <v>0</v>
      </c>
    </row>
    <row r="147" spans="1:52" ht="15" customHeight="1">
      <c r="A147" s="292">
        <v>143</v>
      </c>
      <c r="B147" s="277" t="str">
        <f>VLOOKUP(Table1[[#This Row],[šifra]],Table6[],2,0)</f>
        <v>Šibenik Shine d.o.o.</v>
      </c>
      <c r="C147" s="277" t="str">
        <f>VLOOKUP(Table1[[#This Row],[šifra]],Table6[],4,0)</f>
        <v>NIKOLINA</v>
      </c>
      <c r="D147" s="276" t="str">
        <f>VLOOKUP(A147,Table6[],21,0)</f>
        <v>100 (+10%) +pdv /mj</v>
      </c>
      <c r="E147" s="314" t="str">
        <f>IF(poduzeća!AE144="","",poduzeća!AE144)</f>
        <v/>
      </c>
      <c r="F147" s="313" t="str">
        <f>IF(poduzeća!AF144="","",poduzeća!AF144)</f>
        <v/>
      </c>
      <c r="G147" s="295"/>
      <c r="H147" s="295"/>
      <c r="I147" s="321" t="s">
        <v>901</v>
      </c>
      <c r="J147" s="302">
        <f>100*1.1</f>
        <v>110.00000000000001</v>
      </c>
      <c r="K147" s="677">
        <v>110</v>
      </c>
      <c r="L147" s="321" t="s">
        <v>901</v>
      </c>
      <c r="M147" s="302">
        <f>100*1.1</f>
        <v>110.00000000000001</v>
      </c>
      <c r="N147" s="676">
        <v>110</v>
      </c>
      <c r="O147" s="321" t="s">
        <v>901</v>
      </c>
      <c r="P147" s="302">
        <f>100*1.1</f>
        <v>110.00000000000001</v>
      </c>
      <c r="Q147" s="302">
        <v>110</v>
      </c>
      <c r="R147" s="321" t="s">
        <v>901</v>
      </c>
      <c r="S147" s="302">
        <f>100*1.1</f>
        <v>110.00000000000001</v>
      </c>
      <c r="T147" s="956">
        <v>220</v>
      </c>
      <c r="U147" s="321" t="s">
        <v>901</v>
      </c>
      <c r="V147" s="302">
        <f>100*1.1</f>
        <v>110.00000000000001</v>
      </c>
      <c r="W147" s="678">
        <v>110</v>
      </c>
      <c r="X147" s="321" t="s">
        <v>901</v>
      </c>
      <c r="Y147" s="302">
        <f>100*1.1</f>
        <v>110.00000000000001</v>
      </c>
      <c r="Z147" s="675">
        <v>110</v>
      </c>
      <c r="AA147" s="321" t="s">
        <v>901</v>
      </c>
      <c r="AB147" s="302">
        <f>100*1.1</f>
        <v>110.00000000000001</v>
      </c>
      <c r="AC147" s="304">
        <v>110</v>
      </c>
      <c r="AD147" s="321" t="s">
        <v>901</v>
      </c>
      <c r="AE147" s="302">
        <f>100*1.1</f>
        <v>110.00000000000001</v>
      </c>
      <c r="AF147" s="302"/>
      <c r="AG147" s="321" t="s">
        <v>901</v>
      </c>
      <c r="AH147" s="302">
        <f>100*1.1</f>
        <v>110.00000000000001</v>
      </c>
      <c r="AI147" s="302"/>
      <c r="AJ147" s="321" t="s">
        <v>901</v>
      </c>
      <c r="AK147" s="302">
        <f>100*1.1</f>
        <v>110.00000000000001</v>
      </c>
      <c r="AL147" s="302"/>
      <c r="AM147" s="321" t="s">
        <v>901</v>
      </c>
      <c r="AN147" s="302">
        <f>100*1.1</f>
        <v>110.00000000000001</v>
      </c>
      <c r="AO147" s="302"/>
      <c r="AP147" s="321" t="s">
        <v>901</v>
      </c>
      <c r="AQ147" s="302">
        <f>100*1.1</f>
        <v>110.00000000000001</v>
      </c>
      <c r="AR147" s="304"/>
      <c r="AS147" s="304"/>
      <c r="AT14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14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880</v>
      </c>
      <c r="AV147" s="295"/>
      <c r="AW147" s="295"/>
      <c r="AX147" s="327"/>
      <c r="AY147" s="328"/>
      <c r="AZ147" s="288">
        <f>VLOOKUP(A147,Table6[],30,0)</f>
        <v>0</v>
      </c>
    </row>
    <row r="148" spans="1:52" ht="15" customHeight="1">
      <c r="A148" s="287">
        <v>144</v>
      </c>
      <c r="B148" s="276" t="str">
        <f>VLOOKUP(Table1[[#This Row],[šifra]],Table6[],2,0)</f>
        <v>TERRACLEAN GROUP KFT</v>
      </c>
      <c r="C148" s="277" t="str">
        <f>VLOOKUP(Table1[[#This Row],[šifra]],Table6[],4,0)</f>
        <v>NIKOLINA</v>
      </c>
      <c r="D148" s="276" t="str">
        <f>VLOOKUP(A148,Table6[],21,0)</f>
        <v>104,50 (+10%) /mj</v>
      </c>
      <c r="E148" s="314" t="str">
        <f>IF(poduzeća!AE145="","",poduzeća!AE145)</f>
        <v/>
      </c>
      <c r="F148" s="313" t="str">
        <f>IF(poduzeća!AF145="","",poduzeća!AF145)</f>
        <v/>
      </c>
      <c r="G148" s="293">
        <v>115</v>
      </c>
      <c r="H148" s="293"/>
      <c r="I148" s="289" t="s">
        <v>901</v>
      </c>
      <c r="J148" s="304">
        <v>115</v>
      </c>
      <c r="K148" s="678">
        <v>115</v>
      </c>
      <c r="L148" s="289" t="s">
        <v>901</v>
      </c>
      <c r="M148" s="304">
        <v>115</v>
      </c>
      <c r="N148" s="675">
        <v>115</v>
      </c>
      <c r="O148" s="289" t="s">
        <v>901</v>
      </c>
      <c r="P148" s="304">
        <v>115</v>
      </c>
      <c r="Q148" s="304">
        <v>115</v>
      </c>
      <c r="R148" s="289" t="s">
        <v>901</v>
      </c>
      <c r="S148" s="304">
        <v>115</v>
      </c>
      <c r="T148" s="955">
        <v>230</v>
      </c>
      <c r="U148" s="289" t="s">
        <v>901</v>
      </c>
      <c r="V148" s="304">
        <v>115</v>
      </c>
      <c r="W148" s="678">
        <v>115</v>
      </c>
      <c r="X148" s="289" t="s">
        <v>901</v>
      </c>
      <c r="Y148" s="304">
        <v>115</v>
      </c>
      <c r="Z148" s="678">
        <v>115</v>
      </c>
      <c r="AA148" s="289" t="s">
        <v>901</v>
      </c>
      <c r="AB148" s="304">
        <v>115</v>
      </c>
      <c r="AC148" s="304">
        <v>115</v>
      </c>
      <c r="AD148" s="289" t="s">
        <v>901</v>
      </c>
      <c r="AE148" s="304">
        <v>115</v>
      </c>
      <c r="AF148" s="304"/>
      <c r="AG148" s="289" t="s">
        <v>901</v>
      </c>
      <c r="AH148" s="304">
        <v>115</v>
      </c>
      <c r="AI148" s="304"/>
      <c r="AJ148" s="289" t="s">
        <v>901</v>
      </c>
      <c r="AK148" s="304">
        <v>115</v>
      </c>
      <c r="AL148" s="304"/>
      <c r="AM148" s="289" t="s">
        <v>901</v>
      </c>
      <c r="AN148" s="304">
        <v>115</v>
      </c>
      <c r="AO148" s="304"/>
      <c r="AP148" s="289" t="s">
        <v>901</v>
      </c>
      <c r="AQ148" s="304">
        <v>115</v>
      </c>
      <c r="AR148" s="304"/>
      <c r="AS148" s="304"/>
      <c r="AT148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1380</v>
      </c>
      <c r="AU148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920</v>
      </c>
      <c r="AV148" s="293"/>
      <c r="AW148" s="293"/>
      <c r="AX148" s="327"/>
      <c r="AY148" s="328"/>
      <c r="AZ148" s="288">
        <f>VLOOKUP(A148,Table6[],30,0)</f>
        <v>0</v>
      </c>
    </row>
    <row r="149" spans="1:52" ht="17.25" customHeight="1">
      <c r="A149" s="292">
        <v>145</v>
      </c>
      <c r="B149" s="277" t="str">
        <f>VLOOKUP(Table1[[#This Row],[šifra]],Table6[],2,0)</f>
        <v>TERRAMARE OBRT. Tunde odor</v>
      </c>
      <c r="C149" s="277" t="str">
        <f>VLOOKUP(Table1[[#This Row],[šifra]],Table6[],4,0)</f>
        <v>MAJA</v>
      </c>
      <c r="D149" s="276" t="str">
        <f>VLOOKUP(A149,Table6[],21,0)</f>
        <v>50(+10%)+pdv obustava u zimskim mjesecima, 12-50, 03-50, 06-50, 07-50, 08-50,09-50</v>
      </c>
      <c r="E149" s="314" t="str">
        <f>IF(poduzeća!AE146="","",poduzeća!AE146)</f>
        <v/>
      </c>
      <c r="F149" s="313" t="str">
        <f>IF(poduzeća!AF146="","",poduzeća!AF146)</f>
        <v/>
      </c>
      <c r="G149" s="295">
        <v>125</v>
      </c>
      <c r="H149" s="295"/>
      <c r="I149" s="685" t="s">
        <v>897</v>
      </c>
      <c r="J149" s="324"/>
      <c r="K149" s="684"/>
      <c r="L149" s="685" t="s">
        <v>897</v>
      </c>
      <c r="M149" s="324"/>
      <c r="N149" s="838"/>
      <c r="O149" s="685" t="s">
        <v>897</v>
      </c>
      <c r="P149" s="324"/>
      <c r="Q149" s="302"/>
      <c r="R149" s="685" t="s">
        <v>897</v>
      </c>
      <c r="S149" s="324"/>
      <c r="T149" s="978">
        <v>50</v>
      </c>
      <c r="U149" s="685" t="s">
        <v>897</v>
      </c>
      <c r="V149" s="324"/>
      <c r="W149" s="304"/>
      <c r="X149" s="685" t="s">
        <v>897</v>
      </c>
      <c r="Y149" s="887">
        <v>55</v>
      </c>
      <c r="Z149" s="678">
        <v>55</v>
      </c>
      <c r="AA149" s="685" t="s">
        <v>897</v>
      </c>
      <c r="AB149" s="324">
        <v>55</v>
      </c>
      <c r="AC149" s="304">
        <v>55</v>
      </c>
      <c r="AD149" s="685" t="s">
        <v>897</v>
      </c>
      <c r="AE149" s="324">
        <v>55</v>
      </c>
      <c r="AF149" s="302">
        <v>55</v>
      </c>
      <c r="AG149" s="685" t="s">
        <v>897</v>
      </c>
      <c r="AH149" s="324">
        <v>55</v>
      </c>
      <c r="AI149" s="302"/>
      <c r="AJ149" s="685" t="s">
        <v>897</v>
      </c>
      <c r="AK149" s="324"/>
      <c r="AL149" s="302"/>
      <c r="AM149" s="322" t="s">
        <v>1105</v>
      </c>
      <c r="AN149" s="324"/>
      <c r="AO149" s="302"/>
      <c r="AP149" s="736" t="s">
        <v>897</v>
      </c>
      <c r="AQ149" s="324">
        <v>55</v>
      </c>
      <c r="AR149" s="304"/>
      <c r="AS149" s="304"/>
      <c r="AT149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275</v>
      </c>
      <c r="AU149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215</v>
      </c>
      <c r="AV149" s="319" t="s">
        <v>195</v>
      </c>
      <c r="AW149" s="295"/>
      <c r="AX149" s="327"/>
      <c r="AY149" s="328"/>
      <c r="AZ149" s="288">
        <f>VLOOKUP(A149,Table6[],30,0)</f>
        <v>0</v>
      </c>
    </row>
    <row r="150" spans="1:52" ht="16.5" customHeight="1">
      <c r="A150" s="292">
        <v>146</v>
      </c>
      <c r="B150" s="277" t="str">
        <f>VLOOKUP(Table1[[#This Row],[šifra]],Table6[],2,0)</f>
        <v>Tesla Energy Technologies j.d.o.o.</v>
      </c>
      <c r="C150" s="277" t="str">
        <f>VLOOKUP(Table1[[#This Row],[šifra]],Table6[],4,0)</f>
        <v>SANDRA</v>
      </c>
      <c r="D150" s="276" t="str">
        <f>VLOOKUP(A150,Table6[],21,0)</f>
        <v>100(+10%)+10 minimax+pdv /mj</v>
      </c>
      <c r="E150" s="314" t="str">
        <f>IF(poduzeća!AE147="","",poduzeća!AE147)</f>
        <v/>
      </c>
      <c r="F150" s="313" t="str">
        <f>IF(poduzeća!AF147="","",poduzeća!AF147)</f>
        <v/>
      </c>
      <c r="G150" s="295">
        <v>150</v>
      </c>
      <c r="H150" s="295">
        <v>73.33</v>
      </c>
      <c r="I150" s="289" t="s">
        <v>897</v>
      </c>
      <c r="J150" s="302">
        <v>120</v>
      </c>
      <c r="K150" s="677">
        <v>120</v>
      </c>
      <c r="L150" s="289" t="s">
        <v>897</v>
      </c>
      <c r="M150" s="302">
        <v>120</v>
      </c>
      <c r="N150" s="676">
        <v>120</v>
      </c>
      <c r="O150" s="289" t="s">
        <v>897</v>
      </c>
      <c r="P150" s="867">
        <v>120</v>
      </c>
      <c r="Q150" s="302">
        <v>120</v>
      </c>
      <c r="R150" s="289" t="s">
        <v>897</v>
      </c>
      <c r="S150" s="302">
        <v>120</v>
      </c>
      <c r="T150" s="956">
        <v>230</v>
      </c>
      <c r="U150" s="289" t="s">
        <v>897</v>
      </c>
      <c r="V150" s="867">
        <v>120</v>
      </c>
      <c r="W150" s="678">
        <v>120</v>
      </c>
      <c r="X150" s="289" t="s">
        <v>897</v>
      </c>
      <c r="Y150" s="302">
        <v>120</v>
      </c>
      <c r="Z150" s="678">
        <v>120</v>
      </c>
      <c r="AA150" s="289" t="s">
        <v>897</v>
      </c>
      <c r="AB150" s="302">
        <v>120</v>
      </c>
      <c r="AC150" s="304">
        <v>120</v>
      </c>
      <c r="AD150" s="289" t="s">
        <v>897</v>
      </c>
      <c r="AE150" s="302">
        <v>120</v>
      </c>
      <c r="AF150" s="302">
        <v>120</v>
      </c>
      <c r="AG150" s="289" t="s">
        <v>897</v>
      </c>
      <c r="AH150" s="302">
        <v>120</v>
      </c>
      <c r="AI150" s="302"/>
      <c r="AJ150" s="289" t="s">
        <v>897</v>
      </c>
      <c r="AK150" s="302">
        <v>120</v>
      </c>
      <c r="AL150" s="302"/>
      <c r="AM150" s="322" t="s">
        <v>1105</v>
      </c>
      <c r="AN150" s="302">
        <v>120</v>
      </c>
      <c r="AO150" s="302"/>
      <c r="AP150" s="289" t="s">
        <v>897</v>
      </c>
      <c r="AQ150" s="302">
        <v>120</v>
      </c>
      <c r="AR150" s="304"/>
      <c r="AS150" s="304"/>
      <c r="AT15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1440</v>
      </c>
      <c r="AU15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1070</v>
      </c>
      <c r="AV150" s="295"/>
      <c r="AW150" s="295"/>
      <c r="AX150" s="327"/>
      <c r="AY150" s="328"/>
      <c r="AZ150" s="288">
        <f>VLOOKUP(A150,Table6[],30,0)</f>
        <v>0</v>
      </c>
    </row>
    <row r="151" spans="1:52" ht="15" customHeight="1">
      <c r="A151" s="292">
        <v>147</v>
      </c>
      <c r="B151" s="277" t="str">
        <f>VLOOKUP(Table1[[#This Row],[šifra]],Table6[],2,0)</f>
        <v>Tom Karoserije j.d.o.o</v>
      </c>
      <c r="C151" s="277" t="str">
        <f>VLOOKUP(Table1[[#This Row],[šifra]],Table6[],4,0)</f>
        <v>NITKO</v>
      </c>
      <c r="D151" s="276" t="str">
        <f>VLOOKUP(A151,Table6[],21,0)</f>
        <v>80(+10%)+PDV, UGOVOR DO 31.1.2026</v>
      </c>
      <c r="E151" s="314" t="str">
        <f>IF(poduzeća!AE148="","",poduzeća!AE148)</f>
        <v/>
      </c>
      <c r="F151" s="313" t="str">
        <f>IF(poduzeća!AF148="","",poduzeća!AF148)</f>
        <v/>
      </c>
      <c r="G151" s="295"/>
      <c r="H151" s="295"/>
      <c r="I151" s="289"/>
      <c r="J151" s="302"/>
      <c r="K151" s="302"/>
      <c r="L151" s="289"/>
      <c r="M151" s="302"/>
      <c r="N151" s="297"/>
      <c r="O151" s="289"/>
      <c r="P151" s="302"/>
      <c r="Q151" s="302"/>
      <c r="R151" s="289"/>
      <c r="S151" s="302"/>
      <c r="T151" s="676"/>
      <c r="U151" s="289"/>
      <c r="V151" s="302"/>
      <c r="W151" s="304"/>
      <c r="X151" s="289"/>
      <c r="Y151" s="302"/>
      <c r="Z151" s="304"/>
      <c r="AA151" s="289"/>
      <c r="AB151" s="302"/>
      <c r="AC151" s="304"/>
      <c r="AD151" s="289"/>
      <c r="AE151" s="302"/>
      <c r="AF151" s="302"/>
      <c r="AG151" s="289"/>
      <c r="AH151" s="302"/>
      <c r="AI151" s="302"/>
      <c r="AJ151" s="289"/>
      <c r="AK151" s="302"/>
      <c r="AL151" s="302"/>
      <c r="AM151" s="289"/>
      <c r="AN151" s="302"/>
      <c r="AO151" s="302"/>
      <c r="AP151" s="289"/>
      <c r="AQ151" s="302"/>
      <c r="AR151" s="304"/>
      <c r="AS151" s="304"/>
      <c r="AT15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5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51" s="295"/>
      <c r="AW151" s="295"/>
      <c r="AX151" s="327"/>
      <c r="AY151" s="328"/>
      <c r="AZ151" s="288">
        <f>VLOOKUP(A151,Table6[],30,0)</f>
        <v>0</v>
      </c>
    </row>
    <row r="152" spans="1:52" ht="15" customHeight="1">
      <c r="A152" s="292">
        <v>148</v>
      </c>
      <c r="B152" s="277" t="str">
        <f>VLOOKUP(Table1[[#This Row],[šifra]],Table6[],2,0)</f>
        <v>TOTH PETER</v>
      </c>
      <c r="C152" s="277" t="str">
        <f>VLOOKUP(Table1[[#This Row],[šifra]],Table6[],4,0)</f>
        <v>MAJA</v>
      </c>
      <c r="D152" s="276" t="str">
        <f>VLOOKUP(A152,Table6[],21,0)</f>
        <v xml:space="preserve">??? Pričat će za više     40(+10%)+30 minimax+pdv . </v>
      </c>
      <c r="E152" s="314" t="str">
        <f>IF(poduzeća!AE149="","",poduzeća!AE149)</f>
        <v/>
      </c>
      <c r="F152" s="313" t="str">
        <f>IF(poduzeća!AF149="","",poduzeća!AF149)</f>
        <v/>
      </c>
      <c r="G152" s="295">
        <v>87.5</v>
      </c>
      <c r="H152" s="295">
        <v>35</v>
      </c>
      <c r="I152" s="322" t="s">
        <v>892</v>
      </c>
      <c r="J152" s="302">
        <v>70</v>
      </c>
      <c r="K152" s="696">
        <v>70</v>
      </c>
      <c r="L152" s="697" t="s">
        <v>897</v>
      </c>
      <c r="M152" s="302">
        <v>70</v>
      </c>
      <c r="N152" s="676">
        <v>70</v>
      </c>
      <c r="O152" s="322" t="s">
        <v>1105</v>
      </c>
      <c r="P152" s="867">
        <v>70</v>
      </c>
      <c r="Q152" s="302">
        <v>70</v>
      </c>
      <c r="R152" s="697" t="s">
        <v>897</v>
      </c>
      <c r="S152" s="302">
        <v>70</v>
      </c>
      <c r="T152" s="956">
        <v>70</v>
      </c>
      <c r="U152" s="697" t="s">
        <v>897</v>
      </c>
      <c r="V152" s="867">
        <v>70</v>
      </c>
      <c r="W152" s="678">
        <v>70</v>
      </c>
      <c r="X152" s="1036" t="s">
        <v>2036</v>
      </c>
      <c r="Y152" s="302">
        <v>70</v>
      </c>
      <c r="Z152" s="678">
        <v>70</v>
      </c>
      <c r="AA152" s="1036" t="s">
        <v>2036</v>
      </c>
      <c r="AB152" s="302">
        <v>70</v>
      </c>
      <c r="AC152" s="304">
        <v>70</v>
      </c>
      <c r="AD152" s="1036" t="s">
        <v>2036</v>
      </c>
      <c r="AE152" s="302">
        <v>70</v>
      </c>
      <c r="AF152" s="302">
        <v>70</v>
      </c>
      <c r="AG152" s="322" t="s">
        <v>1105</v>
      </c>
      <c r="AH152" s="302">
        <v>70</v>
      </c>
      <c r="AI152" s="302"/>
      <c r="AJ152" s="697" t="s">
        <v>897</v>
      </c>
      <c r="AK152" s="302">
        <v>70</v>
      </c>
      <c r="AL152" s="302"/>
      <c r="AM152" s="697" t="s">
        <v>897</v>
      </c>
      <c r="AN152" s="302">
        <v>70</v>
      </c>
      <c r="AO152" s="302"/>
      <c r="AP152" s="697" t="s">
        <v>897</v>
      </c>
      <c r="AQ152" s="302">
        <v>70</v>
      </c>
      <c r="AR152" s="304"/>
      <c r="AS152" s="304"/>
      <c r="AT15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840</v>
      </c>
      <c r="AU15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560</v>
      </c>
      <c r="AV152" s="295"/>
      <c r="AW152" s="295"/>
      <c r="AX152" s="327"/>
      <c r="AY152" s="328"/>
      <c r="AZ152" s="288" t="str">
        <f>VLOOKUP(A152,Table6[],30,0)</f>
        <v>17.8.2023</v>
      </c>
    </row>
    <row r="153" spans="1:52" ht="15" customHeight="1">
      <c r="A153" s="292">
        <v>149</v>
      </c>
      <c r="B153" s="277" t="str">
        <f>VLOOKUP(Table1[[#This Row],[šifra]],Table6[],2,0)</f>
        <v>Trading house d.o.o.</v>
      </c>
      <c r="C153" s="277" t="str">
        <f>VLOOKUP(Table1[[#This Row],[šifra]],Table6[],4,0)</f>
        <v>KP/LAURA</v>
      </c>
      <c r="D153" s="276" t="str">
        <f>VLOOKUP(A153,Table6[],21,0)</f>
        <v>55+MINIMAX</v>
      </c>
      <c r="E153" s="314" t="str">
        <f>IF(poduzeća!AE150="","",poduzeća!AE150)</f>
        <v/>
      </c>
      <c r="F153" s="313" t="str">
        <f>IF(poduzeća!AF150="","",poduzeća!AF150)</f>
        <v/>
      </c>
      <c r="G153" s="295">
        <v>906.25</v>
      </c>
      <c r="H153" s="295"/>
      <c r="I153" s="729" t="s">
        <v>897</v>
      </c>
      <c r="J153" s="302">
        <v>65</v>
      </c>
      <c r="K153" s="677">
        <v>65</v>
      </c>
      <c r="L153" s="729" t="s">
        <v>897</v>
      </c>
      <c r="M153" s="302">
        <v>65</v>
      </c>
      <c r="N153" s="676">
        <v>65</v>
      </c>
      <c r="O153" s="729" t="s">
        <v>897</v>
      </c>
      <c r="P153" s="677">
        <v>65</v>
      </c>
      <c r="Q153" s="302">
        <v>65</v>
      </c>
      <c r="R153" s="729" t="s">
        <v>897</v>
      </c>
      <c r="S153" s="302">
        <v>65</v>
      </c>
      <c r="T153" s="676">
        <v>165</v>
      </c>
      <c r="U153" s="729" t="s">
        <v>897</v>
      </c>
      <c r="V153" s="302">
        <v>65</v>
      </c>
      <c r="W153" s="678">
        <v>65</v>
      </c>
      <c r="X153" s="729" t="s">
        <v>897</v>
      </c>
      <c r="Y153" s="302">
        <v>65</v>
      </c>
      <c r="Z153" s="304">
        <v>65</v>
      </c>
      <c r="AA153" s="729" t="s">
        <v>897</v>
      </c>
      <c r="AB153" s="302">
        <v>65</v>
      </c>
      <c r="AC153" s="678">
        <v>65</v>
      </c>
      <c r="AD153" s="729" t="s">
        <v>897</v>
      </c>
      <c r="AE153" s="302">
        <v>65</v>
      </c>
      <c r="AF153" s="302">
        <v>65</v>
      </c>
      <c r="AG153" s="729" t="s">
        <v>897</v>
      </c>
      <c r="AH153" s="302">
        <v>65</v>
      </c>
      <c r="AI153" s="302"/>
      <c r="AJ153" s="729" t="s">
        <v>897</v>
      </c>
      <c r="AK153" s="302">
        <v>65</v>
      </c>
      <c r="AL153" s="302"/>
      <c r="AM153" s="729" t="s">
        <v>897</v>
      </c>
      <c r="AN153" s="302">
        <v>65</v>
      </c>
      <c r="AO153" s="302"/>
      <c r="AP153" s="729" t="s">
        <v>897</v>
      </c>
      <c r="AQ153" s="302">
        <v>65</v>
      </c>
      <c r="AR153" s="304"/>
      <c r="AS153" s="304"/>
      <c r="AT15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780</v>
      </c>
      <c r="AU15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620</v>
      </c>
      <c r="AV153" s="295"/>
      <c r="AW153" s="295"/>
      <c r="AX153" s="327"/>
      <c r="AY153" s="328"/>
      <c r="AZ153" s="288">
        <f>VLOOKUP(A153,Table6[],30,0)</f>
        <v>0</v>
      </c>
    </row>
    <row r="154" spans="1:52" ht="15" customHeight="1">
      <c r="A154" s="287">
        <v>150</v>
      </c>
      <c r="B154" s="276" t="str">
        <f>VLOOKUP(Table1[[#This Row],[šifra]],Table6[],2,0)</f>
        <v>TRGO-KOP d.o.o.</v>
      </c>
      <c r="C154" s="276" t="str">
        <f>VLOOKUP(Table1[[#This Row],[šifra]],Table6[],4,0)</f>
        <v>F. ANA P.</v>
      </c>
      <c r="D154" s="276" t="str">
        <f>VLOOKUP(A154,Table6[],21,0)</f>
        <v>400(+10%)  /mj</v>
      </c>
      <c r="E154" s="314" t="str">
        <f>IF(poduzeća!AE151="","",poduzeća!AE151)</f>
        <v/>
      </c>
      <c r="F154" s="313" t="str">
        <f>IF(poduzeća!AF151="","",poduzeća!AF151)</f>
        <v/>
      </c>
      <c r="G154" s="293"/>
      <c r="H154" s="293"/>
      <c r="I154" s="289" t="s">
        <v>899</v>
      </c>
      <c r="J154" s="304">
        <v>0</v>
      </c>
      <c r="K154" s="304"/>
      <c r="L154" s="301" t="s">
        <v>899</v>
      </c>
      <c r="M154" s="304"/>
      <c r="N154" s="294"/>
      <c r="O154" s="289" t="s">
        <v>899</v>
      </c>
      <c r="P154" s="304">
        <v>0</v>
      </c>
      <c r="Q154" s="304"/>
      <c r="R154" s="289" t="s">
        <v>899</v>
      </c>
      <c r="S154" s="304">
        <v>0</v>
      </c>
      <c r="T154" s="675"/>
      <c r="U154" s="289" t="s">
        <v>899</v>
      </c>
      <c r="V154" s="304">
        <v>0</v>
      </c>
      <c r="W154" s="304"/>
      <c r="X154" s="301" t="s">
        <v>899</v>
      </c>
      <c r="Y154" s="304">
        <v>0</v>
      </c>
      <c r="Z154" s="304"/>
      <c r="AA154" s="301" t="s">
        <v>899</v>
      </c>
      <c r="AB154" s="304">
        <v>0</v>
      </c>
      <c r="AC154" s="304">
        <v>0</v>
      </c>
      <c r="AD154" s="301" t="s">
        <v>899</v>
      </c>
      <c r="AE154" s="304">
        <v>0</v>
      </c>
      <c r="AF154" s="304"/>
      <c r="AG154" s="289" t="s">
        <v>899</v>
      </c>
      <c r="AH154" s="304">
        <v>0</v>
      </c>
      <c r="AI154" s="304"/>
      <c r="AJ154" s="289" t="s">
        <v>899</v>
      </c>
      <c r="AK154" s="304">
        <v>0</v>
      </c>
      <c r="AL154" s="304"/>
      <c r="AM154" s="289" t="s">
        <v>899</v>
      </c>
      <c r="AN154" s="304">
        <v>0</v>
      </c>
      <c r="AO154" s="304"/>
      <c r="AP154" s="289" t="s">
        <v>899</v>
      </c>
      <c r="AQ154" s="304">
        <v>0</v>
      </c>
      <c r="AR154" s="304"/>
      <c r="AS154" s="304"/>
      <c r="AT154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54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54" s="293"/>
      <c r="AW154" s="293"/>
      <c r="AX154" s="327"/>
      <c r="AY154" s="328"/>
      <c r="AZ154" s="288">
        <f>VLOOKUP(A154,Table6[],30,0)</f>
        <v>0</v>
      </c>
    </row>
    <row r="155" spans="1:52" ht="15" customHeight="1">
      <c r="A155" s="287">
        <v>151</v>
      </c>
      <c r="B155" s="276" t="str">
        <f>VLOOKUP(Table1[[#This Row],[šifra]],Table6[],2,0)</f>
        <v>URAN APARTMENTS j.d.o.o.</v>
      </c>
      <c r="C155" s="276" t="str">
        <f>VLOOKUP(Table1[[#This Row],[šifra]],Table6[],4,0)</f>
        <v>LAURA</v>
      </c>
      <c r="D155" s="276" t="str">
        <f>VLOOKUP(A155,Table6[],21,0)</f>
        <v>50+(10%) pdv</v>
      </c>
      <c r="E155" s="314" t="str">
        <f>IF(poduzeća!AE152="","",poduzeća!AE152)</f>
        <v>1.6.2024</v>
      </c>
      <c r="F155" s="313">
        <f>IF(poduzeća!AF152="","",poduzeća!AF152)</f>
        <v>500</v>
      </c>
      <c r="G155" s="293" t="s">
        <v>2085</v>
      </c>
      <c r="H155" s="293">
        <v>27.5</v>
      </c>
      <c r="I155" s="736" t="s">
        <v>897</v>
      </c>
      <c r="J155" s="304">
        <f>50*1.1</f>
        <v>55.000000000000007</v>
      </c>
      <c r="K155" s="678">
        <v>55</v>
      </c>
      <c r="L155" s="736" t="s">
        <v>897</v>
      </c>
      <c r="M155" s="304">
        <f>50*1.1</f>
        <v>55.000000000000007</v>
      </c>
      <c r="N155" s="675">
        <v>55</v>
      </c>
      <c r="O155" s="736" t="s">
        <v>897</v>
      </c>
      <c r="P155" s="304">
        <f>50*1.1</f>
        <v>55.000000000000007</v>
      </c>
      <c r="Q155" s="304">
        <v>55</v>
      </c>
      <c r="R155" s="736" t="s">
        <v>897</v>
      </c>
      <c r="S155" s="304">
        <f>50*1.1</f>
        <v>55.000000000000007</v>
      </c>
      <c r="T155" s="955">
        <v>110</v>
      </c>
      <c r="U155" s="736" t="s">
        <v>897</v>
      </c>
      <c r="V155" s="870">
        <f>50*1.1</f>
        <v>55.000000000000007</v>
      </c>
      <c r="W155" s="958">
        <f>50*1.1</f>
        <v>55.000000000000007</v>
      </c>
      <c r="X155" s="736" t="s">
        <v>897</v>
      </c>
      <c r="Y155" s="304">
        <f>50*1.1+500</f>
        <v>555</v>
      </c>
      <c r="Z155" s="678">
        <v>555</v>
      </c>
      <c r="AA155" s="736" t="s">
        <v>897</v>
      </c>
      <c r="AB155" s="304">
        <f>50*1.1</f>
        <v>55.000000000000007</v>
      </c>
      <c r="AC155" s="304">
        <v>55</v>
      </c>
      <c r="AD155" s="736" t="s">
        <v>897</v>
      </c>
      <c r="AE155" s="304">
        <f>50*1.1</f>
        <v>55.000000000000007</v>
      </c>
      <c r="AF155" s="304">
        <v>55</v>
      </c>
      <c r="AG155" s="736" t="s">
        <v>897</v>
      </c>
      <c r="AH155" s="304">
        <f>50*1.1</f>
        <v>55.000000000000007</v>
      </c>
      <c r="AI155" s="304"/>
      <c r="AJ155" s="736" t="s">
        <v>897</v>
      </c>
      <c r="AK155" s="304">
        <f>50*1.1</f>
        <v>55.000000000000007</v>
      </c>
      <c r="AL155" s="304"/>
      <c r="AM155" s="736" t="s">
        <v>897</v>
      </c>
      <c r="AN155" s="304">
        <f>50*1.1</f>
        <v>55.000000000000007</v>
      </c>
      <c r="AO155" s="304"/>
      <c r="AP155" s="736" t="s">
        <v>897</v>
      </c>
      <c r="AQ155" s="304">
        <f>50*1.1</f>
        <v>55.000000000000007</v>
      </c>
      <c r="AR155" s="304"/>
      <c r="AS155" s="304"/>
      <c r="AT15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1160</v>
      </c>
      <c r="AU155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995</v>
      </c>
      <c r="AV155" s="293"/>
      <c r="AW155" s="293"/>
      <c r="AX155" s="327"/>
      <c r="AY155" s="328"/>
      <c r="AZ155" s="288">
        <f>VLOOKUP(A155,Table6[],30,0)</f>
        <v>0</v>
      </c>
    </row>
    <row r="156" spans="1:52" ht="15" customHeight="1">
      <c r="A156" s="292">
        <v>152</v>
      </c>
      <c r="B156" s="277" t="str">
        <f>VLOOKUP(Table1[[#This Row],[šifra]],Table6[],2,0)</f>
        <v>VESNA franšizer</v>
      </c>
      <c r="C156" s="277" t="str">
        <f>VLOOKUP(Table1[[#This Row],[šifra]],Table6[],4,0)</f>
        <v>VESNA</v>
      </c>
      <c r="D156" s="276" t="str">
        <f>VLOOKUP(A156,Table6[],21,0)</f>
        <v>50% od prometa</v>
      </c>
      <c r="E156" s="314" t="str">
        <f>IF(poduzeća!AE153="","",poduzeća!AE153)</f>
        <v/>
      </c>
      <c r="F156" s="313" t="str">
        <f>IF(poduzeća!AF153="","",poduzeća!AF153)</f>
        <v/>
      </c>
      <c r="G156" s="295"/>
      <c r="H156" s="295"/>
      <c r="I156" s="323" t="s">
        <v>1105</v>
      </c>
      <c r="J156" s="304">
        <v>-315.35000000000002</v>
      </c>
      <c r="K156" s="678">
        <v>-315.35000000000002</v>
      </c>
      <c r="L156" s="323" t="s">
        <v>1105</v>
      </c>
      <c r="M156" s="304">
        <v>-315.35000000000002</v>
      </c>
      <c r="N156" s="676">
        <v>-315.35000000000002</v>
      </c>
      <c r="O156" s="322" t="s">
        <v>1105</v>
      </c>
      <c r="P156" s="304">
        <v>-394.2</v>
      </c>
      <c r="Q156" s="967">
        <v>-830.46</v>
      </c>
      <c r="R156" s="697" t="s">
        <v>897</v>
      </c>
      <c r="S156" s="304">
        <v>-394.2</v>
      </c>
      <c r="T156" s="979">
        <v>-498.25</v>
      </c>
      <c r="U156" s="697" t="s">
        <v>897</v>
      </c>
      <c r="V156" s="852">
        <v>-498.25</v>
      </c>
      <c r="W156" s="852">
        <v>-498.25</v>
      </c>
      <c r="X156" s="697" t="s">
        <v>897</v>
      </c>
      <c r="Y156" s="304">
        <v>-394.2</v>
      </c>
      <c r="Z156" s="852">
        <v>-453</v>
      </c>
      <c r="AA156" s="322" t="s">
        <v>1105</v>
      </c>
      <c r="AB156" s="304"/>
      <c r="AC156" s="852">
        <v>-189</v>
      </c>
      <c r="AD156" s="697" t="s">
        <v>897</v>
      </c>
      <c r="AE156" s="304">
        <v>-394.2</v>
      </c>
      <c r="AF156" s="302"/>
      <c r="AG156" s="729" t="s">
        <v>897</v>
      </c>
      <c r="AH156" s="304">
        <v>-394.2</v>
      </c>
      <c r="AI156" s="302"/>
      <c r="AJ156" s="729" t="s">
        <v>897</v>
      </c>
      <c r="AK156" s="304">
        <v>-394.2</v>
      </c>
      <c r="AL156" s="302"/>
      <c r="AM156" s="289" t="s">
        <v>897</v>
      </c>
      <c r="AN156" s="304">
        <v>-394.2</v>
      </c>
      <c r="AO156" s="302"/>
      <c r="AP156" s="289" t="s">
        <v>897</v>
      </c>
      <c r="AQ156" s="304">
        <v>-394.2</v>
      </c>
      <c r="AR156" s="302"/>
      <c r="AS156" s="304"/>
      <c r="AT15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-4282.5499999999993</v>
      </c>
      <c r="AU15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-3099.66</v>
      </c>
      <c r="AV156" s="295"/>
      <c r="AW156" s="295"/>
      <c r="AX156" s="327"/>
      <c r="AY156" s="328"/>
      <c r="AZ156" s="288">
        <f>VLOOKUP(A156,Table6[],30,0)</f>
        <v>0</v>
      </c>
    </row>
    <row r="157" spans="1:52" ht="18" customHeight="1">
      <c r="A157" s="292">
        <v>153</v>
      </c>
      <c r="B157" s="903" t="str">
        <f>VLOOKUP(Table1[[#This Row],[šifra]],Table6[],2,0)</f>
        <v>VIKTOR BENCZE</v>
      </c>
      <c r="C157" s="277" t="str">
        <f>VLOOKUP(Table1[[#This Row],[šifra]],Table6[],4,0)</f>
        <v>KP/LAURA</v>
      </c>
      <c r="D157" s="276" t="str">
        <f>VLOOKUP(A157,Table6[],21,0)</f>
        <v>40€(+10%)+minimax+pdv/ mj- promijenili</v>
      </c>
      <c r="E157" s="314" t="str">
        <f>IF(poduzeća!AE154="","",poduzeća!AE154)</f>
        <v/>
      </c>
      <c r="F157" s="313" t="str">
        <f>IF(poduzeća!AF154="","",poduzeća!AF154)</f>
        <v/>
      </c>
      <c r="G157" s="295">
        <v>257.5</v>
      </c>
      <c r="H157" s="295"/>
      <c r="I157" s="322" t="s">
        <v>892</v>
      </c>
      <c r="J157" s="302">
        <v>54</v>
      </c>
      <c r="K157" s="677">
        <v>54</v>
      </c>
      <c r="L157" s="322" t="s">
        <v>1105</v>
      </c>
      <c r="M157" s="302">
        <v>54</v>
      </c>
      <c r="N157" s="297"/>
      <c r="O157" s="322" t="s">
        <v>1105</v>
      </c>
      <c r="P157" s="677">
        <v>54</v>
      </c>
      <c r="Q157" s="302">
        <v>44</v>
      </c>
      <c r="R157" s="697" t="s">
        <v>897</v>
      </c>
      <c r="S157" s="302">
        <f>54+10</f>
        <v>64</v>
      </c>
      <c r="T157" s="676">
        <v>152</v>
      </c>
      <c r="U157" s="697" t="s">
        <v>897</v>
      </c>
      <c r="V157" s="302">
        <v>54</v>
      </c>
      <c r="W157" s="678">
        <v>54</v>
      </c>
      <c r="X157" s="697" t="s">
        <v>897</v>
      </c>
      <c r="Y157" s="302">
        <v>54</v>
      </c>
      <c r="Z157" s="304">
        <v>54</v>
      </c>
      <c r="AA157" s="322" t="s">
        <v>1105</v>
      </c>
      <c r="AB157" s="302">
        <v>54</v>
      </c>
      <c r="AC157" s="678">
        <v>54</v>
      </c>
      <c r="AD157" s="697" t="s">
        <v>897</v>
      </c>
      <c r="AE157" s="302">
        <v>54</v>
      </c>
      <c r="AF157" s="302">
        <v>54</v>
      </c>
      <c r="AG157" s="322" t="s">
        <v>1105</v>
      </c>
      <c r="AH157" s="302">
        <v>54</v>
      </c>
      <c r="AI157" s="302"/>
      <c r="AJ157" s="697" t="s">
        <v>897</v>
      </c>
      <c r="AK157" s="302">
        <v>54</v>
      </c>
      <c r="AL157" s="302"/>
      <c r="AM157" s="697" t="s">
        <v>897</v>
      </c>
      <c r="AN157" s="302">
        <v>54</v>
      </c>
      <c r="AO157" s="302"/>
      <c r="AP157" s="697" t="s">
        <v>897</v>
      </c>
      <c r="AQ157" s="302">
        <v>54</v>
      </c>
      <c r="AR157" s="304"/>
      <c r="AS157" s="304"/>
      <c r="AT157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658</v>
      </c>
      <c r="AU157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466</v>
      </c>
      <c r="AV157" s="295"/>
      <c r="AW157" s="295"/>
      <c r="AX157" s="327"/>
      <c r="AY157" s="328"/>
      <c r="AZ157" s="288">
        <f>VLOOKUP(A157,Table6[],30,0)</f>
        <v>0</v>
      </c>
    </row>
    <row r="158" spans="1:52" ht="15" customHeight="1">
      <c r="A158" s="292">
        <v>154</v>
      </c>
      <c r="B158" s="277" t="str">
        <f>VLOOKUP(Table1[[#This Row],[šifra]],Table6[],2,0)</f>
        <v>VILLAPARK PRIVLAKA d.o.o.</v>
      </c>
      <c r="C158" s="277" t="str">
        <f>VLOOKUP(Table1[[#This Row],[šifra]],Table6[],4,0)</f>
        <v>KP/LAURA</v>
      </c>
      <c r="D158" s="276" t="str">
        <f>VLOOKUP(A158,Table6[],21,0)</f>
        <v xml:space="preserve">100(+10%)+PDV /mj </v>
      </c>
      <c r="E158" s="314" t="str">
        <f>IF(poduzeća!AE155="","",poduzeća!AE155)</f>
        <v/>
      </c>
      <c r="F158" s="313" t="str">
        <f>IF(poduzeća!AF155="","",poduzeća!AF155)</f>
        <v/>
      </c>
      <c r="G158" s="295">
        <v>650</v>
      </c>
      <c r="H158" s="295"/>
      <c r="I158" s="321" t="s">
        <v>1105</v>
      </c>
      <c r="J158" s="302">
        <f>100*1.1</f>
        <v>110.00000000000001</v>
      </c>
      <c r="K158" s="677">
        <v>110</v>
      </c>
      <c r="L158" s="321" t="s">
        <v>1105</v>
      </c>
      <c r="M158" s="302">
        <f>100*1.1</f>
        <v>110.00000000000001</v>
      </c>
      <c r="N158" s="676">
        <v>110</v>
      </c>
      <c r="O158" s="322" t="s">
        <v>1105</v>
      </c>
      <c r="P158" s="867">
        <f>100*1.1</f>
        <v>110.00000000000001</v>
      </c>
      <c r="Q158" s="302">
        <v>110</v>
      </c>
      <c r="R158" s="697" t="s">
        <v>897</v>
      </c>
      <c r="S158" s="302">
        <f>100*1.1</f>
        <v>110.00000000000001</v>
      </c>
      <c r="T158" s="956">
        <v>220</v>
      </c>
      <c r="U158" s="321" t="s">
        <v>1105</v>
      </c>
      <c r="V158" s="867">
        <f>100*1.1</f>
        <v>110.00000000000001</v>
      </c>
      <c r="W158" s="678">
        <v>110</v>
      </c>
      <c r="X158" s="321" t="s">
        <v>1105</v>
      </c>
      <c r="Y158" s="302">
        <f>100*1.1</f>
        <v>110.00000000000001</v>
      </c>
      <c r="Z158" s="304">
        <v>110</v>
      </c>
      <c r="AA158" s="321" t="s">
        <v>1105</v>
      </c>
      <c r="AB158" s="302">
        <f>100*1.1</f>
        <v>110.00000000000001</v>
      </c>
      <c r="AC158" s="304">
        <v>110</v>
      </c>
      <c r="AD158" s="697" t="s">
        <v>897</v>
      </c>
      <c r="AE158" s="302">
        <f>100*1.1</f>
        <v>110.00000000000001</v>
      </c>
      <c r="AF158" s="302">
        <v>110</v>
      </c>
      <c r="AG158" s="322" t="s">
        <v>1105</v>
      </c>
      <c r="AH158" s="302">
        <f>100*1.1</f>
        <v>110.00000000000001</v>
      </c>
      <c r="AI158" s="302"/>
      <c r="AJ158" s="697" t="s">
        <v>897</v>
      </c>
      <c r="AK158" s="302">
        <f>100*1.1</f>
        <v>110.00000000000001</v>
      </c>
      <c r="AL158" s="302"/>
      <c r="AM158" s="697" t="s">
        <v>897</v>
      </c>
      <c r="AN158" s="302">
        <f>100*1.1</f>
        <v>110.00000000000001</v>
      </c>
      <c r="AO158" s="302"/>
      <c r="AP158" s="697" t="s">
        <v>897</v>
      </c>
      <c r="AQ158" s="302">
        <f>100*1.1</f>
        <v>110.00000000000001</v>
      </c>
      <c r="AR158" s="304"/>
      <c r="AS158" s="304"/>
      <c r="AT158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1320.0000000000002</v>
      </c>
      <c r="AU15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990</v>
      </c>
      <c r="AV158" s="295"/>
      <c r="AW158" s="295"/>
      <c r="AX158" s="327"/>
      <c r="AY158" s="328"/>
      <c r="AZ158" s="288">
        <f>VLOOKUP(A158,Table6[],30,0)</f>
        <v>0</v>
      </c>
    </row>
    <row r="159" spans="1:52" ht="14.25" customHeight="1">
      <c r="A159" s="287">
        <v>155</v>
      </c>
      <c r="B159" s="276" t="str">
        <f>VLOOKUP(Table1[[#This Row],[šifra]],Table6[],2,0)</f>
        <v>Vital Group d.o.o.</v>
      </c>
      <c r="C159" s="276" t="str">
        <f>VLOOKUP(Table1[[#This Row],[šifra]],Table6[],4,0)</f>
        <v>NIKOLINA</v>
      </c>
      <c r="D159" s="276" t="str">
        <f>VLOOKUP(A159,Table6[],21,0)</f>
        <v>stečaj</v>
      </c>
      <c r="E159" s="314"/>
      <c r="F159" s="313"/>
      <c r="G159" s="293"/>
      <c r="H159" s="293"/>
      <c r="I159" s="289" t="s">
        <v>901</v>
      </c>
      <c r="J159" s="304"/>
      <c r="K159" s="678"/>
      <c r="L159" s="289" t="s">
        <v>901</v>
      </c>
      <c r="M159" s="304"/>
      <c r="N159" s="675">
        <v>0</v>
      </c>
      <c r="O159" s="289" t="s">
        <v>901</v>
      </c>
      <c r="P159" s="304"/>
      <c r="Q159" s="304"/>
      <c r="R159" s="289" t="s">
        <v>901</v>
      </c>
      <c r="S159" s="304"/>
      <c r="T159" s="675"/>
      <c r="U159" s="289" t="s">
        <v>901</v>
      </c>
      <c r="V159" s="304"/>
      <c r="W159" s="304"/>
      <c r="X159" s="289" t="s">
        <v>901</v>
      </c>
      <c r="Y159" s="304"/>
      <c r="Z159" s="304"/>
      <c r="AA159" s="289" t="s">
        <v>901</v>
      </c>
      <c r="AB159" s="304"/>
      <c r="AC159" s="304"/>
      <c r="AD159" s="289" t="s">
        <v>901</v>
      </c>
      <c r="AE159" s="304"/>
      <c r="AF159" s="304"/>
      <c r="AG159" s="289" t="s">
        <v>901</v>
      </c>
      <c r="AH159" s="304"/>
      <c r="AI159" s="304"/>
      <c r="AJ159" s="289" t="s">
        <v>901</v>
      </c>
      <c r="AK159" s="304"/>
      <c r="AL159" s="304"/>
      <c r="AM159" s="289" t="s">
        <v>901</v>
      </c>
      <c r="AN159" s="304"/>
      <c r="AO159" s="304"/>
      <c r="AP159" s="289" t="s">
        <v>901</v>
      </c>
      <c r="AQ159" s="304"/>
      <c r="AR159" s="304"/>
      <c r="AS159" s="304"/>
      <c r="AT159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59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59" s="293"/>
      <c r="AW159" s="293"/>
      <c r="AX159" s="327"/>
      <c r="AY159" s="328"/>
      <c r="AZ159" s="288">
        <f>VLOOKUP(A159,Table6[],30,0)</f>
        <v>0</v>
      </c>
    </row>
    <row r="160" spans="1:52" ht="15" customHeight="1">
      <c r="A160" s="292">
        <v>156</v>
      </c>
      <c r="B160" s="277" t="str">
        <f>VLOOKUP(Table1[[#This Row],[šifra]],Table6[],2,0)</f>
        <v>VivaPalazzo d.o.o.</v>
      </c>
      <c r="C160" s="277" t="str">
        <f>VLOOKUP(Table1[[#This Row],[šifra]],Table6[],4,0)</f>
        <v>MARKO</v>
      </c>
      <c r="D160" s="276" t="str">
        <f>VLOOKUP(A160,Table6[],21,0)</f>
        <v>200 (10%)+PDV</v>
      </c>
      <c r="E160" s="314">
        <f>IF(poduzeća!AE157="","",poduzeća!AE157)</f>
        <v>45536</v>
      </c>
      <c r="F160" s="313">
        <f>IF(poduzeća!AF157="","",poduzeća!AF157)</f>
        <v>500</v>
      </c>
      <c r="G160" s="295"/>
      <c r="H160" s="295">
        <v>110</v>
      </c>
      <c r="I160" s="736" t="s">
        <v>897</v>
      </c>
      <c r="J160" s="302">
        <f>200*1.1</f>
        <v>220.00000000000003</v>
      </c>
      <c r="K160" s="677">
        <v>220</v>
      </c>
      <c r="L160" s="736" t="s">
        <v>897</v>
      </c>
      <c r="M160" s="302">
        <f>200*1.1</f>
        <v>220.00000000000003</v>
      </c>
      <c r="N160" s="676">
        <v>220</v>
      </c>
      <c r="O160" s="736" t="s">
        <v>897</v>
      </c>
      <c r="P160" s="302">
        <f>200*1.1</f>
        <v>220.00000000000003</v>
      </c>
      <c r="Q160" s="302">
        <v>220</v>
      </c>
      <c r="R160" s="736" t="s">
        <v>897</v>
      </c>
      <c r="S160" s="302">
        <f>200*1.1</f>
        <v>220.00000000000003</v>
      </c>
      <c r="T160" s="956">
        <v>440</v>
      </c>
      <c r="U160" s="736" t="s">
        <v>897</v>
      </c>
      <c r="V160" s="957">
        <f>200*1.1</f>
        <v>220.00000000000003</v>
      </c>
      <c r="W160" s="957">
        <f>200*1.1</f>
        <v>220.00000000000003</v>
      </c>
      <c r="X160" s="736" t="s">
        <v>897</v>
      </c>
      <c r="Y160" s="302">
        <f>200*1.1</f>
        <v>220.00000000000003</v>
      </c>
      <c r="Z160" s="304">
        <v>220</v>
      </c>
      <c r="AA160" s="736" t="s">
        <v>897</v>
      </c>
      <c r="AB160" s="302">
        <v>300</v>
      </c>
      <c r="AC160" s="304">
        <v>300</v>
      </c>
      <c r="AD160" s="736" t="s">
        <v>897</v>
      </c>
      <c r="AE160" s="302">
        <v>300</v>
      </c>
      <c r="AF160" s="302"/>
      <c r="AG160" s="736" t="s">
        <v>897</v>
      </c>
      <c r="AH160" s="302">
        <v>800</v>
      </c>
      <c r="AI160" s="302"/>
      <c r="AJ160" s="736" t="s">
        <v>897</v>
      </c>
      <c r="AK160" s="302">
        <v>300</v>
      </c>
      <c r="AL160" s="302"/>
      <c r="AM160" s="736" t="s">
        <v>897</v>
      </c>
      <c r="AN160" s="302">
        <v>300</v>
      </c>
      <c r="AO160" s="302"/>
      <c r="AP160" s="736" t="s">
        <v>897</v>
      </c>
      <c r="AQ160" s="302">
        <v>300</v>
      </c>
      <c r="AR160" s="304"/>
      <c r="AS160" s="304"/>
      <c r="AT16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3620</v>
      </c>
      <c r="AU16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1840</v>
      </c>
      <c r="AV160" s="295"/>
      <c r="AW160" s="295"/>
      <c r="AX160" s="327"/>
      <c r="AY160" s="328"/>
      <c r="AZ160" s="288">
        <f>VLOOKUP(A160,Table6[],30,0)</f>
        <v>0</v>
      </c>
    </row>
    <row r="161" spans="1:52" ht="15" customHeight="1">
      <c r="A161" s="292">
        <v>157</v>
      </c>
      <c r="B161" s="277" t="str">
        <f>VLOOKUP(Table1[[#This Row],[šifra]],Table6[],2,0)</f>
        <v>Vižlin d.o.o.</v>
      </c>
      <c r="C161" s="277" t="str">
        <f>VLOOKUP(Table1[[#This Row],[šifra]],Table6[],4,0)</f>
        <v>NIKOLINA</v>
      </c>
      <c r="D161" s="276" t="str">
        <f>VLOOKUP(A161,Table6[],21,0)</f>
        <v>100,00+PDV /mj odlazi obračun zadnji 31.01.</v>
      </c>
      <c r="E161" s="314" t="str">
        <f>IF(poduzeća!AE158="","",poduzeća!AE158)</f>
        <v/>
      </c>
      <c r="F161" s="313" t="str">
        <f>IF(poduzeća!AF158="","",poduzeća!AF158)</f>
        <v/>
      </c>
      <c r="G161" s="295">
        <v>-20</v>
      </c>
      <c r="H161" s="295"/>
      <c r="I161" s="321" t="s">
        <v>901</v>
      </c>
      <c r="J161" s="302">
        <f>100*1.1</f>
        <v>110.00000000000001</v>
      </c>
      <c r="K161" s="677">
        <v>110</v>
      </c>
      <c r="L161" s="321"/>
      <c r="M161" s="302"/>
      <c r="N161" s="676">
        <v>0</v>
      </c>
      <c r="O161" s="321"/>
      <c r="P161" s="302"/>
      <c r="Q161" s="302"/>
      <c r="R161" s="321"/>
      <c r="S161" s="302"/>
      <c r="T161" s="956">
        <v>110</v>
      </c>
      <c r="U161" s="321"/>
      <c r="V161" s="302"/>
      <c r="W161" s="304"/>
      <c r="X161" s="321"/>
      <c r="Y161" s="302"/>
      <c r="Z161" s="304"/>
      <c r="AA161" s="321"/>
      <c r="AB161" s="302"/>
      <c r="AC161" s="304"/>
      <c r="AD161" s="321"/>
      <c r="AE161" s="302"/>
      <c r="AF161" s="302"/>
      <c r="AG161" s="321"/>
      <c r="AH161" s="302"/>
      <c r="AI161" s="302"/>
      <c r="AJ161" s="321"/>
      <c r="AK161" s="302"/>
      <c r="AL161" s="302"/>
      <c r="AM161" s="321"/>
      <c r="AN161" s="302"/>
      <c r="AO161" s="302"/>
      <c r="AP161" s="321"/>
      <c r="AQ161" s="302"/>
      <c r="AR161" s="304"/>
      <c r="AS161" s="304"/>
      <c r="AT16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110.00000000000001</v>
      </c>
      <c r="AU16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220</v>
      </c>
      <c r="AV161" s="295"/>
      <c r="AW161" s="295"/>
      <c r="AX161" s="327"/>
      <c r="AY161" s="328"/>
      <c r="AZ161" s="288">
        <f>VLOOKUP(A161,Table6[],30,0)</f>
        <v>0</v>
      </c>
    </row>
    <row r="162" spans="1:52" ht="15" customHeight="1">
      <c r="A162" s="292">
        <v>158</v>
      </c>
      <c r="B162" s="277" t="str">
        <f>VLOOKUP(Table1[[#This Row],[šifra]],Table6[],2,0)</f>
        <v>VOGEL PROJEKT d.o.o.</v>
      </c>
      <c r="C162" s="277" t="str">
        <f>VLOOKUP(Table1[[#This Row],[šifra]],Table6[],4,0)</f>
        <v>F. ANA P.</v>
      </c>
      <c r="D162" s="276" t="str">
        <f>VLOOKUP(A162,Table6[],21,0)</f>
        <v>72,6 (+10%) /mj</v>
      </c>
      <c r="E162" s="314" t="str">
        <f>IF(poduzeća!AE159="","",poduzeća!AE159)</f>
        <v/>
      </c>
      <c r="F162" s="313" t="str">
        <f>IF(poduzeća!AF159="","",poduzeća!AF159)</f>
        <v/>
      </c>
      <c r="G162" s="295">
        <v>0</v>
      </c>
      <c r="H162" s="295"/>
      <c r="I162" s="322" t="s">
        <v>899</v>
      </c>
      <c r="J162" s="302">
        <v>0</v>
      </c>
      <c r="K162" s="302"/>
      <c r="L162" s="322" t="s">
        <v>899</v>
      </c>
      <c r="M162" s="302"/>
      <c r="N162" s="297"/>
      <c r="O162" s="322" t="s">
        <v>899</v>
      </c>
      <c r="P162" s="302">
        <v>0</v>
      </c>
      <c r="Q162" s="302"/>
      <c r="R162" s="322" t="s">
        <v>899</v>
      </c>
      <c r="S162" s="302">
        <v>0</v>
      </c>
      <c r="T162" s="676"/>
      <c r="U162" s="322" t="s">
        <v>899</v>
      </c>
      <c r="V162" s="302">
        <v>0</v>
      </c>
      <c r="W162" s="304"/>
      <c r="X162" s="301" t="s">
        <v>899</v>
      </c>
      <c r="Y162" s="302">
        <v>0</v>
      </c>
      <c r="Z162" s="304"/>
      <c r="AA162" s="301" t="s">
        <v>899</v>
      </c>
      <c r="AB162" s="302">
        <v>0</v>
      </c>
      <c r="AC162" s="304">
        <v>0</v>
      </c>
      <c r="AD162" s="301" t="s">
        <v>899</v>
      </c>
      <c r="AE162" s="302">
        <v>0</v>
      </c>
      <c r="AF162" s="302"/>
      <c r="AG162" s="322" t="s">
        <v>899</v>
      </c>
      <c r="AH162" s="302">
        <v>0</v>
      </c>
      <c r="AI162" s="302"/>
      <c r="AJ162" s="322" t="s">
        <v>899</v>
      </c>
      <c r="AK162" s="302">
        <v>0</v>
      </c>
      <c r="AL162" s="302"/>
      <c r="AM162" s="322" t="s">
        <v>899</v>
      </c>
      <c r="AN162" s="302">
        <v>0</v>
      </c>
      <c r="AO162" s="302"/>
      <c r="AP162" s="322" t="s">
        <v>899</v>
      </c>
      <c r="AQ162" s="302">
        <v>0</v>
      </c>
      <c r="AR162" s="304"/>
      <c r="AS162" s="304"/>
      <c r="AT16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6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62" s="295"/>
      <c r="AW162" s="295"/>
      <c r="AX162" s="327"/>
      <c r="AY162" s="328"/>
      <c r="AZ162" s="288"/>
    </row>
    <row r="163" spans="1:52" ht="15" customHeight="1">
      <c r="A163" s="292">
        <v>159</v>
      </c>
      <c r="B163" s="277" t="str">
        <f>VLOOKUP(Table1[[#This Row],[šifra]],Table6[],2,0)</f>
        <v>VR CONSULTING d.o.o. - po naplaćenoj</v>
      </c>
      <c r="C163" s="277" t="str">
        <f>VLOOKUP(Table1[[#This Row],[šifra]],Table6[],4,0)</f>
        <v>SJEDIŠTE</v>
      </c>
      <c r="D163" s="276" t="str">
        <f>VLOOKUP(A163,Table6[],21,0)</f>
        <v>40 SJEDIŠTE / MJ</v>
      </c>
      <c r="E163" s="314" t="str">
        <f>IF(poduzeća!AE160="","",poduzeća!AE160)</f>
        <v>15.11.2021</v>
      </c>
      <c r="F163" s="313" t="str">
        <f>IF(poduzeća!AF160="","",poduzeća!AF160)</f>
        <v>45 eur mjesečno</v>
      </c>
      <c r="G163" s="1017">
        <v>356.25</v>
      </c>
      <c r="H163" s="1017"/>
      <c r="I163" s="522" t="s">
        <v>897</v>
      </c>
      <c r="J163" s="302">
        <v>40</v>
      </c>
      <c r="K163" s="677">
        <v>40</v>
      </c>
      <c r="L163" s="522" t="s">
        <v>897</v>
      </c>
      <c r="M163" s="302">
        <v>40</v>
      </c>
      <c r="N163" s="676">
        <v>40</v>
      </c>
      <c r="O163" s="522" t="s">
        <v>897</v>
      </c>
      <c r="P163" s="867">
        <v>40</v>
      </c>
      <c r="Q163" s="302">
        <v>40</v>
      </c>
      <c r="R163" s="522" t="s">
        <v>897</v>
      </c>
      <c r="S163" s="302">
        <v>40</v>
      </c>
      <c r="T163" s="956">
        <v>40</v>
      </c>
      <c r="U163" s="522" t="s">
        <v>897</v>
      </c>
      <c r="V163" s="867">
        <v>40</v>
      </c>
      <c r="W163" s="678">
        <v>40</v>
      </c>
      <c r="X163" s="522" t="s">
        <v>897</v>
      </c>
      <c r="Y163" s="302">
        <v>40</v>
      </c>
      <c r="Z163" s="678">
        <v>40</v>
      </c>
      <c r="AA163" s="522" t="s">
        <v>897</v>
      </c>
      <c r="AB163" s="302">
        <v>40</v>
      </c>
      <c r="AC163" s="304">
        <v>40</v>
      </c>
      <c r="AD163" s="522" t="s">
        <v>897</v>
      </c>
      <c r="AE163" s="302">
        <v>40</v>
      </c>
      <c r="AF163" s="302">
        <v>40</v>
      </c>
      <c r="AG163" s="522" t="s">
        <v>897</v>
      </c>
      <c r="AH163" s="302">
        <v>40</v>
      </c>
      <c r="AI163" s="302"/>
      <c r="AJ163" s="522" t="s">
        <v>897</v>
      </c>
      <c r="AK163" s="302">
        <v>40</v>
      </c>
      <c r="AL163" s="302"/>
      <c r="AM163" s="522" t="s">
        <v>897</v>
      </c>
      <c r="AN163" s="302">
        <v>40</v>
      </c>
      <c r="AO163" s="302"/>
      <c r="AP163" s="522" t="s">
        <v>897</v>
      </c>
      <c r="AQ163" s="302">
        <v>40</v>
      </c>
      <c r="AR163" s="304"/>
      <c r="AS163" s="304"/>
      <c r="AT16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480</v>
      </c>
      <c r="AU16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320</v>
      </c>
      <c r="AV163" s="295"/>
      <c r="AW163" s="295"/>
      <c r="AX163" s="327"/>
      <c r="AY163" s="328"/>
      <c r="AZ163" s="288">
        <f>VLOOKUP(A163,Table6[],30,0)</f>
        <v>0</v>
      </c>
    </row>
    <row r="164" spans="1:52" ht="14.25" customHeight="1">
      <c r="A164" s="292">
        <v>160</v>
      </c>
      <c r="B164" s="277" t="str">
        <f>VLOOKUP(Table1[[#This Row],[šifra]],Table6[],2,0)</f>
        <v>VR-INVEST d.o.o.</v>
      </c>
      <c r="C164" s="277" t="str">
        <f>VLOOKUP(Table1[[#This Row],[šifra]],Table6[],4,0)</f>
        <v>SJEDIŠTE</v>
      </c>
      <c r="D164" s="276" t="str">
        <f>VLOOKUP(A164,Table6[],21,0)</f>
        <v>40 SJEDIŠTE / MJ</v>
      </c>
      <c r="E164" s="314" t="str">
        <f>IF(poduzeća!AE161="","",poduzeća!AE161)</f>
        <v>1.6.2023</v>
      </c>
      <c r="F164" s="313" t="str">
        <f>IF(poduzeća!AF161="","",poduzeća!AF161)</f>
        <v>40 eur mjesečno</v>
      </c>
      <c r="G164" s="1017">
        <v>350</v>
      </c>
      <c r="H164" s="1017"/>
      <c r="I164" s="522" t="s">
        <v>897</v>
      </c>
      <c r="J164" s="302">
        <v>40</v>
      </c>
      <c r="K164" s="677">
        <v>40</v>
      </c>
      <c r="L164" s="522" t="s">
        <v>897</v>
      </c>
      <c r="M164" s="302">
        <v>40</v>
      </c>
      <c r="N164" s="676">
        <v>40</v>
      </c>
      <c r="O164" s="522" t="s">
        <v>897</v>
      </c>
      <c r="P164" s="867">
        <v>40</v>
      </c>
      <c r="Q164" s="302">
        <v>40</v>
      </c>
      <c r="R164" s="522" t="s">
        <v>897</v>
      </c>
      <c r="S164" s="302">
        <v>40</v>
      </c>
      <c r="T164" s="956">
        <v>40</v>
      </c>
      <c r="U164" s="522" t="s">
        <v>897</v>
      </c>
      <c r="V164" s="867">
        <v>40</v>
      </c>
      <c r="W164" s="678">
        <v>40</v>
      </c>
      <c r="X164" s="522" t="s">
        <v>897</v>
      </c>
      <c r="Y164" s="302">
        <v>40</v>
      </c>
      <c r="Z164" s="675">
        <v>40</v>
      </c>
      <c r="AA164" s="522" t="s">
        <v>897</v>
      </c>
      <c r="AB164" s="302">
        <v>40</v>
      </c>
      <c r="AC164" s="302">
        <v>40</v>
      </c>
      <c r="AD164" s="522" t="s">
        <v>897</v>
      </c>
      <c r="AE164" s="302">
        <v>40</v>
      </c>
      <c r="AF164" s="302">
        <v>40</v>
      </c>
      <c r="AG164" s="522" t="s">
        <v>897</v>
      </c>
      <c r="AH164" s="302">
        <v>40</v>
      </c>
      <c r="AI164" s="302"/>
      <c r="AJ164" s="522" t="s">
        <v>897</v>
      </c>
      <c r="AK164" s="302">
        <v>40</v>
      </c>
      <c r="AL164" s="302"/>
      <c r="AM164" s="522" t="s">
        <v>897</v>
      </c>
      <c r="AN164" s="302">
        <v>40</v>
      </c>
      <c r="AO164" s="302"/>
      <c r="AP164" s="522" t="s">
        <v>897</v>
      </c>
      <c r="AQ164" s="302">
        <v>40</v>
      </c>
      <c r="AR164" s="297"/>
      <c r="AS164" s="297"/>
      <c r="AT16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480</v>
      </c>
      <c r="AU16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320</v>
      </c>
      <c r="AV164" s="295"/>
      <c r="AW164" s="295"/>
      <c r="AX164" s="327"/>
      <c r="AY164" s="328"/>
      <c r="AZ164" s="288">
        <f>VLOOKUP(A164,Table6[],30,0)</f>
        <v>0</v>
      </c>
    </row>
    <row r="165" spans="1:52" ht="15" customHeight="1">
      <c r="A165" s="287">
        <v>161</v>
      </c>
      <c r="B165" s="276" t="str">
        <f>VLOOKUP(Table1[[#This Row],[šifra]],Table6[],2,0)</f>
        <v>VR-NEKRETNINE d.o.o.</v>
      </c>
      <c r="C165" s="276" t="str">
        <f>VLOOKUP(Table1[[#This Row],[šifra]],Table6[],4,0)</f>
        <v>SJEDIŠTE</v>
      </c>
      <c r="D165" s="276" t="str">
        <f>VLOOKUP(A165,Table6[],21,0)</f>
        <v>40 SJEDIŠTE / MJ</v>
      </c>
      <c r="E165" s="314" t="str">
        <f>IF(poduzeća!AE162="","",poduzeća!AE162)</f>
        <v>1.6.2023</v>
      </c>
      <c r="F165" s="313" t="str">
        <f>IF(poduzeća!AF162="","",poduzeća!AF162)</f>
        <v>40 eur mjesečno</v>
      </c>
      <c r="G165" s="1017">
        <v>350</v>
      </c>
      <c r="H165" s="1017"/>
      <c r="I165" s="522" t="s">
        <v>897</v>
      </c>
      <c r="J165" s="304">
        <v>40</v>
      </c>
      <c r="K165" s="678">
        <v>40</v>
      </c>
      <c r="L165" s="522" t="s">
        <v>897</v>
      </c>
      <c r="M165" s="304">
        <v>40</v>
      </c>
      <c r="N165" s="675">
        <v>40</v>
      </c>
      <c r="O165" s="522" t="s">
        <v>897</v>
      </c>
      <c r="P165" s="870">
        <v>40</v>
      </c>
      <c r="Q165" s="304">
        <v>40</v>
      </c>
      <c r="R165" s="522" t="s">
        <v>897</v>
      </c>
      <c r="S165" s="304">
        <v>40</v>
      </c>
      <c r="T165" s="955">
        <v>40</v>
      </c>
      <c r="U165" s="522" t="s">
        <v>897</v>
      </c>
      <c r="V165" s="870">
        <v>40</v>
      </c>
      <c r="W165" s="678">
        <v>40</v>
      </c>
      <c r="X165" s="522" t="s">
        <v>897</v>
      </c>
      <c r="Y165" s="304">
        <v>40</v>
      </c>
      <c r="Z165" s="675">
        <v>40</v>
      </c>
      <c r="AA165" s="522" t="s">
        <v>897</v>
      </c>
      <c r="AB165" s="304">
        <v>40</v>
      </c>
      <c r="AC165" s="304">
        <v>40</v>
      </c>
      <c r="AD165" s="522" t="s">
        <v>897</v>
      </c>
      <c r="AE165" s="304">
        <v>40</v>
      </c>
      <c r="AF165" s="304">
        <v>40</v>
      </c>
      <c r="AG165" s="522" t="s">
        <v>897</v>
      </c>
      <c r="AH165" s="304">
        <v>40</v>
      </c>
      <c r="AI165" s="304"/>
      <c r="AJ165" s="522" t="s">
        <v>897</v>
      </c>
      <c r="AK165" s="304">
        <v>40</v>
      </c>
      <c r="AL165" s="304"/>
      <c r="AM165" s="522" t="s">
        <v>897</v>
      </c>
      <c r="AN165" s="304">
        <v>40</v>
      </c>
      <c r="AO165" s="304"/>
      <c r="AP165" s="522" t="s">
        <v>897</v>
      </c>
      <c r="AQ165" s="304">
        <v>40</v>
      </c>
      <c r="AR165" s="294"/>
      <c r="AS165" s="294"/>
      <c r="AT16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480</v>
      </c>
      <c r="AU165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320</v>
      </c>
      <c r="AV165" s="293"/>
      <c r="AW165" s="293"/>
      <c r="AX165" s="327"/>
      <c r="AY165" s="328"/>
      <c r="AZ165" s="288">
        <f>VLOOKUP(A165,Table6[],30,0)</f>
        <v>0</v>
      </c>
    </row>
    <row r="166" spans="1:52" ht="15" customHeight="1">
      <c r="A166" s="292">
        <v>162</v>
      </c>
      <c r="B166" s="277" t="str">
        <f>VLOOKUP(Table1[[#This Row],[šifra]],Table6[],2,0)</f>
        <v>VR - KRK d.o.o.</v>
      </c>
      <c r="C166" s="277" t="str">
        <f>VLOOKUP(Table1[[#This Row],[šifra]],Table6[],4,0)</f>
        <v>SJEDIŠTE</v>
      </c>
      <c r="D166" s="276" t="str">
        <f>VLOOKUP(A166,Table6[],21,0)</f>
        <v>40 SJEDIŠTE / MJ</v>
      </c>
      <c r="E166" s="314" t="str">
        <f>IF(poduzeća!AE163="","",poduzeća!AE163)</f>
        <v>15.11.2021</v>
      </c>
      <c r="F166" s="313" t="str">
        <f>IF(poduzeća!AF163="","",poduzeća!AF163)</f>
        <v>45 eur mjesečno</v>
      </c>
      <c r="G166" s="1049">
        <v>1631.25</v>
      </c>
      <c r="H166" s="1017"/>
      <c r="I166" s="522" t="s">
        <v>897</v>
      </c>
      <c r="J166" s="302">
        <v>40</v>
      </c>
      <c r="K166" s="677">
        <v>40</v>
      </c>
      <c r="L166" s="522" t="s">
        <v>897</v>
      </c>
      <c r="M166" s="302">
        <v>40</v>
      </c>
      <c r="N166" s="676">
        <v>40</v>
      </c>
      <c r="O166" s="522" t="s">
        <v>897</v>
      </c>
      <c r="P166" s="867">
        <v>40</v>
      </c>
      <c r="Q166" s="302">
        <v>40</v>
      </c>
      <c r="R166" s="522" t="s">
        <v>897</v>
      </c>
      <c r="S166" s="302">
        <v>40</v>
      </c>
      <c r="T166" s="956">
        <v>40</v>
      </c>
      <c r="U166" s="522" t="s">
        <v>897</v>
      </c>
      <c r="V166" s="867">
        <v>40</v>
      </c>
      <c r="W166" s="678">
        <v>40</v>
      </c>
      <c r="X166" s="522" t="s">
        <v>897</v>
      </c>
      <c r="Y166" s="302">
        <v>40</v>
      </c>
      <c r="Z166" s="675">
        <v>40</v>
      </c>
      <c r="AA166" s="522" t="s">
        <v>897</v>
      </c>
      <c r="AB166" s="302">
        <v>40</v>
      </c>
      <c r="AC166" s="302">
        <v>40</v>
      </c>
      <c r="AD166" s="522" t="s">
        <v>897</v>
      </c>
      <c r="AE166" s="302">
        <v>40</v>
      </c>
      <c r="AF166" s="302">
        <v>40</v>
      </c>
      <c r="AG166" s="522" t="s">
        <v>897</v>
      </c>
      <c r="AH166" s="302">
        <v>40</v>
      </c>
      <c r="AI166" s="302"/>
      <c r="AJ166" s="522" t="s">
        <v>897</v>
      </c>
      <c r="AK166" s="302">
        <v>40</v>
      </c>
      <c r="AL166" s="302"/>
      <c r="AM166" s="522" t="s">
        <v>897</v>
      </c>
      <c r="AN166" s="302">
        <v>40</v>
      </c>
      <c r="AO166" s="302"/>
      <c r="AP166" s="522" t="s">
        <v>897</v>
      </c>
      <c r="AQ166" s="302">
        <v>40</v>
      </c>
      <c r="AR166" s="297"/>
      <c r="AS166" s="297"/>
      <c r="AT166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480</v>
      </c>
      <c r="AU166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320</v>
      </c>
      <c r="AV166" s="295"/>
      <c r="AW166" s="295"/>
      <c r="AX166" s="327"/>
      <c r="AY166" s="328"/>
      <c r="AZ166" s="288">
        <f>VLOOKUP(A166,Table6[],30,0)</f>
        <v>0</v>
      </c>
    </row>
    <row r="167" spans="1:52" ht="15" customHeight="1">
      <c r="A167" s="287">
        <v>163</v>
      </c>
      <c r="B167" s="276" t="str">
        <f>VLOOKUP(Table1[[#This Row],[šifra]],Table6[],2,0)</f>
        <v>VT - INVEST d.o.o.</v>
      </c>
      <c r="C167" s="276" t="str">
        <f>VLOOKUP(Table1[[#This Row],[šifra]],Table6[],4,0)</f>
        <v>GABRIJELA</v>
      </c>
      <c r="D167" s="276" t="str">
        <f>VLOOKUP(A167,Table6[],21,0)</f>
        <v>???800(+10%)+pdv /jednom god prodaje se pričat će sa njima Gabi</v>
      </c>
      <c r="E167" s="314" t="str">
        <f>IF(poduzeća!AE164="","",poduzeća!AE164)</f>
        <v>13.3.2021</v>
      </c>
      <c r="F167" s="313">
        <f>IF(poduzeća!AF164="","",poduzeća!AF164)</f>
        <v>500</v>
      </c>
      <c r="G167" s="293">
        <v>150</v>
      </c>
      <c r="H167" s="293"/>
      <c r="I167" s="289" t="s">
        <v>892</v>
      </c>
      <c r="J167" s="304"/>
      <c r="K167" s="304"/>
      <c r="L167" s="289" t="s">
        <v>892</v>
      </c>
      <c r="M167" s="304">
        <f>150+45</f>
        <v>195</v>
      </c>
      <c r="N167" s="849"/>
      <c r="O167" s="289" t="s">
        <v>892</v>
      </c>
      <c r="P167" s="304">
        <v>195</v>
      </c>
      <c r="Q167" s="678">
        <v>840</v>
      </c>
      <c r="R167" s="289" t="s">
        <v>892</v>
      </c>
      <c r="S167" s="304">
        <v>195</v>
      </c>
      <c r="T167" s="675">
        <v>240</v>
      </c>
      <c r="U167" s="289" t="s">
        <v>892</v>
      </c>
      <c r="V167" s="304">
        <v>120</v>
      </c>
      <c r="W167" s="678">
        <v>120</v>
      </c>
      <c r="X167" s="289" t="s">
        <v>892</v>
      </c>
      <c r="Y167" s="304">
        <v>120</v>
      </c>
      <c r="Z167" s="675">
        <v>120</v>
      </c>
      <c r="AA167" s="289" t="s">
        <v>892</v>
      </c>
      <c r="AB167" s="304">
        <v>120</v>
      </c>
      <c r="AC167" s="304">
        <v>120</v>
      </c>
      <c r="AD167" s="289" t="s">
        <v>892</v>
      </c>
      <c r="AE167" s="304">
        <v>120</v>
      </c>
      <c r="AF167" s="304"/>
      <c r="AG167" s="289" t="s">
        <v>892</v>
      </c>
      <c r="AH167" s="304">
        <v>120</v>
      </c>
      <c r="AI167" s="304"/>
      <c r="AJ167" s="289" t="s">
        <v>892</v>
      </c>
      <c r="AK167" s="304">
        <v>120</v>
      </c>
      <c r="AL167" s="304"/>
      <c r="AM167" s="289" t="s">
        <v>892</v>
      </c>
      <c r="AN167" s="304">
        <v>120</v>
      </c>
      <c r="AO167" s="304"/>
      <c r="AP167" s="289" t="s">
        <v>892</v>
      </c>
      <c r="AQ167" s="304">
        <v>120</v>
      </c>
      <c r="AR167" s="294"/>
      <c r="AS167" s="294"/>
      <c r="AT167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1545</v>
      </c>
      <c r="AU167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1440</v>
      </c>
      <c r="AV167" s="317" t="s">
        <v>198</v>
      </c>
      <c r="AW167" s="293"/>
      <c r="AX167" s="327"/>
      <c r="AY167" s="328"/>
      <c r="AZ167" s="288">
        <f>VLOOKUP(A167,Table6[],30,0)</f>
        <v>0</v>
      </c>
    </row>
    <row r="168" spans="1:52" ht="15" customHeight="1">
      <c r="A168" s="287">
        <v>164</v>
      </c>
      <c r="B168" s="276" t="str">
        <f>VLOOKUP(Table1[[#This Row],[šifra]],Table6[],2,0)</f>
        <v>VVK BIJELO PLAVI</v>
      </c>
      <c r="C168" s="276" t="str">
        <f>VLOOKUP(Table1[[#This Row],[šifra]],Table6[],4,0)</f>
        <v>SANDRA</v>
      </c>
      <c r="D168" s="276" t="str">
        <f>VLOOKUP(A168,Table6[],21,0)</f>
        <v>30(+10%)/mj</v>
      </c>
      <c r="E168" s="314" t="str">
        <f>IF(poduzeća!AE165="","",poduzeća!AE165)</f>
        <v/>
      </c>
      <c r="F168" s="313" t="str">
        <f>IF(poduzeća!AF165="","",poduzeća!AF165)</f>
        <v/>
      </c>
      <c r="G168" s="293"/>
      <c r="H168" s="293">
        <v>22.22</v>
      </c>
      <c r="I168" s="289" t="s">
        <v>897</v>
      </c>
      <c r="J168" s="304">
        <f>30*1.1</f>
        <v>33</v>
      </c>
      <c r="K168" s="678">
        <v>33</v>
      </c>
      <c r="L168" s="289" t="s">
        <v>897</v>
      </c>
      <c r="M168" s="304">
        <f>30*1.1</f>
        <v>33</v>
      </c>
      <c r="N168" s="675">
        <v>33</v>
      </c>
      <c r="O168" s="289" t="s">
        <v>897</v>
      </c>
      <c r="P168" s="870">
        <f>30*1.1</f>
        <v>33</v>
      </c>
      <c r="Q168" s="304">
        <v>33</v>
      </c>
      <c r="R168" s="289" t="s">
        <v>897</v>
      </c>
      <c r="S168" s="304">
        <f>30*1.1</f>
        <v>33</v>
      </c>
      <c r="T168" s="955">
        <v>33</v>
      </c>
      <c r="U168" s="289" t="s">
        <v>897</v>
      </c>
      <c r="V168" s="870">
        <f>30*1.1</f>
        <v>33</v>
      </c>
      <c r="W168" s="678">
        <v>33</v>
      </c>
      <c r="X168" s="289" t="s">
        <v>897</v>
      </c>
      <c r="Y168" s="304">
        <f>30*1.1</f>
        <v>33</v>
      </c>
      <c r="Z168" s="675">
        <v>33</v>
      </c>
      <c r="AA168" s="289" t="s">
        <v>897</v>
      </c>
      <c r="AB168" s="304">
        <f>30*1.1</f>
        <v>33</v>
      </c>
      <c r="AC168" s="304">
        <v>33</v>
      </c>
      <c r="AD168" s="289" t="s">
        <v>897</v>
      </c>
      <c r="AE168" s="304">
        <f>30*1.1</f>
        <v>33</v>
      </c>
      <c r="AF168" s="304">
        <v>33</v>
      </c>
      <c r="AG168" s="289" t="s">
        <v>897</v>
      </c>
      <c r="AH168" s="304">
        <f>30*1.1</f>
        <v>33</v>
      </c>
      <c r="AI168" s="304"/>
      <c r="AJ168" s="289" t="s">
        <v>897</v>
      </c>
      <c r="AK168" s="304">
        <f>30*1.1</f>
        <v>33</v>
      </c>
      <c r="AL168" s="304"/>
      <c r="AM168" s="289" t="s">
        <v>897</v>
      </c>
      <c r="AN168" s="304">
        <f>30*1.1</f>
        <v>33</v>
      </c>
      <c r="AO168" s="304"/>
      <c r="AP168" s="289" t="s">
        <v>897</v>
      </c>
      <c r="AQ168" s="304">
        <f>30*1.1</f>
        <v>33</v>
      </c>
      <c r="AR168" s="294"/>
      <c r="AS168" s="294"/>
      <c r="AT168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396</v>
      </c>
      <c r="AU168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264</v>
      </c>
      <c r="AV168" s="293"/>
      <c r="AW168" s="293"/>
      <c r="AX168" s="327"/>
      <c r="AY168" s="328"/>
      <c r="AZ168" s="288">
        <f>VLOOKUP(A168,Table6[],30,0)</f>
        <v>0</v>
      </c>
    </row>
    <row r="169" spans="1:52" ht="15.75" customHeight="1">
      <c r="A169" s="287">
        <v>165</v>
      </c>
      <c r="B169" s="276" t="str">
        <f>VLOOKUP(Table1[[#This Row],[šifra]],Table6[],2,0)</f>
        <v>WESTLAKE YACHT CHARTER d.o.o.</v>
      </c>
      <c r="C169" s="276" t="str">
        <f>VLOOKUP(Table1[[#This Row],[šifra]],Table6[],4,0)</f>
        <v>MARKO</v>
      </c>
      <c r="D169" s="276" t="str">
        <f>VLOOKUP(A169,Table6[],21,0)</f>
        <v>115(+10%)+minimax+PDV</v>
      </c>
      <c r="E169" s="314" t="str">
        <f>IF(poduzeća!AE166="","",poduzeća!AE166)</f>
        <v/>
      </c>
      <c r="F169" s="313" t="str">
        <f>IF(poduzeća!AF166="","",poduzeća!AF166)</f>
        <v/>
      </c>
      <c r="G169" s="293">
        <v>1475.65</v>
      </c>
      <c r="H169" s="293">
        <v>63.25</v>
      </c>
      <c r="I169" s="736" t="s">
        <v>897</v>
      </c>
      <c r="J169" s="304">
        <v>136.5</v>
      </c>
      <c r="K169" s="678">
        <v>136.5</v>
      </c>
      <c r="L169" s="736" t="s">
        <v>897</v>
      </c>
      <c r="M169" s="304">
        <v>136.5</v>
      </c>
      <c r="N169" s="675">
        <v>136.5</v>
      </c>
      <c r="O169" s="736" t="s">
        <v>897</v>
      </c>
      <c r="P169" s="872">
        <v>136.5</v>
      </c>
      <c r="Q169" s="304">
        <v>136.5</v>
      </c>
      <c r="R169" s="736" t="s">
        <v>897</v>
      </c>
      <c r="S169" s="304">
        <v>136.5</v>
      </c>
      <c r="T169" s="955">
        <v>263</v>
      </c>
      <c r="U169" s="736" t="s">
        <v>897</v>
      </c>
      <c r="V169" s="870">
        <v>136.5</v>
      </c>
      <c r="W169" s="958">
        <v>136.5</v>
      </c>
      <c r="X169" s="736" t="s">
        <v>897</v>
      </c>
      <c r="Y169" s="304">
        <v>136.5</v>
      </c>
      <c r="Z169" s="294">
        <v>136.5</v>
      </c>
      <c r="AA169" s="736" t="s">
        <v>897</v>
      </c>
      <c r="AB169" s="304">
        <v>136.5</v>
      </c>
      <c r="AC169" s="304">
        <v>136.5</v>
      </c>
      <c r="AD169" s="736" t="s">
        <v>897</v>
      </c>
      <c r="AE169" s="304">
        <v>136.5</v>
      </c>
      <c r="AF169" s="304"/>
      <c r="AG169" s="736" t="s">
        <v>897</v>
      </c>
      <c r="AH169" s="304">
        <v>136.5</v>
      </c>
      <c r="AI169" s="304"/>
      <c r="AJ169" s="736" t="s">
        <v>897</v>
      </c>
      <c r="AK169" s="304">
        <v>136.5</v>
      </c>
      <c r="AL169" s="304"/>
      <c r="AM169" s="736" t="s">
        <v>897</v>
      </c>
      <c r="AN169" s="304">
        <v>136.5</v>
      </c>
      <c r="AO169" s="304"/>
      <c r="AP169" s="736" t="s">
        <v>897</v>
      </c>
      <c r="AQ169" s="304">
        <v>136.5</v>
      </c>
      <c r="AR169" s="294"/>
      <c r="AS169" s="294"/>
      <c r="AT169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1638</v>
      </c>
      <c r="AU169" s="31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1082</v>
      </c>
      <c r="AV169" s="293"/>
      <c r="AW169" s="293"/>
      <c r="AX169" s="327"/>
      <c r="AY169" s="328"/>
      <c r="AZ169" s="288">
        <f>VLOOKUP(A169,Table6[],30,0)</f>
        <v>0</v>
      </c>
    </row>
    <row r="170" spans="1:52" ht="15" customHeight="1">
      <c r="A170" s="292">
        <v>166</v>
      </c>
      <c r="B170" s="277" t="str">
        <f>VLOOKUP(Table1[[#This Row],[šifra]],Table6[],2,0)</f>
        <v>wine4all j.d.o.o.</v>
      </c>
      <c r="C170" s="277" t="str">
        <f>VLOOKUP(Table1[[#This Row],[šifra]],Table6[],4,0)</f>
        <v>F. MARKO</v>
      </c>
      <c r="D170" s="276" t="str">
        <f>VLOOKUP(A170,Table6[],21,0)</f>
        <v>55+pdv</v>
      </c>
      <c r="E170" s="314" t="str">
        <f>IF(poduzeća!AE167="","",poduzeća!AE167)</f>
        <v/>
      </c>
      <c r="F170" s="313" t="str">
        <f>IF(poduzeća!AF167="","",poduzeća!AF167)</f>
        <v/>
      </c>
      <c r="G170" s="295">
        <v>75.63</v>
      </c>
      <c r="H170" s="295"/>
      <c r="I170" s="736" t="s">
        <v>897</v>
      </c>
      <c r="J170" s="302">
        <v>60.5</v>
      </c>
      <c r="K170" s="677">
        <v>60.5</v>
      </c>
      <c r="L170" s="736" t="s">
        <v>897</v>
      </c>
      <c r="M170" s="302"/>
      <c r="N170" s="838"/>
      <c r="O170" s="736"/>
      <c r="P170" s="302"/>
      <c r="Q170" s="302"/>
      <c r="R170" s="736"/>
      <c r="S170" s="302"/>
      <c r="T170" s="676"/>
      <c r="U170" s="1020" t="s">
        <v>897</v>
      </c>
      <c r="V170" s="302"/>
      <c r="W170" s="304"/>
      <c r="X170" s="1020" t="s">
        <v>897</v>
      </c>
      <c r="Y170" s="302"/>
      <c r="Z170" s="294"/>
      <c r="AA170" s="1020" t="s">
        <v>897</v>
      </c>
      <c r="AB170" s="302"/>
      <c r="AC170" s="302"/>
      <c r="AD170" s="1020" t="s">
        <v>897</v>
      </c>
      <c r="AE170" s="302"/>
      <c r="AF170" s="302"/>
      <c r="AG170" s="1020" t="s">
        <v>897</v>
      </c>
      <c r="AH170" s="302"/>
      <c r="AI170" s="302"/>
      <c r="AJ170" s="1020" t="s">
        <v>897</v>
      </c>
      <c r="AK170" s="302"/>
      <c r="AL170" s="302"/>
      <c r="AM170" s="1020" t="s">
        <v>897</v>
      </c>
      <c r="AN170" s="302"/>
      <c r="AO170" s="302"/>
      <c r="AP170" s="1020" t="s">
        <v>897</v>
      </c>
      <c r="AQ170" s="302"/>
      <c r="AR170" s="297"/>
      <c r="AS170" s="297"/>
      <c r="AT170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60.5</v>
      </c>
      <c r="AU170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60.5</v>
      </c>
      <c r="AV170" s="295"/>
      <c r="AW170" s="295"/>
      <c r="AX170" s="327"/>
      <c r="AY170" s="328"/>
      <c r="AZ170" s="288">
        <f>VLOOKUP(A170,Table6[],30,0)</f>
        <v>0</v>
      </c>
    </row>
    <row r="171" spans="1:52" ht="15" customHeight="1">
      <c r="A171" s="292">
        <v>167</v>
      </c>
      <c r="B171" s="277" t="str">
        <f>VLOOKUP(Table1[[#This Row],[šifra]],Table6[],2,0)</f>
        <v>WMD d.o.o.</v>
      </c>
      <c r="C171" s="277" t="str">
        <f>VLOOKUP(Table1[[#This Row],[šifra]],Table6[],4,0)</f>
        <v>VESNA</v>
      </c>
      <c r="D171" s="276" t="str">
        <f>VLOOKUP(A171,Table6[],21,0)</f>
        <v>150(+10%)/mj</v>
      </c>
      <c r="E171" s="314" t="str">
        <f>IF(poduzeća!AE168="","",poduzeća!AE168)</f>
        <v/>
      </c>
      <c r="F171" s="313" t="str">
        <f>IF(poduzeća!AF168="","",poduzeća!AF168)</f>
        <v/>
      </c>
      <c r="G171" s="1010"/>
      <c r="H171" s="1010">
        <v>82.5</v>
      </c>
      <c r="I171" s="289" t="s">
        <v>897</v>
      </c>
      <c r="J171" s="302">
        <f>150*1.1</f>
        <v>165</v>
      </c>
      <c r="K171" s="677">
        <v>165</v>
      </c>
      <c r="L171" s="289" t="s">
        <v>897</v>
      </c>
      <c r="M171" s="302">
        <f>150*1.1</f>
        <v>165</v>
      </c>
      <c r="N171" s="676">
        <v>165</v>
      </c>
      <c r="O171" s="289" t="s">
        <v>897</v>
      </c>
      <c r="P171" s="867">
        <f>150*1.1</f>
        <v>165</v>
      </c>
      <c r="Q171" s="302">
        <v>206</v>
      </c>
      <c r="R171" s="289" t="s">
        <v>897</v>
      </c>
      <c r="S171" s="302">
        <f>150*1.1</f>
        <v>165</v>
      </c>
      <c r="T171" s="956">
        <v>330</v>
      </c>
      <c r="U171" s="289" t="s">
        <v>897</v>
      </c>
      <c r="V171" s="867">
        <f>150*1.1</f>
        <v>165</v>
      </c>
      <c r="W171" s="678">
        <v>165</v>
      </c>
      <c r="X171" s="289" t="s">
        <v>897</v>
      </c>
      <c r="Y171" s="302">
        <v>230</v>
      </c>
      <c r="Z171" s="675">
        <v>230</v>
      </c>
      <c r="AA171" s="289" t="s">
        <v>897</v>
      </c>
      <c r="AB171" s="302">
        <v>230</v>
      </c>
      <c r="AC171" s="302">
        <v>230</v>
      </c>
      <c r="AD171" s="289" t="s">
        <v>897</v>
      </c>
      <c r="AE171" s="302">
        <v>250</v>
      </c>
      <c r="AF171" s="302">
        <v>250</v>
      </c>
      <c r="AG171" s="289" t="s">
        <v>897</v>
      </c>
      <c r="AH171" s="302">
        <v>250</v>
      </c>
      <c r="AI171" s="302"/>
      <c r="AJ171" s="289" t="s">
        <v>897</v>
      </c>
      <c r="AK171" s="302">
        <v>250</v>
      </c>
      <c r="AL171" s="302"/>
      <c r="AM171" s="289" t="s">
        <v>897</v>
      </c>
      <c r="AN171" s="302">
        <v>250</v>
      </c>
      <c r="AO171" s="302"/>
      <c r="AP171" s="289" t="s">
        <v>897</v>
      </c>
      <c r="AQ171" s="302">
        <v>250</v>
      </c>
      <c r="AR171" s="297"/>
      <c r="AS171" s="297"/>
      <c r="AT171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2535</v>
      </c>
      <c r="AU171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1741</v>
      </c>
      <c r="AV171" s="295"/>
      <c r="AW171" s="295"/>
      <c r="AX171" s="327"/>
      <c r="AY171" s="328"/>
      <c r="AZ171" s="288">
        <f>VLOOKUP(A171,Table6[],30,0)</f>
        <v>0</v>
      </c>
    </row>
    <row r="172" spans="1:52" ht="15.75" customHeight="1">
      <c r="A172" s="292">
        <v>168</v>
      </c>
      <c r="B172" s="277" t="str">
        <f>VLOOKUP(Table1[[#This Row],[šifra]],Table6[],2,0)</f>
        <v>YIL d.o.o.</v>
      </c>
      <c r="C172" s="277" t="str">
        <f>VLOOKUP(Table1[[#This Row],[šifra]],Table6[],4,0)</f>
        <v>SJEDIŠTE</v>
      </c>
      <c r="D172" s="276" t="str">
        <f>VLOOKUP(A172,Table6[],21,0)</f>
        <v>40 SJEDIŠTE / MJ</v>
      </c>
      <c r="E172" s="314">
        <f>IF(poduzeća!AE169="","",poduzeća!AE169)</f>
        <v>45901</v>
      </c>
      <c r="F172" s="313" t="str">
        <f>IF(poduzeća!AF169="","",poduzeća!AF169)</f>
        <v/>
      </c>
      <c r="G172" s="295">
        <v>350</v>
      </c>
      <c r="H172" s="295"/>
      <c r="I172" s="522" t="s">
        <v>897</v>
      </c>
      <c r="J172" s="302">
        <v>40</v>
      </c>
      <c r="K172" s="677">
        <v>40</v>
      </c>
      <c r="L172" s="523" t="s">
        <v>897</v>
      </c>
      <c r="M172" s="302">
        <v>40</v>
      </c>
      <c r="N172" s="676">
        <v>40</v>
      </c>
      <c r="O172" s="523" t="s">
        <v>897</v>
      </c>
      <c r="P172" s="867">
        <v>40</v>
      </c>
      <c r="Q172" s="302">
        <v>40</v>
      </c>
      <c r="R172" s="523" t="s">
        <v>897</v>
      </c>
      <c r="S172" s="302">
        <v>40</v>
      </c>
      <c r="T172" s="956">
        <v>40</v>
      </c>
      <c r="U172" s="523" t="s">
        <v>897</v>
      </c>
      <c r="V172" s="867">
        <v>40</v>
      </c>
      <c r="W172" s="678">
        <v>40</v>
      </c>
      <c r="X172" s="523" t="s">
        <v>897</v>
      </c>
      <c r="Y172" s="302">
        <v>40</v>
      </c>
      <c r="Z172" s="675">
        <v>40</v>
      </c>
      <c r="AA172" s="523" t="s">
        <v>897</v>
      </c>
      <c r="AB172" s="302">
        <v>40</v>
      </c>
      <c r="AC172" s="302">
        <v>40</v>
      </c>
      <c r="AD172" s="523" t="s">
        <v>897</v>
      </c>
      <c r="AE172" s="302">
        <v>40</v>
      </c>
      <c r="AF172" s="302">
        <v>40</v>
      </c>
      <c r="AG172" s="523" t="s">
        <v>897</v>
      </c>
      <c r="AH172" s="302">
        <v>40</v>
      </c>
      <c r="AI172" s="302"/>
      <c r="AJ172" s="523" t="s">
        <v>897</v>
      </c>
      <c r="AK172" s="302">
        <v>40</v>
      </c>
      <c r="AL172" s="302"/>
      <c r="AM172" s="523" t="s">
        <v>897</v>
      </c>
      <c r="AN172" s="302">
        <v>40</v>
      </c>
      <c r="AO172" s="302"/>
      <c r="AP172" s="523" t="s">
        <v>897</v>
      </c>
      <c r="AQ172" s="302">
        <v>40</v>
      </c>
      <c r="AR172" s="297"/>
      <c r="AS172" s="297"/>
      <c r="AT172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480</v>
      </c>
      <c r="AU172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320</v>
      </c>
      <c r="AV172" s="295"/>
      <c r="AW172" s="295"/>
      <c r="AX172" s="327"/>
      <c r="AY172" s="328"/>
      <c r="AZ172" s="288">
        <f>VLOOKUP(A172,Table6[],30,0)</f>
        <v>0</v>
      </c>
    </row>
    <row r="173" spans="1:52" ht="17.25" customHeight="1">
      <c r="A173" s="292">
        <v>169</v>
      </c>
      <c r="B173" s="277" t="str">
        <f>VLOOKUP(Table1[[#This Row],[šifra]],Table6[],2,0)</f>
        <v>Zita Perchy</v>
      </c>
      <c r="C173" s="277" t="str">
        <f>VLOOKUP(Table1[[#This Row],[šifra]],Table6[],4,0)</f>
        <v>GABRIJELA</v>
      </c>
      <c r="D173" s="276" t="str">
        <f>VLOOKUP(A173,Table6[],21,0)</f>
        <v>50(+10%)+minimax+PDV / mj</v>
      </c>
      <c r="E173" s="314" t="str">
        <f>IF(poduzeća!AE170="","",poduzeća!AE170)</f>
        <v/>
      </c>
      <c r="F173" s="313" t="str">
        <f>IF(poduzeća!AF170="","",poduzeća!AF170)</f>
        <v/>
      </c>
      <c r="G173" s="295"/>
      <c r="H173" s="295"/>
      <c r="I173" s="733" t="s">
        <v>892</v>
      </c>
      <c r="J173" s="302">
        <v>65</v>
      </c>
      <c r="K173" s="677">
        <v>65</v>
      </c>
      <c r="L173" s="697" t="s">
        <v>897</v>
      </c>
      <c r="M173" s="302">
        <v>65</v>
      </c>
      <c r="N173" s="676">
        <v>65</v>
      </c>
      <c r="O173" s="322" t="s">
        <v>1105</v>
      </c>
      <c r="P173" s="302">
        <v>65</v>
      </c>
      <c r="Q173" s="677">
        <v>65</v>
      </c>
      <c r="R173" s="697" t="s">
        <v>897</v>
      </c>
      <c r="S173" s="302">
        <v>65</v>
      </c>
      <c r="T173" s="956">
        <v>65</v>
      </c>
      <c r="U173" s="697" t="s">
        <v>897</v>
      </c>
      <c r="V173" s="867">
        <v>65</v>
      </c>
      <c r="W173" s="678">
        <v>65</v>
      </c>
      <c r="X173" s="697" t="s">
        <v>897</v>
      </c>
      <c r="Y173" s="302">
        <v>65</v>
      </c>
      <c r="Z173" s="675">
        <v>65</v>
      </c>
      <c r="AA173" s="697" t="s">
        <v>897</v>
      </c>
      <c r="AB173" s="302">
        <v>65</v>
      </c>
      <c r="AC173" s="302">
        <v>65</v>
      </c>
      <c r="AD173" s="697" t="s">
        <v>897</v>
      </c>
      <c r="AE173" s="302">
        <v>65</v>
      </c>
      <c r="AF173" s="302">
        <v>65</v>
      </c>
      <c r="AG173" s="697" t="s">
        <v>897</v>
      </c>
      <c r="AH173" s="302">
        <v>65</v>
      </c>
      <c r="AI173" s="302"/>
      <c r="AJ173" s="697" t="s">
        <v>897</v>
      </c>
      <c r="AK173" s="302">
        <v>65</v>
      </c>
      <c r="AL173" s="302"/>
      <c r="AM173" s="697" t="s">
        <v>897</v>
      </c>
      <c r="AN173" s="302">
        <v>65</v>
      </c>
      <c r="AO173" s="302"/>
      <c r="AP173" s="697" t="s">
        <v>897</v>
      </c>
      <c r="AQ173" s="302">
        <v>65</v>
      </c>
      <c r="AR173" s="297"/>
      <c r="AS173" s="297"/>
      <c r="AT173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780</v>
      </c>
      <c r="AU173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520</v>
      </c>
      <c r="AV173" s="295"/>
      <c r="AW173" s="295"/>
      <c r="AX173" s="327"/>
      <c r="AY173" s="328"/>
      <c r="AZ173" s="288">
        <f>VLOOKUP(A173,Table6[],30,0)</f>
        <v>0</v>
      </c>
    </row>
    <row r="174" spans="1:52" ht="30.75" customHeight="1">
      <c r="A174" s="292">
        <v>170</v>
      </c>
      <c r="B174" s="277" t="str">
        <f>VLOOKUP(Table1[[#This Row],[šifra]],Table6[],2,0)</f>
        <v>ZLATNA ŠKOLJKA d.o.o.</v>
      </c>
      <c r="C174" s="277" t="str">
        <f>VLOOKUP(Table1[[#This Row],[šifra]],Table6[],4,0)</f>
        <v>NIKOLINA</v>
      </c>
      <c r="D174" s="276" t="str">
        <f>VLOOKUP(A174,Table6[],21,0)</f>
        <v>240(+10%) eur/mj  (zlatna školjka+bb yacht)</v>
      </c>
      <c r="E174" s="314" t="str">
        <f>IF(poduzeća!AE171="","",poduzeća!AE171)</f>
        <v/>
      </c>
      <c r="F174" s="313" t="str">
        <f>IF(poduzeća!AF171="","",poduzeća!AF171)</f>
        <v/>
      </c>
      <c r="G174" s="295"/>
      <c r="H174" s="295"/>
      <c r="I174" s="322" t="s">
        <v>901</v>
      </c>
      <c r="J174" s="302">
        <f>240*1.1</f>
        <v>264</v>
      </c>
      <c r="K174" s="677">
        <v>264</v>
      </c>
      <c r="L174" s="322" t="s">
        <v>901</v>
      </c>
      <c r="M174" s="302">
        <f>240*1.1</f>
        <v>264</v>
      </c>
      <c r="N174" s="676">
        <v>264</v>
      </c>
      <c r="O174" s="322" t="s">
        <v>901</v>
      </c>
      <c r="P174" s="302">
        <f>240*1.1</f>
        <v>264</v>
      </c>
      <c r="Q174" s="302">
        <v>264</v>
      </c>
      <c r="R174" s="322" t="s">
        <v>901</v>
      </c>
      <c r="S174" s="302">
        <f>240*1.1</f>
        <v>264</v>
      </c>
      <c r="T174" s="956">
        <v>528</v>
      </c>
      <c r="U174" s="322" t="s">
        <v>901</v>
      </c>
      <c r="V174" s="302">
        <f>240*1.1</f>
        <v>264</v>
      </c>
      <c r="W174" s="678">
        <v>264</v>
      </c>
      <c r="X174" s="322" t="s">
        <v>901</v>
      </c>
      <c r="Y174" s="302">
        <f>240*1.1</f>
        <v>264</v>
      </c>
      <c r="Z174" s="675">
        <v>264</v>
      </c>
      <c r="AA174" s="322" t="s">
        <v>901</v>
      </c>
      <c r="AB174" s="302">
        <f>240*1.1</f>
        <v>264</v>
      </c>
      <c r="AC174" s="302">
        <v>264</v>
      </c>
      <c r="AD174" s="322" t="s">
        <v>901</v>
      </c>
      <c r="AE174" s="302">
        <f>240*1.1</f>
        <v>264</v>
      </c>
      <c r="AF174" s="302"/>
      <c r="AG174" s="322" t="s">
        <v>901</v>
      </c>
      <c r="AH174" s="302">
        <f>240*1.1</f>
        <v>264</v>
      </c>
      <c r="AI174" s="302"/>
      <c r="AJ174" s="322" t="s">
        <v>901</v>
      </c>
      <c r="AK174" s="302">
        <f>240*1.1</f>
        <v>264</v>
      </c>
      <c r="AL174" s="302"/>
      <c r="AM174" s="322" t="s">
        <v>901</v>
      </c>
      <c r="AN174" s="302">
        <f>240*1.1</f>
        <v>264</v>
      </c>
      <c r="AO174" s="302"/>
      <c r="AP174" s="322" t="s">
        <v>901</v>
      </c>
      <c r="AQ174" s="302">
        <f>240*1.1</f>
        <v>264</v>
      </c>
      <c r="AR174" s="297"/>
      <c r="AS174" s="297"/>
      <c r="AT174" s="3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3168</v>
      </c>
      <c r="AU174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2112</v>
      </c>
      <c r="AV174" s="319" t="s">
        <v>195</v>
      </c>
      <c r="AW174" s="295"/>
      <c r="AX174" s="327"/>
      <c r="AY174" s="328"/>
      <c r="AZ174" s="288">
        <f>VLOOKUP(A174,Table6[],30,0)</f>
        <v>0</v>
      </c>
    </row>
    <row r="175" spans="1:52" ht="30.75" customHeight="1">
      <c r="A175" s="287">
        <v>171</v>
      </c>
      <c r="B175" s="904" t="str">
        <f>VLOOKUP(Table1[[#This Row],[šifra]],Table6[],2,0)</f>
        <v>Zsofia Reka Bognar</v>
      </c>
      <c r="C175" s="276" t="str">
        <f>VLOOKUP(Table1[[#This Row],[šifra]],Table6[],4,0)</f>
        <v>PONEKAD</v>
      </c>
      <c r="D175" s="276" t="str">
        <f>VLOOKUP(A175,Table6[],21,0)</f>
        <v>???300€+minimax 120€ / GODINA-  2025. godina 50 plattila u 1 mj. 250 u 7mj</v>
      </c>
      <c r="E175" s="314" t="str">
        <f>IF(poduzeća!AE172="","",poduzeća!AE172)</f>
        <v/>
      </c>
      <c r="F175" s="313" t="str">
        <f>IF(poduzeća!AF172="","",poduzeća!AF172)</f>
        <v/>
      </c>
      <c r="G175" s="293"/>
      <c r="H175" s="293"/>
      <c r="I175" s="289" t="s">
        <v>892</v>
      </c>
      <c r="J175" s="304"/>
      <c r="K175" s="304"/>
      <c r="L175" s="697" t="s">
        <v>897</v>
      </c>
      <c r="M175" s="304"/>
      <c r="N175" s="675"/>
      <c r="O175" s="697" t="s">
        <v>897</v>
      </c>
      <c r="P175" s="304"/>
      <c r="Q175" s="304"/>
      <c r="R175" s="697" t="s">
        <v>897</v>
      </c>
      <c r="S175" s="304"/>
      <c r="T175" s="675"/>
      <c r="U175" s="697"/>
      <c r="V175" s="304"/>
      <c r="W175" s="304"/>
      <c r="X175" s="697"/>
      <c r="Y175" s="304"/>
      <c r="Z175" s="294"/>
      <c r="AA175" s="697"/>
      <c r="AB175" s="304"/>
      <c r="AC175" s="304"/>
      <c r="AD175" s="697"/>
      <c r="AE175" s="304"/>
      <c r="AF175" s="304"/>
      <c r="AG175" s="697"/>
      <c r="AH175" s="304"/>
      <c r="AI175" s="304"/>
      <c r="AJ175" s="697"/>
      <c r="AK175" s="304"/>
      <c r="AL175" s="304"/>
      <c r="AM175" s="697"/>
      <c r="AN175" s="304"/>
      <c r="AO175" s="304"/>
      <c r="AP175" s="697"/>
      <c r="AQ175" s="304"/>
      <c r="AR175" s="294"/>
      <c r="AS175" s="294"/>
      <c r="AT175" s="31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75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75" s="293"/>
      <c r="AW175" s="293"/>
      <c r="AX175" s="327"/>
      <c r="AY175" s="328"/>
      <c r="AZ175" s="288">
        <f>VLOOKUP(A175,Table6[],30,0)</f>
        <v>0</v>
      </c>
    </row>
    <row r="176" spans="1:52" ht="13.5" customHeight="1">
      <c r="A176" s="568">
        <v>172</v>
      </c>
      <c r="B176" s="569" t="str">
        <f>VLOOKUP(Table1[[#This Row],[šifra]],Table6[],2,0)</f>
        <v>Zsolt Feher</v>
      </c>
      <c r="C176" s="570" t="str">
        <f>VLOOKUP(Table1[[#This Row],[šifra]],Table6[],4,0)</f>
        <v>PONEKAD</v>
      </c>
      <c r="D176" s="571" t="str">
        <f>VLOOKUP(A176,Table6[],21,0)</f>
        <v>50(+10%)+minimax+PDV  GODIŠNJE 6 MJ./ nema ništa do daljnjega</v>
      </c>
      <c r="E176" s="314" t="str">
        <f>IF(poduzeća!AE173="","",poduzeća!AE173)</f>
        <v/>
      </c>
      <c r="F176" s="313" t="str">
        <f>IF(poduzeća!AF173="","",poduzeća!AF173)</f>
        <v/>
      </c>
      <c r="G176" s="573">
        <v>162.5</v>
      </c>
      <c r="H176" s="573"/>
      <c r="I176" s="574" t="s">
        <v>892</v>
      </c>
      <c r="J176" s="575">
        <v>65</v>
      </c>
      <c r="K176" s="680">
        <v>65</v>
      </c>
      <c r="L176" s="697" t="s">
        <v>897</v>
      </c>
      <c r="M176" s="313">
        <v>65</v>
      </c>
      <c r="N176" s="833">
        <v>65</v>
      </c>
      <c r="O176" s="697"/>
      <c r="P176" s="313"/>
      <c r="Q176" s="575"/>
      <c r="R176" s="697"/>
      <c r="S176" s="313"/>
      <c r="T176" s="833"/>
      <c r="U176" s="697"/>
      <c r="V176" s="313"/>
      <c r="W176" s="304"/>
      <c r="X176" s="697"/>
      <c r="Y176" s="313"/>
      <c r="Z176" s="576"/>
      <c r="AA176" s="697"/>
      <c r="AB176" s="313"/>
      <c r="AC176" s="572"/>
      <c r="AD176" s="697"/>
      <c r="AE176" s="313"/>
      <c r="AF176" s="575"/>
      <c r="AG176" s="697"/>
      <c r="AH176" s="313"/>
      <c r="AI176" s="575"/>
      <c r="AJ176" s="697"/>
      <c r="AK176" s="313"/>
      <c r="AL176" s="575"/>
      <c r="AM176" s="697"/>
      <c r="AN176" s="313"/>
      <c r="AO176" s="575"/>
      <c r="AP176" s="697"/>
      <c r="AQ176" s="313"/>
      <c r="AR176" s="576"/>
      <c r="AS176" s="577"/>
      <c r="AT176" s="572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130</v>
      </c>
      <c r="AU176" s="572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130</v>
      </c>
      <c r="AV176" s="573"/>
      <c r="AW176" s="573"/>
      <c r="AX176" s="578"/>
      <c r="AY176" s="579"/>
      <c r="AZ176" s="574">
        <f>VLOOKUP(A176,Table6[],30,0)</f>
        <v>0</v>
      </c>
    </row>
    <row r="177" spans="1:52" ht="15" customHeight="1">
      <c r="A177" s="568">
        <v>173</v>
      </c>
      <c r="B177" s="569" t="str">
        <f>VLOOKUP(Table1[[#This Row],[šifra]],Table6[],2,0)</f>
        <v>FASTO S.R.O</v>
      </c>
      <c r="C177" s="570" t="str">
        <f>VLOOKUP(Table1[[#This Row],[šifra]],Table6[],4,0)</f>
        <v>MARKO</v>
      </c>
      <c r="D177" s="571" t="str">
        <f>VLOOKUP(A177,Table6[],21,0)</f>
        <v>100 eur / month</v>
      </c>
      <c r="E177" s="314" t="str">
        <f>IF(poduzeća!AE174="","",poduzeća!AE174)</f>
        <v/>
      </c>
      <c r="F177" s="313" t="str">
        <f>IF(poduzeća!AF174="","",poduzeća!AF174)</f>
        <v/>
      </c>
      <c r="G177" s="573">
        <v>700</v>
      </c>
      <c r="H177" s="573">
        <v>50</v>
      </c>
      <c r="I177" s="736" t="s">
        <v>897</v>
      </c>
      <c r="J177" s="575">
        <v>100</v>
      </c>
      <c r="K177" s="680">
        <v>300</v>
      </c>
      <c r="L177" s="736" t="s">
        <v>897</v>
      </c>
      <c r="M177" s="572">
        <v>100</v>
      </c>
      <c r="N177" s="833">
        <v>100</v>
      </c>
      <c r="O177" s="736" t="s">
        <v>897</v>
      </c>
      <c r="P177" s="873">
        <v>100</v>
      </c>
      <c r="Q177" s="575">
        <v>100</v>
      </c>
      <c r="R177" s="736" t="s">
        <v>897</v>
      </c>
      <c r="S177" s="572">
        <v>100</v>
      </c>
      <c r="T177" s="959">
        <v>100</v>
      </c>
      <c r="U177" s="736" t="s">
        <v>897</v>
      </c>
      <c r="V177" s="873">
        <v>100</v>
      </c>
      <c r="W177" s="678">
        <v>100</v>
      </c>
      <c r="X177" s="736" t="s">
        <v>897</v>
      </c>
      <c r="Y177" s="572">
        <v>100</v>
      </c>
      <c r="Z177" s="576">
        <v>100</v>
      </c>
      <c r="AA177" s="736" t="s">
        <v>897</v>
      </c>
      <c r="AB177" s="575">
        <v>100</v>
      </c>
      <c r="AC177" s="572">
        <v>100</v>
      </c>
      <c r="AD177" s="736" t="s">
        <v>897</v>
      </c>
      <c r="AE177" s="572">
        <v>100</v>
      </c>
      <c r="AF177" s="575"/>
      <c r="AG177" s="736" t="s">
        <v>897</v>
      </c>
      <c r="AH177" s="572">
        <v>100</v>
      </c>
      <c r="AI177" s="575"/>
      <c r="AJ177" s="736" t="s">
        <v>897</v>
      </c>
      <c r="AK177" s="572">
        <v>100</v>
      </c>
      <c r="AL177" s="575"/>
      <c r="AM177" s="736" t="s">
        <v>897</v>
      </c>
      <c r="AN177" s="572">
        <v>100</v>
      </c>
      <c r="AO177" s="575"/>
      <c r="AP177" s="736" t="s">
        <v>897</v>
      </c>
      <c r="AQ177" s="572">
        <v>100</v>
      </c>
      <c r="AR177" s="576"/>
      <c r="AS177" s="577"/>
      <c r="AT177" s="572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1200</v>
      </c>
      <c r="AU177" s="572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900</v>
      </c>
      <c r="AV177" s="573"/>
      <c r="AW177" s="573"/>
      <c r="AX177" s="578"/>
      <c r="AY177" s="579"/>
      <c r="AZ177" s="574">
        <f>VLOOKUP(A177,Table6[],30,0)</f>
        <v>0</v>
      </c>
    </row>
    <row r="178" spans="1:52" ht="15" customHeight="1">
      <c r="A178" s="568">
        <v>174</v>
      </c>
      <c r="B178" s="569" t="str">
        <f>VLOOKUP(Table1[[#This Row],[šifra]],Table6[],2,0)</f>
        <v>MODRY SLON S.R.O</v>
      </c>
      <c r="C178" s="570" t="str">
        <f>VLOOKUP(Table1[[#This Row],[šifra]],Table6[],4,0)</f>
        <v>LAURA</v>
      </c>
      <c r="D178" s="571" t="str">
        <f>VLOOKUP(A178,Table6[],21,0)</f>
        <v>PO RADNJI</v>
      </c>
      <c r="E178" s="314" t="str">
        <f>IF(poduzeća!AE175="","",poduzeća!AE175)</f>
        <v/>
      </c>
      <c r="F178" s="313" t="str">
        <f>IF(poduzeća!AF175="","",poduzeća!AF175)</f>
        <v/>
      </c>
      <c r="G178" s="573"/>
      <c r="H178" s="573"/>
      <c r="I178" s="289" t="s">
        <v>897</v>
      </c>
      <c r="J178" s="575"/>
      <c r="K178" s="315"/>
      <c r="L178" s="697" t="s">
        <v>897</v>
      </c>
      <c r="M178" s="572">
        <v>150</v>
      </c>
      <c r="N178" s="833">
        <v>150</v>
      </c>
      <c r="O178" s="697" t="s">
        <v>897</v>
      </c>
      <c r="P178" s="572"/>
      <c r="Q178" s="575"/>
      <c r="R178" s="697" t="s">
        <v>897</v>
      </c>
      <c r="S178" s="572"/>
      <c r="T178" s="833"/>
      <c r="U178" s="697" t="s">
        <v>897</v>
      </c>
      <c r="V178" s="572"/>
      <c r="W178" s="304"/>
      <c r="X178" s="697" t="s">
        <v>897</v>
      </c>
      <c r="Y178" s="572"/>
      <c r="Z178" s="576"/>
      <c r="AA178" s="697" t="s">
        <v>897</v>
      </c>
      <c r="AB178" s="575"/>
      <c r="AC178" s="572"/>
      <c r="AD178" s="736" t="s">
        <v>897</v>
      </c>
      <c r="AE178" s="572"/>
      <c r="AF178" s="575"/>
      <c r="AG178" s="736" t="s">
        <v>897</v>
      </c>
      <c r="AH178" s="572"/>
      <c r="AI178" s="575"/>
      <c r="AJ178" s="736" t="s">
        <v>897</v>
      </c>
      <c r="AK178" s="572"/>
      <c r="AL178" s="575"/>
      <c r="AM178" s="736" t="s">
        <v>897</v>
      </c>
      <c r="AN178" s="572"/>
      <c r="AO178" s="575"/>
      <c r="AP178" s="736" t="s">
        <v>897</v>
      </c>
      <c r="AQ178" s="572"/>
      <c r="AR178" s="576"/>
      <c r="AS178" s="577"/>
      <c r="AT178" s="572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150</v>
      </c>
      <c r="AU178" s="3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150</v>
      </c>
      <c r="AV178" s="573"/>
      <c r="AW178" s="573"/>
      <c r="AX178" s="578"/>
      <c r="AY178" s="579"/>
      <c r="AZ178" s="574">
        <f>VLOOKUP(A178,Table6[],30,0)</f>
        <v>0</v>
      </c>
    </row>
    <row r="179" spans="1:52" ht="13.5" customHeight="1">
      <c r="A179" s="568">
        <v>175</v>
      </c>
      <c r="B179" s="569" t="str">
        <f>VLOOKUP(Table1[[#This Row],[šifra]],Table6[],2,0)</f>
        <v>ANETT FANNI PARAGI</v>
      </c>
      <c r="C179" s="570" t="str">
        <f>VLOOKUP(Table1[[#This Row],[šifra]],Table6[],4,0)</f>
        <v>NITKO</v>
      </c>
      <c r="D179" s="571" t="str">
        <f>VLOOKUP(A179,Table6[],21,0)</f>
        <v>2024-2025 2024-200- KAD ZAVRŠIM GODINU IZDAM RAČUN</v>
      </c>
      <c r="E179" s="314" t="str">
        <f>IF(poduzeća!AE176="","",poduzeća!AE176)</f>
        <v/>
      </c>
      <c r="F179" s="313" t="str">
        <f>IF(poduzeća!AF176="","",poduzeća!AF176)</f>
        <v/>
      </c>
      <c r="G179" s="573"/>
      <c r="H179" s="573"/>
      <c r="I179" s="289" t="s">
        <v>892</v>
      </c>
      <c r="J179" s="575"/>
      <c r="K179" s="575"/>
      <c r="L179" s="704" t="s">
        <v>892</v>
      </c>
      <c r="M179" s="572">
        <v>200</v>
      </c>
      <c r="N179" s="854"/>
      <c r="O179" s="704" t="s">
        <v>892</v>
      </c>
      <c r="P179" s="572"/>
      <c r="Q179" s="680"/>
      <c r="R179" s="704" t="s">
        <v>892</v>
      </c>
      <c r="S179" s="572"/>
      <c r="T179" s="833"/>
      <c r="U179" s="704" t="s">
        <v>892</v>
      </c>
      <c r="V179" s="572">
        <v>200</v>
      </c>
      <c r="W179" s="678">
        <v>1102.8</v>
      </c>
      <c r="X179" s="704" t="s">
        <v>892</v>
      </c>
      <c r="Y179" s="572"/>
      <c r="Z179" s="576"/>
      <c r="AA179" s="704" t="s">
        <v>892</v>
      </c>
      <c r="AB179" s="572"/>
      <c r="AC179" s="572"/>
      <c r="AD179" s="704" t="s">
        <v>892</v>
      </c>
      <c r="AE179" s="572"/>
      <c r="AF179" s="575"/>
      <c r="AG179" s="704" t="s">
        <v>892</v>
      </c>
      <c r="AH179" s="572"/>
      <c r="AI179" s="575"/>
      <c r="AJ179" s="704" t="s">
        <v>892</v>
      </c>
      <c r="AK179" s="572"/>
      <c r="AL179" s="575"/>
      <c r="AM179" s="704" t="s">
        <v>892</v>
      </c>
      <c r="AN179" s="572"/>
      <c r="AO179" s="575"/>
      <c r="AP179" s="704" t="s">
        <v>892</v>
      </c>
      <c r="AQ179" s="572"/>
      <c r="AR179" s="576"/>
      <c r="AS179" s="577"/>
      <c r="AT179" s="572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400</v>
      </c>
      <c r="AU179" s="572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1102.8</v>
      </c>
      <c r="AV179" s="573"/>
      <c r="AW179" s="573"/>
      <c r="AX179" s="578"/>
      <c r="AY179" s="579"/>
      <c r="AZ179" s="574">
        <f>VLOOKUP(A179,Table6[],30,0)</f>
        <v>0</v>
      </c>
    </row>
    <row r="180" spans="1:52" ht="13.5" customHeight="1">
      <c r="A180" s="568">
        <v>176</v>
      </c>
      <c r="B180" s="569" t="str">
        <f>VLOOKUP(Table1[[#This Row],[šifra]],Table6[],2,0)</f>
        <v>SZABÓ SAILING d.o.o.o.</v>
      </c>
      <c r="C180" s="570" t="str">
        <f>VLOOKUP(Table1[[#This Row],[šifra]],Table6[],4,0)</f>
        <v>GABRIJELA</v>
      </c>
      <c r="D180" s="571" t="str">
        <f>VLOOKUP(A180,Table6[],21,0)</f>
        <v>?? Ugovor 120€/mj</v>
      </c>
      <c r="E180" s="314">
        <f>IF(poduzeća!AE177="","",poduzeća!AE177)</f>
        <v>46054</v>
      </c>
      <c r="F180" s="313">
        <f>IF(poduzeća!AF177="","",poduzeća!AF177)</f>
        <v>600</v>
      </c>
      <c r="G180" s="573"/>
      <c r="H180" s="573"/>
      <c r="I180" s="574"/>
      <c r="J180" s="575"/>
      <c r="K180" s="575"/>
      <c r="L180" s="704" t="s">
        <v>892</v>
      </c>
      <c r="M180" s="313">
        <f>150+600</f>
        <v>750</v>
      </c>
      <c r="N180" s="854"/>
      <c r="O180" s="704" t="s">
        <v>892</v>
      </c>
      <c r="P180" s="572">
        <v>150</v>
      </c>
      <c r="Q180" s="680">
        <v>840</v>
      </c>
      <c r="R180" s="704" t="s">
        <v>892</v>
      </c>
      <c r="S180" s="572">
        <v>120</v>
      </c>
      <c r="T180" s="833">
        <v>120</v>
      </c>
      <c r="U180" s="704" t="s">
        <v>892</v>
      </c>
      <c r="V180" s="572">
        <v>120</v>
      </c>
      <c r="W180" s="1019">
        <v>120</v>
      </c>
      <c r="X180" s="704" t="s">
        <v>892</v>
      </c>
      <c r="Y180" s="572">
        <v>120</v>
      </c>
      <c r="Z180" s="833">
        <v>120</v>
      </c>
      <c r="AA180" s="704" t="s">
        <v>892</v>
      </c>
      <c r="AB180" s="572">
        <v>120</v>
      </c>
      <c r="AC180" s="572">
        <v>120</v>
      </c>
      <c r="AD180" s="704" t="s">
        <v>892</v>
      </c>
      <c r="AE180" s="572">
        <v>120</v>
      </c>
      <c r="AF180" s="575"/>
      <c r="AG180" s="704" t="s">
        <v>892</v>
      </c>
      <c r="AH180" s="572">
        <v>120</v>
      </c>
      <c r="AI180" s="575"/>
      <c r="AJ180" s="704" t="s">
        <v>892</v>
      </c>
      <c r="AK180" s="572">
        <v>120</v>
      </c>
      <c r="AL180" s="575"/>
      <c r="AM180" s="704" t="s">
        <v>892</v>
      </c>
      <c r="AN180" s="572">
        <v>120</v>
      </c>
      <c r="AO180" s="575"/>
      <c r="AP180" s="704" t="s">
        <v>892</v>
      </c>
      <c r="AQ180" s="572">
        <v>120</v>
      </c>
      <c r="AR180" s="576"/>
      <c r="AS180" s="577"/>
      <c r="AT180" s="572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1980</v>
      </c>
      <c r="AU180" s="572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1320</v>
      </c>
      <c r="AV180" s="573"/>
      <c r="AW180" s="573"/>
      <c r="AX180" s="578"/>
      <c r="AY180" s="579"/>
      <c r="AZ180" s="574">
        <f>VLOOKUP(A180,Table6[],30,0)</f>
        <v>0</v>
      </c>
    </row>
    <row r="181" spans="1:52" ht="13.5" customHeight="1">
      <c r="A181" s="708">
        <v>177</v>
      </c>
      <c r="B181" s="709" t="str">
        <f>VLOOKUP(Table1[[#This Row],[šifra]],Table6[],2,0)</f>
        <v>OPG Laura Magdić</v>
      </c>
      <c r="C181" s="710" t="str">
        <f>VLOOKUP(Table1[[#This Row],[šifra]],Table6[],4,0)</f>
        <v>NITKO</v>
      </c>
      <c r="D181" s="711" t="str">
        <f>VLOOKUP(A181,Table6[],21,0)</f>
        <v>100 eur/ mj+PDV</v>
      </c>
      <c r="E181" s="314" t="str">
        <f>IF(poduzeća!AE178="","",poduzeća!AE178)</f>
        <v/>
      </c>
      <c r="F181" s="313" t="str">
        <f>IF(poduzeća!AF178="","",poduzeća!AF178)</f>
        <v/>
      </c>
      <c r="G181" s="712"/>
      <c r="H181" s="712"/>
      <c r="I181" s="713"/>
      <c r="J181" s="714"/>
      <c r="K181" s="714"/>
      <c r="L181" s="736"/>
      <c r="M181" s="715"/>
      <c r="N181" s="716"/>
      <c r="O181" s="736"/>
      <c r="P181" s="572"/>
      <c r="Q181" s="714"/>
      <c r="R181" s="736"/>
      <c r="S181" s="572"/>
      <c r="T181" s="960"/>
      <c r="U181" s="736"/>
      <c r="V181" s="572"/>
      <c r="W181" s="304"/>
      <c r="X181" s="736"/>
      <c r="Y181" s="572"/>
      <c r="Z181" s="716"/>
      <c r="AA181" s="736"/>
      <c r="AB181" s="572"/>
      <c r="AC181" s="715"/>
      <c r="AD181" s="736"/>
      <c r="AE181" s="572"/>
      <c r="AF181" s="714"/>
      <c r="AG181" s="736"/>
      <c r="AH181" s="572"/>
      <c r="AI181" s="714"/>
      <c r="AJ181" s="736"/>
      <c r="AK181" s="572"/>
      <c r="AL181" s="714"/>
      <c r="AM181" s="736"/>
      <c r="AN181" s="572"/>
      <c r="AO181" s="714"/>
      <c r="AP181" s="736"/>
      <c r="AQ181" s="572"/>
      <c r="AR181" s="716"/>
      <c r="AS181" s="717"/>
      <c r="AT181" s="715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81" s="715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81" s="712"/>
      <c r="AW181" s="712"/>
      <c r="AX181" s="718"/>
      <c r="AY181" s="719"/>
      <c r="AZ181" s="713">
        <f>VLOOKUP(A181,Table6[],30,0)</f>
        <v>0</v>
      </c>
    </row>
    <row r="182" spans="1:52" ht="13.5" customHeight="1">
      <c r="A182" s="708">
        <v>178</v>
      </c>
      <c r="B182" s="709" t="str">
        <f>VLOOKUP(Table1[[#This Row],[šifra]],Table6[],2,0)</f>
        <v>Taki Home d.o.o.</v>
      </c>
      <c r="C182" s="710" t="str">
        <f>VLOOKUP(Table1[[#This Row],[šifra]],Table6[],4,0)</f>
        <v>LAURA</v>
      </c>
      <c r="D182" s="711" t="str">
        <f>VLOOKUP(A182,Table6[],21,0)</f>
        <v>55+minimax</v>
      </c>
      <c r="E182" s="314" t="str">
        <f>IF(poduzeća!AE179="","",poduzeća!AE179)</f>
        <v/>
      </c>
      <c r="F182" s="313" t="str">
        <f>IF(poduzeća!AF179="","",poduzeća!AF179)</f>
        <v/>
      </c>
      <c r="G182" s="1057">
        <v>530.63</v>
      </c>
      <c r="H182" s="712"/>
      <c r="I182" s="713"/>
      <c r="J182" s="714"/>
      <c r="K182" s="714"/>
      <c r="L182" s="713"/>
      <c r="M182" s="714"/>
      <c r="N182" s="855"/>
      <c r="O182" s="713"/>
      <c r="P182" s="714"/>
      <c r="Q182" s="969"/>
      <c r="R182" s="713"/>
      <c r="S182" s="714"/>
      <c r="T182" s="960"/>
      <c r="U182" s="713"/>
      <c r="V182" s="714"/>
      <c r="W182" s="678"/>
      <c r="X182" s="713"/>
      <c r="Y182" s="714"/>
      <c r="Z182" s="716"/>
      <c r="AA182" s="713"/>
      <c r="AB182" s="714"/>
      <c r="AC182" s="715"/>
      <c r="AD182" s="713"/>
      <c r="AE182" s="714"/>
      <c r="AF182" s="714"/>
      <c r="AG182" s="713"/>
      <c r="AH182" s="714"/>
      <c r="AI182" s="714"/>
      <c r="AJ182" s="713"/>
      <c r="AK182" s="714"/>
      <c r="AL182" s="714"/>
      <c r="AM182" s="713"/>
      <c r="AN182" s="714"/>
      <c r="AO182" s="714"/>
      <c r="AP182" s="713"/>
      <c r="AQ182" s="714"/>
      <c r="AR182" s="716"/>
      <c r="AS182" s="717"/>
      <c r="AT182" s="715"/>
      <c r="AU182" s="715"/>
      <c r="AV182" s="712"/>
      <c r="AW182" s="712"/>
      <c r="AX182" s="718"/>
      <c r="AY182" s="719"/>
      <c r="AZ182" s="713">
        <f>VLOOKUP(A182,Table6[],30,0)</f>
        <v>0</v>
      </c>
    </row>
    <row r="183" spans="1:52" ht="13.5" customHeight="1">
      <c r="A183" s="757">
        <v>179</v>
      </c>
      <c r="B183" s="758" t="str">
        <f>VLOOKUP(Table1[[#This Row],[šifra]],Table6[],2,0)</f>
        <v>Formula bázis KFT -podružnica Laslovo</v>
      </c>
      <c r="C183" s="759" t="str">
        <f>VLOOKUP(Table1[[#This Row],[šifra]],Table6[],4,0)</f>
        <v>GABRIJELA</v>
      </c>
      <c r="D183" s="760" t="str">
        <f>VLOOKUP(A183,Table6[],21,0)</f>
        <v xml:space="preserve">150/MJ </v>
      </c>
      <c r="E183" s="314">
        <f>IF(poduzeća!AE180="","",poduzeća!AE180)</f>
        <v>46054</v>
      </c>
      <c r="F183" s="313">
        <f>IF(poduzeća!AF180="","",poduzeća!AF180)</f>
        <v>600</v>
      </c>
      <c r="G183" s="762">
        <v>187.5</v>
      </c>
      <c r="H183" s="762"/>
      <c r="I183" s="763"/>
      <c r="J183" s="764"/>
      <c r="K183" s="764"/>
      <c r="L183" s="765" t="s">
        <v>892</v>
      </c>
      <c r="M183" s="764">
        <v>150</v>
      </c>
      <c r="N183" s="856"/>
      <c r="O183" s="765" t="s">
        <v>892</v>
      </c>
      <c r="P183" s="764">
        <v>150</v>
      </c>
      <c r="Q183" s="972">
        <v>2550</v>
      </c>
      <c r="R183" s="765" t="s">
        <v>892</v>
      </c>
      <c r="S183" s="764">
        <v>150</v>
      </c>
      <c r="T183" s="961"/>
      <c r="U183" s="765" t="s">
        <v>892</v>
      </c>
      <c r="V183" s="764">
        <v>150</v>
      </c>
      <c r="W183" s="972">
        <v>150</v>
      </c>
      <c r="X183" s="765" t="s">
        <v>892</v>
      </c>
      <c r="Y183" s="764">
        <v>150</v>
      </c>
      <c r="Z183" s="961">
        <v>150</v>
      </c>
      <c r="AA183" s="765" t="s">
        <v>892</v>
      </c>
      <c r="AB183" s="764">
        <v>150</v>
      </c>
      <c r="AC183" s="761">
        <v>150</v>
      </c>
      <c r="AD183" s="765" t="s">
        <v>892</v>
      </c>
      <c r="AE183" s="764">
        <v>150</v>
      </c>
      <c r="AF183" s="764"/>
      <c r="AG183" s="765" t="s">
        <v>892</v>
      </c>
      <c r="AH183" s="764">
        <v>150</v>
      </c>
      <c r="AI183" s="764"/>
      <c r="AJ183" s="765" t="s">
        <v>892</v>
      </c>
      <c r="AK183" s="764">
        <v>150</v>
      </c>
      <c r="AL183" s="764"/>
      <c r="AM183" s="765" t="s">
        <v>892</v>
      </c>
      <c r="AN183" s="764">
        <v>150</v>
      </c>
      <c r="AO183" s="764"/>
      <c r="AP183" s="765" t="s">
        <v>892</v>
      </c>
      <c r="AQ183" s="764">
        <v>150</v>
      </c>
      <c r="AR183" s="766"/>
      <c r="AS183" s="767"/>
      <c r="AT183" s="76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1650</v>
      </c>
      <c r="AU183" s="76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3000</v>
      </c>
      <c r="AV183" s="762"/>
      <c r="AW183" s="762"/>
      <c r="AX183" s="768"/>
      <c r="AY183" s="769"/>
      <c r="AZ183" s="763">
        <f>VLOOKUP(A183,Table6[],30,0)</f>
        <v>0</v>
      </c>
    </row>
    <row r="184" spans="1:52" ht="17.25" customHeight="1">
      <c r="A184" s="823">
        <v>180</v>
      </c>
      <c r="B184" s="709" t="str">
        <f>VLOOKUP(Table1[[#This Row],[šifra]],Table6[],2,0)</f>
        <v>THE PHARM FARM VL LILIYA KOS OPG</v>
      </c>
      <c r="C184" s="824" t="str">
        <f>VLOOKUP(Table1[[#This Row],[šifra]],Table6[],4,0)</f>
        <v>MAJA</v>
      </c>
      <c r="D184" s="711" t="str">
        <f>VLOOKUP(A184,Table6[],21,0)</f>
        <v>JEDNOM GODIŠNJE PRED ZAVRŠNI - PLAĆA LILJA KOS</v>
      </c>
      <c r="E184" s="314" t="str">
        <f>IF(poduzeća!AE181="","",poduzeća!AE181)</f>
        <v/>
      </c>
      <c r="F184" s="313" t="str">
        <f>IF(poduzeća!AF181="","",poduzeća!AF181)</f>
        <v/>
      </c>
      <c r="G184" s="825"/>
      <c r="H184" s="825"/>
      <c r="I184" s="719"/>
      <c r="J184" s="714"/>
      <c r="K184" s="714"/>
      <c r="L184" s="826" t="s">
        <v>897</v>
      </c>
      <c r="M184" s="714">
        <v>200</v>
      </c>
      <c r="N184" s="717">
        <v>200</v>
      </c>
      <c r="O184" s="826" t="s">
        <v>897</v>
      </c>
      <c r="P184" s="714"/>
      <c r="Q184" s="714"/>
      <c r="R184" s="826" t="s">
        <v>897</v>
      </c>
      <c r="S184" s="714"/>
      <c r="T184" s="963"/>
      <c r="U184" s="826" t="s">
        <v>897</v>
      </c>
      <c r="V184" s="714"/>
      <c r="X184" s="826" t="s">
        <v>897</v>
      </c>
      <c r="Y184" s="714"/>
      <c r="Z184" s="716"/>
      <c r="AA184" s="826" t="s">
        <v>897</v>
      </c>
      <c r="AB184" s="714"/>
      <c r="AC184" s="714"/>
      <c r="AD184" s="826" t="s">
        <v>897</v>
      </c>
      <c r="AE184" s="714"/>
      <c r="AF184" s="714"/>
      <c r="AG184" s="826" t="s">
        <v>897</v>
      </c>
      <c r="AH184" s="714"/>
      <c r="AI184" s="714"/>
      <c r="AJ184" s="826" t="s">
        <v>897</v>
      </c>
      <c r="AK184" s="714"/>
      <c r="AL184" s="714"/>
      <c r="AM184" s="826" t="s">
        <v>897</v>
      </c>
      <c r="AN184" s="714"/>
      <c r="AO184" s="714"/>
      <c r="AP184" s="826" t="s">
        <v>897</v>
      </c>
      <c r="AQ184" s="714"/>
      <c r="AR184" s="717"/>
      <c r="AS184" s="717"/>
      <c r="AT184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200</v>
      </c>
      <c r="AU184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200</v>
      </c>
      <c r="AV184" s="825"/>
      <c r="AW184" s="825"/>
      <c r="AX184" s="718"/>
      <c r="AY184" s="719"/>
      <c r="AZ184" s="719">
        <f>VLOOKUP(A184,Table6[],30,0)</f>
        <v>0</v>
      </c>
    </row>
    <row r="185" spans="1:52" ht="17.25" customHeight="1">
      <c r="A185" s="823">
        <v>181</v>
      </c>
      <c r="B185" s="709" t="str">
        <f>VLOOKUP(Table1[[#This Row],[šifra]],Table6[],2,0)</f>
        <v>BG7 Inžinjering d.o.o.</v>
      </c>
      <c r="C185" s="824" t="str">
        <f>VLOOKUP(Table1[[#This Row],[šifra]],Table6[],4,0)</f>
        <v>NIKOLINA</v>
      </c>
      <c r="D185" s="711" t="str">
        <f>VLOOKUP(A185,Table6[],21,0)</f>
        <v>150€ mj +50€ sjedište</v>
      </c>
      <c r="E185" s="314" t="str">
        <f>IF(poduzeća!AE182="","",poduzeća!AE182)</f>
        <v/>
      </c>
      <c r="F185" s="313" t="str">
        <f>IF(poduzeća!AF182="","",poduzeća!AF182)</f>
        <v>????</v>
      </c>
      <c r="G185" s="825"/>
      <c r="H185" s="825"/>
      <c r="I185" s="719"/>
      <c r="J185" s="714"/>
      <c r="K185" s="714"/>
      <c r="L185" s="826" t="s">
        <v>897</v>
      </c>
      <c r="M185" s="714"/>
      <c r="N185" s="717"/>
      <c r="O185" s="826" t="s">
        <v>897</v>
      </c>
      <c r="P185" s="714"/>
      <c r="Q185" s="714"/>
      <c r="R185" s="826" t="s">
        <v>897</v>
      </c>
      <c r="S185" s="714"/>
      <c r="T185" s="963"/>
      <c r="U185" s="704" t="s">
        <v>901</v>
      </c>
      <c r="V185" s="714">
        <v>200</v>
      </c>
      <c r="W185" s="1018">
        <v>200</v>
      </c>
      <c r="X185" s="704" t="s">
        <v>901</v>
      </c>
      <c r="Y185" s="714">
        <v>200</v>
      </c>
      <c r="Z185" s="960">
        <v>200</v>
      </c>
      <c r="AA185" s="704" t="s">
        <v>901</v>
      </c>
      <c r="AB185" s="714">
        <v>200</v>
      </c>
      <c r="AC185" s="714">
        <v>200</v>
      </c>
      <c r="AD185" s="704" t="s">
        <v>901</v>
      </c>
      <c r="AE185" s="714">
        <v>200</v>
      </c>
      <c r="AF185" s="714"/>
      <c r="AG185" s="704" t="s">
        <v>901</v>
      </c>
      <c r="AH185" s="714">
        <v>200</v>
      </c>
      <c r="AI185" s="714"/>
      <c r="AJ185" s="704" t="s">
        <v>901</v>
      </c>
      <c r="AK185" s="714">
        <v>200</v>
      </c>
      <c r="AL185" s="714"/>
      <c r="AM185" s="704" t="s">
        <v>901</v>
      </c>
      <c r="AN185" s="714">
        <v>200</v>
      </c>
      <c r="AO185" s="714"/>
      <c r="AP185" s="704" t="s">
        <v>901</v>
      </c>
      <c r="AQ185" s="714">
        <v>200</v>
      </c>
      <c r="AR185" s="717"/>
      <c r="AS185" s="717"/>
      <c r="AT185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1600</v>
      </c>
      <c r="AU185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600</v>
      </c>
      <c r="AV185" s="825"/>
      <c r="AW185" s="825"/>
      <c r="AX185" s="718"/>
      <c r="AY185" s="719"/>
      <c r="AZ185" s="719">
        <f>VLOOKUP(A185,Table6[],30,0)</f>
        <v>0</v>
      </c>
    </row>
    <row r="186" spans="1:52" ht="17.25" customHeight="1">
      <c r="A186" s="823">
        <v>182</v>
      </c>
      <c r="B186" s="709" t="str">
        <f>VLOOKUP(Table1[[#This Row],[šifra]],Table6[],2,0)</f>
        <v>Fair Distributions d.o.o</v>
      </c>
      <c r="C186" s="824" t="str">
        <f>VLOOKUP(Table1[[#This Row],[šifra]],Table6[],4,0)</f>
        <v>NIKOLINA</v>
      </c>
      <c r="D186" s="711" t="str">
        <f>VLOOKUP(A186,Table6[],21,0)</f>
        <v>100€/mj(knjg)+PDV (+ 200 menagment ) + 600€ sjedište u 12mj</v>
      </c>
      <c r="E186" s="314">
        <f>IF(poduzeća!AE183="","",poduzeća!AE183)</f>
        <v>46722</v>
      </c>
      <c r="F186" s="313">
        <f>IF(poduzeća!AF183="","",poduzeća!AF183)</f>
        <v>600</v>
      </c>
      <c r="G186" s="825">
        <v>125</v>
      </c>
      <c r="H186" s="825"/>
      <c r="I186" s="719"/>
      <c r="J186" s="714"/>
      <c r="K186" s="714"/>
      <c r="L186" s="826" t="s">
        <v>897</v>
      </c>
      <c r="M186" s="714">
        <v>300</v>
      </c>
      <c r="N186" s="717">
        <v>300</v>
      </c>
      <c r="O186" s="826" t="s">
        <v>897</v>
      </c>
      <c r="P186" s="866">
        <v>300</v>
      </c>
      <c r="Q186" s="714">
        <v>300</v>
      </c>
      <c r="R186" s="826" t="s">
        <v>897</v>
      </c>
      <c r="S186" s="714">
        <v>100</v>
      </c>
      <c r="T186" s="962">
        <v>250</v>
      </c>
      <c r="U186" s="826" t="s">
        <v>897</v>
      </c>
      <c r="V186" s="866">
        <v>100</v>
      </c>
      <c r="W186" s="1018">
        <v>100</v>
      </c>
      <c r="X186" s="826" t="s">
        <v>897</v>
      </c>
      <c r="Y186" s="714">
        <v>100</v>
      </c>
      <c r="Z186" s="960">
        <v>100</v>
      </c>
      <c r="AA186" s="826" t="s">
        <v>897</v>
      </c>
      <c r="AB186" s="714">
        <v>100</v>
      </c>
      <c r="AC186" s="714">
        <v>100</v>
      </c>
      <c r="AD186" s="826" t="s">
        <v>897</v>
      </c>
      <c r="AE186" s="714">
        <v>100</v>
      </c>
      <c r="AF186" s="714"/>
      <c r="AG186" s="826" t="s">
        <v>897</v>
      </c>
      <c r="AH186" s="714">
        <v>100</v>
      </c>
      <c r="AI186" s="714"/>
      <c r="AJ186" s="826" t="s">
        <v>897</v>
      </c>
      <c r="AK186" s="714">
        <v>100</v>
      </c>
      <c r="AL186" s="714"/>
      <c r="AM186" s="826" t="s">
        <v>897</v>
      </c>
      <c r="AN186" s="714">
        <v>100</v>
      </c>
      <c r="AO186" s="714"/>
      <c r="AP186" s="826" t="s">
        <v>897</v>
      </c>
      <c r="AQ186" s="714">
        <f>100+600</f>
        <v>700</v>
      </c>
      <c r="AR186" s="717"/>
      <c r="AS186" s="717"/>
      <c r="AT186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2100</v>
      </c>
      <c r="AU186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1150</v>
      </c>
      <c r="AV186" s="825"/>
      <c r="AW186" s="825"/>
      <c r="AX186" s="718"/>
      <c r="AY186" s="719"/>
      <c r="AZ186" s="719">
        <f>VLOOKUP(A186,Table6[],30,0)</f>
        <v>0</v>
      </c>
    </row>
    <row r="187" spans="1:52" ht="17.25" customHeight="1">
      <c r="A187" s="823">
        <v>183</v>
      </c>
      <c r="B187" s="709" t="str">
        <f>VLOOKUP(Table1[[#This Row],[šifra]],Table6[],2,0)</f>
        <v>FemZol s.r.o.</v>
      </c>
      <c r="C187" s="824" t="str">
        <f>VLOOKUP(Table1[[#This Row],[šifra]],Table6[],4,0)</f>
        <v>LAURA</v>
      </c>
      <c r="D187" s="1027" t="str">
        <f>VLOOKUP(A187,Table6[],21,0)</f>
        <v xml:space="preserve">dok ne plati nitko 100€/mj+PDV </v>
      </c>
      <c r="E187" s="314" t="str">
        <f>IF(poduzeća!AE184="","",poduzeća!AE184)</f>
        <v/>
      </c>
      <c r="F187" s="313" t="str">
        <f>IF(poduzeća!AF184="","",poduzeća!AF184)</f>
        <v/>
      </c>
      <c r="G187" s="825">
        <v>300</v>
      </c>
      <c r="H187" s="825"/>
      <c r="I187" s="719"/>
      <c r="J187" s="714"/>
      <c r="K187" s="714"/>
      <c r="L187" s="826" t="s">
        <v>897</v>
      </c>
      <c r="M187" s="886">
        <v>100</v>
      </c>
      <c r="N187" s="839"/>
      <c r="O187" s="826" t="s">
        <v>897</v>
      </c>
      <c r="P187" s="886">
        <v>100</v>
      </c>
      <c r="Q187" s="315"/>
      <c r="R187" s="826" t="s">
        <v>897</v>
      </c>
      <c r="S187" s="714">
        <v>100</v>
      </c>
      <c r="T187" s="963">
        <v>200</v>
      </c>
      <c r="U187" s="826" t="s">
        <v>897</v>
      </c>
      <c r="V187" s="866">
        <v>100</v>
      </c>
      <c r="W187" s="1018">
        <v>100</v>
      </c>
      <c r="X187" s="826" t="s">
        <v>897</v>
      </c>
      <c r="Y187" s="714">
        <v>100</v>
      </c>
      <c r="Z187" s="960">
        <v>100</v>
      </c>
      <c r="AA187" s="826" t="s">
        <v>897</v>
      </c>
      <c r="AB187" s="714">
        <v>100</v>
      </c>
      <c r="AC187" s="714">
        <v>100</v>
      </c>
      <c r="AD187" s="736" t="s">
        <v>897</v>
      </c>
      <c r="AE187" s="714">
        <v>100</v>
      </c>
      <c r="AF187" s="714">
        <v>100</v>
      </c>
      <c r="AG187" s="736" t="s">
        <v>897</v>
      </c>
      <c r="AH187" s="714">
        <v>100</v>
      </c>
      <c r="AI187" s="714"/>
      <c r="AJ187" s="736" t="s">
        <v>897</v>
      </c>
      <c r="AK187" s="714">
        <v>100</v>
      </c>
      <c r="AL187" s="714"/>
      <c r="AM187" s="736" t="s">
        <v>897</v>
      </c>
      <c r="AN187" s="714">
        <v>100</v>
      </c>
      <c r="AO187" s="714"/>
      <c r="AP187" s="736" t="s">
        <v>897</v>
      </c>
      <c r="AQ187" s="714">
        <v>100</v>
      </c>
      <c r="AR187" s="717"/>
      <c r="AS187" s="717"/>
      <c r="AT187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1100</v>
      </c>
      <c r="AU187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600</v>
      </c>
      <c r="AV187" s="825"/>
      <c r="AW187" s="825"/>
      <c r="AX187" s="718"/>
      <c r="AY187" s="719"/>
      <c r="AZ187" s="719">
        <f>VLOOKUP(A187,Table6[],30,0)</f>
        <v>0</v>
      </c>
    </row>
    <row r="188" spans="1:52" ht="17.25" customHeight="1">
      <c r="A188" s="708">
        <v>184</v>
      </c>
      <c r="B188" s="709" t="str">
        <f>VLOOKUP(Table1[[#This Row],[šifra]],Table6[],2,0)</f>
        <v>Unita voltage szolgáltató KFT</v>
      </c>
      <c r="C188" s="824" t="str">
        <f>VLOOKUP(Table1[[#This Row],[šifra]],Table6[],4,0)</f>
        <v>MAJA</v>
      </c>
      <c r="D188" s="897" t="str">
        <f>VLOOKUP(A188,Table6[],21,0)</f>
        <v>100€/mj+PDV - treba ugovor</v>
      </c>
      <c r="E188" s="314" t="str">
        <f>IF(poduzeća!AE185="","",poduzeća!AE185)</f>
        <v/>
      </c>
      <c r="F188" s="313" t="str">
        <f>IF(poduzeća!AF185="","",poduzeća!AF185)</f>
        <v/>
      </c>
      <c r="G188" s="825"/>
      <c r="H188" s="825"/>
      <c r="I188" s="719"/>
      <c r="J188" s="714"/>
      <c r="K188" s="714"/>
      <c r="L188" s="826" t="s">
        <v>897</v>
      </c>
      <c r="M188" s="714"/>
      <c r="N188" s="717"/>
      <c r="O188" s="826" t="s">
        <v>897</v>
      </c>
      <c r="P188" s="714"/>
      <c r="Q188" s="714"/>
      <c r="R188" s="826" t="s">
        <v>897</v>
      </c>
      <c r="S188" s="714"/>
      <c r="T188" s="963"/>
      <c r="U188" s="826" t="s">
        <v>897</v>
      </c>
      <c r="V188" s="714"/>
      <c r="X188" s="826" t="s">
        <v>897</v>
      </c>
      <c r="Y188" s="714"/>
      <c r="Z188" s="716"/>
      <c r="AA188" s="826" t="s">
        <v>897</v>
      </c>
      <c r="AB188" s="714"/>
      <c r="AC188" s="714"/>
      <c r="AD188" s="826" t="s">
        <v>897</v>
      </c>
      <c r="AE188" s="714"/>
      <c r="AF188" s="714"/>
      <c r="AG188" s="826" t="s">
        <v>897</v>
      </c>
      <c r="AH188" s="714"/>
      <c r="AI188" s="714"/>
      <c r="AJ188" s="826" t="s">
        <v>897</v>
      </c>
      <c r="AK188" s="714"/>
      <c r="AL188" s="714"/>
      <c r="AM188" s="826" t="s">
        <v>897</v>
      </c>
      <c r="AN188" s="714"/>
      <c r="AO188" s="714"/>
      <c r="AP188" s="826" t="s">
        <v>897</v>
      </c>
      <c r="AQ188" s="714"/>
      <c r="AR188" s="717"/>
      <c r="AS188" s="717"/>
      <c r="AT188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88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88" s="825"/>
      <c r="AW188" s="825"/>
      <c r="AX188" s="718"/>
      <c r="AY188" s="719"/>
      <c r="AZ188" s="719">
        <f>VLOOKUP(A188,Table6[],30,0)</f>
        <v>0</v>
      </c>
    </row>
    <row r="189" spans="1:52" ht="17.25" customHeight="1">
      <c r="A189" s="708">
        <v>185</v>
      </c>
      <c r="B189" s="709" t="str">
        <f>VLOOKUP(Table1[[#This Row],[šifra]],Table6[],2,0)</f>
        <v>Unita voltage szolgáltató KFT</v>
      </c>
      <c r="C189" s="824" t="str">
        <f>VLOOKUP(Table1[[#This Row],[šifra]],Table6[],4,0)</f>
        <v>MAJA</v>
      </c>
      <c r="D189" s="711" t="str">
        <f>VLOOKUP(A189,Table6[],21,0)</f>
        <v>račun plaća Almadi yacht club</v>
      </c>
      <c r="E189" s="314" t="str">
        <f>IF(poduzeća!AE186="","",poduzeća!AE186)</f>
        <v/>
      </c>
      <c r="F189" s="313" t="str">
        <f>IF(poduzeća!AF186="","",poduzeća!AF186)</f>
        <v/>
      </c>
      <c r="G189" s="825">
        <v>25</v>
      </c>
      <c r="H189" s="825"/>
      <c r="I189" s="719"/>
      <c r="J189" s="714"/>
      <c r="K189" s="714"/>
      <c r="L189" s="826" t="s">
        <v>897</v>
      </c>
      <c r="M189" s="714"/>
      <c r="N189" s="717"/>
      <c r="O189" s="826" t="s">
        <v>897</v>
      </c>
      <c r="P189" s="714"/>
      <c r="Q189" s="714"/>
      <c r="R189" s="826" t="s">
        <v>897</v>
      </c>
      <c r="S189" s="714"/>
      <c r="T189" s="963"/>
      <c r="U189" s="826" t="s">
        <v>897</v>
      </c>
      <c r="V189" s="714"/>
      <c r="X189" s="826" t="s">
        <v>897</v>
      </c>
      <c r="Y189" s="714"/>
      <c r="Z189" s="716"/>
      <c r="AA189" s="826" t="s">
        <v>897</v>
      </c>
      <c r="AB189" s="714"/>
      <c r="AC189" s="714"/>
      <c r="AD189" s="826" t="s">
        <v>897</v>
      </c>
      <c r="AE189" s="714"/>
      <c r="AF189" s="714"/>
      <c r="AG189" s="826" t="s">
        <v>897</v>
      </c>
      <c r="AH189" s="714"/>
      <c r="AI189" s="714"/>
      <c r="AJ189" s="826" t="s">
        <v>897</v>
      </c>
      <c r="AK189" s="714"/>
      <c r="AL189" s="714"/>
      <c r="AM189" s="826" t="s">
        <v>897</v>
      </c>
      <c r="AN189" s="714"/>
      <c r="AO189" s="714"/>
      <c r="AP189" s="826" t="s">
        <v>897</v>
      </c>
      <c r="AQ189" s="714"/>
      <c r="AR189" s="717"/>
      <c r="AS189" s="717"/>
      <c r="AT189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89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89" s="825"/>
      <c r="AW189" s="825"/>
      <c r="AX189" s="718"/>
      <c r="AY189" s="719"/>
      <c r="AZ189" s="719">
        <f>VLOOKUP(A189,Table6[],30,0)</f>
        <v>0</v>
      </c>
    </row>
    <row r="190" spans="1:52" s="97" customFormat="1" ht="17.25" customHeight="1">
      <c r="A190" s="708">
        <v>186</v>
      </c>
      <c r="B190" s="709" t="str">
        <f>VLOOKUP(Table1[[#This Row],[šifra]],Table6[],2,0)</f>
        <v>Almádi Yadht Club Kft plaća Cassiopea</v>
      </c>
      <c r="C190" s="824" t="str">
        <f>VLOOKUP(Table1[[#This Row],[šifra]],Table6[],4,0)</f>
        <v>MAJA</v>
      </c>
      <c r="D190" s="711" t="str">
        <f>VLOOKUP(A190,Table6[],21,0)</f>
        <v>100€/mj+PDV račun od Cassiopea usluga savjetovanja</v>
      </c>
      <c r="E190" s="314" t="str">
        <f>IF(poduzeća!AE187="","",poduzeća!AE187)</f>
        <v/>
      </c>
      <c r="F190" s="313" t="str">
        <f>IF(poduzeća!AF187="","",poduzeća!AF187)</f>
        <v/>
      </c>
      <c r="G190" s="825">
        <v>125</v>
      </c>
      <c r="H190" s="825"/>
      <c r="I190" s="719"/>
      <c r="J190" s="714"/>
      <c r="K190" s="714"/>
      <c r="L190" s="826" t="s">
        <v>897</v>
      </c>
      <c r="M190" s="714"/>
      <c r="N190" s="717"/>
      <c r="O190" s="826" t="s">
        <v>897</v>
      </c>
      <c r="P190" s="714">
        <v>100</v>
      </c>
      <c r="Q190" s="714">
        <v>100</v>
      </c>
      <c r="R190" s="826" t="s">
        <v>897</v>
      </c>
      <c r="S190" s="714">
        <v>100</v>
      </c>
      <c r="T190" s="962">
        <v>200</v>
      </c>
      <c r="U190" s="826" t="s">
        <v>897</v>
      </c>
      <c r="V190" s="866">
        <v>100</v>
      </c>
      <c r="W190" s="1018">
        <v>100</v>
      </c>
      <c r="X190" s="826" t="s">
        <v>897</v>
      </c>
      <c r="Y190" s="714">
        <v>100</v>
      </c>
      <c r="Z190" s="960">
        <v>100</v>
      </c>
      <c r="AA190" s="826" t="s">
        <v>897</v>
      </c>
      <c r="AB190" s="714">
        <v>100</v>
      </c>
      <c r="AC190" s="714">
        <v>100</v>
      </c>
      <c r="AD190" s="826" t="s">
        <v>897</v>
      </c>
      <c r="AE190" s="714">
        <v>100</v>
      </c>
      <c r="AF190" s="714">
        <v>100</v>
      </c>
      <c r="AG190" s="826" t="s">
        <v>897</v>
      </c>
      <c r="AH190" s="714">
        <v>100</v>
      </c>
      <c r="AI190" s="714"/>
      <c r="AJ190" s="826" t="s">
        <v>897</v>
      </c>
      <c r="AK190" s="714">
        <v>100</v>
      </c>
      <c r="AL190" s="714"/>
      <c r="AM190" s="826" t="s">
        <v>897</v>
      </c>
      <c r="AN190" s="714">
        <v>100</v>
      </c>
      <c r="AO190" s="714"/>
      <c r="AP190" s="826" t="s">
        <v>897</v>
      </c>
      <c r="AQ190" s="714">
        <v>100</v>
      </c>
      <c r="AR190" s="717"/>
      <c r="AS190" s="717"/>
      <c r="AT190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1000</v>
      </c>
      <c r="AU190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700</v>
      </c>
      <c r="AV190" s="825"/>
      <c r="AW190" s="825"/>
      <c r="AX190" s="718"/>
      <c r="AY190" s="719"/>
      <c r="AZ190" s="719">
        <f>VLOOKUP(A190,Table6[],30,0)</f>
        <v>0</v>
      </c>
    </row>
    <row r="191" spans="1:52" ht="17.25" customHeight="1">
      <c r="A191" s="708">
        <v>187</v>
      </c>
      <c r="B191" s="709" t="str">
        <f>VLOOKUP(Table1[[#This Row],[šifra]],Table6[],2,0)</f>
        <v>Cellmaxphone KFT</v>
      </c>
      <c r="C191" s="824" t="str">
        <f>VLOOKUP(Table1[[#This Row],[šifra]],Table6[],4,0)</f>
        <v>LAURA</v>
      </c>
      <c r="D191" s="897" t="str">
        <f>VLOOKUP(A191,Table6[],21,0)</f>
        <v>150€/mj(knjigovodstvo)+ 50€/mj(sjedište)- treba ugovor</v>
      </c>
      <c r="E191" s="314" t="str">
        <f>IF(poduzeća!AE188="","",poduzeća!AE188)</f>
        <v>kt 3 BM</v>
      </c>
      <c r="F191" s="313" t="str">
        <f>IF(poduzeća!AF188="","",poduzeća!AF188)</f>
        <v/>
      </c>
      <c r="G191" s="825"/>
      <c r="H191" s="825"/>
      <c r="I191" s="719"/>
      <c r="J191" s="714"/>
      <c r="K191" s="714"/>
      <c r="L191" s="826"/>
      <c r="M191" s="714"/>
      <c r="N191" s="717"/>
      <c r="O191" s="719"/>
      <c r="P191" s="714"/>
      <c r="Q191" s="714"/>
      <c r="R191" s="826"/>
      <c r="S191" s="714"/>
      <c r="T191" s="963"/>
      <c r="U191" s="826"/>
      <c r="V191" s="714"/>
      <c r="X191" s="826"/>
      <c r="Y191" s="714"/>
      <c r="Z191" s="716"/>
      <c r="AA191" s="719"/>
      <c r="AB191" s="714"/>
      <c r="AC191" s="714"/>
      <c r="AD191" s="736" t="s">
        <v>897</v>
      </c>
      <c r="AE191" s="714">
        <v>150</v>
      </c>
      <c r="AF191" s="714">
        <v>150</v>
      </c>
      <c r="AG191" s="736" t="s">
        <v>897</v>
      </c>
      <c r="AH191" s="714">
        <v>150</v>
      </c>
      <c r="AI191" s="714"/>
      <c r="AJ191" s="736" t="s">
        <v>897</v>
      </c>
      <c r="AK191" s="714">
        <v>150</v>
      </c>
      <c r="AL191" s="714"/>
      <c r="AM191" s="736" t="s">
        <v>897</v>
      </c>
      <c r="AN191" s="714">
        <v>150</v>
      </c>
      <c r="AO191" s="714"/>
      <c r="AP191" s="736" t="s">
        <v>897</v>
      </c>
      <c r="AQ191" s="714">
        <v>150</v>
      </c>
      <c r="AR191" s="717"/>
      <c r="AS191" s="717"/>
      <c r="AT191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750</v>
      </c>
      <c r="AU191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150</v>
      </c>
      <c r="AV191" s="825"/>
      <c r="AW191" s="825"/>
      <c r="AX191" s="718"/>
      <c r="AY191" s="719"/>
      <c r="AZ191" s="719">
        <f>VLOOKUP(A191,Table6[],30,0)</f>
        <v>0</v>
      </c>
    </row>
    <row r="192" spans="1:52" ht="17.25" customHeight="1">
      <c r="A192" s="708">
        <v>188</v>
      </c>
      <c r="B192" s="709" t="str">
        <f>VLOOKUP(Table1[[#This Row],[šifra]],Table6[],2,0)</f>
        <v>Toma-Home Szolgáltató KFT</v>
      </c>
      <c r="C192" s="824" t="str">
        <f>VLOOKUP(Table1[[#This Row],[šifra]],Table6[],4,0)</f>
        <v>LAURA</v>
      </c>
      <c r="D192" s="897" t="str">
        <f>VLOOKUP(A192,Table6[],21,0)</f>
        <v>100€/mj+PDV - treba ugovor</v>
      </c>
      <c r="E192" s="314" t="str">
        <f>IF(poduzeća!AE189="","",poduzeća!AE189)</f>
        <v/>
      </c>
      <c r="F192" s="313" t="str">
        <f>IF(poduzeća!AF189="","",poduzeća!AF189)</f>
        <v/>
      </c>
      <c r="G192" s="825"/>
      <c r="H192" s="825"/>
      <c r="I192" s="719"/>
      <c r="J192" s="714"/>
      <c r="K192" s="714"/>
      <c r="L192" s="826"/>
      <c r="M192" s="714"/>
      <c r="N192" s="717"/>
      <c r="O192" s="719"/>
      <c r="P192" s="714"/>
      <c r="Q192" s="714"/>
      <c r="R192" s="826"/>
      <c r="S192" s="714"/>
      <c r="T192" s="963"/>
      <c r="U192" s="826"/>
      <c r="V192" s="714"/>
      <c r="X192" s="826"/>
      <c r="Y192" s="714"/>
      <c r="Z192" s="716"/>
      <c r="AA192" s="719"/>
      <c r="AB192" s="714"/>
      <c r="AC192" s="714"/>
      <c r="AD192" s="736" t="s">
        <v>897</v>
      </c>
      <c r="AE192" s="714"/>
      <c r="AF192" s="714"/>
      <c r="AG192" s="736" t="s">
        <v>897</v>
      </c>
      <c r="AH192" s="714"/>
      <c r="AI192" s="714"/>
      <c r="AJ192" s="736" t="s">
        <v>897</v>
      </c>
      <c r="AK192" s="714"/>
      <c r="AL192" s="714"/>
      <c r="AM192" s="736" t="s">
        <v>897</v>
      </c>
      <c r="AN192" s="714"/>
      <c r="AO192" s="714"/>
      <c r="AP192" s="736" t="s">
        <v>897</v>
      </c>
      <c r="AQ192" s="714"/>
      <c r="AR192" s="717"/>
      <c r="AS192" s="717"/>
      <c r="AT192" s="717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92" s="717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92" s="825"/>
      <c r="AW192" s="825"/>
      <c r="AX192" s="718"/>
      <c r="AY192" s="719"/>
      <c r="AZ192" s="719">
        <f>VLOOKUP(A192,Table6[],30,0)</f>
        <v>0</v>
      </c>
    </row>
    <row r="193" spans="1:52" ht="17.25" customHeight="1">
      <c r="A193" s="933">
        <v>189</v>
      </c>
      <c r="B193" s="934" t="str">
        <f>VLOOKUP(Table1[[#This Row],[šifra]],Table6[],2,0)</f>
        <v>Vila Habib doo</v>
      </c>
      <c r="C193" s="935" t="str">
        <f>VLOOKUP(Table1[[#This Row],[šifra]],Table6[],4,0)</f>
        <v>GABRIJELA</v>
      </c>
      <c r="D193" s="936">
        <f>VLOOKUP(A193,Table6[],21,0)</f>
        <v>0</v>
      </c>
      <c r="E193" s="314" t="str">
        <f>IF(poduzeća!AE190="","",poduzeća!AE190)</f>
        <v/>
      </c>
      <c r="F193" s="313" t="str">
        <f>IF(poduzeća!AF190="","",poduzeća!AF190)</f>
        <v/>
      </c>
      <c r="G193" s="939"/>
      <c r="H193" s="939"/>
      <c r="I193" s="940"/>
      <c r="J193" s="941"/>
      <c r="K193" s="941"/>
      <c r="L193" s="942"/>
      <c r="M193" s="941"/>
      <c r="N193" s="943"/>
      <c r="O193" s="940"/>
      <c r="P193" s="941"/>
      <c r="Q193" s="970"/>
      <c r="R193" s="942"/>
      <c r="S193" s="941"/>
      <c r="T193" s="965"/>
      <c r="U193" s="942"/>
      <c r="V193" s="941"/>
      <c r="X193" s="942"/>
      <c r="Y193" s="941"/>
      <c r="Z193" s="944"/>
      <c r="AA193" s="940"/>
      <c r="AB193" s="941"/>
      <c r="AC193" s="941"/>
      <c r="AD193" s="942"/>
      <c r="AE193" s="941"/>
      <c r="AF193" s="941"/>
      <c r="AG193" s="942"/>
      <c r="AH193" s="941"/>
      <c r="AI193" s="941"/>
      <c r="AJ193" s="942"/>
      <c r="AK193" s="941"/>
      <c r="AL193" s="941"/>
      <c r="AM193" s="942"/>
      <c r="AN193" s="941"/>
      <c r="AO193" s="941"/>
      <c r="AP193" s="942"/>
      <c r="AQ193" s="941"/>
      <c r="AR193" s="943"/>
      <c r="AS193" s="943"/>
      <c r="AT193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93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93" s="939"/>
      <c r="AW193" s="939"/>
      <c r="AX193" s="945"/>
      <c r="AY193" s="940"/>
      <c r="AZ193" s="940">
        <f>VLOOKUP(A193,Table6[],30,0)</f>
        <v>0</v>
      </c>
    </row>
    <row r="194" spans="1:52" ht="30" customHeight="1">
      <c r="A194" s="933">
        <v>190</v>
      </c>
      <c r="B194" s="934" t="str">
        <f>VLOOKUP(Table1[[#This Row],[šifra]],Table6[],2,0)</f>
        <v>Madár Józef Péter</v>
      </c>
      <c r="C194" s="935" t="str">
        <f>VLOOKUP(Table1[[#This Row],[šifra]],Table6[],4,0)</f>
        <v>PONEKAD</v>
      </c>
      <c r="D194" s="936">
        <f>VLOOKUP(A194,Table6[],21,0)</f>
        <v>0</v>
      </c>
      <c r="E194" s="314" t="str">
        <f>IF(poduzeća!AE191="","",poduzeća!AE191)</f>
        <v/>
      </c>
      <c r="F194" s="313" t="str">
        <f>IF(poduzeća!AF191="","",poduzeća!AF191)</f>
        <v/>
      </c>
      <c r="G194" s="939"/>
      <c r="H194" s="939"/>
      <c r="I194" s="940"/>
      <c r="J194" s="941"/>
      <c r="K194" s="941"/>
      <c r="L194" s="942"/>
      <c r="M194" s="941"/>
      <c r="N194" s="943"/>
      <c r="O194" s="940"/>
      <c r="P194" s="941"/>
      <c r="Q194" s="941"/>
      <c r="R194" s="942"/>
      <c r="S194" s="941"/>
      <c r="T194" s="965"/>
      <c r="U194" s="942"/>
      <c r="V194" s="941"/>
      <c r="X194" s="942"/>
      <c r="Y194" s="941"/>
      <c r="Z194" s="944"/>
      <c r="AA194" s="940"/>
      <c r="AB194" s="941"/>
      <c r="AC194" s="941"/>
      <c r="AD194" s="942"/>
      <c r="AE194" s="941"/>
      <c r="AF194" s="941"/>
      <c r="AG194" s="942"/>
      <c r="AH194" s="941"/>
      <c r="AI194" s="941"/>
      <c r="AJ194" s="942"/>
      <c r="AK194" s="941"/>
      <c r="AL194" s="941"/>
      <c r="AM194" s="942"/>
      <c r="AN194" s="941"/>
      <c r="AO194" s="941"/>
      <c r="AP194" s="942"/>
      <c r="AQ194" s="941"/>
      <c r="AR194" s="943"/>
      <c r="AS194" s="943"/>
      <c r="AT194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94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94" s="939"/>
      <c r="AW194" s="939"/>
      <c r="AX194" s="945"/>
      <c r="AY194" s="940"/>
      <c r="AZ194" s="940">
        <f>VLOOKUP(A194,Table6[],30,0)</f>
        <v>0</v>
      </c>
    </row>
    <row r="195" spans="1:52" ht="17.25" customHeight="1">
      <c r="A195" s="933">
        <v>191</v>
      </c>
      <c r="B195" s="934" t="str">
        <f>VLOOKUP(Table1[[#This Row],[šifra]],Table6[],2,0)</f>
        <v>Zita Antal</v>
      </c>
      <c r="C195" s="935" t="str">
        <f>VLOOKUP(Table1[[#This Row],[šifra]],Table6[],4,0)</f>
        <v>PONEKAD</v>
      </c>
      <c r="D195" s="936">
        <f>VLOOKUP(A195,Table6[],21,0)</f>
        <v>0</v>
      </c>
      <c r="E195" s="314" t="str">
        <f>IF(poduzeća!AE192="","",poduzeća!AE192)</f>
        <v/>
      </c>
      <c r="F195" s="313" t="str">
        <f>IF(poduzeća!AF192="","",poduzeća!AF192)</f>
        <v/>
      </c>
      <c r="G195" s="939"/>
      <c r="H195" s="939"/>
      <c r="I195" s="940"/>
      <c r="J195" s="941"/>
      <c r="K195" s="941"/>
      <c r="L195" s="942"/>
      <c r="M195" s="941"/>
      <c r="N195" s="943"/>
      <c r="O195" s="940"/>
      <c r="P195" s="941"/>
      <c r="Q195" s="941"/>
      <c r="R195" s="942"/>
      <c r="S195" s="941"/>
      <c r="T195" s="965"/>
      <c r="U195" s="942"/>
      <c r="V195" s="941"/>
      <c r="X195" s="942"/>
      <c r="Y195" s="941"/>
      <c r="Z195" s="944"/>
      <c r="AA195" s="940"/>
      <c r="AB195" s="941"/>
      <c r="AC195" s="941"/>
      <c r="AD195" s="942"/>
      <c r="AE195" s="941"/>
      <c r="AF195" s="941"/>
      <c r="AG195" s="942"/>
      <c r="AH195" s="941"/>
      <c r="AI195" s="941"/>
      <c r="AJ195" s="942"/>
      <c r="AK195" s="941"/>
      <c r="AL195" s="941"/>
      <c r="AM195" s="942"/>
      <c r="AN195" s="941"/>
      <c r="AO195" s="941"/>
      <c r="AP195" s="942"/>
      <c r="AQ195" s="941"/>
      <c r="AR195" s="943"/>
      <c r="AS195" s="943"/>
      <c r="AT195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95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95" s="939"/>
      <c r="AW195" s="939"/>
      <c r="AX195" s="945"/>
      <c r="AY195" s="940"/>
      <c r="AZ195" s="940">
        <f>VLOOKUP(A195,Table6[],30,0)</f>
        <v>0</v>
      </c>
    </row>
    <row r="196" spans="1:52" ht="17.25" customHeight="1">
      <c r="A196" s="933">
        <v>192</v>
      </c>
      <c r="B196" s="934" t="str">
        <f>VLOOKUP(Table1[[#This Row],[šifra]],Table6[],2,0)</f>
        <v>Balás Gábor György</v>
      </c>
      <c r="C196" s="935" t="str">
        <f>VLOOKUP(Table1[[#This Row],[šifra]],Table6[],4,0)</f>
        <v>PONEKAD</v>
      </c>
      <c r="D196" s="936">
        <f>VLOOKUP(A196,Table6[],21,0)</f>
        <v>0</v>
      </c>
      <c r="E196" s="314" t="str">
        <f>IF(poduzeća!AE193="","",poduzeća!AE193)</f>
        <v/>
      </c>
      <c r="F196" s="313" t="str">
        <f>IF(poduzeća!AF193="","",poduzeća!AF193)</f>
        <v/>
      </c>
      <c r="G196" s="939"/>
      <c r="H196" s="939"/>
      <c r="I196" s="940"/>
      <c r="J196" s="941"/>
      <c r="K196" s="941"/>
      <c r="L196" s="942"/>
      <c r="M196" s="941"/>
      <c r="N196" s="943"/>
      <c r="O196" s="940"/>
      <c r="P196" s="941"/>
      <c r="Q196" s="941"/>
      <c r="R196" s="942"/>
      <c r="S196" s="941"/>
      <c r="T196" s="943"/>
      <c r="U196" s="942"/>
      <c r="V196" s="941"/>
      <c r="X196" s="942"/>
      <c r="Y196" s="941"/>
      <c r="Z196" s="944"/>
      <c r="AA196" s="940"/>
      <c r="AB196" s="941"/>
      <c r="AC196" s="941"/>
      <c r="AD196" s="942"/>
      <c r="AE196" s="941"/>
      <c r="AF196" s="941"/>
      <c r="AG196" s="942"/>
      <c r="AH196" s="941"/>
      <c r="AI196" s="941"/>
      <c r="AJ196" s="942"/>
      <c r="AK196" s="941"/>
      <c r="AL196" s="941"/>
      <c r="AM196" s="942"/>
      <c r="AN196" s="941"/>
      <c r="AO196" s="941"/>
      <c r="AP196" s="942"/>
      <c r="AQ196" s="941"/>
      <c r="AR196" s="943"/>
      <c r="AS196" s="943"/>
      <c r="AT196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96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96" s="939"/>
      <c r="AW196" s="939"/>
      <c r="AX196" s="945"/>
      <c r="AY196" s="940"/>
      <c r="AZ196" s="940">
        <f>VLOOKUP(A196,Table6[],30,0)</f>
        <v>0</v>
      </c>
    </row>
    <row r="197" spans="1:52" ht="17.25" customHeight="1">
      <c r="A197" s="933">
        <v>193</v>
      </c>
      <c r="B197" s="934">
        <f>VLOOKUP(Table1[[#This Row],[šifra]],Table6[],2,0)</f>
        <v>0</v>
      </c>
      <c r="C197" s="935" t="str">
        <f>VLOOKUP(Table1[[#This Row],[šifra]],Table6[],4,0)</f>
        <v>NITKO</v>
      </c>
      <c r="D197" s="936" t="str">
        <f>VLOOKUP(A197,Table6[],21,0)</f>
        <v>125€+pdv mjesečno/ plaća za cro energiju</v>
      </c>
      <c r="E197" s="314" t="str">
        <f>IF(poduzeća!AE194="","",poduzeća!AE194)</f>
        <v/>
      </c>
      <c r="F197" s="313" t="str">
        <f>IF(poduzeća!AF194="","",poduzeća!AF194)</f>
        <v/>
      </c>
      <c r="G197" s="939">
        <v>150</v>
      </c>
      <c r="H197" s="939"/>
      <c r="I197" s="713" t="s">
        <v>892</v>
      </c>
      <c r="J197" s="941">
        <v>125</v>
      </c>
      <c r="K197" s="713">
        <v>125</v>
      </c>
      <c r="L197" s="713" t="s">
        <v>892</v>
      </c>
      <c r="M197" s="941">
        <v>125</v>
      </c>
      <c r="N197" s="713">
        <v>125</v>
      </c>
      <c r="O197" s="713" t="s">
        <v>892</v>
      </c>
      <c r="P197" s="941">
        <v>125</v>
      </c>
      <c r="Q197" s="971">
        <v>125</v>
      </c>
      <c r="R197" s="713" t="s">
        <v>892</v>
      </c>
      <c r="S197" s="941">
        <v>125</v>
      </c>
      <c r="T197" s="964">
        <v>250</v>
      </c>
      <c r="U197" s="713" t="s">
        <v>892</v>
      </c>
      <c r="V197" s="866">
        <v>0</v>
      </c>
      <c r="W197" s="1018">
        <v>-250</v>
      </c>
      <c r="X197" s="713" t="s">
        <v>892</v>
      </c>
      <c r="Y197" s="941"/>
      <c r="Z197" s="766" t="s">
        <v>1643</v>
      </c>
      <c r="AA197" s="713" t="s">
        <v>892</v>
      </c>
      <c r="AB197" s="941"/>
      <c r="AC197" s="941"/>
      <c r="AD197" s="713" t="s">
        <v>892</v>
      </c>
      <c r="AE197" s="941"/>
      <c r="AF197" s="941"/>
      <c r="AG197" s="713" t="s">
        <v>892</v>
      </c>
      <c r="AH197" s="941"/>
      <c r="AI197" s="941"/>
      <c r="AJ197" s="713" t="s">
        <v>892</v>
      </c>
      <c r="AK197" s="941"/>
      <c r="AL197" s="941"/>
      <c r="AM197" s="713" t="s">
        <v>892</v>
      </c>
      <c r="AN197" s="941"/>
      <c r="AO197" s="941"/>
      <c r="AP197" s="713" t="s">
        <v>892</v>
      </c>
      <c r="AQ197" s="941"/>
      <c r="AR197" s="943"/>
      <c r="AS197" s="943"/>
      <c r="AT197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500</v>
      </c>
      <c r="AU197" s="943" t="e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#VALUE!</v>
      </c>
      <c r="AV197" s="939"/>
      <c r="AW197" s="939"/>
      <c r="AX197" s="945"/>
      <c r="AY197" s="940"/>
      <c r="AZ197" s="940">
        <f>VLOOKUP(A197,Table6[],30,0)</f>
        <v>0</v>
      </c>
    </row>
    <row r="198" spans="1:52" s="97" customFormat="1" ht="17.25" customHeight="1">
      <c r="A198" s="933">
        <v>194</v>
      </c>
      <c r="B198" s="934" t="str">
        <f>VLOOKUP(Table1[[#This Row],[šifra]],Table6[],2,0)</f>
        <v xml:space="preserve">VivaPalazzo d.d., Podružnica Osijek </v>
      </c>
      <c r="C198" s="935" t="str">
        <f>VLOOKUP(Table1[[#This Row],[šifra]],Table6[],4,0)</f>
        <v>MARKO</v>
      </c>
      <c r="D198" s="936" t="str">
        <f>VLOOKUP(A198,Table6[],21,0)</f>
        <v>300/mj</v>
      </c>
      <c r="E198" s="314">
        <f>IF(poduzeća!AE195="","",poduzeća!AE195)</f>
        <v>46204</v>
      </c>
      <c r="F198" s="313">
        <f>IF(poduzeća!AF195="","",poduzeća!AF195)</f>
        <v>500</v>
      </c>
      <c r="G198" s="939"/>
      <c r="H198" s="939"/>
      <c r="I198" s="940"/>
      <c r="J198" s="941"/>
      <c r="K198" s="941"/>
      <c r="L198" s="942"/>
      <c r="M198" s="941"/>
      <c r="N198" s="943"/>
      <c r="O198" s="940"/>
      <c r="P198" s="941"/>
      <c r="Q198" s="941"/>
      <c r="R198" s="942"/>
      <c r="S198" s="941"/>
      <c r="T198" s="943"/>
      <c r="U198" s="942"/>
      <c r="V198" s="941"/>
      <c r="W198" s="281"/>
      <c r="X198" s="942"/>
      <c r="Y198" s="941"/>
      <c r="Z198" s="944"/>
      <c r="AA198" s="764" t="s">
        <v>897</v>
      </c>
      <c r="AB198" s="944">
        <f>150+500+550</f>
        <v>1200</v>
      </c>
      <c r="AC198" s="1067">
        <v>1130</v>
      </c>
      <c r="AD198" s="764" t="s">
        <v>897</v>
      </c>
      <c r="AE198" s="944">
        <v>300</v>
      </c>
      <c r="AF198" s="941"/>
      <c r="AG198" s="764" t="s">
        <v>897</v>
      </c>
      <c r="AH198" s="944">
        <v>300</v>
      </c>
      <c r="AI198" s="941"/>
      <c r="AJ198" s="764" t="s">
        <v>897</v>
      </c>
      <c r="AK198" s="944">
        <v>300</v>
      </c>
      <c r="AL198" s="941"/>
      <c r="AM198" s="764" t="s">
        <v>897</v>
      </c>
      <c r="AN198" s="944">
        <v>300</v>
      </c>
      <c r="AO198" s="941"/>
      <c r="AP198" s="764" t="s">
        <v>897</v>
      </c>
      <c r="AQ198" s="944">
        <v>300</v>
      </c>
      <c r="AR198" s="943"/>
      <c r="AS198" s="943"/>
      <c r="AT198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2700</v>
      </c>
      <c r="AU198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1130</v>
      </c>
      <c r="AV198" s="939"/>
      <c r="AW198" s="939"/>
      <c r="AX198" s="945"/>
      <c r="AY198" s="940"/>
      <c r="AZ198" s="940">
        <f>VLOOKUP(A198,Table6[],30,0)</f>
        <v>0</v>
      </c>
    </row>
    <row r="199" spans="1:52" ht="17.25" customHeight="1">
      <c r="A199" s="933">
        <v>195</v>
      </c>
      <c r="B199" s="934" t="str">
        <f>VLOOKUP(Table1[[#This Row],[šifra]],Table6[],2,0)</f>
        <v>Eurofroszt</v>
      </c>
      <c r="C199" s="935" t="str">
        <f>VLOOKUP(Table1[[#This Row],[šifra]],Table6[],4,0)</f>
        <v>GABRIJELA</v>
      </c>
      <c r="D199" s="936">
        <f>VLOOKUP(A199,Table6[],21,0)</f>
        <v>0</v>
      </c>
      <c r="E199" s="314" t="str">
        <f>IF(poduzeća!AE196="","",poduzeća!AE196)</f>
        <v/>
      </c>
      <c r="F199" s="313" t="str">
        <f>IF(poduzeća!AF196="","",poduzeća!AF196)</f>
        <v/>
      </c>
      <c r="G199" s="939"/>
      <c r="H199" s="939"/>
      <c r="I199" s="940"/>
      <c r="J199" s="941"/>
      <c r="K199" s="941"/>
      <c r="L199" s="942"/>
      <c r="M199" s="941"/>
      <c r="N199" s="943"/>
      <c r="O199" s="940"/>
      <c r="P199" s="941"/>
      <c r="Q199" s="941"/>
      <c r="R199" s="942"/>
      <c r="S199" s="941"/>
      <c r="T199" s="943"/>
      <c r="U199" s="942"/>
      <c r="V199" s="941"/>
      <c r="X199" s="942"/>
      <c r="Y199" s="941"/>
      <c r="Z199" s="944"/>
      <c r="AA199" s="940"/>
      <c r="AB199" s="941"/>
      <c r="AC199" s="941"/>
      <c r="AD199" s="942"/>
      <c r="AE199" s="941"/>
      <c r="AF199" s="941"/>
      <c r="AG199" s="942"/>
      <c r="AH199" s="941"/>
      <c r="AI199" s="941"/>
      <c r="AJ199" s="942"/>
      <c r="AK199" s="941"/>
      <c r="AL199" s="941"/>
      <c r="AM199" s="942"/>
      <c r="AN199" s="941"/>
      <c r="AO199" s="941"/>
      <c r="AP199" s="942"/>
      <c r="AQ199" s="941"/>
      <c r="AR199" s="943"/>
      <c r="AS199" s="943"/>
      <c r="AT199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199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199" s="939"/>
      <c r="AW199" s="939"/>
      <c r="AX199" s="945"/>
      <c r="AY199" s="940"/>
      <c r="AZ199" s="940">
        <f>VLOOKUP(A199,Table6[],30,0)</f>
        <v>0</v>
      </c>
    </row>
    <row r="200" spans="1:52" ht="17.25" customHeight="1">
      <c r="A200" s="933">
        <v>196</v>
      </c>
      <c r="B200" s="934" t="str">
        <f>VLOOKUP(Table1[[#This Row],[šifra]],Table6[],2,0)</f>
        <v>Mihaly Tari Zoltán</v>
      </c>
      <c r="C200" s="935" t="str">
        <f>VLOOKUP(Table1[[#This Row],[šifra]],Table6[],4,0)</f>
        <v>PONEKAD</v>
      </c>
      <c r="D200" s="936" t="str">
        <f>VLOOKUP(A200,Table6[],21,0)</f>
        <v>jednom godišnje predaja tz obrazca 50€</v>
      </c>
      <c r="E200" s="314" t="str">
        <f>IF(poduzeća!AE213="","",poduzeća!AE213)</f>
        <v/>
      </c>
      <c r="F200" s="313" t="str">
        <f>IF(poduzeća!AF213="","",poduzeća!AF213)</f>
        <v/>
      </c>
      <c r="G200" s="939"/>
      <c r="H200" s="939"/>
      <c r="I200" s="940"/>
      <c r="J200" s="941"/>
      <c r="K200" s="941"/>
      <c r="L200" s="942"/>
      <c r="M200" s="941"/>
      <c r="N200" s="943"/>
      <c r="O200" s="940"/>
      <c r="P200" s="941"/>
      <c r="Q200" s="941"/>
      <c r="R200" s="942"/>
      <c r="S200" s="941"/>
      <c r="T200" s="943"/>
      <c r="U200" s="942"/>
      <c r="V200" s="941"/>
      <c r="X200" s="942"/>
      <c r="Y200" s="941"/>
      <c r="Z200" s="944"/>
      <c r="AA200" s="940"/>
      <c r="AB200" s="941"/>
      <c r="AC200" s="941"/>
      <c r="AD200" s="942"/>
      <c r="AE200" s="941"/>
      <c r="AF200" s="941"/>
      <c r="AG200" s="942"/>
      <c r="AH200" s="941"/>
      <c r="AI200" s="941"/>
      <c r="AJ200" s="942"/>
      <c r="AK200" s="941"/>
      <c r="AL200" s="941"/>
      <c r="AM200" s="942"/>
      <c r="AN200" s="941"/>
      <c r="AO200" s="941"/>
      <c r="AP200" s="942"/>
      <c r="AQ200" s="941"/>
      <c r="AR200" s="943"/>
      <c r="AS200" s="943"/>
      <c r="AT200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0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0" s="939"/>
      <c r="AW200" s="939"/>
      <c r="AX200" s="945"/>
      <c r="AY200" s="940"/>
      <c r="AZ200" s="940">
        <f>VLOOKUP(A200,Table6[],30,0)</f>
        <v>0</v>
      </c>
    </row>
    <row r="201" spans="1:52" ht="17.25" customHeight="1">
      <c r="A201" s="933">
        <v>197</v>
      </c>
      <c r="B201" s="934" t="str">
        <f>VLOOKUP(Table1[[#This Row],[šifra]],Table6[],2,0)</f>
        <v>CLEANING FACILITY MANAGEMENT d.o.o.</v>
      </c>
      <c r="C201" s="935" t="str">
        <f>VLOOKUP(Table1[[#This Row],[šifra]],Table6[],4,0)</f>
        <v>LAURA</v>
      </c>
      <c r="D201" s="936" t="str">
        <f>VLOOKUP(A201,Table6[],21,0)</f>
        <v xml:space="preserve">150/MJ </v>
      </c>
      <c r="E201" s="314" t="str">
        <f>IF(poduzeća!AE214="","",poduzeća!AE214)</f>
        <v/>
      </c>
      <c r="F201" s="313" t="str">
        <f>IF(poduzeća!AF214="","",poduzeća!AF214)</f>
        <v/>
      </c>
      <c r="G201" s="939">
        <v>750</v>
      </c>
      <c r="H201" s="939"/>
      <c r="I201" s="940"/>
      <c r="J201" s="941"/>
      <c r="K201" s="941"/>
      <c r="L201" s="942"/>
      <c r="M201" s="941"/>
      <c r="N201" s="943"/>
      <c r="O201" s="940"/>
      <c r="P201" s="941"/>
      <c r="Q201" s="941"/>
      <c r="R201" s="942"/>
      <c r="S201" s="941"/>
      <c r="T201" s="943"/>
      <c r="U201" s="942"/>
      <c r="V201" s="941"/>
      <c r="X201" s="765" t="s">
        <v>897</v>
      </c>
      <c r="Y201" s="970">
        <v>150</v>
      </c>
      <c r="Z201" s="1062">
        <v>150</v>
      </c>
      <c r="AA201" s="765" t="s">
        <v>897</v>
      </c>
      <c r="AB201" s="941">
        <v>150</v>
      </c>
      <c r="AC201" s="941">
        <v>150</v>
      </c>
      <c r="AD201" s="736" t="s">
        <v>897</v>
      </c>
      <c r="AE201" s="941">
        <v>150</v>
      </c>
      <c r="AF201" s="941">
        <v>150</v>
      </c>
      <c r="AG201" s="736" t="s">
        <v>897</v>
      </c>
      <c r="AH201" s="941">
        <v>150</v>
      </c>
      <c r="AI201" s="941"/>
      <c r="AJ201" s="736" t="s">
        <v>897</v>
      </c>
      <c r="AK201" s="941">
        <v>150</v>
      </c>
      <c r="AL201" s="941"/>
      <c r="AM201" s="736" t="s">
        <v>897</v>
      </c>
      <c r="AN201" s="941">
        <v>150</v>
      </c>
      <c r="AO201" s="941"/>
      <c r="AP201" s="736" t="s">
        <v>897</v>
      </c>
      <c r="AQ201" s="941">
        <v>150</v>
      </c>
      <c r="AR201" s="943"/>
      <c r="AS201" s="943"/>
      <c r="AT201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1050</v>
      </c>
      <c r="AU201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450</v>
      </c>
      <c r="AV201" s="939"/>
      <c r="AW201" s="939"/>
      <c r="AX201" s="945"/>
      <c r="AY201" s="940"/>
      <c r="AZ201" s="940">
        <f>VLOOKUP(A201,Table6[],30,0)</f>
        <v>0</v>
      </c>
    </row>
    <row r="202" spans="1:52" ht="17.25" customHeight="1">
      <c r="A202" s="933">
        <v>198</v>
      </c>
      <c r="B202" s="934" t="str">
        <f>VLOOKUP(Table1[[#This Row],[šifra]],Table6[],2,0)</f>
        <v>SAGITA CONSULTING, OBRT  VL.JANOŠ ANDOČI PAUŠALNI OBRTNIK</v>
      </c>
      <c r="C202" s="935" t="str">
        <f>VLOOKUP(Table1[[#This Row],[šifra]],Table6[],4,0)</f>
        <v>MARKO</v>
      </c>
      <c r="D202" s="936" t="str">
        <f>VLOOKUP(A202,Table6[],21,0)</f>
        <v>100 EUR / MJ0</v>
      </c>
      <c r="E202" s="314" t="str">
        <f>IF(poduzeća!AE215="","",poduzeća!AE215)</f>
        <v/>
      </c>
      <c r="F202" s="313" t="str">
        <f>IF(poduzeća!AF215="","",poduzeća!AF215)</f>
        <v/>
      </c>
      <c r="G202" s="939"/>
      <c r="H202" s="939"/>
      <c r="I202" s="940"/>
      <c r="J202" s="941"/>
      <c r="K202" s="941"/>
      <c r="L202" s="942"/>
      <c r="M202" s="941"/>
      <c r="N202" s="943"/>
      <c r="O202" s="940"/>
      <c r="P202" s="941"/>
      <c r="Q202" s="941"/>
      <c r="R202" s="942"/>
      <c r="S202" s="941"/>
      <c r="T202" s="943"/>
      <c r="U202" s="942"/>
      <c r="V202" s="941"/>
      <c r="X202" s="942"/>
      <c r="Y202" s="941"/>
      <c r="Z202" s="944"/>
      <c r="AA202" s="769" t="s">
        <v>897</v>
      </c>
      <c r="AB202" s="941">
        <v>100</v>
      </c>
      <c r="AC202" s="941">
        <v>100</v>
      </c>
      <c r="AD202" s="769" t="s">
        <v>897</v>
      </c>
      <c r="AE202" s="941">
        <v>100</v>
      </c>
      <c r="AF202" s="941"/>
      <c r="AG202" s="769" t="s">
        <v>897</v>
      </c>
      <c r="AH202" s="941">
        <v>100</v>
      </c>
      <c r="AI202" s="941"/>
      <c r="AJ202" s="769" t="s">
        <v>897</v>
      </c>
      <c r="AK202" s="941">
        <v>100</v>
      </c>
      <c r="AL202" s="941"/>
      <c r="AM202" s="769" t="s">
        <v>897</v>
      </c>
      <c r="AN202" s="941">
        <v>100</v>
      </c>
      <c r="AO202" s="941"/>
      <c r="AP202" s="769" t="s">
        <v>897</v>
      </c>
      <c r="AQ202" s="941">
        <v>100</v>
      </c>
      <c r="AR202" s="943"/>
      <c r="AS202" s="943"/>
      <c r="AT202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600</v>
      </c>
      <c r="AU202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100</v>
      </c>
      <c r="AV202" s="939"/>
      <c r="AW202" s="939"/>
      <c r="AX202" s="945"/>
      <c r="AY202" s="940"/>
      <c r="AZ202" s="940">
        <f>VLOOKUP(A202,Table6[],30,0)</f>
        <v>0</v>
      </c>
    </row>
    <row r="203" spans="1:52" ht="17.25" customHeight="1">
      <c r="A203" s="568">
        <v>199</v>
      </c>
      <c r="B203" s="569" t="str">
        <f>VLOOKUP(Table1[[#This Row],[šifra]],Table6[],2,0)</f>
        <v>Jachimiám Tünde</v>
      </c>
      <c r="C203" s="370" t="str">
        <f>VLOOKUP(Table1[[#This Row],[šifra]],Table6[],4,0)</f>
        <v>LAURA</v>
      </c>
      <c r="D203" s="277" t="str">
        <f>VLOOKUP(A203,Table6[],21,0)</f>
        <v>GRATIS/ ILI PO NARUDŽBI</v>
      </c>
      <c r="E203" s="314"/>
      <c r="F203" s="313"/>
      <c r="G203" s="1028"/>
      <c r="H203" s="1029"/>
      <c r="I203" s="1030"/>
      <c r="J203" s="315"/>
      <c r="K203" s="315"/>
      <c r="L203" s="704"/>
      <c r="M203" s="315"/>
      <c r="N203" s="1031"/>
      <c r="O203" s="1030"/>
      <c r="P203" s="315"/>
      <c r="Q203" s="315"/>
      <c r="R203" s="704"/>
      <c r="S203" s="315"/>
      <c r="T203" s="1031"/>
      <c r="U203" s="704"/>
      <c r="V203" s="315"/>
      <c r="X203" s="704"/>
      <c r="Y203" s="315"/>
      <c r="Z203" s="1032"/>
      <c r="AA203" s="1030"/>
      <c r="AB203" s="315"/>
      <c r="AC203" s="315"/>
      <c r="AD203" s="704"/>
      <c r="AE203" s="315"/>
      <c r="AF203" s="315"/>
      <c r="AG203" s="704"/>
      <c r="AH203" s="315"/>
      <c r="AI203" s="315"/>
      <c r="AJ203" s="704"/>
      <c r="AK203" s="315"/>
      <c r="AL203" s="315"/>
      <c r="AM203" s="704"/>
      <c r="AN203" s="315"/>
      <c r="AO203" s="315"/>
      <c r="AP203" s="704"/>
      <c r="AQ203" s="315"/>
      <c r="AR203" s="1031"/>
      <c r="AS203" s="1031"/>
      <c r="AT203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3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3" s="1028"/>
      <c r="AW203" s="1028"/>
      <c r="AX203" s="1033"/>
      <c r="AY203" s="1030"/>
      <c r="AZ203" s="1030">
        <f>VLOOKUP(A203,Table6[],30,0)</f>
        <v>0</v>
      </c>
    </row>
    <row r="204" spans="1:52" ht="17.25" customHeight="1">
      <c r="A204" s="568">
        <v>200</v>
      </c>
      <c r="B204" s="569" t="str">
        <f>VLOOKUP(Table1[[#This Row],[šifra]],Table6[],2,0)</f>
        <v>Takács Lászlő Barna</v>
      </c>
      <c r="C204" s="370" t="str">
        <f>VLOOKUP(Table1[[#This Row],[šifra]],Table6[],4,0)</f>
        <v>LAURA</v>
      </c>
      <c r="D204" s="277" t="str">
        <f>VLOOKUP(A204,Table6[],21,0)</f>
        <v>po ponudi</v>
      </c>
      <c r="E204" s="314"/>
      <c r="F204" s="313"/>
      <c r="G204" s="1028"/>
      <c r="H204" s="1029"/>
      <c r="I204" s="1030"/>
      <c r="J204" s="315"/>
      <c r="K204" s="315"/>
      <c r="L204" s="704"/>
      <c r="M204" s="315"/>
      <c r="N204" s="1031"/>
      <c r="O204" s="1030"/>
      <c r="P204" s="315"/>
      <c r="Q204" s="315"/>
      <c r="R204" s="704"/>
      <c r="S204" s="315"/>
      <c r="T204" s="1031"/>
      <c r="U204" s="704"/>
      <c r="V204" s="315"/>
      <c r="X204" s="704"/>
      <c r="Y204" s="315"/>
      <c r="Z204" s="1032"/>
      <c r="AA204" s="1030"/>
      <c r="AB204" s="315"/>
      <c r="AC204" s="315"/>
      <c r="AD204" s="704"/>
      <c r="AE204" s="315"/>
      <c r="AF204" s="315"/>
      <c r="AG204" s="704"/>
      <c r="AH204" s="315"/>
      <c r="AI204" s="315"/>
      <c r="AJ204" s="704"/>
      <c r="AK204" s="315"/>
      <c r="AL204" s="315"/>
      <c r="AM204" s="704"/>
      <c r="AN204" s="315"/>
      <c r="AO204" s="315"/>
      <c r="AP204" s="704"/>
      <c r="AQ204" s="315"/>
      <c r="AR204" s="1031"/>
      <c r="AS204" s="1031"/>
      <c r="AT204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4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4" s="1028"/>
      <c r="AW204" s="1028"/>
      <c r="AX204" s="1033"/>
      <c r="AY204" s="1030"/>
      <c r="AZ204" s="1030">
        <f>VLOOKUP(A204,Table6[],30,0)</f>
        <v>0</v>
      </c>
    </row>
    <row r="205" spans="1:52" ht="17.25" customHeight="1">
      <c r="A205" s="568">
        <v>201</v>
      </c>
      <c r="B205" s="569" t="str">
        <f>VLOOKUP(Table1[[#This Row],[šifra]],Table6[],2,0)</f>
        <v>Vura Péter</v>
      </c>
      <c r="C205" s="370" t="str">
        <f>VLOOKUP(Table1[[#This Row],[šifra]],Table6[],4,0)</f>
        <v>LAURA</v>
      </c>
      <c r="D205" s="277">
        <f>VLOOKUP(A205,Table6[],21,0)</f>
        <v>0</v>
      </c>
      <c r="E205" s="314"/>
      <c r="F205" s="313"/>
      <c r="G205" s="1028"/>
      <c r="H205" s="1029"/>
      <c r="I205" s="1030"/>
      <c r="J205" s="315"/>
      <c r="K205" s="315"/>
      <c r="L205" s="704"/>
      <c r="M205" s="315"/>
      <c r="N205" s="1031"/>
      <c r="O205" s="1030"/>
      <c r="P205" s="315"/>
      <c r="Q205" s="315"/>
      <c r="R205" s="704"/>
      <c r="S205" s="315"/>
      <c r="T205" s="1031"/>
      <c r="U205" s="704"/>
      <c r="V205" s="315"/>
      <c r="X205" s="704"/>
      <c r="Y205" s="315"/>
      <c r="Z205" s="1032"/>
      <c r="AA205" s="1030"/>
      <c r="AB205" s="315"/>
      <c r="AC205" s="315"/>
      <c r="AD205" s="704"/>
      <c r="AE205" s="315"/>
      <c r="AF205" s="315"/>
      <c r="AG205" s="704"/>
      <c r="AH205" s="315"/>
      <c r="AI205" s="315"/>
      <c r="AJ205" s="704"/>
      <c r="AK205" s="315"/>
      <c r="AL205" s="315"/>
      <c r="AM205" s="704"/>
      <c r="AN205" s="315"/>
      <c r="AO205" s="315"/>
      <c r="AP205" s="704"/>
      <c r="AQ205" s="315"/>
      <c r="AR205" s="1031"/>
      <c r="AS205" s="1031"/>
      <c r="AT205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5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5" s="1028"/>
      <c r="AW205" s="1028"/>
      <c r="AX205" s="1033"/>
      <c r="AY205" s="1030"/>
      <c r="AZ205" s="1030">
        <f>VLOOKUP(A205,Table6[],30,0)</f>
        <v>0</v>
      </c>
    </row>
    <row r="206" spans="1:52" ht="17.25" customHeight="1">
      <c r="A206" s="568">
        <v>202</v>
      </c>
      <c r="B206" s="569" t="str">
        <f>VLOOKUP(Table1[[#This Row],[šifra]],Table6[],2,0)</f>
        <v>GENERATE PROSYSTEM IPARI GYARTO  kft</v>
      </c>
      <c r="C206" s="370" t="str">
        <f>VLOOKUP(Table1[[#This Row],[šifra]],Table6[],4,0)</f>
        <v>LAURA</v>
      </c>
      <c r="D206" s="277" t="str">
        <f>VLOOKUP(A206,Table6[],21,0)</f>
        <v xml:space="preserve">100+PDV </v>
      </c>
      <c r="E206" s="314"/>
      <c r="F206" s="313"/>
      <c r="G206" s="1028"/>
      <c r="H206" s="1029"/>
      <c r="I206" s="1030"/>
      <c r="J206" s="315"/>
      <c r="K206" s="315"/>
      <c r="L206" s="704"/>
      <c r="M206" s="315"/>
      <c r="N206" s="1031"/>
      <c r="O206" s="1030"/>
      <c r="P206" s="315"/>
      <c r="Q206" s="315"/>
      <c r="R206" s="704"/>
      <c r="S206" s="315"/>
      <c r="T206" s="1031"/>
      <c r="U206" s="704"/>
      <c r="V206" s="315"/>
      <c r="X206" s="704"/>
      <c r="Y206" s="315"/>
      <c r="Z206" s="1032"/>
      <c r="AA206" s="1030"/>
      <c r="AB206" s="315"/>
      <c r="AC206" s="315"/>
      <c r="AD206" s="704"/>
      <c r="AE206" s="315"/>
      <c r="AF206" s="315"/>
      <c r="AG206" s="704"/>
      <c r="AH206" s="315"/>
      <c r="AI206" s="315"/>
      <c r="AJ206" s="704"/>
      <c r="AK206" s="315"/>
      <c r="AL206" s="315"/>
      <c r="AM206" s="704"/>
      <c r="AN206" s="315"/>
      <c r="AO206" s="315"/>
      <c r="AP206" s="704"/>
      <c r="AQ206" s="315"/>
      <c r="AR206" s="1031"/>
      <c r="AS206" s="1031"/>
      <c r="AT206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6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6" s="1028"/>
      <c r="AW206" s="1028"/>
      <c r="AX206" s="1033"/>
      <c r="AY206" s="1030"/>
      <c r="AZ206" s="1030">
        <f>VLOOKUP(A206,Table6[],30,0)</f>
        <v>0</v>
      </c>
    </row>
    <row r="207" spans="1:52" ht="17.25" customHeight="1">
      <c r="A207" s="568"/>
      <c r="B207" s="569" t="e">
        <f>VLOOKUP(Table1[[#This Row],[šifra]],Table6[],2,0)</f>
        <v>#N/A</v>
      </c>
      <c r="C207" s="370" t="e">
        <f>VLOOKUP(Table1[[#This Row],[šifra]],Table6[],4,0)</f>
        <v>#N/A</v>
      </c>
      <c r="D207" s="277" t="e">
        <f>VLOOKUP(A207,Table6[],21,0)</f>
        <v>#N/A</v>
      </c>
      <c r="E207" s="314"/>
      <c r="F207" s="313"/>
      <c r="G207" s="1028"/>
      <c r="H207" s="1029"/>
      <c r="I207" s="1030"/>
      <c r="J207" s="315"/>
      <c r="K207" s="315"/>
      <c r="L207" s="704"/>
      <c r="M207" s="315"/>
      <c r="N207" s="1031"/>
      <c r="O207" s="1030"/>
      <c r="P207" s="315"/>
      <c r="Q207" s="315"/>
      <c r="R207" s="704"/>
      <c r="S207" s="315"/>
      <c r="T207" s="1031"/>
      <c r="U207" s="704"/>
      <c r="V207" s="315"/>
      <c r="X207" s="704"/>
      <c r="Y207" s="315"/>
      <c r="Z207" s="1032"/>
      <c r="AA207" s="1030"/>
      <c r="AB207" s="315"/>
      <c r="AC207" s="315"/>
      <c r="AD207" s="704"/>
      <c r="AE207" s="315"/>
      <c r="AF207" s="315"/>
      <c r="AG207" s="704"/>
      <c r="AH207" s="315"/>
      <c r="AI207" s="315"/>
      <c r="AJ207" s="704"/>
      <c r="AK207" s="315"/>
      <c r="AL207" s="315"/>
      <c r="AM207" s="704"/>
      <c r="AN207" s="315"/>
      <c r="AO207" s="315"/>
      <c r="AP207" s="704"/>
      <c r="AQ207" s="315"/>
      <c r="AR207" s="1031"/>
      <c r="AS207" s="1031"/>
      <c r="AT207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7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7" s="1028"/>
      <c r="AW207" s="1028"/>
      <c r="AX207" s="1033"/>
      <c r="AY207" s="1030"/>
      <c r="AZ207" s="1030" t="e">
        <f>VLOOKUP(A207,Table6[],30,0)</f>
        <v>#N/A</v>
      </c>
    </row>
    <row r="208" spans="1:52" ht="17.25" customHeight="1">
      <c r="A208" s="568"/>
      <c r="B208" s="569" t="e">
        <f>VLOOKUP(Table1[[#This Row],[šifra]],Table6[],2,0)</f>
        <v>#N/A</v>
      </c>
      <c r="C208" s="370" t="e">
        <f>VLOOKUP(Table1[[#This Row],[šifra]],Table6[],4,0)</f>
        <v>#N/A</v>
      </c>
      <c r="D208" s="277" t="e">
        <f>VLOOKUP(A208,Table6[],21,0)</f>
        <v>#N/A</v>
      </c>
      <c r="E208" s="314"/>
      <c r="F208" s="313"/>
      <c r="G208" s="1028"/>
      <c r="H208" s="1029"/>
      <c r="I208" s="1030"/>
      <c r="J208" s="315"/>
      <c r="K208" s="315"/>
      <c r="L208" s="704"/>
      <c r="M208" s="315"/>
      <c r="N208" s="1031"/>
      <c r="O208" s="1030"/>
      <c r="P208" s="315"/>
      <c r="Q208" s="315"/>
      <c r="R208" s="704"/>
      <c r="S208" s="315"/>
      <c r="T208" s="1031"/>
      <c r="U208" s="704"/>
      <c r="V208" s="315"/>
      <c r="X208" s="704"/>
      <c r="Y208" s="315"/>
      <c r="Z208" s="1032"/>
      <c r="AA208" s="1030"/>
      <c r="AB208" s="315"/>
      <c r="AC208" s="315"/>
      <c r="AD208" s="704"/>
      <c r="AE208" s="315"/>
      <c r="AF208" s="315"/>
      <c r="AG208" s="704"/>
      <c r="AH208" s="315"/>
      <c r="AI208" s="315"/>
      <c r="AJ208" s="704"/>
      <c r="AK208" s="315"/>
      <c r="AL208" s="315"/>
      <c r="AM208" s="704"/>
      <c r="AN208" s="315"/>
      <c r="AO208" s="315"/>
      <c r="AP208" s="704"/>
      <c r="AQ208" s="315"/>
      <c r="AR208" s="1031"/>
      <c r="AS208" s="1031"/>
      <c r="AT208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8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8" s="1028"/>
      <c r="AW208" s="1028"/>
      <c r="AX208" s="1033"/>
      <c r="AY208" s="1030"/>
      <c r="AZ208" s="1030" t="e">
        <f>VLOOKUP(A208,Table6[],30,0)</f>
        <v>#N/A</v>
      </c>
    </row>
    <row r="209" spans="1:52" ht="17.25" customHeight="1">
      <c r="A209" s="568"/>
      <c r="B209" s="569" t="e">
        <f>VLOOKUP(Table1[[#This Row],[šifra]],Table6[],2,0)</f>
        <v>#N/A</v>
      </c>
      <c r="C209" s="370" t="e">
        <f>VLOOKUP(Table1[[#This Row],[šifra]],Table6[],4,0)</f>
        <v>#N/A</v>
      </c>
      <c r="D209" s="277" t="e">
        <f>VLOOKUP(A209,Table6[],21,0)</f>
        <v>#N/A</v>
      </c>
      <c r="E209" s="314"/>
      <c r="F209" s="313"/>
      <c r="G209" s="1028"/>
      <c r="H209" s="1029"/>
      <c r="I209" s="1030"/>
      <c r="J209" s="315"/>
      <c r="K209" s="315"/>
      <c r="L209" s="704"/>
      <c r="M209" s="315"/>
      <c r="N209" s="1031"/>
      <c r="O209" s="1030"/>
      <c r="P209" s="315"/>
      <c r="Q209" s="315"/>
      <c r="R209" s="704"/>
      <c r="S209" s="315"/>
      <c r="T209" s="1031"/>
      <c r="U209" s="704"/>
      <c r="V209" s="315"/>
      <c r="X209" s="704"/>
      <c r="Y209" s="315"/>
      <c r="Z209" s="1032"/>
      <c r="AA209" s="1030"/>
      <c r="AB209" s="315"/>
      <c r="AC209" s="315"/>
      <c r="AD209" s="704"/>
      <c r="AE209" s="315"/>
      <c r="AF209" s="315"/>
      <c r="AG209" s="704"/>
      <c r="AH209" s="315"/>
      <c r="AI209" s="315"/>
      <c r="AJ209" s="704"/>
      <c r="AK209" s="315"/>
      <c r="AL209" s="315"/>
      <c r="AM209" s="704"/>
      <c r="AN209" s="315"/>
      <c r="AO209" s="315"/>
      <c r="AP209" s="704"/>
      <c r="AQ209" s="315"/>
      <c r="AR209" s="1031"/>
      <c r="AS209" s="1031"/>
      <c r="AT209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09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09" s="1028"/>
      <c r="AW209" s="1028"/>
      <c r="AX209" s="1033"/>
      <c r="AY209" s="1030"/>
      <c r="AZ209" s="1030" t="e">
        <f>VLOOKUP(A209,Table6[],30,0)</f>
        <v>#N/A</v>
      </c>
    </row>
    <row r="210" spans="1:52" ht="17.25" customHeight="1">
      <c r="A210" s="568"/>
      <c r="B210" s="569" t="e">
        <f>VLOOKUP(Table1[[#This Row],[šifra]],Table6[],2,0)</f>
        <v>#N/A</v>
      </c>
      <c r="C210" s="370" t="e">
        <f>VLOOKUP(Table1[[#This Row],[šifra]],Table6[],4,0)</f>
        <v>#N/A</v>
      </c>
      <c r="D210" s="277" t="e">
        <f>VLOOKUP(A210,Table6[],21,0)</f>
        <v>#N/A</v>
      </c>
      <c r="E210" s="314"/>
      <c r="F210" s="313"/>
      <c r="G210" s="1028"/>
      <c r="H210" s="1029"/>
      <c r="I210" s="1030"/>
      <c r="J210" s="315"/>
      <c r="K210" s="315"/>
      <c r="L210" s="704"/>
      <c r="M210" s="315"/>
      <c r="N210" s="1031"/>
      <c r="O210" s="1030"/>
      <c r="P210" s="315"/>
      <c r="Q210" s="315"/>
      <c r="R210" s="704"/>
      <c r="S210" s="315"/>
      <c r="T210" s="1031"/>
      <c r="U210" s="704"/>
      <c r="V210" s="315"/>
      <c r="X210" s="704"/>
      <c r="Y210" s="315"/>
      <c r="Z210" s="1032"/>
      <c r="AA210" s="1030"/>
      <c r="AB210" s="315"/>
      <c r="AC210" s="315"/>
      <c r="AD210" s="704"/>
      <c r="AE210" s="315"/>
      <c r="AF210" s="315"/>
      <c r="AG210" s="704"/>
      <c r="AH210" s="315"/>
      <c r="AI210" s="315"/>
      <c r="AJ210" s="704"/>
      <c r="AK210" s="315"/>
      <c r="AL210" s="315"/>
      <c r="AM210" s="704"/>
      <c r="AN210" s="315"/>
      <c r="AO210" s="315"/>
      <c r="AP210" s="704"/>
      <c r="AQ210" s="315"/>
      <c r="AR210" s="1031"/>
      <c r="AS210" s="1031"/>
      <c r="AT210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10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10" s="1028"/>
      <c r="AW210" s="1028"/>
      <c r="AX210" s="1033"/>
      <c r="AY210" s="1030"/>
      <c r="AZ210" s="1030" t="e">
        <f>VLOOKUP(A210,Table6[],30,0)</f>
        <v>#N/A</v>
      </c>
    </row>
    <row r="211" spans="1:52" ht="17.25" customHeight="1">
      <c r="A211" s="568"/>
      <c r="B211" s="569" t="e">
        <f>VLOOKUP(Table1[[#This Row],[šifra]],Table6[],2,0)</f>
        <v>#N/A</v>
      </c>
      <c r="C211" s="370" t="e">
        <f>VLOOKUP(Table1[[#This Row],[šifra]],Table6[],4,0)</f>
        <v>#N/A</v>
      </c>
      <c r="D211" s="277" t="e">
        <f>VLOOKUP(A211,Table6[],21,0)</f>
        <v>#N/A</v>
      </c>
      <c r="E211" s="314"/>
      <c r="F211" s="313"/>
      <c r="G211" s="1028"/>
      <c r="H211" s="1029"/>
      <c r="I211" s="1030"/>
      <c r="J211" s="315"/>
      <c r="K211" s="315"/>
      <c r="L211" s="704"/>
      <c r="M211" s="315"/>
      <c r="N211" s="1031"/>
      <c r="O211" s="1030"/>
      <c r="P211" s="315"/>
      <c r="Q211" s="315"/>
      <c r="R211" s="704"/>
      <c r="S211" s="315"/>
      <c r="T211" s="1031"/>
      <c r="U211" s="704"/>
      <c r="V211" s="315"/>
      <c r="X211" s="704"/>
      <c r="Y211" s="315"/>
      <c r="Z211" s="1032"/>
      <c r="AA211" s="1030"/>
      <c r="AB211" s="315"/>
      <c r="AC211" s="315"/>
      <c r="AD211" s="704"/>
      <c r="AE211" s="315"/>
      <c r="AF211" s="315"/>
      <c r="AG211" s="704"/>
      <c r="AH211" s="315"/>
      <c r="AI211" s="315"/>
      <c r="AJ211" s="704"/>
      <c r="AK211" s="315"/>
      <c r="AL211" s="315"/>
      <c r="AM211" s="704"/>
      <c r="AN211" s="315"/>
      <c r="AO211" s="315"/>
      <c r="AP211" s="704"/>
      <c r="AQ211" s="315"/>
      <c r="AR211" s="1031"/>
      <c r="AS211" s="1031"/>
      <c r="AT211" s="1031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11" s="1031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11" s="1028"/>
      <c r="AW211" s="1028"/>
      <c r="AX211" s="1033"/>
      <c r="AY211" s="1030"/>
      <c r="AZ211" s="1030" t="e">
        <f>VLOOKUP(A211,Table6[],30,0)</f>
        <v>#N/A</v>
      </c>
    </row>
    <row r="212" spans="1:52" ht="32.25" customHeight="1">
      <c r="A212" s="933">
        <v>210</v>
      </c>
      <c r="B212" s="934" t="e">
        <f>VLOOKUP(Table1[[#This Row],[šifra]],Table6[],2,0)</f>
        <v>#N/A</v>
      </c>
      <c r="C212" s="935" t="e">
        <f>VLOOKUP(Table1[[#This Row],[šifra]],Table6[],4,0)</f>
        <v>#N/A</v>
      </c>
      <c r="D212" s="936" t="e">
        <f>VLOOKUP(A212,Table6[],21,0)</f>
        <v>#N/A</v>
      </c>
      <c r="E212" s="314" t="str">
        <f>IF(poduzeća!AE216="","",poduzeća!AE216)</f>
        <v/>
      </c>
      <c r="F212" s="313" t="str">
        <f>IF(poduzeća!AF216="","",poduzeća!AF216)</f>
        <v/>
      </c>
      <c r="G212" s="939"/>
      <c r="H212" s="939"/>
      <c r="I212" s="940"/>
      <c r="J212" s="941"/>
      <c r="K212" s="941"/>
      <c r="L212" s="942"/>
      <c r="M212" s="941"/>
      <c r="N212" s="943"/>
      <c r="O212" s="940"/>
      <c r="P212" s="941"/>
      <c r="Q212" s="941"/>
      <c r="R212" s="942"/>
      <c r="S212" s="941"/>
      <c r="T212" s="943"/>
      <c r="U212" s="942"/>
      <c r="V212" s="941"/>
      <c r="X212" s="942"/>
      <c r="Y212" s="941"/>
      <c r="Z212" s="944"/>
      <c r="AA212" s="940"/>
      <c r="AB212" s="941"/>
      <c r="AC212" s="941"/>
      <c r="AD212" s="942"/>
      <c r="AE212" s="941"/>
      <c r="AF212" s="941"/>
      <c r="AG212" s="942"/>
      <c r="AH212" s="941"/>
      <c r="AI212" s="941"/>
      <c r="AJ212" s="942"/>
      <c r="AK212" s="941"/>
      <c r="AL212" s="941"/>
      <c r="AM212" s="942"/>
      <c r="AN212" s="941"/>
      <c r="AO212" s="941"/>
      <c r="AP212" s="942"/>
      <c r="AQ212" s="941"/>
      <c r="AR212" s="943"/>
      <c r="AS212" s="943"/>
      <c r="AT212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12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12" s="939"/>
      <c r="AW212" s="939"/>
      <c r="AX212" s="945"/>
      <c r="AY212" s="940"/>
      <c r="AZ212" s="940" t="e">
        <f>VLOOKUP(A212,Table6[],30,0)</f>
        <v>#N/A</v>
      </c>
    </row>
    <row r="213" spans="1:52" ht="17.25" customHeight="1">
      <c r="A213" s="933"/>
      <c r="B213" s="934" t="e">
        <f>VLOOKUP(Table1[[#This Row],[šifra]],Table6[],2,0)</f>
        <v>#N/A</v>
      </c>
      <c r="C213" s="935" t="e">
        <f>VLOOKUP(Table1[[#This Row],[šifra]],Table6[],4,0)</f>
        <v>#N/A</v>
      </c>
      <c r="D213" s="936" t="e">
        <f>VLOOKUP(A213,Table6[],21,0)</f>
        <v>#N/A</v>
      </c>
      <c r="E213" s="937"/>
      <c r="F213" s="938"/>
      <c r="G213" s="939"/>
      <c r="H213" s="939"/>
      <c r="I213" s="940"/>
      <c r="J213" s="941"/>
      <c r="K213" s="941"/>
      <c r="L213" s="942"/>
      <c r="M213" s="941"/>
      <c r="N213" s="943"/>
      <c r="O213" s="940"/>
      <c r="P213" s="941"/>
      <c r="Q213" s="941"/>
      <c r="R213" s="942"/>
      <c r="S213" s="941"/>
      <c r="T213" s="943"/>
      <c r="U213" s="942"/>
      <c r="V213" s="941"/>
      <c r="X213" s="942"/>
      <c r="Y213" s="941"/>
      <c r="Z213" s="944"/>
      <c r="AA213" s="940"/>
      <c r="AB213" s="941"/>
      <c r="AC213" s="941"/>
      <c r="AD213" s="942"/>
      <c r="AE213" s="941"/>
      <c r="AF213" s="941"/>
      <c r="AG213" s="942"/>
      <c r="AH213" s="941"/>
      <c r="AI213" s="941"/>
      <c r="AJ213" s="942"/>
      <c r="AK213" s="941"/>
      <c r="AL213" s="941"/>
      <c r="AM213" s="942"/>
      <c r="AN213" s="941"/>
      <c r="AO213" s="941"/>
      <c r="AP213" s="942"/>
      <c r="AQ213" s="941"/>
      <c r="AR213" s="943"/>
      <c r="AS213" s="943"/>
      <c r="AT213" s="943">
        <f>Table1[[#This Row],[1planiran]]+Table1[[#This Row],[2planirano]]+Table1[[#This Row],[3 plan]]+Table1[[#This Row],[4 plan]]+Table1[[#This Row],[5 plan]]+Table1[[#This Row],[6 plan]]+Table1[[#This Row],[7 plan]]+Table1[[#This Row],[8plan]]+Table1[[#This Row],[9plan]]+Table1[[#This Row],[10plan]]+Table1[[#This Row],[11plan]]+Table1[[#This Row],[12plan]]</f>
        <v>0</v>
      </c>
      <c r="AU213" s="943">
        <f>Table1[[#This Row],[1.ost]]+Table1[[#This Row],[2.ost]]+Table1[[#This Row],[3. ost]]+Table1[[#This Row],[4 ost]]+Table1[[#This Row],[5 ost]]+Table1[[#This Row],[6.ost]]+Table1[[#This Row],[7 ost]]+Table1[[#This Row],[8.ost]]+Table1[[#This Row],[9 ost]]+Table1[[#This Row],[10 ost]]+Table1[[#This Row],[11 ost]]+Table1[[#This Row],[12 ost]]</f>
        <v>0</v>
      </c>
      <c r="AV213" s="939"/>
      <c r="AW213" s="939"/>
      <c r="AX213" s="945"/>
      <c r="AY213" s="940"/>
      <c r="AZ213" s="940" t="e">
        <f>VLOOKUP(A213,Table6[],30,0)</f>
        <v>#N/A</v>
      </c>
    </row>
    <row r="214" spans="1:52" ht="17.25" customHeight="1">
      <c r="A214" s="811"/>
      <c r="B214" s="812"/>
      <c r="D214" s="278"/>
      <c r="E214" s="278"/>
      <c r="F214" s="341"/>
      <c r="G214" s="279">
        <f>SUBTOTAL(109,Table1[Fuj 29.06.2026 sa pdv-om])</f>
        <v>35804.120000000003</v>
      </c>
      <c r="H214" s="279">
        <f>SUBTOTAL(109,Table1[ZA FRANŠIZU])</f>
        <v>1949.8799999999999</v>
      </c>
      <c r="J214" s="312">
        <f>SUBTOTAL(109,Table1[1planiran])</f>
        <v>12357.543</v>
      </c>
      <c r="K214" s="312">
        <f>SUBTOTAL(109,Table1[1.ost])</f>
        <v>13424.66</v>
      </c>
      <c r="L214" s="312"/>
      <c r="M214" s="312">
        <f>SUBTOTAL(109,Table1[2planirano])</f>
        <v>15229.35</v>
      </c>
      <c r="N214" s="312">
        <f>SUBTOTAL(109,Table1[2.ost])</f>
        <v>13620.41</v>
      </c>
      <c r="O214" s="312"/>
      <c r="P214" s="312">
        <f>SUBTOTAL(109,Table1[3 plan])</f>
        <v>14286.3</v>
      </c>
      <c r="Q214" s="312">
        <f>SUBTOTAL(109,Table1[3. ost])</f>
        <v>18450.309999999998</v>
      </c>
      <c r="R214" s="312"/>
      <c r="S214" s="312">
        <f>SUBTOTAL(109,Table1[4 plan])</f>
        <v>11939.3</v>
      </c>
      <c r="T214" s="312">
        <f>SUBTOTAL(109,Table1[4 ost])</f>
        <v>19797.86</v>
      </c>
      <c r="U214" s="312"/>
      <c r="V214" s="312">
        <f>SUBTOTAL(109,Table1[5 plan])</f>
        <v>12777.55</v>
      </c>
      <c r="W214" s="883">
        <f>SUBTOTAL(109,Table1[5 ost])</f>
        <v>13550.46</v>
      </c>
      <c r="X214" s="312"/>
      <c r="Y214" s="312">
        <f>SUBTOTAL(109,Table1[6 plan])</f>
        <v>14798.55</v>
      </c>
      <c r="Z214" s="883">
        <f>SUBTOTAL(109,Table1[6.ost])</f>
        <v>15159.899999999996</v>
      </c>
      <c r="AA214" s="312"/>
      <c r="AB214" s="312">
        <f>SUBTOTAL(109,Table1[7 plan])</f>
        <v>14372.25</v>
      </c>
      <c r="AC214" s="312">
        <f>SUBTOTAL(109,Table1[7 ost])</f>
        <v>16355.43</v>
      </c>
      <c r="AD214" s="312"/>
      <c r="AE214" s="312">
        <f>SUBTOTAL(109,Table1[8plan])</f>
        <v>11970.75</v>
      </c>
      <c r="AF214" s="312">
        <f>SUBTOTAL(109,Table1[8.ost])</f>
        <v>3747.5</v>
      </c>
      <c r="AG214" s="312"/>
      <c r="AH214" s="312">
        <f>SUBTOTAL(109,Table1[9plan])</f>
        <v>14094.75</v>
      </c>
      <c r="AI214" s="312">
        <f>SUBTOTAL(109,Table1[9 ost])</f>
        <v>0</v>
      </c>
      <c r="AJ214" s="312"/>
      <c r="AK214" s="312">
        <f>SUBTOTAL(109,Table1[10plan])</f>
        <v>12142.25</v>
      </c>
      <c r="AL214" s="38">
        <f>SUBTOTAL(109,Table1[10 ost])</f>
        <v>0</v>
      </c>
      <c r="AM214" s="38"/>
      <c r="AN214" s="38">
        <f>SUBTOTAL(109,Table1[11plan])</f>
        <v>12702.25</v>
      </c>
      <c r="AO214" s="38">
        <f>SUBTOTAL(109,Table1[11 ost])</f>
        <v>0</v>
      </c>
      <c r="AP214" s="38"/>
      <c r="AQ214" s="38">
        <f>SUBTOTAL(109,Table1[12plan])</f>
        <v>15142.75</v>
      </c>
      <c r="AR214" s="38">
        <f>SUBTOTAL(109,Table1[12 ost])</f>
        <v>0</v>
      </c>
      <c r="AS214" s="38"/>
      <c r="AT214" s="119">
        <f>SUBTOTAL(109,Table1[ukupno planirano])</f>
        <v>159993.59299999999</v>
      </c>
      <c r="AU214" s="119" t="e">
        <f>SUBTOTAL(109,Table1[ukupno ostvareno])</f>
        <v>#VALUE!</v>
      </c>
      <c r="AV214" s="38">
        <f>SUBTOTAL(109,Table1[PC-SJ])</f>
        <v>45292</v>
      </c>
      <c r="AW214" s="38">
        <f>SUBTOTAL(109,Table1[ostvareno iznos u toku godine])</f>
        <v>0</v>
      </c>
      <c r="AX214" s="98">
        <f>SUBTOTAL(109,Table1[Column1])</f>
        <v>0</v>
      </c>
      <c r="AY214" s="38">
        <f>SUBTOTAL(109,Table1[Column2])</f>
        <v>0</v>
      </c>
      <c r="AZ214" s="38"/>
    </row>
    <row r="215" spans="1:52" ht="17.25" customHeight="1">
      <c r="AO215" s="114">
        <f>550/3</f>
        <v>183.33333333333334</v>
      </c>
    </row>
    <row r="216" spans="1:52" ht="15" customHeight="1"/>
    <row r="217" spans="1:52" ht="17.25" customHeight="1"/>
    <row r="218" spans="1:52" ht="15" customHeight="1"/>
    <row r="219" spans="1:52" ht="15" customHeight="1"/>
    <row r="220" spans="1:52" ht="15" customHeight="1"/>
    <row r="221" spans="1:52" ht="15.75" customHeight="1"/>
    <row r="224" spans="1:52" ht="17.25" customHeight="1"/>
    <row r="225" spans="1:52" ht="15" customHeight="1"/>
    <row r="226" spans="1:52" ht="17.25" customHeight="1"/>
    <row r="227" spans="1:52" s="75" customFormat="1" ht="15.75" customHeight="1">
      <c r="A227" s="274"/>
      <c r="B227" s="274"/>
      <c r="C227" s="146"/>
      <c r="D227" s="274"/>
      <c r="E227" s="274"/>
      <c r="F227" s="280"/>
      <c r="G227" s="279"/>
      <c r="H227" s="279"/>
      <c r="I227" s="147"/>
      <c r="J227" s="274"/>
      <c r="K227" s="274"/>
      <c r="L227" s="274"/>
      <c r="M227" s="280"/>
      <c r="N227" s="280"/>
      <c r="O227" s="274"/>
      <c r="P227" s="280"/>
      <c r="Q227" s="280"/>
      <c r="R227" s="274"/>
      <c r="S227" s="280"/>
      <c r="T227" s="280"/>
      <c r="U227" s="274"/>
      <c r="V227" s="280"/>
      <c r="W227" s="281"/>
      <c r="X227" s="274"/>
      <c r="Y227" s="280"/>
      <c r="Z227" s="281"/>
      <c r="AA227" s="274"/>
      <c r="AB227" s="280"/>
      <c r="AC227" s="280"/>
      <c r="AD227" s="274"/>
      <c r="AE227" s="280"/>
      <c r="AF227" s="280"/>
      <c r="AG227" s="274"/>
      <c r="AH227" s="280"/>
      <c r="AI227" s="280"/>
      <c r="AJ227" s="274"/>
      <c r="AK227" s="280"/>
      <c r="AL227" s="114"/>
      <c r="AM227"/>
      <c r="AN227" s="114"/>
      <c r="AO227" s="114"/>
      <c r="AP227"/>
      <c r="AQ227" s="114"/>
      <c r="AR227" s="114"/>
      <c r="AS227" s="114"/>
      <c r="AT227" s="115"/>
      <c r="AU227" s="115"/>
      <c r="AV227"/>
      <c r="AW227"/>
      <c r="AX227" s="4"/>
      <c r="AY227"/>
      <c r="AZ227"/>
    </row>
    <row r="228" spans="1:52" ht="15" customHeight="1"/>
    <row r="229" spans="1:52" ht="15" customHeight="1"/>
    <row r="230" spans="1:52" ht="15" customHeight="1"/>
    <row r="231" spans="1:52" ht="15" customHeight="1"/>
    <row r="232" spans="1:52" ht="15" customHeight="1"/>
    <row r="233" spans="1:52" ht="16.5" customHeight="1"/>
    <row r="234" spans="1:52" ht="15" customHeight="1"/>
    <row r="235" spans="1:52" ht="15" customHeight="1"/>
    <row r="236" spans="1:52" ht="15" customHeight="1"/>
    <row r="237" spans="1:52" ht="15" customHeight="1"/>
    <row r="238" spans="1:52" ht="15" customHeight="1"/>
    <row r="241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spans="1:52" ht="15" customHeight="1"/>
    <row r="258" spans="1:52" ht="15" customHeight="1"/>
    <row r="259" spans="1:52" ht="15" customHeight="1"/>
    <row r="260" spans="1:52" ht="15" customHeight="1"/>
    <row r="261" spans="1:52" ht="15" customHeight="1"/>
    <row r="262" spans="1:52" ht="15" customHeight="1"/>
    <row r="263" spans="1:52" s="99" customFormat="1" ht="15" customHeight="1">
      <c r="A263" s="274"/>
      <c r="B263" s="274"/>
      <c r="C263" s="146"/>
      <c r="D263" s="274"/>
      <c r="E263" s="274"/>
      <c r="F263" s="280"/>
      <c r="G263" s="279"/>
      <c r="H263" s="279"/>
      <c r="I263" s="147"/>
      <c r="J263" s="274"/>
      <c r="K263" s="274"/>
      <c r="L263" s="274"/>
      <c r="M263" s="280"/>
      <c r="N263" s="280"/>
      <c r="O263" s="274"/>
      <c r="P263" s="280"/>
      <c r="Q263" s="280"/>
      <c r="R263" s="274"/>
      <c r="S263" s="280"/>
      <c r="T263" s="280"/>
      <c r="U263" s="274"/>
      <c r="V263" s="280"/>
      <c r="W263" s="281"/>
      <c r="X263" s="274"/>
      <c r="Y263" s="280"/>
      <c r="Z263" s="281"/>
      <c r="AA263" s="274"/>
      <c r="AB263" s="280"/>
      <c r="AC263" s="280"/>
      <c r="AD263" s="274"/>
      <c r="AE263" s="280"/>
      <c r="AF263" s="280"/>
      <c r="AG263" s="274"/>
      <c r="AH263" s="280"/>
      <c r="AI263" s="280"/>
      <c r="AJ263" s="274"/>
      <c r="AK263" s="280"/>
      <c r="AL263" s="114"/>
      <c r="AM263"/>
      <c r="AN263" s="114"/>
      <c r="AO263" s="114"/>
      <c r="AP263"/>
      <c r="AQ263" s="114"/>
      <c r="AR263" s="114"/>
      <c r="AS263" s="114"/>
      <c r="AT263" s="115"/>
      <c r="AU263" s="115"/>
      <c r="AV263"/>
      <c r="AW263"/>
      <c r="AX263" s="4"/>
      <c r="AY263"/>
      <c r="AZ263"/>
    </row>
    <row r="264" spans="1:52" ht="15" customHeight="1"/>
    <row r="265" spans="1:52" ht="15" customHeight="1"/>
    <row r="266" spans="1:52" ht="15" customHeight="1"/>
    <row r="267" spans="1:52" ht="15" customHeight="1"/>
    <row r="268" spans="1:52" ht="15" customHeight="1"/>
    <row r="269" spans="1:52" ht="15" customHeight="1"/>
    <row r="270" spans="1:52" ht="15" customHeight="1"/>
    <row r="271" spans="1:52" ht="15" customHeight="1"/>
    <row r="272" spans="1:52" ht="15" customHeight="1"/>
    <row r="293" ht="25.5" customHeight="1"/>
  </sheetData>
  <phoneticPr fontId="263" type="noConversion"/>
  <pageMargins left="0.7" right="0.7" top="0.75" bottom="0.75" header="0.3" footer="0.3"/>
  <pageSetup paperSize="9" scale="20" fitToHeight="0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AV207"/>
  <sheetViews>
    <sheetView tabSelected="1" showWhiteSpace="0" zoomScaleNormal="100" workbookViewId="0">
      <pane ySplit="5" topLeftCell="A201" activePane="bottomLeft" state="frozen"/>
      <selection pane="bottomLeft" activeCell="I212" sqref="I212"/>
    </sheetView>
  </sheetViews>
  <sheetFormatPr defaultColWidth="9" defaultRowHeight="15"/>
  <cols>
    <col min="1" max="1" width="7.28515625" customWidth="1"/>
    <col min="2" max="2" width="27.85546875" customWidth="1"/>
    <col min="3" max="3" width="11.28515625" customWidth="1"/>
    <col min="4" max="4" width="24" bestFit="1" customWidth="1"/>
    <col min="5" max="5" width="35.42578125" customWidth="1"/>
    <col min="6" max="6" width="9" customWidth="1"/>
    <col min="7" max="7" width="10.42578125" customWidth="1"/>
    <col min="8" max="8" width="9.140625" customWidth="1"/>
    <col min="9" max="9" width="34" customWidth="1"/>
    <col min="10" max="10" width="11.42578125" hidden="1" customWidth="1"/>
    <col min="11" max="11" width="10.28515625" hidden="1" customWidth="1"/>
    <col min="12" max="12" width="12.7109375" hidden="1" customWidth="1"/>
    <col min="13" max="13" width="20.5703125" style="4" hidden="1" customWidth="1"/>
    <col min="14" max="14" width="14.7109375" hidden="1" customWidth="1"/>
    <col min="15" max="15" width="6.7109375" hidden="1" customWidth="1"/>
    <col min="16" max="16" width="11.140625" hidden="1" customWidth="1"/>
    <col min="17" max="17" width="11.42578125" hidden="1" customWidth="1"/>
    <col min="18" max="18" width="12.7109375" hidden="1" customWidth="1"/>
    <col min="19" max="19" width="18.7109375" hidden="1" customWidth="1"/>
    <col min="20" max="20" width="18.140625" hidden="1" customWidth="1"/>
    <col min="21" max="21" width="15.5703125" hidden="1" customWidth="1"/>
    <col min="22" max="22" width="14.42578125" hidden="1" customWidth="1"/>
    <col min="23" max="23" width="28.140625" hidden="1" customWidth="1"/>
    <col min="24" max="24" width="9.140625" hidden="1" customWidth="1"/>
    <col min="25" max="25" width="13" hidden="1" customWidth="1"/>
    <col min="26" max="26" width="19.140625" hidden="1" customWidth="1"/>
    <col min="27" max="27" width="26.7109375" hidden="1" customWidth="1"/>
    <col min="28" max="28" width="26.140625" hidden="1" customWidth="1"/>
    <col min="29" max="29" width="14.28515625" hidden="1" customWidth="1"/>
    <col min="30" max="30" width="17.85546875" hidden="1" customWidth="1"/>
    <col min="31" max="31" width="27.42578125" hidden="1" customWidth="1"/>
    <col min="32" max="32" width="22.28515625" customWidth="1"/>
    <col min="33" max="33" width="19.7109375" customWidth="1"/>
    <col min="34" max="34" width="22.42578125" customWidth="1"/>
    <col min="35" max="35" width="16.7109375" customWidth="1"/>
    <col min="36" max="36" width="21.7109375" customWidth="1"/>
    <col min="37" max="37" width="21.42578125" customWidth="1"/>
    <col min="38" max="38" width="13.7109375" customWidth="1"/>
    <col min="39" max="39" width="14.7109375" customWidth="1"/>
    <col min="40" max="40" width="36" customWidth="1"/>
    <col min="41" max="41" width="15.42578125" customWidth="1"/>
    <col min="42" max="42" width="12.42578125" customWidth="1"/>
    <col min="43" max="43" width="29" customWidth="1"/>
    <col min="44" max="44" width="16.28515625" customWidth="1"/>
    <col min="45" max="45" width="12" customWidth="1"/>
    <col min="46" max="46" width="17.140625" customWidth="1"/>
  </cols>
  <sheetData>
    <row r="2" spans="1:48">
      <c r="J2" t="s">
        <v>204</v>
      </c>
      <c r="K2" t="s">
        <v>205</v>
      </c>
    </row>
    <row r="3" spans="1:48">
      <c r="H3" s="1093" t="s">
        <v>962</v>
      </c>
      <c r="I3" s="1093"/>
    </row>
    <row r="4" spans="1:48">
      <c r="F4" s="1090" t="s">
        <v>206</v>
      </c>
      <c r="G4" s="1090"/>
      <c r="H4" s="1090">
        <v>2025</v>
      </c>
      <c r="I4" s="1090"/>
      <c r="J4" s="1090" t="s">
        <v>207</v>
      </c>
      <c r="K4" s="1090"/>
      <c r="M4" s="77" t="s">
        <v>208</v>
      </c>
      <c r="N4" s="77"/>
      <c r="O4" s="93"/>
      <c r="P4" s="1096" t="s">
        <v>209</v>
      </c>
      <c r="Q4" s="1096"/>
      <c r="R4" s="94"/>
      <c r="S4" s="1090" t="s">
        <v>210</v>
      </c>
      <c r="T4" s="1090"/>
      <c r="U4" s="1090"/>
      <c r="V4" s="1090" t="s">
        <v>211</v>
      </c>
      <c r="W4" s="1090"/>
      <c r="X4" s="1090"/>
      <c r="Y4" s="1089" t="s">
        <v>811</v>
      </c>
      <c r="Z4" s="1090"/>
      <c r="AA4" s="1090"/>
      <c r="AB4" s="1090"/>
      <c r="AC4" s="1091" t="s">
        <v>212</v>
      </c>
      <c r="AD4" s="1091"/>
      <c r="AE4" s="1091"/>
      <c r="AF4" s="1092" t="s">
        <v>213</v>
      </c>
      <c r="AG4" s="1092"/>
      <c r="AH4" s="1092"/>
      <c r="AI4" s="1094" t="s">
        <v>814</v>
      </c>
      <c r="AJ4" s="1095"/>
      <c r="AK4" s="1095"/>
      <c r="AL4" s="1086">
        <v>10</v>
      </c>
      <c r="AM4" s="1086"/>
      <c r="AN4" s="1086"/>
      <c r="AO4" s="1087">
        <v>11</v>
      </c>
      <c r="AP4" s="1087"/>
      <c r="AQ4" s="1087"/>
      <c r="AR4" s="1088">
        <v>12</v>
      </c>
      <c r="AS4" s="1088"/>
      <c r="AT4" s="1088"/>
      <c r="AU4" s="39"/>
      <c r="AV4" s="39"/>
    </row>
    <row r="5" spans="1:48" ht="39">
      <c r="A5" s="84" t="s">
        <v>0</v>
      </c>
      <c r="B5" s="85" t="s">
        <v>151</v>
      </c>
      <c r="C5" s="86" t="s">
        <v>152</v>
      </c>
      <c r="D5" s="86" t="s">
        <v>3</v>
      </c>
      <c r="E5" s="86" t="s">
        <v>214</v>
      </c>
      <c r="F5" s="86" t="s">
        <v>215</v>
      </c>
      <c r="G5" s="87" t="s">
        <v>216</v>
      </c>
      <c r="H5" s="86" t="s">
        <v>960</v>
      </c>
      <c r="I5" s="92" t="s">
        <v>217</v>
      </c>
      <c r="J5" s="133" t="s">
        <v>241</v>
      </c>
      <c r="K5" s="133" t="s">
        <v>242</v>
      </c>
      <c r="L5" t="s">
        <v>220</v>
      </c>
      <c r="M5" s="134" t="s">
        <v>218</v>
      </c>
      <c r="N5" s="133" t="s">
        <v>219</v>
      </c>
      <c r="O5" t="s">
        <v>223</v>
      </c>
      <c r="P5" s="133" t="s">
        <v>221</v>
      </c>
      <c r="Q5" s="133" t="s">
        <v>222</v>
      </c>
      <c r="R5" s="133" t="s">
        <v>805</v>
      </c>
      <c r="S5" s="133" t="s">
        <v>806</v>
      </c>
      <c r="T5" s="133" t="s">
        <v>224</v>
      </c>
      <c r="U5" t="s">
        <v>225</v>
      </c>
      <c r="V5" s="133" t="s">
        <v>807</v>
      </c>
      <c r="W5" s="133" t="s">
        <v>808</v>
      </c>
      <c r="X5" s="133" t="s">
        <v>809</v>
      </c>
      <c r="Y5" s="133" t="s">
        <v>226</v>
      </c>
      <c r="Z5" s="133" t="s">
        <v>227</v>
      </c>
      <c r="AA5" s="95" t="s">
        <v>230</v>
      </c>
      <c r="AB5" s="95" t="s">
        <v>810</v>
      </c>
      <c r="AC5" s="133" t="s">
        <v>228</v>
      </c>
      <c r="AD5" s="133" t="s">
        <v>229</v>
      </c>
      <c r="AE5" s="133" t="s">
        <v>812</v>
      </c>
      <c r="AF5" s="133" t="s">
        <v>231</v>
      </c>
      <c r="AG5" s="133" t="s">
        <v>232</v>
      </c>
      <c r="AH5" s="133" t="s">
        <v>813</v>
      </c>
      <c r="AI5" s="133" t="s">
        <v>233</v>
      </c>
      <c r="AJ5" s="133" t="s">
        <v>234</v>
      </c>
      <c r="AK5" s="133" t="s">
        <v>815</v>
      </c>
      <c r="AL5" s="133" t="s">
        <v>235</v>
      </c>
      <c r="AM5" s="133" t="s">
        <v>236</v>
      </c>
      <c r="AN5" s="133" t="s">
        <v>816</v>
      </c>
      <c r="AO5" s="133" t="s">
        <v>237</v>
      </c>
      <c r="AP5" s="133" t="s">
        <v>238</v>
      </c>
      <c r="AQ5" s="133" t="s">
        <v>817</v>
      </c>
      <c r="AR5" s="133" t="s">
        <v>239</v>
      </c>
      <c r="AS5" s="133" t="s">
        <v>240</v>
      </c>
      <c r="AT5" s="133" t="s">
        <v>818</v>
      </c>
      <c r="AU5" s="133" t="s">
        <v>16</v>
      </c>
      <c r="AV5" t="s">
        <v>243</v>
      </c>
    </row>
    <row r="6" spans="1:48" ht="30">
      <c r="A6" s="88">
        <v>1</v>
      </c>
      <c r="B6" s="89" t="str">
        <f>VLOOKUP(Table17[[#This Row],[šifra]],Table6[],2,0)</f>
        <v>38 grad</v>
      </c>
      <c r="C6" s="90">
        <f>VLOOKUP(Table17[[#This Row],[šifra]],Table6[],3,0)</f>
        <v>0</v>
      </c>
      <c r="D6" s="100" t="str">
        <f>VLOOKUP(Table17[[#This Row],[šifra]],Table6[],4,0)</f>
        <v>NITKO</v>
      </c>
      <c r="E6" s="90" t="str">
        <f>VLOOKUP(Table17[[#This Row],[šifra]],Table6[],6,0)</f>
        <v xml:space="preserve">
ib@38grad.ch (Ivan Batinić)</v>
      </c>
      <c r="F6" s="90" t="str">
        <f>VLOOKUP(Table17[[#This Row],[šifra]],Table6[],11,0)</f>
        <v>ne</v>
      </c>
      <c r="G6" s="90" t="str">
        <f>VLOOKUP(Table17[[#This Row],[šifra]],Table6[],10,0)</f>
        <v>ne</v>
      </c>
      <c r="H6" s="139" t="str">
        <f>poduzeća!W2</f>
        <v>ne</v>
      </c>
      <c r="I6" s="980"/>
      <c r="J6" s="91"/>
      <c r="K6" s="91"/>
      <c r="L6" s="91"/>
      <c r="M6" s="173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</row>
    <row r="7" spans="1:48">
      <c r="A7" s="88">
        <v>2</v>
      </c>
      <c r="B7" s="89" t="str">
        <f>VLOOKUP(Table17[[#This Row],[šifra]],Table6[],2,0)</f>
        <v>5SEDMINA j.d.o.o.</v>
      </c>
      <c r="C7" s="90">
        <f>VLOOKUP(Table17[[#This Row],[šifra]],Table6[],3,0)</f>
        <v>9</v>
      </c>
      <c r="D7" s="100" t="str">
        <f>VLOOKUP(Table17[[#This Row],[šifra]],Table6[],4,0)</f>
        <v>SANDRA</v>
      </c>
      <c r="E7" s="90" t="str">
        <f>VLOOKUP(Table17[[#This Row],[šifra]],Table6[],6,0)</f>
        <v>5sedmina@gmail.com</v>
      </c>
      <c r="F7" s="90" t="str">
        <f>VLOOKUP(Table17[[#This Row],[šifra]],Table6[],11,0)</f>
        <v>da</v>
      </c>
      <c r="G7" s="90" t="str">
        <f>VLOOKUP(Table17[[#This Row],[šifra]],Table6[],10,0)</f>
        <v>da</v>
      </c>
      <c r="H7" s="139" t="str">
        <f>poduzeća!W3</f>
        <v>da</v>
      </c>
      <c r="I7" s="980" t="s">
        <v>1989</v>
      </c>
      <c r="J7" s="91"/>
      <c r="K7" s="91"/>
      <c r="L7" s="91"/>
      <c r="M7" s="173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</row>
    <row r="8" spans="1:48">
      <c r="A8" s="88">
        <v>3</v>
      </c>
      <c r="B8" s="89" t="str">
        <f>VLOOKUP(Table17[[#This Row],[šifra]],Table6[],2,0)</f>
        <v>A.RES Secundus d.o.o.</v>
      </c>
      <c r="C8" s="90">
        <f>VLOOKUP(Table17[[#This Row],[šifra]],Table6[],3,0)</f>
        <v>2</v>
      </c>
      <c r="D8" s="100" t="str">
        <f>VLOOKUP(Table17[[#This Row],[šifra]],Table6[],4,0)</f>
        <v>LAURA</v>
      </c>
      <c r="E8" s="90" t="str">
        <f>VLOOKUP(Table17[[#This Row],[šifra]],Table6[],6,0)</f>
        <v>szabo.judit@aresprime.hu</v>
      </c>
      <c r="F8" s="90" t="str">
        <f>VLOOKUP(Table17[[#This Row],[šifra]],Table6[],11,0)</f>
        <v>ne</v>
      </c>
      <c r="G8" s="90" t="str">
        <f>VLOOKUP(Table17[[#This Row],[šifra]],Table6[],10,0)</f>
        <v>da</v>
      </c>
      <c r="H8" s="139" t="str">
        <f>poduzeća!W4</f>
        <v>da</v>
      </c>
      <c r="I8" s="980">
        <v>46136</v>
      </c>
      <c r="J8" s="91"/>
      <c r="K8" s="91"/>
      <c r="L8" s="91"/>
      <c r="M8" s="173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</row>
    <row r="9" spans="1:48">
      <c r="A9" s="88">
        <v>4</v>
      </c>
      <c r="B9" s="89" t="str">
        <f>VLOOKUP(Table17[[#This Row],[šifra]],Table6[],2,0)</f>
        <v>ACTIVE SUMMER j.d.o.o.</v>
      </c>
      <c r="C9" s="90">
        <f>VLOOKUP(Table17[[#This Row],[šifra]],Table6[],3,0)</f>
        <v>11</v>
      </c>
      <c r="D9" s="100" t="str">
        <f>VLOOKUP(Table17[[#This Row],[šifra]],Table6[],4,0)</f>
        <v>GABRIJELA</v>
      </c>
      <c r="E9" s="90" t="str">
        <f>VLOOKUP(Table17[[#This Row],[šifra]],Table6[],6,0)</f>
        <v>Illés Eszter &lt;info@olaszkemping.hu&gt;</v>
      </c>
      <c r="F9" s="90" t="str">
        <f>VLOOKUP(Table17[[#This Row],[šifra]],Table6[],11,0)</f>
        <v>ne</v>
      </c>
      <c r="G9" s="90" t="str">
        <f>VLOOKUP(Table17[[#This Row],[šifra]],Table6[],10,0)</f>
        <v>ne</v>
      </c>
      <c r="H9" s="139" t="str">
        <f>poduzeća!W5</f>
        <v>da</v>
      </c>
      <c r="I9" s="981">
        <v>46142</v>
      </c>
      <c r="J9" s="91"/>
      <c r="K9" s="91"/>
      <c r="L9" s="173"/>
      <c r="M9" s="173"/>
      <c r="N9" s="91"/>
      <c r="O9" s="91"/>
      <c r="P9" s="91"/>
      <c r="Q9" s="91"/>
      <c r="R9" s="91"/>
      <c r="S9" s="91"/>
      <c r="T9" s="17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133" t="s">
        <v>547</v>
      </c>
      <c r="AV9" s="91"/>
    </row>
    <row r="10" spans="1:48" ht="45">
      <c r="A10" s="88">
        <v>5</v>
      </c>
      <c r="B10" s="89" t="str">
        <f>VLOOKUP(Table17[[#This Row],[šifra]],Table6[],2,0)</f>
        <v>ADRIA -FENCING j.d.o.o.</v>
      </c>
      <c r="C10" s="90">
        <f>VLOOKUP(Table17[[#This Row],[šifra]],Table6[],3,0)</f>
        <v>11</v>
      </c>
      <c r="D10" s="100" t="str">
        <f>VLOOKUP(Table17[[#This Row],[šifra]],Table6[],4,0)</f>
        <v>GABRIJELA</v>
      </c>
      <c r="E10" s="90" t="str">
        <f>VLOOKUP(Table17[[#This Row],[šifra]],Table6[],6,0)</f>
        <v>Börcsök Imre &lt;dr.borcsok.imre@gmail.com / adriafencing@gmail.com</v>
      </c>
      <c r="F10" s="90" t="str">
        <f>VLOOKUP(Table17[[#This Row],[šifra]],Table6[],11,0)</f>
        <v>ne</v>
      </c>
      <c r="G10" s="90" t="str">
        <f>VLOOKUP(Table17[[#This Row],[šifra]],Table6[],10,0)</f>
        <v>da</v>
      </c>
      <c r="H10" s="139" t="str">
        <f>poduzeća!W6</f>
        <v>da</v>
      </c>
      <c r="I10" s="980">
        <v>46136</v>
      </c>
      <c r="J10" s="91"/>
      <c r="K10" s="91"/>
      <c r="L10" s="91"/>
      <c r="M10" s="173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</row>
    <row r="11" spans="1:48" ht="30">
      <c r="A11" s="88">
        <v>6</v>
      </c>
      <c r="B11" s="89" t="str">
        <f>VLOOKUP(Table17[[#This Row],[šifra]],Table6[],2,0)</f>
        <v>Agro Adria International d.o.o.</v>
      </c>
      <c r="C11" s="90">
        <f>VLOOKUP(Table17[[#This Row],[šifra]],Table6[],3,0)</f>
        <v>15</v>
      </c>
      <c r="D11" s="100" t="str">
        <f>VLOOKUP(Table17[[#This Row],[šifra]],Table6[],4,0)</f>
        <v>NIKOLINA</v>
      </c>
      <c r="E11" s="90" t="str">
        <f>VLOOKUP(Table17[[#This Row],[šifra]],Table6[],6,0)</f>
        <v>agroadria.international@gmail.com</v>
      </c>
      <c r="F11" s="90" t="str">
        <f>VLOOKUP(Table17[[#This Row],[šifra]],Table6[],11,0)</f>
        <v>da</v>
      </c>
      <c r="G11" s="90" t="str">
        <f>VLOOKUP(Table17[[#This Row],[šifra]],Table6[],10,0)</f>
        <v>da</v>
      </c>
      <c r="H11" s="139" t="str">
        <f>poduzeća!W7</f>
        <v>da</v>
      </c>
      <c r="I11" s="980"/>
      <c r="J11" s="91"/>
      <c r="K11" s="91"/>
      <c r="L11" s="91"/>
      <c r="M11" s="173"/>
      <c r="N11" s="91"/>
      <c r="O11" s="91"/>
      <c r="P11" s="91"/>
      <c r="Q11" s="91"/>
      <c r="R11" s="91"/>
      <c r="S11" s="91"/>
      <c r="T11" s="91"/>
      <c r="U11" s="91"/>
      <c r="V11" s="91"/>
      <c r="W11" s="173"/>
      <c r="X11" s="91"/>
      <c r="Y11" s="91"/>
      <c r="Z11" s="173"/>
      <c r="AA11" s="91"/>
      <c r="AB11" s="91"/>
      <c r="AC11" s="91"/>
      <c r="AD11" s="173"/>
      <c r="AE11" s="91"/>
      <c r="AF11" s="91"/>
      <c r="AG11" s="91"/>
      <c r="AH11" s="91"/>
      <c r="AI11" s="91"/>
      <c r="AJ11" s="91"/>
      <c r="AK11" s="91"/>
      <c r="AL11" s="91"/>
      <c r="AM11" s="173"/>
      <c r="AN11" s="91"/>
      <c r="AO11" s="91"/>
      <c r="AP11" s="91"/>
      <c r="AQ11" s="91"/>
      <c r="AR11" s="91"/>
      <c r="AS11" s="91"/>
      <c r="AT11" s="91"/>
      <c r="AU11" s="91"/>
      <c r="AV11" s="91"/>
    </row>
    <row r="12" spans="1:48" ht="30">
      <c r="A12" s="88">
        <v>7</v>
      </c>
      <c r="B12" s="89" t="str">
        <f>VLOOKUP(Table17[[#This Row],[šifra]],Table6[],2,0)</f>
        <v>AGRO PMD d.o.o.</v>
      </c>
      <c r="C12" s="90">
        <f>VLOOKUP(Table17[[#This Row],[šifra]],Table6[],3,0)</f>
        <v>6</v>
      </c>
      <c r="D12" s="100" t="str">
        <f>VLOOKUP(Table17[[#This Row],[šifra]],Table6[],4,0)</f>
        <v>F. ANA P.</v>
      </c>
      <c r="E12" s="90" t="str">
        <f>VLOOKUP(Table17[[#This Row],[šifra]],Table6[],6,0)</f>
        <v xml:space="preserve">marina@agropmd.hr 
bata.renata@batatrans.com </v>
      </c>
      <c r="F12" s="90" t="str">
        <f>VLOOKUP(Table17[[#This Row],[šifra]],Table6[],11,0)</f>
        <v>da</v>
      </c>
      <c r="G12" s="90" t="str">
        <f>VLOOKUP(Table17[[#This Row],[šifra]],Table6[],10,0)</f>
        <v>da</v>
      </c>
      <c r="H12" s="139" t="str">
        <f>poduzeća!W8</f>
        <v>F-DA</v>
      </c>
      <c r="I12" s="980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173"/>
      <c r="AA12" s="91"/>
      <c r="AB12" s="91"/>
      <c r="AC12" s="91"/>
      <c r="AD12" s="91"/>
      <c r="AE12" s="91"/>
      <c r="AF12" s="91"/>
      <c r="AG12" s="173"/>
      <c r="AH12" s="91"/>
      <c r="AI12" s="91"/>
      <c r="AJ12" s="173"/>
      <c r="AK12" s="173"/>
      <c r="AL12" s="91"/>
      <c r="AM12" s="173"/>
      <c r="AN12" s="91"/>
      <c r="AO12" s="91"/>
      <c r="AP12" s="91"/>
      <c r="AQ12" s="91"/>
      <c r="AR12" s="91"/>
      <c r="AS12" s="91"/>
      <c r="AT12" s="91"/>
      <c r="AU12" s="91"/>
      <c r="AV12" s="91"/>
    </row>
    <row r="13" spans="1:48" ht="45">
      <c r="A13" s="88">
        <v>8</v>
      </c>
      <c r="B13" s="808" t="str">
        <f>VLOOKUP(Table17[[#This Row],[šifra]],Table6[],2,0)</f>
        <v>AGRONOMIST d.o.o.</v>
      </c>
      <c r="C13" s="90">
        <f>VLOOKUP(Table17[[#This Row],[šifra]],Table6[],3,0)</f>
        <v>0</v>
      </c>
      <c r="D13" s="100" t="str">
        <f>VLOOKUP(Table17[[#This Row],[šifra]],Table6[],4,0)</f>
        <v>NITKO</v>
      </c>
      <c r="E13" s="90" t="str">
        <f>VLOOKUP(Table17[[#This Row],[šifra]],Table6[],6,0)</f>
        <v xml:space="preserve">info@agronomist.bio, 
dkatusic13@gmail.com 
info@teslaenergytechnologies.hr </v>
      </c>
      <c r="F13" s="90" t="str">
        <f>VLOOKUP(Table17[[#This Row],[šifra]],Table6[],11,0)</f>
        <v>da</v>
      </c>
      <c r="G13" s="90" t="str">
        <f>VLOOKUP(Table17[[#This Row],[šifra]],Table6[],10,0)</f>
        <v>da</v>
      </c>
      <c r="H13" s="139" t="str">
        <f>poduzeća!W9</f>
        <v>da</v>
      </c>
      <c r="I13" s="982" t="s">
        <v>1600</v>
      </c>
      <c r="J13" s="623" t="s">
        <v>1362</v>
      </c>
      <c r="K13" s="587"/>
      <c r="L13" s="91"/>
      <c r="M13" s="749" t="s">
        <v>1539</v>
      </c>
      <c r="N13" s="770" t="s">
        <v>1545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173"/>
      <c r="AA13" s="91"/>
      <c r="AB13" s="91"/>
      <c r="AC13" s="91"/>
      <c r="AD13" s="173"/>
      <c r="AE13" s="91"/>
      <c r="AF13" s="91"/>
      <c r="AG13" s="91"/>
      <c r="AH13" s="91"/>
      <c r="AI13" s="91"/>
      <c r="AJ13" s="91"/>
      <c r="AK13" s="91"/>
      <c r="AL13" s="91"/>
      <c r="AM13" s="173"/>
      <c r="AN13" s="91"/>
      <c r="AO13" s="91"/>
      <c r="AP13" s="173"/>
      <c r="AQ13" s="91"/>
      <c r="AR13" s="91"/>
      <c r="AS13" s="91"/>
      <c r="AT13" s="91"/>
      <c r="AU13" s="91"/>
      <c r="AV13" s="91"/>
    </row>
    <row r="14" spans="1:48" ht="33" customHeight="1">
      <c r="A14" s="88">
        <v>9</v>
      </c>
      <c r="B14" s="89" t="str">
        <f>VLOOKUP(Table17[[#This Row],[šifra]],Table6[],2,0)</f>
        <v>Alpha adria charter d.o.o.</v>
      </c>
      <c r="C14" s="90">
        <f>VLOOKUP(Table17[[#This Row],[šifra]],Table6[],3,0)</f>
        <v>15</v>
      </c>
      <c r="D14" s="100" t="str">
        <f>VLOOKUP(Table17[[#This Row],[šifra]],Table6[],4,0)</f>
        <v>NIKOLINA</v>
      </c>
      <c r="E14" s="90" t="str">
        <f>VLOOKUP(Table17[[#This Row],[šifra]],Table6[],6,0)</f>
        <v>nemet.adrienn@gmail.com/ 
ada@mbc-marine.com</v>
      </c>
      <c r="F14" s="90" t="str">
        <f>VLOOKUP(Table17[[#This Row],[šifra]],Table6[],11,0)</f>
        <v>ne</v>
      </c>
      <c r="G14" s="90" t="str">
        <f>VLOOKUP(Table17[[#This Row],[šifra]],Table6[],10,0)</f>
        <v>da</v>
      </c>
      <c r="H14" s="139" t="str">
        <f>poduzeća!W10</f>
        <v>da</v>
      </c>
      <c r="I14" s="980"/>
      <c r="J14" s="173"/>
      <c r="K14" s="91"/>
      <c r="L14" s="91"/>
      <c r="M14" s="173"/>
      <c r="N14" s="91"/>
      <c r="O14" s="91"/>
      <c r="P14" s="91"/>
      <c r="Q14" s="91"/>
      <c r="R14" s="91"/>
      <c r="S14" s="173"/>
      <c r="T14" s="91"/>
      <c r="U14" s="91"/>
      <c r="V14" s="173"/>
      <c r="W14" s="91"/>
      <c r="X14" s="173"/>
      <c r="Y14" s="91"/>
      <c r="Z14" s="173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173"/>
      <c r="AM14" s="173"/>
      <c r="AN14" s="91"/>
      <c r="AO14" s="91"/>
      <c r="AP14" s="173"/>
      <c r="AQ14" s="91"/>
      <c r="AR14" s="91"/>
      <c r="AS14" s="91"/>
      <c r="AT14" s="91"/>
      <c r="AU14" s="91"/>
      <c r="AV14" s="91"/>
    </row>
    <row r="15" spans="1:48">
      <c r="A15" s="88">
        <v>10</v>
      </c>
      <c r="B15" s="89" t="str">
        <f>VLOOKUP(Table17[[#This Row],[šifra]],Table6[],2,0)</f>
        <v>ANDREA SZETEY</v>
      </c>
      <c r="C15" s="90">
        <f>VLOOKUP(Table17[[#This Row],[šifra]],Table6[],3,0)</f>
        <v>11</v>
      </c>
      <c r="D15" s="100" t="str">
        <f>VLOOKUP(Table17[[#This Row],[šifra]],Table6[],4,0)</f>
        <v>GABRIJELA</v>
      </c>
      <c r="E15" s="90" t="str">
        <f>VLOOKUP(Table17[[#This Row],[šifra]],Table6[],6,0)</f>
        <v>SZETEY.ANDI@GMAIL.COM</v>
      </c>
      <c r="F15" s="90" t="str">
        <f>VLOOKUP(Table17[[#This Row],[šifra]],Table6[],11,0)</f>
        <v>ne</v>
      </c>
      <c r="G15" s="90" t="str">
        <f>VLOOKUP(Table17[[#This Row],[šifra]],Table6[],10,0)</f>
        <v>ne</v>
      </c>
      <c r="H15" s="139" t="str">
        <f>poduzeća!W11</f>
        <v>m-da</v>
      </c>
      <c r="I15" s="983" t="s">
        <v>1591</v>
      </c>
      <c r="J15" s="173"/>
      <c r="K15" s="173"/>
      <c r="L15" s="174"/>
      <c r="M15" s="566"/>
      <c r="N15" s="566"/>
      <c r="O15" s="173"/>
      <c r="P15" s="173"/>
      <c r="Q15" s="173"/>
      <c r="R15" s="173"/>
      <c r="S15" s="173"/>
      <c r="T15" s="173"/>
      <c r="U15" s="173"/>
      <c r="V15" s="173"/>
      <c r="W15" s="173"/>
      <c r="X15" s="91"/>
      <c r="Y15" s="173"/>
      <c r="Z15" s="175"/>
      <c r="AA15" s="91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6"/>
      <c r="AN15" s="173"/>
      <c r="AO15" s="173"/>
      <c r="AP15" s="173"/>
      <c r="AQ15" s="91"/>
      <c r="AR15" s="173"/>
      <c r="AS15" s="177"/>
      <c r="AT15" s="173"/>
      <c r="AU15" s="91"/>
      <c r="AV15" s="91"/>
    </row>
    <row r="16" spans="1:48" ht="27.75" customHeight="1">
      <c r="A16" s="88">
        <v>11</v>
      </c>
      <c r="B16" s="89" t="str">
        <f>VLOOKUP(Table17[[#This Row],[šifra]],Table6[],2,0)</f>
        <v>ANDOR GYORGY FARKAS</v>
      </c>
      <c r="C16" s="90">
        <f>VLOOKUP(Table17[[#This Row],[šifra]],Table6[],3,0)</f>
        <v>11</v>
      </c>
      <c r="D16" s="100" t="str">
        <f>VLOOKUP(Table17[[#This Row],[šifra]],Table6[],4,0)</f>
        <v>GABRIJELA</v>
      </c>
      <c r="E16" s="90" t="str">
        <f>VLOOKUP(Table17[[#This Row],[šifra]],Table6[],6,0)</f>
        <v>andor.farkas975@gmail.com</v>
      </c>
      <c r="F16" s="90" t="str">
        <f>VLOOKUP(Table17[[#This Row],[šifra]],Table6[],11,0)</f>
        <v>ne</v>
      </c>
      <c r="G16" s="90" t="str">
        <f>VLOOKUP(Table17[[#This Row],[šifra]],Table6[],10,0)</f>
        <v>da</v>
      </c>
      <c r="H16" s="139" t="str">
        <f>poduzeća!W12</f>
        <v>m-da</v>
      </c>
      <c r="I16" s="983" t="s">
        <v>1591</v>
      </c>
      <c r="J16" s="91"/>
      <c r="K16" s="173"/>
      <c r="L16" s="173"/>
      <c r="M16" s="91"/>
      <c r="N16" s="173"/>
      <c r="O16" s="173"/>
      <c r="P16" s="91"/>
      <c r="Q16" s="173"/>
      <c r="R16" s="173"/>
      <c r="S16" s="91"/>
      <c r="T16" s="173"/>
      <c r="U16" s="91"/>
      <c r="V16" s="91"/>
      <c r="W16" s="91"/>
      <c r="X16" s="91"/>
      <c r="Y16" s="91"/>
      <c r="Z16" s="173"/>
      <c r="AA16" s="91"/>
      <c r="AB16" s="91"/>
      <c r="AC16" s="91"/>
      <c r="AD16" s="173"/>
      <c r="AE16" s="91"/>
      <c r="AF16" s="91"/>
      <c r="AG16" s="173"/>
      <c r="AH16" s="173"/>
      <c r="AI16" s="91"/>
      <c r="AJ16" s="173"/>
      <c r="AK16" s="91"/>
      <c r="AL16" s="91"/>
      <c r="AM16" s="173"/>
      <c r="AN16" s="91"/>
      <c r="AO16" s="91"/>
      <c r="AP16" s="173"/>
      <c r="AQ16" s="91"/>
      <c r="AR16" s="91"/>
      <c r="AS16" s="173"/>
      <c r="AT16" s="91"/>
      <c r="AU16" s="91"/>
      <c r="AV16" s="91"/>
    </row>
    <row r="17" spans="1:48" ht="30">
      <c r="A17" s="88">
        <v>12</v>
      </c>
      <c r="B17" s="89" t="str">
        <f>VLOOKUP(Table17[[#This Row],[šifra]],Table6[],2,0)</f>
        <v>ANEX - OBRT ANA PREVIŠIĆ - F</v>
      </c>
      <c r="C17" s="90">
        <f>VLOOKUP(Table17[[#This Row],[šifra]],Table6[],3,0)</f>
        <v>6</v>
      </c>
      <c r="D17" s="100" t="str">
        <f>VLOOKUP(Table17[[#This Row],[šifra]],Table6[],4,0)</f>
        <v>F. ANA P.</v>
      </c>
      <c r="E17" s="90" t="str">
        <f>VLOOKUP(Table17[[#This Row],[šifra]],Table6[],6,0)</f>
        <v>aneks.obrt@gmail.com</v>
      </c>
      <c r="F17" s="90" t="str">
        <f>VLOOKUP(Table17[[#This Row],[šifra]],Table6[],11,0)</f>
        <v>ne</v>
      </c>
      <c r="G17" s="90" t="str">
        <f>VLOOKUP(Table17[[#This Row],[šifra]],Table6[],10,0)</f>
        <v>ne</v>
      </c>
      <c r="H17" s="139" t="str">
        <f>poduzeća!W13</f>
        <v>F-DA</v>
      </c>
      <c r="I17" s="980"/>
      <c r="J17" s="173"/>
      <c r="K17" s="173"/>
      <c r="L17" s="173"/>
      <c r="M17" s="173"/>
      <c r="N17" s="173"/>
      <c r="O17" s="173"/>
      <c r="P17" s="91"/>
      <c r="Q17" s="91"/>
      <c r="R17" s="91"/>
      <c r="S17" s="173"/>
      <c r="T17" s="91"/>
      <c r="U17" s="91"/>
      <c r="V17" s="173"/>
      <c r="W17" s="91"/>
      <c r="X17" s="173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173"/>
      <c r="AM17" s="91"/>
      <c r="AN17" s="91"/>
      <c r="AO17" s="91"/>
      <c r="AP17" s="91"/>
      <c r="AQ17" s="91"/>
      <c r="AR17" s="91"/>
      <c r="AS17" s="91"/>
      <c r="AT17" s="91"/>
      <c r="AU17" s="91"/>
      <c r="AV17" s="91"/>
    </row>
    <row r="18" spans="1:48">
      <c r="A18" s="792">
        <v>13</v>
      </c>
      <c r="B18" s="793" t="str">
        <f>VLOOKUP(Table17[[#This Row],[šifra]],Table6[],2,0)</f>
        <v>SZELESZANNE VIRAG ANIKO</v>
      </c>
      <c r="C18" s="90">
        <f>VLOOKUP(Table17[[#This Row],[šifra]],Table6[],3,0)</f>
        <v>0</v>
      </c>
      <c r="D18" s="100" t="str">
        <f>VLOOKUP(Table17[[#This Row],[šifra]],Table6[],4,0)</f>
        <v>NITKO</v>
      </c>
      <c r="E18" s="90" t="str">
        <f>VLOOKUP(Table17[[#This Row],[šifra]],Table6[],6,0)</f>
        <v>sz.virag.aniko@gmail.com</v>
      </c>
      <c r="F18" s="90" t="str">
        <f>VLOOKUP(Table17[[#This Row],[šifra]],Table6[],11,0)</f>
        <v>ne</v>
      </c>
      <c r="G18" s="90" t="str">
        <f>VLOOKUP(Table17[[#This Row],[šifra]],Table6[],10,0)</f>
        <v>da</v>
      </c>
      <c r="H18" s="139" t="str">
        <f>poduzeća!W14</f>
        <v>m-da</v>
      </c>
      <c r="I18" s="984" t="s">
        <v>1593</v>
      </c>
      <c r="J18" s="91"/>
      <c r="K18" s="173"/>
      <c r="L18" s="173"/>
      <c r="M18" s="567"/>
      <c r="N18" s="771" t="s">
        <v>1546</v>
      </c>
      <c r="O18" s="173"/>
      <c r="P18" s="91"/>
      <c r="Q18" s="91"/>
      <c r="R18" s="91"/>
      <c r="S18" s="91"/>
      <c r="T18" s="91"/>
      <c r="U18" s="91"/>
      <c r="V18" s="91"/>
      <c r="W18" s="173"/>
      <c r="X18" s="91"/>
      <c r="Y18" s="91"/>
      <c r="Z18" s="173"/>
      <c r="AA18" s="91"/>
      <c r="AB18" s="91"/>
      <c r="AC18" s="91"/>
      <c r="AD18" s="173"/>
      <c r="AE18" s="91"/>
      <c r="AF18" s="91"/>
      <c r="AG18" s="173"/>
      <c r="AH18" s="91"/>
      <c r="AI18" s="91"/>
      <c r="AJ18" s="91"/>
      <c r="AK18" s="91"/>
      <c r="AL18" s="91"/>
      <c r="AM18" s="173"/>
      <c r="AN18" s="91"/>
      <c r="AO18" s="91"/>
      <c r="AP18" s="173"/>
      <c r="AQ18" s="91"/>
      <c r="AR18" s="91"/>
      <c r="AS18" s="91"/>
      <c r="AT18" s="91"/>
      <c r="AU18" s="91"/>
      <c r="AV18" s="91"/>
    </row>
    <row r="19" spans="1:48" ht="30">
      <c r="A19" s="88">
        <v>14</v>
      </c>
      <c r="B19" s="89" t="str">
        <f>VLOOKUP(Table17[[#This Row],[šifra]],Table6[],2,0)</f>
        <v>ANITA BERECZ-CZAP</v>
      </c>
      <c r="C19" s="90">
        <f>VLOOKUP(Table17[[#This Row],[šifra]],Table6[],3,0)</f>
        <v>0</v>
      </c>
      <c r="D19" s="100" t="str">
        <f>VLOOKUP(Table17[[#This Row],[šifra]],Table6[],4,0)</f>
        <v>NITKO</v>
      </c>
      <c r="E19" s="90" t="str">
        <f>VLOOKUP(Table17[[#This Row],[šifra]],Table6[],6,0)</f>
        <v>cannianni1 &lt;canita131313@gmail.com&gt;</v>
      </c>
      <c r="F19" s="90" t="str">
        <f>VLOOKUP(Table17[[#This Row],[šifra]],Table6[],11,0)</f>
        <v>ne</v>
      </c>
      <c r="G19" s="90" t="str">
        <f>VLOOKUP(Table17[[#This Row],[šifra]],Table6[],10,0)</f>
        <v>ne</v>
      </c>
      <c r="H19" s="139" t="str">
        <f>poduzeća!W15</f>
        <v>m-da</v>
      </c>
      <c r="I19" s="984" t="s">
        <v>1593</v>
      </c>
      <c r="J19" s="91"/>
      <c r="K19" s="173"/>
      <c r="L19" s="173"/>
      <c r="M19" s="173"/>
      <c r="N19" s="173"/>
      <c r="O19" s="173"/>
      <c r="P19" s="91"/>
      <c r="Q19" s="91"/>
      <c r="R19" s="91"/>
      <c r="S19" s="91"/>
      <c r="T19" s="91"/>
      <c r="U19" s="91"/>
      <c r="V19" s="91"/>
      <c r="W19" s="173"/>
      <c r="X19" s="91"/>
      <c r="Y19" s="91"/>
      <c r="Z19" s="178"/>
      <c r="AA19" s="91"/>
      <c r="AB19" s="179"/>
      <c r="AC19" s="173"/>
      <c r="AD19" s="173"/>
      <c r="AE19" s="91"/>
      <c r="AF19" s="91"/>
      <c r="AG19" s="173"/>
      <c r="AH19" s="91"/>
      <c r="AI19" s="91"/>
      <c r="AJ19" s="91"/>
      <c r="AK19" s="91"/>
      <c r="AL19" s="173"/>
      <c r="AM19" s="180"/>
      <c r="AN19" s="91"/>
      <c r="AO19" s="91"/>
      <c r="AP19" s="173"/>
      <c r="AQ19" s="91"/>
      <c r="AR19" s="91"/>
      <c r="AS19" s="91"/>
      <c r="AT19" s="91"/>
      <c r="AU19" s="91"/>
      <c r="AV19" s="91"/>
    </row>
    <row r="20" spans="1:48" ht="30">
      <c r="A20" s="792">
        <v>15</v>
      </c>
      <c r="B20" s="89" t="str">
        <f>VLOOKUP(Table17[[#This Row],[šifra]],Table6[],2,0)</f>
        <v>ANITA MOLNAR</v>
      </c>
      <c r="C20" s="90">
        <f>VLOOKUP(Table17[[#This Row],[šifra]],Table6[],3,0)</f>
        <v>10</v>
      </c>
      <c r="D20" s="100" t="str">
        <f>VLOOKUP(Table17[[#This Row],[šifra]],Table6[],4,0)</f>
        <v>MAJA</v>
      </c>
      <c r="E20" s="90" t="str">
        <f>VLOOKUP(Table17[[#This Row],[šifra]],Table6[],6,0)</f>
        <v>Molnár Károly &lt;gmolnark@gmail.com&gt;</v>
      </c>
      <c r="F20" s="90" t="str">
        <f>VLOOKUP(Table17[[#This Row],[šifra]],Table6[],11,0)</f>
        <v>ne</v>
      </c>
      <c r="G20" s="90" t="str">
        <f>VLOOKUP(Table17[[#This Row],[šifra]],Table6[],10,0)</f>
        <v>da</v>
      </c>
      <c r="H20" s="139" t="str">
        <f>poduzeća!W16</f>
        <v>m-da</v>
      </c>
      <c r="I20" s="893" t="s">
        <v>1626</v>
      </c>
      <c r="J20" s="91"/>
      <c r="K20" s="91"/>
      <c r="L20" s="91"/>
      <c r="M20" s="567"/>
      <c r="N20" s="842" t="s">
        <v>1547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173"/>
      <c r="Z20" s="181"/>
      <c r="AA20" s="91"/>
      <c r="AB20" s="91"/>
      <c r="AC20" s="91"/>
      <c r="AD20" s="91"/>
      <c r="AE20" s="91"/>
      <c r="AF20" s="173"/>
      <c r="AG20" s="182"/>
      <c r="AH20" s="183"/>
      <c r="AI20" s="184"/>
      <c r="AJ20" s="184"/>
      <c r="AK20" s="91"/>
      <c r="AL20" s="173"/>
      <c r="AM20" s="173"/>
      <c r="AN20" s="91"/>
      <c r="AO20" s="173"/>
      <c r="AP20" s="173"/>
      <c r="AQ20" s="173"/>
      <c r="AR20" s="185"/>
      <c r="AS20" s="186"/>
      <c r="AT20" s="91"/>
      <c r="AU20" s="91"/>
      <c r="AV20" s="91"/>
    </row>
    <row r="21" spans="1:48">
      <c r="A21" s="792">
        <v>16</v>
      </c>
      <c r="B21" s="89" t="str">
        <f>VLOOKUP(Table17[[#This Row],[šifra]],Table6[],2,0)</f>
        <v>ARPAD VECSEY</v>
      </c>
      <c r="C21" s="90">
        <f>VLOOKUP(Table17[[#This Row],[šifra]],Table6[],3,0)</f>
        <v>10</v>
      </c>
      <c r="D21" s="100" t="str">
        <f>VLOOKUP(Table17[[#This Row],[šifra]],Table6[],4,0)</f>
        <v>MAJA</v>
      </c>
      <c r="E21" s="90" t="str">
        <f>VLOOKUP(Table17[[#This Row],[šifra]],Table6[],6,0)</f>
        <v>vecsey.arpad@gmail.com</v>
      </c>
      <c r="F21" s="90" t="str">
        <f>VLOOKUP(Table17[[#This Row],[šifra]],Table6[],11,0)</f>
        <v>ne</v>
      </c>
      <c r="G21" s="90" t="str">
        <f>VLOOKUP(Table17[[#This Row],[šifra]],Table6[],10,0)</f>
        <v>da</v>
      </c>
      <c r="H21" s="139" t="str">
        <f>poduzeća!W17</f>
        <v>m-da</v>
      </c>
      <c r="I21" s="985" t="s">
        <v>1627</v>
      </c>
      <c r="J21" s="173"/>
      <c r="K21" s="173"/>
      <c r="L21" s="91"/>
      <c r="M21" s="566"/>
      <c r="N21" s="843" t="s">
        <v>1548</v>
      </c>
      <c r="O21" s="91"/>
      <c r="P21" s="91"/>
      <c r="Q21" s="91"/>
      <c r="R21" s="91"/>
      <c r="S21" s="173"/>
      <c r="T21" s="173"/>
      <c r="U21" s="91"/>
      <c r="V21" s="173"/>
      <c r="W21" s="173"/>
      <c r="X21" s="173"/>
      <c r="Y21" s="177"/>
      <c r="Z21" s="173"/>
      <c r="AA21" s="91"/>
      <c r="AB21" s="173"/>
      <c r="AC21" s="173"/>
      <c r="AD21" s="173"/>
      <c r="AE21" s="91"/>
      <c r="AF21" s="173"/>
      <c r="AG21" s="173"/>
      <c r="AH21" s="173"/>
      <c r="AI21" s="173"/>
      <c r="AJ21" s="187"/>
      <c r="AK21" s="91"/>
      <c r="AL21" s="177"/>
      <c r="AM21" s="173"/>
      <c r="AN21" s="173"/>
      <c r="AO21" s="173"/>
      <c r="AP21" s="173"/>
      <c r="AQ21" s="91"/>
      <c r="AR21" s="91"/>
      <c r="AS21" s="91"/>
      <c r="AT21" s="91"/>
      <c r="AU21" s="91"/>
      <c r="AV21" s="91"/>
    </row>
    <row r="22" spans="1:48" ht="30">
      <c r="A22" s="88">
        <v>17</v>
      </c>
      <c r="B22" s="89" t="str">
        <f>VLOOKUP(Table17[[#This Row],[šifra]],Table6[],2,0)</f>
        <v>AŠ MAGNET VL. ČABARKAPA MLADEN</v>
      </c>
      <c r="C22" s="90">
        <f>VLOOKUP(Table17[[#This Row],[šifra]],Table6[],3,0)</f>
        <v>15</v>
      </c>
      <c r="D22" s="100" t="str">
        <f>VLOOKUP(Table17[[#This Row],[šifra]],Table6[],4,0)</f>
        <v>NIKOLINA</v>
      </c>
      <c r="E22" s="90" t="str">
        <f>VLOOKUP(Table17[[#This Row],[šifra]],Table6[],6,0)</f>
        <v>autoskola.magnet2@gmail.com</v>
      </c>
      <c r="F22" s="90" t="str">
        <f>VLOOKUP(Table17[[#This Row],[šifra]],Table6[],11,0)</f>
        <v>da</v>
      </c>
      <c r="G22" s="90" t="str">
        <f>VLOOKUP(Table17[[#This Row],[šifra]],Table6[],10,0)</f>
        <v>ne</v>
      </c>
      <c r="H22" s="139" t="str">
        <f>poduzeća!W18</f>
        <v>m-da</v>
      </c>
      <c r="I22" s="984" t="s">
        <v>1628</v>
      </c>
      <c r="J22" s="91"/>
      <c r="K22" s="91"/>
      <c r="L22" s="91"/>
      <c r="M22" s="91"/>
      <c r="N22" s="91"/>
      <c r="O22" s="91"/>
      <c r="P22" s="91"/>
      <c r="Q22" s="173"/>
      <c r="R22" s="173"/>
      <c r="S22" s="91"/>
      <c r="T22" s="173"/>
      <c r="U22" s="91"/>
      <c r="V22" s="91"/>
      <c r="W22" s="173"/>
      <c r="X22" s="91"/>
      <c r="Y22" s="91"/>
      <c r="Z22" s="173"/>
      <c r="AA22" s="91"/>
      <c r="AB22" s="91"/>
      <c r="AC22" s="91"/>
      <c r="AD22" s="173"/>
      <c r="AE22" s="91"/>
      <c r="AF22" s="91"/>
      <c r="AG22" s="173"/>
      <c r="AH22" s="91"/>
      <c r="AI22" s="91"/>
      <c r="AJ22" s="91"/>
      <c r="AK22" s="91"/>
      <c r="AL22" s="91"/>
      <c r="AM22" s="173"/>
      <c r="AN22" s="91"/>
      <c r="AO22" s="91"/>
      <c r="AP22" s="173"/>
      <c r="AQ22" s="91"/>
      <c r="AR22" s="91"/>
      <c r="AS22" s="91"/>
      <c r="AT22" s="91"/>
      <c r="AU22" s="91"/>
      <c r="AV22" s="91"/>
    </row>
    <row r="23" spans="1:48">
      <c r="A23" s="792">
        <v>18</v>
      </c>
      <c r="B23" s="793" t="str">
        <f>VLOOKUP(Table17[[#This Row],[šifra]],Table6[],2,0)</f>
        <v>ATTILA ScHNEIDER</v>
      </c>
      <c r="C23" s="90">
        <f>VLOOKUP(Table17[[#This Row],[šifra]],Table6[],3,0)</f>
        <v>0</v>
      </c>
      <c r="D23" s="100" t="str">
        <f>VLOOKUP(Table17[[#This Row],[šifra]],Table6[],4,0)</f>
        <v>NITKO</v>
      </c>
      <c r="E23" s="90" t="str">
        <f>VLOOKUP(Table17[[#This Row],[šifra]],Table6[],6,0)</f>
        <v>villa19tribunj@gmail.com</v>
      </c>
      <c r="F23" s="90" t="str">
        <f>VLOOKUP(Table17[[#This Row],[šifra]],Table6[],11,0)</f>
        <v>ne</v>
      </c>
      <c r="G23" s="90" t="str">
        <f>VLOOKUP(Table17[[#This Row],[šifra]],Table6[],10,0)</f>
        <v>da</v>
      </c>
      <c r="H23" s="139" t="str">
        <f>poduzeća!W19</f>
        <v>m-da</v>
      </c>
      <c r="I23" s="980" t="s">
        <v>1578</v>
      </c>
      <c r="J23" s="173"/>
      <c r="K23" s="91"/>
      <c r="L23" s="91"/>
      <c r="M23" s="566"/>
      <c r="N23" s="567"/>
      <c r="O23" s="91"/>
      <c r="P23" s="173"/>
      <c r="Q23" s="91"/>
      <c r="R23" s="91"/>
      <c r="S23" s="173"/>
      <c r="T23" s="91"/>
      <c r="U23" s="91"/>
      <c r="V23" s="173"/>
      <c r="W23" s="1001" t="s">
        <v>2005</v>
      </c>
      <c r="X23" s="173"/>
      <c r="Y23" s="173"/>
      <c r="Z23" s="173"/>
      <c r="AA23" s="91"/>
      <c r="AB23" s="173"/>
      <c r="AC23" s="173"/>
      <c r="AD23" s="91"/>
      <c r="AE23" s="177"/>
      <c r="AF23" s="173"/>
      <c r="AG23" s="91"/>
      <c r="AH23" s="173"/>
      <c r="AI23" s="91"/>
      <c r="AJ23" s="91"/>
      <c r="AK23" s="91"/>
      <c r="AL23" s="173"/>
      <c r="AM23" s="173"/>
      <c r="AN23" s="188"/>
      <c r="AO23" s="173"/>
      <c r="AP23" s="173"/>
      <c r="AQ23" s="91"/>
      <c r="AR23" s="173"/>
      <c r="AS23" s="91"/>
      <c r="AT23" s="189"/>
      <c r="AU23" s="91"/>
      <c r="AV23" s="91"/>
    </row>
    <row r="24" spans="1:48" ht="30">
      <c r="A24" s="88">
        <v>19</v>
      </c>
      <c r="B24" s="89" t="str">
        <f>VLOOKUP(Table17[[#This Row],[šifra]],Table6[],2,0)</f>
        <v>BAR KOD SUSTAVI d.o.o.</v>
      </c>
      <c r="C24" s="90">
        <f>VLOOKUP(Table17[[#This Row],[šifra]],Table6[],3,0)</f>
        <v>6</v>
      </c>
      <c r="D24" s="100" t="str">
        <f>VLOOKUP(Table17[[#This Row],[šifra]],Table6[],4,0)</f>
        <v>F. ANA P.</v>
      </c>
      <c r="E24" s="90" t="str">
        <f>VLOOKUP(Table17[[#This Row],[šifra]],Table6[],6,0)</f>
        <v>Kresimir Serdar &lt;kresimir.serdar@barkod.hr&gt;</v>
      </c>
      <c r="F24" s="90" t="str">
        <f>VLOOKUP(Table17[[#This Row],[šifra]],Table6[],11,0)</f>
        <v>da</v>
      </c>
      <c r="G24" s="90" t="str">
        <f>VLOOKUP(Table17[[#This Row],[šifra]],Table6[],10,0)</f>
        <v>da</v>
      </c>
      <c r="H24" s="139" t="str">
        <f>poduzeća!W20</f>
        <v>F-DA</v>
      </c>
      <c r="I24" s="980"/>
      <c r="J24" s="91"/>
      <c r="K24" s="173"/>
      <c r="L24" s="91"/>
      <c r="M24" s="190"/>
      <c r="N24" s="173"/>
      <c r="O24" s="91"/>
      <c r="P24" s="91"/>
      <c r="Q24" s="91"/>
      <c r="R24" s="91"/>
      <c r="S24" s="91"/>
      <c r="T24" s="173"/>
      <c r="U24" s="91"/>
      <c r="V24" s="91"/>
      <c r="W24" s="173"/>
      <c r="X24" s="173"/>
      <c r="Y24" s="173"/>
      <c r="Z24" s="173"/>
      <c r="AA24" s="91"/>
      <c r="AB24" s="173"/>
      <c r="AC24" s="91"/>
      <c r="AD24" s="173"/>
      <c r="AE24" s="173"/>
      <c r="AF24" s="91"/>
      <c r="AG24" s="173"/>
      <c r="AH24" s="173"/>
      <c r="AI24" s="91"/>
      <c r="AJ24" s="187"/>
      <c r="AK24" s="91"/>
      <c r="AL24" s="91"/>
      <c r="AM24" s="173"/>
      <c r="AN24" s="173"/>
      <c r="AO24" s="91"/>
      <c r="AP24" s="173"/>
      <c r="AQ24" s="91"/>
      <c r="AR24" s="91"/>
      <c r="AS24" s="91"/>
      <c r="AT24" s="91"/>
      <c r="AU24" s="91"/>
      <c r="AV24" s="91"/>
    </row>
    <row r="25" spans="1:48">
      <c r="A25" s="88">
        <v>20</v>
      </c>
      <c r="B25" s="89" t="str">
        <f>VLOOKUP(Table17[[#This Row],[šifra]],Table6[],2,0)</f>
        <v>BB OIL d.o.o.</v>
      </c>
      <c r="C25" s="90">
        <f>VLOOKUP(Table17[[#This Row],[šifra]],Table6[],3,0)</f>
        <v>6</v>
      </c>
      <c r="D25" s="100" t="str">
        <f>VLOOKUP(Table17[[#This Row],[šifra]],Table6[],4,0)</f>
        <v>F. ANA P.</v>
      </c>
      <c r="E25" s="90" t="str">
        <f>VLOOKUP(Table17[[#This Row],[šifra]],Table6[],6,0)</f>
        <v>info@bboil.hr</v>
      </c>
      <c r="F25" s="90" t="str">
        <f>VLOOKUP(Table17[[#This Row],[šifra]],Table6[],11,0)</f>
        <v>da</v>
      </c>
      <c r="G25" s="90" t="str">
        <f>VLOOKUP(Table17[[#This Row],[šifra]],Table6[],10,0)</f>
        <v>da</v>
      </c>
      <c r="H25" s="139" t="str">
        <f>poduzeća!W21</f>
        <v>F-DA</v>
      </c>
      <c r="I25" s="980"/>
      <c r="J25" s="173"/>
      <c r="K25" s="173"/>
      <c r="L25" s="91"/>
      <c r="M25" s="173"/>
      <c r="N25" s="173"/>
      <c r="O25" s="91"/>
      <c r="P25" s="91"/>
      <c r="Q25" s="91"/>
      <c r="R25" s="91"/>
      <c r="S25" s="91"/>
      <c r="T25" s="173"/>
      <c r="U25" s="91"/>
      <c r="V25" s="91"/>
      <c r="W25" s="173"/>
      <c r="X25" s="173"/>
      <c r="Y25" s="91"/>
      <c r="Z25" s="173"/>
      <c r="AA25" s="91"/>
      <c r="AB25" s="173"/>
      <c r="AC25" s="91"/>
      <c r="AD25" s="173"/>
      <c r="AE25" s="173"/>
      <c r="AF25" s="91"/>
      <c r="AG25" s="173"/>
      <c r="AH25" s="173"/>
      <c r="AI25" s="91"/>
      <c r="AJ25" s="187"/>
      <c r="AK25" s="91"/>
      <c r="AL25" s="91"/>
      <c r="AM25" s="173"/>
      <c r="AN25" s="173"/>
      <c r="AO25" s="173"/>
      <c r="AP25" s="173"/>
      <c r="AQ25" s="91"/>
      <c r="AR25" s="91"/>
      <c r="AS25" s="91"/>
      <c r="AT25" s="91"/>
      <c r="AU25" s="91"/>
      <c r="AV25" s="91"/>
    </row>
    <row r="26" spans="1:48">
      <c r="A26" s="88">
        <v>21</v>
      </c>
      <c r="B26" s="89" t="str">
        <f>VLOOKUP(Table17[[#This Row],[šifra]],Table6[],2,0)</f>
        <v>BB YACHT obrt vl baka bela</v>
      </c>
      <c r="C26" s="90">
        <f>VLOOKUP(Table17[[#This Row],[šifra]],Table6[],3,0)</f>
        <v>15</v>
      </c>
      <c r="D26" s="100" t="str">
        <f>VLOOKUP(Table17[[#This Row],[šifra]],Table6[],4,0)</f>
        <v>NIKOLINA</v>
      </c>
      <c r="E26" s="90" t="str">
        <f>VLOOKUP(Table17[[#This Row],[šifra]],Table6[],6,0)</f>
        <v>bbyachtkopacevo@gmail.com</v>
      </c>
      <c r="F26" s="90" t="str">
        <f>VLOOKUP(Table17[[#This Row],[šifra]],Table6[],11,0)</f>
        <v>da</v>
      </c>
      <c r="G26" s="90" t="str">
        <f>VLOOKUP(Table17[[#This Row],[šifra]],Table6[],10,0)</f>
        <v>da</v>
      </c>
      <c r="H26" s="139" t="str">
        <f>poduzeća!W22</f>
        <v>m-da</v>
      </c>
      <c r="I26" s="985" t="s">
        <v>1549</v>
      </c>
      <c r="J26" s="91"/>
      <c r="K26" s="173"/>
      <c r="L26" s="173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173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173"/>
      <c r="AN26" s="91"/>
      <c r="AO26" s="91"/>
      <c r="AP26" s="91"/>
      <c r="AQ26" s="91"/>
      <c r="AR26" s="91"/>
      <c r="AS26" s="173"/>
      <c r="AT26" s="91"/>
      <c r="AU26" s="91"/>
      <c r="AV26" s="91"/>
    </row>
    <row r="27" spans="1:48" ht="30">
      <c r="A27" s="88">
        <v>22</v>
      </c>
      <c r="B27" s="89" t="str">
        <f>VLOOKUP(Table17[[#This Row],[šifra]],Table6[],2,0)</f>
        <v>Beach-homes Privlaka j.d.o.o.</v>
      </c>
      <c r="C27" s="90">
        <f>VLOOKUP(Table17[[#This Row],[šifra]],Table6[],3,0)</f>
        <v>11</v>
      </c>
      <c r="D27" s="100" t="str">
        <f>VLOOKUP(Table17[[#This Row],[šifra]],Table6[],4,0)</f>
        <v>GABRIJELA</v>
      </c>
      <c r="E27" s="90" t="str">
        <f>VLOOKUP(Table17[[#This Row],[šifra]],Table6[],6,0)</f>
        <v>Homes Privlaka Beach &lt;beachhomes.privlaka@gmail.com&gt;</v>
      </c>
      <c r="F27" s="90" t="str">
        <f>VLOOKUP(Table17[[#This Row],[šifra]],Table6[],11,0)</f>
        <v>da</v>
      </c>
      <c r="G27" s="90" t="str">
        <f>VLOOKUP(Table17[[#This Row],[šifra]],Table6[],10,0)</f>
        <v>ne</v>
      </c>
      <c r="H27" s="139" t="str">
        <f>poduzeća!W23</f>
        <v>da</v>
      </c>
      <c r="I27" s="980" t="s">
        <v>1990</v>
      </c>
      <c r="J27" s="173"/>
      <c r="K27" s="173"/>
      <c r="L27" s="173"/>
      <c r="M27" s="173"/>
      <c r="N27" s="173"/>
      <c r="O27" s="173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173"/>
      <c r="AN27" s="91"/>
      <c r="AO27" s="91"/>
      <c r="AP27" s="173"/>
      <c r="AQ27" s="91"/>
      <c r="AR27" s="91"/>
      <c r="AS27" s="91"/>
      <c r="AT27" s="91"/>
      <c r="AU27" s="91"/>
      <c r="AV27" s="91"/>
    </row>
    <row r="28" spans="1:48" ht="30">
      <c r="A28" s="88">
        <v>23</v>
      </c>
      <c r="B28" s="89" t="str">
        <f>VLOOKUP(Table17[[#This Row],[šifra]],Table6[],2,0)</f>
        <v>BELLISSIMA j.d.o.o.</v>
      </c>
      <c r="C28" s="90">
        <f>VLOOKUP(Table17[[#This Row],[šifra]],Table6[],3,0)</f>
        <v>0</v>
      </c>
      <c r="D28" s="100" t="str">
        <f>VLOOKUP(Table17[[#This Row],[šifra]],Table6[],4,0)</f>
        <v>NITKO</v>
      </c>
      <c r="E28" s="90" t="str">
        <f>VLOOKUP(Table17[[#This Row],[šifra]],Table6[],6,0)</f>
        <v>Kristina Vezaj &lt;kristina.vezaj@gmail.com&gt;</v>
      </c>
      <c r="F28" s="90" t="str">
        <f>VLOOKUP(Table17[[#This Row],[šifra]],Table6[],11,0)</f>
        <v>da</v>
      </c>
      <c r="G28" s="90" t="str">
        <f>VLOOKUP(Table17[[#This Row],[šifra]],Table6[],10,0)</f>
        <v>ne</v>
      </c>
      <c r="H28" s="139" t="str">
        <f>poduzeća!W24</f>
        <v>da</v>
      </c>
      <c r="I28" s="986">
        <v>46134</v>
      </c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0"/>
      <c r="U28" s="91"/>
      <c r="V28" s="91"/>
      <c r="W28" s="173"/>
      <c r="X28" s="91"/>
      <c r="Y28" s="91"/>
      <c r="Z28" s="173"/>
      <c r="AA28" s="91"/>
      <c r="AB28" s="173"/>
      <c r="AC28" s="91"/>
      <c r="AD28" s="173"/>
      <c r="AE28" s="91"/>
      <c r="AF28" s="91"/>
      <c r="AG28" s="173"/>
      <c r="AH28" s="91"/>
      <c r="AI28" s="91"/>
      <c r="AJ28" s="173"/>
      <c r="AK28" s="173"/>
      <c r="AL28" s="91"/>
      <c r="AM28" s="173"/>
      <c r="AN28" s="91"/>
      <c r="AO28" s="91"/>
      <c r="AP28" s="91"/>
      <c r="AQ28" s="91"/>
      <c r="AR28" s="91"/>
      <c r="AS28" s="173"/>
      <c r="AT28" s="91"/>
      <c r="AU28" s="91"/>
      <c r="AV28" s="91"/>
    </row>
    <row r="29" spans="1:48" ht="30">
      <c r="A29" s="792">
        <v>24</v>
      </c>
      <c r="B29" s="89" t="str">
        <f>VLOOKUP(Table17[[#This Row],[šifra]],Table6[],2,0)</f>
        <v>BERNADETT VINCZE</v>
      </c>
      <c r="C29" s="90">
        <f>VLOOKUP(Table17[[#This Row],[šifra]],Table6[],3,0)</f>
        <v>10</v>
      </c>
      <c r="D29" s="100" t="str">
        <f>VLOOKUP(Table17[[#This Row],[šifra]],Table6[],4,0)</f>
        <v>MAJA</v>
      </c>
      <c r="E29" s="90" t="str">
        <f>VLOOKUP(Table17[[#This Row],[šifra]],Table6[],6,0)</f>
        <v>Bernadett Vincze &lt;vinczebernadett315@gmail.com&gt;</v>
      </c>
      <c r="F29" s="90" t="str">
        <f>VLOOKUP(Table17[[#This Row],[šifra]],Table6[],11,0)</f>
        <v>ne</v>
      </c>
      <c r="G29" s="90" t="str">
        <f>VLOOKUP(Table17[[#This Row],[šifra]],Table6[],10,0)</f>
        <v>da</v>
      </c>
      <c r="H29" s="139" t="str">
        <f>poduzeća!W25</f>
        <v>m-da</v>
      </c>
      <c r="I29" s="983" t="s">
        <v>1578</v>
      </c>
      <c r="J29" s="91"/>
      <c r="K29" s="91"/>
      <c r="L29" s="91"/>
      <c r="M29" s="567"/>
      <c r="N29" s="844" t="s">
        <v>1579</v>
      </c>
      <c r="O29" s="91"/>
      <c r="P29" s="91"/>
      <c r="Q29" s="91"/>
      <c r="R29" s="91"/>
      <c r="S29" s="91"/>
      <c r="T29" s="173"/>
      <c r="U29" s="173"/>
      <c r="V29" s="91"/>
      <c r="W29" s="91"/>
      <c r="X29" s="91"/>
      <c r="Y29" s="91"/>
      <c r="Z29" s="173"/>
      <c r="AA29" s="91"/>
      <c r="AB29" s="91"/>
      <c r="AC29" s="91"/>
      <c r="AD29" s="173"/>
      <c r="AE29" s="91"/>
      <c r="AF29" s="91"/>
      <c r="AG29" s="91"/>
      <c r="AH29" s="91"/>
      <c r="AI29" s="91"/>
      <c r="AJ29" s="91"/>
      <c r="AK29" s="91"/>
      <c r="AL29" s="91"/>
      <c r="AM29" s="173"/>
      <c r="AN29" s="91"/>
      <c r="AO29" s="91"/>
      <c r="AP29" s="91"/>
      <c r="AQ29" s="91"/>
      <c r="AR29" s="91"/>
      <c r="AS29" s="91"/>
      <c r="AT29" s="91"/>
      <c r="AU29" s="91"/>
      <c r="AV29" s="91"/>
    </row>
    <row r="30" spans="1:48" ht="30">
      <c r="A30" s="88">
        <v>25</v>
      </c>
      <c r="B30" s="89" t="str">
        <f>VLOOKUP(Table17[[#This Row],[šifra]],Table6[],2,0)</f>
        <v>BEST LOGISTICS PARTNER d.o.o.</v>
      </c>
      <c r="C30" s="90">
        <f>VLOOKUP(Table17[[#This Row],[šifra]],Table6[],3,0)</f>
        <v>28</v>
      </c>
      <c r="D30" s="100" t="str">
        <f>VLOOKUP(Table17[[#This Row],[šifra]],Table6[],4,0)</f>
        <v>STOPIRAN</v>
      </c>
      <c r="E30" s="90" t="str">
        <f>VLOOKUP(Table17[[#This Row],[šifra]],Table6[],6,0)</f>
        <v>bestlogisticsdoo@gmail.com OLEKSANDR SILADI</v>
      </c>
      <c r="F30" s="90" t="str">
        <f>VLOOKUP(Table17[[#This Row],[šifra]],Table6[],11,0)</f>
        <v>ne</v>
      </c>
      <c r="G30" s="90" t="str">
        <f>VLOOKUP(Table17[[#This Row],[šifra]],Table6[],10,0)</f>
        <v>da</v>
      </c>
      <c r="H30" s="139" t="str">
        <f>poduzeća!W26</f>
        <v>da</v>
      </c>
      <c r="I30" s="983">
        <v>46125</v>
      </c>
      <c r="J30" s="173"/>
      <c r="K30" s="173"/>
      <c r="L30" s="173"/>
      <c r="M30" s="566"/>
      <c r="N30" s="566"/>
      <c r="O30" s="173"/>
      <c r="P30" s="91"/>
      <c r="Q30" s="177"/>
      <c r="R30" s="177"/>
      <c r="S30" s="173"/>
      <c r="T30" s="173"/>
      <c r="U30" s="173"/>
      <c r="V30" s="173"/>
      <c r="W30" s="173"/>
      <c r="X30" s="91"/>
      <c r="Y30" s="173"/>
      <c r="Z30" s="173"/>
      <c r="AA30" s="91"/>
      <c r="AB30" s="91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91"/>
      <c r="AV30" s="91"/>
    </row>
    <row r="31" spans="1:48">
      <c r="A31" s="840">
        <v>26</v>
      </c>
      <c r="B31" s="841" t="str">
        <f>VLOOKUP(Table17[[#This Row],[šifra]],Table6[],2,0)</f>
        <v>BetonOS vl. RUDOLF GERGELJ</v>
      </c>
      <c r="C31" s="90">
        <f>VLOOKUP(Table17[[#This Row],[šifra]],Table6[],3,0)</f>
        <v>10</v>
      </c>
      <c r="D31" s="100" t="str">
        <f>VLOOKUP(Table17[[#This Row],[šifra]],Table6[],4,0)</f>
        <v>MAJA</v>
      </c>
      <c r="E31" s="90" t="str">
        <f>VLOOKUP(Table17[[#This Row],[šifra]],Table6[],6,0)</f>
        <v>info@busenje.com</v>
      </c>
      <c r="F31" s="90" t="str">
        <f>VLOOKUP(Table17[[#This Row],[šifra]],Table6[],11,0)</f>
        <v>ne</v>
      </c>
      <c r="G31" s="90" t="str">
        <f>VLOOKUP(Table17[[#This Row],[šifra]],Table6[],10,0)</f>
        <v>ne</v>
      </c>
      <c r="H31" s="139" t="str">
        <f>poduzeća!W27</f>
        <v>m-da</v>
      </c>
      <c r="I31" s="983" t="s">
        <v>1365</v>
      </c>
      <c r="J31" s="627"/>
      <c r="K31" s="566"/>
      <c r="L31" s="173"/>
      <c r="M31" s="567"/>
      <c r="N31" s="566"/>
      <c r="O31" s="173"/>
      <c r="P31" s="91"/>
      <c r="Q31" s="91"/>
      <c r="R31" s="91"/>
      <c r="S31" s="91"/>
      <c r="T31" s="173"/>
      <c r="U31" s="91"/>
      <c r="V31" s="91"/>
      <c r="W31" s="173"/>
      <c r="X31" s="91"/>
      <c r="Y31" s="91"/>
      <c r="Z31" s="173"/>
      <c r="AA31" s="91"/>
      <c r="AB31" s="91"/>
      <c r="AC31" s="91"/>
      <c r="AD31" s="173"/>
      <c r="AE31" s="91"/>
      <c r="AF31" s="91"/>
      <c r="AG31" s="173"/>
      <c r="AH31" s="173"/>
      <c r="AI31" s="91"/>
      <c r="AJ31" s="173"/>
      <c r="AK31" s="173"/>
      <c r="AL31" s="91"/>
      <c r="AM31" s="173"/>
      <c r="AN31" s="173"/>
      <c r="AO31" s="91"/>
      <c r="AP31" s="173"/>
      <c r="AQ31" s="91"/>
      <c r="AR31" s="91"/>
      <c r="AS31" s="173"/>
      <c r="AT31" s="91"/>
      <c r="AU31" s="91"/>
      <c r="AV31" s="91"/>
    </row>
    <row r="32" spans="1:48">
      <c r="A32" s="88">
        <v>27</v>
      </c>
      <c r="B32" s="89" t="str">
        <f>VLOOKUP(Table17[[#This Row],[šifra]],Table6[],2,0)</f>
        <v>BEYONDI d.o.o.</v>
      </c>
      <c r="C32" s="90">
        <f>VLOOKUP(Table17[[#This Row],[šifra]],Table6[],3,0)</f>
        <v>0</v>
      </c>
      <c r="D32" s="100" t="str">
        <f>VLOOKUP(Table17[[#This Row],[šifra]],Table6[],4,0)</f>
        <v>NITKO</v>
      </c>
      <c r="E32" s="90" t="str">
        <f>VLOOKUP(Table17[[#This Row],[šifra]],Table6[],6,0)</f>
        <v>office@beyondi.co</v>
      </c>
      <c r="F32" s="90" t="str">
        <f>VLOOKUP(Table17[[#This Row],[šifra]],Table6[],11,0)</f>
        <v>da</v>
      </c>
      <c r="G32" s="90" t="str">
        <f>VLOOKUP(Table17[[#This Row],[šifra]],Table6[],10,0)</f>
        <v>da</v>
      </c>
      <c r="H32" s="139" t="str">
        <f>poduzeća!W28</f>
        <v>ne</v>
      </c>
      <c r="I32" s="980"/>
      <c r="J32" s="191"/>
      <c r="K32" s="173"/>
      <c r="L32" s="173"/>
      <c r="M32" s="91"/>
      <c r="N32" s="173"/>
      <c r="O32" s="173"/>
      <c r="P32" s="91"/>
      <c r="Q32" s="91"/>
      <c r="R32" s="91"/>
      <c r="S32" s="91"/>
      <c r="T32" s="173"/>
      <c r="U32" s="91"/>
      <c r="V32" s="91"/>
      <c r="W32" s="173"/>
      <c r="X32" s="91"/>
      <c r="Y32" s="91"/>
      <c r="Z32" s="173"/>
      <c r="AA32" s="91"/>
      <c r="AB32" s="91"/>
      <c r="AC32" s="91"/>
      <c r="AD32" s="173"/>
      <c r="AE32" s="91"/>
      <c r="AF32" s="91"/>
      <c r="AG32" s="173"/>
      <c r="AH32" s="173"/>
      <c r="AI32" s="91"/>
      <c r="AJ32" s="173"/>
      <c r="AK32" s="173"/>
      <c r="AL32" s="91"/>
      <c r="AM32" s="173"/>
      <c r="AN32" s="173"/>
      <c r="AO32" s="91"/>
      <c r="AP32" s="173"/>
      <c r="AQ32" s="91"/>
      <c r="AR32" s="91"/>
      <c r="AS32" s="173"/>
      <c r="AT32" s="91"/>
      <c r="AU32" s="91"/>
      <c r="AV32" s="91"/>
    </row>
    <row r="33" spans="1:48">
      <c r="A33" s="88">
        <v>28</v>
      </c>
      <c r="B33" s="89" t="str">
        <f>VLOOKUP(Table17[[#This Row],[šifra]],Table6[],2,0)</f>
        <v>BO.V.AT j.d.o.o.</v>
      </c>
      <c r="C33" s="90">
        <f>VLOOKUP(Table17[[#This Row],[šifra]],Table6[],3,0)</f>
        <v>20</v>
      </c>
      <c r="D33" s="100" t="str">
        <f>VLOOKUP(Table17[[#This Row],[šifra]],Table6[],4,0)</f>
        <v>VESNA</v>
      </c>
      <c r="E33" s="90" t="str">
        <f>VLOOKUP(Table17[[#This Row],[šifra]],Table6[],6,0)</f>
        <v>ve.miletic@gmail.com</v>
      </c>
      <c r="F33" s="90" t="str">
        <f>VLOOKUP(Table17[[#This Row],[šifra]],Table6[],11,0)</f>
        <v>ne</v>
      </c>
      <c r="G33" s="90" t="str">
        <f>VLOOKUP(Table17[[#This Row],[šifra]],Table6[],10,0)</f>
        <v>da</v>
      </c>
      <c r="H33" s="139" t="str">
        <f>poduzeća!W29</f>
        <v>da</v>
      </c>
      <c r="I33" s="980"/>
      <c r="J33" s="191"/>
      <c r="K33" s="173"/>
      <c r="L33" s="173"/>
      <c r="M33" s="91"/>
      <c r="N33" s="566"/>
      <c r="O33" s="173"/>
      <c r="P33" s="91"/>
      <c r="Q33" s="91"/>
      <c r="R33" s="91"/>
      <c r="S33" s="91"/>
      <c r="T33" s="173"/>
      <c r="U33" s="173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173"/>
      <c r="AN33" s="91"/>
      <c r="AO33" s="91"/>
      <c r="AP33" s="173"/>
      <c r="AQ33" s="91"/>
      <c r="AR33" s="91"/>
      <c r="AS33" s="173"/>
      <c r="AT33" s="91"/>
      <c r="AU33" s="91"/>
      <c r="AV33" s="91"/>
    </row>
    <row r="34" spans="1:48">
      <c r="A34" s="88">
        <v>29</v>
      </c>
      <c r="B34" s="89" t="str">
        <f>VLOOKUP(Table17[[#This Row],[šifra]],Table6[],2,0)</f>
        <v>BOLE VL.BOŠNJAK ŽELJKO</v>
      </c>
      <c r="C34" s="90">
        <f>VLOOKUP(Table17[[#This Row],[šifra]],Table6[],3,0)</f>
        <v>15</v>
      </c>
      <c r="D34" s="100" t="str">
        <f>VLOOKUP(Table17[[#This Row],[šifra]],Table6[],4,0)</f>
        <v>NIKOLINA</v>
      </c>
      <c r="E34" s="90" t="str">
        <f>VLOOKUP(Table17[[#This Row],[šifra]],Table6[],6,0)</f>
        <v>boleizradakljuceva@gmail.com</v>
      </c>
      <c r="F34" s="90" t="str">
        <f>VLOOKUP(Table17[[#This Row],[šifra]],Table6[],11,0)</f>
        <v>da</v>
      </c>
      <c r="G34" s="90" t="str">
        <f>VLOOKUP(Table17[[#This Row],[šifra]],Table6[],10,0)</f>
        <v>da</v>
      </c>
      <c r="H34" s="139" t="str">
        <f>poduzeća!W30</f>
        <v>m-da</v>
      </c>
      <c r="I34" s="985" t="s">
        <v>1549</v>
      </c>
      <c r="J34" s="173"/>
      <c r="K34" s="177"/>
      <c r="L34" s="177"/>
      <c r="M34" s="173"/>
      <c r="N34" s="173"/>
      <c r="O34" s="173"/>
      <c r="P34" s="91"/>
      <c r="Q34" s="173"/>
      <c r="R34" s="173"/>
      <c r="S34" s="173"/>
      <c r="T34" s="173"/>
      <c r="U34" s="173"/>
      <c r="V34" s="173"/>
      <c r="W34" s="173"/>
      <c r="X34" s="91"/>
      <c r="Y34" s="173"/>
      <c r="Z34" s="173"/>
      <c r="AA34" s="91"/>
      <c r="AB34" s="173"/>
      <c r="AC34" s="173"/>
      <c r="AD34" s="173"/>
      <c r="AE34" s="91"/>
      <c r="AF34" s="173"/>
      <c r="AG34" s="173"/>
      <c r="AH34" s="173"/>
      <c r="AI34" s="173"/>
      <c r="AJ34" s="173"/>
      <c r="AK34" s="173"/>
      <c r="AL34" s="173"/>
      <c r="AM34" s="173"/>
      <c r="AN34" s="91"/>
      <c r="AO34" s="173"/>
      <c r="AP34" s="173"/>
      <c r="AQ34" s="91"/>
      <c r="AR34" s="173"/>
      <c r="AS34" s="173"/>
      <c r="AT34" s="91"/>
      <c r="AU34" s="91"/>
      <c r="AV34" s="91"/>
    </row>
    <row r="35" spans="1:48">
      <c r="A35" s="88">
        <v>30</v>
      </c>
      <c r="B35" s="793" t="str">
        <f>VLOOKUP(Table17[[#This Row],[šifra]],Table6[],2,0)</f>
        <v>BUCCANEER d.o.o.</v>
      </c>
      <c r="C35" s="90">
        <f>VLOOKUP(Table17[[#This Row],[šifra]],Table6[],3,0)</f>
        <v>23</v>
      </c>
      <c r="D35" s="100" t="str">
        <f>VLOOKUP(Table17[[#This Row],[šifra]],Table6[],4,0)</f>
        <v>MARKO</v>
      </c>
      <c r="E35" s="90" t="str">
        <f>VLOOKUP(Table17[[#This Row],[šifra]],Table6[],6,0)</f>
        <v>vincze.janos3@gmail.com</v>
      </c>
      <c r="F35" s="90" t="str">
        <f>VLOOKUP(Table17[[#This Row],[šifra]],Table6[],11,0)</f>
        <v>ne</v>
      </c>
      <c r="G35" s="90" t="str">
        <f>VLOOKUP(Table17[[#This Row],[šifra]],Table6[],10,0)</f>
        <v>da</v>
      </c>
      <c r="H35" s="139" t="str">
        <f>poduzeća!W31</f>
        <v>da</v>
      </c>
      <c r="I35" s="980" t="s">
        <v>1645</v>
      </c>
      <c r="J35" s="566"/>
      <c r="K35" s="566">
        <v>46036</v>
      </c>
      <c r="L35" s="91"/>
      <c r="M35" s="566"/>
      <c r="N35" s="752"/>
      <c r="O35" s="91"/>
      <c r="P35" s="91"/>
      <c r="Q35" s="173"/>
      <c r="R35" s="173"/>
      <c r="S35" s="173"/>
      <c r="T35" s="91"/>
      <c r="U35" s="91"/>
      <c r="V35" s="173"/>
      <c r="W35" s="91"/>
      <c r="X35" s="173"/>
      <c r="Y35" s="173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173"/>
      <c r="AM35" s="173"/>
      <c r="AN35" s="91"/>
      <c r="AO35" s="91"/>
      <c r="AP35" s="173"/>
      <c r="AQ35" s="91"/>
      <c r="AR35" s="91"/>
      <c r="AS35" s="91"/>
      <c r="AT35" s="91"/>
      <c r="AU35" s="91"/>
      <c r="AV35" s="91"/>
    </row>
    <row r="36" spans="1:48" ht="30">
      <c r="A36" s="88">
        <v>31</v>
      </c>
      <c r="B36" s="89" t="str">
        <f>VLOOKUP(Table17[[#This Row],[šifra]],Table6[],2,0)</f>
        <v>Cardiorent j.d.o.o.</v>
      </c>
      <c r="C36" s="90">
        <f>VLOOKUP(Table17[[#This Row],[šifra]],Table6[],3,0)</f>
        <v>2</v>
      </c>
      <c r="D36" s="100" t="str">
        <f>VLOOKUP(Table17[[#This Row],[šifra]],Table6[],4,0)</f>
        <v>LAURA</v>
      </c>
      <c r="E36" s="90" t="str">
        <f>VLOOKUP(Table17[[#This Row],[šifra]],Table6[],6,0)</f>
        <v>Aradi Daniel /Eszter eszter.aradi@tagoremed.hu</v>
      </c>
      <c r="F36" s="90" t="str">
        <f>VLOOKUP(Table17[[#This Row],[šifra]],Table6[],11,0)</f>
        <v>ne</v>
      </c>
      <c r="G36" s="90" t="str">
        <f>VLOOKUP(Table17[[#This Row],[šifra]],Table6[],10,0)</f>
        <v>da</v>
      </c>
      <c r="H36" s="139" t="str">
        <f>poduzeća!W32</f>
        <v>da</v>
      </c>
      <c r="I36" s="980" t="s">
        <v>1646</v>
      </c>
      <c r="J36" s="173"/>
      <c r="K36" s="173"/>
      <c r="L36" s="173"/>
      <c r="M36" s="173"/>
      <c r="N36" s="173"/>
      <c r="O36" s="173"/>
      <c r="P36" s="91"/>
      <c r="Q36" s="173"/>
      <c r="R36" s="173"/>
      <c r="S36" s="173"/>
      <c r="T36" s="173"/>
      <c r="U36" s="173"/>
      <c r="V36" s="91"/>
      <c r="W36" s="173"/>
      <c r="X36" s="91"/>
      <c r="Y36" s="91"/>
      <c r="Z36" s="173"/>
      <c r="AA36" s="91"/>
      <c r="AB36" s="173"/>
      <c r="AC36" s="91"/>
      <c r="AD36" s="173"/>
      <c r="AE36" s="91"/>
      <c r="AF36" s="91"/>
      <c r="AG36" s="173"/>
      <c r="AH36" s="91"/>
      <c r="AI36" s="91"/>
      <c r="AJ36" s="173"/>
      <c r="AK36" s="173"/>
      <c r="AL36" s="91"/>
      <c r="AM36" s="173"/>
      <c r="AN36" s="91"/>
      <c r="AO36" s="91"/>
      <c r="AP36" s="91"/>
      <c r="AQ36" s="91"/>
      <c r="AR36" s="91"/>
      <c r="AS36" s="91"/>
      <c r="AT36" s="91"/>
      <c r="AU36" s="91"/>
      <c r="AV36" s="91"/>
    </row>
    <row r="37" spans="1:48" ht="30">
      <c r="A37" s="88">
        <v>32</v>
      </c>
      <c r="B37" s="89" t="str">
        <f>VLOOKUP(Table17[[#This Row],[šifra]],Table6[],2,0)</f>
        <v>CEDRUM PROJEKT j.d.o.o.</v>
      </c>
      <c r="C37" s="90">
        <f>VLOOKUP(Table17[[#This Row],[šifra]],Table6[],3,0)</f>
        <v>11</v>
      </c>
      <c r="D37" s="100" t="str">
        <f>VLOOKUP(Table17[[#This Row],[šifra]],Table6[],4,0)</f>
        <v>GABRIJELA</v>
      </c>
      <c r="E37" s="90" t="str">
        <f>VLOOKUP(Table17[[#This Row],[šifra]],Table6[],6,0)</f>
        <v>istvan.pinter gmail &lt;istvan.pinter@gmail.com&gt;</v>
      </c>
      <c r="F37" s="90" t="str">
        <f>VLOOKUP(Table17[[#This Row],[šifra]],Table6[],11,0)</f>
        <v>ne</v>
      </c>
      <c r="G37" s="90" t="str">
        <f>VLOOKUP(Table17[[#This Row],[šifra]],Table6[],10,0)</f>
        <v>ne</v>
      </c>
      <c r="H37" s="139" t="str">
        <f>poduzeća!W33</f>
        <v>da</v>
      </c>
      <c r="I37" s="983">
        <v>46142</v>
      </c>
      <c r="J37" s="173"/>
      <c r="K37" s="173"/>
      <c r="L37" s="173"/>
      <c r="M37" s="173"/>
      <c r="N37" s="173"/>
      <c r="O37" s="173"/>
      <c r="P37" s="91"/>
      <c r="Q37" s="173"/>
      <c r="R37" s="173"/>
      <c r="S37" s="173"/>
      <c r="T37" s="173"/>
      <c r="U37" s="173"/>
      <c r="V37" s="173"/>
      <c r="W37" s="173"/>
      <c r="X37" s="91"/>
      <c r="Y37" s="173"/>
      <c r="Z37" s="173"/>
      <c r="AA37" s="91"/>
      <c r="AB37" s="91"/>
      <c r="AC37" s="91"/>
      <c r="AD37" s="173"/>
      <c r="AE37" s="129"/>
      <c r="AF37" s="91"/>
      <c r="AG37" s="173"/>
      <c r="AH37" s="91"/>
      <c r="AI37" s="91"/>
      <c r="AJ37" s="173"/>
      <c r="AK37" s="91"/>
      <c r="AL37" s="173"/>
      <c r="AM37" s="173"/>
      <c r="AN37" s="91"/>
      <c r="AO37" s="91"/>
      <c r="AP37" s="173"/>
      <c r="AQ37" s="91"/>
      <c r="AR37" s="91"/>
      <c r="AS37" s="173"/>
      <c r="AT37" s="189"/>
      <c r="AU37" s="91"/>
      <c r="AV37" s="91"/>
    </row>
    <row r="38" spans="1:48">
      <c r="A38" s="88">
        <v>33</v>
      </c>
      <c r="B38" s="89" t="str">
        <f>VLOOKUP(Table17[[#This Row],[šifra]],Table6[],2,0)</f>
        <v>ComVin Agro d.o.o.</v>
      </c>
      <c r="C38" s="90">
        <f>VLOOKUP(Table17[[#This Row],[šifra]],Table6[],3,0)</f>
        <v>15</v>
      </c>
      <c r="D38" s="100" t="str">
        <f>VLOOKUP(Table17[[#This Row],[šifra]],Table6[],4,0)</f>
        <v>NIKOLINA</v>
      </c>
      <c r="E38" s="90" t="str">
        <f>VLOOKUP(Table17[[#This Row],[šifra]],Table6[],6,0)</f>
        <v>comvinagro@gmail.com</v>
      </c>
      <c r="F38" s="90" t="str">
        <f>VLOOKUP(Table17[[#This Row],[šifra]],Table6[],11,0)</f>
        <v>ne</v>
      </c>
      <c r="G38" s="90" t="str">
        <f>VLOOKUP(Table17[[#This Row],[šifra]],Table6[],10,0)</f>
        <v>DA</v>
      </c>
      <c r="H38" s="139" t="str">
        <f>poduzeća!W34</f>
        <v>da</v>
      </c>
      <c r="I38" s="986"/>
      <c r="J38" s="173"/>
      <c r="K38" s="173"/>
      <c r="L38" s="173"/>
      <c r="M38" s="173"/>
      <c r="N38" s="173"/>
      <c r="O38" s="173"/>
      <c r="P38" s="91"/>
      <c r="Q38" s="173"/>
      <c r="R38" s="173"/>
      <c r="S38" s="173"/>
      <c r="T38" s="173"/>
      <c r="U38" s="173"/>
      <c r="V38" s="173"/>
      <c r="W38" s="173"/>
      <c r="X38" s="91"/>
      <c r="Y38" s="173"/>
      <c r="Z38" s="173"/>
      <c r="AA38" s="91"/>
      <c r="AB38" s="173"/>
      <c r="AC38" s="173"/>
      <c r="AD38" s="173"/>
      <c r="AE38" s="91"/>
      <c r="AF38" s="173"/>
      <c r="AG38" s="173"/>
      <c r="AH38" s="91"/>
      <c r="AI38" s="173"/>
      <c r="AJ38" s="173"/>
      <c r="AK38" s="173"/>
      <c r="AL38" s="173"/>
      <c r="AM38" s="173"/>
      <c r="AN38" s="173"/>
      <c r="AO38" s="91"/>
      <c r="AP38" s="91"/>
      <c r="AQ38" s="91"/>
      <c r="AR38" s="91"/>
      <c r="AS38" s="91"/>
      <c r="AT38" s="91"/>
      <c r="AU38" s="91"/>
      <c r="AV38" s="91"/>
    </row>
    <row r="39" spans="1:48" ht="105">
      <c r="A39" s="88">
        <v>34</v>
      </c>
      <c r="B39" s="89" t="str">
        <f>VLOOKUP(Table17[[#This Row],[šifra]],Table6[],2,0)</f>
        <v>Creative Group d.o.o.</v>
      </c>
      <c r="C39" s="90">
        <f>VLOOKUP(Table17[[#This Row],[šifra]],Table6[],3,0)</f>
        <v>0</v>
      </c>
      <c r="D39" s="100" t="str">
        <f>VLOOKUP(Table17[[#This Row],[šifra]],Table6[],4,0)</f>
        <v>NITKO</v>
      </c>
      <c r="E39" s="90" t="str">
        <f>VLOOKUP(Table17[[#This Row],[šifra]],Table6[],6,0)</f>
        <v>Milena Stanišić &lt;milenastanisic@gmail.com&gt;; 
anđela prnjak &lt;andjelaprnjak@gmail.com&gt;;
Maja Dragojevic Bacic &lt;maja.dragojevic@synergia-consulting.hr&gt;</v>
      </c>
      <c r="F39" s="90" t="str">
        <f>VLOOKUP(Table17[[#This Row],[šifra]],Table6[],11,0)</f>
        <v>da</v>
      </c>
      <c r="G39" s="90" t="str">
        <f>VLOOKUP(Table17[[#This Row],[šifra]],Table6[],10,0)</f>
        <v>ne</v>
      </c>
      <c r="H39" s="139" t="str">
        <f>poduzeća!W35</f>
        <v>ne</v>
      </c>
      <c r="I39" s="980" t="s">
        <v>1092</v>
      </c>
      <c r="J39" s="173"/>
      <c r="K39" s="91"/>
      <c r="L39" s="91"/>
      <c r="M39" s="173"/>
      <c r="N39" s="91"/>
      <c r="O39" s="91"/>
      <c r="P39" s="91"/>
      <c r="Q39" s="173"/>
      <c r="R39" s="173"/>
      <c r="S39" s="173"/>
      <c r="T39" s="91"/>
      <c r="U39" s="91"/>
      <c r="V39" s="173"/>
      <c r="W39" s="91"/>
      <c r="X39" s="91"/>
      <c r="Y39" s="173"/>
      <c r="Z39" s="91"/>
      <c r="AA39" s="91"/>
      <c r="AB39" s="173"/>
      <c r="AC39" s="173"/>
      <c r="AD39" s="91"/>
      <c r="AE39" s="91"/>
      <c r="AF39" s="173"/>
      <c r="AG39" s="91"/>
      <c r="AH39" s="91"/>
      <c r="AI39" s="173"/>
      <c r="AJ39" s="91"/>
      <c r="AK39" s="91"/>
      <c r="AL39" s="173"/>
      <c r="AM39" s="91"/>
      <c r="AN39" s="91"/>
      <c r="AO39" s="91"/>
      <c r="AP39" s="91"/>
      <c r="AQ39" s="91"/>
      <c r="AR39" s="91"/>
      <c r="AS39" s="91"/>
      <c r="AT39" s="91"/>
      <c r="AU39" s="91"/>
      <c r="AV39" s="91"/>
    </row>
    <row r="40" spans="1:48" ht="45">
      <c r="A40" s="88">
        <v>35</v>
      </c>
      <c r="B40" s="89" t="str">
        <f>VLOOKUP(Table17[[#This Row],[šifra]],Table6[],2,0)</f>
        <v>CRO ENERGIJA d.o.o.</v>
      </c>
      <c r="C40" s="90">
        <f>VLOOKUP(Table17[[#This Row],[šifra]],Table6[],3,0)</f>
        <v>11</v>
      </c>
      <c r="D40" s="100" t="str">
        <f>VLOOKUP(Table17[[#This Row],[šifra]],Table6[],4,0)</f>
        <v>GABRIJELA</v>
      </c>
      <c r="E40" s="90" t="str">
        <f>VLOOKUP(Table17[[#This Row],[šifra]],Table6[],6,0)</f>
        <v>SZILIKAZSOLT@EU-SOLAR.HU,
 szeleszsuzsanna@eu-solar.hu, 
szeles.zsuzsanna81@gmail.com</v>
      </c>
      <c r="F40" s="90" t="str">
        <f>VLOOKUP(Table17[[#This Row],[šifra]],Table6[],11,0)</f>
        <v>da</v>
      </c>
      <c r="G40" s="90" t="str">
        <f>VLOOKUP(Table17[[#This Row],[šifra]],Table6[],10,0)</f>
        <v>da</v>
      </c>
      <c r="H40" s="139" t="str">
        <f>poduzeća!W36</f>
        <v>da</v>
      </c>
      <c r="I40" s="987" t="s">
        <v>1991</v>
      </c>
      <c r="J40" s="91"/>
      <c r="K40" s="173"/>
      <c r="L40" s="173"/>
      <c r="M40" s="91"/>
      <c r="N40" s="173"/>
      <c r="O40" s="173"/>
      <c r="P40" s="91"/>
      <c r="Q40" s="91"/>
      <c r="R40" s="91"/>
      <c r="S40" s="91"/>
      <c r="T40" s="173"/>
      <c r="U40" s="173"/>
      <c r="V40" s="91"/>
      <c r="W40" s="173"/>
      <c r="X40" s="91"/>
      <c r="Y40" s="91"/>
      <c r="Z40" s="173"/>
      <c r="AA40" s="91"/>
      <c r="AB40" s="173"/>
      <c r="AC40" s="91"/>
      <c r="AD40" s="173"/>
      <c r="AE40" s="91"/>
      <c r="AF40" s="91"/>
      <c r="AG40" s="173"/>
      <c r="AH40" s="91"/>
      <c r="AI40" s="91"/>
      <c r="AJ40" s="173"/>
      <c r="AK40" s="173"/>
      <c r="AL40" s="91"/>
      <c r="AM40" s="173"/>
      <c r="AN40" s="91"/>
      <c r="AO40" s="91"/>
      <c r="AP40" s="91"/>
      <c r="AQ40" s="91"/>
      <c r="AR40" s="91"/>
      <c r="AS40" s="91"/>
      <c r="AT40" s="91"/>
      <c r="AU40" s="91"/>
      <c r="AV40" s="91"/>
    </row>
    <row r="41" spans="1:48" ht="30">
      <c r="A41" s="840">
        <v>36</v>
      </c>
      <c r="B41" s="841" t="str">
        <f>VLOOKUP(Table17[[#This Row],[šifra]],Table6[],2,0)</f>
        <v>CRUDA NAVITAS d.o.o.</v>
      </c>
      <c r="C41" s="90">
        <f>VLOOKUP(Table17[[#This Row],[šifra]],Table6[],3,0)</f>
        <v>22</v>
      </c>
      <c r="D41" s="100" t="str">
        <f>VLOOKUP(Table17[[#This Row],[šifra]],Table6[],4,0)</f>
        <v>LAURA /IVA INAN.</v>
      </c>
      <c r="E41" s="90" t="str">
        <f>VLOOKUP(Table17[[#This Row],[šifra]],Table6[],6,0)</f>
        <v>mmarkowski@fuelforce.p
info@crudanavitas.hr</v>
      </c>
      <c r="F41" s="90" t="str">
        <f>VLOOKUP(Table17[[#This Row],[šifra]],Table6[],11,0)</f>
        <v>ne</v>
      </c>
      <c r="G41" s="90" t="str">
        <f>VLOOKUP(Table17[[#This Row],[šifra]],Table6[],10,0)</f>
        <v>da</v>
      </c>
      <c r="H41" s="139" t="str">
        <f>poduzeća!W37</f>
        <v>da</v>
      </c>
      <c r="I41" s="983">
        <v>46141</v>
      </c>
      <c r="J41" s="173"/>
      <c r="K41" s="173"/>
      <c r="L41" s="173"/>
      <c r="M41" s="173"/>
      <c r="N41" s="566"/>
      <c r="O41" s="173"/>
      <c r="P41" s="91"/>
      <c r="Q41" s="173"/>
      <c r="R41" s="173"/>
      <c r="S41" s="173"/>
      <c r="T41" s="173"/>
      <c r="U41" s="173"/>
      <c r="V41" s="173"/>
      <c r="W41" s="173"/>
      <c r="X41" s="91"/>
      <c r="Y41" s="173"/>
      <c r="Z41" s="173"/>
      <c r="AA41" s="91"/>
      <c r="AB41" s="173"/>
      <c r="AC41" s="173"/>
      <c r="AD41" s="173"/>
      <c r="AE41" s="91"/>
      <c r="AF41" s="173"/>
      <c r="AG41" s="173"/>
      <c r="AH41" s="91"/>
      <c r="AI41" s="173"/>
      <c r="AJ41" s="173"/>
      <c r="AK41" s="173"/>
      <c r="AL41" s="173"/>
      <c r="AM41" s="173"/>
      <c r="AN41" s="173"/>
      <c r="AO41" s="91"/>
      <c r="AP41" s="91"/>
      <c r="AQ41" s="91"/>
      <c r="AR41" s="91"/>
      <c r="AS41" s="91"/>
      <c r="AT41" s="91"/>
      <c r="AU41" s="91"/>
      <c r="AV41" s="91"/>
    </row>
    <row r="42" spans="1:48" ht="120">
      <c r="A42" s="88">
        <v>37</v>
      </c>
      <c r="B42" s="89" t="str">
        <f>VLOOKUP(Table17[[#This Row],[šifra]],Table6[],2,0)</f>
        <v>CRYSTAL HOLIDAY RESIDENCE d.o.o.</v>
      </c>
      <c r="C42" s="90">
        <f>VLOOKUP(Table17[[#This Row],[šifra]],Table6[],3,0)</f>
        <v>23</v>
      </c>
      <c r="D42" s="100" t="str">
        <f>VLOOKUP(Table17[[#This Row],[šifra]],Table6[],4,0)</f>
        <v>MARKO</v>
      </c>
      <c r="E42" s="90" t="str">
        <f>VLOOKUP(Table17[[#This Row],[šifra]],Table6[],6,0)</f>
        <v>Rába Dominika &lt;dominika.raba@locomotivecee.hu&gt;
Barhács Zoltánné Joli barhacs.zoltanne@goldmann.co.hu
Sallai Barbara barbara.sallai@goldmann.co.hu
Gál Miklós &lt;miklos.gal@locomotivecee.hu&gt;</v>
      </c>
      <c r="F42" s="90" t="str">
        <f>VLOOKUP(Table17[[#This Row],[šifra]],Table6[],11,0)</f>
        <v>da</v>
      </c>
      <c r="G42" s="90" t="str">
        <f>VLOOKUP(Table17[[#This Row],[šifra]],Table6[],10,0)</f>
        <v>da</v>
      </c>
      <c r="H42" s="139" t="str">
        <f>poduzeća!W38</f>
        <v>da</v>
      </c>
      <c r="I42" s="983" t="s">
        <v>1645</v>
      </c>
      <c r="J42" s="91"/>
      <c r="K42" s="91"/>
      <c r="L42" s="91"/>
      <c r="M42" s="91"/>
      <c r="N42" s="173"/>
      <c r="O42" s="173"/>
      <c r="P42" s="91"/>
      <c r="Q42" s="91"/>
      <c r="R42" s="91"/>
      <c r="S42" s="91"/>
      <c r="T42" s="173"/>
      <c r="U42" s="173"/>
      <c r="V42" s="91"/>
      <c r="W42" s="173"/>
      <c r="X42" s="91"/>
      <c r="Y42" s="91"/>
      <c r="Z42" s="173"/>
      <c r="AA42" s="91"/>
      <c r="AB42" s="91"/>
      <c r="AC42" s="91"/>
      <c r="AD42" s="173"/>
      <c r="AE42" s="91"/>
      <c r="AF42" s="91"/>
      <c r="AG42" s="173"/>
      <c r="AH42" s="91"/>
      <c r="AI42" s="91"/>
      <c r="AJ42" s="173"/>
      <c r="AK42" s="173"/>
      <c r="AL42" s="91"/>
      <c r="AM42" s="173"/>
      <c r="AN42" s="91"/>
      <c r="AO42" s="91"/>
      <c r="AP42" s="91"/>
      <c r="AQ42" s="91"/>
      <c r="AR42" s="91"/>
      <c r="AS42" s="91"/>
      <c r="AT42" s="91"/>
      <c r="AU42" s="91"/>
      <c r="AV42" s="91"/>
    </row>
    <row r="43" spans="1:48" ht="60">
      <c r="A43" s="88">
        <v>38</v>
      </c>
      <c r="B43" s="89" t="str">
        <f>VLOOKUP(Table17[[#This Row],[šifra]],Table6[],2,0)</f>
        <v>Dalmatia Asset Operation d.o.o.</v>
      </c>
      <c r="C43" s="90">
        <f>VLOOKUP(Table17[[#This Row],[šifra]],Table6[],3,0)</f>
        <v>20</v>
      </c>
      <c r="D43" s="100" t="str">
        <f>VLOOKUP(Table17[[#This Row],[šifra]],Table6[],4,0)</f>
        <v>VESNA</v>
      </c>
      <c r="E43" s="90" t="str">
        <f>VLOOKUP(Table17[[#This Row],[šifra]],Table6[],6,0)</f>
        <v>balogh.levente@euronetrt.hu mailto:forrai.lajos@gmail.com] mailto:nexxpertisekft@gmail.com,  gyukesz15@gmail.com</v>
      </c>
      <c r="F43" s="90" t="str">
        <f>VLOOKUP(Table17[[#This Row],[šifra]],Table6[],11,0)</f>
        <v>da</v>
      </c>
      <c r="G43" s="90" t="str">
        <f>VLOOKUP(Table17[[#This Row],[šifra]],Table6[],10,0)</f>
        <v>da</v>
      </c>
      <c r="H43" s="139" t="str">
        <f>poduzeća!W39</f>
        <v>da</v>
      </c>
      <c r="I43" s="988">
        <v>46141</v>
      </c>
      <c r="J43" s="173"/>
      <c r="K43" s="173"/>
      <c r="L43" s="173"/>
      <c r="M43" s="566"/>
      <c r="N43" s="566"/>
      <c r="O43" s="173"/>
      <c r="P43" s="91"/>
      <c r="Q43" s="173"/>
      <c r="R43" s="173"/>
      <c r="S43" s="173"/>
      <c r="T43" s="173"/>
      <c r="U43" s="173"/>
      <c r="V43" s="173"/>
      <c r="W43" s="173"/>
      <c r="X43" s="91"/>
      <c r="Y43" s="173"/>
      <c r="Z43" s="177"/>
      <c r="AA43" s="91"/>
      <c r="AB43" s="192"/>
      <c r="AC43" s="173"/>
      <c r="AD43" s="173"/>
      <c r="AE43" s="173"/>
      <c r="AF43" s="173"/>
      <c r="AG43" s="173"/>
      <c r="AH43" s="193"/>
      <c r="AI43" s="173"/>
      <c r="AJ43" s="184"/>
      <c r="AK43" s="173"/>
      <c r="AL43" s="173"/>
      <c r="AM43" s="194"/>
      <c r="AN43" s="173"/>
      <c r="AO43" s="173"/>
      <c r="AP43" s="173"/>
      <c r="AQ43" s="173"/>
      <c r="AR43" s="91"/>
      <c r="AS43" s="195"/>
      <c r="AT43" s="91"/>
      <c r="AU43" s="91"/>
      <c r="AV43" s="91"/>
    </row>
    <row r="44" spans="1:48" ht="30">
      <c r="A44" s="88">
        <v>39</v>
      </c>
      <c r="B44" s="89" t="str">
        <f>VLOOKUP(Table17[[#This Row],[šifra]],Table6[],2,0)</f>
        <v>DECKMAN C-BELT KFT</v>
      </c>
      <c r="C44" s="90">
        <f>VLOOKUP(Table17[[#This Row],[šifra]],Table6[],3,0)</f>
        <v>15</v>
      </c>
      <c r="D44" s="100" t="str">
        <f>VLOOKUP(Table17[[#This Row],[šifra]],Table6[],4,0)</f>
        <v>NIKOLINA</v>
      </c>
      <c r="E44" s="90" t="str">
        <f>VLOOKUP(Table17[[#This Row],[šifra]],Table6[],6,0)</f>
        <v>Szigeti Gyöngyi - Deckman C-Belt Kft. &lt;konyveles@cbelt.hu&gt;</v>
      </c>
      <c r="F44" s="90" t="str">
        <f>VLOOKUP(Table17[[#This Row],[šifra]],Table6[],11,0)</f>
        <v>ne</v>
      </c>
      <c r="G44" s="90" t="str">
        <f>VLOOKUP(Table17[[#This Row],[šifra]],Table6[],10,0)</f>
        <v>da</v>
      </c>
      <c r="H44" s="139" t="str">
        <f>poduzeća!W40</f>
        <v>pd-da</v>
      </c>
      <c r="I44" s="980"/>
      <c r="J44" s="91"/>
      <c r="K44" s="196"/>
      <c r="L44" s="197"/>
      <c r="M44" s="91"/>
      <c r="N44" s="173"/>
      <c r="O44" s="91"/>
      <c r="P44" s="91"/>
      <c r="Q44" s="173"/>
      <c r="R44" s="91"/>
      <c r="S44" s="91"/>
      <c r="T44" s="173"/>
      <c r="U44" s="91"/>
      <c r="V44" s="91"/>
      <c r="W44" s="173"/>
      <c r="X44" s="173"/>
      <c r="Y44" s="91"/>
      <c r="Z44" s="173"/>
      <c r="AA44" s="91"/>
      <c r="AB44" s="198"/>
      <c r="AC44" s="91"/>
      <c r="AD44" s="173"/>
      <c r="AE44" s="173"/>
      <c r="AF44" s="91"/>
      <c r="AG44" s="173"/>
      <c r="AH44" s="173"/>
      <c r="AI44" s="91"/>
      <c r="AJ44" s="184"/>
      <c r="AK44" s="91"/>
      <c r="AL44" s="91"/>
      <c r="AM44" s="199"/>
      <c r="AN44" s="200"/>
      <c r="AO44" s="91"/>
      <c r="AP44" s="201"/>
      <c r="AQ44" s="91"/>
      <c r="AR44" s="91"/>
      <c r="AS44" s="195"/>
      <c r="AT44" s="189"/>
      <c r="AU44" s="91"/>
      <c r="AV44" s="91"/>
    </row>
    <row r="45" spans="1:48" ht="20.25" customHeight="1">
      <c r="A45" s="88">
        <v>40</v>
      </c>
      <c r="B45" s="89" t="str">
        <f>VLOOKUP(Table17[[#This Row],[šifra]],Table6[],2,0)</f>
        <v>DEEP CONSTRUCT j.d.o.o.</v>
      </c>
      <c r="C45" s="90">
        <f>VLOOKUP(Table17[[#This Row],[šifra]],Table6[],3,0)</f>
        <v>25</v>
      </c>
      <c r="D45" s="100" t="str">
        <f>VLOOKUP(Table17[[#This Row],[šifra]],Table6[],4,0)</f>
        <v>F. MARKO</v>
      </c>
      <c r="E45" s="90" t="str">
        <f>VLOOKUP(Table17[[#This Row],[šifra]],Table6[],6,0)</f>
        <v>deepconstruct24@gmail.com</v>
      </c>
      <c r="F45" s="90" t="str">
        <f>VLOOKUP(Table17[[#This Row],[šifra]],Table6[],11,0)</f>
        <v>da</v>
      </c>
      <c r="G45" s="90" t="str">
        <f>VLOOKUP(Table17[[#This Row],[šifra]],Table6[],10,0)</f>
        <v>da</v>
      </c>
      <c r="H45" s="139" t="str">
        <f>poduzeća!W41</f>
        <v>F-DA</v>
      </c>
      <c r="I45" s="980" t="s">
        <v>1645</v>
      </c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173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</row>
    <row r="46" spans="1:48">
      <c r="A46" s="88">
        <v>41</v>
      </c>
      <c r="B46" s="89" t="str">
        <f>VLOOKUP(Table17[[#This Row],[šifra]],Table6[],2,0)</f>
        <v>DEICO franšizer IVAN</v>
      </c>
      <c r="C46" s="90">
        <f>VLOOKUP(Table17[[#This Row],[šifra]],Table6[],3,0)</f>
        <v>26</v>
      </c>
      <c r="D46" s="100" t="str">
        <f>VLOOKUP(Table17[[#This Row],[šifra]],Table6[],4,0)</f>
        <v>F. IVAN</v>
      </c>
      <c r="E46" s="90" t="str">
        <f>VLOOKUP(Table17[[#This Row],[šifra]],Table6[],6,0)</f>
        <v>ivangrcic@gmail.com</v>
      </c>
      <c r="F46" s="90" t="str">
        <f>VLOOKUP(Table17[[#This Row],[šifra]],Table6[],11,0)</f>
        <v>ne</v>
      </c>
      <c r="G46" s="90" t="str">
        <f>VLOOKUP(Table17[[#This Row],[šifra]],Table6[],10,0)</f>
        <v>ne</v>
      </c>
      <c r="H46" s="139" t="str">
        <f>poduzeća!W42</f>
        <v>F-DA</v>
      </c>
      <c r="I46" s="980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173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173"/>
      <c r="AN46" s="91"/>
      <c r="AO46" s="91"/>
      <c r="AP46" s="173"/>
      <c r="AQ46" s="91"/>
      <c r="AR46" s="91"/>
      <c r="AS46" s="91"/>
      <c r="AT46" s="91"/>
      <c r="AU46" s="91"/>
      <c r="AV46" s="91"/>
    </row>
    <row r="47" spans="1:48" ht="60">
      <c r="A47" s="88">
        <v>42</v>
      </c>
      <c r="B47" s="89" t="str">
        <f>VLOOKUP(Table17[[#This Row],[šifra]],Table6[],2,0)</f>
        <v>DÉNÁR KFT</v>
      </c>
      <c r="C47" s="90">
        <f>VLOOKUP(Table17[[#This Row],[šifra]],Table6[],3,0)</f>
        <v>10</v>
      </c>
      <c r="D47" s="100" t="str">
        <f>VLOOKUP(Table17[[#This Row],[šifra]],Table6[],4,0)</f>
        <v>MAJA</v>
      </c>
      <c r="E47" s="90" t="str">
        <f>VLOOKUP(Table17[[#This Row],[šifra]],Table6[],6,0)</f>
        <v xml:space="preserve">Dr. Kincses István Ügyvédi Iroda &lt;kincsesugyvediiroda@t-online.hu&gt; 
Furákné Szabovik Renata &lt;szabovikr@hotmail.com&gt;, </v>
      </c>
      <c r="F47" s="90" t="str">
        <f>VLOOKUP(Table17[[#This Row],[šifra]],Table6[],11,0)</f>
        <v>ne</v>
      </c>
      <c r="G47" s="90" t="str">
        <f>VLOOKUP(Table17[[#This Row],[šifra]],Table6[],10,0)</f>
        <v>ne</v>
      </c>
      <c r="H47" s="139" t="str">
        <f>poduzeća!W43</f>
        <v>pd-da</v>
      </c>
      <c r="I47" s="983" t="s">
        <v>1682</v>
      </c>
      <c r="J47" s="567"/>
      <c r="K47" s="567"/>
      <c r="L47" s="91"/>
      <c r="M47" s="567"/>
      <c r="N47" s="902" t="s">
        <v>1695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173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173"/>
      <c r="AN47" s="91"/>
      <c r="AO47" s="91"/>
      <c r="AP47" s="173"/>
      <c r="AQ47" s="91"/>
      <c r="AR47" s="91"/>
      <c r="AS47" s="91"/>
      <c r="AT47" s="91"/>
      <c r="AU47" s="91"/>
      <c r="AV47" s="91"/>
    </row>
    <row r="48" spans="1:48" ht="22.5" customHeight="1">
      <c r="A48" s="88">
        <v>43</v>
      </c>
      <c r="B48" s="89" t="str">
        <f>VLOOKUP(Table17[[#This Row],[šifra]],Table6[],2,0)</f>
        <v>DG-ELEKTRO j.d.o.o.</v>
      </c>
      <c r="C48" s="90">
        <f>VLOOKUP(Table17[[#This Row],[šifra]],Table6[],3,0)</f>
        <v>20</v>
      </c>
      <c r="D48" s="100" t="str">
        <f>VLOOKUP(Table17[[#This Row],[šifra]],Table6[],4,0)</f>
        <v>VESNA</v>
      </c>
      <c r="E48" s="90" t="str">
        <f>VLOOKUP(Table17[[#This Row],[šifra]],Table6[],6,0)</f>
        <v>dg.elektro25@gmail.com</v>
      </c>
      <c r="F48" s="90" t="str">
        <f>VLOOKUP(Table17[[#This Row],[šifra]],Table6[],11,0)</f>
        <v>da</v>
      </c>
      <c r="G48" s="90" t="str">
        <f>VLOOKUP(Table17[[#This Row],[šifra]],Table6[],10,0)</f>
        <v>ne</v>
      </c>
      <c r="H48" s="139" t="str">
        <f>poduzeća!W44</f>
        <v>da</v>
      </c>
      <c r="I48" s="986" t="s">
        <v>1992</v>
      </c>
      <c r="J48" s="173"/>
      <c r="K48" s="173"/>
      <c r="L48" s="173"/>
      <c r="M48" s="566"/>
      <c r="N48" s="91"/>
      <c r="O48" s="91"/>
      <c r="P48" s="91"/>
      <c r="Q48" s="91"/>
      <c r="R48" s="91"/>
      <c r="S48" s="173"/>
      <c r="T48" s="91"/>
      <c r="U48" s="91"/>
      <c r="V48" s="173"/>
      <c r="W48" s="91"/>
      <c r="X48" s="91"/>
      <c r="Y48" s="173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173"/>
      <c r="AM48" s="173"/>
      <c r="AN48" s="173"/>
      <c r="AO48" s="91"/>
      <c r="AP48" s="91"/>
      <c r="AQ48" s="91"/>
      <c r="AR48" s="91"/>
      <c r="AS48" s="91"/>
      <c r="AT48" s="91"/>
      <c r="AU48" s="91"/>
      <c r="AV48" s="91"/>
    </row>
    <row r="49" spans="1:48" ht="17.25" customHeight="1">
      <c r="A49" s="88">
        <v>44</v>
      </c>
      <c r="B49" s="89" t="str">
        <f>VLOOKUP(Table17[[#This Row],[šifra]],Table6[],2,0)</f>
        <v>D-INVOICE d.o.o.</v>
      </c>
      <c r="C49" s="90">
        <f>VLOOKUP(Table17[[#This Row],[šifra]],Table6[],3,0)</f>
        <v>2</v>
      </c>
      <c r="D49" s="100" t="str">
        <f>VLOOKUP(Table17[[#This Row],[šifra]],Table6[],4,0)</f>
        <v>LAURA</v>
      </c>
      <c r="E49" s="90" t="str">
        <f>VLOOKUP(Table17[[#This Row],[šifra]],Table6[],6,0)</f>
        <v>mobilnost385@gmail.com</v>
      </c>
      <c r="F49" s="90" t="str">
        <f>VLOOKUP(Table17[[#This Row],[šifra]],Table6[],11,0)</f>
        <v>da</v>
      </c>
      <c r="G49" s="90" t="str">
        <f>VLOOKUP(Table17[[#This Row],[šifra]],Table6[],10,0)</f>
        <v>da</v>
      </c>
      <c r="H49" s="139" t="str">
        <f>poduzeća!W45</f>
        <v>da</v>
      </c>
      <c r="I49" s="984" t="s">
        <v>1683</v>
      </c>
      <c r="J49" s="566">
        <v>46028</v>
      </c>
      <c r="K49" s="566">
        <v>46041</v>
      </c>
      <c r="L49" s="91"/>
      <c r="M49" s="566">
        <v>46057</v>
      </c>
      <c r="N49" s="567"/>
      <c r="O49" s="91"/>
      <c r="P49" s="91"/>
      <c r="Q49" s="91"/>
      <c r="R49" s="91"/>
      <c r="S49" s="91"/>
      <c r="T49" s="91"/>
      <c r="U49" s="91"/>
      <c r="V49" s="91"/>
      <c r="W49" s="173"/>
      <c r="X49" s="91"/>
      <c r="Y49" s="91"/>
      <c r="Z49" s="173"/>
      <c r="AA49" s="91"/>
      <c r="AB49" s="91"/>
      <c r="AC49" s="91"/>
      <c r="AD49" s="173"/>
      <c r="AE49" s="91"/>
      <c r="AF49" s="91"/>
      <c r="AG49" s="173"/>
      <c r="AH49" s="91"/>
      <c r="AI49" s="91"/>
      <c r="AJ49" s="91"/>
      <c r="AK49" s="91"/>
      <c r="AL49" s="91"/>
      <c r="AM49" s="173"/>
      <c r="AN49" s="91"/>
      <c r="AO49" s="91"/>
      <c r="AP49" s="91"/>
      <c r="AQ49" s="91"/>
      <c r="AR49" s="91"/>
      <c r="AS49" s="91"/>
      <c r="AT49" s="91"/>
      <c r="AU49" s="91"/>
      <c r="AV49" s="91"/>
    </row>
    <row r="50" spans="1:48">
      <c r="A50" s="88">
        <v>45</v>
      </c>
      <c r="B50" s="89" t="str">
        <f>VLOOKUP(Table17[[#This Row],[šifra]],Table6[],2,0)</f>
        <v>DOMOKOS j.d.o.o.</v>
      </c>
      <c r="C50" s="90">
        <f>VLOOKUP(Table17[[#This Row],[šifra]],Table6[],3,0)</f>
        <v>2</v>
      </c>
      <c r="D50" s="100" t="str">
        <f>VLOOKUP(Table17[[#This Row],[šifra]],Table6[],4,0)</f>
        <v>LAURA</v>
      </c>
      <c r="E50" s="90" t="str">
        <f>VLOOKUP(Table17[[#This Row],[šifra]],Table6[],6,0)</f>
        <v>domokos.i82@gmail.com</v>
      </c>
      <c r="F50" s="90" t="str">
        <f>VLOOKUP(Table17[[#This Row],[šifra]],Table6[],11,0)</f>
        <v>da</v>
      </c>
      <c r="G50" s="90" t="str">
        <f>VLOOKUP(Table17[[#This Row],[šifra]],Table6[],10,0)</f>
        <v>da</v>
      </c>
      <c r="H50" s="139" t="str">
        <f>poduzeća!W46</f>
        <v>da</v>
      </c>
      <c r="I50" s="983" t="s">
        <v>1684</v>
      </c>
      <c r="J50" s="566">
        <v>46039</v>
      </c>
      <c r="K50" s="566">
        <v>46029</v>
      </c>
      <c r="L50" s="91"/>
      <c r="M50" s="566">
        <v>46057</v>
      </c>
      <c r="N50" s="901" t="s">
        <v>1696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173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173"/>
      <c r="AN50" s="91"/>
      <c r="AO50" s="91"/>
      <c r="AP50" s="91"/>
      <c r="AQ50" s="91"/>
      <c r="AR50" s="91"/>
      <c r="AS50" s="91"/>
      <c r="AT50" s="91"/>
      <c r="AU50" s="91"/>
      <c r="AV50" s="91"/>
    </row>
    <row r="51" spans="1:48">
      <c r="A51" s="88">
        <v>46</v>
      </c>
      <c r="B51" s="89" t="str">
        <f>VLOOKUP(Table17[[#This Row],[šifra]],Table6[],2,0)</f>
        <v>Duna-assist bau d.o.o.</v>
      </c>
      <c r="C51" s="90">
        <f>VLOOKUP(Table17[[#This Row],[šifra]],Table6[],3,0)</f>
        <v>23</v>
      </c>
      <c r="D51" s="100" t="str">
        <f>VLOOKUP(Table17[[#This Row],[šifra]],Table6[],4,0)</f>
        <v>MARKO</v>
      </c>
      <c r="E51" s="90" t="str">
        <f>VLOOKUP(Table17[[#This Row],[šifra]],Table6[],6,0)</f>
        <v>DUNAASSISTBAU@GMAIL.COM</v>
      </c>
      <c r="F51" s="90" t="str">
        <f>VLOOKUP(Table17[[#This Row],[šifra]],Table6[],11,0)</f>
        <v>ne</v>
      </c>
      <c r="G51" s="90" t="str">
        <f>VLOOKUP(Table17[[#This Row],[šifra]],Table6[],10,0)</f>
        <v>da</v>
      </c>
      <c r="H51" s="139" t="str">
        <f>poduzeća!W47</f>
        <v>da</v>
      </c>
      <c r="I51" s="980" t="s">
        <v>1645</v>
      </c>
      <c r="J51" s="91"/>
      <c r="K51" s="173"/>
      <c r="L51" s="173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173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173"/>
      <c r="AN51" s="91"/>
      <c r="AO51" s="91"/>
      <c r="AP51" s="173"/>
      <c r="AQ51" s="91"/>
      <c r="AR51" s="91"/>
      <c r="AS51" s="91"/>
      <c r="AT51" s="91"/>
      <c r="AU51" s="91"/>
      <c r="AV51" s="91"/>
    </row>
    <row r="52" spans="1:48" ht="17.25" customHeight="1">
      <c r="A52" s="792">
        <v>47</v>
      </c>
      <c r="B52" s="89" t="str">
        <f>VLOOKUP(Table17[[#This Row],[šifra]],Table6[],2,0)</f>
        <v>EGTS Europsak Grupacija PANONIJA</v>
      </c>
      <c r="C52" s="90">
        <f>VLOOKUP(Table17[[#This Row],[šifra]],Table6[],3,0)</f>
        <v>10</v>
      </c>
      <c r="D52" s="100" t="str">
        <f>VLOOKUP(Table17[[#This Row],[šifra]],Table6[],4,0)</f>
        <v>MAJA</v>
      </c>
      <c r="E52" s="90" t="str">
        <f>VLOOKUP(Table17[[#This Row],[šifra]],Table6[],6,0)</f>
        <v>andocsi.janos@gmail.com
sagitta.cons.doo@gmail.com - Andoči tar Melinda</v>
      </c>
      <c r="F52" s="90" t="str">
        <f>VLOOKUP(Table17[[#This Row],[šifra]],Table6[],11,0)</f>
        <v>ne</v>
      </c>
      <c r="G52" s="90" t="str">
        <f>VLOOKUP(Table17[[#This Row],[šifra]],Table6[],10,0)</f>
        <v>ne</v>
      </c>
      <c r="H52" s="139" t="str">
        <f>poduzeća!W48</f>
        <v>m-da</v>
      </c>
      <c r="I52" s="980" t="s">
        <v>1629</v>
      </c>
      <c r="J52" s="567"/>
      <c r="K52" s="567"/>
      <c r="L52" s="91"/>
      <c r="M52" s="567"/>
      <c r="N52" s="567"/>
      <c r="O52" s="91"/>
      <c r="P52" s="91"/>
      <c r="Q52" s="91"/>
      <c r="R52" s="91"/>
      <c r="S52" s="91"/>
      <c r="T52" s="91"/>
      <c r="U52" s="91"/>
      <c r="V52" s="91"/>
      <c r="W52" s="173"/>
      <c r="X52" s="91"/>
      <c r="Y52" s="91"/>
      <c r="Z52" s="173"/>
      <c r="AA52" s="91"/>
      <c r="AB52" s="91"/>
      <c r="AC52" s="91"/>
      <c r="AD52" s="173"/>
      <c r="AE52" s="91"/>
      <c r="AF52" s="91"/>
      <c r="AG52" s="173"/>
      <c r="AH52" s="91"/>
      <c r="AI52" s="91"/>
      <c r="AJ52" s="91"/>
      <c r="AK52" s="91"/>
      <c r="AL52" s="91"/>
      <c r="AM52" s="173"/>
      <c r="AN52" s="91"/>
      <c r="AO52" s="91"/>
      <c r="AP52" s="173"/>
      <c r="AQ52" s="91"/>
      <c r="AR52" s="91"/>
      <c r="AS52" s="91"/>
      <c r="AT52" s="91"/>
      <c r="AU52" s="91"/>
      <c r="AV52" s="91"/>
    </row>
    <row r="53" spans="1:48" ht="30">
      <c r="A53" s="88">
        <v>48</v>
      </c>
      <c r="B53" s="89" t="str">
        <f>VLOOKUP(Table17[[#This Row],[šifra]],Table6[],2,0)</f>
        <v>EKO TRON j.d.o.o.</v>
      </c>
      <c r="C53" s="90">
        <f>VLOOKUP(Table17[[#This Row],[šifra]],Table6[],3,0)</f>
        <v>7</v>
      </c>
      <c r="D53" s="100" t="str">
        <f>VLOOKUP(Table17[[#This Row],[šifra]],Table6[],4,0)</f>
        <v>SJEDIŠTE</v>
      </c>
      <c r="E53" s="90" t="str">
        <f>VLOOKUP(Table17[[#This Row],[šifra]],Table6[],6,0)</f>
        <v>robert.verebi@vr-consulting.hr,
melissa.horvat21@gmail.com</v>
      </c>
      <c r="F53" s="90" t="str">
        <f>VLOOKUP(Table17[[#This Row],[šifra]],Table6[],11,0)</f>
        <v>ne</v>
      </c>
      <c r="G53" s="90" t="str">
        <f>VLOOKUP(Table17[[#This Row],[šifra]],Table6[],10,0)</f>
        <v>da</v>
      </c>
      <c r="H53" s="139" t="str">
        <f>poduzeća!W49</f>
        <v>ne</v>
      </c>
      <c r="I53" s="980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173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173"/>
      <c r="AN53" s="91"/>
      <c r="AO53" s="91"/>
      <c r="AP53" s="91"/>
      <c r="AQ53" s="91"/>
      <c r="AR53" s="91"/>
      <c r="AS53" s="91"/>
      <c r="AT53" s="91"/>
      <c r="AU53" s="91"/>
      <c r="AV53" s="91"/>
    </row>
    <row r="54" spans="1:48" ht="30">
      <c r="A54" s="792">
        <v>49</v>
      </c>
      <c r="B54" s="793" t="str">
        <f>VLOOKUP(Table17[[#This Row],[šifra]],Table6[],2,0)</f>
        <v>Erdey Enikö Elemerivna</v>
      </c>
      <c r="C54" s="90">
        <f>VLOOKUP(Table17[[#This Row],[šifra]],Table6[],3,0)</f>
        <v>28</v>
      </c>
      <c r="D54" s="100" t="str">
        <f>VLOOKUP(Table17[[#This Row],[šifra]],Table6[],4,0)</f>
        <v>STOPIRAN</v>
      </c>
      <c r="E54" s="90" t="str">
        <f>VLOOKUP(Table17[[#This Row],[šifra]],Table6[],6,0)</f>
        <v>Whynot Xdaldm &lt;imgx246w@gmail.com&gt;</v>
      </c>
      <c r="F54" s="90" t="str">
        <f>VLOOKUP(Table17[[#This Row],[šifra]],Table6[],11,0)</f>
        <v>ne</v>
      </c>
      <c r="G54" s="90" t="str">
        <f>VLOOKUP(Table17[[#This Row],[šifra]],Table6[],10,0)</f>
        <v>da</v>
      </c>
      <c r="H54" s="139" t="str">
        <f>poduzeća!W50</f>
        <v>m-da</v>
      </c>
      <c r="I54" s="980" t="s">
        <v>1590</v>
      </c>
      <c r="J54" s="91"/>
      <c r="K54" s="91"/>
      <c r="L54" s="91"/>
      <c r="M54" s="567"/>
      <c r="N54" s="567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173"/>
      <c r="AN54" s="91"/>
      <c r="AO54" s="91"/>
      <c r="AP54" s="91"/>
      <c r="AQ54" s="91"/>
      <c r="AR54" s="91"/>
      <c r="AS54" s="91"/>
      <c r="AT54" s="91"/>
      <c r="AU54" s="91"/>
      <c r="AV54" s="91"/>
    </row>
    <row r="55" spans="1:48">
      <c r="A55" s="88">
        <v>50</v>
      </c>
      <c r="B55" s="89" t="str">
        <f>VLOOKUP(Table17[[#This Row],[šifra]],Table6[],2,0)</f>
        <v>Euro6 Truck d.o.o.</v>
      </c>
      <c r="C55" s="90">
        <f>VLOOKUP(Table17[[#This Row],[šifra]],Table6[],3,0)</f>
        <v>11</v>
      </c>
      <c r="D55" s="100" t="str">
        <f>VLOOKUP(Table17[[#This Row],[šifra]],Table6[],4,0)</f>
        <v>GABRIJELA</v>
      </c>
      <c r="E55" s="90" t="str">
        <f>VLOOKUP(Table17[[#This Row],[šifra]],Table6[],6,0)</f>
        <v>euro6truckdoo@gmail.com</v>
      </c>
      <c r="F55" s="90" t="str">
        <f>VLOOKUP(Table17[[#This Row],[šifra]],Table6[],11,0)</f>
        <v>da</v>
      </c>
      <c r="G55" s="90" t="str">
        <f>VLOOKUP(Table17[[#This Row],[šifra]],Table6[],10,0)</f>
        <v>da</v>
      </c>
      <c r="H55" s="139" t="str">
        <f>poduzeća!W51</f>
        <v>da</v>
      </c>
      <c r="I55" s="989">
        <v>46141</v>
      </c>
      <c r="J55" s="91"/>
      <c r="K55" s="173"/>
      <c r="L55" s="173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173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173"/>
      <c r="AN55" s="91"/>
      <c r="AO55" s="91"/>
      <c r="AP55" s="173"/>
      <c r="AQ55" s="91"/>
      <c r="AR55" s="91"/>
      <c r="AS55" s="91"/>
      <c r="AT55" s="91"/>
      <c r="AU55" s="91"/>
      <c r="AV55" s="91"/>
    </row>
    <row r="56" spans="1:48">
      <c r="A56" s="88">
        <v>51</v>
      </c>
      <c r="B56" s="89" t="str">
        <f>VLOOKUP(Table17[[#This Row],[šifra]],Table6[],2,0)</f>
        <v>FI project d.o.o.</v>
      </c>
      <c r="C56" s="90">
        <f>VLOOKUP(Table17[[#This Row],[šifra]],Table6[],3,0)</f>
        <v>15</v>
      </c>
      <c r="D56" s="100" t="str">
        <f>VLOOKUP(Table17[[#This Row],[šifra]],Table6[],4,0)</f>
        <v>NIKOLINA</v>
      </c>
      <c r="E56" s="90" t="str">
        <f>VLOOKUP(Table17[[#This Row],[šifra]],Table6[],6,0)</f>
        <v>fiproject.hr@gmail.com</v>
      </c>
      <c r="F56" s="90" t="str">
        <f>VLOOKUP(Table17[[#This Row],[šifra]],Table6[],11,0)</f>
        <v>ne</v>
      </c>
      <c r="G56" s="90" t="str">
        <f>VLOOKUP(Table17[[#This Row],[šifra]],Table6[],10,0)</f>
        <v>ne</v>
      </c>
      <c r="H56" s="139" t="str">
        <f>poduzeća!W52</f>
        <v>da</v>
      </c>
      <c r="I56" s="980" t="s">
        <v>1669</v>
      </c>
      <c r="J56" s="173"/>
      <c r="K56" s="173"/>
      <c r="L56" s="173"/>
      <c r="M56" s="91"/>
      <c r="N56" s="173"/>
      <c r="O56" s="173"/>
      <c r="P56" s="91"/>
      <c r="Q56" s="91"/>
      <c r="R56" s="91"/>
      <c r="S56" s="91"/>
      <c r="T56" s="91"/>
      <c r="U56" s="91"/>
      <c r="V56" s="91"/>
      <c r="W56" s="173"/>
      <c r="X56" s="91"/>
      <c r="Y56" s="91"/>
      <c r="Z56" s="173"/>
      <c r="AA56" s="91"/>
      <c r="AB56" s="198"/>
      <c r="AC56" s="91"/>
      <c r="AD56" s="202"/>
      <c r="AE56" s="91"/>
      <c r="AF56" s="91"/>
      <c r="AG56" s="193"/>
      <c r="AH56" s="183"/>
      <c r="AI56" s="91"/>
      <c r="AJ56" s="184"/>
      <c r="AK56" s="91"/>
      <c r="AL56" s="91"/>
      <c r="AM56" s="173"/>
      <c r="AN56" s="173"/>
      <c r="AO56" s="91"/>
      <c r="AP56" s="201"/>
      <c r="AQ56" s="91"/>
      <c r="AR56" s="91"/>
      <c r="AS56" s="203"/>
      <c r="AT56" s="91"/>
      <c r="AU56" s="91"/>
      <c r="AV56" s="91"/>
    </row>
    <row r="57" spans="1:48">
      <c r="A57" s="88">
        <v>52</v>
      </c>
      <c r="B57" s="89" t="str">
        <f>VLOOKUP(Table17[[#This Row],[šifra]],Table6[],2,0)</f>
        <v>FRANCHISIA j.d.o.o.</v>
      </c>
      <c r="C57" s="90">
        <f>VLOOKUP(Table17[[#This Row],[šifra]],Table6[],3,0)</f>
        <v>15</v>
      </c>
      <c r="D57" s="100" t="str">
        <f>VLOOKUP(Table17[[#This Row],[šifra]],Table6[],4,0)</f>
        <v>NIKOLINA</v>
      </c>
      <c r="E57" s="90" t="str">
        <f>VLOOKUP(Table17[[#This Row],[šifra]],Table6[],6,0)</f>
        <v>partner@franchisia.hr</v>
      </c>
      <c r="F57" s="90" t="str">
        <f>VLOOKUP(Table17[[#This Row],[šifra]],Table6[],11,0)</f>
        <v>ne</v>
      </c>
      <c r="G57" s="90" t="str">
        <f>VLOOKUP(Table17[[#This Row],[šifra]],Table6[],10,0)</f>
        <v>da</v>
      </c>
      <c r="H57" s="139" t="str">
        <f>poduzeća!W53</f>
        <v>da</v>
      </c>
      <c r="I57" s="980" t="s">
        <v>1669</v>
      </c>
      <c r="J57" s="91"/>
      <c r="K57" s="173"/>
      <c r="L57" s="173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173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173"/>
      <c r="AN57" s="91"/>
      <c r="AO57" s="173"/>
      <c r="AP57" s="173"/>
      <c r="AQ57" s="91"/>
      <c r="AR57" s="91"/>
      <c r="AS57" s="91"/>
      <c r="AT57" s="91"/>
      <c r="AU57" s="91"/>
      <c r="AV57" s="91"/>
    </row>
    <row r="58" spans="1:48">
      <c r="A58" s="88">
        <v>53</v>
      </c>
      <c r="B58" s="89" t="str">
        <f>VLOOKUP(Table17[[#This Row],[šifra]],Table6[],2,0)</f>
        <v>FRANCOS j.d.o.o.</v>
      </c>
      <c r="C58" s="90">
        <f>VLOOKUP(Table17[[#This Row],[šifra]],Table6[],3,0)</f>
        <v>15</v>
      </c>
      <c r="D58" s="100" t="str">
        <f>VLOOKUP(Table17[[#This Row],[šifra]],Table6[],4,0)</f>
        <v>NIKOLINA</v>
      </c>
      <c r="E58" s="90" t="str">
        <f>VLOOKUP(Table17[[#This Row],[šifra]],Table6[],6,0)</f>
        <v>francosjdoo@gmail.com</v>
      </c>
      <c r="F58" s="90" t="str">
        <f>VLOOKUP(Table17[[#This Row],[šifra]],Table6[],11,0)</f>
        <v>da</v>
      </c>
      <c r="G58" s="90" t="str">
        <f>VLOOKUP(Table17[[#This Row],[šifra]],Table6[],10,0)</f>
        <v>ne</v>
      </c>
      <c r="H58" s="139" t="str">
        <f>poduzeća!W54</f>
        <v>da</v>
      </c>
      <c r="I58" s="980" t="s">
        <v>1669</v>
      </c>
      <c r="J58" s="91"/>
      <c r="K58" s="173"/>
      <c r="L58" s="91"/>
      <c r="M58" s="190"/>
      <c r="N58" s="173"/>
      <c r="O58" s="91"/>
      <c r="P58" s="91"/>
      <c r="Q58" s="91"/>
      <c r="R58" s="91"/>
      <c r="S58" s="173"/>
      <c r="T58" s="173"/>
      <c r="U58" s="91"/>
      <c r="V58" s="173"/>
      <c r="W58" s="173"/>
      <c r="X58" s="173"/>
      <c r="Y58" s="173"/>
      <c r="Z58" s="173"/>
      <c r="AA58" s="91"/>
      <c r="AB58" s="173"/>
      <c r="AC58" s="173"/>
      <c r="AD58" s="173"/>
      <c r="AE58" s="91"/>
      <c r="AF58" s="173"/>
      <c r="AG58" s="173"/>
      <c r="AH58" s="173"/>
      <c r="AI58" s="173"/>
      <c r="AJ58" s="173"/>
      <c r="AK58" s="91"/>
      <c r="AL58" s="204"/>
      <c r="AM58" s="173"/>
      <c r="AN58" s="173"/>
      <c r="AO58" s="173"/>
      <c r="AP58" s="173"/>
      <c r="AQ58" s="91"/>
      <c r="AR58" s="91"/>
      <c r="AS58" s="91"/>
      <c r="AT58" s="91"/>
      <c r="AU58" s="91"/>
      <c r="AV58" s="91"/>
    </row>
    <row r="59" spans="1:48" ht="30">
      <c r="A59" s="88">
        <v>54</v>
      </c>
      <c r="B59" s="89" t="str">
        <f>VLOOKUP(Table17[[#This Row],[šifra]],Table6[],2,0)</f>
        <v>Freedom Square d.o.o.</v>
      </c>
      <c r="C59" s="90">
        <f>VLOOKUP(Table17[[#This Row],[šifra]],Table6[],3,0)</f>
        <v>23</v>
      </c>
      <c r="D59" s="100" t="str">
        <f>VLOOKUP(Table17[[#This Row],[šifra]],Table6[],4,0)</f>
        <v>MARKO</v>
      </c>
      <c r="E59" s="90" t="str">
        <f>VLOOKUP(Table17[[#This Row],[šifra]],Table6[],6,0)</f>
        <v>ipernar@yahoo.com, 
pavlenskiapartman@gmail.com</v>
      </c>
      <c r="F59" s="90" t="str">
        <f>VLOOKUP(Table17[[#This Row],[šifra]],Table6[],11,0)</f>
        <v>da</v>
      </c>
      <c r="G59" s="90" t="str">
        <f>VLOOKUP(Table17[[#This Row],[šifra]],Table6[],10,0)</f>
        <v>da</v>
      </c>
      <c r="H59" s="139" t="str">
        <f>poduzeća!W55</f>
        <v>da</v>
      </c>
      <c r="I59" s="980" t="s">
        <v>1645</v>
      </c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173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</row>
    <row r="60" spans="1:48">
      <c r="A60" s="88">
        <v>55</v>
      </c>
      <c r="B60" s="89" t="str">
        <f>VLOOKUP(Table17[[#This Row],[šifra]],Table6[],2,0)</f>
        <v>FREIGEIST d.o.o.</v>
      </c>
      <c r="C60" s="90">
        <f>VLOOKUP(Table17[[#This Row],[šifra]],Table6[],3,0)</f>
        <v>10</v>
      </c>
      <c r="D60" s="100" t="str">
        <f>VLOOKUP(Table17[[#This Row],[šifra]],Table6[],4,0)</f>
        <v>MAJA</v>
      </c>
      <c r="E60" s="90" t="str">
        <f>VLOOKUP(Table17[[#This Row],[šifra]],Table6[],6,0)</f>
        <v>info@milavila.net</v>
      </c>
      <c r="F60" s="90" t="str">
        <f>VLOOKUP(Table17[[#This Row],[šifra]],Table6[],11,0)</f>
        <v>ne</v>
      </c>
      <c r="G60" s="90" t="str">
        <f>VLOOKUP(Table17[[#This Row],[šifra]],Table6[],10,0)</f>
        <v>ne</v>
      </c>
      <c r="H60" s="139" t="str">
        <f>poduzeća!W56</f>
        <v>da</v>
      </c>
      <c r="I60" s="980" t="s">
        <v>1685</v>
      </c>
      <c r="J60" s="566"/>
      <c r="K60" s="567"/>
      <c r="L60" s="91"/>
      <c r="M60" s="566"/>
      <c r="N60" s="567"/>
      <c r="O60" s="91"/>
      <c r="P60" s="91"/>
      <c r="Q60" s="173"/>
      <c r="R60" s="173"/>
      <c r="S60" s="173"/>
      <c r="T60" s="91"/>
      <c r="U60" s="91"/>
      <c r="V60" s="173"/>
      <c r="W60" s="91"/>
      <c r="X60" s="91"/>
      <c r="Y60" s="173"/>
      <c r="Z60" s="91"/>
      <c r="AA60" s="91"/>
      <c r="AB60" s="173"/>
      <c r="AC60" s="91"/>
      <c r="AD60" s="91"/>
      <c r="AE60" s="91"/>
      <c r="AF60" s="173"/>
      <c r="AG60" s="91"/>
      <c r="AH60" s="91"/>
      <c r="AI60" s="173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</row>
    <row r="61" spans="1:48">
      <c r="A61" s="840">
        <v>56</v>
      </c>
      <c r="B61" s="841" t="str">
        <f>VLOOKUP(Table17[[#This Row],[šifra]],Table6[],2,0)</f>
        <v>Gergely d.o.o.</v>
      </c>
      <c r="C61" s="90">
        <f>VLOOKUP(Table17[[#This Row],[šifra]],Table6[],3,0)</f>
        <v>10</v>
      </c>
      <c r="D61" s="100" t="str">
        <f>VLOOKUP(Table17[[#This Row],[šifra]],Table6[],4,0)</f>
        <v>MAJA</v>
      </c>
      <c r="E61" s="90" t="str">
        <f>VLOOKUP(Table17[[#This Row],[šifra]],Table6[],6,0)</f>
        <v>info@gergely.hr</v>
      </c>
      <c r="F61" s="90" t="str">
        <f>VLOOKUP(Table17[[#This Row],[šifra]],Table6[],11,0)</f>
        <v>ne</v>
      </c>
      <c r="G61" s="90" t="str">
        <f>VLOOKUP(Table17[[#This Row],[šifra]],Table6[],10,0)</f>
        <v>da</v>
      </c>
      <c r="H61" s="139" t="str">
        <f>poduzeća!W57</f>
        <v>da</v>
      </c>
      <c r="I61" s="980" t="s">
        <v>1993</v>
      </c>
      <c r="J61" s="566"/>
      <c r="K61" s="566">
        <v>46042</v>
      </c>
      <c r="L61" s="91"/>
      <c r="M61" s="566"/>
      <c r="N61" s="567"/>
      <c r="O61" s="91"/>
      <c r="P61" s="91"/>
      <c r="Q61" s="173"/>
      <c r="R61" s="173"/>
      <c r="S61" s="173"/>
      <c r="T61" s="91"/>
      <c r="U61" s="91"/>
      <c r="V61" s="173"/>
      <c r="W61" s="91"/>
      <c r="X61" s="91"/>
      <c r="Y61" s="173"/>
      <c r="Z61" s="91"/>
      <c r="AA61" s="91"/>
      <c r="AB61" s="173"/>
      <c r="AC61" s="91"/>
      <c r="AD61" s="91"/>
      <c r="AE61" s="91"/>
      <c r="AF61" s="173"/>
      <c r="AG61" s="91"/>
      <c r="AH61" s="91"/>
      <c r="AI61" s="173"/>
      <c r="AJ61" s="91"/>
      <c r="AK61" s="91"/>
      <c r="AL61" s="91"/>
      <c r="AM61" s="91"/>
      <c r="AN61" s="91"/>
      <c r="AO61" s="173"/>
      <c r="AP61" s="173"/>
      <c r="AQ61" s="91"/>
      <c r="AR61" s="91"/>
      <c r="AS61" s="91"/>
      <c r="AT61" s="91"/>
      <c r="AU61" s="91"/>
      <c r="AV61" s="91"/>
    </row>
    <row r="62" spans="1:48" ht="30">
      <c r="A62" s="88">
        <v>57</v>
      </c>
      <c r="B62" s="89" t="str">
        <f>VLOOKUP(Table17[[#This Row],[šifra]],Table6[],2,0)</f>
        <v xml:space="preserve">Katodna zaštita GORAN PRODANOVIĆ </v>
      </c>
      <c r="C62" s="90">
        <f>VLOOKUP(Table17[[#This Row],[šifra]],Table6[],3,0)</f>
        <v>15</v>
      </c>
      <c r="D62" s="100" t="str">
        <f>VLOOKUP(Table17[[#This Row],[šifra]],Table6[],4,0)</f>
        <v>NIKOLINA</v>
      </c>
      <c r="E62" s="90" t="str">
        <f>VLOOKUP(Table17[[#This Row],[šifra]],Table6[],6,0)</f>
        <v>gprodanovic@gmail.com</v>
      </c>
      <c r="F62" s="90" t="str">
        <f>VLOOKUP(Table17[[#This Row],[šifra]],Table6[],11,0)</f>
        <v>ne</v>
      </c>
      <c r="G62" s="90" t="str">
        <f>VLOOKUP(Table17[[#This Row],[šifra]],Table6[],10,0)</f>
        <v>ne</v>
      </c>
      <c r="H62" s="139" t="str">
        <f>poduzeća!W58</f>
        <v>m-da</v>
      </c>
      <c r="I62" s="980" t="s">
        <v>1630</v>
      </c>
      <c r="J62" s="173"/>
      <c r="K62" s="173"/>
      <c r="L62" s="173"/>
      <c r="M62" s="173"/>
      <c r="N62" s="91"/>
      <c r="O62" s="91"/>
      <c r="P62" s="91"/>
      <c r="Q62" s="91"/>
      <c r="R62" s="91"/>
      <c r="S62" s="173"/>
      <c r="T62" s="173"/>
      <c r="U62" s="173"/>
      <c r="V62" s="173"/>
      <c r="W62" s="173"/>
      <c r="X62" s="91"/>
      <c r="Y62" s="91"/>
      <c r="Z62" s="173"/>
      <c r="AA62" s="91"/>
      <c r="AB62" s="91"/>
      <c r="AC62" s="91"/>
      <c r="AD62" s="173"/>
      <c r="AE62" s="91"/>
      <c r="AF62" s="91"/>
      <c r="AG62" s="173"/>
      <c r="AH62" s="91"/>
      <c r="AI62" s="91"/>
      <c r="AJ62" s="91"/>
      <c r="AK62" s="91"/>
      <c r="AL62" s="173"/>
      <c r="AM62" s="173"/>
      <c r="AN62" s="173"/>
      <c r="AO62" s="91"/>
      <c r="AP62" s="173"/>
      <c r="AQ62" s="91"/>
      <c r="AR62" s="91"/>
      <c r="AS62" s="91"/>
      <c r="AT62" s="91"/>
      <c r="AU62" s="91"/>
      <c r="AV62" s="91"/>
    </row>
    <row r="63" spans="1:48">
      <c r="A63" s="88">
        <v>58</v>
      </c>
      <c r="B63" s="89" t="str">
        <f>VLOOKUP(Table17[[#This Row],[šifra]],Table6[],2,0)</f>
        <v>Grentek bio refinery d.o.o.</v>
      </c>
      <c r="C63" s="90">
        <f>VLOOKUP(Table17[[#This Row],[šifra]],Table6[],3,0)</f>
        <v>26</v>
      </c>
      <c r="D63" s="100" t="str">
        <f>VLOOKUP(Table17[[#This Row],[šifra]],Table6[],4,0)</f>
        <v>F. IVAN</v>
      </c>
      <c r="E63" s="90" t="str">
        <f>VLOOKUP(Table17[[#This Row],[šifra]],Table6[],6,0)</f>
        <v>office@gbr.hr  Nikolina sladin</v>
      </c>
      <c r="F63" s="90">
        <f>VLOOKUP(Table17[[#This Row],[šifra]],Table6[],11,0)</f>
        <v>0</v>
      </c>
      <c r="G63" s="90">
        <f>VLOOKUP(Table17[[#This Row],[šifra]],Table6[],10,0)</f>
        <v>0</v>
      </c>
      <c r="H63" s="139" t="str">
        <f>poduzeća!W59</f>
        <v>F-DA</v>
      </c>
      <c r="I63" s="983"/>
      <c r="J63" s="91"/>
      <c r="K63" s="173"/>
      <c r="L63" s="173"/>
      <c r="M63" s="91"/>
      <c r="N63" s="173"/>
      <c r="O63" s="173"/>
      <c r="P63" s="91"/>
      <c r="Q63" s="91"/>
      <c r="R63" s="91"/>
      <c r="S63" s="91"/>
      <c r="T63" s="173"/>
      <c r="U63" s="173"/>
      <c r="V63" s="173"/>
      <c r="W63" s="173"/>
      <c r="X63" s="91"/>
      <c r="Y63" s="91"/>
      <c r="Z63" s="173"/>
      <c r="AA63" s="91"/>
      <c r="AB63" s="91"/>
      <c r="AC63" s="91"/>
      <c r="AD63" s="173"/>
      <c r="AE63" s="91"/>
      <c r="AF63" s="91"/>
      <c r="AG63" s="173"/>
      <c r="AH63" s="173"/>
      <c r="AI63" s="91"/>
      <c r="AJ63" s="173"/>
      <c r="AK63" s="173"/>
      <c r="AL63" s="91"/>
      <c r="AM63" s="173"/>
      <c r="AN63" s="173"/>
      <c r="AO63" s="91"/>
      <c r="AP63" s="91"/>
      <c r="AQ63" s="91"/>
      <c r="AR63" s="91"/>
      <c r="AS63" s="173"/>
      <c r="AT63" s="91"/>
      <c r="AU63" s="91"/>
      <c r="AV63" s="91"/>
    </row>
    <row r="64" spans="1:48" ht="30">
      <c r="A64" s="88">
        <v>59</v>
      </c>
      <c r="B64" s="89" t="str">
        <f>VLOOKUP(Table17[[#This Row],[šifra]],Table6[],2,0)</f>
        <v>GRIN-CENTER j.d.o.o.</v>
      </c>
      <c r="C64" s="90">
        <f>VLOOKUP(Table17[[#This Row],[šifra]],Table6[],3,0)</f>
        <v>2</v>
      </c>
      <c r="D64" s="100" t="str">
        <f>VLOOKUP(Table17[[#This Row],[šifra]],Table6[],4,0)</f>
        <v>LAURA</v>
      </c>
      <c r="E64" s="90" t="str">
        <f>VLOOKUP(Table17[[#This Row],[šifra]],Table6[],6,0)</f>
        <v>csekotib@gmail.com
 mahaker2022@gmail.com (TIBOR)</v>
      </c>
      <c r="F64" s="90" t="str">
        <f>VLOOKUP(Table17[[#This Row],[šifra]],Table6[],11,0)</f>
        <v>da</v>
      </c>
      <c r="G64" s="90" t="str">
        <f>VLOOKUP(Table17[[#This Row],[šifra]],Table6[],10,0)</f>
        <v>ne</v>
      </c>
      <c r="H64" s="139" t="str">
        <f>poduzeća!W60</f>
        <v>da</v>
      </c>
      <c r="I64" s="980">
        <v>46142</v>
      </c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</row>
    <row r="65" spans="1:48" ht="30">
      <c r="A65" s="88">
        <v>60</v>
      </c>
      <c r="B65" s="89" t="str">
        <f>VLOOKUP(Table17[[#This Row],[šifra]],Table6[],2,0)</f>
        <v>GUGA NATURA j.d.o.o</v>
      </c>
      <c r="C65" s="90">
        <f>VLOOKUP(Table17[[#This Row],[šifra]],Table6[],3,0)</f>
        <v>2</v>
      </c>
      <c r="D65" s="100" t="str">
        <f>VLOOKUP(Table17[[#This Row],[šifra]],Table6[],4,0)</f>
        <v>LAURA</v>
      </c>
      <c r="E65" s="90" t="str">
        <f>VLOOKUP(Table17[[#This Row],[šifra]],Table6[],6,0)</f>
        <v>gorant512@gmail.com
lukatatalovic2020@gmail.com</v>
      </c>
      <c r="F65" s="90" t="str">
        <f>VLOOKUP(Table17[[#This Row],[šifra]],Table6[],11,0)</f>
        <v>da</v>
      </c>
      <c r="G65" s="90" t="str">
        <f>VLOOKUP(Table17[[#This Row],[šifra]],Table6[],10,0)</f>
        <v>da</v>
      </c>
      <c r="H65" s="139" t="str">
        <f>poduzeća!W61</f>
        <v>da</v>
      </c>
      <c r="I65" s="982" t="s">
        <v>1994</v>
      </c>
      <c r="J65" s="91"/>
      <c r="K65" s="91"/>
      <c r="L65" s="91"/>
      <c r="M65" s="567"/>
      <c r="N65" s="567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</row>
    <row r="66" spans="1:48" ht="30">
      <c r="A66" s="88">
        <v>61</v>
      </c>
      <c r="B66" s="89" t="str">
        <f>VLOOKUP(Table17[[#This Row],[šifra]],Table6[],2,0)</f>
        <v>GUMENET d.o.o.</v>
      </c>
      <c r="C66" s="90">
        <f>VLOOKUP(Table17[[#This Row],[šifra]],Table6[],3,0)</f>
        <v>6</v>
      </c>
      <c r="D66" s="100" t="str">
        <f>VLOOKUP(Table17[[#This Row],[šifra]],Table6[],4,0)</f>
        <v>F. ANA P.</v>
      </c>
      <c r="E66" s="90" t="str">
        <f>VLOOKUP(Table17[[#This Row],[šifra]],Table6[],6,0)</f>
        <v>edvi.kinga@point-s.hu
info@gumewebshop.hr</v>
      </c>
      <c r="F66" s="90" t="str">
        <f>VLOOKUP(Table17[[#This Row],[šifra]],Table6[],11,0)</f>
        <v>da</v>
      </c>
      <c r="G66" s="90" t="str">
        <f>VLOOKUP(Table17[[#This Row],[šifra]],Table6[],10,0)</f>
        <v>da</v>
      </c>
      <c r="H66" s="139" t="str">
        <f>poduzeća!W62</f>
        <v>F-DA</v>
      </c>
      <c r="I66" s="980"/>
      <c r="J66" s="173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</row>
    <row r="67" spans="1:48">
      <c r="A67" s="792">
        <v>62</v>
      </c>
      <c r="B67" s="89" t="str">
        <f>VLOOKUP(Table17[[#This Row],[šifra]],Table6[],2,0)</f>
        <v xml:space="preserve">Irén Maria Hagyó </v>
      </c>
      <c r="C67" s="90">
        <f>VLOOKUP(Table17[[#This Row],[šifra]],Table6[],3,0)</f>
        <v>10</v>
      </c>
      <c r="D67" s="100" t="str">
        <f>VLOOKUP(Table17[[#This Row],[šifra]],Table6[],4,0)</f>
        <v>MAJA</v>
      </c>
      <c r="E67" s="90" t="str">
        <f>VLOOKUP(Table17[[#This Row],[šifra]],Table6[],6,0)</f>
        <v>akarmi1971@gmail.com</v>
      </c>
      <c r="F67" s="90" t="str">
        <f>VLOOKUP(Table17[[#This Row],[šifra]],Table6[],11,0)</f>
        <v>ne</v>
      </c>
      <c r="G67" s="90" t="str">
        <f>VLOOKUP(Table17[[#This Row],[šifra]],Table6[],10,0)</f>
        <v>da</v>
      </c>
      <c r="H67" s="139" t="str">
        <f>poduzeća!W63</f>
        <v>m-da</v>
      </c>
      <c r="I67" s="983" t="s">
        <v>1686</v>
      </c>
      <c r="J67" s="91"/>
      <c r="K67" s="91"/>
      <c r="L67" s="91"/>
      <c r="M67" s="567"/>
      <c r="N67" s="567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173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173"/>
      <c r="AN67" s="91"/>
      <c r="AO67" s="91"/>
      <c r="AP67" s="91"/>
      <c r="AQ67" s="91"/>
      <c r="AR67" s="91"/>
      <c r="AS67" s="91"/>
      <c r="AT67" s="91"/>
      <c r="AU67" s="91"/>
      <c r="AV67" s="91"/>
    </row>
    <row r="68" spans="1:48" ht="45">
      <c r="A68" s="88">
        <v>63</v>
      </c>
      <c r="B68" s="89" t="str">
        <f>VLOOKUP(Table17[[#This Row],[šifra]],Table6[],2,0)</f>
        <v>HAUKI j.d.o.o.</v>
      </c>
      <c r="C68" s="90">
        <f>VLOOKUP(Table17[[#This Row],[šifra]],Table6[],3,0)</f>
        <v>0</v>
      </c>
      <c r="D68" s="100" t="str">
        <f>VLOOKUP(Table17[[#This Row],[šifra]],Table6[],4,0)</f>
        <v>NITKO</v>
      </c>
      <c r="E68" s="90" t="str">
        <f>VLOOKUP(Table17[[#This Row],[šifra]],Table6[],6,0)</f>
        <v xml:space="preserve">svpetarolive@gmail.com
 haukizoltan@gmail.com
</v>
      </c>
      <c r="F68" s="90" t="str">
        <f>VLOOKUP(Table17[[#This Row],[šifra]],Table6[],11,0)</f>
        <v>ne</v>
      </c>
      <c r="G68" s="90" t="str">
        <f>VLOOKUP(Table17[[#This Row],[šifra]],Table6[],10,0)</f>
        <v>ne</v>
      </c>
      <c r="H68" s="139" t="str">
        <f>poduzeća!W64</f>
        <v>da</v>
      </c>
      <c r="I68" s="980" t="s">
        <v>1645</v>
      </c>
      <c r="J68" s="91"/>
      <c r="K68" s="173"/>
      <c r="L68" s="173"/>
      <c r="M68" s="91"/>
      <c r="N68" s="173"/>
      <c r="O68" s="173"/>
      <c r="P68" s="91"/>
      <c r="Q68" s="91"/>
      <c r="R68" s="91"/>
      <c r="S68" s="91"/>
      <c r="T68" s="173"/>
      <c r="U68" s="173"/>
      <c r="V68" s="91"/>
      <c r="W68" s="173"/>
      <c r="X68" s="91"/>
      <c r="Y68" s="91"/>
      <c r="Z68" s="173"/>
      <c r="AA68" s="91"/>
      <c r="AB68" s="173"/>
      <c r="AC68" s="91"/>
      <c r="AD68" s="173"/>
      <c r="AE68" s="91"/>
      <c r="AF68" s="91"/>
      <c r="AG68" s="173"/>
      <c r="AH68" s="91"/>
      <c r="AI68" s="91"/>
      <c r="AJ68" s="173"/>
      <c r="AK68" s="173"/>
      <c r="AL68" s="91"/>
      <c r="AM68" s="173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ht="30">
      <c r="A69" s="88">
        <v>64</v>
      </c>
      <c r="B69" s="89" t="str">
        <f>VLOOKUP(Table17[[#This Row],[šifra]],Table6[],2,0)</f>
        <v>HELLA'91 KFT</v>
      </c>
      <c r="C69" s="90">
        <f>VLOOKUP(Table17[[#This Row],[šifra]],Table6[],3,0)</f>
        <v>2</v>
      </c>
      <c r="D69" s="100" t="str">
        <f>VLOOKUP(Table17[[#This Row],[šifra]],Table6[],4,0)</f>
        <v>LAURA</v>
      </c>
      <c r="E69" s="90" t="str">
        <f>VLOOKUP(Table17[[#This Row],[šifra]],Table6[],6,0)</f>
        <v>Gergely László &lt;gergely.laszlo@drszam.hu&gt;</v>
      </c>
      <c r="F69" s="90" t="str">
        <f>VLOOKUP(Table17[[#This Row],[šifra]],Table6[],11,0)</f>
        <v>ne</v>
      </c>
      <c r="G69" s="90" t="str">
        <f>VLOOKUP(Table17[[#This Row],[šifra]],Table6[],10,0)</f>
        <v>da</v>
      </c>
      <c r="H69" s="139" t="str">
        <f>poduzeća!W65</f>
        <v>pd-da</v>
      </c>
      <c r="I69" s="980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173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173"/>
      <c r="AM69" s="91"/>
      <c r="AN69" s="173"/>
      <c r="AO69" s="91"/>
      <c r="AP69" s="91"/>
      <c r="AQ69" s="91"/>
      <c r="AR69" s="91"/>
      <c r="AS69" s="91"/>
      <c r="AT69" s="91"/>
      <c r="AU69" s="91"/>
      <c r="AV69" s="91"/>
    </row>
    <row r="70" spans="1:48">
      <c r="A70" s="140">
        <v>65</v>
      </c>
      <c r="B70" s="141" t="str">
        <f>VLOOKUP(Table17[[#This Row],[šifra]],Table6[],2,0)</f>
        <v>HOME PLUS d.o.o.</v>
      </c>
      <c r="C70" s="90">
        <f>VLOOKUP(Table17[[#This Row],[šifra]],Table6[],3,0)</f>
        <v>15</v>
      </c>
      <c r="D70" s="100" t="str">
        <f>VLOOKUP(Table17[[#This Row],[šifra]],Table6[],4,0)</f>
        <v>NIKOLINA</v>
      </c>
      <c r="E70" s="90">
        <f>VLOOKUP(Table17[[#This Row],[šifra]],Table6[],6,0)</f>
        <v>0</v>
      </c>
      <c r="F70" s="90" t="str">
        <f>VLOOKUP(Table17[[#This Row],[šifra]],Table6[],11,0)</f>
        <v>da</v>
      </c>
      <c r="G70" s="90" t="str">
        <f>VLOOKUP(Table17[[#This Row],[šifra]],Table6[],10,0)</f>
        <v>da</v>
      </c>
      <c r="H70" s="139" t="str">
        <f>poduzeća!W66</f>
        <v>da</v>
      </c>
      <c r="I70" s="980"/>
      <c r="J70" s="91"/>
      <c r="K70" s="91"/>
      <c r="L70" s="91"/>
      <c r="M70" s="173"/>
      <c r="N70" s="91"/>
      <c r="O70" s="91"/>
      <c r="P70" s="91"/>
      <c r="Q70" s="91"/>
      <c r="R70" s="91"/>
      <c r="S70" s="91"/>
      <c r="T70" s="91"/>
      <c r="U70" s="91"/>
      <c r="V70" s="91"/>
      <c r="W70" s="173"/>
      <c r="X70" s="91"/>
      <c r="Y70" s="91"/>
      <c r="Z70" s="173"/>
      <c r="AA70" s="91"/>
      <c r="AB70" s="91"/>
      <c r="AC70" s="173"/>
      <c r="AD70" s="173"/>
      <c r="AE70" s="91"/>
      <c r="AF70" s="91"/>
      <c r="AG70" s="173"/>
      <c r="AH70" s="91"/>
      <c r="AI70" s="91"/>
      <c r="AJ70" s="200"/>
      <c r="AK70" s="91"/>
      <c r="AL70" s="205"/>
      <c r="AM70" s="173"/>
      <c r="AN70" s="91"/>
      <c r="AO70" s="91"/>
      <c r="AP70" s="173"/>
      <c r="AQ70" s="91"/>
      <c r="AR70" s="91"/>
      <c r="AS70" s="91"/>
      <c r="AT70" s="91"/>
      <c r="AU70" s="91"/>
      <c r="AV70" s="91"/>
    </row>
    <row r="71" spans="1:48" ht="30">
      <c r="A71" s="140">
        <v>66</v>
      </c>
      <c r="B71" s="141" t="str">
        <f>VLOOKUP(Table17[[#This Row],[šifra]],Table6[],2,0)</f>
        <v>HUNOS j.d.o.o.</v>
      </c>
      <c r="C71" s="90">
        <f>VLOOKUP(Table17[[#This Row],[šifra]],Table6[],3,0)</f>
        <v>7</v>
      </c>
      <c r="D71" s="100" t="str">
        <f>VLOOKUP(Table17[[#This Row],[šifra]],Table6[],4,0)</f>
        <v>SJEDIŠTE</v>
      </c>
      <c r="E71" s="90" t="str">
        <f>VLOOKUP(Table17[[#This Row],[šifra]],Table6[],6,0)</f>
        <v>istvan@sokorai.hu; 
istvan.sokorai@skr.hu</v>
      </c>
      <c r="F71" s="90" t="str">
        <f>VLOOKUP(Table17[[#This Row],[šifra]],Table6[],11,0)</f>
        <v>ne</v>
      </c>
      <c r="G71" s="90" t="str">
        <f>VLOOKUP(Table17[[#This Row],[šifra]],Table6[],10,0)</f>
        <v>da</v>
      </c>
      <c r="H71" s="139" t="str">
        <f>poduzeća!W67</f>
        <v>ne</v>
      </c>
      <c r="I71" s="980"/>
      <c r="J71" s="91"/>
      <c r="K71" s="173"/>
      <c r="L71" s="173"/>
      <c r="M71" s="173"/>
      <c r="N71" s="173"/>
      <c r="O71" s="173"/>
      <c r="P71" s="91"/>
      <c r="Q71" s="91"/>
      <c r="R71" s="91"/>
      <c r="S71" s="91"/>
      <c r="T71" s="91"/>
      <c r="U71" s="91"/>
      <c r="V71" s="91"/>
      <c r="W71" s="173"/>
      <c r="X71" s="91"/>
      <c r="Y71" s="91"/>
      <c r="Z71" s="173"/>
      <c r="AA71" s="91"/>
      <c r="AB71" s="91"/>
      <c r="AC71" s="173"/>
      <c r="AD71" s="173"/>
      <c r="AE71" s="91"/>
      <c r="AF71" s="91"/>
      <c r="AG71" s="173"/>
      <c r="AH71" s="91"/>
      <c r="AI71" s="91"/>
      <c r="AJ71" s="200"/>
      <c r="AK71" s="91"/>
      <c r="AL71" s="173"/>
      <c r="AM71" s="173"/>
      <c r="AN71" s="91"/>
      <c r="AO71" s="91"/>
      <c r="AP71" s="173"/>
      <c r="AQ71" s="91"/>
      <c r="AR71" s="91"/>
      <c r="AS71" s="91"/>
      <c r="AT71" s="91"/>
      <c r="AU71" s="91"/>
      <c r="AV71" s="91"/>
    </row>
    <row r="72" spans="1:48" ht="30">
      <c r="A72" s="88">
        <v>67</v>
      </c>
      <c r="B72" s="89" t="str">
        <f>VLOOKUP(Table17[[#This Row],[šifra]],Table6[],2,0)</f>
        <v>InvMDLD d.o.o.</v>
      </c>
      <c r="C72" s="90">
        <f>VLOOKUP(Table17[[#This Row],[šifra]],Table6[],3,0)</f>
        <v>15</v>
      </c>
      <c r="D72" s="100" t="str">
        <f>VLOOKUP(Table17[[#This Row],[šifra]],Table6[],4,0)</f>
        <v>NIKOLINA</v>
      </c>
      <c r="E72" s="90" t="str">
        <f>VLOOKUP(Table17[[#This Row],[šifra]],Table6[],6,0)</f>
        <v>kusic.rebeka@gmail.com 
morana@mdldinv.com</v>
      </c>
      <c r="F72" s="90" t="str">
        <f>VLOOKUP(Table17[[#This Row],[šifra]],Table6[],11,0)</f>
        <v>da</v>
      </c>
      <c r="G72" s="90" t="str">
        <f>VLOOKUP(Table17[[#This Row],[šifra]],Table6[],10,0)</f>
        <v>da</v>
      </c>
      <c r="H72" s="139" t="str">
        <f>poduzeća!W68</f>
        <v>da</v>
      </c>
      <c r="I72" s="990"/>
      <c r="J72" s="91"/>
      <c r="K72" s="91"/>
      <c r="L72" s="91"/>
      <c r="M72" s="173"/>
      <c r="N72" s="91"/>
      <c r="O72" s="91"/>
      <c r="P72" s="91"/>
      <c r="Q72" s="91"/>
      <c r="R72" s="91"/>
      <c r="S72" s="91"/>
      <c r="T72" s="91"/>
      <c r="U72" s="91"/>
      <c r="V72" s="91"/>
      <c r="W72" s="173"/>
      <c r="X72" s="91"/>
      <c r="Y72" s="91"/>
      <c r="Z72" s="173"/>
      <c r="AA72" s="91"/>
      <c r="AB72" s="91"/>
      <c r="AC72" s="91"/>
      <c r="AD72" s="173"/>
      <c r="AE72" s="173"/>
      <c r="AF72" s="91"/>
      <c r="AG72" s="173"/>
      <c r="AH72" s="91"/>
      <c r="AI72" s="91"/>
      <c r="AJ72" s="173"/>
      <c r="AK72" s="173"/>
      <c r="AL72" s="91"/>
      <c r="AM72" s="173"/>
      <c r="AN72" s="91"/>
      <c r="AO72" s="91"/>
      <c r="AP72" s="91"/>
      <c r="AQ72" s="91"/>
      <c r="AR72" s="91"/>
      <c r="AS72" s="91"/>
      <c r="AT72" s="91"/>
      <c r="AU72" s="91"/>
      <c r="AV72" s="91"/>
    </row>
    <row r="73" spans="1:48">
      <c r="A73" s="792">
        <v>68</v>
      </c>
      <c r="B73" s="89" t="str">
        <f>VLOOKUP(Table17[[#This Row],[šifra]],Table6[],2,0)</f>
        <v>Istvan Zoltan Gal</v>
      </c>
      <c r="C73" s="90">
        <f>VLOOKUP(Table17[[#This Row],[šifra]],Table6[],3,0)</f>
        <v>10</v>
      </c>
      <c r="D73" s="100" t="str">
        <f>VLOOKUP(Table17[[#This Row],[šifra]],Table6[],4,0)</f>
        <v>MAJA</v>
      </c>
      <c r="E73" s="90" t="str">
        <f>VLOOKUP(Table17[[#This Row],[šifra]],Table6[],6,0)</f>
        <v>galistvan70@gmail.com</v>
      </c>
      <c r="F73" s="90" t="str">
        <f>VLOOKUP(Table17[[#This Row],[šifra]],Table6[],11,0)</f>
        <v>ne</v>
      </c>
      <c r="G73" s="90" t="str">
        <f>VLOOKUP(Table17[[#This Row],[šifra]],Table6[],10,0)</f>
        <v>da</v>
      </c>
      <c r="H73" s="139" t="str">
        <f>poduzeća!W69</f>
        <v>m-da</v>
      </c>
      <c r="I73" s="980" t="s">
        <v>1687</v>
      </c>
      <c r="J73" s="173"/>
      <c r="K73" s="91"/>
      <c r="L73" s="91"/>
      <c r="M73" s="566"/>
      <c r="N73" s="566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173"/>
      <c r="AD73" s="91"/>
      <c r="AE73" s="91"/>
      <c r="AF73" s="91"/>
      <c r="AG73" s="91"/>
      <c r="AH73" s="91"/>
      <c r="AI73" s="91"/>
      <c r="AJ73" s="200"/>
      <c r="AK73" s="91"/>
      <c r="AL73" s="173"/>
      <c r="AM73" s="173"/>
      <c r="AN73" s="91"/>
      <c r="AO73" s="91"/>
      <c r="AP73" s="91"/>
      <c r="AQ73" s="91"/>
      <c r="AR73" s="91"/>
      <c r="AS73" s="91"/>
      <c r="AT73" s="91"/>
      <c r="AU73" s="91"/>
      <c r="AV73" s="91"/>
    </row>
    <row r="74" spans="1:48" ht="47.25" customHeight="1">
      <c r="A74" s="88">
        <v>69</v>
      </c>
      <c r="B74" s="89" t="str">
        <f>VLOOKUP(Table17[[#This Row],[šifra]],Table6[],2,0)</f>
        <v>IVA franšizer</v>
      </c>
      <c r="C74" s="90">
        <f>VLOOKUP(Table17[[#This Row],[šifra]],Table6[],3,0)</f>
        <v>2</v>
      </c>
      <c r="D74" s="100" t="str">
        <f>VLOOKUP(Table17[[#This Row],[šifra]],Table6[],4,0)</f>
        <v>LAURA</v>
      </c>
      <c r="E74" s="90" t="str">
        <f>VLOOKUP(Table17[[#This Row],[šifra]],Table6[],6,0)</f>
        <v>iva@d-invoice.hr</v>
      </c>
      <c r="F74" s="90" t="str">
        <f>VLOOKUP(Table17[[#This Row],[šifra]],Table6[],11,0)</f>
        <v>ne</v>
      </c>
      <c r="G74" s="90" t="str">
        <f>VLOOKUP(Table17[[#This Row],[šifra]],Table6[],10,0)</f>
        <v>ne</v>
      </c>
      <c r="H74" s="139" t="str">
        <f>poduzeća!W70</f>
        <v>ne</v>
      </c>
      <c r="I74" s="980"/>
      <c r="J74" s="567"/>
      <c r="K74" s="566"/>
      <c r="L74" s="173"/>
      <c r="M74" s="566"/>
      <c r="N74" s="567"/>
      <c r="O74" s="91"/>
      <c r="P74" s="173"/>
      <c r="Q74" s="91"/>
      <c r="R74" s="91"/>
      <c r="S74" s="173"/>
      <c r="T74" s="173"/>
      <c r="U74" s="91"/>
      <c r="V74" s="91"/>
      <c r="W74" s="91"/>
      <c r="X74" s="173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173"/>
      <c r="AN74" s="91"/>
      <c r="AO74" s="91"/>
      <c r="AP74" s="173"/>
      <c r="AQ74" s="91"/>
      <c r="AR74" s="91"/>
      <c r="AS74" s="91"/>
      <c r="AT74" s="91"/>
      <c r="AU74" s="91"/>
      <c r="AV74" s="91"/>
    </row>
    <row r="75" spans="1:48" ht="45">
      <c r="A75" s="88">
        <v>70</v>
      </c>
      <c r="B75" s="89" t="str">
        <f>VLOOKUP(Table17[[#This Row],[šifra]],Table6[],2,0)</f>
        <v>I-WARM d.o.o.</v>
      </c>
      <c r="C75" s="90">
        <f>VLOOKUP(Table17[[#This Row],[šifra]],Table6[],3,0)</f>
        <v>28</v>
      </c>
      <c r="D75" s="100" t="str">
        <f>VLOOKUP(Table17[[#This Row],[šifra]],Table6[],4,0)</f>
        <v>STOPIRAN</v>
      </c>
      <c r="E75" s="90" t="str">
        <f>VLOOKUP(Table17[[#This Row],[šifra]],Table6[],6,0)</f>
        <v>darinka.iwarm@gmail.com  
i.warm.doo@gmail.com
Péli Attila &lt;attila.peli76@gmail.com&gt;</v>
      </c>
      <c r="F75" s="90" t="str">
        <f>VLOOKUP(Table17[[#This Row],[šifra]],Table6[],11,0)</f>
        <v>da</v>
      </c>
      <c r="G75" s="90" t="str">
        <f>VLOOKUP(Table17[[#This Row],[šifra]],Table6[],10,0)</f>
        <v>da</v>
      </c>
      <c r="H75" s="139" t="str">
        <f>poduzeća!W71</f>
        <v>da</v>
      </c>
      <c r="I75" s="980">
        <v>46142</v>
      </c>
      <c r="J75" s="624" t="s">
        <v>1363</v>
      </c>
      <c r="K75" s="587"/>
      <c r="L75" s="91"/>
      <c r="M75" s="173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200"/>
      <c r="AK75" s="91"/>
      <c r="AL75" s="91"/>
      <c r="AM75" s="173"/>
      <c r="AN75" s="91"/>
      <c r="AO75" s="91"/>
      <c r="AP75" s="91"/>
      <c r="AQ75" s="91"/>
      <c r="AR75" s="91"/>
      <c r="AS75" s="91"/>
      <c r="AT75" s="91"/>
      <c r="AU75" s="91"/>
      <c r="AV75" s="91"/>
    </row>
    <row r="76" spans="1:48" ht="15" customHeight="1">
      <c r="A76" s="88">
        <v>71</v>
      </c>
      <c r="B76" s="89" t="str">
        <f>VLOOKUP(Table17[[#This Row],[šifra]],Table6[],2,0)</f>
        <v>JANOS GIBERT  Crystal obrt</v>
      </c>
      <c r="C76" s="90">
        <f>VLOOKUP(Table17[[#This Row],[šifra]],Table6[],3,0)</f>
        <v>2</v>
      </c>
      <c r="D76" s="100" t="str">
        <f>VLOOKUP(Table17[[#This Row],[šifra]],Table6[],4,0)</f>
        <v>LAURA</v>
      </c>
      <c r="E76" s="90" t="str">
        <f>VLOOKUP(Table17[[#This Row],[šifra]],Table6[],6,0)</f>
        <v>janos.giber@gmail.com</v>
      </c>
      <c r="F76" s="90" t="str">
        <f>VLOOKUP(Table17[[#This Row],[šifra]],Table6[],11,0)</f>
        <v>da</v>
      </c>
      <c r="G76" s="90" t="str">
        <f>VLOOKUP(Table17[[#This Row],[šifra]],Table6[],10,0)</f>
        <v>da</v>
      </c>
      <c r="H76" s="139" t="str">
        <f>poduzeća!W72</f>
        <v>m-da</v>
      </c>
      <c r="I76" s="991" t="s">
        <v>1688</v>
      </c>
      <c r="J76" s="91"/>
      <c r="K76" s="173"/>
      <c r="L76" s="173"/>
      <c r="M76" s="566"/>
      <c r="N76" s="566"/>
      <c r="O76" s="173"/>
      <c r="P76" s="91"/>
      <c r="Q76" s="173"/>
      <c r="R76" s="173"/>
      <c r="S76" s="91"/>
      <c r="T76" s="173"/>
      <c r="U76" s="173"/>
      <c r="V76" s="91"/>
      <c r="W76" s="91"/>
      <c r="X76" s="91"/>
      <c r="Y76" s="91"/>
      <c r="Z76" s="91"/>
      <c r="AA76" s="91"/>
      <c r="AB76" s="91"/>
      <c r="AC76" s="173"/>
      <c r="AD76" s="173"/>
      <c r="AE76" s="91"/>
      <c r="AF76" s="91"/>
      <c r="AG76" s="173"/>
      <c r="AH76" s="91"/>
      <c r="AI76" s="91"/>
      <c r="AJ76" s="173"/>
      <c r="AK76" s="91"/>
      <c r="AL76" s="91"/>
      <c r="AM76" s="173"/>
      <c r="AN76" s="91"/>
      <c r="AO76" s="91"/>
      <c r="AP76" s="173"/>
      <c r="AQ76" s="91"/>
      <c r="AR76" s="91"/>
      <c r="AS76" s="91"/>
      <c r="AT76" s="91"/>
      <c r="AU76" s="91"/>
      <c r="AV76" s="91"/>
    </row>
    <row r="77" spans="1:48" ht="17.25" customHeight="1">
      <c r="A77" s="792">
        <v>72</v>
      </c>
      <c r="B77" s="89" t="str">
        <f>VLOOKUP(Table17[[#This Row],[šifra]],Table6[],2,0)</f>
        <v>JÁNOS KORAN</v>
      </c>
      <c r="C77" s="90">
        <f>VLOOKUP(Table17[[#This Row],[šifra]],Table6[],3,0)</f>
        <v>10</v>
      </c>
      <c r="D77" s="100" t="str">
        <f>VLOOKUP(Table17[[#This Row],[šifra]],Table6[],4,0)</f>
        <v>MAJA</v>
      </c>
      <c r="E77" s="90" t="str">
        <f>VLOOKUP(Table17[[#This Row],[šifra]],Table6[],6,0)</f>
        <v>regina_wurst@yahoo.co.uk</v>
      </c>
      <c r="F77" s="90" t="str">
        <f>VLOOKUP(Table17[[#This Row],[šifra]],Table6[],11,0)</f>
        <v>ne</v>
      </c>
      <c r="G77" s="90" t="str">
        <f>VLOOKUP(Table17[[#This Row],[šifra]],Table6[],10,0)</f>
        <v>da</v>
      </c>
      <c r="H77" s="139" t="str">
        <f>poduzeća!W73</f>
        <v>m-da</v>
      </c>
      <c r="I77" s="983" t="s">
        <v>1592</v>
      </c>
      <c r="J77" s="91"/>
      <c r="K77" s="91"/>
      <c r="L77" s="91"/>
      <c r="M77" s="566"/>
      <c r="N77" s="566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</row>
    <row r="78" spans="1:48" ht="15.75" customHeight="1">
      <c r="A78" s="88">
        <v>73</v>
      </c>
      <c r="B78" s="89" t="str">
        <f>VLOOKUP(Table17[[#This Row],[šifra]],Table6[],2,0)</f>
        <v>KA-RLO d.o.o.</v>
      </c>
      <c r="C78" s="90">
        <f>VLOOKUP(Table17[[#This Row],[šifra]],Table6[],3,0)</f>
        <v>10</v>
      </c>
      <c r="D78" s="100" t="str">
        <f>VLOOKUP(Table17[[#This Row],[šifra]],Table6[],4,0)</f>
        <v>MAJA</v>
      </c>
      <c r="E78" s="90" t="str">
        <f>VLOOKUP(Table17[[#This Row],[šifra]],Table6[],6,0)</f>
        <v xml:space="preserve">mobilnost385@gmail.com, 
</v>
      </c>
      <c r="F78" s="90" t="str">
        <f>VLOOKUP(Table17[[#This Row],[šifra]],Table6[],11,0)</f>
        <v>ne</v>
      </c>
      <c r="G78" s="90" t="str">
        <f>VLOOKUP(Table17[[#This Row],[šifra]],Table6[],10,0)</f>
        <v>ne</v>
      </c>
      <c r="H78" s="139" t="str">
        <f>poduzeća!W74</f>
        <v>da</v>
      </c>
      <c r="I78" s="980" t="s">
        <v>1689</v>
      </c>
      <c r="J78" s="567"/>
      <c r="K78" s="567"/>
      <c r="L78" s="91"/>
      <c r="M78" s="566"/>
      <c r="N78" s="567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</row>
    <row r="79" spans="1:48" ht="16.5" customHeight="1">
      <c r="A79" s="140">
        <v>74</v>
      </c>
      <c r="B79" s="141" t="str">
        <f>VLOOKUP(Table17[[#This Row],[šifra]],Table6[],2,0)</f>
        <v>Kelemen Peter obrt</v>
      </c>
      <c r="C79" s="90">
        <f>VLOOKUP(Table17[[#This Row],[šifra]],Table6[],3,0)</f>
        <v>0</v>
      </c>
      <c r="D79" s="100" t="str">
        <f>VLOOKUP(Table17[[#This Row],[šifra]],Table6[],4,0)</f>
        <v>NITKO</v>
      </c>
      <c r="E79" s="90" t="str">
        <f>VLOOKUP(Table17[[#This Row],[šifra]],Table6[],6,0)</f>
        <v>kelemen.h.peter@gmail.com</v>
      </c>
      <c r="F79" s="90" t="str">
        <f>VLOOKUP(Table17[[#This Row],[šifra]],Table6[],11,0)</f>
        <v>ne</v>
      </c>
      <c r="G79" s="90" t="str">
        <f>VLOOKUP(Table17[[#This Row],[šifra]],Table6[],10,0)</f>
        <v>da</v>
      </c>
      <c r="H79" s="139" t="str">
        <f>poduzeća!W75</f>
        <v>ne</v>
      </c>
      <c r="I79" s="981"/>
      <c r="J79" s="173"/>
      <c r="K79" s="91"/>
      <c r="L79" s="91"/>
      <c r="M79" s="173"/>
      <c r="N79" s="91"/>
      <c r="O79" s="91"/>
      <c r="P79" s="91"/>
      <c r="Q79" s="173"/>
      <c r="R79" s="173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200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</row>
    <row r="80" spans="1:48">
      <c r="A80" s="88">
        <v>75</v>
      </c>
      <c r="B80" s="89" t="str">
        <f>VLOOKUP(Table17[[#This Row],[šifra]],Table6[],2,0)</f>
        <v>KERAMIKA ZOKA j.d.o.o.</v>
      </c>
      <c r="C80" s="90">
        <f>VLOOKUP(Table17[[#This Row],[šifra]],Table6[],3,0)</f>
        <v>15</v>
      </c>
      <c r="D80" s="100" t="str">
        <f>VLOOKUP(Table17[[#This Row],[šifra]],Table6[],4,0)</f>
        <v>NIKOLINA</v>
      </c>
      <c r="E80" s="90" t="str">
        <f>VLOOKUP(Table17[[#This Row],[šifra]],Table6[],6,0)</f>
        <v>zokafr@gmail.com</v>
      </c>
      <c r="F80" s="90" t="str">
        <f>VLOOKUP(Table17[[#This Row],[šifra]],Table6[],11,0)</f>
        <v>da</v>
      </c>
      <c r="G80" s="90" t="str">
        <f>VLOOKUP(Table17[[#This Row],[šifra]],Table6[],10,0)</f>
        <v>ne</v>
      </c>
      <c r="H80" s="139" t="str">
        <f>poduzeća!W76</f>
        <v>da</v>
      </c>
      <c r="I80" s="980" t="s">
        <v>1669</v>
      </c>
      <c r="J80" s="91"/>
      <c r="K80" s="173"/>
      <c r="L80" s="173"/>
      <c r="M80" s="173"/>
      <c r="N80" s="173"/>
      <c r="O80" s="173"/>
      <c r="P80" s="91"/>
      <c r="Q80" s="173"/>
      <c r="R80" s="173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173"/>
      <c r="AN80" s="91"/>
      <c r="AO80" s="91"/>
      <c r="AP80" s="173"/>
      <c r="AQ80" s="91"/>
      <c r="AR80" s="91"/>
      <c r="AS80" s="91"/>
      <c r="AT80" s="91"/>
      <c r="AU80" s="91"/>
      <c r="AV80" s="91"/>
    </row>
    <row r="81" spans="1:48" ht="30">
      <c r="A81" s="88">
        <v>76</v>
      </c>
      <c r="B81" s="89" t="str">
        <f>VLOOKUP(Table17[[#This Row],[šifra]],Table6[],2,0)</f>
        <v>KERSTAR KFT</v>
      </c>
      <c r="C81" s="90">
        <f>VLOOKUP(Table17[[#This Row],[šifra]],Table6[],3,0)</f>
        <v>11</v>
      </c>
      <c r="D81" s="100" t="str">
        <f>VLOOKUP(Table17[[#This Row],[šifra]],Table6[],4,0)</f>
        <v>GABRIJELA</v>
      </c>
      <c r="E81" s="90" t="str">
        <f>VLOOKUP(Table17[[#This Row],[šifra]],Table6[],6,0)</f>
        <v>baumhakl@gmail.com 
Baumhakl Kornel</v>
      </c>
      <c r="F81" s="90" t="str">
        <f>VLOOKUP(Table17[[#This Row],[šifra]],Table6[],11,0)</f>
        <v>ne</v>
      </c>
      <c r="G81" s="90" t="str">
        <f>VLOOKUP(Table17[[#This Row],[šifra]],Table6[],10,0)</f>
        <v>da</v>
      </c>
      <c r="H81" s="139" t="str">
        <f>poduzeća!W77</f>
        <v>pd-da</v>
      </c>
      <c r="I81" s="980"/>
      <c r="J81" s="173"/>
      <c r="K81" s="91"/>
      <c r="L81" s="91"/>
      <c r="M81" s="173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173"/>
      <c r="AJ81" s="91"/>
      <c r="AK81" s="91"/>
      <c r="AL81" s="180"/>
      <c r="AM81" s="91"/>
      <c r="AN81" s="91"/>
      <c r="AO81" s="173"/>
      <c r="AP81" s="91"/>
      <c r="AQ81" s="91"/>
      <c r="AR81" s="173"/>
      <c r="AS81" s="91"/>
      <c r="AT81" s="91"/>
      <c r="AU81" s="91"/>
      <c r="AV81" s="91"/>
    </row>
    <row r="82" spans="1:48" ht="30">
      <c r="A82" s="88">
        <v>77</v>
      </c>
      <c r="B82" s="89" t="str">
        <f>VLOOKUP(Table17[[#This Row],[šifra]],Table6[],2,0)</f>
        <v>Kiss inzinjering i Gradnja d.o.o.</v>
      </c>
      <c r="C82" s="90">
        <f>VLOOKUP(Table17[[#This Row],[šifra]],Table6[],3,0)</f>
        <v>23</v>
      </c>
      <c r="D82" s="100" t="str">
        <f>VLOOKUP(Table17[[#This Row],[šifra]],Table6[],4,0)</f>
        <v>MARKO</v>
      </c>
      <c r="E82" s="90" t="str">
        <f>VLOOKUP(Table17[[#This Row],[šifra]],Table6[],6,0)</f>
        <v>somlai.adrienn@kissepgep.hu</v>
      </c>
      <c r="F82" s="90" t="str">
        <f>VLOOKUP(Table17[[#This Row],[šifra]],Table6[],11,0)</f>
        <v>ne</v>
      </c>
      <c r="G82" s="90" t="str">
        <f>VLOOKUP(Table17[[#This Row],[šifra]],Table6[],10,0)</f>
        <v>da</v>
      </c>
      <c r="H82" s="139" t="str">
        <f>poduzeća!W78</f>
        <v>da</v>
      </c>
      <c r="I82" s="980" t="s">
        <v>1645</v>
      </c>
      <c r="J82" s="91"/>
      <c r="K82" s="173"/>
      <c r="L82" s="173"/>
      <c r="M82" s="173"/>
      <c r="N82" s="173"/>
      <c r="O82" s="173"/>
      <c r="P82" s="91"/>
      <c r="Q82" s="173"/>
      <c r="R82" s="173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173"/>
      <c r="AN82" s="173"/>
      <c r="AO82" s="91"/>
      <c r="AP82" s="173"/>
      <c r="AQ82" s="91"/>
      <c r="AR82" s="91"/>
      <c r="AS82" s="91"/>
      <c r="AT82" s="91"/>
      <c r="AU82" s="91"/>
      <c r="AV82" s="91"/>
    </row>
    <row r="83" spans="1:48" ht="13.5" customHeight="1">
      <c r="A83" s="140">
        <v>78</v>
      </c>
      <c r="B83" s="141" t="str">
        <f>VLOOKUP(Table17[[#This Row],[šifra]],Table6[],2,0)</f>
        <v>KONTROLEX d.o.o.</v>
      </c>
      <c r="C83" s="90">
        <f>VLOOKUP(Table17[[#This Row],[šifra]],Table6[],3,0)</f>
        <v>15</v>
      </c>
      <c r="D83" s="100" t="str">
        <f>VLOOKUP(Table17[[#This Row],[šifra]],Table6[],4,0)</f>
        <v>NIKOLINA</v>
      </c>
      <c r="E83" s="90" t="str">
        <f>VLOOKUP(Table17[[#This Row],[šifra]],Table6[],6,0)</f>
        <v>kontrolex100@gmail.com
drwaitztamas@gmail.com (kőnyvelő)</v>
      </c>
      <c r="F83" s="90" t="str">
        <f>VLOOKUP(Table17[[#This Row],[šifra]],Table6[],11,0)</f>
        <v>ne</v>
      </c>
      <c r="G83" s="90" t="str">
        <f>VLOOKUP(Table17[[#This Row],[šifra]],Table6[],10,0)</f>
        <v>da</v>
      </c>
      <c r="H83" s="139" t="str">
        <f>poduzeća!W79</f>
        <v>da</v>
      </c>
      <c r="I83" s="980"/>
      <c r="J83" s="91"/>
      <c r="K83" s="173"/>
      <c r="L83" s="173"/>
      <c r="M83" s="173"/>
      <c r="N83" s="173"/>
      <c r="O83" s="173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200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</row>
    <row r="84" spans="1:48">
      <c r="A84" s="140">
        <v>79</v>
      </c>
      <c r="B84" s="141" t="str">
        <f>VLOOKUP(Table17[[#This Row],[šifra]],Table6[],2,0)</f>
        <v>Koszicsi j.d.o.o.</v>
      </c>
      <c r="C84" s="90">
        <f>VLOOKUP(Table17[[#This Row],[šifra]],Table6[],3,0)</f>
        <v>25</v>
      </c>
      <c r="D84" s="100" t="str">
        <f>VLOOKUP(Table17[[#This Row],[šifra]],Table6[],4,0)</f>
        <v>F. MARKO</v>
      </c>
      <c r="E84" s="90" t="str">
        <f>VLOOKUP(Table17[[#This Row],[šifra]],Table6[],6,0)</f>
        <v>koszicsi2026@gmail.com</v>
      </c>
      <c r="F84" s="90" t="str">
        <f>VLOOKUP(Table17[[#This Row],[šifra]],Table6[],11,0)</f>
        <v>ne</v>
      </c>
      <c r="G84" s="90" t="str">
        <f>VLOOKUP(Table17[[#This Row],[šifra]],Table6[],10,0)</f>
        <v>ne</v>
      </c>
      <c r="H84" s="139" t="str">
        <f>poduzeća!W80</f>
        <v>da</v>
      </c>
      <c r="I84" s="980" t="s">
        <v>1648</v>
      </c>
      <c r="J84" s="191"/>
      <c r="K84" s="177"/>
      <c r="L84" s="177"/>
      <c r="M84" s="173"/>
      <c r="N84" s="173"/>
      <c r="O84" s="173"/>
      <c r="P84" s="91"/>
      <c r="Q84" s="173"/>
      <c r="R84" s="173"/>
      <c r="S84" s="91"/>
      <c r="T84" s="173"/>
      <c r="U84" s="173"/>
      <c r="V84" s="91"/>
      <c r="W84" s="173"/>
      <c r="X84" s="91"/>
      <c r="Y84" s="91"/>
      <c r="Z84" s="173"/>
      <c r="AA84" s="91"/>
      <c r="AB84" s="91"/>
      <c r="AC84" s="91"/>
      <c r="AD84" s="173"/>
      <c r="AE84" s="173"/>
      <c r="AF84" s="91"/>
      <c r="AG84" s="173"/>
      <c r="AH84" s="173"/>
      <c r="AI84" s="91"/>
      <c r="AJ84" s="200"/>
      <c r="AK84" s="173"/>
      <c r="AL84" s="91"/>
      <c r="AM84" s="91"/>
      <c r="AN84" s="91"/>
      <c r="AO84" s="91"/>
      <c r="AP84" s="173"/>
      <c r="AQ84" s="173"/>
      <c r="AR84" s="91"/>
      <c r="AS84" s="173"/>
      <c r="AT84" s="91"/>
      <c r="AU84" s="91"/>
      <c r="AV84" s="91"/>
    </row>
    <row r="85" spans="1:48">
      <c r="A85" s="88">
        <v>80</v>
      </c>
      <c r="B85" s="89" t="str">
        <f>VLOOKUP(Table17[[#This Row],[šifra]],Table6[],2,0)</f>
        <v>KREATIVNI KOLEKTIV d.o.o.</v>
      </c>
      <c r="C85" s="90">
        <f>VLOOKUP(Table17[[#This Row],[šifra]],Table6[],3,0)</f>
        <v>6</v>
      </c>
      <c r="D85" s="100" t="str">
        <f>VLOOKUP(Table17[[#This Row],[šifra]],Table6[],4,0)</f>
        <v>F. ANA P.</v>
      </c>
      <c r="E85" s="90" t="str">
        <f>VLOOKUP(Table17[[#This Row],[šifra]],Table6[],6,0)</f>
        <v>kreativnikolektivi@gmail.com</v>
      </c>
      <c r="F85" s="90" t="str">
        <f>VLOOKUP(Table17[[#This Row],[šifra]],Table6[],11,0)</f>
        <v>da</v>
      </c>
      <c r="G85" s="90" t="str">
        <f>VLOOKUP(Table17[[#This Row],[šifra]],Table6[],10,0)</f>
        <v>da</v>
      </c>
      <c r="H85" s="139" t="str">
        <f>poduzeća!W81</f>
        <v>F-DA</v>
      </c>
      <c r="I85" s="980"/>
      <c r="J85" s="191"/>
      <c r="K85" s="177"/>
      <c r="L85" s="177"/>
      <c r="M85" s="173"/>
      <c r="N85" s="173"/>
      <c r="O85" s="173"/>
      <c r="P85" s="91"/>
      <c r="Q85" s="173"/>
      <c r="R85" s="173"/>
      <c r="S85" s="91"/>
      <c r="T85" s="173"/>
      <c r="U85" s="173"/>
      <c r="V85" s="91"/>
      <c r="W85" s="173"/>
      <c r="X85" s="91"/>
      <c r="Y85" s="91"/>
      <c r="Z85" s="173"/>
      <c r="AA85" s="91"/>
      <c r="AB85" s="91"/>
      <c r="AC85" s="91"/>
      <c r="AD85" s="173"/>
      <c r="AE85" s="173"/>
      <c r="AF85" s="91"/>
      <c r="AG85" s="173"/>
      <c r="AH85" s="173"/>
      <c r="AI85" s="91"/>
      <c r="AJ85" s="200"/>
      <c r="AK85" s="173"/>
      <c r="AL85" s="91"/>
      <c r="AM85" s="91"/>
      <c r="AN85" s="91"/>
      <c r="AO85" s="91"/>
      <c r="AP85" s="173"/>
      <c r="AQ85" s="173"/>
      <c r="AR85" s="91"/>
      <c r="AS85" s="173"/>
      <c r="AT85" s="91"/>
      <c r="AU85" s="91"/>
      <c r="AV85" s="91"/>
    </row>
    <row r="86" spans="1:48">
      <c r="A86" s="88">
        <v>81</v>
      </c>
      <c r="B86" s="89" t="str">
        <f>VLOOKUP(Table17[[#This Row],[šifra]],Table6[],2,0)</f>
        <v>LAJMIR j.d.o.o.</v>
      </c>
      <c r="C86" s="90">
        <f>VLOOKUP(Table17[[#This Row],[šifra]],Table6[],3,0)</f>
        <v>11</v>
      </c>
      <c r="D86" s="100" t="str">
        <f>VLOOKUP(Table17[[#This Row],[šifra]],Table6[],4,0)</f>
        <v>GABRIJELA</v>
      </c>
      <c r="E86" s="90" t="str">
        <f>VLOOKUP(Table17[[#This Row],[šifra]],Table6[],6,0)</f>
        <v>lajmirdoo@gmail.com</v>
      </c>
      <c r="F86" s="90" t="str">
        <f>VLOOKUP(Table17[[#This Row],[šifra]],Table6[],11,0)</f>
        <v>da</v>
      </c>
      <c r="G86" s="90" t="str">
        <f>VLOOKUP(Table17[[#This Row],[šifra]],Table6[],10,0)</f>
        <v>ne</v>
      </c>
      <c r="H86" s="139" t="str">
        <f>poduzeća!W82</f>
        <v>da</v>
      </c>
      <c r="I86" s="980">
        <v>46142</v>
      </c>
      <c r="J86" s="191"/>
      <c r="K86" s="177"/>
      <c r="L86" s="177"/>
      <c r="M86" s="173"/>
      <c r="N86" s="173"/>
      <c r="O86" s="173"/>
      <c r="P86" s="91"/>
      <c r="Q86" s="173"/>
      <c r="R86" s="173"/>
      <c r="S86" s="91"/>
      <c r="T86" s="173"/>
      <c r="U86" s="173"/>
      <c r="V86" s="91"/>
      <c r="W86" s="173"/>
      <c r="X86" s="91"/>
      <c r="Y86" s="91"/>
      <c r="Z86" s="173"/>
      <c r="AA86" s="91"/>
      <c r="AB86" s="91"/>
      <c r="AC86" s="91"/>
      <c r="AD86" s="173"/>
      <c r="AE86" s="173"/>
      <c r="AF86" s="91"/>
      <c r="AG86" s="173"/>
      <c r="AH86" s="173"/>
      <c r="AI86" s="91"/>
      <c r="AJ86" s="173"/>
      <c r="AK86" s="173"/>
      <c r="AL86" s="91"/>
      <c r="AM86" s="91"/>
      <c r="AN86" s="91"/>
      <c r="AO86" s="91"/>
      <c r="AP86" s="173"/>
      <c r="AQ86" s="173"/>
      <c r="AR86" s="91"/>
      <c r="AS86" s="173"/>
      <c r="AT86" s="91"/>
      <c r="AU86" s="91"/>
      <c r="AV86" s="91"/>
    </row>
    <row r="87" spans="1:48">
      <c r="A87" s="792">
        <v>82</v>
      </c>
      <c r="B87" s="89" t="str">
        <f>VLOOKUP(Table17[[#This Row],[šifra]],Table6[],2,0)</f>
        <v>LASZLO BERTOK</v>
      </c>
      <c r="C87" s="90">
        <f>VLOOKUP(Table17[[#This Row],[šifra]],Table6[],3,0)</f>
        <v>10</v>
      </c>
      <c r="D87" s="100" t="str">
        <f>VLOOKUP(Table17[[#This Row],[šifra]],Table6[],4,0)</f>
        <v>MAJA</v>
      </c>
      <c r="E87" s="90" t="str">
        <f>VLOOKUP(Table17[[#This Row],[šifra]],Table6[],6,0)</f>
        <v>bertok77@gmail.com</v>
      </c>
      <c r="F87" s="90" t="str">
        <f>VLOOKUP(Table17[[#This Row],[šifra]],Table6[],11,0)</f>
        <v>ne</v>
      </c>
      <c r="G87" s="90" t="str">
        <f>VLOOKUP(Table17[[#This Row],[šifra]],Table6[],10,0)</f>
        <v>da</v>
      </c>
      <c r="H87" s="139" t="str">
        <f>poduzeća!W83</f>
        <v>m-da</v>
      </c>
      <c r="I87" s="980" t="s">
        <v>1592</v>
      </c>
      <c r="J87" s="206"/>
      <c r="K87" s="177"/>
      <c r="L87" s="177"/>
      <c r="M87" s="566"/>
      <c r="N87" s="566"/>
      <c r="O87" s="173"/>
      <c r="P87" s="91"/>
      <c r="Q87" s="173"/>
      <c r="R87" s="173"/>
      <c r="S87" s="91"/>
      <c r="T87" s="173"/>
      <c r="U87" s="173"/>
      <c r="V87" s="91"/>
      <c r="W87" s="173"/>
      <c r="X87" s="91"/>
      <c r="Y87" s="91"/>
      <c r="Z87" s="173"/>
      <c r="AA87" s="91"/>
      <c r="AB87" s="91"/>
      <c r="AC87" s="91"/>
      <c r="AD87" s="173"/>
      <c r="AE87" s="173"/>
      <c r="AF87" s="91"/>
      <c r="AG87" s="173"/>
      <c r="AH87" s="173"/>
      <c r="AI87" s="91"/>
      <c r="AJ87" s="200"/>
      <c r="AK87" s="173"/>
      <c r="AL87" s="91"/>
      <c r="AM87" s="173"/>
      <c r="AN87" s="91"/>
      <c r="AO87" s="91"/>
      <c r="AP87" s="173"/>
      <c r="AQ87" s="173"/>
      <c r="AR87" s="91"/>
      <c r="AS87" s="173"/>
      <c r="AT87" s="91"/>
      <c r="AU87" s="91"/>
      <c r="AV87" s="91"/>
    </row>
    <row r="88" spans="1:48">
      <c r="A88" s="792">
        <v>83</v>
      </c>
      <c r="B88" s="89" t="str">
        <f>VLOOKUP(Table17[[#This Row],[šifra]],Table6[],2,0)</f>
        <v>LENCSE ZOLTÁN</v>
      </c>
      <c r="C88" s="90">
        <f>VLOOKUP(Table17[[#This Row],[šifra]],Table6[],3,0)</f>
        <v>10</v>
      </c>
      <c r="D88" s="100" t="str">
        <f>VLOOKUP(Table17[[#This Row],[šifra]],Table6[],4,0)</f>
        <v>MAJA</v>
      </c>
      <c r="E88" s="90" t="str">
        <f>VLOOKUP(Table17[[#This Row],[šifra]],Table6[],6,0)</f>
        <v>zoli.lencses@gmail.com</v>
      </c>
      <c r="F88" s="90" t="str">
        <f>VLOOKUP(Table17[[#This Row],[šifra]],Table6[],11,0)</f>
        <v>ne</v>
      </c>
      <c r="G88" s="90" t="str">
        <f>VLOOKUP(Table17[[#This Row],[šifra]],Table6[],10,0)</f>
        <v>da</v>
      </c>
      <c r="H88" s="139" t="str">
        <f>poduzeća!W84</f>
        <v>m-da</v>
      </c>
      <c r="I88" s="983" t="s">
        <v>1690</v>
      </c>
      <c r="J88" s="207"/>
      <c r="K88" s="208"/>
      <c r="L88" s="173"/>
      <c r="M88" s="566"/>
      <c r="N88" s="566"/>
      <c r="O88" s="173"/>
      <c r="P88" s="91"/>
      <c r="Q88" s="173"/>
      <c r="R88" s="173"/>
      <c r="S88" s="91"/>
      <c r="T88" s="173"/>
      <c r="U88" s="173"/>
      <c r="V88" s="91"/>
      <c r="W88" s="173"/>
      <c r="X88" s="91"/>
      <c r="Y88" s="91"/>
      <c r="Z88" s="173"/>
      <c r="AA88" s="91"/>
      <c r="AB88" s="209"/>
      <c r="AC88" s="91"/>
      <c r="AD88" s="202"/>
      <c r="AE88" s="173"/>
      <c r="AF88" s="91"/>
      <c r="AG88" s="173"/>
      <c r="AH88" s="193"/>
      <c r="AI88" s="91"/>
      <c r="AJ88" s="210"/>
      <c r="AK88" s="173"/>
      <c r="AL88" s="91"/>
      <c r="AM88" s="173"/>
      <c r="AN88" s="173"/>
      <c r="AO88" s="91"/>
      <c r="AP88" s="173"/>
      <c r="AQ88" s="173"/>
      <c r="AR88" s="91"/>
      <c r="AS88" s="173"/>
      <c r="AT88" s="91"/>
      <c r="AU88" s="91"/>
      <c r="AV88" s="91"/>
    </row>
    <row r="89" spans="1:48">
      <c r="A89" s="88">
        <v>84</v>
      </c>
      <c r="B89" s="89" t="str">
        <f>VLOOKUP(Table17[[#This Row],[šifra]],Table6[],2,0)</f>
        <v>LIGA PROTIV RAKA BARANJA</v>
      </c>
      <c r="C89" s="90">
        <f>VLOOKUP(Table17[[#This Row],[šifra]],Table6[],3,0)</f>
        <v>1</v>
      </c>
      <c r="D89" s="100" t="str">
        <f>VLOOKUP(Table17[[#This Row],[šifra]],Table6[],4,0)</f>
        <v>F/GABRIJELA</v>
      </c>
      <c r="E89" s="90" t="str">
        <f>VLOOKUP(Table17[[#This Row],[šifra]],Table6[],6,0)</f>
        <v>brankabiz@yahoo.com</v>
      </c>
      <c r="F89" s="90" t="str">
        <f>VLOOKUP(Table17[[#This Row],[šifra]],Table6[],11,0)</f>
        <v>ne</v>
      </c>
      <c r="G89" s="90" t="str">
        <f>VLOOKUP(Table17[[#This Row],[šifra]],Table6[],10,0)</f>
        <v>ne</v>
      </c>
      <c r="H89" s="139" t="str">
        <f>poduzeća!W85</f>
        <v>m-da</v>
      </c>
      <c r="I89" s="980"/>
      <c r="J89" s="206"/>
      <c r="K89" s="177"/>
      <c r="L89" s="177"/>
      <c r="M89" s="173"/>
      <c r="N89" s="173"/>
      <c r="O89" s="173"/>
      <c r="P89" s="91"/>
      <c r="Q89" s="173"/>
      <c r="R89" s="173"/>
      <c r="S89" s="90"/>
      <c r="T89" s="173"/>
      <c r="U89" s="173"/>
      <c r="V89" s="91"/>
      <c r="W89" s="173"/>
      <c r="X89" s="91"/>
      <c r="Y89" s="91"/>
      <c r="Z89" s="173"/>
      <c r="AA89" s="91"/>
      <c r="AB89" s="91"/>
      <c r="AC89" s="173"/>
      <c r="AD89" s="173"/>
      <c r="AE89" s="173"/>
      <c r="AF89" s="91"/>
      <c r="AG89" s="173"/>
      <c r="AH89" s="173"/>
      <c r="AI89" s="91"/>
      <c r="AJ89" s="200"/>
      <c r="AK89" s="173"/>
      <c r="AL89" s="91"/>
      <c r="AM89" s="173"/>
      <c r="AN89" s="91"/>
      <c r="AO89" s="91"/>
      <c r="AP89" s="173"/>
      <c r="AQ89" s="173"/>
      <c r="AR89" s="91"/>
      <c r="AS89" s="173"/>
      <c r="AT89" s="91"/>
      <c r="AU89" s="91"/>
      <c r="AV89" s="91"/>
    </row>
    <row r="90" spans="1:48" ht="45">
      <c r="A90" s="88">
        <v>85</v>
      </c>
      <c r="B90" s="89" t="str">
        <f>VLOOKUP(Table17[[#This Row],[šifra]],Table6[],2,0)</f>
        <v>LMLand d.o.o.</v>
      </c>
      <c r="C90" s="90">
        <f>VLOOKUP(Table17[[#This Row],[šifra]],Table6[],3,0)</f>
        <v>11</v>
      </c>
      <c r="D90" s="100" t="str">
        <f>VLOOKUP(Table17[[#This Row],[šifra]],Table6[],4,0)</f>
        <v>GABRIJELA</v>
      </c>
      <c r="E90" s="90" t="str">
        <f>VLOOKUP(Table17[[#This Row],[šifra]],Table6[],6,0)</f>
        <v xml:space="preserve">Némethy Péter &lt;nemethy.peter@lmland.hu&gt;
</v>
      </c>
      <c r="F90" s="90" t="str">
        <f>VLOOKUP(Table17[[#This Row],[šifra]],Table6[],11,0)</f>
        <v>da</v>
      </c>
      <c r="G90" s="90" t="str">
        <f>VLOOKUP(Table17[[#This Row],[šifra]],Table6[],10,0)</f>
        <v>da</v>
      </c>
      <c r="H90" s="139" t="str">
        <f>poduzeća!W86</f>
        <v>da</v>
      </c>
      <c r="I90" s="983" t="s">
        <v>1995</v>
      </c>
      <c r="J90" s="191"/>
      <c r="K90" s="177"/>
      <c r="L90" s="177"/>
      <c r="M90" s="173"/>
      <c r="N90" s="173"/>
      <c r="O90" s="173"/>
      <c r="P90" s="91"/>
      <c r="Q90" s="173"/>
      <c r="R90" s="173"/>
      <c r="S90" s="91"/>
      <c r="T90" s="173"/>
      <c r="U90" s="173"/>
      <c r="V90" s="91"/>
      <c r="W90" s="173"/>
      <c r="X90" s="91"/>
      <c r="Y90" s="91"/>
      <c r="Z90" s="173"/>
      <c r="AA90" s="91"/>
      <c r="AB90" s="91"/>
      <c r="AC90" s="91"/>
      <c r="AD90" s="173"/>
      <c r="AE90" s="173"/>
      <c r="AF90" s="91"/>
      <c r="AG90" s="173"/>
      <c r="AH90" s="173"/>
      <c r="AI90" s="91"/>
      <c r="AJ90" s="200"/>
      <c r="AK90" s="173"/>
      <c r="AL90" s="91"/>
      <c r="AM90" s="91"/>
      <c r="AN90" s="91"/>
      <c r="AO90" s="91"/>
      <c r="AP90" s="173"/>
      <c r="AQ90" s="173"/>
      <c r="AR90" s="91"/>
      <c r="AS90" s="173"/>
      <c r="AT90" s="91"/>
      <c r="AU90" s="91"/>
      <c r="AV90" s="91"/>
    </row>
    <row r="91" spans="1:48" ht="23.25" customHeight="1">
      <c r="A91" s="88">
        <v>86</v>
      </c>
      <c r="B91" s="89" t="str">
        <f>VLOOKUP(Table17[[#This Row],[šifra]],Table6[],2,0)</f>
        <v>LOGO CENTAR PETRA MIKUŠ d.o.o.</v>
      </c>
      <c r="C91" s="90">
        <f>VLOOKUP(Table17[[#This Row],[šifra]],Table6[],3,0)</f>
        <v>6</v>
      </c>
      <c r="D91" s="100" t="str">
        <f>VLOOKUP(Table17[[#This Row],[šifra]],Table6[],4,0)</f>
        <v>F. ANA P.</v>
      </c>
      <c r="E91" s="90" t="str">
        <f>VLOOKUP(Table17[[#This Row],[šifra]],Table6[],6,0)</f>
        <v>lc.petramikus@gmail.com</v>
      </c>
      <c r="F91" s="90" t="str">
        <f>VLOOKUP(Table17[[#This Row],[šifra]],Table6[],11,0)</f>
        <v>da</v>
      </c>
      <c r="G91" s="90" t="str">
        <f>VLOOKUP(Table17[[#This Row],[šifra]],Table6[],10,0)</f>
        <v>ne</v>
      </c>
      <c r="H91" s="139" t="str">
        <f>poduzeća!W87</f>
        <v>F-DA</v>
      </c>
      <c r="I91" s="980"/>
      <c r="J91" s="91"/>
      <c r="K91" s="91"/>
      <c r="L91" s="91"/>
      <c r="M91" s="173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</row>
    <row r="92" spans="1:48" ht="15" customHeight="1">
      <c r="A92" s="88">
        <v>87</v>
      </c>
      <c r="B92" s="89" t="str">
        <f>VLOOKUP(Table17[[#This Row],[šifra]],Table6[],2,0)</f>
        <v>LOGO PUŽ j.d.o.o</v>
      </c>
      <c r="C92" s="90">
        <f>VLOOKUP(Table17[[#This Row],[šifra]],Table6[],3,0)</f>
        <v>6</v>
      </c>
      <c r="D92" s="100" t="str">
        <f>VLOOKUP(Table17[[#This Row],[šifra]],Table6[],4,0)</f>
        <v>F. ANA P.</v>
      </c>
      <c r="E92" s="90" t="str">
        <f>VLOOKUP(Table17[[#This Row],[šifra]],Table6[],6,0)</f>
        <v>marija.bakovic90@gmail.com</v>
      </c>
      <c r="F92" s="90" t="str">
        <f>VLOOKUP(Table17[[#This Row],[šifra]],Table6[],11,0)</f>
        <v>ne</v>
      </c>
      <c r="G92" s="90" t="str">
        <f>VLOOKUP(Table17[[#This Row],[šifra]],Table6[],10,0)</f>
        <v>ne</v>
      </c>
      <c r="H92" s="139" t="str">
        <f>poduzeća!W88</f>
        <v>F-DA</v>
      </c>
      <c r="I92" s="983"/>
      <c r="J92" s="91"/>
      <c r="K92" s="91"/>
      <c r="L92" s="91"/>
      <c r="M92" s="173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211"/>
      <c r="AS92" s="186"/>
      <c r="AT92" s="91"/>
      <c r="AU92" s="91"/>
      <c r="AV92" s="91"/>
    </row>
    <row r="93" spans="1:48" ht="45.75" customHeight="1">
      <c r="A93" s="88">
        <v>88</v>
      </c>
      <c r="B93" s="89" t="str">
        <f>VLOOKUP(Table17[[#This Row],[šifra]],Table6[],2,0)</f>
        <v>M_CONSULTING d.o.o. frašizer</v>
      </c>
      <c r="C93" s="90">
        <f>VLOOKUP(Table17[[#This Row],[šifra]],Table6[],3,0)</f>
        <v>25</v>
      </c>
      <c r="D93" s="100" t="str">
        <f>VLOOKUP(Table17[[#This Row],[šifra]],Table6[],4,0)</f>
        <v>F. MARKO</v>
      </c>
      <c r="E93" s="90" t="str">
        <f>VLOOKUP(Table17[[#This Row],[šifra]],Table6[],6,0)</f>
        <v>MARKO@D-INVOICE.HR</v>
      </c>
      <c r="F93" s="90" t="str">
        <f>VLOOKUP(Table17[[#This Row],[šifra]],Table6[],11,0)</f>
        <v>da</v>
      </c>
      <c r="G93" s="90" t="str">
        <f>VLOOKUP(Table17[[#This Row],[šifra]],Table6[],10,0)</f>
        <v>ne</v>
      </c>
      <c r="H93" s="139" t="str">
        <f>poduzeća!W89</f>
        <v>F-DA</v>
      </c>
      <c r="I93" s="980" t="s">
        <v>1645</v>
      </c>
      <c r="J93" s="91"/>
      <c r="K93" s="91"/>
      <c r="L93" s="91"/>
      <c r="M93" s="173"/>
      <c r="N93" s="91"/>
      <c r="O93" s="91"/>
      <c r="P93" s="91"/>
      <c r="Q93" s="91"/>
      <c r="R93" s="91"/>
      <c r="S93" s="91"/>
      <c r="T93" s="173"/>
      <c r="U93" s="91"/>
      <c r="V93" s="91"/>
      <c r="W93" s="173"/>
      <c r="X93" s="91"/>
      <c r="Y93" s="198"/>
      <c r="Z93" s="198"/>
      <c r="AA93" s="91"/>
      <c r="AB93" s="142"/>
      <c r="AC93" s="91"/>
      <c r="AD93" s="91"/>
      <c r="AE93" s="212"/>
      <c r="AF93" s="173"/>
      <c r="AG93" s="91"/>
      <c r="AH93" s="213"/>
      <c r="AI93" s="91"/>
      <c r="AJ93" s="200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</row>
    <row r="94" spans="1:48" ht="45">
      <c r="A94" s="88">
        <v>89</v>
      </c>
      <c r="B94" s="89" t="str">
        <f>VLOOKUP(Table17[[#This Row],[šifra]],Table6[],2,0)</f>
        <v>MARIJANIS j.d.o.o.</v>
      </c>
      <c r="C94" s="90">
        <f>VLOOKUP(Table17[[#This Row],[šifra]],Table6[],3,0)</f>
        <v>15</v>
      </c>
      <c r="D94" s="100" t="str">
        <f>VLOOKUP(Table17[[#This Row],[šifra]],Table6[],4,0)</f>
        <v>NIKOLINA</v>
      </c>
      <c r="E94" s="90" t="str">
        <f>VLOOKUP(Table17[[#This Row],[šifra]],Table6[],6,0)</f>
        <v>Slavica Marijanović &lt;marijanovic.
slavica@gmail.com&gt; &lt;marijanis.osijek@gmail.com&gt;</v>
      </c>
      <c r="F94" s="90" t="str">
        <f>VLOOKUP(Table17[[#This Row],[šifra]],Table6[],11,0)</f>
        <v>da</v>
      </c>
      <c r="G94" s="90" t="str">
        <f>VLOOKUP(Table17[[#This Row],[šifra]],Table6[],10,0)</f>
        <v>ne</v>
      </c>
      <c r="H94" s="139" t="str">
        <f>poduzeća!W90</f>
        <v>da</v>
      </c>
      <c r="I94" s="985">
        <v>46134</v>
      </c>
      <c r="J94" s="91"/>
      <c r="K94" s="91"/>
      <c r="L94" s="173"/>
      <c r="M94" s="173"/>
      <c r="N94" s="91"/>
      <c r="O94" s="91"/>
      <c r="P94" s="91"/>
      <c r="Q94" s="91"/>
      <c r="R94" s="91"/>
      <c r="S94" s="91"/>
      <c r="T94" s="91"/>
      <c r="U94" s="91"/>
      <c r="V94" s="91"/>
      <c r="W94" s="173"/>
      <c r="X94" s="91"/>
      <c r="Y94" s="91"/>
      <c r="Z94" s="173"/>
      <c r="AA94" s="91"/>
      <c r="AB94" s="91"/>
      <c r="AC94" s="91"/>
      <c r="AD94" s="173"/>
      <c r="AE94" s="91"/>
      <c r="AF94" s="91"/>
      <c r="AG94" s="173"/>
      <c r="AH94" s="91"/>
      <c r="AI94" s="91"/>
      <c r="AJ94" s="200"/>
      <c r="AK94" s="91"/>
      <c r="AL94" s="91"/>
      <c r="AM94" s="173"/>
      <c r="AN94" s="91"/>
      <c r="AO94" s="91"/>
      <c r="AP94" s="173"/>
      <c r="AQ94" s="91"/>
      <c r="AR94" s="91"/>
      <c r="AS94" s="91"/>
      <c r="AT94" s="91"/>
      <c r="AU94" s="91"/>
      <c r="AV94" s="91"/>
    </row>
    <row r="95" spans="1:48">
      <c r="A95" s="840">
        <v>90</v>
      </c>
      <c r="B95" s="841" t="str">
        <f>VLOOKUP(Table17[[#This Row],[šifra]],Table6[],2,0)</f>
        <v>Martinović destilery j.d.o.o</v>
      </c>
      <c r="C95" s="90">
        <f>VLOOKUP(Table17[[#This Row],[šifra]],Table6[],3,0)</f>
        <v>2</v>
      </c>
      <c r="D95" s="100" t="str">
        <f>VLOOKUP(Table17[[#This Row],[šifra]],Table6[],4,0)</f>
        <v>LAURA</v>
      </c>
      <c r="E95" s="90" t="str">
        <f>VLOOKUP(Table17[[#This Row],[šifra]],Table6[],6,0)</f>
        <v>kruno.martinovic1979@gmail.com</v>
      </c>
      <c r="F95" s="90" t="str">
        <f>VLOOKUP(Table17[[#This Row],[šifra]],Table6[],11,0)</f>
        <v>ne</v>
      </c>
      <c r="G95" s="90" t="str">
        <f>VLOOKUP(Table17[[#This Row],[šifra]],Table6[],10,0)</f>
        <v>da</v>
      </c>
      <c r="H95" s="139" t="str">
        <f>poduzeća!W91</f>
        <v>da</v>
      </c>
      <c r="I95" s="980">
        <v>46130</v>
      </c>
      <c r="J95" s="567"/>
      <c r="K95" s="566">
        <v>46043</v>
      </c>
      <c r="L95" s="91"/>
      <c r="M95" s="566"/>
      <c r="N95" s="567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200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</row>
    <row r="96" spans="1:48" ht="30.75" customHeight="1">
      <c r="A96" s="840">
        <v>91</v>
      </c>
      <c r="B96" s="841" t="str">
        <f>VLOOKUP(Table17[[#This Row],[šifra]],Table6[],2,0)</f>
        <v>MedicalScan doo</v>
      </c>
      <c r="C96" s="90">
        <f>VLOOKUP(Table17[[#This Row],[šifra]],Table6[],3,0)</f>
        <v>15</v>
      </c>
      <c r="D96" s="100" t="str">
        <f>VLOOKUP(Table17[[#This Row],[šifra]],Table6[],4,0)</f>
        <v>NIKOLINA</v>
      </c>
      <c r="E96" s="90" t="str">
        <f>VLOOKUP(Table17[[#This Row],[šifra]],Table6[],6,0)</f>
        <v xml:space="preserve">annamaria.karsai.abel@medicalscan.hu, orsolya.toth@medicalscan.hu, celia.blasszauer@medicalscan.hu, </v>
      </c>
      <c r="F96" s="90" t="str">
        <f>VLOOKUP(Table17[[#This Row],[šifra]],Table6[],11,0)</f>
        <v>ne</v>
      </c>
      <c r="G96" s="90" t="str">
        <f>VLOOKUP(Table17[[#This Row],[šifra]],Table6[],10,0)</f>
        <v>da</v>
      </c>
      <c r="H96" s="139" t="str">
        <f>poduzeća!W92</f>
        <v>ne</v>
      </c>
      <c r="I96" s="983"/>
      <c r="J96" s="567"/>
      <c r="K96" s="566"/>
      <c r="L96" s="173"/>
      <c r="M96" s="566"/>
      <c r="N96" s="567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173"/>
      <c r="AJ96" s="200"/>
      <c r="AK96" s="91"/>
      <c r="AL96" s="173"/>
      <c r="AM96" s="214"/>
      <c r="AN96" s="91"/>
      <c r="AO96" s="173"/>
      <c r="AP96" s="173"/>
      <c r="AQ96" s="91"/>
      <c r="AR96" s="211"/>
      <c r="AS96" s="173"/>
      <c r="AT96" s="91"/>
      <c r="AU96" s="91"/>
      <c r="AV96" s="91"/>
    </row>
    <row r="97" spans="1:48" ht="30">
      <c r="A97" s="88">
        <v>92</v>
      </c>
      <c r="B97" s="89" t="str">
        <f>VLOOKUP(Table17[[#This Row],[šifra]],Table6[],2,0)</f>
        <v>Mediterranean homes j.d.o.o.</v>
      </c>
      <c r="C97" s="90">
        <f>VLOOKUP(Table17[[#This Row],[šifra]],Table6[],3,0)</f>
        <v>23</v>
      </c>
      <c r="D97" s="100" t="str">
        <f>VLOOKUP(Table17[[#This Row],[šifra]],Table6[],4,0)</f>
        <v>MARKO</v>
      </c>
      <c r="E97" s="90" t="str">
        <f>VLOOKUP(Table17[[#This Row],[šifra]],Table6[],6,0)</f>
        <v>szafakormend@gmail.com, 
szabo.gabor@szafa.hu</v>
      </c>
      <c r="F97" s="90" t="str">
        <f>VLOOKUP(Table17[[#This Row],[šifra]],Table6[],11,0)</f>
        <v>ne</v>
      </c>
      <c r="G97" s="90" t="str">
        <f>VLOOKUP(Table17[[#This Row],[šifra]],Table6[],10,0)</f>
        <v>ne</v>
      </c>
      <c r="H97" s="139" t="str">
        <f>poduzeća!W93</f>
        <v>da</v>
      </c>
      <c r="I97" s="980" t="s">
        <v>1996</v>
      </c>
      <c r="J97" s="91"/>
      <c r="K97" s="91"/>
      <c r="L97" s="91"/>
      <c r="M97" s="173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173"/>
      <c r="AE97" s="91"/>
      <c r="AF97" s="91"/>
      <c r="AG97" s="173"/>
      <c r="AH97" s="91"/>
      <c r="AI97" s="91"/>
      <c r="AJ97" s="200"/>
      <c r="AK97" s="91"/>
      <c r="AL97" s="91"/>
      <c r="AM97" s="173"/>
      <c r="AN97" s="91"/>
      <c r="AO97" s="91"/>
      <c r="AP97" s="173"/>
      <c r="AQ97" s="91"/>
      <c r="AR97" s="91"/>
      <c r="AS97" s="91"/>
      <c r="AT97" s="91"/>
      <c r="AU97" s="91"/>
      <c r="AV97" s="91"/>
    </row>
    <row r="98" spans="1:48" ht="15" customHeight="1">
      <c r="A98" s="88">
        <v>93</v>
      </c>
      <c r="B98" s="89" t="str">
        <f>VLOOKUP(Table17[[#This Row],[šifra]],Table6[],2,0)</f>
        <v>MICHAL/EVA BOHAČ</v>
      </c>
      <c r="C98" s="90">
        <f>VLOOKUP(Table17[[#This Row],[šifra]],Table6[],3,0)</f>
        <v>0</v>
      </c>
      <c r="D98" s="100" t="str">
        <f>VLOOKUP(Table17[[#This Row],[šifra]],Table6[],4,0)</f>
        <v>NITKO</v>
      </c>
      <c r="E98" s="90" t="str">
        <f>VLOOKUP(Table17[[#This Row],[šifra]],Table6[],6,0)</f>
        <v>evkamore2712@gmail.com</v>
      </c>
      <c r="F98" s="90" t="str">
        <f>VLOOKUP(Table17[[#This Row],[šifra]],Table6[],11,0)</f>
        <v>ne</v>
      </c>
      <c r="G98" s="90" t="str">
        <f>VLOOKUP(Table17[[#This Row],[šifra]],Table6[],10,0)</f>
        <v>da</v>
      </c>
      <c r="H98" s="139" t="str">
        <f>poduzeća!W94</f>
        <v>m-da</v>
      </c>
      <c r="I98" s="980"/>
      <c r="J98" s="91"/>
      <c r="K98" s="91"/>
      <c r="L98" s="91"/>
      <c r="M98" s="566"/>
      <c r="N98" s="567"/>
      <c r="O98" s="91"/>
      <c r="P98" s="91"/>
      <c r="Q98" s="91"/>
      <c r="R98" s="91"/>
      <c r="S98" s="91"/>
      <c r="T98" s="91"/>
      <c r="U98" s="91"/>
      <c r="V98" s="91"/>
      <c r="W98" s="173"/>
      <c r="X98" s="91"/>
      <c r="Y98" s="198"/>
      <c r="Z98" s="177"/>
      <c r="AA98" s="91"/>
      <c r="AB98" s="215"/>
      <c r="AC98" s="173"/>
      <c r="AD98" s="173"/>
      <c r="AE98" s="173"/>
      <c r="AF98" s="91"/>
      <c r="AG98" s="173"/>
      <c r="AH98" s="91"/>
      <c r="AI98" s="91"/>
      <c r="AJ98" s="200"/>
      <c r="AK98" s="91"/>
      <c r="AL98" s="91"/>
      <c r="AM98" s="173"/>
      <c r="AN98" s="91"/>
      <c r="AO98" s="91"/>
      <c r="AP98" s="173"/>
      <c r="AQ98" s="91"/>
      <c r="AR98" s="91"/>
      <c r="AS98" s="91"/>
      <c r="AT98" s="91"/>
      <c r="AU98" s="91"/>
      <c r="AV98" s="91"/>
    </row>
    <row r="99" spans="1:48" ht="17.25" customHeight="1">
      <c r="A99" s="88">
        <v>94</v>
      </c>
      <c r="B99" s="89" t="str">
        <f>VLOOKUP(Table17[[#This Row],[šifra]],Table6[],2,0)</f>
        <v>MILA YACHTING d.o.o.</v>
      </c>
      <c r="C99" s="90">
        <f>VLOOKUP(Table17[[#This Row],[šifra]],Table6[],3,0)</f>
        <v>7</v>
      </c>
      <c r="D99" s="100" t="str">
        <f>VLOOKUP(Table17[[#This Row],[šifra]],Table6[],4,0)</f>
        <v>SJEDIŠTE</v>
      </c>
      <c r="E99" s="90" t="str">
        <f>VLOOKUP(Table17[[#This Row],[šifra]],Table6[],6,0)</f>
        <v>MILLICH TAMAS, millicht@gmail.com,
melissa.horvat21@gmail.com</v>
      </c>
      <c r="F99" s="90" t="str">
        <f>VLOOKUP(Table17[[#This Row],[šifra]],Table6[],11,0)</f>
        <v>ne</v>
      </c>
      <c r="G99" s="90" t="str">
        <f>VLOOKUP(Table17[[#This Row],[šifra]],Table6[],10,0)</f>
        <v>da</v>
      </c>
      <c r="H99" s="139" t="str">
        <f>poduzeća!W95</f>
        <v>ne</v>
      </c>
      <c r="I99" s="980"/>
      <c r="J99" s="91"/>
      <c r="K99" s="91"/>
      <c r="L99" s="91"/>
      <c r="M99" s="173"/>
      <c r="N99" s="91"/>
      <c r="O99" s="91"/>
      <c r="P99" s="91"/>
      <c r="Q99" s="91"/>
      <c r="R99" s="91"/>
      <c r="S99" s="91"/>
      <c r="T99" s="129"/>
      <c r="U99" s="91"/>
      <c r="V99" s="91"/>
      <c r="W99" s="91"/>
      <c r="X99" s="91"/>
      <c r="Y99" s="91"/>
      <c r="Z99" s="90"/>
      <c r="AA99" s="91"/>
      <c r="AB99" s="91"/>
      <c r="AC99" s="91"/>
      <c r="AD99" s="90"/>
      <c r="AE99" s="91"/>
      <c r="AF99" s="91"/>
      <c r="AG99" s="173"/>
      <c r="AH99" s="91"/>
      <c r="AI99" s="91"/>
      <c r="AJ99" s="200"/>
      <c r="AK99" s="91"/>
      <c r="AL99" s="91"/>
      <c r="AM99" s="173"/>
      <c r="AN99" s="91"/>
      <c r="AO99" s="91"/>
      <c r="AP99" s="173"/>
      <c r="AQ99" s="91"/>
      <c r="AR99" s="91"/>
      <c r="AS99" s="91"/>
      <c r="AT99" s="91"/>
      <c r="AU99" s="91"/>
      <c r="AV99" s="91"/>
    </row>
    <row r="100" spans="1:48" ht="20.25" customHeight="1">
      <c r="A100" s="88">
        <v>95</v>
      </c>
      <c r="B100" s="89" t="str">
        <f>VLOOKUP(Table17[[#This Row],[šifra]],Table6[],2,0)</f>
        <v>MJA MARITIMUS d.o.o.</v>
      </c>
      <c r="C100" s="90">
        <f>VLOOKUP(Table17[[#This Row],[šifra]],Table6[],3,0)</f>
        <v>15</v>
      </c>
      <c r="D100" s="100" t="str">
        <f>VLOOKUP(Table17[[#This Row],[šifra]],Table6[],4,0)</f>
        <v>NIKOLINA</v>
      </c>
      <c r="E100" s="90" t="str">
        <f>VLOOKUP(Table17[[#This Row],[šifra]],Table6[],6,0)</f>
        <v>mjamare.info@gmail.com</v>
      </c>
      <c r="F100" s="90" t="str">
        <f>VLOOKUP(Table17[[#This Row],[šifra]],Table6[],11,0)</f>
        <v>ne</v>
      </c>
      <c r="G100" s="90" t="str">
        <f>VLOOKUP(Table17[[#This Row],[šifra]],Table6[],10,0)</f>
        <v>da</v>
      </c>
      <c r="H100" s="139" t="str">
        <f>poduzeća!W96</f>
        <v>da</v>
      </c>
      <c r="I100" s="985"/>
      <c r="J100" s="91"/>
      <c r="K100" s="91"/>
      <c r="L100" s="173"/>
      <c r="M100" s="173"/>
      <c r="N100" s="91"/>
      <c r="O100" s="91"/>
      <c r="P100" s="91"/>
      <c r="Q100" s="91"/>
      <c r="R100" s="91"/>
      <c r="S100" s="91"/>
      <c r="T100" s="91"/>
      <c r="U100" s="91"/>
      <c r="V100" s="91"/>
      <c r="W100" s="173"/>
      <c r="X100" s="91"/>
      <c r="Y100" s="91"/>
      <c r="Z100" s="173"/>
      <c r="AA100" s="91"/>
      <c r="AB100" s="91"/>
      <c r="AC100" s="91"/>
      <c r="AD100" s="173"/>
      <c r="AE100" s="91"/>
      <c r="AF100" s="91"/>
      <c r="AG100" s="173"/>
      <c r="AH100" s="91"/>
      <c r="AI100" s="91"/>
      <c r="AJ100" s="200"/>
      <c r="AK100" s="91"/>
      <c r="AL100" s="91"/>
      <c r="AM100" s="173"/>
      <c r="AN100" s="91"/>
      <c r="AO100" s="91"/>
      <c r="AP100" s="173"/>
      <c r="AQ100" s="91"/>
      <c r="AR100" s="91"/>
      <c r="AS100" s="91"/>
      <c r="AT100" s="91"/>
      <c r="AU100" s="91"/>
      <c r="AV100" s="91"/>
    </row>
    <row r="101" spans="1:48">
      <c r="A101" s="88">
        <v>96</v>
      </c>
      <c r="B101" s="89" t="str">
        <f>VLOOKUP(Table17[[#This Row],[šifra]],Table6[],2,0)</f>
        <v>MLM Transport d.o.o.</v>
      </c>
      <c r="C101" s="90">
        <f>VLOOKUP(Table17[[#This Row],[šifra]],Table6[],3,0)</f>
        <v>15</v>
      </c>
      <c r="D101" s="100" t="str">
        <f>VLOOKUP(Table17[[#This Row],[šifra]],Table6[],4,0)</f>
        <v>NIKOLINA</v>
      </c>
      <c r="E101" s="90" t="str">
        <f>VLOOKUP(Table17[[#This Row],[šifra]],Table6[],6,0)</f>
        <v>mlm.transport0707@gmail.com</v>
      </c>
      <c r="F101" s="90" t="str">
        <f>VLOOKUP(Table17[[#This Row],[šifra]],Table6[],11,0)</f>
        <v>da</v>
      </c>
      <c r="G101" s="90" t="str">
        <f>VLOOKUP(Table17[[#This Row],[šifra]],Table6[],10,0)</f>
        <v>da</v>
      </c>
      <c r="H101" s="139" t="str">
        <f>poduzeća!W97</f>
        <v>da</v>
      </c>
      <c r="I101" s="992"/>
      <c r="J101" s="91"/>
      <c r="K101" s="91"/>
      <c r="L101" s="91"/>
      <c r="M101" s="173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173"/>
      <c r="AD101" s="91"/>
      <c r="AE101" s="91"/>
      <c r="AF101" s="91"/>
      <c r="AG101" s="91"/>
      <c r="AH101" s="91"/>
      <c r="AI101" s="91"/>
      <c r="AJ101" s="200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</row>
    <row r="102" spans="1:48" ht="15.75" customHeight="1">
      <c r="A102" s="88">
        <v>97</v>
      </c>
      <c r="B102" s="89" t="str">
        <f>VLOOKUP(Table17[[#This Row],[šifra]],Table6[],2,0)</f>
        <v>Muci d.o.o.</v>
      </c>
      <c r="C102" s="90">
        <f>VLOOKUP(Table17[[#This Row],[šifra]],Table6[],3,0)</f>
        <v>2</v>
      </c>
      <c r="D102" s="100" t="str">
        <f>VLOOKUP(Table17[[#This Row],[šifra]],Table6[],4,0)</f>
        <v>LAURA</v>
      </c>
      <c r="E102" s="90" t="str">
        <f>VLOOKUP(Table17[[#This Row],[šifra]],Table6[],6,0)</f>
        <v xml:space="preserve">ibolya.szaszko64@gmail.com
SZASZKO Ibolya, </v>
      </c>
      <c r="F102" s="90" t="str">
        <f>VLOOKUP(Table17[[#This Row],[šifra]],Table6[],11,0)</f>
        <v>da</v>
      </c>
      <c r="G102" s="90" t="str">
        <f>VLOOKUP(Table17[[#This Row],[šifra]],Table6[],10,0)</f>
        <v>da</v>
      </c>
      <c r="H102" s="139" t="str">
        <f>poduzeća!W98</f>
        <v>da</v>
      </c>
      <c r="I102" s="980" t="s">
        <v>1997</v>
      </c>
      <c r="J102" s="91"/>
      <c r="K102" s="91"/>
      <c r="L102" s="91"/>
      <c r="M102" s="173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173"/>
      <c r="AA102" s="91"/>
      <c r="AB102" s="209"/>
      <c r="AC102" s="91"/>
      <c r="AD102" s="173"/>
      <c r="AE102" s="91"/>
      <c r="AF102" s="91"/>
      <c r="AG102" s="173"/>
      <c r="AH102" s="91"/>
      <c r="AI102" s="91"/>
      <c r="AJ102" s="200"/>
      <c r="AK102" s="91"/>
      <c r="AL102" s="91"/>
      <c r="AM102" s="173"/>
      <c r="AN102" s="91"/>
      <c r="AO102" s="91"/>
      <c r="AP102" s="173"/>
      <c r="AQ102" s="91"/>
      <c r="AR102" s="91"/>
      <c r="AS102" s="91"/>
      <c r="AT102" s="91"/>
      <c r="AU102" s="91"/>
      <c r="AV102" s="91"/>
    </row>
    <row r="103" spans="1:48">
      <c r="A103" s="88">
        <v>98</v>
      </c>
      <c r="B103" s="89" t="str">
        <f>VLOOKUP(Table17[[#This Row],[šifra]],Table6[],2,0)</f>
        <v>NANAADRIA j.d.o.o.</v>
      </c>
      <c r="C103" s="90">
        <f>VLOOKUP(Table17[[#This Row],[šifra]],Table6[],3,0)</f>
        <v>9</v>
      </c>
      <c r="D103" s="100" t="str">
        <f>VLOOKUP(Table17[[#This Row],[šifra]],Table6[],4,0)</f>
        <v>SANDRA</v>
      </c>
      <c r="E103" s="90" t="str">
        <f>VLOOKUP(Table17[[#This Row],[šifra]],Table6[],6,0)</f>
        <v>nagyadamvill@gmail.com</v>
      </c>
      <c r="F103" s="90" t="str">
        <f>VLOOKUP(Table17[[#This Row],[šifra]],Table6[],11,0)</f>
        <v>da</v>
      </c>
      <c r="G103" s="90" t="str">
        <f>VLOOKUP(Table17[[#This Row],[šifra]],Table6[],10,0)</f>
        <v>ne</v>
      </c>
      <c r="H103" s="139" t="str">
        <f>poduzeća!W99</f>
        <v>da</v>
      </c>
      <c r="I103" s="980" t="s">
        <v>1989</v>
      </c>
      <c r="J103" s="91"/>
      <c r="K103" s="91"/>
      <c r="L103" s="91"/>
      <c r="M103" s="173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173"/>
      <c r="AH103" s="91"/>
      <c r="AI103" s="91"/>
      <c r="AJ103" s="200"/>
      <c r="AK103" s="91"/>
      <c r="AL103" s="91"/>
      <c r="AM103" s="173"/>
      <c r="AN103" s="91"/>
      <c r="AO103" s="91"/>
      <c r="AP103" s="173"/>
      <c r="AQ103" s="91"/>
      <c r="AR103" s="91"/>
      <c r="AS103" s="91"/>
      <c r="AT103" s="91"/>
      <c r="AU103" s="91"/>
      <c r="AV103" s="91"/>
    </row>
    <row r="104" spans="1:48" ht="30">
      <c r="A104" s="88">
        <v>99</v>
      </c>
      <c r="B104" s="89" t="str">
        <f>VLOOKUP(Table17[[#This Row],[šifra]],Table6[],2,0)</f>
        <v>Neocons yachting d.o.o.</v>
      </c>
      <c r="C104" s="90">
        <f>VLOOKUP(Table17[[#This Row],[šifra]],Table6[],3,0)</f>
        <v>7</v>
      </c>
      <c r="D104" s="100" t="str">
        <f>VLOOKUP(Table17[[#This Row],[šifra]],Table6[],4,0)</f>
        <v>SJEDIŠTE</v>
      </c>
      <c r="E104" s="90" t="str">
        <f>VLOOKUP(Table17[[#This Row],[šifra]],Table6[],6,0)</f>
        <v>neoconsyachting@gmail.com, 
melissa.horvat21@gmail.com</v>
      </c>
      <c r="F104" s="90" t="str">
        <f>VLOOKUP(Table17[[#This Row],[šifra]],Table6[],11,0)</f>
        <v>ne</v>
      </c>
      <c r="G104" s="90" t="str">
        <f>VLOOKUP(Table17[[#This Row],[šifra]],Table6[],10,0)</f>
        <v>da</v>
      </c>
      <c r="H104" s="139" t="str">
        <f>poduzeća!W100</f>
        <v>ne</v>
      </c>
      <c r="I104" s="992"/>
      <c r="J104" s="91"/>
      <c r="K104" s="91"/>
      <c r="L104" s="91"/>
      <c r="M104" s="173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173"/>
      <c r="AA104" s="91"/>
      <c r="AB104" s="216"/>
      <c r="AC104" s="91"/>
      <c r="AD104" s="202"/>
      <c r="AE104" s="91"/>
      <c r="AF104" s="91"/>
      <c r="AG104" s="173"/>
      <c r="AH104" s="91"/>
      <c r="AI104" s="91"/>
      <c r="AJ104" s="210"/>
      <c r="AK104" s="91"/>
      <c r="AL104" s="91"/>
      <c r="AM104" s="173"/>
      <c r="AN104" s="91"/>
      <c r="AO104" s="91"/>
      <c r="AP104" s="173"/>
      <c r="AQ104" s="91"/>
      <c r="AR104" s="91"/>
      <c r="AS104" s="91"/>
      <c r="AT104" s="91"/>
      <c r="AU104" s="91"/>
      <c r="AV104" s="91"/>
    </row>
    <row r="105" spans="1:48">
      <c r="A105" s="88">
        <v>100</v>
      </c>
      <c r="B105" s="89" t="str">
        <f>VLOOKUP(Table17[[#This Row],[šifra]],Table6[],2,0)</f>
        <v>N.E.S.T.  d.o.o.</v>
      </c>
      <c r="C105" s="90">
        <f>VLOOKUP(Table17[[#This Row],[šifra]],Table6[],3,0)</f>
        <v>2</v>
      </c>
      <c r="D105" s="100" t="str">
        <f>VLOOKUP(Table17[[#This Row],[šifra]],Table6[],4,0)</f>
        <v>LAURA</v>
      </c>
      <c r="E105" s="90" t="str">
        <f>VLOOKUP(Table17[[#This Row],[šifra]],Table6[],6,0)</f>
        <v>madar.peter2@gmail.com</v>
      </c>
      <c r="F105" s="90" t="str">
        <f>VLOOKUP(Table17[[#This Row],[šifra]],Table6[],11,0)</f>
        <v>ne</v>
      </c>
      <c r="G105" s="90" t="str">
        <f>VLOOKUP(Table17[[#This Row],[šifra]],Table6[],10,0)</f>
        <v>da</v>
      </c>
      <c r="H105" s="139" t="str">
        <f>poduzeća!W101</f>
        <v>da</v>
      </c>
      <c r="I105" s="980" t="s">
        <v>1998</v>
      </c>
      <c r="J105" s="91"/>
      <c r="K105" s="91"/>
      <c r="L105" s="91"/>
      <c r="M105" s="173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</row>
    <row r="106" spans="1:48">
      <c r="A106" s="88">
        <v>101</v>
      </c>
      <c r="B106" s="89" t="str">
        <f>VLOOKUP(Table17[[#This Row],[šifra]],Table6[],2,0)</f>
        <v>NOBILIS KRISTOF</v>
      </c>
      <c r="C106" s="90">
        <f>VLOOKUP(Table17[[#This Row],[šifra]],Table6[],3,0)</f>
        <v>2</v>
      </c>
      <c r="D106" s="100" t="str">
        <f>VLOOKUP(Table17[[#This Row],[šifra]],Table6[],4,0)</f>
        <v>LAURA</v>
      </c>
      <c r="E106" s="90" t="str">
        <f>VLOOKUP(Table17[[#This Row],[šifra]],Table6[],6,0)</f>
        <v>iroda@donadome.hu</v>
      </c>
      <c r="F106" s="90" t="str">
        <f>VLOOKUP(Table17[[#This Row],[šifra]],Table6[],11,0)</f>
        <v>ne</v>
      </c>
      <c r="G106" s="90" t="str">
        <f>VLOOKUP(Table17[[#This Row],[šifra]],Table6[],10,0)</f>
        <v>ne</v>
      </c>
      <c r="H106" s="139" t="str">
        <f>poduzeća!W102</f>
        <v>ne</v>
      </c>
      <c r="I106" s="992"/>
      <c r="J106" s="567"/>
      <c r="K106" s="567"/>
      <c r="L106" s="91"/>
      <c r="M106" s="566"/>
      <c r="N106" s="567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</row>
    <row r="107" spans="1:48">
      <c r="A107" s="88">
        <v>102</v>
      </c>
      <c r="B107" s="89" t="str">
        <f>VLOOKUP(Table17[[#This Row],[šifra]],Table6[],2,0)</f>
        <v>Novila market d.o.o</v>
      </c>
      <c r="C107" s="90">
        <f>VLOOKUP(Table17[[#This Row],[šifra]],Table6[],3,0)</f>
        <v>10</v>
      </c>
      <c r="D107" s="100" t="str">
        <f>VLOOKUP(Table17[[#This Row],[šifra]],Table6[],4,0)</f>
        <v>MAJA</v>
      </c>
      <c r="E107" s="90" t="str">
        <f>VLOOKUP(Table17[[#This Row],[šifra]],Table6[],6,0)</f>
        <v>novilamarket@gmail.com</v>
      </c>
      <c r="F107" s="90" t="str">
        <f>VLOOKUP(Table17[[#This Row],[šifra]],Table6[],11,0)</f>
        <v>ne</v>
      </c>
      <c r="G107" s="90" t="str">
        <f>VLOOKUP(Table17[[#This Row],[šifra]],Table6[],10,0)</f>
        <v>da</v>
      </c>
      <c r="H107" s="139" t="str">
        <f>poduzeća!W103</f>
        <v>da</v>
      </c>
      <c r="I107" s="992" t="s">
        <v>1691</v>
      </c>
      <c r="J107" s="567"/>
      <c r="K107" s="566">
        <v>46041</v>
      </c>
      <c r="L107" s="91"/>
      <c r="M107" s="566"/>
      <c r="N107" s="567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173"/>
      <c r="AE107" s="91"/>
      <c r="AF107" s="91"/>
      <c r="AG107" s="173"/>
      <c r="AH107" s="91"/>
      <c r="AI107" s="91"/>
      <c r="AJ107" s="200"/>
      <c r="AK107" s="91"/>
      <c r="AL107" s="91"/>
      <c r="AM107" s="173"/>
      <c r="AN107" s="91"/>
      <c r="AO107" s="91"/>
      <c r="AP107" s="173"/>
      <c r="AQ107" s="91"/>
      <c r="AR107" s="91"/>
      <c r="AS107" s="91"/>
      <c r="AT107" s="91"/>
      <c r="AU107" s="91"/>
      <c r="AV107" s="91"/>
    </row>
    <row r="108" spans="1:48" ht="60">
      <c r="A108" s="88">
        <v>103</v>
      </c>
      <c r="B108" s="89" t="str">
        <f>VLOOKUP(Table17[[#This Row],[šifra]],Table6[],2,0)</f>
        <v>Nyugat epitö KFT</v>
      </c>
      <c r="C108" s="90">
        <f>VLOOKUP(Table17[[#This Row],[šifra]],Table6[],3,0)</f>
        <v>23</v>
      </c>
      <c r="D108" s="100" t="str">
        <f>VLOOKUP(Table17[[#This Row],[šifra]],Table6[],4,0)</f>
        <v>MARKO</v>
      </c>
      <c r="E108" s="90" t="str">
        <f>VLOOKUP(Table17[[#This Row],[šifra]],Table6[],6,0)</f>
        <v xml:space="preserve"> invoice@wb.co.hu)
Szocsics V. Márk &lt;mark.szocsics@wb.co.hu&gt;
zoltan.gyorky@wb.co.hu</v>
      </c>
      <c r="F108" s="90" t="str">
        <f>VLOOKUP(Table17[[#This Row],[šifra]],Table6[],11,0)</f>
        <v>ne</v>
      </c>
      <c r="G108" s="90" t="str">
        <f>VLOOKUP(Table17[[#This Row],[šifra]],Table6[],10,0)</f>
        <v>da</v>
      </c>
      <c r="H108" s="139" t="str">
        <f>poduzeća!W104</f>
        <v>pd-da</v>
      </c>
      <c r="I108" s="992"/>
      <c r="J108" s="567"/>
      <c r="K108" s="566">
        <v>46041</v>
      </c>
      <c r="L108" s="91"/>
      <c r="M108" s="173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</row>
    <row r="109" spans="1:48" ht="14.25" customHeight="1">
      <c r="A109" s="88">
        <v>104</v>
      </c>
      <c r="B109" s="89" t="str">
        <f>VLOOKUP(Table17[[#This Row],[šifra]],Table6[],2,0)</f>
        <v>NZG 2025 j.do.o.</v>
      </c>
      <c r="C109" s="90">
        <f>VLOOKUP(Table17[[#This Row],[šifra]],Table6[],3,0)</f>
        <v>0</v>
      </c>
      <c r="D109" s="100" t="str">
        <f>VLOOKUP(Table17[[#This Row],[šifra]],Table6[],4,0)</f>
        <v>NITKO</v>
      </c>
      <c r="E109" s="90" t="str">
        <f>VLOOKUP(Table17[[#This Row],[šifra]],Table6[],6,0)</f>
        <v>info@nzg2025.hr, 
zoltangrizak21@gmail.com</v>
      </c>
      <c r="F109" s="90" t="str">
        <f>VLOOKUP(Table17[[#This Row],[šifra]],Table6[],11,0)</f>
        <v>ne</v>
      </c>
      <c r="G109" s="90" t="str">
        <f>VLOOKUP(Table17[[#This Row],[šifra]],Table6[],10,0)</f>
        <v>da</v>
      </c>
      <c r="H109" s="139" t="str">
        <f>poduzeća!W105</f>
        <v>da</v>
      </c>
      <c r="I109" s="993" t="s">
        <v>1999</v>
      </c>
      <c r="J109" s="91"/>
      <c r="K109" s="91"/>
      <c r="L109" s="91"/>
      <c r="M109" s="173"/>
      <c r="N109" s="567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150"/>
      <c r="AU109" s="91"/>
      <c r="AV109" s="91"/>
    </row>
    <row r="110" spans="1:48" ht="30.75" customHeight="1">
      <c r="A110" s="88">
        <v>105</v>
      </c>
      <c r="B110" s="89" t="str">
        <f>VLOOKUP(Table17[[#This Row],[šifra]],Table6[],2,0)</f>
        <v>Obrt Bambo, vl. Toni Puljek</v>
      </c>
      <c r="C110" s="90">
        <f>VLOOKUP(Table17[[#This Row],[šifra]],Table6[],3,0)</f>
        <v>0</v>
      </c>
      <c r="D110" s="100" t="str">
        <f>VLOOKUP(Table17[[#This Row],[šifra]],Table6[],4,0)</f>
        <v>NITKO</v>
      </c>
      <c r="E110" s="90" t="str">
        <f>VLOOKUP(Table17[[#This Row],[šifra]],Table6[],6,0)</f>
        <v>tpuljek@hotmail.com</v>
      </c>
      <c r="F110" s="90" t="str">
        <f>VLOOKUP(Table17[[#This Row],[šifra]],Table6[],11,0)</f>
        <v>da</v>
      </c>
      <c r="G110" s="90" t="str">
        <f>VLOOKUP(Table17[[#This Row],[šifra]],Table6[],10,0)</f>
        <v>da</v>
      </c>
      <c r="H110" s="139" t="str">
        <f>poduzeća!W106</f>
        <v>ne</v>
      </c>
      <c r="I110" s="980"/>
      <c r="J110" s="91"/>
      <c r="K110" s="91"/>
      <c r="L110" s="91"/>
      <c r="M110" s="173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</row>
    <row r="111" spans="1:48" ht="14.25" customHeight="1">
      <c r="A111" s="88">
        <v>106</v>
      </c>
      <c r="B111" s="89" t="str">
        <f>VLOOKUP(Table17[[#This Row],[šifra]],Table6[],2,0)</f>
        <v>OMS24 ZRT</v>
      </c>
      <c r="C111" s="90">
        <f>VLOOKUP(Table17[[#This Row],[šifra]],Table6[],3,0)</f>
        <v>11</v>
      </c>
      <c r="D111" s="100" t="str">
        <f>VLOOKUP(Table17[[#This Row],[šifra]],Table6[],4,0)</f>
        <v>GABRIJELA</v>
      </c>
      <c r="E111" s="90" t="str">
        <f>VLOOKUP(Table17[[#This Row],[šifra]],Table6[],6,0)</f>
        <v>Zsuzsanna Cseh &lt;cseh.zsuzsanna@oms24.hu&gt;</v>
      </c>
      <c r="F111" s="90" t="str">
        <f>VLOOKUP(Table17[[#This Row],[šifra]],Table6[],11,0)</f>
        <v>ne</v>
      </c>
      <c r="G111" s="90" t="str">
        <f>VLOOKUP(Table17[[#This Row],[šifra]],Table6[],10,0)</f>
        <v>da</v>
      </c>
      <c r="H111" s="139" t="str">
        <f>poduzeća!W107</f>
        <v>pd-da</v>
      </c>
      <c r="I111" s="980"/>
      <c r="J111" s="91"/>
      <c r="K111" s="91"/>
      <c r="L111" s="91"/>
      <c r="M111" s="173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</row>
    <row r="112" spans="1:48">
      <c r="A112" s="88">
        <v>107</v>
      </c>
      <c r="B112" s="807" t="str">
        <f>VLOOKUP(Table17[[#This Row],[šifra]],Table6[],2,0)</f>
        <v>PAHACO j.d.o.o.</v>
      </c>
      <c r="C112" s="90">
        <f>VLOOKUP(Table17[[#This Row],[šifra]],Table6[],3,0)</f>
        <v>2</v>
      </c>
      <c r="D112" s="100" t="str">
        <f>VLOOKUP(Table17[[#This Row],[šifra]],Table6[],4,0)</f>
        <v>LAURA</v>
      </c>
      <c r="E112" s="90" t="str">
        <f>VLOOKUP(Table17[[#This Row],[šifra]],Table6[],6,0)</f>
        <v>PAHACO.KFT@GMAIL.COM</v>
      </c>
      <c r="F112" s="90" t="str">
        <f>VLOOKUP(Table17[[#This Row],[šifra]],Table6[],11,0)</f>
        <v>ne</v>
      </c>
      <c r="G112" s="90" t="str">
        <f>VLOOKUP(Table17[[#This Row],[šifra]],Table6[],10,0)</f>
        <v>da</v>
      </c>
      <c r="H112" s="139" t="str">
        <f>poduzeća!W108</f>
        <v>da</v>
      </c>
      <c r="I112" s="983">
        <v>46139</v>
      </c>
      <c r="J112" s="567"/>
      <c r="K112" s="587"/>
      <c r="L112" s="91"/>
      <c r="M112" s="566"/>
      <c r="N112" s="567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</row>
    <row r="113" spans="1:48" ht="19.5" customHeight="1">
      <c r="A113" s="88">
        <v>108</v>
      </c>
      <c r="B113" s="89" t="str">
        <f>VLOOKUP(Table17[[#This Row],[šifra]],Table6[],2,0)</f>
        <v>PhasedConnect d.o.o.</v>
      </c>
      <c r="C113" s="90">
        <f>VLOOKUP(Table17[[#This Row],[šifra]],Table6[],3,0)</f>
        <v>15</v>
      </c>
      <c r="D113" s="100" t="str">
        <f>VLOOKUP(Table17[[#This Row],[šifra]],Table6[],4,0)</f>
        <v>NIKOLINA</v>
      </c>
      <c r="E113" s="90" t="str">
        <f>VLOOKUP(Table17[[#This Row],[šifra]],Table6[],6,0)</f>
        <v>kusic.rebeka@gmail.com
morana@mdldinv.com</v>
      </c>
      <c r="F113" s="90" t="str">
        <f>VLOOKUP(Table17[[#This Row],[šifra]],Table6[],11,0)</f>
        <v>da</v>
      </c>
      <c r="G113" s="90" t="str">
        <f>VLOOKUP(Table17[[#This Row],[šifra]],Table6[],10,0)</f>
        <v>da</v>
      </c>
      <c r="H113" s="139" t="str">
        <f>poduzeća!W109</f>
        <v>da</v>
      </c>
      <c r="I113" s="987"/>
      <c r="J113" s="91"/>
      <c r="K113" s="91"/>
      <c r="L113" s="91"/>
      <c r="M113" s="173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173"/>
      <c r="AK113" s="91"/>
      <c r="AL113" s="91"/>
      <c r="AM113" s="91"/>
      <c r="AN113" s="91"/>
      <c r="AO113" s="91"/>
      <c r="AP113" s="173"/>
      <c r="AQ113" s="91"/>
      <c r="AR113" s="91"/>
      <c r="AS113" s="217"/>
      <c r="AT113" s="91"/>
      <c r="AU113" s="91"/>
      <c r="AV113" s="91"/>
    </row>
    <row r="114" spans="1:48">
      <c r="A114" s="88">
        <v>109</v>
      </c>
      <c r="B114" s="89" t="str">
        <f>VLOOKUP(Table17[[#This Row],[šifra]],Table6[],2,0)</f>
        <v>PINETA d.o.o.</v>
      </c>
      <c r="C114" s="90">
        <f>VLOOKUP(Table17[[#This Row],[šifra]],Table6[],3,0)</f>
        <v>25</v>
      </c>
      <c r="D114" s="100" t="str">
        <f>VLOOKUP(Table17[[#This Row],[šifra]],Table6[],4,0)</f>
        <v>F. MARKO</v>
      </c>
      <c r="E114" s="90" t="str">
        <f>VLOOKUP(Table17[[#This Row],[šifra]],Table6[],6,0)</f>
        <v>2023PINETA@GMAIL.COM</v>
      </c>
      <c r="F114" s="90" t="str">
        <f>VLOOKUP(Table17[[#This Row],[šifra]],Table6[],11,0)</f>
        <v>da</v>
      </c>
      <c r="G114" s="90" t="str">
        <f>VLOOKUP(Table17[[#This Row],[šifra]],Table6[],10,0)</f>
        <v>da</v>
      </c>
      <c r="H114" s="139" t="str">
        <f>poduzeća!W110</f>
        <v>F-DA</v>
      </c>
      <c r="I114" s="980" t="s">
        <v>1645</v>
      </c>
      <c r="J114" s="91"/>
      <c r="K114" s="91"/>
      <c r="L114" s="91"/>
      <c r="M114" s="173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</row>
    <row r="115" spans="1:48">
      <c r="A115" s="88">
        <v>110</v>
      </c>
      <c r="B115" s="89" t="str">
        <f>VLOOKUP(Table17[[#This Row],[šifra]],Table6[],2,0)</f>
        <v>PopBor j.d.o.o.</v>
      </c>
      <c r="C115" s="90">
        <f>VLOOKUP(Table17[[#This Row],[šifra]],Table6[],3,0)</f>
        <v>0</v>
      </c>
      <c r="D115" s="100" t="str">
        <f>VLOOKUP(Table17[[#This Row],[šifra]],Table6[],4,0)</f>
        <v>NITKO</v>
      </c>
      <c r="E115" s="90" t="str">
        <f>VLOOKUP(Table17[[#This Row],[šifra]],Table6[],6,0)</f>
        <v>popoviboris@gmail.com</v>
      </c>
      <c r="F115" s="90" t="str">
        <f>VLOOKUP(Table17[[#This Row],[šifra]],Table6[],11,0)</f>
        <v>da</v>
      </c>
      <c r="G115" s="90" t="str">
        <f>VLOOKUP(Table17[[#This Row],[šifra]],Table6[],10,0)</f>
        <v>ne</v>
      </c>
      <c r="H115" s="139" t="str">
        <f>poduzeća!W111</f>
        <v>da</v>
      </c>
      <c r="I115" s="980" t="s">
        <v>1989</v>
      </c>
      <c r="J115" s="91"/>
      <c r="K115" s="91"/>
      <c r="L115" s="91"/>
      <c r="M115" s="173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173"/>
      <c r="AA115" s="91"/>
      <c r="AB115" s="198"/>
      <c r="AC115" s="91"/>
      <c r="AD115" s="196"/>
      <c r="AE115" s="91"/>
      <c r="AF115" s="91"/>
      <c r="AG115" s="91"/>
      <c r="AH115" s="91"/>
      <c r="AI115" s="91"/>
      <c r="AJ115" s="200"/>
      <c r="AK115" s="91"/>
      <c r="AL115" s="91"/>
      <c r="AM115" s="173"/>
      <c r="AN115" s="91"/>
      <c r="AO115" s="91"/>
      <c r="AP115" s="173"/>
      <c r="AQ115" s="91"/>
      <c r="AR115" s="91"/>
      <c r="AS115" s="91"/>
      <c r="AT115" s="91"/>
      <c r="AU115" s="91"/>
      <c r="AV115" s="91"/>
    </row>
    <row r="116" spans="1:48" ht="13.5" customHeight="1">
      <c r="A116" s="88">
        <v>111</v>
      </c>
      <c r="B116" s="89" t="str">
        <f>VLOOKUP(Table17[[#This Row],[šifra]],Table6[],2,0)</f>
        <v>Povucizakulturu - udruga</v>
      </c>
      <c r="C116" s="90">
        <f>VLOOKUP(Table17[[#This Row],[šifra]],Table6[],3,0)</f>
        <v>11</v>
      </c>
      <c r="D116" s="100" t="str">
        <f>VLOOKUP(Table17[[#This Row],[šifra]],Table6[],4,0)</f>
        <v>GABRIJELA</v>
      </c>
      <c r="E116" s="90" t="str">
        <f>VLOOKUP(Table17[[#This Row],[šifra]],Table6[],6,0)</f>
        <v>tanja tandara &lt;tttanjatandara5@gmail.com&gt;</v>
      </c>
      <c r="F116" s="90" t="str">
        <f>VLOOKUP(Table17[[#This Row],[šifra]],Table6[],11,0)</f>
        <v>da</v>
      </c>
      <c r="G116" s="90" t="str">
        <f>VLOOKUP(Table17[[#This Row],[šifra]],Table6[],10,0)</f>
        <v>ne</v>
      </c>
      <c r="H116" s="139" t="str">
        <f>poduzeća!W112</f>
        <v>m-da</v>
      </c>
      <c r="I116" s="980" t="s">
        <v>1631</v>
      </c>
      <c r="J116" s="91"/>
      <c r="K116" s="91"/>
      <c r="L116" s="91"/>
      <c r="M116" s="173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</row>
    <row r="117" spans="1:48" ht="15.75" customHeight="1">
      <c r="A117" s="88">
        <v>112</v>
      </c>
      <c r="B117" s="89" t="str">
        <f>VLOOKUP(Table17[[#This Row],[šifra]],Table6[],2,0)</f>
        <v>PRIKOLICE CO. j.d.o.o.</v>
      </c>
      <c r="C117" s="90">
        <f>VLOOKUP(Table17[[#This Row],[šifra]],Table6[],3,0)</f>
        <v>11</v>
      </c>
      <c r="D117" s="100" t="str">
        <f>VLOOKUP(Table17[[#This Row],[šifra]],Table6[],4,0)</f>
        <v>GABRIJELA</v>
      </c>
      <c r="E117" s="90" t="str">
        <f>VLOOKUP(Table17[[#This Row],[šifra]],Table6[],6,0)</f>
        <v>info@prikolice.co</v>
      </c>
      <c r="F117" s="90" t="str">
        <f>VLOOKUP(Table17[[#This Row],[šifra]],Table6[],11,0)</f>
        <v>ne</v>
      </c>
      <c r="G117" s="90" t="str">
        <f>VLOOKUP(Table17[[#This Row],[šifra]],Table6[],10,0)</f>
        <v>ne</v>
      </c>
      <c r="H117" s="139" t="str">
        <f>poduzeća!W113</f>
        <v>da</v>
      </c>
      <c r="I117" s="980"/>
      <c r="J117" s="91"/>
      <c r="K117" s="91"/>
      <c r="L117" s="91"/>
      <c r="M117" s="173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173"/>
      <c r="AQ117" s="91"/>
      <c r="AR117" s="91"/>
      <c r="AS117" s="91"/>
      <c r="AT117" s="91"/>
      <c r="AU117" s="91"/>
      <c r="AV117" s="91"/>
    </row>
    <row r="118" spans="1:48">
      <c r="A118" s="88">
        <v>113</v>
      </c>
      <c r="B118" s="89" t="str">
        <f>VLOOKUP(Table17[[#This Row],[šifra]],Table6[],2,0)</f>
        <v>MEDEM/ Promotop d.o.o.</v>
      </c>
      <c r="C118" s="90">
        <f>VLOOKUP(Table17[[#This Row],[šifra]],Table6[],3,0)</f>
        <v>15</v>
      </c>
      <c r="D118" s="100" t="str">
        <f>VLOOKUP(Table17[[#This Row],[šifra]],Table6[],4,0)</f>
        <v>NIKOLINA</v>
      </c>
      <c r="E118" s="90">
        <f>VLOOKUP(Table17[[#This Row],[šifra]],Table6[],6,0)</f>
        <v>0</v>
      </c>
      <c r="F118" s="90" t="str">
        <f>VLOOKUP(Table17[[#This Row],[šifra]],Table6[],11,0)</f>
        <v>ne</v>
      </c>
      <c r="G118" s="90" t="str">
        <f>VLOOKUP(Table17[[#This Row],[šifra]],Table6[],10,0)</f>
        <v>da</v>
      </c>
      <c r="H118" s="139" t="str">
        <f>poduzeća!W114</f>
        <v>da</v>
      </c>
      <c r="I118" s="985"/>
      <c r="J118" s="91"/>
      <c r="K118" s="91"/>
      <c r="L118" s="173"/>
      <c r="M118" s="173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</row>
    <row r="119" spans="1:48" ht="30">
      <c r="A119" s="88">
        <v>114</v>
      </c>
      <c r="B119" s="89" t="str">
        <f>VLOOKUP(Table17[[#This Row],[šifra]],Table6[],2,0)</f>
        <v>PROTECTS LIFE/WAX d.o.o.</v>
      </c>
      <c r="C119" s="90">
        <f>VLOOKUP(Table17[[#This Row],[šifra]],Table6[],3,0)</f>
        <v>15</v>
      </c>
      <c r="D119" s="100" t="str">
        <f>VLOOKUP(Table17[[#This Row],[šifra]],Table6[],4,0)</f>
        <v>NIKOLINA</v>
      </c>
      <c r="E119" s="90" t="str">
        <f>VLOOKUP(Table17[[#This Row],[šifra]],Table6[],6,0)</f>
        <v xml:space="preserve">waxosijek@gmail.com    protects.life.doo@gmail.com </v>
      </c>
      <c r="F119" s="90" t="str">
        <f>VLOOKUP(Table17[[#This Row],[šifra]],Table6[],11,0)</f>
        <v>ne</v>
      </c>
      <c r="G119" s="90" t="str">
        <f>VLOOKUP(Table17[[#This Row],[šifra]],Table6[],10,0)</f>
        <v>da</v>
      </c>
      <c r="H119" s="139" t="str">
        <f>poduzeća!W115</f>
        <v>da</v>
      </c>
      <c r="I119" s="992"/>
      <c r="J119" s="91"/>
      <c r="K119" s="91"/>
      <c r="L119" s="91"/>
      <c r="M119" s="173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</row>
    <row r="120" spans="1:48" ht="16.5" customHeight="1">
      <c r="A120" s="88">
        <v>115</v>
      </c>
      <c r="B120" s="89" t="str">
        <f>VLOOKUP(Table17[[#This Row],[šifra]],Table6[],2,0)</f>
        <v>ProVir Apartments d.o.o.</v>
      </c>
      <c r="C120" s="90">
        <f>VLOOKUP(Table17[[#This Row],[šifra]],Table6[],3,0)</f>
        <v>15</v>
      </c>
      <c r="D120" s="100" t="str">
        <f>VLOOKUP(Table17[[#This Row],[šifra]],Table6[],4,0)</f>
        <v>NIKOLINA</v>
      </c>
      <c r="E120" s="90" t="str">
        <f>VLOOKUP(Table17[[#This Row],[šifra]],Table6[],6,0)</f>
        <v>prim.roland.sec@gmail.com</v>
      </c>
      <c r="F120" s="90" t="str">
        <f>VLOOKUP(Table17[[#This Row],[šifra]],Table6[],11,0)</f>
        <v>ne</v>
      </c>
      <c r="G120" s="90" t="str">
        <f>VLOOKUP(Table17[[#This Row],[šifra]],Table6[],10,0)</f>
        <v>ne</v>
      </c>
      <c r="H120" s="139" t="str">
        <f>poduzeća!W116</f>
        <v>da</v>
      </c>
      <c r="I120" s="994"/>
      <c r="J120" s="91"/>
      <c r="K120" s="91"/>
      <c r="L120" s="91"/>
      <c r="M120" s="173"/>
      <c r="N120" s="91"/>
      <c r="O120" s="91"/>
      <c r="P120" s="91"/>
      <c r="Q120" s="91"/>
      <c r="R120" s="91"/>
      <c r="S120" s="91"/>
      <c r="T120" s="90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173"/>
      <c r="AQ120" s="91"/>
      <c r="AR120" s="91"/>
      <c r="AS120" s="173"/>
      <c r="AT120" s="91"/>
      <c r="AU120" s="91"/>
      <c r="AV120" s="91"/>
    </row>
    <row r="121" spans="1:48">
      <c r="A121" s="88">
        <v>116</v>
      </c>
      <c r="B121" s="793" t="str">
        <f>VLOOKUP(Table17[[#This Row],[šifra]],Table6[],2,0)</f>
        <v>RACZ YACHTING d.o.o.</v>
      </c>
      <c r="C121" s="90">
        <f>VLOOKUP(Table17[[#This Row],[šifra]],Table6[],3,0)</f>
        <v>23</v>
      </c>
      <c r="D121" s="100" t="str">
        <f>VLOOKUP(Table17[[#This Row],[šifra]],Table6[],4,0)</f>
        <v>MARKO</v>
      </c>
      <c r="E121" s="90" t="str">
        <f>VLOOKUP(Table17[[#This Row],[šifra]],Table6[],6,0)</f>
        <v>almadianiko64@gmail.com</v>
      </c>
      <c r="F121" s="90" t="str">
        <f>VLOOKUP(Table17[[#This Row],[šifra]],Table6[],11,0)</f>
        <v>ne</v>
      </c>
      <c r="G121" s="90" t="str">
        <f>VLOOKUP(Table17[[#This Row],[šifra]],Table6[],10,0)</f>
        <v>da</v>
      </c>
      <c r="H121" s="139" t="str">
        <f>poduzeća!W117</f>
        <v>da</v>
      </c>
      <c r="I121" s="987"/>
      <c r="J121" s="567"/>
      <c r="K121" s="566">
        <v>46041</v>
      </c>
      <c r="L121" s="91"/>
      <c r="M121" s="566"/>
      <c r="N121" s="752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</row>
    <row r="122" spans="1:48">
      <c r="A122" s="88">
        <v>117</v>
      </c>
      <c r="B122" s="89" t="str">
        <f>VLOOKUP(Table17[[#This Row],[šifra]],Table6[],2,0)</f>
        <v>Radzeer d.o.o.</v>
      </c>
      <c r="C122" s="90">
        <f>VLOOKUP(Table17[[#This Row],[šifra]],Table6[],3,0)</f>
        <v>20</v>
      </c>
      <c r="D122" s="100" t="str">
        <f>VLOOKUP(Table17[[#This Row],[šifra]],Table6[],4,0)</f>
        <v>VESNA</v>
      </c>
      <c r="E122" s="90" t="str">
        <f>VLOOKUP(Table17[[#This Row],[šifra]],Table6[],6,0)</f>
        <v>info@radzeer.hr</v>
      </c>
      <c r="F122" s="90" t="str">
        <f>VLOOKUP(Table17[[#This Row],[šifra]],Table6[],11,0)</f>
        <v>ne</v>
      </c>
      <c r="G122" s="90" t="str">
        <f>VLOOKUP(Table17[[#This Row],[šifra]],Table6[],10,0)</f>
        <v>da</v>
      </c>
      <c r="H122" s="139" t="str">
        <f>poduzeća!W118</f>
        <v>da</v>
      </c>
      <c r="I122" s="992" t="s">
        <v>2000</v>
      </c>
      <c r="J122" s="91"/>
      <c r="K122" s="91"/>
      <c r="L122" s="91"/>
      <c r="M122" s="173"/>
      <c r="N122" s="567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</row>
    <row r="123" spans="1:48" ht="17.25" customHeight="1">
      <c r="A123" s="88">
        <v>118</v>
      </c>
      <c r="B123" s="89" t="str">
        <f>VLOOKUP(Table17[[#This Row],[šifra]],Table6[],2,0)</f>
        <v>RAU GROUP d.o.o.</v>
      </c>
      <c r="C123" s="90">
        <f>VLOOKUP(Table17[[#This Row],[šifra]],Table6[],3,0)</f>
        <v>11</v>
      </c>
      <c r="D123" s="100" t="str">
        <f>VLOOKUP(Table17[[#This Row],[šifra]],Table6[],4,0)</f>
        <v>GABRIJELA</v>
      </c>
      <c r="E123" s="90" t="str">
        <f>VLOOKUP(Table17[[#This Row],[šifra]],Table6[],6,0)</f>
        <v>Antal János &lt;janos.antal@anlux.hu&gt;
ANTAL ÉS ANTAL KFT-Magyar Lajosné &lt;konyveles@anlux.hu&gt;
Robert Ali &lt;raugrouphr@gmail.com&gt;
Sándor B. Varga &lt;b.vargaplast@gmail.com&gt;
Kiszeli Zoltán &lt;kiszko82@gmail.com&gt;</v>
      </c>
      <c r="F123" s="90" t="str">
        <f>VLOOKUP(Table17[[#This Row],[šifra]],Table6[],11,0)</f>
        <v>ne</v>
      </c>
      <c r="G123" s="90" t="str">
        <f>VLOOKUP(Table17[[#This Row],[šifra]],Table6[],10,0)</f>
        <v>da</v>
      </c>
      <c r="H123" s="139" t="str">
        <f>poduzeća!W119</f>
        <v>da</v>
      </c>
      <c r="I123" s="982" t="s">
        <v>2001</v>
      </c>
      <c r="J123" s="91"/>
      <c r="K123" s="173"/>
      <c r="L123" s="218"/>
      <c r="M123" s="173"/>
      <c r="N123" s="91"/>
      <c r="O123" s="91"/>
      <c r="P123" s="91"/>
      <c r="Q123" s="91"/>
      <c r="R123" s="91"/>
      <c r="S123" s="91"/>
      <c r="T123" s="173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173"/>
      <c r="AH123" s="219"/>
      <c r="AI123" s="91"/>
      <c r="AJ123" s="173"/>
      <c r="AK123" s="91"/>
      <c r="AL123" s="91"/>
      <c r="AM123" s="173"/>
      <c r="AN123" s="220"/>
      <c r="AO123" s="91"/>
      <c r="AP123" s="173"/>
      <c r="AQ123" s="221"/>
      <c r="AR123" s="91"/>
      <c r="AS123" s="195"/>
      <c r="AT123" s="150"/>
      <c r="AU123" s="91"/>
      <c r="AV123" s="91"/>
    </row>
    <row r="124" spans="1:48">
      <c r="A124" s="88">
        <v>119</v>
      </c>
      <c r="B124" s="89" t="str">
        <f>VLOOKUP(Table17[[#This Row],[šifra]],Table6[],2,0)</f>
        <v>Ready or Not d.o.o.</v>
      </c>
      <c r="C124" s="90">
        <f>VLOOKUP(Table17[[#This Row],[šifra]],Table6[],3,0)</f>
        <v>11</v>
      </c>
      <c r="D124" s="100" t="str">
        <f>VLOOKUP(Table17[[#This Row],[šifra]],Table6[],4,0)</f>
        <v>GABRIJELA</v>
      </c>
      <c r="E124" s="90" t="str">
        <f>VLOOKUP(Table17[[#This Row],[šifra]],Table6[],6,0)</f>
        <v>info@gmholding.hu</v>
      </c>
      <c r="F124" s="90" t="str">
        <f>VLOOKUP(Table17[[#This Row],[šifra]],Table6[],11,0)</f>
        <v>da</v>
      </c>
      <c r="G124" s="90" t="str">
        <f>VLOOKUP(Table17[[#This Row],[šifra]],Table6[],10,0)</f>
        <v>da</v>
      </c>
      <c r="H124" s="139" t="str">
        <f>poduzeća!W120</f>
        <v>da</v>
      </c>
      <c r="I124" s="995" t="s">
        <v>2002</v>
      </c>
      <c r="J124" s="91"/>
      <c r="K124" s="91"/>
      <c r="L124" s="91"/>
      <c r="M124" s="173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</row>
    <row r="125" spans="1:48" ht="12.75" customHeight="1">
      <c r="A125" s="88">
        <v>120</v>
      </c>
      <c r="B125" s="89" t="str">
        <f>VLOOKUP(Table17[[#This Row],[šifra]],Table6[],2,0)</f>
        <v>REVERTOR RESORT j.d.o.o.</v>
      </c>
      <c r="C125" s="90">
        <f>VLOOKUP(Table17[[#This Row],[šifra]],Table6[],3,0)</f>
        <v>11</v>
      </c>
      <c r="D125" s="100" t="str">
        <f>VLOOKUP(Table17[[#This Row],[šifra]],Table6[],4,0)</f>
        <v>GABRIJELA</v>
      </c>
      <c r="E125" s="90" t="str">
        <f>VLOOKUP(Table17[[#This Row],[šifra]],Table6[],6,0)</f>
        <v>DR. Laszlo Fenyes &lt;fenyes1@icloud.com&gt; ne slati mailove</v>
      </c>
      <c r="F125" s="90" t="str">
        <f>VLOOKUP(Table17[[#This Row],[šifra]],Table6[],11,0)</f>
        <v>ne</v>
      </c>
      <c r="G125" s="90" t="str">
        <f>VLOOKUP(Table17[[#This Row],[šifra]],Table6[],10,0)</f>
        <v>da</v>
      </c>
      <c r="H125" s="139" t="str">
        <f>poduzeća!W121</f>
        <v>da</v>
      </c>
      <c r="I125" s="987" t="s">
        <v>2003</v>
      </c>
      <c r="J125" s="91"/>
      <c r="K125" s="91"/>
      <c r="L125" s="91"/>
      <c r="M125" s="173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173"/>
      <c r="Y125" s="91"/>
      <c r="Z125" s="91"/>
      <c r="AA125" s="91"/>
      <c r="AB125" s="91"/>
      <c r="AC125" s="91"/>
      <c r="AD125" s="91"/>
      <c r="AE125" s="129"/>
      <c r="AF125" s="91"/>
      <c r="AG125" s="91"/>
      <c r="AH125" s="219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</row>
    <row r="126" spans="1:48">
      <c r="A126" s="88">
        <v>121</v>
      </c>
      <c r="B126" s="89" t="str">
        <f>VLOOKUP(Table17[[#This Row],[šifra]],Table6[],2,0)</f>
        <v>RUSKO INVEST d.o.o.</v>
      </c>
      <c r="C126" s="90">
        <f>VLOOKUP(Table17[[#This Row],[šifra]],Table6[],3,0)</f>
        <v>25</v>
      </c>
      <c r="D126" s="100" t="str">
        <f>VLOOKUP(Table17[[#This Row],[šifra]],Table6[],4,0)</f>
        <v>F. MARKO</v>
      </c>
      <c r="E126" s="90" t="str">
        <f>VLOOKUP(Table17[[#This Row],[šifra]],Table6[],6,0)</f>
        <v>attilarusko@gmail.com</v>
      </c>
      <c r="F126" s="90" t="str">
        <f>VLOOKUP(Table17[[#This Row],[šifra]],Table6[],11,0)</f>
        <v>ne</v>
      </c>
      <c r="G126" s="90" t="str">
        <f>VLOOKUP(Table17[[#This Row],[šifra]],Table6[],10,0)</f>
        <v>da</v>
      </c>
      <c r="H126" s="139" t="str">
        <f>poduzeća!W122</f>
        <v>F-DA</v>
      </c>
      <c r="I126" s="980" t="s">
        <v>1645</v>
      </c>
      <c r="J126" s="173"/>
      <c r="K126" s="222"/>
      <c r="L126" s="223"/>
      <c r="M126" s="173"/>
      <c r="N126" s="173"/>
      <c r="O126" s="173"/>
      <c r="P126" s="173"/>
      <c r="Q126" s="173"/>
      <c r="R126" s="173"/>
      <c r="S126" s="224"/>
      <c r="T126" s="173"/>
      <c r="U126" s="173"/>
      <c r="V126" s="173"/>
      <c r="W126" s="173"/>
      <c r="X126" s="173"/>
      <c r="Y126" s="173"/>
      <c r="Z126" s="173"/>
      <c r="AA126" s="91"/>
      <c r="AB126" s="173"/>
      <c r="AC126" s="173"/>
      <c r="AD126" s="225"/>
      <c r="AE126" s="129"/>
      <c r="AF126" s="173"/>
      <c r="AG126" s="173"/>
      <c r="AH126" s="173"/>
      <c r="AI126" s="173"/>
      <c r="AJ126" s="173"/>
      <c r="AK126" s="91"/>
      <c r="AL126" s="173"/>
      <c r="AM126" s="173"/>
      <c r="AN126" s="226"/>
      <c r="AO126" s="173"/>
      <c r="AP126" s="173"/>
      <c r="AQ126" s="91"/>
      <c r="AR126" s="185"/>
      <c r="AS126" s="186"/>
      <c r="AT126" s="189"/>
      <c r="AU126" s="91"/>
      <c r="AV126" s="91"/>
    </row>
    <row r="127" spans="1:48" ht="45">
      <c r="A127" s="88">
        <v>122</v>
      </c>
      <c r="B127" s="89" t="str">
        <f>VLOOKUP(Table17[[#This Row],[šifra]],Table6[],2,0)</f>
        <v>SAGITTA CONSULTING d.o.o.</v>
      </c>
      <c r="C127" s="90">
        <f>VLOOKUP(Table17[[#This Row],[šifra]],Table6[],3,0)</f>
        <v>23</v>
      </c>
      <c r="D127" s="100" t="str">
        <f>VLOOKUP(Table17[[#This Row],[šifra]],Table6[],4,0)</f>
        <v>MARKO</v>
      </c>
      <c r="E127" s="90" t="str">
        <f>VLOOKUP(Table17[[#This Row],[šifra]],Table6[],6,0)</f>
        <v>andocsi.janos@gmail.com
sagitta.cons.doo@gmail.com - Andoči tar Melinda</v>
      </c>
      <c r="F127" s="90" t="str">
        <f>VLOOKUP(Table17[[#This Row],[šifra]],Table6[],11,0)</f>
        <v>ne</v>
      </c>
      <c r="G127" s="90" t="str">
        <f>VLOOKUP(Table17[[#This Row],[šifra]],Table6[],10,0)</f>
        <v>da</v>
      </c>
      <c r="H127" s="139" t="str">
        <f>poduzeća!W123</f>
        <v>da</v>
      </c>
      <c r="I127" s="980" t="s">
        <v>1645</v>
      </c>
      <c r="J127" s="173"/>
      <c r="K127" s="173"/>
      <c r="L127" s="177"/>
      <c r="M127" s="173"/>
      <c r="N127" s="173"/>
      <c r="O127" s="173"/>
      <c r="P127" s="173"/>
      <c r="Q127" s="173"/>
      <c r="R127" s="173"/>
      <c r="S127" s="173"/>
      <c r="T127" s="173"/>
      <c r="U127" s="91"/>
      <c r="V127" s="173"/>
      <c r="W127" s="173"/>
      <c r="X127" s="91"/>
      <c r="Y127" s="173"/>
      <c r="Z127" s="173"/>
      <c r="AA127" s="91"/>
      <c r="AB127" s="173"/>
      <c r="AC127" s="173"/>
      <c r="AD127" s="173"/>
      <c r="AE127" s="173"/>
      <c r="AF127" s="173"/>
      <c r="AG127" s="173"/>
      <c r="AH127" s="91"/>
      <c r="AI127" s="187"/>
      <c r="AJ127" s="187"/>
      <c r="AK127" s="91"/>
      <c r="AL127" s="173"/>
      <c r="AM127" s="173"/>
      <c r="AN127" s="173"/>
      <c r="AO127" s="173"/>
      <c r="AP127" s="173"/>
      <c r="AQ127" s="91"/>
      <c r="AR127" s="91"/>
      <c r="AS127" s="91"/>
      <c r="AT127" s="91"/>
      <c r="AU127" s="91"/>
      <c r="AV127" s="91"/>
    </row>
    <row r="128" spans="1:48">
      <c r="A128" s="88">
        <v>123</v>
      </c>
      <c r="B128" s="793" t="str">
        <f>VLOOKUP(Table17[[#This Row],[šifra]],Table6[],2,0)</f>
        <v>SAILINFO d.o.o.</v>
      </c>
      <c r="C128" s="90">
        <f>VLOOKUP(Table17[[#This Row],[šifra]],Table6[],3,0)</f>
        <v>23</v>
      </c>
      <c r="D128" s="100" t="str">
        <f>VLOOKUP(Table17[[#This Row],[šifra]],Table6[],4,0)</f>
        <v>MARKO</v>
      </c>
      <c r="E128" s="90" t="str">
        <f>VLOOKUP(Table17[[#This Row],[šifra]],Table6[],6,0)</f>
        <v>kovacsp@makroteam.hu</v>
      </c>
      <c r="F128" s="90" t="str">
        <f>VLOOKUP(Table17[[#This Row],[šifra]],Table6[],11,0)</f>
        <v>ne</v>
      </c>
      <c r="G128" s="90" t="str">
        <f>VLOOKUP(Table17[[#This Row],[šifra]],Table6[],10,0)</f>
        <v>da</v>
      </c>
      <c r="H128" s="139" t="str">
        <f>poduzeća!W124</f>
        <v>da</v>
      </c>
      <c r="I128" s="985"/>
      <c r="J128" s="566"/>
      <c r="K128" s="566">
        <v>46041</v>
      </c>
      <c r="L128" s="177"/>
      <c r="M128" s="566"/>
      <c r="N128" s="751"/>
      <c r="O128" s="173"/>
      <c r="P128" s="173"/>
      <c r="Q128" s="173"/>
      <c r="R128" s="173"/>
      <c r="S128" s="173"/>
      <c r="T128" s="173"/>
      <c r="U128" s="91"/>
      <c r="V128" s="173"/>
      <c r="W128" s="173"/>
      <c r="X128" s="173"/>
      <c r="Y128" s="173"/>
      <c r="Z128" s="173"/>
      <c r="AA128" s="91"/>
      <c r="AB128" s="173"/>
      <c r="AC128" s="173"/>
      <c r="AD128" s="173"/>
      <c r="AE128" s="173"/>
      <c r="AF128" s="173"/>
      <c r="AG128" s="173"/>
      <c r="AH128" s="173"/>
      <c r="AI128" s="187"/>
      <c r="AJ128" s="173"/>
      <c r="AK128" s="91"/>
      <c r="AL128" s="173"/>
      <c r="AM128" s="173"/>
      <c r="AN128" s="173"/>
      <c r="AO128" s="173"/>
      <c r="AP128" s="173"/>
      <c r="AQ128" s="91"/>
      <c r="AR128" s="91"/>
      <c r="AS128" s="91"/>
      <c r="AT128" s="91"/>
      <c r="AU128" s="91"/>
      <c r="AV128" s="91"/>
    </row>
    <row r="129" spans="1:48" ht="30">
      <c r="A129" s="88">
        <v>124</v>
      </c>
      <c r="B129" s="793" t="str">
        <f>VLOOKUP(Table17[[#This Row],[šifra]],Table6[],2,0)</f>
        <v>Sailing Investment d.o.o.</v>
      </c>
      <c r="C129" s="90">
        <f>VLOOKUP(Table17[[#This Row],[šifra]],Table6[],3,0)</f>
        <v>23</v>
      </c>
      <c r="D129" s="100" t="str">
        <f>VLOOKUP(Table17[[#This Row],[šifra]],Table6[],4,0)</f>
        <v>MARKO</v>
      </c>
      <c r="E129" s="90" t="str">
        <f>VLOOKUP(Table17[[#This Row],[šifra]],Table6[],6,0)</f>
        <v>szemeredi@kenlube.hu   akos.szemeredi@gmail.com</v>
      </c>
      <c r="F129" s="90" t="str">
        <f>VLOOKUP(Table17[[#This Row],[šifra]],Table6[],11,0)</f>
        <v>ne</v>
      </c>
      <c r="G129" s="90" t="str">
        <f>VLOOKUP(Table17[[#This Row],[šifra]],Table6[],10,0)</f>
        <v>da</v>
      </c>
      <c r="H129" s="139" t="str">
        <f>poduzeća!W125</f>
        <v>da</v>
      </c>
      <c r="I129" s="980"/>
      <c r="J129" s="567"/>
      <c r="K129" s="566">
        <v>46040</v>
      </c>
      <c r="L129" s="173"/>
      <c r="M129" s="753"/>
      <c r="N129" s="751"/>
      <c r="O129" s="173"/>
      <c r="P129" s="91"/>
      <c r="Q129" s="173"/>
      <c r="R129" s="173"/>
      <c r="S129" s="91"/>
      <c r="T129" s="173"/>
      <c r="U129" s="91"/>
      <c r="V129" s="91"/>
      <c r="W129" s="173"/>
      <c r="X129" s="173"/>
      <c r="Y129" s="91"/>
      <c r="Z129" s="173"/>
      <c r="AA129" s="91"/>
      <c r="AB129" s="173"/>
      <c r="AC129" s="173"/>
      <c r="AD129" s="173"/>
      <c r="AE129" s="173"/>
      <c r="AF129" s="91"/>
      <c r="AG129" s="173"/>
      <c r="AH129" s="173"/>
      <c r="AI129" s="173"/>
      <c r="AJ129" s="173"/>
      <c r="AK129" s="91"/>
      <c r="AL129" s="228"/>
      <c r="AM129" s="173"/>
      <c r="AN129" s="173"/>
      <c r="AO129" s="91"/>
      <c r="AP129" s="173"/>
      <c r="AQ129" s="91"/>
      <c r="AR129" s="91"/>
      <c r="AS129" s="91"/>
      <c r="AT129" s="91"/>
      <c r="AU129" s="91"/>
      <c r="AV129" s="91"/>
    </row>
    <row r="130" spans="1:48" ht="13.5" customHeight="1">
      <c r="A130" s="88">
        <v>125</v>
      </c>
      <c r="B130" s="793" t="str">
        <f>VLOOKUP(Table17[[#This Row],[šifra]],Table6[],2,0)</f>
        <v>SAILVOY d.o.o.</v>
      </c>
      <c r="C130" s="90">
        <f>VLOOKUP(Table17[[#This Row],[šifra]],Table6[],3,0)</f>
        <v>23</v>
      </c>
      <c r="D130" s="100" t="str">
        <f>VLOOKUP(Table17[[#This Row],[šifra]],Table6[],4,0)</f>
        <v>MARKO</v>
      </c>
      <c r="E130" s="90" t="str">
        <f>VLOOKUP(Table17[[#This Row],[šifra]],Table6[],6,0)</f>
        <v>LASZLO.TOTH.LT@T-ONLINE.HU</v>
      </c>
      <c r="F130" s="90" t="str">
        <f>VLOOKUP(Table17[[#This Row],[šifra]],Table6[],11,0)</f>
        <v>ne</v>
      </c>
      <c r="G130" s="90" t="str">
        <f>VLOOKUP(Table17[[#This Row],[šifra]],Table6[],10,0)</f>
        <v>da</v>
      </c>
      <c r="H130" s="139" t="str">
        <f>poduzeća!W126</f>
        <v>da</v>
      </c>
      <c r="I130" s="980"/>
      <c r="J130" s="567"/>
      <c r="K130" s="566">
        <v>46041</v>
      </c>
      <c r="L130" s="173"/>
      <c r="M130" s="566"/>
      <c r="N130" s="751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91"/>
      <c r="AB130" s="173"/>
      <c r="AC130" s="173"/>
      <c r="AD130" s="173"/>
      <c r="AE130" s="177"/>
      <c r="AF130" s="173"/>
      <c r="AG130" s="173"/>
      <c r="AH130" s="173"/>
      <c r="AI130" s="173"/>
      <c r="AJ130" s="173"/>
      <c r="AK130" s="91"/>
      <c r="AL130" s="173"/>
      <c r="AM130" s="173"/>
      <c r="AN130" s="91"/>
      <c r="AO130" s="173"/>
      <c r="AP130" s="173"/>
      <c r="AQ130" s="91"/>
      <c r="AR130" s="173"/>
      <c r="AS130" s="173"/>
      <c r="AT130" s="91"/>
      <c r="AU130" s="91"/>
      <c r="AV130" s="91"/>
    </row>
    <row r="131" spans="1:48" ht="30">
      <c r="A131" s="88">
        <v>126</v>
      </c>
      <c r="B131" s="89" t="str">
        <f>VLOOKUP(Table17[[#This Row],[šifra]],Table6[],2,0)</f>
        <v>SANDORFI YACHTING</v>
      </c>
      <c r="C131" s="90">
        <f>VLOOKUP(Table17[[#This Row],[šifra]],Table6[],3,0)</f>
        <v>7</v>
      </c>
      <c r="D131" s="100" t="str">
        <f>VLOOKUP(Table17[[#This Row],[šifra]],Table6[],4,0)</f>
        <v>SJEDIŠTE</v>
      </c>
      <c r="E131" s="90" t="str">
        <f>VLOOKUP(Table17[[#This Row],[šifra]],Table6[],6,0)</f>
        <v>sandorfirobert@gmail.com,
melissa.horvat21@gmail.com</v>
      </c>
      <c r="F131" s="90" t="str">
        <f>VLOOKUP(Table17[[#This Row],[šifra]],Table6[],11,0)</f>
        <v>ne</v>
      </c>
      <c r="G131" s="90" t="str">
        <f>VLOOKUP(Table17[[#This Row],[šifra]],Table6[],10,0)</f>
        <v>da</v>
      </c>
      <c r="H131" s="139" t="str">
        <f>poduzeća!W127</f>
        <v>ne</v>
      </c>
      <c r="I131" s="996"/>
      <c r="J131" s="91"/>
      <c r="K131" s="91"/>
      <c r="L131" s="91"/>
      <c r="M131" s="173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196"/>
      <c r="AA131" s="91"/>
      <c r="AB131" s="229"/>
      <c r="AC131" s="91"/>
      <c r="AD131" s="173"/>
      <c r="AE131" s="91"/>
      <c r="AF131" s="91"/>
      <c r="AG131" s="173"/>
      <c r="AH131" s="230"/>
      <c r="AI131" s="91"/>
      <c r="AJ131" s="231"/>
      <c r="AK131" s="212"/>
      <c r="AL131" s="91"/>
      <c r="AM131" s="232"/>
      <c r="AN131" s="173"/>
      <c r="AO131" s="91"/>
      <c r="AP131" s="201"/>
      <c r="AQ131" s="173"/>
      <c r="AR131" s="91"/>
      <c r="AS131" s="233"/>
      <c r="AT131" s="173"/>
      <c r="AU131" s="91"/>
      <c r="AV131" s="91"/>
    </row>
    <row r="132" spans="1:48" ht="14.25" customHeight="1">
      <c r="A132" s="88">
        <v>127</v>
      </c>
      <c r="B132" s="89" t="str">
        <f>VLOOKUP(Table17[[#This Row],[šifra]],Table6[],2,0)</f>
        <v>Sandra franšizer</v>
      </c>
      <c r="C132" s="90">
        <f>VLOOKUP(Table17[[#This Row],[šifra]],Table6[],3,0)</f>
        <v>9</v>
      </c>
      <c r="D132" s="100" t="str">
        <f>VLOOKUP(Table17[[#This Row],[šifra]],Table6[],4,0)</f>
        <v>SANDRA</v>
      </c>
      <c r="E132" s="90" t="str">
        <f>VLOOKUP(Table17[[#This Row],[šifra]],Table6[],6,0)</f>
        <v>sandra@d-invoice.hr</v>
      </c>
      <c r="F132" s="90" t="str">
        <f>VLOOKUP(Table17[[#This Row],[šifra]],Table6[],11,0)</f>
        <v>ne</v>
      </c>
      <c r="G132" s="90" t="str">
        <f>VLOOKUP(Table17[[#This Row],[šifra]],Table6[],10,0)</f>
        <v>ne</v>
      </c>
      <c r="H132" s="139" t="str">
        <f>poduzeća!W128</f>
        <v>ne</v>
      </c>
      <c r="I132" s="987"/>
      <c r="J132" s="566"/>
      <c r="K132" s="566"/>
      <c r="L132" s="91"/>
      <c r="M132" s="227"/>
      <c r="N132" s="91"/>
      <c r="O132" s="91"/>
      <c r="P132" s="173"/>
      <c r="Q132" s="91"/>
      <c r="R132" s="91"/>
      <c r="S132" s="173"/>
      <c r="T132" s="91"/>
      <c r="U132" s="173"/>
      <c r="V132" s="173"/>
      <c r="W132" s="91"/>
      <c r="X132" s="173"/>
      <c r="Y132" s="173"/>
      <c r="Z132" s="91"/>
      <c r="AA132" s="91"/>
      <c r="AB132" s="173"/>
      <c r="AC132" s="173"/>
      <c r="AD132" s="91"/>
      <c r="AE132" s="177"/>
      <c r="AF132" s="173"/>
      <c r="AG132" s="91"/>
      <c r="AH132" s="173"/>
      <c r="AI132" s="187"/>
      <c r="AJ132" s="91"/>
      <c r="AK132" s="91"/>
      <c r="AL132" s="173"/>
      <c r="AM132" s="91"/>
      <c r="AN132" s="173"/>
      <c r="AO132" s="173"/>
      <c r="AP132" s="91"/>
      <c r="AQ132" s="91"/>
      <c r="AR132" s="91"/>
      <c r="AS132" s="91"/>
      <c r="AT132" s="91"/>
      <c r="AU132" s="91"/>
      <c r="AV132" s="91"/>
    </row>
    <row r="133" spans="1:48">
      <c r="A133" s="88">
        <v>128</v>
      </c>
      <c r="B133" s="89" t="str">
        <f>VLOOKUP(Table17[[#This Row],[šifra]],Table6[],2,0)</f>
        <v>SANSA MACHINE d.o.o.</v>
      </c>
      <c r="C133" s="90">
        <f>VLOOKUP(Table17[[#This Row],[šifra]],Table6[],3,0)</f>
        <v>15</v>
      </c>
      <c r="D133" s="100" t="str">
        <f>VLOOKUP(Table17[[#This Row],[šifra]],Table6[],4,0)</f>
        <v>NIKOLINA</v>
      </c>
      <c r="E133" s="90" t="str">
        <f>VLOOKUP(Table17[[#This Row],[šifra]],Table6[],6,0)</f>
        <v>sansamachinedoo@gmail.com</v>
      </c>
      <c r="F133" s="90" t="str">
        <f>VLOOKUP(Table17[[#This Row],[šifra]],Table6[],11,0)</f>
        <v>ne</v>
      </c>
      <c r="G133" s="90" t="str">
        <f>VLOOKUP(Table17[[#This Row],[šifra]],Table6[],10,0)</f>
        <v>da</v>
      </c>
      <c r="H133" s="139" t="str">
        <f>poduzeća!W129</f>
        <v>da</v>
      </c>
      <c r="I133" s="985"/>
      <c r="J133" s="173"/>
      <c r="K133" s="91"/>
      <c r="L133" s="91"/>
      <c r="M133" s="227"/>
      <c r="N133" s="91"/>
      <c r="O133" s="91"/>
      <c r="P133" s="173"/>
      <c r="Q133" s="91"/>
      <c r="R133" s="91"/>
      <c r="S133" s="173"/>
      <c r="T133" s="91"/>
      <c r="U133" s="91"/>
      <c r="V133" s="173"/>
      <c r="W133" s="91"/>
      <c r="X133" s="173"/>
      <c r="Y133" s="173"/>
      <c r="Z133" s="91"/>
      <c r="AA133" s="91"/>
      <c r="AB133" s="173"/>
      <c r="AC133" s="173"/>
      <c r="AD133" s="91"/>
      <c r="AE133" s="177"/>
      <c r="AF133" s="173"/>
      <c r="AG133" s="91"/>
      <c r="AH133" s="173"/>
      <c r="AI133" s="173"/>
      <c r="AJ133" s="91"/>
      <c r="AK133" s="91"/>
      <c r="AL133" s="173"/>
      <c r="AM133" s="91"/>
      <c r="AN133" s="173"/>
      <c r="AO133" s="173"/>
      <c r="AP133" s="91"/>
      <c r="AQ133" s="91"/>
      <c r="AR133" s="91"/>
      <c r="AS133" s="91"/>
      <c r="AT133" s="91"/>
      <c r="AU133" s="91"/>
      <c r="AV133" s="91"/>
    </row>
    <row r="134" spans="1:48">
      <c r="A134" s="88">
        <v>129</v>
      </c>
      <c r="B134" s="89" t="str">
        <f>VLOOKUP(Table17[[#This Row],[šifra]],Table6[],2,0)</f>
        <v>Sen desing sro</v>
      </c>
      <c r="C134" s="90">
        <f>VLOOKUP(Table17[[#This Row],[šifra]],Table6[],3,0)</f>
        <v>0</v>
      </c>
      <c r="D134" s="100" t="str">
        <f>VLOOKUP(Table17[[#This Row],[šifra]],Table6[],4,0)</f>
        <v>NITKO</v>
      </c>
      <c r="E134" s="90" t="str">
        <f>VLOOKUP(Table17[[#This Row],[šifra]],Table6[],6,0)</f>
        <v>2023PINETA@GMAIL.COM</v>
      </c>
      <c r="F134" s="90">
        <f>VLOOKUP(Table17[[#This Row],[šifra]],Table6[],11,0)</f>
        <v>0</v>
      </c>
      <c r="G134" s="90">
        <f>VLOOKUP(Table17[[#This Row],[šifra]],Table6[],10,0)</f>
        <v>0</v>
      </c>
      <c r="H134" s="139" t="str">
        <f>poduzeća!W130</f>
        <v>ne</v>
      </c>
      <c r="I134" s="980"/>
      <c r="J134" s="91"/>
      <c r="K134" s="91"/>
      <c r="L134" s="173"/>
      <c r="M134" s="173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</row>
    <row r="135" spans="1:48">
      <c r="A135" s="88">
        <v>130</v>
      </c>
      <c r="B135" s="89" t="str">
        <f>VLOOKUP(Table17[[#This Row],[šifra]],Table6[],2,0)</f>
        <v>Serafini d.o.o</v>
      </c>
      <c r="C135" s="90">
        <f>VLOOKUP(Table17[[#This Row],[šifra]],Table6[],3,0)</f>
        <v>15</v>
      </c>
      <c r="D135" s="100" t="str">
        <f>VLOOKUP(Table17[[#This Row],[šifra]],Table6[],4,0)</f>
        <v>NIKOLINA</v>
      </c>
      <c r="E135" s="90" t="str">
        <f>VLOOKUP(Table17[[#This Row],[šifra]],Table6[],6,0)</f>
        <v xml:space="preserve">danijel.svelec@gmail.com </v>
      </c>
      <c r="F135" s="90" t="str">
        <f>VLOOKUP(Table17[[#This Row],[šifra]],Table6[],11,0)</f>
        <v>da</v>
      </c>
      <c r="G135" s="90" t="str">
        <f>VLOOKUP(Table17[[#This Row],[šifra]],Table6[],10,0)</f>
        <v>da</v>
      </c>
      <c r="H135" s="139" t="str">
        <f>poduzeća!W131</f>
        <v>da</v>
      </c>
      <c r="I135" s="992"/>
      <c r="J135" s="91"/>
      <c r="K135" s="91"/>
      <c r="L135" s="91"/>
      <c r="M135" s="173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</row>
    <row r="136" spans="1:48" ht="45">
      <c r="A136" s="88">
        <v>131</v>
      </c>
      <c r="B136" s="89" t="str">
        <f>VLOOKUP(Table17[[#This Row],[šifra]],Table6[],2,0)</f>
        <v>SILLER HANDELS GMBH</v>
      </c>
      <c r="C136" s="90">
        <f>VLOOKUP(Table17[[#This Row],[šifra]],Table6[],3,0)</f>
        <v>15</v>
      </c>
      <c r="D136" s="100" t="str">
        <f>VLOOKUP(Table17[[#This Row],[šifra]],Table6[],4,0)</f>
        <v>NIKOLINA</v>
      </c>
      <c r="E136" s="90" t="str">
        <f>VLOOKUP(Table17[[#This Row],[šifra]],Table6[],6,0)</f>
        <v xml:space="preserve">agnes.peter@silleradvisory.com
laszlo.siller@silleradvisory.com
</v>
      </c>
      <c r="F136" s="90" t="str">
        <f>VLOOKUP(Table17[[#This Row],[šifra]],Table6[],11,0)</f>
        <v>ne</v>
      </c>
      <c r="G136" s="90" t="str">
        <f>VLOOKUP(Table17[[#This Row],[šifra]],Table6[],10,0)</f>
        <v>da</v>
      </c>
      <c r="H136" s="139" t="str">
        <f>poduzeća!W132</f>
        <v>pd-da</v>
      </c>
      <c r="I136" s="980"/>
      <c r="J136" s="91"/>
      <c r="K136" s="91"/>
      <c r="L136" s="91"/>
      <c r="M136" s="173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198"/>
      <c r="Z136" s="200"/>
      <c r="AA136" s="91"/>
      <c r="AB136" s="91"/>
      <c r="AC136" s="173"/>
      <c r="AD136" s="91"/>
      <c r="AE136" s="91"/>
      <c r="AF136" s="91"/>
      <c r="AG136" s="91"/>
      <c r="AH136" s="183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</row>
    <row r="137" spans="1:48" ht="60">
      <c r="A137" s="88">
        <v>132</v>
      </c>
      <c r="B137" s="89" t="str">
        <f>VLOOKUP(Table17[[#This Row],[šifra]],Table6[],2,0)</f>
        <v>SIMON PETER</v>
      </c>
      <c r="C137" s="90">
        <f>VLOOKUP(Table17[[#This Row],[šifra]],Table6[],3,0)</f>
        <v>14</v>
      </c>
      <c r="D137" s="100" t="str">
        <f>VLOOKUP(Table17[[#This Row],[šifra]],Table6[],4,0)</f>
        <v>PONEKAD</v>
      </c>
      <c r="E137" s="90" t="str">
        <f>VLOOKUP(Table17[[#This Row],[šifra]],Table6[],6,0)</f>
        <v>Simon Péter &lt;peter.simon@simonwellness.hu&gt;
 Simon Péter &lt;peter.simon@simonszauna.hu&gt;</v>
      </c>
      <c r="F137" s="90" t="str">
        <f>VLOOKUP(Table17[[#This Row],[šifra]],Table6[],11,0)</f>
        <v>ne</v>
      </c>
      <c r="G137" s="90" t="str">
        <f>VLOOKUP(Table17[[#This Row],[šifra]],Table6[],10,0)</f>
        <v>da</v>
      </c>
      <c r="H137" s="139" t="str">
        <f>poduzeća!W133</f>
        <v>ne</v>
      </c>
      <c r="I137" s="992"/>
      <c r="J137" s="91"/>
      <c r="K137" s="91"/>
      <c r="L137" s="91"/>
      <c r="M137" s="173"/>
      <c r="N137" s="91"/>
      <c r="O137" s="91"/>
      <c r="P137" s="91"/>
      <c r="Q137" s="173"/>
      <c r="R137" s="173"/>
      <c r="S137" s="91"/>
      <c r="T137" s="173"/>
      <c r="U137" s="91"/>
      <c r="V137" s="91"/>
      <c r="W137" s="173"/>
      <c r="X137" s="91"/>
      <c r="Y137" s="91"/>
      <c r="Z137" s="173"/>
      <c r="AA137" s="91"/>
      <c r="AB137" s="91"/>
      <c r="AC137" s="91"/>
      <c r="AD137" s="173"/>
      <c r="AE137" s="91"/>
      <c r="AF137" s="91"/>
      <c r="AG137" s="173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</row>
    <row r="138" spans="1:48">
      <c r="A138" s="88">
        <v>133</v>
      </c>
      <c r="B138" s="89" t="str">
        <f>VLOOKUP(Table17[[#This Row],[šifra]],Table6[],2,0)</f>
        <v>SO CONSULTING d.o.o.</v>
      </c>
      <c r="C138" s="90">
        <f>VLOOKUP(Table17[[#This Row],[šifra]],Table6[],3,0)</f>
        <v>11</v>
      </c>
      <c r="D138" s="100" t="str">
        <f>VLOOKUP(Table17[[#This Row],[šifra]],Table6[],4,0)</f>
        <v>GABRIJELA</v>
      </c>
      <c r="E138" s="90" t="str">
        <f>VLOOKUP(Table17[[#This Row],[šifra]],Table6[],6,0)</f>
        <v>info.so.consulting@gmail.com</v>
      </c>
      <c r="F138" s="90" t="str">
        <f>VLOOKUP(Table17[[#This Row],[šifra]],Table6[],11,0)</f>
        <v>ne</v>
      </c>
      <c r="G138" s="90" t="str">
        <f>VLOOKUP(Table17[[#This Row],[šifra]],Table6[],10,0)</f>
        <v>da</v>
      </c>
      <c r="H138" s="139" t="str">
        <f>poduzeća!W134</f>
        <v>da</v>
      </c>
      <c r="I138" s="980">
        <v>46142</v>
      </c>
      <c r="J138" s="91"/>
      <c r="K138" s="91"/>
      <c r="L138" s="91"/>
      <c r="M138" s="173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</row>
    <row r="139" spans="1:48" ht="30">
      <c r="A139" s="88">
        <v>134</v>
      </c>
      <c r="B139" s="89" t="str">
        <f>VLOOKUP(Table17[[#This Row],[šifra]],Table6[],2,0)</f>
        <v>Speed Box j.d.o.o.</v>
      </c>
      <c r="C139" s="90">
        <f>VLOOKUP(Table17[[#This Row],[šifra]],Table6[],3,0)</f>
        <v>25</v>
      </c>
      <c r="D139" s="100" t="str">
        <f>VLOOKUP(Table17[[#This Row],[šifra]],Table6[],4,0)</f>
        <v>F. MARKO</v>
      </c>
      <c r="E139" s="90" t="str">
        <f>VLOOKUP(Table17[[#This Row],[šifra]],Table6[],6,0)</f>
        <v xml:space="preserve">aleksa.juric1@gmail.com
</v>
      </c>
      <c r="F139" s="90" t="str">
        <f>VLOOKUP(Table17[[#This Row],[šifra]],Table6[],11,0)</f>
        <v>da</v>
      </c>
      <c r="G139" s="90" t="str">
        <f>VLOOKUP(Table17[[#This Row],[šifra]],Table6[],10,0)</f>
        <v>ne</v>
      </c>
      <c r="H139" s="139" t="str">
        <f>poduzeća!W135</f>
        <v>F-DA</v>
      </c>
      <c r="I139" s="980" t="s">
        <v>1645</v>
      </c>
      <c r="J139" s="91"/>
      <c r="K139" s="173"/>
      <c r="L139" s="218"/>
      <c r="M139" s="173"/>
      <c r="N139" s="91"/>
      <c r="O139" s="91"/>
      <c r="P139" s="173"/>
      <c r="Q139" s="91"/>
      <c r="R139" s="91"/>
      <c r="S139" s="173"/>
      <c r="T139" s="173"/>
      <c r="U139" s="91"/>
      <c r="V139" s="173"/>
      <c r="W139" s="217"/>
      <c r="X139" s="173"/>
      <c r="Y139" s="173"/>
      <c r="Z139" s="234"/>
      <c r="AA139" s="91"/>
      <c r="AB139" s="173"/>
      <c r="AC139" s="177"/>
      <c r="AD139" s="173"/>
      <c r="AE139" s="177"/>
      <c r="AF139" s="173"/>
      <c r="AG139" s="173"/>
      <c r="AH139" s="173"/>
      <c r="AI139" s="173"/>
      <c r="AJ139" s="173"/>
      <c r="AK139" s="91"/>
      <c r="AL139" s="173"/>
      <c r="AM139" s="173"/>
      <c r="AN139" s="173"/>
      <c r="AO139" s="173"/>
      <c r="AP139" s="173"/>
      <c r="AQ139" s="91"/>
      <c r="AR139" s="173"/>
      <c r="AS139" s="173"/>
      <c r="AT139" s="91"/>
      <c r="AU139" s="91"/>
      <c r="AV139" s="91"/>
    </row>
    <row r="140" spans="1:48" ht="75">
      <c r="A140" s="88">
        <v>135</v>
      </c>
      <c r="B140" s="89" t="str">
        <f>VLOOKUP(Table17[[#This Row],[šifra]],Table6[],2,0)</f>
        <v>Sporteex Marketing KFT</v>
      </c>
      <c r="C140" s="90">
        <f>VLOOKUP(Table17[[#This Row],[šifra]],Table6[],3,0)</f>
        <v>2</v>
      </c>
      <c r="D140" s="100" t="str">
        <f>VLOOKUP(Table17[[#This Row],[šifra]],Table6[],4,0)</f>
        <v>LAURA</v>
      </c>
      <c r="E140" s="90" t="str">
        <f>VLOOKUP(Table17[[#This Row],[šifra]],Table6[],6,0)</f>
        <v>zoltan@sportimadok.hu
Lakatos Orsolya office manager
mobil: +36 20 940 2750
H-1095 Budapest, Soroksári út 110-112. E ép. 1 em.</v>
      </c>
      <c r="F140" s="90" t="str">
        <f>VLOOKUP(Table17[[#This Row],[šifra]],Table6[],11,0)</f>
        <v>ne</v>
      </c>
      <c r="G140" s="90" t="str">
        <f>VLOOKUP(Table17[[#This Row],[šifra]],Table6[],10,0)</f>
        <v>da</v>
      </c>
      <c r="H140" s="139" t="str">
        <f>poduzeća!W136</f>
        <v>pd-da</v>
      </c>
      <c r="I140" s="985"/>
      <c r="J140" s="173"/>
      <c r="K140" s="91"/>
      <c r="L140" s="91"/>
      <c r="M140" s="173"/>
      <c r="N140" s="91"/>
      <c r="O140" s="91"/>
      <c r="P140" s="173"/>
      <c r="Q140" s="91"/>
      <c r="R140" s="91"/>
      <c r="S140" s="91"/>
      <c r="T140" s="91"/>
      <c r="U140" s="91"/>
      <c r="V140" s="173"/>
      <c r="W140" s="91"/>
      <c r="X140" s="173"/>
      <c r="Y140" s="173"/>
      <c r="Z140" s="91"/>
      <c r="AA140" s="91"/>
      <c r="AB140" s="173"/>
      <c r="AC140" s="173"/>
      <c r="AD140" s="91"/>
      <c r="AE140" s="177"/>
      <c r="AF140" s="173"/>
      <c r="AG140" s="91"/>
      <c r="AH140" s="173"/>
      <c r="AI140" s="173"/>
      <c r="AJ140" s="91"/>
      <c r="AK140" s="91"/>
      <c r="AL140" s="173"/>
      <c r="AM140" s="91"/>
      <c r="AN140" s="173"/>
      <c r="AO140" s="173"/>
      <c r="AP140" s="91"/>
      <c r="AQ140" s="91"/>
      <c r="AR140" s="173"/>
      <c r="AS140" s="91"/>
      <c r="AT140" s="189"/>
      <c r="AU140" s="91"/>
      <c r="AV140" s="91"/>
    </row>
    <row r="141" spans="1:48" ht="30">
      <c r="A141" s="88">
        <v>136</v>
      </c>
      <c r="B141" s="89" t="str">
        <f>VLOOKUP(Table17[[#This Row],[šifra]],Table6[],2,0)</f>
        <v xml:space="preserve">NAGY ZSUZSANNA JOZSEFNE SUKI </v>
      </c>
      <c r="C141" s="90">
        <f>VLOOKUP(Table17[[#This Row],[šifra]],Table6[],3,0)</f>
        <v>11</v>
      </c>
      <c r="D141" s="100" t="str">
        <f>VLOOKUP(Table17[[#This Row],[šifra]],Table6[],4,0)</f>
        <v>GABRIJELA</v>
      </c>
      <c r="E141" s="90" t="str">
        <f>VLOOKUP(Table17[[#This Row],[šifra]],Table6[],6,0)</f>
        <v>Zsuzsanna Sukiné &lt;sukizsuzsa@gmail.com&gt;</v>
      </c>
      <c r="F141" s="90" t="str">
        <f>VLOOKUP(Table17[[#This Row],[šifra]],Table6[],11,0)</f>
        <v>ne</v>
      </c>
      <c r="G141" s="90" t="str">
        <f>VLOOKUP(Table17[[#This Row],[šifra]],Table6[],10,0)</f>
        <v>da</v>
      </c>
      <c r="H141" s="139" t="str">
        <f>poduzeća!W137</f>
        <v>m-da</v>
      </c>
      <c r="I141" s="980" t="s">
        <v>1592</v>
      </c>
      <c r="J141" s="91"/>
      <c r="K141" s="91"/>
      <c r="L141" s="91"/>
      <c r="M141" s="566"/>
      <c r="N141" s="587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173"/>
      <c r="AA141" s="91"/>
      <c r="AB141" s="235"/>
      <c r="AC141" s="91"/>
      <c r="AD141" s="173"/>
      <c r="AE141" s="91"/>
      <c r="AF141" s="91"/>
      <c r="AG141" s="173"/>
      <c r="AH141" s="235"/>
      <c r="AI141" s="91"/>
      <c r="AJ141" s="236"/>
      <c r="AK141" s="91"/>
      <c r="AL141" s="91"/>
      <c r="AM141" s="173"/>
      <c r="AN141" s="173"/>
      <c r="AO141" s="91"/>
      <c r="AP141" s="173"/>
      <c r="AQ141" s="237"/>
      <c r="AR141" s="91"/>
      <c r="AS141" s="195"/>
      <c r="AT141" s="150"/>
      <c r="AU141" s="91"/>
      <c r="AV141" s="91"/>
    </row>
    <row r="142" spans="1:48">
      <c r="A142" s="88">
        <v>137</v>
      </c>
      <c r="B142" s="89" t="str">
        <f>VLOOKUP(Table17[[#This Row],[šifra]],Table6[],2,0)</f>
        <v>SU-KO CONSULTING d.o.o.</v>
      </c>
      <c r="C142" s="90">
        <f>VLOOKUP(Table17[[#This Row],[šifra]],Table6[],3,0)</f>
        <v>15</v>
      </c>
      <c r="D142" s="100" t="str">
        <f>VLOOKUP(Table17[[#This Row],[šifra]],Table6[],4,0)</f>
        <v>NIKOLINA</v>
      </c>
      <c r="E142" s="90" t="str">
        <f>VLOOKUP(Table17[[#This Row],[šifra]],Table6[],6,0)</f>
        <v>suko.consulting@gmail.com</v>
      </c>
      <c r="F142" s="90" t="str">
        <f>VLOOKUP(Table17[[#This Row],[šifra]],Table6[],11,0)</f>
        <v>ne</v>
      </c>
      <c r="G142" s="90" t="str">
        <f>VLOOKUP(Table17[[#This Row],[šifra]],Table6[],10,0)</f>
        <v>da</v>
      </c>
      <c r="H142" s="139" t="str">
        <f>poduzeća!W138</f>
        <v>da</v>
      </c>
      <c r="I142" s="980">
        <v>46140</v>
      </c>
      <c r="J142" s="91"/>
      <c r="K142" s="91"/>
      <c r="L142" s="91"/>
      <c r="M142" s="173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173"/>
      <c r="AA142" s="91"/>
      <c r="AB142" s="91"/>
      <c r="AC142" s="91"/>
      <c r="AD142" s="173"/>
      <c r="AE142" s="91"/>
      <c r="AF142" s="91"/>
      <c r="AG142" s="173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</row>
    <row r="143" spans="1:48">
      <c r="A143" s="88">
        <v>138</v>
      </c>
      <c r="B143" s="89" t="str">
        <f>VLOOKUP(Table17[[#This Row],[šifra]],Table6[],2,0)</f>
        <v xml:space="preserve">SUNREG / GRENECO d.o.o. </v>
      </c>
      <c r="C143" s="90">
        <f>VLOOKUP(Table17[[#This Row],[šifra]],Table6[],3,0)</f>
        <v>2</v>
      </c>
      <c r="D143" s="100" t="str">
        <f>VLOOKUP(Table17[[#This Row],[šifra]],Table6[],4,0)</f>
        <v>LAURA</v>
      </c>
      <c r="E143" s="90" t="str">
        <f>VLOOKUP(Table17[[#This Row],[šifra]],Table6[],6,0)</f>
        <v>sunergosdoo@gmail.com</v>
      </c>
      <c r="F143" s="90" t="str">
        <f>VLOOKUP(Table17[[#This Row],[šifra]],Table6[],11,0)</f>
        <v>da</v>
      </c>
      <c r="G143" s="90" t="str">
        <f>VLOOKUP(Table17[[#This Row],[šifra]],Table6[],10,0)</f>
        <v>da</v>
      </c>
      <c r="H143" s="139" t="str">
        <f>poduzeća!W139</f>
        <v>da</v>
      </c>
      <c r="I143" s="982"/>
      <c r="J143" s="625" t="s">
        <v>1364</v>
      </c>
      <c r="K143" s="586"/>
      <c r="L143" s="91"/>
      <c r="M143" s="238"/>
      <c r="N143" s="173"/>
      <c r="O143" s="91"/>
      <c r="P143" s="91"/>
      <c r="Q143" s="91"/>
      <c r="R143" s="91"/>
      <c r="S143" s="91"/>
      <c r="T143" s="91"/>
      <c r="U143" s="91"/>
      <c r="V143" s="173"/>
      <c r="W143" s="91"/>
      <c r="X143" s="91"/>
      <c r="Y143" s="173"/>
      <c r="Z143" s="173"/>
      <c r="AA143" s="91"/>
      <c r="AB143" s="91"/>
      <c r="AC143" s="173"/>
      <c r="AD143" s="173"/>
      <c r="AE143" s="91"/>
      <c r="AF143" s="173"/>
      <c r="AG143" s="173"/>
      <c r="AH143" s="91"/>
      <c r="AI143" s="173"/>
      <c r="AJ143" s="173"/>
      <c r="AK143" s="91"/>
      <c r="AL143" s="173"/>
      <c r="AM143" s="173"/>
      <c r="AN143" s="173"/>
      <c r="AO143" s="173"/>
      <c r="AP143" s="173"/>
      <c r="AQ143" s="91"/>
      <c r="AR143" s="91"/>
      <c r="AS143" s="91"/>
      <c r="AT143" s="91"/>
      <c r="AU143" s="91"/>
      <c r="AV143" s="91"/>
    </row>
    <row r="144" spans="1:48" ht="30">
      <c r="A144" s="88">
        <v>139</v>
      </c>
      <c r="B144" s="89" t="str">
        <f>VLOOKUP(Table17[[#This Row],[šifra]],Table6[],2,0)</f>
        <v>SUTRA-TECH d.o.o.</v>
      </c>
      <c r="C144" s="90">
        <f>VLOOKUP(Table17[[#This Row],[šifra]],Table6[],3,0)</f>
        <v>29</v>
      </c>
      <c r="D144" s="100" t="str">
        <f>VLOOKUP(Table17[[#This Row],[šifra]],Table6[],4,0)</f>
        <v>KP/MARKO</v>
      </c>
      <c r="E144" s="90" t="str">
        <f>VLOOKUP(Table17[[#This Row],[šifra]],Table6[],6,0)</f>
        <v>rev.tkiraly@gmail.com,
 vigyazo@yahoo.com</v>
      </c>
      <c r="F144" s="90" t="str">
        <f>VLOOKUP(Table17[[#This Row],[šifra]],Table6[],11,0)</f>
        <v>ne</v>
      </c>
      <c r="G144" s="90" t="str">
        <f>VLOOKUP(Table17[[#This Row],[šifra]],Table6[],10,0)</f>
        <v>da</v>
      </c>
      <c r="H144" s="139" t="str">
        <f>poduzeća!W140</f>
        <v>da</v>
      </c>
      <c r="I144" s="980" t="s">
        <v>1645</v>
      </c>
      <c r="J144" s="566"/>
      <c r="K144" s="566">
        <v>46029</v>
      </c>
      <c r="L144" s="91"/>
      <c r="M144" s="173"/>
      <c r="N144" s="173"/>
      <c r="O144" s="91"/>
      <c r="P144" s="91"/>
      <c r="Q144" s="91"/>
      <c r="R144" s="91"/>
      <c r="S144" s="91"/>
      <c r="T144" s="91"/>
      <c r="U144" s="91"/>
      <c r="V144" s="173"/>
      <c r="W144" s="173"/>
      <c r="X144" s="91"/>
      <c r="Y144" s="173"/>
      <c r="Z144" s="173"/>
      <c r="AA144" s="91"/>
      <c r="AB144" s="91"/>
      <c r="AC144" s="173"/>
      <c r="AD144" s="173"/>
      <c r="AE144" s="173"/>
      <c r="AF144" s="173"/>
      <c r="AG144" s="173"/>
      <c r="AH144" s="173"/>
      <c r="AI144" s="173"/>
      <c r="AJ144" s="173"/>
      <c r="AK144" s="91"/>
      <c r="AL144" s="204"/>
      <c r="AM144" s="173"/>
      <c r="AN144" s="173"/>
      <c r="AO144" s="173"/>
      <c r="AP144" s="173"/>
      <c r="AQ144" s="91"/>
      <c r="AR144" s="91"/>
      <c r="AS144" s="91"/>
      <c r="AT144" s="91"/>
      <c r="AU144" s="91"/>
      <c r="AV144" s="91"/>
    </row>
    <row r="145" spans="1:48">
      <c r="A145" s="88">
        <v>140</v>
      </c>
      <c r="B145" s="89" t="str">
        <f>VLOOKUP(Table17[[#This Row],[šifra]],Table6[],2,0)</f>
        <v>Sweet and Beauty j.d.o.o.</v>
      </c>
      <c r="C145" s="90">
        <f>VLOOKUP(Table17[[#This Row],[šifra]],Table6[],3,0)</f>
        <v>15</v>
      </c>
      <c r="D145" s="100" t="str">
        <f>VLOOKUP(Table17[[#This Row],[šifra]],Table6[],4,0)</f>
        <v>NIKOLINA</v>
      </c>
      <c r="E145" s="90" t="str">
        <f>VLOOKUP(Table17[[#This Row],[šifra]],Table6[],6,0)</f>
        <v>danijel.rota@gmail.com</v>
      </c>
      <c r="F145" s="90" t="str">
        <f>VLOOKUP(Table17[[#This Row],[šifra]],Table6[],11,0)</f>
        <v>ne</v>
      </c>
      <c r="G145" s="90" t="str">
        <f>VLOOKUP(Table17[[#This Row],[šifra]],Table6[],10,0)</f>
        <v>ne</v>
      </c>
      <c r="H145" s="139" t="str">
        <f>poduzeća!W141</f>
        <v>da</v>
      </c>
      <c r="I145" s="985"/>
      <c r="J145" s="173"/>
      <c r="K145" s="91"/>
      <c r="L145" s="91"/>
      <c r="M145" s="173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173"/>
      <c r="AE145" s="173"/>
      <c r="AF145" s="91"/>
      <c r="AG145" s="91"/>
      <c r="AH145" s="91"/>
      <c r="AI145" s="187"/>
      <c r="AJ145" s="91"/>
      <c r="AK145" s="91"/>
      <c r="AL145" s="173"/>
      <c r="AM145" s="173"/>
      <c r="AN145" s="173"/>
      <c r="AO145" s="173"/>
      <c r="AP145" s="91"/>
      <c r="AQ145" s="91"/>
      <c r="AR145" s="91"/>
      <c r="AS145" s="91"/>
      <c r="AT145" s="91"/>
      <c r="AU145" s="91"/>
      <c r="AV145" s="91"/>
    </row>
    <row r="146" spans="1:48">
      <c r="A146" s="88">
        <v>141</v>
      </c>
      <c r="B146" s="89" t="str">
        <f>VLOOKUP(Table17[[#This Row],[šifra]],Table6[],2,0)</f>
        <v>SZABÓ GYULA</v>
      </c>
      <c r="C146" s="90">
        <f>VLOOKUP(Table17[[#This Row],[šifra]],Table6[],3,0)</f>
        <v>11</v>
      </c>
      <c r="D146" s="100" t="str">
        <f>VLOOKUP(Table17[[#This Row],[šifra]],Table6[],4,0)</f>
        <v>GABRIJELA</v>
      </c>
      <c r="E146" s="90" t="str">
        <f>VLOOKUP(Table17[[#This Row],[šifra]],Table6[],6,0)</f>
        <v>Szabó Gyula &lt;jules67@t-online.hu&gt;</v>
      </c>
      <c r="F146" s="90" t="str">
        <f>VLOOKUP(Table17[[#This Row],[šifra]],Table6[],11,0)</f>
        <v>ne</v>
      </c>
      <c r="G146" s="90" t="str">
        <f>VLOOKUP(Table17[[#This Row],[šifra]],Table6[],10,0)</f>
        <v>da</v>
      </c>
      <c r="H146" s="139" t="str">
        <f>poduzeća!W142</f>
        <v>m-da</v>
      </c>
      <c r="I146" s="980" t="s">
        <v>1592</v>
      </c>
      <c r="J146" s="91"/>
      <c r="K146" s="91"/>
      <c r="L146" s="91"/>
      <c r="M146" s="566"/>
      <c r="N146" s="587"/>
      <c r="O146" s="91"/>
      <c r="P146" s="91"/>
      <c r="Q146" s="91"/>
      <c r="R146" s="91"/>
      <c r="S146" s="91"/>
      <c r="T146" s="91"/>
      <c r="U146" s="91"/>
      <c r="V146" s="91"/>
      <c r="W146" s="177"/>
      <c r="X146" s="91"/>
      <c r="Y146" s="173"/>
      <c r="Z146" s="173"/>
      <c r="AA146" s="91"/>
      <c r="AB146" s="91"/>
      <c r="AC146" s="91"/>
      <c r="AD146" s="173"/>
      <c r="AE146" s="91"/>
      <c r="AF146" s="91"/>
      <c r="AG146" s="173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</row>
    <row r="147" spans="1:48">
      <c r="A147" s="88">
        <v>142</v>
      </c>
      <c r="B147" s="89" t="str">
        <f>VLOOKUP(Table17[[#This Row],[šifra]],Table6[],2,0)</f>
        <v>SZATEFBAU Kft - podružnica</v>
      </c>
      <c r="C147" s="90">
        <f>VLOOKUP(Table17[[#This Row],[šifra]],Table6[],3,0)</f>
        <v>25</v>
      </c>
      <c r="D147" s="100" t="str">
        <f>VLOOKUP(Table17[[#This Row],[šifra]],Table6[],4,0)</f>
        <v>F. MARKO</v>
      </c>
      <c r="E147" s="90" t="str">
        <f>VLOOKUP(Table17[[#This Row],[šifra]],Table6[],6,0)</f>
        <v>szatefbaukft@gmail.com</v>
      </c>
      <c r="F147" s="90" t="str">
        <f>VLOOKUP(Table17[[#This Row],[šifra]],Table6[],11,0)</f>
        <v>ne</v>
      </c>
      <c r="G147" s="90" t="str">
        <f>VLOOKUP(Table17[[#This Row],[šifra]],Table6[],10,0)</f>
        <v>da</v>
      </c>
      <c r="H147" s="139" t="str">
        <f>poduzeća!W143</f>
        <v>F-DA</v>
      </c>
      <c r="I147" s="980" t="s">
        <v>1645</v>
      </c>
      <c r="J147" s="91"/>
      <c r="K147" s="173"/>
      <c r="L147" s="91"/>
      <c r="M147" s="227"/>
      <c r="N147" s="173"/>
      <c r="O147" s="91"/>
      <c r="P147" s="91"/>
      <c r="Q147" s="91"/>
      <c r="R147" s="91"/>
      <c r="S147" s="91"/>
      <c r="T147" s="91"/>
      <c r="U147" s="91"/>
      <c r="V147" s="173"/>
      <c r="W147" s="91"/>
      <c r="X147" s="177"/>
      <c r="Y147" s="173"/>
      <c r="Z147" s="91"/>
      <c r="AA147" s="91"/>
      <c r="AB147" s="91"/>
      <c r="AC147" s="173"/>
      <c r="AD147" s="173"/>
      <c r="AE147" s="91"/>
      <c r="AF147" s="173"/>
      <c r="AG147" s="173"/>
      <c r="AH147" s="91"/>
      <c r="AI147" s="173"/>
      <c r="AJ147" s="173"/>
      <c r="AK147" s="91"/>
      <c r="AL147" s="173"/>
      <c r="AM147" s="173"/>
      <c r="AN147" s="91"/>
      <c r="AO147" s="173"/>
      <c r="AP147" s="91"/>
      <c r="AQ147" s="91"/>
      <c r="AR147" s="91"/>
      <c r="AS147" s="91"/>
      <c r="AT147" s="91"/>
      <c r="AU147" s="91"/>
      <c r="AV147" s="91"/>
    </row>
    <row r="148" spans="1:48" ht="45">
      <c r="A148" s="88">
        <v>143</v>
      </c>
      <c r="B148" s="89" t="str">
        <f>VLOOKUP(Table17[[#This Row],[šifra]],Table6[],2,0)</f>
        <v>Šibenik Shine d.o.o.</v>
      </c>
      <c r="C148" s="90">
        <f>VLOOKUP(Table17[[#This Row],[šifra]],Table6[],3,0)</f>
        <v>15</v>
      </c>
      <c r="D148" s="100" t="str">
        <f>VLOOKUP(Table17[[#This Row],[šifra]],Table6[],4,0)</f>
        <v>NIKOLINA</v>
      </c>
      <c r="E148" s="90" t="str">
        <f>VLOOKUP(Table17[[#This Row],[šifra]],Table6[],6,0)</f>
        <v>csd@airon.hu 
urogi.zsolt@gmail.com,  
dt@airon.hu</v>
      </c>
      <c r="F148" s="90" t="str">
        <f>VLOOKUP(Table17[[#This Row],[šifra]],Table6[],11,0)</f>
        <v>ne</v>
      </c>
      <c r="G148" s="90" t="str">
        <f>VLOOKUP(Table17[[#This Row],[šifra]],Table6[],10,0)</f>
        <v>ne</v>
      </c>
      <c r="H148" s="139" t="str">
        <f>poduzeća!W144</f>
        <v>da</v>
      </c>
      <c r="I148" s="985"/>
      <c r="J148" s="91"/>
      <c r="K148" s="91"/>
      <c r="L148" s="173"/>
      <c r="M148" s="173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</row>
    <row r="149" spans="1:48" ht="75">
      <c r="A149" s="88">
        <v>144</v>
      </c>
      <c r="B149" s="89" t="str">
        <f>VLOOKUP(Table17[[#This Row],[šifra]],Table6[],2,0)</f>
        <v>TERRACLEAN GROUP KFT</v>
      </c>
      <c r="C149" s="90">
        <f>VLOOKUP(Table17[[#This Row],[šifra]],Table6[],3,0)</f>
        <v>15</v>
      </c>
      <c r="D149" s="100" t="str">
        <f>VLOOKUP(Table17[[#This Row],[šifra]],Table6[],4,0)</f>
        <v>NIKOLINA</v>
      </c>
      <c r="E149" s="90" t="str">
        <f>VLOOKUP(Table17[[#This Row],[šifra]],Table6[],6,0)</f>
        <v>nandor.gidofalvi@terraclean.hu
 norbert.nyolcas@terraclean.hu
norbert.nyolcaskallai@gmail.com
norbert.nyolcas@terraclean.hu, 
nandor.gidofalvi@gmail.com</v>
      </c>
      <c r="F149" s="90" t="str">
        <f>VLOOKUP(Table17[[#This Row],[šifra]],Table6[],11,0)</f>
        <v>ne</v>
      </c>
      <c r="G149" s="90" t="str">
        <f>VLOOKUP(Table17[[#This Row],[šifra]],Table6[],10,0)</f>
        <v>da</v>
      </c>
      <c r="H149" s="139" t="str">
        <f>poduzeća!W145</f>
        <v>da</v>
      </c>
      <c r="I149" s="992"/>
      <c r="J149" s="91"/>
      <c r="K149" s="91"/>
      <c r="L149" s="91"/>
      <c r="M149" s="173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</row>
    <row r="150" spans="1:48" ht="60">
      <c r="A150" s="88">
        <v>145</v>
      </c>
      <c r="B150" s="89" t="str">
        <f>VLOOKUP(Table17[[#This Row],[šifra]],Table6[],2,0)</f>
        <v>TERRAMARE OBRT. Tunde odor</v>
      </c>
      <c r="C150" s="90">
        <f>VLOOKUP(Table17[[#This Row],[šifra]],Table6[],3,0)</f>
        <v>10</v>
      </c>
      <c r="D150" s="100" t="str">
        <f>VLOOKUP(Table17[[#This Row],[šifra]],Table6[],4,0)</f>
        <v>MAJA</v>
      </c>
      <c r="E150" s="90" t="str">
        <f>VLOOKUP(Table17[[#This Row],[šifra]],Table6[],6,0)</f>
        <v>ArtShop TerraMare &lt;terramareartshop@gmail.com&gt;
 Tünde Ódor &lt;odor.tunde.eneh@gmail.com&gt;</v>
      </c>
      <c r="F150" s="90" t="str">
        <f>VLOOKUP(Table17[[#This Row],[šifra]],Table6[],11,0)</f>
        <v>ne</v>
      </c>
      <c r="G150" s="90" t="str">
        <f>VLOOKUP(Table17[[#This Row],[šifra]],Table6[],10,0)</f>
        <v>ne</v>
      </c>
      <c r="H150" s="139" t="str">
        <f>poduzeća!W146</f>
        <v>m-da</v>
      </c>
      <c r="I150" s="987" t="s">
        <v>1632</v>
      </c>
      <c r="J150" s="173"/>
      <c r="K150" s="173"/>
      <c r="L150" s="91"/>
      <c r="M150" s="566"/>
      <c r="N150" s="566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173"/>
      <c r="AD150" s="173"/>
      <c r="AE150" s="91"/>
      <c r="AF150" s="173"/>
      <c r="AG150" s="173"/>
      <c r="AH150" s="91"/>
      <c r="AI150" s="187"/>
      <c r="AJ150" s="173"/>
      <c r="AK150" s="91"/>
      <c r="AL150" s="173"/>
      <c r="AM150" s="173"/>
      <c r="AN150" s="228"/>
      <c r="AO150" s="173"/>
      <c r="AP150" s="173"/>
      <c r="AQ150" s="91"/>
      <c r="AR150" s="91"/>
      <c r="AS150" s="91"/>
      <c r="AT150" s="91"/>
      <c r="AU150" s="91"/>
      <c r="AV150" s="91"/>
    </row>
    <row r="151" spans="1:48" ht="16.5" customHeight="1">
      <c r="A151" s="88">
        <v>146</v>
      </c>
      <c r="B151" s="89" t="str">
        <f>VLOOKUP(Table17[[#This Row],[šifra]],Table6[],2,0)</f>
        <v>Tesla Energy Technologies j.d.o.o.</v>
      </c>
      <c r="C151" s="90">
        <f>VLOOKUP(Table17[[#This Row],[šifra]],Table6[],3,0)</f>
        <v>9</v>
      </c>
      <c r="D151" s="100" t="str">
        <f>VLOOKUP(Table17[[#This Row],[šifra]],Table6[],4,0)</f>
        <v>SANDRA</v>
      </c>
      <c r="E151" s="90" t="str">
        <f>VLOOKUP(Table17[[#This Row],[šifra]],Table6[],6,0)</f>
        <v>DKATUSIC13@GMAIL.COM; 
info@teslaenergytechnologies.com</v>
      </c>
      <c r="F151" s="90" t="str">
        <f>VLOOKUP(Table17[[#This Row],[šifra]],Table6[],11,0)</f>
        <v>ne</v>
      </c>
      <c r="G151" s="90" t="str">
        <f>VLOOKUP(Table17[[#This Row],[šifra]],Table6[],10,0)</f>
        <v>da</v>
      </c>
      <c r="H151" s="139" t="str">
        <f>poduzeća!W147</f>
        <v>da</v>
      </c>
      <c r="I151" s="980" t="s">
        <v>1989</v>
      </c>
      <c r="J151" s="91"/>
      <c r="K151" s="91"/>
      <c r="L151" s="91"/>
      <c r="M151" s="173"/>
      <c r="N151" s="91"/>
      <c r="O151" s="91"/>
      <c r="P151" s="91"/>
      <c r="Q151" s="91"/>
      <c r="R151" s="91"/>
      <c r="S151" s="173"/>
      <c r="T151" s="91"/>
      <c r="U151" s="91"/>
      <c r="V151" s="91"/>
      <c r="W151" s="91"/>
      <c r="X151" s="91"/>
      <c r="Y151" s="91"/>
      <c r="Z151" s="91"/>
      <c r="AA151" s="91"/>
      <c r="AB151" s="91"/>
      <c r="AC151" s="173"/>
      <c r="AD151" s="91"/>
      <c r="AE151" s="91"/>
      <c r="AF151" s="173"/>
      <c r="AG151" s="91"/>
      <c r="AH151" s="91"/>
      <c r="AI151" s="173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</row>
    <row r="152" spans="1:48">
      <c r="A152" s="88">
        <v>147</v>
      </c>
      <c r="B152" s="89" t="str">
        <f>VLOOKUP(Table17[[#This Row],[šifra]],Table6[],2,0)</f>
        <v>Tom Karoserije j.d.o.o</v>
      </c>
      <c r="C152" s="90">
        <f>VLOOKUP(Table17[[#This Row],[šifra]],Table6[],3,0)</f>
        <v>0</v>
      </c>
      <c r="D152" s="100" t="str">
        <f>VLOOKUP(Table17[[#This Row],[šifra]],Table6[],4,0)</f>
        <v>NITKO</v>
      </c>
      <c r="E152" s="90" t="str">
        <f>VLOOKUP(Table17[[#This Row],[šifra]],Table6[],6,0)</f>
        <v>tomkaroserije@gmail.com</v>
      </c>
      <c r="F152" s="90" t="str">
        <f>VLOOKUP(Table17[[#This Row],[šifra]],Table6[],11,0)</f>
        <v>da</v>
      </c>
      <c r="G152" s="90" t="str">
        <f>VLOOKUP(Table17[[#This Row],[šifra]],Table6[],10,0)</f>
        <v>da</v>
      </c>
      <c r="H152" s="139" t="str">
        <f>poduzeća!W148</f>
        <v>ne</v>
      </c>
      <c r="I152" s="980"/>
      <c r="J152" s="91"/>
      <c r="K152" s="91"/>
      <c r="L152" s="91"/>
      <c r="M152" s="173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</row>
    <row r="153" spans="1:48" ht="18" customHeight="1">
      <c r="A153" s="792">
        <v>148</v>
      </c>
      <c r="B153" s="89" t="str">
        <f>VLOOKUP(Table17[[#This Row],[šifra]],Table6[],2,0)</f>
        <v>TOTH PETER</v>
      </c>
      <c r="C153" s="90">
        <f>VLOOKUP(Table17[[#This Row],[šifra]],Table6[],3,0)</f>
        <v>10</v>
      </c>
      <c r="D153" s="100" t="str">
        <f>VLOOKUP(Table17[[#This Row],[šifra]],Table6[],4,0)</f>
        <v>MAJA</v>
      </c>
      <c r="E153" s="90" t="str">
        <f>VLOOKUP(Table17[[#This Row],[šifra]],Table6[],6,0)</f>
        <v>toth.peter.vis@gmail.com</v>
      </c>
      <c r="F153" s="90" t="str">
        <f>VLOOKUP(Table17[[#This Row],[šifra]],Table6[],11,0)</f>
        <v>ne</v>
      </c>
      <c r="G153" s="90" t="str">
        <f>VLOOKUP(Table17[[#This Row],[šifra]],Table6[],10,0)</f>
        <v>da</v>
      </c>
      <c r="H153" s="139" t="str">
        <f>poduzeća!W149</f>
        <v>m-da</v>
      </c>
      <c r="I153" s="983" t="s">
        <v>1690</v>
      </c>
      <c r="J153" s="91"/>
      <c r="K153" s="91"/>
      <c r="L153" s="91"/>
      <c r="M153" s="566"/>
      <c r="N153" s="567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</row>
    <row r="154" spans="1:48" ht="14.25" customHeight="1">
      <c r="A154" s="88">
        <v>149</v>
      </c>
      <c r="B154" s="807" t="str">
        <f>VLOOKUP(Table17[[#This Row],[šifra]],Table6[],2,0)</f>
        <v>Trading house d.o.o.</v>
      </c>
      <c r="C154" s="90">
        <f>VLOOKUP(Table17[[#This Row],[šifra]],Table6[],3,0)</f>
        <v>5</v>
      </c>
      <c r="D154" s="100" t="str">
        <f>VLOOKUP(Table17[[#This Row],[šifra]],Table6[],4,0)</f>
        <v>KP/LAURA</v>
      </c>
      <c r="E154" s="90" t="str">
        <f>VLOOKUP(Table17[[#This Row],[šifra]],Table6[],6,0)</f>
        <v>tradinghousedoo@protonmail.com</v>
      </c>
      <c r="F154" s="90" t="str">
        <f>VLOOKUP(Table17[[#This Row],[šifra]],Table6[],11,0)</f>
        <v>ne</v>
      </c>
      <c r="G154" s="90" t="str">
        <f>VLOOKUP(Table17[[#This Row],[šifra]],Table6[],10,0)</f>
        <v>da</v>
      </c>
      <c r="H154" s="139" t="str">
        <f>poduzeća!W150</f>
        <v>da</v>
      </c>
      <c r="I154" s="987" t="s">
        <v>2004</v>
      </c>
      <c r="J154" s="173"/>
      <c r="K154" s="91"/>
      <c r="L154" s="91"/>
      <c r="M154" s="566"/>
      <c r="N154" s="567"/>
      <c r="O154" s="91"/>
      <c r="P154" s="173"/>
      <c r="Q154" s="91"/>
      <c r="R154" s="91"/>
      <c r="S154" s="91"/>
      <c r="T154" s="91"/>
      <c r="U154" s="91"/>
      <c r="V154" s="91"/>
      <c r="W154" s="91"/>
      <c r="X154" s="91"/>
      <c r="Y154" s="173"/>
      <c r="Z154" s="91"/>
      <c r="AA154" s="91"/>
      <c r="AB154" s="91"/>
      <c r="AC154" s="173"/>
      <c r="AD154" s="91"/>
      <c r="AE154" s="129"/>
      <c r="AF154" s="177"/>
      <c r="AG154" s="91"/>
      <c r="AH154" s="91"/>
      <c r="AI154" s="173"/>
      <c r="AJ154" s="91"/>
      <c r="AK154" s="91"/>
      <c r="AL154" s="173"/>
      <c r="AM154" s="91"/>
      <c r="AN154" s="91"/>
      <c r="AO154" s="239"/>
      <c r="AP154" s="91"/>
      <c r="AQ154" s="91"/>
      <c r="AR154" s="173"/>
      <c r="AS154" s="91"/>
      <c r="AT154" s="91"/>
      <c r="AU154" s="91"/>
      <c r="AV154" s="91"/>
    </row>
    <row r="155" spans="1:48">
      <c r="A155" s="88">
        <v>150</v>
      </c>
      <c r="B155" s="89" t="str">
        <f>VLOOKUP(Table17[[#This Row],[šifra]],Table6[],2,0)</f>
        <v>TRGO-KOP d.o.o.</v>
      </c>
      <c r="C155" s="90">
        <f>VLOOKUP(Table17[[#This Row],[šifra]],Table6[],3,0)</f>
        <v>6</v>
      </c>
      <c r="D155" s="100" t="str">
        <f>VLOOKUP(Table17[[#This Row],[šifra]],Table6[],4,0)</f>
        <v>F. ANA P.</v>
      </c>
      <c r="E155" s="90" t="str">
        <f>VLOOKUP(Table17[[#This Row],[šifra]],Table6[],6,0)</f>
        <v>mbaban@trgokop.com</v>
      </c>
      <c r="F155" s="90" t="str">
        <f>VLOOKUP(Table17[[#This Row],[šifra]],Table6[],11,0)</f>
        <v>da</v>
      </c>
      <c r="G155" s="90" t="str">
        <f>VLOOKUP(Table17[[#This Row],[šifra]],Table6[],10,0)</f>
        <v>da</v>
      </c>
      <c r="H155" s="139" t="str">
        <f>poduzeća!W151</f>
        <v>F-DA</v>
      </c>
      <c r="I155" s="992"/>
      <c r="J155" s="91"/>
      <c r="K155" s="91"/>
      <c r="L155" s="91"/>
      <c r="M155" s="173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</row>
    <row r="156" spans="1:48" ht="30">
      <c r="A156" s="88">
        <v>151</v>
      </c>
      <c r="B156" s="89" t="str">
        <f>VLOOKUP(Table17[[#This Row],[šifra]],Table6[],2,0)</f>
        <v>URAN APARTMENTS j.d.o.o.</v>
      </c>
      <c r="C156" s="90">
        <f>VLOOKUP(Table17[[#This Row],[šifra]],Table6[],3,0)</f>
        <v>2</v>
      </c>
      <c r="D156" s="100" t="str">
        <f>VLOOKUP(Table17[[#This Row],[šifra]],Table6[],4,0)</f>
        <v>LAURA</v>
      </c>
      <c r="E156" s="90" t="str">
        <f>VLOOKUP(Table17[[#This Row],[šifra]],Table6[],6,0)</f>
        <v>gelencsir Attila gelencserati@gmail.com</v>
      </c>
      <c r="F156" s="90" t="str">
        <f>VLOOKUP(Table17[[#This Row],[šifra]],Table6[],11,0)</f>
        <v>ne</v>
      </c>
      <c r="G156" s="90" t="str">
        <f>VLOOKUP(Table17[[#This Row],[šifra]],Table6[],10,0)</f>
        <v>da</v>
      </c>
      <c r="H156" s="139" t="str">
        <f>poduzeća!W152</f>
        <v>da</v>
      </c>
      <c r="I156" s="992" t="s">
        <v>1646</v>
      </c>
      <c r="J156" s="91"/>
      <c r="K156" s="91"/>
      <c r="L156" s="91"/>
      <c r="M156" s="173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</row>
    <row r="157" spans="1:48">
      <c r="A157" s="88">
        <v>152</v>
      </c>
      <c r="B157" s="89" t="str">
        <f>VLOOKUP(Table17[[#This Row],[šifra]],Table6[],2,0)</f>
        <v>VESNA franšizer</v>
      </c>
      <c r="C157" s="90">
        <f>VLOOKUP(Table17[[#This Row],[šifra]],Table6[],3,0)</f>
        <v>20</v>
      </c>
      <c r="D157" s="100" t="str">
        <f>VLOOKUP(Table17[[#This Row],[šifra]],Table6[],4,0)</f>
        <v>VESNA</v>
      </c>
      <c r="E157" s="90" t="str">
        <f>VLOOKUP(Table17[[#This Row],[šifra]],Table6[],6,0)</f>
        <v>vesna@d-invoice.hr</v>
      </c>
      <c r="F157" s="90" t="str">
        <f>VLOOKUP(Table17[[#This Row],[šifra]],Table6[],11,0)</f>
        <v>ne</v>
      </c>
      <c r="G157" s="90" t="str">
        <f>VLOOKUP(Table17[[#This Row],[šifra]],Table6[],10,0)</f>
        <v>ne</v>
      </c>
      <c r="H157" s="139" t="str">
        <f>poduzeća!W153</f>
        <v>ne</v>
      </c>
      <c r="I157" s="985"/>
      <c r="J157" s="567"/>
      <c r="K157" s="567"/>
      <c r="L157" s="91"/>
      <c r="M157" s="173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</row>
    <row r="158" spans="1:48" ht="30">
      <c r="A158" s="792">
        <v>153</v>
      </c>
      <c r="B158" s="793" t="str">
        <f>VLOOKUP(Table17[[#This Row],[šifra]],Table6[],2,0)</f>
        <v>VIKTOR BENCZE</v>
      </c>
      <c r="C158" s="90">
        <f>VLOOKUP(Table17[[#This Row],[šifra]],Table6[],3,0)</f>
        <v>5</v>
      </c>
      <c r="D158" s="100" t="str">
        <f>VLOOKUP(Table17[[#This Row],[šifra]],Table6[],4,0)</f>
        <v>KP/LAURA</v>
      </c>
      <c r="E158" s="90" t="str">
        <f>VLOOKUP(Table17[[#This Row],[šifra]],Table6[],6,0)</f>
        <v>Vktor Bencze &lt;benczewiktor@gmail.com&gt;</v>
      </c>
      <c r="F158" s="90" t="str">
        <f>VLOOKUP(Table17[[#This Row],[šifra]],Table6[],11,0)</f>
        <v>ne</v>
      </c>
      <c r="G158" s="90" t="str">
        <f>VLOOKUP(Table17[[#This Row],[šifra]],Table6[],10,0)</f>
        <v>da</v>
      </c>
      <c r="H158" s="139" t="str">
        <f>poduzeća!W154</f>
        <v>m-da</v>
      </c>
      <c r="I158" s="983" t="s">
        <v>1590</v>
      </c>
      <c r="J158" s="91"/>
      <c r="K158" s="91"/>
      <c r="L158" s="91"/>
      <c r="M158" s="566"/>
      <c r="N158" s="567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173"/>
      <c r="AK158" s="91"/>
      <c r="AL158" s="91"/>
      <c r="AM158" s="232"/>
      <c r="AN158" s="226"/>
      <c r="AO158" s="91"/>
      <c r="AP158" s="173"/>
      <c r="AQ158" s="173"/>
      <c r="AR158" s="91"/>
      <c r="AS158" s="195"/>
      <c r="AT158" s="173"/>
      <c r="AU158" s="91"/>
      <c r="AV158" s="91"/>
    </row>
    <row r="159" spans="1:48" ht="15" customHeight="1">
      <c r="A159" s="88">
        <v>154</v>
      </c>
      <c r="B159" s="809" t="str">
        <f>VLOOKUP(Table17[[#This Row],[šifra]],Table6[],2,0)</f>
        <v>VILLAPARK PRIVLAKA d.o.o.</v>
      </c>
      <c r="C159" s="90">
        <f>VLOOKUP(Table17[[#This Row],[šifra]],Table6[],3,0)</f>
        <v>5</v>
      </c>
      <c r="D159" s="100" t="str">
        <f>VLOOKUP(Table17[[#This Row],[šifra]],Table6[],4,0)</f>
        <v>KP/LAURA</v>
      </c>
      <c r="E159" s="90" t="str">
        <f>VLOOKUP(Table17[[#This Row],[šifra]],Table6[],6,0)</f>
        <v>NEMES ATTILA / ZOLTAN PINETA</v>
      </c>
      <c r="F159" s="90" t="str">
        <f>VLOOKUP(Table17[[#This Row],[šifra]],Table6[],11,0)</f>
        <v>ne</v>
      </c>
      <c r="G159" s="90" t="str">
        <f>VLOOKUP(Table17[[#This Row],[šifra]],Table6[],10,0)</f>
        <v>da</v>
      </c>
      <c r="H159" s="139" t="str">
        <f>poduzeća!W155</f>
        <v>da</v>
      </c>
      <c r="I159" s="980" t="s">
        <v>1692</v>
      </c>
      <c r="J159" s="567"/>
      <c r="K159" s="566">
        <v>46041</v>
      </c>
      <c r="L159" s="91"/>
      <c r="M159" s="566"/>
      <c r="N159" s="567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173"/>
      <c r="AH159" s="91"/>
      <c r="AI159" s="91"/>
      <c r="AJ159" s="173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</row>
    <row r="160" spans="1:48">
      <c r="A160" s="88">
        <v>155</v>
      </c>
      <c r="B160" s="89" t="str">
        <f>VLOOKUP(Table17[[#This Row],[šifra]],Table6[],2,0)</f>
        <v>Vital Group d.o.o.</v>
      </c>
      <c r="C160" s="90">
        <f>VLOOKUP(Table17[[#This Row],[šifra]],Table6[],3,0)</f>
        <v>15</v>
      </c>
      <c r="D160" s="100" t="str">
        <f>VLOOKUP(Table17[[#This Row],[šifra]],Table6[],4,0)</f>
        <v>NIKOLINA</v>
      </c>
      <c r="E160" s="90" t="str">
        <f>VLOOKUP(Table17[[#This Row],[šifra]],Table6[],6,0)</f>
        <v>vital.group.osijek@gmail.com</v>
      </c>
      <c r="F160" s="90" t="str">
        <f>VLOOKUP(Table17[[#This Row],[šifra]],Table6[],11,0)</f>
        <v>da</v>
      </c>
      <c r="G160" s="90" t="str">
        <f>VLOOKUP(Table17[[#This Row],[šifra]],Table6[],10,0)</f>
        <v>da</v>
      </c>
      <c r="H160" s="139" t="str">
        <f>poduzeća!W156</f>
        <v>da</v>
      </c>
      <c r="I160" s="992" t="s">
        <v>1669</v>
      </c>
      <c r="J160" s="91"/>
      <c r="K160" s="91"/>
      <c r="L160" s="91"/>
      <c r="M160" s="173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ht="15.75" customHeight="1">
      <c r="A161" s="88">
        <v>156</v>
      </c>
      <c r="B161" s="89" t="str">
        <f>VLOOKUP(Table17[[#This Row],[šifra]],Table6[],2,0)</f>
        <v>VivaPalazzo d.o.o.</v>
      </c>
      <c r="C161" s="90">
        <f>VLOOKUP(Table17[[#This Row],[šifra]],Table6[],3,0)</f>
        <v>23</v>
      </c>
      <c r="D161" s="100" t="str">
        <f>VLOOKUP(Table17[[#This Row],[šifra]],Table6[],4,0)</f>
        <v>MARKO</v>
      </c>
      <c r="E161" s="90" t="str">
        <f>VLOOKUP(Table17[[#This Row],[šifra]],Table6[],6,0)</f>
        <v>Kapitány Zoltán &lt;kapitany.zoltan@vivapalazzo.hu&gt;; Háklár László &lt;haklar.laszlo@fensthermkontakt.hu&gt;? Kis-Simon Gábor &lt;kis-simon.gabor@vivapalazzo.hu&gt;
Háklár László
Fenstherm Kontakt Kft
+36 20 3610483</v>
      </c>
      <c r="F161" s="90" t="str">
        <f>VLOOKUP(Table17[[#This Row],[šifra]],Table6[],11,0)</f>
        <v>da</v>
      </c>
      <c r="G161" s="90" t="str">
        <f>VLOOKUP(Table17[[#This Row],[šifra]],Table6[],10,0)</f>
        <v>da</v>
      </c>
      <c r="H161" s="139" t="str">
        <f>poduzeća!W157</f>
        <v>da</v>
      </c>
      <c r="I161" s="980" t="s">
        <v>1645</v>
      </c>
      <c r="J161" s="91"/>
      <c r="K161" s="91"/>
      <c r="L161" s="91"/>
      <c r="M161" s="173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173"/>
      <c r="AA161" s="91"/>
      <c r="AB161" s="198"/>
      <c r="AC161" s="91"/>
      <c r="AD161" s="91"/>
      <c r="AE161" s="91"/>
      <c r="AF161" s="91"/>
      <c r="AG161" s="240"/>
      <c r="AH161" s="173"/>
      <c r="AI161" s="91"/>
      <c r="AJ161" s="236"/>
      <c r="AK161" s="91"/>
      <c r="AL161" s="91"/>
      <c r="AM161" s="232"/>
      <c r="AN161" s="173"/>
      <c r="AO161" s="91"/>
      <c r="AP161" s="91"/>
      <c r="AQ161" s="91"/>
      <c r="AR161" s="91"/>
      <c r="AS161" s="91"/>
      <c r="AT161" s="91"/>
      <c r="AU161" s="91"/>
      <c r="AV161" s="91"/>
    </row>
    <row r="162" spans="1:48" ht="18" customHeight="1">
      <c r="A162" s="88">
        <v>157</v>
      </c>
      <c r="B162" s="89" t="str">
        <f>VLOOKUP(Table17[[#This Row],[šifra]],Table6[],2,0)</f>
        <v>Vižlin d.o.o.</v>
      </c>
      <c r="C162" s="90">
        <f>VLOOKUP(Table17[[#This Row],[šifra]],Table6[],3,0)</f>
        <v>15</v>
      </c>
      <c r="D162" s="100" t="str">
        <f>VLOOKUP(Table17[[#This Row],[šifra]],Table6[],4,0)</f>
        <v>NIKOLINA</v>
      </c>
      <c r="E162" s="90" t="str">
        <f>VLOOKUP(Table17[[#This Row],[šifra]],Table6[],6,0)</f>
        <v>info@vizlin.hr</v>
      </c>
      <c r="F162" s="90" t="str">
        <f>VLOOKUP(Table17[[#This Row],[šifra]],Table6[],11,0)</f>
        <v>ne</v>
      </c>
      <c r="G162" s="90" t="str">
        <f>VLOOKUP(Table17[[#This Row],[šifra]],Table6[],10,0)</f>
        <v>da</v>
      </c>
      <c r="H162" s="139" t="str">
        <f>poduzeća!W158</f>
        <v>da</v>
      </c>
      <c r="I162" s="985"/>
      <c r="J162" s="91"/>
      <c r="K162" s="91"/>
      <c r="L162" s="173"/>
      <c r="M162" s="173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173"/>
      <c r="AK162" s="173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</row>
    <row r="163" spans="1:48">
      <c r="A163" s="88">
        <v>158</v>
      </c>
      <c r="B163" s="89" t="str">
        <f>VLOOKUP(Table17[[#This Row],[šifra]],Table6[],2,0)</f>
        <v>VOGEL PROJEKT d.o.o.</v>
      </c>
      <c r="C163" s="90">
        <f>VLOOKUP(Table17[[#This Row],[šifra]],Table6[],3,0)</f>
        <v>6</v>
      </c>
      <c r="D163" s="100" t="str">
        <f>VLOOKUP(Table17[[#This Row],[šifra]],Table6[],4,0)</f>
        <v>F. ANA P.</v>
      </c>
      <c r="E163" s="90" t="str">
        <f>VLOOKUP(Table17[[#This Row],[šifra]],Table6[],6,0)</f>
        <v>vogelprojekt.hr@gmail.com</v>
      </c>
      <c r="F163" s="90" t="str">
        <f>VLOOKUP(Table17[[#This Row],[šifra]],Table6[],11,0)</f>
        <v>da</v>
      </c>
      <c r="G163" s="90" t="str">
        <f>VLOOKUP(Table17[[#This Row],[šifra]],Table6[],10,0)</f>
        <v>da</v>
      </c>
      <c r="H163" s="139" t="str">
        <f>poduzeća!W159</f>
        <v>F-DA</v>
      </c>
      <c r="I163" s="980" t="s">
        <v>1647</v>
      </c>
      <c r="J163" s="173"/>
      <c r="K163" s="173"/>
      <c r="L163" s="91"/>
      <c r="M163" s="173"/>
      <c r="N163" s="173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173"/>
      <c r="AJ163" s="173"/>
      <c r="AK163" s="91"/>
      <c r="AL163" s="173"/>
      <c r="AM163" s="173"/>
      <c r="AN163" s="91"/>
      <c r="AO163" s="173"/>
      <c r="AP163" s="91"/>
      <c r="AQ163" s="91"/>
      <c r="AR163" s="173"/>
      <c r="AS163" s="91"/>
      <c r="AT163" s="91"/>
      <c r="AU163" s="91"/>
      <c r="AV163" s="91"/>
    </row>
    <row r="164" spans="1:48" ht="30">
      <c r="A164" s="88">
        <v>159</v>
      </c>
      <c r="B164" s="89" t="str">
        <f>VLOOKUP(Table17[[#This Row],[šifra]],Table6[],2,0)</f>
        <v>VR CONSULTING d.o.o. - po naplaćenoj</v>
      </c>
      <c r="C164" s="90">
        <f>VLOOKUP(Table17[[#This Row],[šifra]],Table6[],3,0)</f>
        <v>7</v>
      </c>
      <c r="D164" s="100" t="str">
        <f>VLOOKUP(Table17[[#This Row],[šifra]],Table6[],4,0)</f>
        <v>SJEDIŠTE</v>
      </c>
      <c r="E164" s="90" t="str">
        <f>VLOOKUP(Table17[[#This Row],[šifra]],Table6[],6,0)</f>
        <v>robert.verebi@vr-consulting.hr,
melissa.horvat21@gmail.com</v>
      </c>
      <c r="F164" s="90" t="str">
        <f>VLOOKUP(Table17[[#This Row],[šifra]],Table6[],11,0)</f>
        <v>da</v>
      </c>
      <c r="G164" s="90" t="str">
        <f>VLOOKUP(Table17[[#This Row],[šifra]],Table6[],10,0)</f>
        <v>da</v>
      </c>
      <c r="H164" s="139" t="str">
        <f>poduzeća!W160</f>
        <v>ne</v>
      </c>
      <c r="I164" s="985"/>
      <c r="J164" s="91"/>
      <c r="K164" s="91"/>
      <c r="L164" s="91"/>
      <c r="M164" s="173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173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</row>
    <row r="165" spans="1:48" ht="30">
      <c r="A165" s="88">
        <v>160</v>
      </c>
      <c r="B165" s="89" t="str">
        <f>VLOOKUP(Table17[[#This Row],[šifra]],Table6[],2,0)</f>
        <v>VR-INVEST d.o.o.</v>
      </c>
      <c r="C165" s="90">
        <f>VLOOKUP(Table17[[#This Row],[šifra]],Table6[],3,0)</f>
        <v>7</v>
      </c>
      <c r="D165" s="100" t="str">
        <f>VLOOKUP(Table17[[#This Row],[šifra]],Table6[],4,0)</f>
        <v>SJEDIŠTE</v>
      </c>
      <c r="E165" s="90" t="str">
        <f>VLOOKUP(Table17[[#This Row],[šifra]],Table6[],6,0)</f>
        <v xml:space="preserve">Verebi Robert' &lt;robert.verebi@vr-consulting.hr&gt;, </v>
      </c>
      <c r="F165" s="90" t="str">
        <f>VLOOKUP(Table17[[#This Row],[šifra]],Table6[],11,0)</f>
        <v>ne</v>
      </c>
      <c r="G165" s="90" t="str">
        <f>VLOOKUP(Table17[[#This Row],[šifra]],Table6[],10,0)</f>
        <v>da</v>
      </c>
      <c r="H165" s="139" t="str">
        <f>poduzeća!W161</f>
        <v>ne</v>
      </c>
      <c r="I165" s="980"/>
      <c r="J165" s="91"/>
      <c r="K165" s="91"/>
      <c r="L165" s="91"/>
      <c r="M165" s="173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</row>
    <row r="166" spans="1:48" ht="45">
      <c r="A166" s="88">
        <v>161</v>
      </c>
      <c r="B166" s="89" t="str">
        <f>VLOOKUP(Table17[[#This Row],[šifra]],Table6[],2,0)</f>
        <v>VR-NEKRETNINE d.o.o.</v>
      </c>
      <c r="C166" s="90">
        <f>VLOOKUP(Table17[[#This Row],[šifra]],Table6[],3,0)</f>
        <v>7</v>
      </c>
      <c r="D166" s="100" t="str">
        <f>VLOOKUP(Table17[[#This Row],[šifra]],Table6[],4,0)</f>
        <v>SJEDIŠTE</v>
      </c>
      <c r="E166" s="90" t="str">
        <f>VLOOKUP(Table17[[#This Row],[šifra]],Table6[],6,0)</f>
        <v>Verebi Robert' &lt;robert.verebi@vr-consulting.hr&gt;,
melissa.horvat21@gmail.com</v>
      </c>
      <c r="F166" s="90" t="str">
        <f>VLOOKUP(Table17[[#This Row],[šifra]],Table6[],11,0)</f>
        <v>ne</v>
      </c>
      <c r="G166" s="90" t="str">
        <f>VLOOKUP(Table17[[#This Row],[šifra]],Table6[],10,0)</f>
        <v>da</v>
      </c>
      <c r="H166" s="139" t="str">
        <f>poduzeća!W162</f>
        <v>ne</v>
      </c>
      <c r="I166" s="980"/>
      <c r="J166" s="91"/>
      <c r="K166" s="91"/>
      <c r="L166" s="91"/>
      <c r="M166" s="173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</row>
    <row r="167" spans="1:48" ht="45">
      <c r="A167" s="88">
        <v>162</v>
      </c>
      <c r="B167" s="89" t="str">
        <f>VLOOKUP(Table17[[#This Row],[šifra]],Table6[],2,0)</f>
        <v>VR - KRK d.o.o.</v>
      </c>
      <c r="C167" s="90">
        <f>VLOOKUP(Table17[[#This Row],[šifra]],Table6[],3,0)</f>
        <v>7</v>
      </c>
      <c r="D167" s="100" t="str">
        <f>VLOOKUP(Table17[[#This Row],[šifra]],Table6[],4,0)</f>
        <v>SJEDIŠTE</v>
      </c>
      <c r="E167" s="90" t="str">
        <f>VLOOKUP(Table17[[#This Row],[šifra]],Table6[],6,0)</f>
        <v>robert.verebi@vr-consulting.hr,melissa.horvat21@gmail.com</v>
      </c>
      <c r="F167" s="90" t="str">
        <f>VLOOKUP(Table17[[#This Row],[šifra]],Table6[],11,0)</f>
        <v>da</v>
      </c>
      <c r="G167" s="90" t="str">
        <f>VLOOKUP(Table17[[#This Row],[šifra]],Table6[],10,0)</f>
        <v>da</v>
      </c>
      <c r="H167" s="139" t="str">
        <f>poduzeća!W163</f>
        <v>ne</v>
      </c>
      <c r="I167" s="980"/>
      <c r="J167" s="91"/>
      <c r="K167" s="91"/>
      <c r="L167" s="91"/>
      <c r="M167" s="173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198"/>
      <c r="Z167" s="196"/>
      <c r="AA167" s="91"/>
      <c r="AB167" s="241"/>
      <c r="AC167" s="91"/>
      <c r="AD167" s="242"/>
      <c r="AE167" s="91"/>
      <c r="AF167" s="91"/>
      <c r="AG167" s="243"/>
      <c r="AH167" s="91"/>
      <c r="AI167" s="91"/>
      <c r="AJ167" s="243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</row>
    <row r="168" spans="1:48" ht="30">
      <c r="A168" s="88">
        <v>163</v>
      </c>
      <c r="B168" s="89" t="str">
        <f>VLOOKUP(Table17[[#This Row],[šifra]],Table6[],2,0)</f>
        <v>VT - INVEST d.o.o.</v>
      </c>
      <c r="C168" s="90">
        <f>VLOOKUP(Table17[[#This Row],[šifra]],Table6[],3,0)</f>
        <v>11</v>
      </c>
      <c r="D168" s="100" t="str">
        <f>VLOOKUP(Table17[[#This Row],[šifra]],Table6[],4,0)</f>
        <v>GABRIJELA</v>
      </c>
      <c r="E168" s="90" t="str">
        <f>VLOOKUP(Table17[[#This Row],[šifra]],Table6[],6,0)</f>
        <v>vtinvest2025@gmail.com
buday.santha@gmail.com ZSOMBOR</v>
      </c>
      <c r="F168" s="90" t="str">
        <f>VLOOKUP(Table17[[#This Row],[šifra]],Table6[],11,0)</f>
        <v>ne</v>
      </c>
      <c r="G168" s="90" t="str">
        <f>VLOOKUP(Table17[[#This Row],[šifra]],Table6[],10,0)</f>
        <v>ne</v>
      </c>
      <c r="H168" s="139" t="str">
        <f>poduzeća!W164</f>
        <v>da</v>
      </c>
      <c r="I168" s="980">
        <v>46142</v>
      </c>
      <c r="J168" s="91"/>
      <c r="K168" s="91"/>
      <c r="L168" s="91"/>
      <c r="M168" s="173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173"/>
      <c r="AQ168" s="91"/>
      <c r="AR168" s="91"/>
      <c r="AS168" s="91"/>
      <c r="AT168" s="91"/>
      <c r="AU168" s="91"/>
      <c r="AV168" s="91"/>
    </row>
    <row r="169" spans="1:48">
      <c r="A169" s="88">
        <v>164</v>
      </c>
      <c r="B169" s="89" t="str">
        <f>VLOOKUP(Table17[[#This Row],[šifra]],Table6[],2,0)</f>
        <v>VVK BIJELO PLAVI</v>
      </c>
      <c r="C169" s="90">
        <f>VLOOKUP(Table17[[#This Row],[šifra]],Table6[],3,0)</f>
        <v>9</v>
      </c>
      <c r="D169" s="100" t="str">
        <f>VLOOKUP(Table17[[#This Row],[šifra]],Table6[],4,0)</f>
        <v>SANDRA</v>
      </c>
      <c r="E169" s="90" t="str">
        <f>VLOOKUP(Table17[[#This Row],[šifra]],Table6[],6,0)</f>
        <v>nikica.boduljak@gmail.com</v>
      </c>
      <c r="F169" s="90" t="str">
        <f>VLOOKUP(Table17[[#This Row],[šifra]],Table6[],11,0)</f>
        <v>ne</v>
      </c>
      <c r="G169" s="90" t="str">
        <f>VLOOKUP(Table17[[#This Row],[šifra]],Table6[],10,0)</f>
        <v>ne</v>
      </c>
      <c r="H169" s="139" t="str">
        <f>poduzeća!W165</f>
        <v>m-da</v>
      </c>
      <c r="I169" s="980" t="s">
        <v>1633</v>
      </c>
      <c r="J169" s="91"/>
      <c r="K169" s="91"/>
      <c r="L169" s="91"/>
      <c r="M169" s="173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173"/>
      <c r="AK169" s="91"/>
      <c r="AL169" s="173"/>
      <c r="AM169" s="173"/>
      <c r="AN169" s="91"/>
      <c r="AO169" s="173"/>
      <c r="AP169" s="173"/>
      <c r="AQ169" s="91"/>
      <c r="AR169" s="91"/>
      <c r="AS169" s="173"/>
      <c r="AT169" s="91"/>
      <c r="AU169" s="91"/>
      <c r="AV169" s="91"/>
    </row>
    <row r="170" spans="1:48" ht="16.5" customHeight="1">
      <c r="A170" s="88">
        <v>165</v>
      </c>
      <c r="B170" s="858" t="str">
        <f>VLOOKUP(Table17[[#This Row],[šifra]],Table6[],2,0)</f>
        <v>WESTLAKE YACHT CHARTER d.o.o.</v>
      </c>
      <c r="C170" s="90">
        <f>VLOOKUP(Table17[[#This Row],[šifra]],Table6[],3,0)</f>
        <v>23</v>
      </c>
      <c r="D170" s="100" t="str">
        <f>VLOOKUP(Table17[[#This Row],[šifra]],Table6[],4,0)</f>
        <v>MARKO</v>
      </c>
      <c r="E170" s="90" t="str">
        <f>VLOOKUP(Table17[[#This Row],[šifra]],Table6[],6,0)</f>
        <v>robertmuszka90@gmail.com, 
westlakeceegroup@gmail.com</v>
      </c>
      <c r="F170" s="90" t="str">
        <f>VLOOKUP(Table17[[#This Row],[šifra]],Table6[],11,0)</f>
        <v>ne</v>
      </c>
      <c r="G170" s="90" t="str">
        <f>VLOOKUP(Table17[[#This Row],[šifra]],Table6[],10,0)</f>
        <v>da</v>
      </c>
      <c r="H170" s="139" t="str">
        <f>poduzeća!W166</f>
        <v>da</v>
      </c>
      <c r="I170" s="983"/>
      <c r="J170" s="91"/>
      <c r="K170" s="91"/>
      <c r="L170" s="218"/>
      <c r="M170" s="173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</row>
    <row r="171" spans="1:48" ht="15" customHeight="1">
      <c r="A171" s="88">
        <v>166</v>
      </c>
      <c r="B171" s="89" t="str">
        <f>VLOOKUP(Table17[[#This Row],[šifra]],Table6[],2,0)</f>
        <v>wine4all j.d.o.o.</v>
      </c>
      <c r="C171" s="90">
        <f>VLOOKUP(Table17[[#This Row],[šifra]],Table6[],3,0)</f>
        <v>25</v>
      </c>
      <c r="D171" s="100" t="str">
        <f>VLOOKUP(Table17[[#This Row],[šifra]],Table6[],4,0)</f>
        <v>F. MARKO</v>
      </c>
      <c r="E171" s="90" t="str">
        <f>VLOOKUP(Table17[[#This Row],[šifra]],Table6[],6,0)</f>
        <v>damir@all4wine.hr</v>
      </c>
      <c r="F171" s="90" t="str">
        <f>VLOOKUP(Table17[[#This Row],[šifra]],Table6[],11,0)</f>
        <v>da</v>
      </c>
      <c r="G171" s="90" t="str">
        <f>VLOOKUP(Table17[[#This Row],[šifra]],Table6[],10,0)</f>
        <v>ne</v>
      </c>
      <c r="H171" s="139" t="str">
        <f>poduzeća!W167</f>
        <v>da</v>
      </c>
      <c r="I171" s="987" t="s">
        <v>1648</v>
      </c>
      <c r="J171" s="91"/>
      <c r="K171" s="91"/>
      <c r="L171" s="91"/>
      <c r="M171" s="173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173"/>
      <c r="AQ171" s="91"/>
      <c r="AR171" s="91"/>
      <c r="AS171" s="173"/>
      <c r="AT171" s="91"/>
      <c r="AU171" s="91"/>
      <c r="AV171" s="91"/>
    </row>
    <row r="172" spans="1:48">
      <c r="A172" s="88">
        <v>167</v>
      </c>
      <c r="B172" s="89" t="str">
        <f>VLOOKUP(Table17[[#This Row],[šifra]],Table6[],2,0)</f>
        <v>WMD d.o.o.</v>
      </c>
      <c r="C172" s="90">
        <f>VLOOKUP(Table17[[#This Row],[šifra]],Table6[],3,0)</f>
        <v>20</v>
      </c>
      <c r="D172" s="100" t="str">
        <f>VLOOKUP(Table17[[#This Row],[šifra]],Table6[],4,0)</f>
        <v>VESNA</v>
      </c>
      <c r="E172" s="90" t="str">
        <f>VLOOKUP(Table17[[#This Row],[šifra]],Table6[],6,0)</f>
        <v>info@wmd.hr, wmd@wmd.hr</v>
      </c>
      <c r="F172" s="90" t="str">
        <f>VLOOKUP(Table17[[#This Row],[šifra]],Table6[],11,0)</f>
        <v>da</v>
      </c>
      <c r="G172" s="90" t="str">
        <f>VLOOKUP(Table17[[#This Row],[šifra]],Table6[],10,0)</f>
        <v>da</v>
      </c>
      <c r="H172" s="139" t="str">
        <f>poduzeća!W168</f>
        <v>da</v>
      </c>
      <c r="I172" s="992" t="s">
        <v>2000</v>
      </c>
      <c r="J172" s="91"/>
      <c r="K172" s="91"/>
      <c r="L172" s="91"/>
      <c r="M172" s="566"/>
      <c r="N172" s="567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</row>
    <row r="173" spans="1:48" ht="14.25" customHeight="1">
      <c r="A173" s="88">
        <v>168</v>
      </c>
      <c r="B173" s="89" t="str">
        <f>VLOOKUP(Table17[[#This Row],[šifra]],Table6[],2,0)</f>
        <v>YIL d.o.o.</v>
      </c>
      <c r="C173" s="90">
        <f>VLOOKUP(Table17[[#This Row],[šifra]],Table6[],3,0)</f>
        <v>7</v>
      </c>
      <c r="D173" s="100" t="str">
        <f>VLOOKUP(Table17[[#This Row],[šifra]],Table6[],4,0)</f>
        <v>SJEDIŠTE</v>
      </c>
      <c r="E173" s="90" t="str">
        <f>VLOOKUP(Table17[[#This Row],[šifra]],Table6[],6,0)</f>
        <v>robert.verebi@vr-consulting.hr,
melissa.horvat21@gmail.com</v>
      </c>
      <c r="F173" s="90" t="str">
        <f>VLOOKUP(Table17[[#This Row],[šifra]],Table6[],11,0)</f>
        <v>ne</v>
      </c>
      <c r="G173" s="90" t="str">
        <f>VLOOKUP(Table17[[#This Row],[šifra]],Table6[],10,0)</f>
        <v>da</v>
      </c>
      <c r="H173" s="139" t="str">
        <f>poduzeća!W169</f>
        <v>ne</v>
      </c>
      <c r="I173" s="980"/>
      <c r="J173" s="91"/>
      <c r="K173" s="173"/>
      <c r="L173" s="218"/>
      <c r="M173" s="173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173"/>
      <c r="AT173" s="91"/>
      <c r="AU173" s="91"/>
      <c r="AV173" s="91"/>
    </row>
    <row r="174" spans="1:48">
      <c r="A174" s="792">
        <v>169</v>
      </c>
      <c r="B174" s="793" t="str">
        <f>VLOOKUP(Table17[[#This Row],[šifra]],Table6[],2,0)</f>
        <v>Zita Perchy</v>
      </c>
      <c r="C174" s="90">
        <f>VLOOKUP(Table17[[#This Row],[šifra]],Table6[],3,0)</f>
        <v>11</v>
      </c>
      <c r="D174" s="100" t="str">
        <f>VLOOKUP(Table17[[#This Row],[šifra]],Table6[],4,0)</f>
        <v>GABRIJELA</v>
      </c>
      <c r="E174" s="90" t="str">
        <f>VLOOKUP(Table17[[#This Row],[šifra]],Table6[],6,0)</f>
        <v>perchyzita08@gmail.com</v>
      </c>
      <c r="F174" s="90" t="str">
        <f>VLOOKUP(Table17[[#This Row],[šifra]],Table6[],11,0)</f>
        <v>ne</v>
      </c>
      <c r="G174" s="90" t="str">
        <f>VLOOKUP(Table17[[#This Row],[šifra]],Table6[],10,0)</f>
        <v>da</v>
      </c>
      <c r="H174" s="139" t="str">
        <f>poduzeća!W170</f>
        <v>m-da</v>
      </c>
      <c r="I174" s="983" t="s">
        <v>1591</v>
      </c>
      <c r="J174" s="91"/>
      <c r="K174" s="91"/>
      <c r="L174" s="91"/>
      <c r="M174" s="566"/>
      <c r="N174" s="752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</row>
    <row r="175" spans="1:48">
      <c r="A175" s="88">
        <v>170</v>
      </c>
      <c r="B175" s="89" t="str">
        <f>VLOOKUP(Table17[[#This Row],[šifra]],Table6[],2,0)</f>
        <v>ZLATNA ŠKOLJKA d.o.o.</v>
      </c>
      <c r="C175" s="90">
        <f>VLOOKUP(Table17[[#This Row],[šifra]],Table6[],3,0)</f>
        <v>15</v>
      </c>
      <c r="D175" s="100" t="str">
        <f>VLOOKUP(Table17[[#This Row],[šifra]],Table6[],4,0)</f>
        <v>NIKOLINA</v>
      </c>
      <c r="E175" s="90" t="str">
        <f>VLOOKUP(Table17[[#This Row],[šifra]],Table6[],6,0)</f>
        <v>info.zlatna@gmail.com</v>
      </c>
      <c r="F175" s="90" t="str">
        <f>VLOOKUP(Table17[[#This Row],[šifra]],Table6[],11,0)</f>
        <v>da</v>
      </c>
      <c r="G175" s="90" t="str">
        <f>VLOOKUP(Table17[[#This Row],[šifra]],Table6[],10,0)</f>
        <v>da</v>
      </c>
      <c r="H175" s="139" t="str">
        <f>poduzeća!W171</f>
        <v>da</v>
      </c>
      <c r="I175" s="997"/>
      <c r="J175" s="91"/>
      <c r="K175" s="91"/>
      <c r="L175" s="91"/>
      <c r="M175" s="173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</row>
    <row r="176" spans="1:48">
      <c r="A176" s="792">
        <v>171</v>
      </c>
      <c r="B176" s="793" t="str">
        <f>VLOOKUP(Table17[[#This Row],[šifra]],Table6[],2,0)</f>
        <v>Zsofia Reka Bognar</v>
      </c>
      <c r="C176" s="90">
        <f>VLOOKUP(Table17[[#This Row],[šifra]],Table6[],3,0)</f>
        <v>14</v>
      </c>
      <c r="D176" s="100" t="str">
        <f>VLOOKUP(Table17[[#This Row],[šifra]],Table6[],4,0)</f>
        <v>PONEKAD</v>
      </c>
      <c r="E176" s="90" t="str">
        <f>VLOOKUP(Table17[[#This Row],[šifra]],Table6[],6,0)</f>
        <v>batkft@gmail.com</v>
      </c>
      <c r="F176" s="90" t="str">
        <f>VLOOKUP(Table17[[#This Row],[šifra]],Table6[],11,0)</f>
        <v>ne</v>
      </c>
      <c r="G176" s="90" t="str">
        <f>VLOOKUP(Table17[[#This Row],[šifra]],Table6[],10,0)</f>
        <v>da</v>
      </c>
      <c r="H176" s="139" t="str">
        <f>poduzeća!W172</f>
        <v>m-da</v>
      </c>
      <c r="I176" s="983" t="s">
        <v>1690</v>
      </c>
      <c r="J176" s="91"/>
      <c r="K176" s="91"/>
      <c r="L176" s="91"/>
      <c r="M176" s="566"/>
      <c r="N176" s="567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</row>
    <row r="177" spans="1:48">
      <c r="A177" s="794">
        <v>172</v>
      </c>
      <c r="B177" s="795" t="str">
        <f>VLOOKUP(Table17[[#This Row],[šifra]],Table6[],2,0)</f>
        <v>Zsolt Feher</v>
      </c>
      <c r="C177" s="581">
        <f>VLOOKUP(Table17[[#This Row],[šifra]],Table6[],3,0)</f>
        <v>14</v>
      </c>
      <c r="D177" s="582" t="str">
        <f>VLOOKUP(Table17[[#This Row],[šifra]],Table6[],4,0)</f>
        <v>PONEKAD</v>
      </c>
      <c r="E177" s="583" t="str">
        <f>VLOOKUP(Table17[[#This Row],[šifra]],Table6[],6,0)</f>
        <v>feher@laptop.hu</v>
      </c>
      <c r="F177" s="90" t="str">
        <f>VLOOKUP(Table17[[#This Row],[šifra]],Table6[],11,0)</f>
        <v>ne</v>
      </c>
      <c r="G177" s="90" t="str">
        <f>VLOOKUP(Table17[[#This Row],[šifra]],Table6[],10,0)</f>
        <v>ne</v>
      </c>
      <c r="H177" s="139" t="str">
        <f>poduzeća!W173</f>
        <v>m-da</v>
      </c>
      <c r="I177" s="983" t="s">
        <v>1591</v>
      </c>
      <c r="J177" s="585"/>
      <c r="K177" s="585"/>
      <c r="L177" s="584"/>
      <c r="M177" s="754"/>
      <c r="N177" s="585"/>
      <c r="O177" s="584"/>
      <c r="P177" s="584"/>
      <c r="Q177" s="584"/>
      <c r="R177" s="584"/>
      <c r="S177" s="584"/>
      <c r="T177" s="584"/>
      <c r="U177" s="584"/>
      <c r="V177" s="584"/>
      <c r="W177" s="584"/>
      <c r="X177" s="584"/>
      <c r="Y177" s="584"/>
      <c r="Z177" s="584"/>
      <c r="AA177" s="584"/>
      <c r="AB177" s="584"/>
      <c r="AC177" s="584"/>
      <c r="AD177" s="584"/>
      <c r="AE177" s="584"/>
      <c r="AF177" s="584"/>
      <c r="AG177" s="584"/>
      <c r="AH177" s="584"/>
      <c r="AI177" s="584"/>
      <c r="AJ177" s="584"/>
      <c r="AK177" s="584"/>
      <c r="AL177" s="584"/>
      <c r="AM177" s="584"/>
      <c r="AN177" s="584"/>
      <c r="AO177" s="584"/>
      <c r="AP177" s="584"/>
      <c r="AQ177" s="584"/>
      <c r="AR177" s="584"/>
      <c r="AS177" s="584"/>
      <c r="AT177" s="584"/>
      <c r="AU177" s="584"/>
      <c r="AV177" s="584"/>
    </row>
    <row r="178" spans="1:48" ht="45">
      <c r="A178" s="580">
        <v>173</v>
      </c>
      <c r="B178" s="581" t="str">
        <f>VLOOKUP(Table17[[#This Row],[šifra]],Table6[],2,0)</f>
        <v>FASTO S.R.O</v>
      </c>
      <c r="C178" s="581">
        <f>VLOOKUP(Table17[[#This Row],[šifra]],Table6[],3,0)</f>
        <v>23</v>
      </c>
      <c r="D178" s="582" t="str">
        <f>VLOOKUP(Table17[[#This Row],[šifra]],Table6[],4,0)</f>
        <v>MARKO</v>
      </c>
      <c r="E178" s="583" t="str">
        <f>VLOOKUP(Table17[[#This Row],[šifra]],Table6[],6,0)</f>
        <v>Vit Jedlicka &lt;vit.jedlicka@gmail.com&gt; 
Office@liberland.org, sedlakovagabina@gmail.com</v>
      </c>
      <c r="F178" s="90" t="str">
        <f>VLOOKUP(Table17[[#This Row],[šifra]],Table6[],11,0)</f>
        <v>ne</v>
      </c>
      <c r="G178" s="90" t="str">
        <f>VLOOKUP(Table17[[#This Row],[šifra]],Table6[],10,0)</f>
        <v>da</v>
      </c>
      <c r="H178" s="139" t="str">
        <f>poduzeća!W174</f>
        <v>pd-da</v>
      </c>
      <c r="I178" s="998"/>
      <c r="J178" s="584"/>
      <c r="K178" s="584"/>
      <c r="L178" s="584"/>
      <c r="M178" s="626"/>
      <c r="N178" s="584"/>
      <c r="O178" s="584"/>
      <c r="P178" s="584"/>
      <c r="Q178" s="584"/>
      <c r="R178" s="584"/>
      <c r="S178" s="584"/>
      <c r="T178" s="584"/>
      <c r="U178" s="584"/>
      <c r="V178" s="584"/>
      <c r="W178" s="584"/>
      <c r="X178" s="584"/>
      <c r="Y178" s="584"/>
      <c r="Z178" s="584"/>
      <c r="AA178" s="584"/>
      <c r="AB178" s="584"/>
      <c r="AC178" s="584"/>
      <c r="AD178" s="584"/>
      <c r="AE178" s="584"/>
      <c r="AF178" s="584"/>
      <c r="AG178" s="584"/>
      <c r="AH178" s="584"/>
      <c r="AI178" s="584"/>
      <c r="AJ178" s="584"/>
      <c r="AK178" s="584"/>
      <c r="AL178" s="584"/>
      <c r="AM178" s="584"/>
      <c r="AN178" s="584"/>
      <c r="AO178" s="584"/>
      <c r="AP178" s="584"/>
      <c r="AQ178" s="584"/>
      <c r="AR178" s="584"/>
      <c r="AS178" s="584"/>
      <c r="AT178" s="584"/>
      <c r="AU178" s="584"/>
      <c r="AV178" s="584"/>
    </row>
    <row r="179" spans="1:48">
      <c r="A179" s="580">
        <v>174</v>
      </c>
      <c r="B179" s="810" t="str">
        <f>VLOOKUP(Table17[[#This Row],[šifra]],Table6[],2,0)</f>
        <v>MODRY SLON S.R.O</v>
      </c>
      <c r="C179" s="581">
        <f>VLOOKUP(Table17[[#This Row],[šifra]],Table6[],3,0)</f>
        <v>2</v>
      </c>
      <c r="D179" s="582" t="str">
        <f>VLOOKUP(Table17[[#This Row],[šifra]],Table6[],4,0)</f>
        <v>LAURA</v>
      </c>
      <c r="E179" s="583" t="str">
        <f>VLOOKUP(Table17[[#This Row],[šifra]],Table6[],6,0)</f>
        <v>b.tosenovska@modryslon.cz</v>
      </c>
      <c r="F179" s="90" t="str">
        <f>VLOOKUP(Table17[[#This Row],[šifra]],Table6[],11,0)</f>
        <v>ne</v>
      </c>
      <c r="G179" s="90" t="str">
        <f>VLOOKUP(Table17[[#This Row],[šifra]],Table6[],10,0)</f>
        <v>ne</v>
      </c>
      <c r="H179" s="139" t="str">
        <f>poduzeća!W175</f>
        <v>ne</v>
      </c>
      <c r="I179" s="998"/>
      <c r="J179" s="585"/>
      <c r="K179" s="585"/>
      <c r="L179" s="584"/>
      <c r="M179" s="754"/>
      <c r="N179" s="585"/>
      <c r="O179" s="584"/>
      <c r="P179" s="584"/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  <c r="AA179" s="584"/>
      <c r="AB179" s="584"/>
      <c r="AC179" s="584"/>
      <c r="AD179" s="584"/>
      <c r="AE179" s="584"/>
      <c r="AF179" s="584"/>
      <c r="AG179" s="584"/>
      <c r="AH179" s="584"/>
      <c r="AI179" s="584"/>
      <c r="AJ179" s="584"/>
      <c r="AK179" s="584"/>
      <c r="AL179" s="584"/>
      <c r="AM179" s="584"/>
      <c r="AN179" s="584"/>
      <c r="AO179" s="584"/>
      <c r="AP179" s="584"/>
      <c r="AQ179" s="584"/>
      <c r="AR179" s="584"/>
      <c r="AS179" s="584"/>
      <c r="AT179" s="584"/>
      <c r="AU179" s="584"/>
      <c r="AV179" s="584"/>
    </row>
    <row r="180" spans="1:48">
      <c r="A180" s="580">
        <v>175</v>
      </c>
      <c r="B180" s="581" t="str">
        <f>VLOOKUP(Table17[[#This Row],[šifra]],Table6[],2,0)</f>
        <v>ANETT FANNI PARAGI</v>
      </c>
      <c r="C180" s="581">
        <f>VLOOKUP(Table17[[#This Row],[šifra]],Table6[],3,0)</f>
        <v>0</v>
      </c>
      <c r="D180" s="582" t="str">
        <f>VLOOKUP(Table17[[#This Row],[šifra]],Table6[],4,0)</f>
        <v>NITKO</v>
      </c>
      <c r="E180" s="583" t="str">
        <f>VLOOKUP(Table17[[#This Row],[šifra]],Table6[],6,0)</f>
        <v>anncsa97@gmail.com</v>
      </c>
      <c r="F180" s="90" t="str">
        <f>VLOOKUP(Table17[[#This Row],[šifra]],Table6[],11,0)</f>
        <v>ne</v>
      </c>
      <c r="G180" s="90" t="str">
        <f>VLOOKUP(Table17[[#This Row],[šifra]],Table6[],10,0)</f>
        <v>da</v>
      </c>
      <c r="H180" s="139" t="str">
        <f>poduzeća!W176</f>
        <v>m-da</v>
      </c>
      <c r="I180" s="998" t="s">
        <v>1634</v>
      </c>
      <c r="J180" s="584"/>
      <c r="K180" s="584"/>
      <c r="L180" s="584"/>
      <c r="M180" s="626"/>
      <c r="N180" s="584"/>
      <c r="O180" s="584"/>
      <c r="P180" s="584"/>
      <c r="Q180" s="584"/>
      <c r="R180" s="584"/>
      <c r="S180" s="584"/>
      <c r="T180" s="584"/>
      <c r="U180" s="584"/>
      <c r="V180" s="584"/>
      <c r="W180" s="584"/>
      <c r="X180" s="584"/>
      <c r="Y180" s="584"/>
      <c r="Z180" s="584"/>
      <c r="AA180" s="584"/>
      <c r="AB180" s="584"/>
      <c r="AC180" s="584"/>
      <c r="AD180" s="584"/>
      <c r="AE180" s="584"/>
      <c r="AF180" s="584"/>
      <c r="AG180" s="584"/>
      <c r="AH180" s="584"/>
      <c r="AI180" s="584"/>
      <c r="AJ180" s="584"/>
      <c r="AK180" s="584"/>
      <c r="AL180" s="584"/>
      <c r="AM180" s="584"/>
      <c r="AN180" s="584"/>
      <c r="AO180" s="584"/>
      <c r="AP180" s="584"/>
      <c r="AQ180" s="584"/>
      <c r="AR180" s="584"/>
      <c r="AS180" s="584"/>
      <c r="AT180" s="584"/>
      <c r="AU180" s="584"/>
      <c r="AV180" s="584"/>
    </row>
    <row r="181" spans="1:48">
      <c r="A181" s="580">
        <v>176</v>
      </c>
      <c r="B181" s="581" t="str">
        <f>VLOOKUP(Table17[[#This Row],[šifra]],Table6[],2,0)</f>
        <v>SZABÓ SAILING d.o.o.o.</v>
      </c>
      <c r="C181" s="581">
        <f>VLOOKUP(Table17[[#This Row],[šifra]],Table6[],3,0)</f>
        <v>11</v>
      </c>
      <c r="D181" s="582" t="str">
        <f>VLOOKUP(Table17[[#This Row],[šifra]],Table6[],4,0)</f>
        <v>GABRIJELA</v>
      </c>
      <c r="E181" s="583" t="str">
        <f>VLOOKUP(Table17[[#This Row],[šifra]],Table6[],6,0)</f>
        <v>szabosailingteam@gmail.com</v>
      </c>
      <c r="F181" s="90" t="str">
        <f>VLOOKUP(Table17[[#This Row],[šifra]],Table6[],11,0)</f>
        <v>ne</v>
      </c>
      <c r="G181" s="90" t="str">
        <f>VLOOKUP(Table17[[#This Row],[šifra]],Table6[],10,0)</f>
        <v>da</v>
      </c>
      <c r="H181" s="139" t="str">
        <f>poduzeća!W177</f>
        <v>ne</v>
      </c>
      <c r="I181" s="998"/>
      <c r="J181" s="584"/>
      <c r="K181" s="584"/>
      <c r="L181" s="584"/>
      <c r="M181" s="626"/>
      <c r="N181" s="584"/>
      <c r="O181" s="584"/>
      <c r="P181" s="584"/>
      <c r="Q181" s="584"/>
      <c r="R181" s="584"/>
      <c r="S181" s="584"/>
      <c r="T181" s="584"/>
      <c r="U181" s="584"/>
      <c r="V181" s="584"/>
      <c r="W181" s="584"/>
      <c r="X181" s="584"/>
      <c r="Y181" s="584"/>
      <c r="Z181" s="584"/>
      <c r="AA181" s="584"/>
      <c r="AB181" s="584"/>
      <c r="AC181" s="584"/>
      <c r="AD181" s="584"/>
      <c r="AE181" s="584"/>
      <c r="AF181" s="584"/>
      <c r="AG181" s="584"/>
      <c r="AH181" s="584"/>
      <c r="AI181" s="584"/>
      <c r="AJ181" s="584"/>
      <c r="AK181" s="584"/>
      <c r="AL181" s="584"/>
      <c r="AM181" s="584"/>
      <c r="AN181" s="584"/>
      <c r="AO181" s="584"/>
      <c r="AP181" s="584"/>
      <c r="AQ181" s="584"/>
      <c r="AR181" s="584"/>
      <c r="AS181" s="584"/>
      <c r="AT181" s="584"/>
      <c r="AU181" s="584"/>
      <c r="AV181" s="584"/>
    </row>
    <row r="182" spans="1:48">
      <c r="A182" s="720">
        <v>177</v>
      </c>
      <c r="B182" s="721" t="str">
        <f>VLOOKUP(Table17[[#This Row],[šifra]],Table6[],2,0)</f>
        <v>OPG Laura Magdić</v>
      </c>
      <c r="C182" s="721">
        <f>VLOOKUP(Table17[[#This Row],[šifra]],Table6[],3,0)</f>
        <v>0</v>
      </c>
      <c r="D182" s="722" t="str">
        <f>VLOOKUP(Table17[[#This Row],[šifra]],Table6[],4,0)</f>
        <v>NITKO</v>
      </c>
      <c r="E182" s="723" t="str">
        <f>VLOOKUP(Table17[[#This Row],[šifra]],Table6[],6,0)</f>
        <v>laura.magdic4@gmail.com</v>
      </c>
      <c r="F182" s="90" t="str">
        <f>VLOOKUP(Table17[[#This Row],[šifra]],Table6[],11,0)</f>
        <v>ne</v>
      </c>
      <c r="G182" s="90" t="str">
        <f>VLOOKUP(Table17[[#This Row],[šifra]],Table6[],10,0)</f>
        <v>ne</v>
      </c>
      <c r="H182" s="139" t="str">
        <f>poduzeća!W178</f>
        <v>ne</v>
      </c>
      <c r="I182" s="998"/>
      <c r="J182" s="724"/>
      <c r="K182" s="724"/>
      <c r="L182" s="724"/>
      <c r="M182" s="725"/>
      <c r="N182" s="724"/>
      <c r="O182" s="724"/>
      <c r="P182" s="724"/>
      <c r="Q182" s="724"/>
      <c r="R182" s="724"/>
      <c r="S182" s="724"/>
      <c r="T182" s="724"/>
      <c r="U182" s="724"/>
      <c r="V182" s="724"/>
      <c r="W182" s="724"/>
      <c r="X182" s="724"/>
      <c r="Y182" s="724"/>
      <c r="Z182" s="724"/>
      <c r="AA182" s="724"/>
      <c r="AB182" s="724"/>
      <c r="AC182" s="724"/>
      <c r="AD182" s="724"/>
      <c r="AE182" s="724"/>
      <c r="AF182" s="724"/>
      <c r="AG182" s="724"/>
      <c r="AH182" s="724"/>
      <c r="AI182" s="724"/>
      <c r="AJ182" s="724"/>
      <c r="AK182" s="724"/>
      <c r="AL182" s="724"/>
      <c r="AM182" s="724"/>
      <c r="AN182" s="724"/>
      <c r="AO182" s="724"/>
      <c r="AP182" s="724"/>
      <c r="AQ182" s="724"/>
      <c r="AR182" s="724"/>
      <c r="AS182" s="724"/>
      <c r="AT182" s="724"/>
      <c r="AU182" s="724"/>
      <c r="AV182" s="724"/>
    </row>
    <row r="183" spans="1:48">
      <c r="A183" s="720">
        <v>178</v>
      </c>
      <c r="B183" s="721" t="str">
        <f>VLOOKUP(Table17[[#This Row],[šifra]],Table6[],2,0)</f>
        <v>Taki Home d.o.o.</v>
      </c>
      <c r="C183" s="721">
        <f>VLOOKUP(Table17[[#This Row],[šifra]],Table6[],3,0)</f>
        <v>2</v>
      </c>
      <c r="D183" s="722" t="str">
        <f>VLOOKUP(Table17[[#This Row],[šifra]],Table6[],4,0)</f>
        <v>LAURA</v>
      </c>
      <c r="E183" s="723" t="str">
        <f>VLOOKUP(Table17[[#This Row],[šifra]],Table6[],6,0)</f>
        <v>takihome.doo@gmail.com</v>
      </c>
      <c r="F183" s="90" t="str">
        <f>VLOOKUP(Table17[[#This Row],[šifra]],Table6[],11,0)</f>
        <v>ne</v>
      </c>
      <c r="G183" s="90" t="str">
        <f>VLOOKUP(Table17[[#This Row],[šifra]],Table6[],10,0)</f>
        <v>da</v>
      </c>
      <c r="H183" s="139" t="str">
        <f>poduzeća!W179</f>
        <v>da</v>
      </c>
      <c r="I183" s="999">
        <v>46140</v>
      </c>
      <c r="J183" s="724"/>
      <c r="K183" s="724"/>
      <c r="L183" s="724"/>
      <c r="M183" s="725"/>
      <c r="N183" s="724"/>
      <c r="O183" s="724"/>
      <c r="P183" s="724"/>
      <c r="Q183" s="724"/>
      <c r="R183" s="724"/>
      <c r="S183" s="724"/>
      <c r="T183" s="724"/>
      <c r="U183" s="724"/>
      <c r="V183" s="724"/>
      <c r="W183" s="724"/>
      <c r="X183" s="724"/>
      <c r="Y183" s="724"/>
      <c r="Z183" s="724"/>
      <c r="AA183" s="724"/>
      <c r="AB183" s="724"/>
      <c r="AC183" s="724"/>
      <c r="AD183" s="724"/>
      <c r="AE183" s="724"/>
      <c r="AF183" s="724"/>
      <c r="AG183" s="724"/>
      <c r="AH183" s="724"/>
      <c r="AI183" s="724"/>
      <c r="AJ183" s="724"/>
      <c r="AK183" s="724"/>
      <c r="AL183" s="724"/>
      <c r="AM183" s="724"/>
      <c r="AN183" s="724"/>
      <c r="AO183" s="724"/>
      <c r="AP183" s="724"/>
      <c r="AQ183" s="724"/>
      <c r="AR183" s="724"/>
      <c r="AS183" s="724"/>
      <c r="AT183" s="724"/>
      <c r="AU183" s="724"/>
      <c r="AV183" s="724"/>
    </row>
    <row r="184" spans="1:48" ht="30">
      <c r="A184" s="720">
        <v>179</v>
      </c>
      <c r="B184" s="721" t="str">
        <f>VLOOKUP(Table17[[#This Row],[šifra]],Table6[],2,0)</f>
        <v>Formula bázis KFT -podružnica Laslovo</v>
      </c>
      <c r="C184" s="721">
        <f>VLOOKUP(Table17[[#This Row],[šifra]],Table6[],3,0)</f>
        <v>11</v>
      </c>
      <c r="D184" s="722" t="str">
        <f>VLOOKUP(Table17[[#This Row],[šifra]],Table6[],4,0)</f>
        <v>GABRIJELA</v>
      </c>
      <c r="E184" s="723" t="str">
        <f>VLOOKUP(Table17[[#This Row],[šifra]],Table6[],6,0)</f>
        <v>formulabazis2014@gmail.com</v>
      </c>
      <c r="F184" s="90" t="str">
        <f>VLOOKUP(Table17[[#This Row],[šifra]],Table6[],11,0)</f>
        <v>ne</v>
      </c>
      <c r="G184" s="90" t="str">
        <f>VLOOKUP(Table17[[#This Row],[šifra]],Table6[],10,0)</f>
        <v>ne</v>
      </c>
      <c r="H184" s="139" t="str">
        <f>poduzeća!W180</f>
        <v>ne</v>
      </c>
      <c r="I184" s="999">
        <v>46139</v>
      </c>
      <c r="J184" s="724"/>
      <c r="K184" s="724"/>
      <c r="L184" s="724"/>
      <c r="M184" s="725"/>
      <c r="N184" s="724"/>
      <c r="O184" s="724"/>
      <c r="P184" s="724"/>
      <c r="Q184" s="724"/>
      <c r="R184" s="724"/>
      <c r="S184" s="724"/>
      <c r="T184" s="724"/>
      <c r="U184" s="724"/>
      <c r="V184" s="724"/>
      <c r="W184" s="724"/>
      <c r="X184" s="724"/>
      <c r="Y184" s="724"/>
      <c r="Z184" s="724"/>
      <c r="AA184" s="724"/>
      <c r="AB184" s="724"/>
      <c r="AC184" s="724"/>
      <c r="AD184" s="724"/>
      <c r="AE184" s="724"/>
      <c r="AF184" s="724"/>
      <c r="AG184" s="724"/>
      <c r="AH184" s="724"/>
      <c r="AI184" s="724"/>
      <c r="AJ184" s="724"/>
      <c r="AK184" s="724"/>
      <c r="AL184" s="724"/>
      <c r="AM184" s="724"/>
      <c r="AN184" s="724"/>
      <c r="AO184" s="724"/>
      <c r="AP184" s="724"/>
      <c r="AQ184" s="724"/>
      <c r="AR184" s="724"/>
      <c r="AS184" s="724"/>
      <c r="AT184" s="724"/>
      <c r="AU184" s="724"/>
      <c r="AV184" s="724"/>
    </row>
    <row r="185" spans="1:48" ht="30">
      <c r="A185" s="720">
        <v>180</v>
      </c>
      <c r="B185" s="721" t="str">
        <f>VLOOKUP(Table17[[#This Row],[šifra]],Table6[],2,0)</f>
        <v>THE PHARM FARM VL LILIYA KOS OPG</v>
      </c>
      <c r="C185" s="721">
        <f>VLOOKUP(Table17[[#This Row],[šifra]],Table6[],3,0)</f>
        <v>10</v>
      </c>
      <c r="D185" s="722" t="str">
        <f>VLOOKUP(Table17[[#This Row],[šifra]],Table6[],4,0)</f>
        <v>MAJA</v>
      </c>
      <c r="E185" s="723" t="str">
        <f>VLOOKUP(Table17[[#This Row],[šifra]],Table6[],6,0)</f>
        <v>LILJAKA75@GMAIL.COM</v>
      </c>
      <c r="F185" s="90" t="str">
        <f>VLOOKUP(Table17[[#This Row],[šifra]],Table6[],11,0)</f>
        <v>ne</v>
      </c>
      <c r="G185" s="90" t="str">
        <f>VLOOKUP(Table17[[#This Row],[šifra]],Table6[],10,0)</f>
        <v>ne</v>
      </c>
      <c r="H185" s="139" t="str">
        <f>poduzeća!W181</f>
        <v>m-da</v>
      </c>
      <c r="I185" s="846" t="s">
        <v>1636</v>
      </c>
      <c r="J185" s="724"/>
      <c r="K185" s="724"/>
      <c r="L185" s="724"/>
      <c r="M185" s="847"/>
      <c r="N185" s="848"/>
      <c r="O185" s="724"/>
      <c r="P185" s="724"/>
      <c r="Q185" s="724"/>
      <c r="R185" s="724"/>
      <c r="S185" s="724"/>
      <c r="T185" s="724"/>
      <c r="U185" s="724"/>
      <c r="V185" s="724"/>
      <c r="W185" s="724"/>
      <c r="X185" s="724"/>
      <c r="Y185" s="724"/>
      <c r="Z185" s="724"/>
      <c r="AA185" s="724"/>
      <c r="AB185" s="724"/>
      <c r="AC185" s="724"/>
      <c r="AD185" s="724"/>
      <c r="AE185" s="724"/>
      <c r="AF185" s="724"/>
      <c r="AG185" s="724"/>
      <c r="AH185" s="724"/>
      <c r="AI185" s="724"/>
      <c r="AJ185" s="724"/>
      <c r="AK185" s="724"/>
      <c r="AL185" s="724"/>
      <c r="AM185" s="724"/>
      <c r="AN185" s="724"/>
      <c r="AO185" s="724"/>
      <c r="AP185" s="724"/>
      <c r="AQ185" s="724"/>
      <c r="AR185" s="724"/>
      <c r="AS185" s="724"/>
      <c r="AT185" s="724"/>
      <c r="AU185" s="724"/>
      <c r="AV185" s="724"/>
    </row>
    <row r="186" spans="1:48">
      <c r="A186" s="720">
        <v>181</v>
      </c>
      <c r="B186" s="721" t="str">
        <f>VLOOKUP(Table17[[#This Row],[šifra]],Table6[],2,0)</f>
        <v>BG7 Inžinjering d.o.o.</v>
      </c>
      <c r="C186" s="721">
        <f>VLOOKUP(Table17[[#This Row],[šifra]],Table6[],3,0)</f>
        <v>15</v>
      </c>
      <c r="D186" s="722" t="str">
        <f>VLOOKUP(Table17[[#This Row],[šifra]],Table6[],4,0)</f>
        <v>NIKOLINA</v>
      </c>
      <c r="E186" s="723" t="str">
        <f>VLOOKUP(Table17[[#This Row],[šifra]],Table6[],6,0)</f>
        <v xml:space="preserve">gabor@bg7.hu, hr@bg7.hu </v>
      </c>
      <c r="F186" s="90" t="str">
        <f>VLOOKUP(Table17[[#This Row],[šifra]],Table6[],11,0)</f>
        <v>ne</v>
      </c>
      <c r="G186" s="90" t="str">
        <f>VLOOKUP(Table17[[#This Row],[šifra]],Table6[],10,0)</f>
        <v>ne</v>
      </c>
      <c r="H186" s="139" t="str">
        <f>poduzeća!W182</f>
        <v>ne</v>
      </c>
      <c r="I186" s="998"/>
      <c r="J186" s="724"/>
      <c r="K186" s="724"/>
      <c r="L186" s="724"/>
      <c r="M186" s="847"/>
      <c r="N186" s="848"/>
      <c r="O186" s="724"/>
      <c r="P186" s="724"/>
      <c r="Q186" s="724"/>
      <c r="R186" s="724"/>
      <c r="S186" s="724"/>
      <c r="T186" s="724"/>
      <c r="U186" s="724"/>
      <c r="V186" s="724"/>
      <c r="W186" s="724"/>
      <c r="X186" s="724"/>
      <c r="Y186" s="724"/>
      <c r="Z186" s="724"/>
      <c r="AA186" s="724"/>
      <c r="AB186" s="724"/>
      <c r="AC186" s="724"/>
      <c r="AD186" s="724"/>
      <c r="AE186" s="724"/>
      <c r="AF186" s="724"/>
      <c r="AG186" s="724"/>
      <c r="AH186" s="724"/>
      <c r="AI186" s="724"/>
      <c r="AJ186" s="724"/>
      <c r="AK186" s="724"/>
      <c r="AL186" s="724"/>
      <c r="AM186" s="724"/>
      <c r="AN186" s="724"/>
      <c r="AO186" s="724"/>
      <c r="AP186" s="724"/>
      <c r="AQ186" s="724"/>
      <c r="AR186" s="724"/>
      <c r="AS186" s="724"/>
      <c r="AT186" s="724"/>
      <c r="AU186" s="724"/>
      <c r="AV186" s="724"/>
    </row>
    <row r="187" spans="1:48" ht="30">
      <c r="A187" s="720">
        <v>182</v>
      </c>
      <c r="B187" s="888" t="str">
        <f>VLOOKUP(Table17[[#This Row],[šifra]],Table6[],2,0)</f>
        <v>Fair Distributions d.o.o</v>
      </c>
      <c r="C187" s="888">
        <f>VLOOKUP(Table17[[#This Row],[šifra]],Table6[],3,0)</f>
        <v>15</v>
      </c>
      <c r="D187" s="889" t="str">
        <f>VLOOKUP(Table17[[#This Row],[šifra]],Table6[],4,0)</f>
        <v>NIKOLINA</v>
      </c>
      <c r="E187" s="890" t="str">
        <f>VLOOKUP(Table17[[#This Row],[šifra]],Table6[],6,0)</f>
        <v>info@fairdistributions.com
bigleslie@protonmail.com</v>
      </c>
      <c r="F187" s="90" t="str">
        <f>VLOOKUP(Table17[[#This Row],[šifra]],Table6[],11,0)</f>
        <v>ne</v>
      </c>
      <c r="G187" s="90" t="str">
        <f>VLOOKUP(Table17[[#This Row],[šifra]],Table6[],10,0)</f>
        <v>da</v>
      </c>
      <c r="H187" s="139" t="str">
        <f>poduzeća!W183</f>
        <v>ne</v>
      </c>
      <c r="I187" s="846"/>
      <c r="J187" s="891"/>
      <c r="K187" s="891"/>
      <c r="L187" s="891"/>
      <c r="M187" s="896"/>
      <c r="N187" s="895"/>
      <c r="O187" s="891"/>
      <c r="P187" s="891"/>
      <c r="Q187" s="891"/>
      <c r="R187" s="891"/>
      <c r="S187" s="891"/>
      <c r="T187" s="891"/>
      <c r="U187" s="891"/>
      <c r="V187" s="891"/>
      <c r="W187" s="891"/>
      <c r="X187" s="891"/>
      <c r="Y187" s="891"/>
      <c r="Z187" s="891"/>
      <c r="AA187" s="891"/>
      <c r="AB187" s="891"/>
      <c r="AC187" s="891"/>
      <c r="AD187" s="891"/>
      <c r="AE187" s="891"/>
      <c r="AF187" s="891"/>
      <c r="AG187" s="891"/>
      <c r="AH187" s="891"/>
      <c r="AI187" s="891"/>
      <c r="AJ187" s="891"/>
      <c r="AK187" s="891"/>
      <c r="AL187" s="891"/>
      <c r="AM187" s="891"/>
      <c r="AN187" s="891"/>
      <c r="AO187" s="891"/>
      <c r="AP187" s="891"/>
      <c r="AQ187" s="891"/>
      <c r="AR187" s="891"/>
      <c r="AS187" s="891"/>
      <c r="AT187" s="891"/>
      <c r="AU187" s="891"/>
      <c r="AV187" s="891"/>
    </row>
    <row r="188" spans="1:48">
      <c r="A188" s="720">
        <v>183</v>
      </c>
      <c r="B188" s="888" t="str">
        <f>VLOOKUP(Table17[[#This Row],[šifra]],Table6[],2,0)</f>
        <v>FemZol s.r.o.</v>
      </c>
      <c r="C188" s="888">
        <f>VLOOKUP(Table17[[#This Row],[šifra]],Table6[],3,0)</f>
        <v>2</v>
      </c>
      <c r="D188" s="889" t="str">
        <f>VLOOKUP(Table17[[#This Row],[šifra]],Table6[],4,0)</f>
        <v>LAURA</v>
      </c>
      <c r="E188" s="890" t="str">
        <f>VLOOKUP(Table17[[#This Row],[šifra]],Table6[],6,0)</f>
        <v>zoltan.voros@femzol.sk Zoltán Vöros</v>
      </c>
      <c r="F188" s="90" t="str">
        <f>VLOOKUP(Table17[[#This Row],[šifra]],Table6[],11,0)</f>
        <v>ne</v>
      </c>
      <c r="G188" s="90" t="str">
        <f>VLOOKUP(Table17[[#This Row],[šifra]],Table6[],10,0)</f>
        <v>da</v>
      </c>
      <c r="H188" s="139" t="str">
        <f>poduzeća!W184</f>
        <v>ne</v>
      </c>
      <c r="I188" s="846"/>
      <c r="J188" s="891"/>
      <c r="K188" s="891"/>
      <c r="L188" s="891"/>
      <c r="M188" s="896"/>
      <c r="N188" s="894"/>
      <c r="O188" s="891"/>
      <c r="P188" s="891"/>
      <c r="Q188" s="891"/>
      <c r="R188" s="891"/>
      <c r="S188" s="891"/>
      <c r="T188" s="891"/>
      <c r="U188" s="891"/>
      <c r="V188" s="891"/>
      <c r="W188" s="891"/>
      <c r="X188" s="891"/>
      <c r="Y188" s="891"/>
      <c r="Z188" s="891"/>
      <c r="AA188" s="891"/>
      <c r="AB188" s="891"/>
      <c r="AC188" s="891"/>
      <c r="AD188" s="891"/>
      <c r="AE188" s="891"/>
      <c r="AF188" s="891"/>
      <c r="AG188" s="891"/>
      <c r="AH188" s="891"/>
      <c r="AI188" s="891"/>
      <c r="AJ188" s="891"/>
      <c r="AK188" s="891"/>
      <c r="AL188" s="891"/>
      <c r="AM188" s="891"/>
      <c r="AN188" s="891"/>
      <c r="AO188" s="891"/>
      <c r="AP188" s="891"/>
      <c r="AQ188" s="891"/>
      <c r="AR188" s="891"/>
      <c r="AS188" s="891"/>
      <c r="AT188" s="891"/>
      <c r="AU188" s="891"/>
      <c r="AV188" s="891"/>
    </row>
    <row r="189" spans="1:48">
      <c r="A189" s="720">
        <v>184</v>
      </c>
      <c r="B189" s="888" t="str">
        <f>VLOOKUP(Table17[[#This Row],[šifra]],Table6[],2,0)</f>
        <v>Unita voltage szolgáltató KFT</v>
      </c>
      <c r="C189" s="888">
        <f>VLOOKUP(Table17[[#This Row],[šifra]],Table6[],3,0)</f>
        <v>10</v>
      </c>
      <c r="D189" s="889" t="str">
        <f>VLOOKUP(Table17[[#This Row],[šifra]],Table6[],4,0)</f>
        <v>MAJA</v>
      </c>
      <c r="E189" s="890" t="str">
        <f>VLOOKUP(Table17[[#This Row],[šifra]],Table6[],6,0)</f>
        <v>zoltan.cebe@unitaltd.com</v>
      </c>
      <c r="F189" s="90" t="str">
        <f>VLOOKUP(Table17[[#This Row],[šifra]],Table6[],11,0)</f>
        <v>ne</v>
      </c>
      <c r="G189" s="90" t="str">
        <f>VLOOKUP(Table17[[#This Row],[šifra]],Table6[],10,0)</f>
        <v>ne</v>
      </c>
      <c r="H189" s="139" t="str">
        <f>poduzeća!W185</f>
        <v>ne</v>
      </c>
      <c r="I189" s="846"/>
      <c r="J189" s="891"/>
      <c r="K189" s="891"/>
      <c r="L189" s="891"/>
      <c r="M189" s="896"/>
      <c r="N189" s="894"/>
      <c r="O189" s="891"/>
      <c r="P189" s="891"/>
      <c r="Q189" s="891"/>
      <c r="R189" s="891"/>
      <c r="S189" s="891"/>
      <c r="T189" s="891"/>
      <c r="U189" s="891"/>
      <c r="V189" s="891"/>
      <c r="W189" s="891"/>
      <c r="X189" s="891"/>
      <c r="Y189" s="891"/>
      <c r="Z189" s="891"/>
      <c r="AA189" s="891"/>
      <c r="AB189" s="891"/>
      <c r="AC189" s="891"/>
      <c r="AD189" s="891"/>
      <c r="AE189" s="891"/>
      <c r="AF189" s="891"/>
      <c r="AG189" s="891"/>
      <c r="AH189" s="891"/>
      <c r="AI189" s="891"/>
      <c r="AJ189" s="891"/>
      <c r="AK189" s="891"/>
      <c r="AL189" s="891"/>
      <c r="AM189" s="891"/>
      <c r="AN189" s="891"/>
      <c r="AO189" s="891"/>
      <c r="AP189" s="891"/>
      <c r="AQ189" s="891"/>
      <c r="AR189" s="891"/>
      <c r="AS189" s="891"/>
      <c r="AT189" s="891"/>
      <c r="AU189" s="891"/>
      <c r="AV189" s="891"/>
    </row>
    <row r="190" spans="1:48">
      <c r="A190" s="720">
        <v>185</v>
      </c>
      <c r="B190" s="888" t="str">
        <f>VLOOKUP(Table17[[#This Row],[šifra]],Table6[],2,0)</f>
        <v>Unita voltage szolgáltató KFT</v>
      </c>
      <c r="C190" s="888">
        <f>VLOOKUP(Table17[[#This Row],[šifra]],Table6[],3,0)</f>
        <v>10</v>
      </c>
      <c r="D190" s="889" t="str">
        <f>VLOOKUP(Table17[[#This Row],[šifra]],Table6[],4,0)</f>
        <v>MAJA</v>
      </c>
      <c r="E190" s="890" t="str">
        <f>VLOOKUP(Table17[[#This Row],[šifra]],Table6[],6,0)</f>
        <v>iroda@donadome.hu</v>
      </c>
      <c r="F190" s="90" t="str">
        <f>VLOOKUP(Table17[[#This Row],[šifra]],Table6[],11,0)</f>
        <v>ne</v>
      </c>
      <c r="G190" s="90" t="str">
        <f>VLOOKUP(Table17[[#This Row],[šifra]],Table6[],10,0)</f>
        <v>ne</v>
      </c>
      <c r="H190" s="139" t="str">
        <f>poduzeća!W186</f>
        <v>da</v>
      </c>
      <c r="I190" s="1000">
        <v>45760</v>
      </c>
      <c r="J190" s="891"/>
      <c r="K190" s="891"/>
      <c r="L190" s="891"/>
      <c r="M190" s="896"/>
      <c r="N190" s="894"/>
      <c r="O190" s="891"/>
      <c r="P190" s="891"/>
      <c r="Q190" s="891"/>
      <c r="R190" s="891"/>
      <c r="S190" s="891"/>
      <c r="T190" s="891"/>
      <c r="U190" s="891"/>
      <c r="V190" s="891"/>
      <c r="W190" s="891"/>
      <c r="X190" s="891"/>
      <c r="Y190" s="891"/>
      <c r="Z190" s="891"/>
      <c r="AA190" s="891"/>
      <c r="AB190" s="891"/>
      <c r="AC190" s="891"/>
      <c r="AD190" s="891"/>
      <c r="AE190" s="891"/>
      <c r="AF190" s="891"/>
      <c r="AG190" s="891"/>
      <c r="AH190" s="891"/>
      <c r="AI190" s="891"/>
      <c r="AJ190" s="891"/>
      <c r="AK190" s="891"/>
      <c r="AL190" s="891"/>
      <c r="AM190" s="891"/>
      <c r="AN190" s="891"/>
      <c r="AO190" s="891"/>
      <c r="AP190" s="891"/>
      <c r="AQ190" s="891"/>
      <c r="AR190" s="891"/>
      <c r="AS190" s="891"/>
      <c r="AT190" s="891"/>
      <c r="AU190" s="891"/>
      <c r="AV190" s="891"/>
    </row>
    <row r="191" spans="1:48" ht="30">
      <c r="A191" s="720">
        <v>186</v>
      </c>
      <c r="B191" s="888" t="str">
        <f>VLOOKUP(Table17[[#This Row],[šifra]],Table6[],2,0)</f>
        <v>Almádi Yadht Club Kft plaća Cassiopea</v>
      </c>
      <c r="C191" s="888">
        <f>VLOOKUP(Table17[[#This Row],[šifra]],Table6[],3,0)</f>
        <v>10</v>
      </c>
      <c r="D191" s="889" t="str">
        <f>VLOOKUP(Table17[[#This Row],[šifra]],Table6[],4,0)</f>
        <v>MAJA</v>
      </c>
      <c r="E191" s="890" t="str">
        <f>VLOOKUP(Table17[[#This Row],[šifra]],Table6[],6,0)</f>
        <v>iroda@donadome.hu</v>
      </c>
      <c r="F191" s="90" t="str">
        <f>VLOOKUP(Table17[[#This Row],[šifra]],Table6[],11,0)</f>
        <v>ne</v>
      </c>
      <c r="G191" s="90" t="str">
        <f>VLOOKUP(Table17[[#This Row],[šifra]],Table6[],10,0)</f>
        <v>ne</v>
      </c>
      <c r="H191" s="139" t="str">
        <f>poduzeća!W187</f>
        <v>ne</v>
      </c>
      <c r="I191" s="846"/>
      <c r="J191" s="891"/>
      <c r="K191" s="891"/>
      <c r="L191" s="891"/>
      <c r="M191" s="896"/>
      <c r="N191" s="894"/>
      <c r="O191" s="891"/>
      <c r="P191" s="891"/>
      <c r="Q191" s="891"/>
      <c r="R191" s="891"/>
      <c r="S191" s="891"/>
      <c r="T191" s="891"/>
      <c r="U191" s="891"/>
      <c r="V191" s="891"/>
      <c r="W191" s="891"/>
      <c r="X191" s="891"/>
      <c r="Y191" s="891"/>
      <c r="Z191" s="891"/>
      <c r="AA191" s="891"/>
      <c r="AB191" s="891"/>
      <c r="AC191" s="891"/>
      <c r="AD191" s="891"/>
      <c r="AE191" s="891"/>
      <c r="AF191" s="891"/>
      <c r="AG191" s="891"/>
      <c r="AH191" s="891"/>
      <c r="AI191" s="891"/>
      <c r="AJ191" s="891"/>
      <c r="AK191" s="891"/>
      <c r="AL191" s="891"/>
      <c r="AM191" s="891"/>
      <c r="AN191" s="891"/>
      <c r="AO191" s="891"/>
      <c r="AP191" s="891"/>
      <c r="AQ191" s="891"/>
      <c r="AR191" s="891"/>
      <c r="AS191" s="891"/>
      <c r="AT191" s="891"/>
      <c r="AU191" s="891"/>
      <c r="AV191" s="891"/>
    </row>
    <row r="192" spans="1:48">
      <c r="A192" s="720">
        <v>187</v>
      </c>
      <c r="B192" s="888" t="str">
        <f>VLOOKUP(Table17[[#This Row],[šifra]],Table6[],2,0)</f>
        <v>Cellmaxphone KFT</v>
      </c>
      <c r="C192" s="888">
        <f>VLOOKUP(Table17[[#This Row],[šifra]],Table6[],3,0)</f>
        <v>2</v>
      </c>
      <c r="D192" s="889" t="str">
        <f>VLOOKUP(Table17[[#This Row],[šifra]],Table6[],4,0)</f>
        <v>LAURA</v>
      </c>
      <c r="E192" s="890" t="str">
        <f>VLOOKUP(Table17[[#This Row],[šifra]],Table6[],6,0)</f>
        <v>traviczky@gmail.com</v>
      </c>
      <c r="F192" s="90" t="str">
        <f>VLOOKUP(Table17[[#This Row],[šifra]],Table6[],11,0)</f>
        <v>ne</v>
      </c>
      <c r="G192" s="90" t="str">
        <f>VLOOKUP(Table17[[#This Row],[šifra]],Table6[],10,0)</f>
        <v>ne</v>
      </c>
      <c r="H192" s="139" t="str">
        <f>poduzeća!W188</f>
        <v>ne</v>
      </c>
      <c r="I192" s="846"/>
      <c r="J192" s="891"/>
      <c r="K192" s="891"/>
      <c r="L192" s="891"/>
      <c r="M192" s="896"/>
      <c r="N192" s="894"/>
      <c r="O192" s="891"/>
      <c r="P192" s="891"/>
      <c r="Q192" s="891"/>
      <c r="R192" s="891"/>
      <c r="S192" s="891"/>
      <c r="T192" s="891"/>
      <c r="U192" s="891"/>
      <c r="V192" s="891"/>
      <c r="W192" s="891"/>
      <c r="X192" s="891"/>
      <c r="Y192" s="891"/>
      <c r="Z192" s="891"/>
      <c r="AA192" s="891"/>
      <c r="AB192" s="891"/>
      <c r="AC192" s="891"/>
      <c r="AD192" s="891"/>
      <c r="AE192" s="891"/>
      <c r="AF192" s="891"/>
      <c r="AG192" s="891"/>
      <c r="AH192" s="891"/>
      <c r="AI192" s="891"/>
      <c r="AJ192" s="891"/>
      <c r="AK192" s="891"/>
      <c r="AL192" s="891"/>
      <c r="AM192" s="891"/>
      <c r="AN192" s="891"/>
      <c r="AO192" s="891"/>
      <c r="AP192" s="891"/>
      <c r="AQ192" s="891"/>
      <c r="AR192" s="891"/>
      <c r="AS192" s="891"/>
      <c r="AT192" s="891"/>
      <c r="AU192" s="891"/>
      <c r="AV192" s="891"/>
    </row>
    <row r="193" spans="1:48">
      <c r="A193" s="720">
        <v>188</v>
      </c>
      <c r="B193" s="888" t="str">
        <f>VLOOKUP(Table17[[#This Row],[šifra]],Table6[],2,0)</f>
        <v>Toma-Home Szolgáltató KFT</v>
      </c>
      <c r="C193" s="888">
        <f>VLOOKUP(Table17[[#This Row],[šifra]],Table6[],3,0)</f>
        <v>2</v>
      </c>
      <c r="D193" s="889" t="str">
        <f>VLOOKUP(Table17[[#This Row],[šifra]],Table6[],4,0)</f>
        <v>LAURA</v>
      </c>
      <c r="E193" s="890" t="str">
        <f>VLOOKUP(Table17[[#This Row],[šifra]],Table6[],6,0)</f>
        <v>tomalikjo@gmail.com</v>
      </c>
      <c r="F193" s="90" t="str">
        <f>VLOOKUP(Table17[[#This Row],[šifra]],Table6[],11,0)</f>
        <v>ne</v>
      </c>
      <c r="G193" s="90" t="str">
        <f>VLOOKUP(Table17[[#This Row],[šifra]],Table6[],10,0)</f>
        <v>ne</v>
      </c>
      <c r="H193" s="139" t="str">
        <f>poduzeća!W189</f>
        <v>ne</v>
      </c>
      <c r="I193" s="846"/>
      <c r="J193" s="891"/>
      <c r="K193" s="891"/>
      <c r="L193" s="891"/>
      <c r="M193" s="896"/>
      <c r="N193" s="894"/>
      <c r="O193" s="891"/>
      <c r="P193" s="891"/>
      <c r="Q193" s="891"/>
      <c r="R193" s="891"/>
      <c r="S193" s="891"/>
      <c r="T193" s="891"/>
      <c r="U193" s="891"/>
      <c r="V193" s="891"/>
      <c r="W193" s="891"/>
      <c r="X193" s="891"/>
      <c r="Y193" s="891"/>
      <c r="Z193" s="891"/>
      <c r="AA193" s="891"/>
      <c r="AB193" s="891"/>
      <c r="AC193" s="891"/>
      <c r="AD193" s="891"/>
      <c r="AE193" s="891"/>
      <c r="AF193" s="891"/>
      <c r="AG193" s="891"/>
      <c r="AH193" s="891"/>
      <c r="AI193" s="891"/>
      <c r="AJ193" s="891"/>
      <c r="AK193" s="891"/>
      <c r="AL193" s="891"/>
      <c r="AM193" s="891"/>
      <c r="AN193" s="891"/>
      <c r="AO193" s="891"/>
      <c r="AP193" s="891"/>
      <c r="AQ193" s="891"/>
      <c r="AR193" s="891"/>
      <c r="AS193" s="891"/>
      <c r="AT193" s="891"/>
      <c r="AU193" s="891"/>
      <c r="AV193" s="891"/>
    </row>
    <row r="194" spans="1:48">
      <c r="A194" s="720">
        <v>189</v>
      </c>
      <c r="B194" s="888" t="str">
        <f>VLOOKUP(Table17[[#This Row],[šifra]],Table6[],2,0)</f>
        <v>Vila Habib doo</v>
      </c>
      <c r="C194" s="888">
        <f>VLOOKUP(Table17[[#This Row],[šifra]],Table6[],3,0)</f>
        <v>11</v>
      </c>
      <c r="D194" s="889" t="str">
        <f>VLOOKUP(Table17[[#This Row],[šifra]],Table6[],4,0)</f>
        <v>GABRIJELA</v>
      </c>
      <c r="E194" s="890" t="str">
        <f>VLOOKUP(Table17[[#This Row],[šifra]],Table6[],6,0)</f>
        <v>kiwidivat@gmail.com</v>
      </c>
      <c r="F194" s="90">
        <f>VLOOKUP(Table17[[#This Row],[šifra]],Table6[],11,0)</f>
        <v>0</v>
      </c>
      <c r="G194" s="90">
        <f>VLOOKUP(Table17[[#This Row],[šifra]],Table6[],10,0)</f>
        <v>0</v>
      </c>
      <c r="H194" s="139">
        <f>poduzeća!W190</f>
        <v>0</v>
      </c>
      <c r="I194" s="846"/>
      <c r="J194" s="891"/>
      <c r="K194" s="891"/>
      <c r="L194" s="891"/>
      <c r="M194" s="892"/>
      <c r="N194" s="891"/>
      <c r="O194" s="891"/>
      <c r="P194" s="891"/>
      <c r="Q194" s="891"/>
      <c r="R194" s="891"/>
      <c r="S194" s="891"/>
      <c r="T194" s="891"/>
      <c r="U194" s="891"/>
      <c r="V194" s="891"/>
      <c r="W194" s="891"/>
      <c r="X194" s="891"/>
      <c r="Y194" s="891"/>
      <c r="Z194" s="891"/>
      <c r="AA194" s="891"/>
      <c r="AB194" s="891"/>
      <c r="AC194" s="891"/>
      <c r="AD194" s="891"/>
      <c r="AE194" s="891"/>
      <c r="AF194" s="891"/>
      <c r="AG194" s="891"/>
      <c r="AH194" s="891"/>
      <c r="AI194" s="891"/>
      <c r="AJ194" s="891"/>
      <c r="AK194" s="891"/>
      <c r="AL194" s="891"/>
      <c r="AM194" s="891"/>
      <c r="AN194" s="891"/>
      <c r="AO194" s="891"/>
      <c r="AP194" s="891"/>
      <c r="AQ194" s="891"/>
      <c r="AR194" s="891"/>
      <c r="AS194" s="891"/>
      <c r="AT194" s="891"/>
      <c r="AU194" s="891"/>
      <c r="AV194" s="891"/>
    </row>
    <row r="195" spans="1:48">
      <c r="A195" s="1082">
        <v>190</v>
      </c>
      <c r="B195" s="1083" t="str">
        <f>VLOOKUP(Table17[[#This Row],[šifra]],Table6[],2,0)</f>
        <v>Madár Józef Péter</v>
      </c>
      <c r="C195" s="1083">
        <f>VLOOKUP(Table17[[#This Row],[šifra]],Table6[],3,0)</f>
        <v>14</v>
      </c>
      <c r="D195" s="1084" t="str">
        <f>VLOOKUP(Table17[[#This Row],[šifra]],Table6[],4,0)</f>
        <v>PONEKAD</v>
      </c>
      <c r="E195" s="118">
        <f>VLOOKUP(Table17[[#This Row],[šifra]],Table6[],6,0)</f>
        <v>0</v>
      </c>
      <c r="F195" s="118" t="e">
        <f>VLOOKUP(Table17[[#This Row],[šifra]],Table2,11,0)</f>
        <v>#N/A</v>
      </c>
      <c r="G195" s="1085" t="e">
        <f>VLOOKUP(Table17[[#This Row],[šifra]],Table2,10,0)</f>
        <v>#N/A</v>
      </c>
      <c r="H195" s="1085">
        <f>poduzeća!W191</f>
        <v>0</v>
      </c>
      <c r="I195" s="846"/>
      <c r="J195" s="1085"/>
      <c r="K195" s="1085"/>
      <c r="L195" s="1085"/>
      <c r="M195" s="196"/>
      <c r="N195" s="1085"/>
      <c r="O195" s="1085"/>
      <c r="P195" s="1085"/>
      <c r="Q195" s="1085"/>
      <c r="R195" s="1085"/>
      <c r="S195" s="1085"/>
      <c r="T195" s="1085"/>
      <c r="U195" s="1085"/>
      <c r="V195" s="1085"/>
      <c r="W195" s="1085"/>
      <c r="X195" s="1085"/>
      <c r="Y195" s="1085"/>
      <c r="Z195" s="1085"/>
      <c r="AA195" s="1085"/>
      <c r="AB195" s="1085"/>
      <c r="AC195" s="1085"/>
      <c r="AD195" s="1085"/>
      <c r="AE195" s="1085"/>
      <c r="AF195" s="1085"/>
      <c r="AG195" s="1085"/>
      <c r="AH195" s="1085"/>
      <c r="AI195" s="1085"/>
      <c r="AJ195" s="1085"/>
      <c r="AK195" s="1085"/>
      <c r="AL195" s="1085"/>
      <c r="AM195" s="1085"/>
      <c r="AN195" s="1085"/>
      <c r="AO195" s="1085"/>
      <c r="AP195" s="1085"/>
      <c r="AQ195" s="1085"/>
      <c r="AR195" s="1085"/>
      <c r="AS195" s="1085"/>
      <c r="AT195" s="1085"/>
      <c r="AU195" s="1085"/>
      <c r="AV195" s="1085"/>
    </row>
    <row r="196" spans="1:48">
      <c r="A196" s="1082">
        <v>191</v>
      </c>
      <c r="B196" s="1083" t="str">
        <f>VLOOKUP(Table17[[#This Row],[šifra]],Table6[],2,0)</f>
        <v>Zita Antal</v>
      </c>
      <c r="C196" s="1083">
        <f>VLOOKUP(Table17[[#This Row],[šifra]],Table6[],3,0)</f>
        <v>14</v>
      </c>
      <c r="D196" s="1084" t="str">
        <f>VLOOKUP(Table17[[#This Row],[šifra]],Table6[],4,0)</f>
        <v>PONEKAD</v>
      </c>
      <c r="E196" s="118">
        <f>VLOOKUP(Table17[[#This Row],[šifra]],Table6[],6,0)</f>
        <v>0</v>
      </c>
      <c r="F196" s="118" t="e">
        <f>VLOOKUP(Table17[[#This Row],[šifra]],Table2,11,0)</f>
        <v>#N/A</v>
      </c>
      <c r="G196" s="1085" t="e">
        <f>VLOOKUP(Table17[[#This Row],[šifra]],Table2,10,0)</f>
        <v>#N/A</v>
      </c>
      <c r="H196" s="1085">
        <f>poduzeća!W192</f>
        <v>0</v>
      </c>
      <c r="I196" s="846"/>
      <c r="J196" s="1085"/>
      <c r="K196" s="1085"/>
      <c r="L196" s="1085"/>
      <c r="M196" s="196"/>
      <c r="N196" s="1085"/>
      <c r="O196" s="1085"/>
      <c r="P196" s="1085"/>
      <c r="Q196" s="1085"/>
      <c r="R196" s="1085"/>
      <c r="S196" s="1085"/>
      <c r="T196" s="1085"/>
      <c r="U196" s="1085"/>
      <c r="V196" s="1085"/>
      <c r="W196" s="1085"/>
      <c r="X196" s="1085"/>
      <c r="Y196" s="1085"/>
      <c r="Z196" s="1085"/>
      <c r="AA196" s="1085"/>
      <c r="AB196" s="1085"/>
      <c r="AC196" s="1085"/>
      <c r="AD196" s="1085"/>
      <c r="AE196" s="1085"/>
      <c r="AF196" s="1085"/>
      <c r="AG196" s="1085"/>
      <c r="AH196" s="1085"/>
      <c r="AI196" s="1085"/>
      <c r="AJ196" s="1085"/>
      <c r="AK196" s="1085"/>
      <c r="AL196" s="1085"/>
      <c r="AM196" s="1085"/>
      <c r="AN196" s="1085"/>
      <c r="AO196" s="1085"/>
      <c r="AP196" s="1085"/>
      <c r="AQ196" s="1085"/>
      <c r="AR196" s="1085"/>
      <c r="AS196" s="1085"/>
      <c r="AT196" s="1085"/>
      <c r="AU196" s="1085"/>
      <c r="AV196" s="1085"/>
    </row>
    <row r="197" spans="1:48">
      <c r="A197" s="1082">
        <v>192</v>
      </c>
      <c r="B197" s="1083" t="str">
        <f>VLOOKUP(Table17[[#This Row],[šifra]],Table6[],2,0)</f>
        <v>Balás Gábor György</v>
      </c>
      <c r="C197" s="1083">
        <f>VLOOKUP(Table17[[#This Row],[šifra]],Table6[],3,0)</f>
        <v>14</v>
      </c>
      <c r="D197" s="1084" t="str">
        <f>VLOOKUP(Table17[[#This Row],[šifra]],Table6[],4,0)</f>
        <v>PONEKAD</v>
      </c>
      <c r="E197" s="118">
        <f>VLOOKUP(Table17[[#This Row],[šifra]],Table6[],6,0)</f>
        <v>0</v>
      </c>
      <c r="F197" s="118" t="e">
        <f>VLOOKUP(Table17[[#This Row],[šifra]],Table2,11,0)</f>
        <v>#N/A</v>
      </c>
      <c r="G197" s="1085" t="e">
        <f>VLOOKUP(Table17[[#This Row],[šifra]],Table2,10,0)</f>
        <v>#N/A</v>
      </c>
      <c r="H197" s="1085">
        <f>poduzeća!W193</f>
        <v>0</v>
      </c>
      <c r="I197" s="846"/>
      <c r="J197" s="1085"/>
      <c r="K197" s="1085"/>
      <c r="L197" s="1085"/>
      <c r="M197" s="196"/>
      <c r="N197" s="1085"/>
      <c r="O197" s="1085"/>
      <c r="P197" s="1085"/>
      <c r="Q197" s="1085"/>
      <c r="R197" s="1085"/>
      <c r="S197" s="1085"/>
      <c r="T197" s="1085"/>
      <c r="U197" s="1085"/>
      <c r="V197" s="1085"/>
      <c r="W197" s="1085"/>
      <c r="X197" s="1085"/>
      <c r="Y197" s="1085"/>
      <c r="Z197" s="1085"/>
      <c r="AA197" s="1085"/>
      <c r="AB197" s="1085"/>
      <c r="AC197" s="1085"/>
      <c r="AD197" s="1085"/>
      <c r="AE197" s="1085"/>
      <c r="AF197" s="1085"/>
      <c r="AG197" s="1085"/>
      <c r="AH197" s="1085"/>
      <c r="AI197" s="1085"/>
      <c r="AJ197" s="1085"/>
      <c r="AK197" s="1085"/>
      <c r="AL197" s="1085"/>
      <c r="AM197" s="1085"/>
      <c r="AN197" s="1085"/>
      <c r="AO197" s="1085"/>
      <c r="AP197" s="1085"/>
      <c r="AQ197" s="1085"/>
      <c r="AR197" s="1085"/>
      <c r="AS197" s="1085"/>
      <c r="AT197" s="1085"/>
      <c r="AU197" s="1085"/>
      <c r="AV197" s="1085"/>
    </row>
    <row r="198" spans="1:48">
      <c r="A198" s="1082">
        <v>193</v>
      </c>
      <c r="B198" s="1083">
        <f>VLOOKUP(Table17[[#This Row],[šifra]],Table6[],2,0)</f>
        <v>0</v>
      </c>
      <c r="C198" s="1083">
        <f>VLOOKUP(Table17[[#This Row],[šifra]],Table6[],3,0)</f>
        <v>0</v>
      </c>
      <c r="D198" s="1084" t="str">
        <f>VLOOKUP(Table17[[#This Row],[šifra]],Table6[],4,0)</f>
        <v>NITKO</v>
      </c>
      <c r="E198" s="118">
        <f>VLOOKUP(Table17[[#This Row],[šifra]],Table6[],6,0)</f>
        <v>0</v>
      </c>
      <c r="F198" s="118" t="e">
        <f>VLOOKUP(Table17[[#This Row],[šifra]],Table2,11,0)</f>
        <v>#N/A</v>
      </c>
      <c r="G198" s="1085" t="e">
        <f>VLOOKUP(Table17[[#This Row],[šifra]],Table2,10,0)</f>
        <v>#N/A</v>
      </c>
      <c r="H198" s="1085">
        <f>poduzeća!W194</f>
        <v>0</v>
      </c>
      <c r="I198" s="846"/>
      <c r="J198" s="1085"/>
      <c r="K198" s="1085"/>
      <c r="L198" s="1085"/>
      <c r="M198" s="196"/>
      <c r="N198" s="1085"/>
      <c r="O198" s="1085"/>
      <c r="P198" s="1085"/>
      <c r="Q198" s="1085"/>
      <c r="R198" s="1085"/>
      <c r="S198" s="1085"/>
      <c r="T198" s="1085"/>
      <c r="U198" s="1085"/>
      <c r="V198" s="1085"/>
      <c r="W198" s="1085"/>
      <c r="X198" s="1085"/>
      <c r="Y198" s="1085"/>
      <c r="Z198" s="1085"/>
      <c r="AA198" s="1085"/>
      <c r="AB198" s="1085"/>
      <c r="AC198" s="1085"/>
      <c r="AD198" s="1085"/>
      <c r="AE198" s="1085"/>
      <c r="AF198" s="1085"/>
      <c r="AG198" s="1085"/>
      <c r="AH198" s="1085"/>
      <c r="AI198" s="1085"/>
      <c r="AJ198" s="1085"/>
      <c r="AK198" s="1085"/>
      <c r="AL198" s="1085"/>
      <c r="AM198" s="1085"/>
      <c r="AN198" s="1085"/>
      <c r="AO198" s="1085"/>
      <c r="AP198" s="1085"/>
      <c r="AQ198" s="1085"/>
      <c r="AR198" s="1085"/>
      <c r="AS198" s="1085"/>
      <c r="AT198" s="1085"/>
      <c r="AU198" s="1085"/>
      <c r="AV198" s="1085"/>
    </row>
    <row r="199" spans="1:48" ht="30">
      <c r="A199" s="1082">
        <v>194</v>
      </c>
      <c r="B199" s="1083" t="str">
        <f>VLOOKUP(Table17[[#This Row],[šifra]],Table6[],2,0)</f>
        <v xml:space="preserve">VivaPalazzo d.d., Podružnica Osijek </v>
      </c>
      <c r="C199" s="1083">
        <f>VLOOKUP(Table17[[#This Row],[šifra]],Table6[],3,0)</f>
        <v>23</v>
      </c>
      <c r="D199" s="1084" t="str">
        <f>VLOOKUP(Table17[[#This Row],[šifra]],Table6[],4,0)</f>
        <v>MARKO</v>
      </c>
      <c r="E199" s="118" t="str">
        <f>VLOOKUP(Table17[[#This Row],[šifra]],Table6[],6,0)</f>
        <v>penzugy@vivapalazzo.hu, szilagyi.judit@vivapalazzo.hu</v>
      </c>
      <c r="F199" s="118" t="e">
        <f>VLOOKUP(Table17[[#This Row],[šifra]],Table2,11,0)</f>
        <v>#N/A</v>
      </c>
      <c r="G199" s="1085" t="e">
        <f>VLOOKUP(Table17[[#This Row],[šifra]],Table2,10,0)</f>
        <v>#N/A</v>
      </c>
      <c r="H199" s="1085" t="str">
        <f>poduzeća!W195</f>
        <v>da</v>
      </c>
      <c r="I199" s="846"/>
      <c r="J199" s="1085"/>
      <c r="K199" s="1085"/>
      <c r="L199" s="1085"/>
      <c r="M199" s="196"/>
      <c r="N199" s="1085"/>
      <c r="O199" s="1085"/>
      <c r="P199" s="1085"/>
      <c r="Q199" s="1085"/>
      <c r="R199" s="1085"/>
      <c r="S199" s="1085"/>
      <c r="T199" s="1085"/>
      <c r="U199" s="1085"/>
      <c r="V199" s="1085"/>
      <c r="W199" s="1085"/>
      <c r="X199" s="1085"/>
      <c r="Y199" s="1085"/>
      <c r="Z199" s="1085"/>
      <c r="AA199" s="1085"/>
      <c r="AB199" s="1085"/>
      <c r="AC199" s="1085"/>
      <c r="AD199" s="1085"/>
      <c r="AE199" s="1085"/>
      <c r="AF199" s="1085"/>
      <c r="AG199" s="1085"/>
      <c r="AH199" s="1085"/>
      <c r="AI199" s="1085"/>
      <c r="AJ199" s="1085"/>
      <c r="AK199" s="1085"/>
      <c r="AL199" s="1085"/>
      <c r="AM199" s="1085"/>
      <c r="AN199" s="1085"/>
      <c r="AO199" s="1085"/>
      <c r="AP199" s="1085"/>
      <c r="AQ199" s="1085"/>
      <c r="AR199" s="1085"/>
      <c r="AS199" s="1085"/>
      <c r="AT199" s="1085"/>
      <c r="AU199" s="1085"/>
      <c r="AV199" s="1085"/>
    </row>
    <row r="200" spans="1:48">
      <c r="A200" s="1082">
        <v>195</v>
      </c>
      <c r="B200" s="1083" t="str">
        <f>VLOOKUP(Table17[[#This Row],[šifra]],Table6[],2,0)</f>
        <v>Eurofroszt</v>
      </c>
      <c r="C200" s="1083">
        <f>VLOOKUP(Table17[[#This Row],[šifra]],Table6[],3,0)</f>
        <v>11</v>
      </c>
      <c r="D200" s="1084" t="str">
        <f>VLOOKUP(Table17[[#This Row],[šifra]],Table6[],4,0)</f>
        <v>GABRIJELA</v>
      </c>
      <c r="E200" s="118">
        <f>VLOOKUP(Table17[[#This Row],[šifra]],Table6[],6,0)</f>
        <v>0</v>
      </c>
      <c r="F200" s="118" t="e">
        <f>VLOOKUP(Table17[[#This Row],[šifra]],Table2,11,0)</f>
        <v>#N/A</v>
      </c>
      <c r="G200" s="1085" t="e">
        <f>VLOOKUP(Table17[[#This Row],[šifra]],Table2,10,0)</f>
        <v>#N/A</v>
      </c>
      <c r="H200" s="1085">
        <f>poduzeća!W196</f>
        <v>0</v>
      </c>
      <c r="I200" s="846"/>
      <c r="J200" s="1085"/>
      <c r="K200" s="1085"/>
      <c r="L200" s="1085"/>
      <c r="M200" s="196"/>
      <c r="N200" s="1085"/>
      <c r="O200" s="1085"/>
      <c r="P200" s="1085"/>
      <c r="Q200" s="1085"/>
      <c r="R200" s="1085"/>
      <c r="S200" s="1085"/>
      <c r="T200" s="1085"/>
      <c r="U200" s="1085"/>
      <c r="V200" s="1085"/>
      <c r="W200" s="1085"/>
      <c r="X200" s="1085"/>
      <c r="Y200" s="1085"/>
      <c r="Z200" s="1085"/>
      <c r="AA200" s="1085"/>
      <c r="AB200" s="1085"/>
      <c r="AC200" s="1085"/>
      <c r="AD200" s="1085"/>
      <c r="AE200" s="1085"/>
      <c r="AF200" s="1085"/>
      <c r="AG200" s="1085"/>
      <c r="AH200" s="1085"/>
      <c r="AI200" s="1085"/>
      <c r="AJ200" s="1085"/>
      <c r="AK200" s="1085"/>
      <c r="AL200" s="1085"/>
      <c r="AM200" s="1085"/>
      <c r="AN200" s="1085"/>
      <c r="AO200" s="1085"/>
      <c r="AP200" s="1085"/>
      <c r="AQ200" s="1085"/>
      <c r="AR200" s="1085"/>
      <c r="AS200" s="1085"/>
      <c r="AT200" s="1085"/>
      <c r="AU200" s="1085"/>
      <c r="AV200" s="1085"/>
    </row>
    <row r="201" spans="1:48">
      <c r="A201" s="1082">
        <v>196</v>
      </c>
      <c r="B201" s="1083" t="str">
        <f>VLOOKUP(Table17[[#This Row],[šifra]],Table6[],2,0)</f>
        <v>Mihaly Tari Zoltán</v>
      </c>
      <c r="C201" s="1083">
        <f>VLOOKUP(Table17[[#This Row],[šifra]],Table6[],3,0)</f>
        <v>14</v>
      </c>
      <c r="D201" s="1084" t="str">
        <f>VLOOKUP(Table17[[#This Row],[šifra]],Table6[],4,0)</f>
        <v>PONEKAD</v>
      </c>
      <c r="E201" s="118" t="str">
        <f>VLOOKUP(Table17[[#This Row],[šifra]],Table6[],6,0)</f>
        <v>paganella60@gmail.com</v>
      </c>
      <c r="F201" s="118" t="e">
        <f>VLOOKUP(Table17[[#This Row],[šifra]],Table2,11,0)</f>
        <v>#N/A</v>
      </c>
      <c r="G201" s="1085" t="e">
        <f>VLOOKUP(Table17[[#This Row],[šifra]],Table2,10,0)</f>
        <v>#N/A</v>
      </c>
      <c r="H201" s="1085">
        <f>poduzeća!W197</f>
        <v>0</v>
      </c>
      <c r="I201" s="846"/>
      <c r="J201" s="1085"/>
      <c r="K201" s="1085"/>
      <c r="L201" s="1085"/>
      <c r="M201" s="196"/>
      <c r="N201" s="1085"/>
      <c r="O201" s="1085"/>
      <c r="P201" s="1085"/>
      <c r="Q201" s="1085"/>
      <c r="R201" s="1085"/>
      <c r="S201" s="1085"/>
      <c r="T201" s="1085"/>
      <c r="U201" s="1085"/>
      <c r="V201" s="1085"/>
      <c r="W201" s="1085"/>
      <c r="X201" s="1085"/>
      <c r="Y201" s="1085"/>
      <c r="Z201" s="1085"/>
      <c r="AA201" s="1085"/>
      <c r="AB201" s="1085"/>
      <c r="AC201" s="1085"/>
      <c r="AD201" s="1085"/>
      <c r="AE201" s="1085"/>
      <c r="AF201" s="1085"/>
      <c r="AG201" s="1085"/>
      <c r="AH201" s="1085"/>
      <c r="AI201" s="1085"/>
      <c r="AJ201" s="1085"/>
      <c r="AK201" s="1085"/>
      <c r="AL201" s="1085"/>
      <c r="AM201" s="1085"/>
      <c r="AN201" s="1085"/>
      <c r="AO201" s="1085"/>
      <c r="AP201" s="1085"/>
      <c r="AQ201" s="1085"/>
      <c r="AR201" s="1085"/>
      <c r="AS201" s="1085"/>
      <c r="AT201" s="1085"/>
      <c r="AU201" s="1085"/>
      <c r="AV201" s="1085"/>
    </row>
    <row r="202" spans="1:48" ht="30">
      <c r="A202" s="1082">
        <v>197</v>
      </c>
      <c r="B202" s="1083" t="str">
        <f>VLOOKUP(Table17[[#This Row],[šifra]],Table6[],2,0)</f>
        <v>CLEANING FACILITY MANAGEMENT d.o.o.</v>
      </c>
      <c r="C202" s="1083">
        <f>VLOOKUP(Table17[[#This Row],[šifra]],Table6[],3,0)</f>
        <v>2</v>
      </c>
      <c r="D202" s="1084" t="str">
        <f>VLOOKUP(Table17[[#This Row],[šifra]],Table6[],4,0)</f>
        <v>LAURA</v>
      </c>
      <c r="E202" s="118" t="str">
        <f>VLOOKUP(Table17[[#This Row],[šifra]],Table6[],6,0)</f>
        <v>gorant512@gmail.com. lukatatalovic2020@gmail.com</v>
      </c>
      <c r="F202" s="118" t="e">
        <f>VLOOKUP(Table17[[#This Row],[šifra]],Table2,11,0)</f>
        <v>#N/A</v>
      </c>
      <c r="G202" s="1085" t="e">
        <f>VLOOKUP(Table17[[#This Row],[šifra]],Table2,10,0)</f>
        <v>#N/A</v>
      </c>
      <c r="H202" s="1085" t="str">
        <f>poduzeća!W198</f>
        <v>ne</v>
      </c>
      <c r="I202" s="846"/>
      <c r="J202" s="1085"/>
      <c r="K202" s="1085"/>
      <c r="L202" s="1085"/>
      <c r="M202" s="196"/>
      <c r="N202" s="1085"/>
      <c r="O202" s="1085"/>
      <c r="P202" s="1085"/>
      <c r="Q202" s="1085"/>
      <c r="R202" s="1085"/>
      <c r="S202" s="1085"/>
      <c r="T202" s="1085"/>
      <c r="U202" s="1085"/>
      <c r="V202" s="1085"/>
      <c r="W202" s="1085"/>
      <c r="X202" s="1085"/>
      <c r="Y202" s="1085"/>
      <c r="Z202" s="1085"/>
      <c r="AA202" s="1085"/>
      <c r="AB202" s="1085"/>
      <c r="AC202" s="1085"/>
      <c r="AD202" s="1085"/>
      <c r="AE202" s="1085"/>
      <c r="AF202" s="1085"/>
      <c r="AG202" s="1085"/>
      <c r="AH202" s="1085"/>
      <c r="AI202" s="1085"/>
      <c r="AJ202" s="1085"/>
      <c r="AK202" s="1085"/>
      <c r="AL202" s="1085"/>
      <c r="AM202" s="1085"/>
      <c r="AN202" s="1085"/>
      <c r="AO202" s="1085"/>
      <c r="AP202" s="1085"/>
      <c r="AQ202" s="1085"/>
      <c r="AR202" s="1085"/>
      <c r="AS202" s="1085"/>
      <c r="AT202" s="1085"/>
      <c r="AU202" s="1085"/>
      <c r="AV202" s="1085"/>
    </row>
    <row r="203" spans="1:48" ht="45">
      <c r="A203" s="1082">
        <v>198</v>
      </c>
      <c r="B203" s="1083" t="str">
        <f>VLOOKUP(Table17[[#This Row],[šifra]],Table6[],2,0)</f>
        <v>SAGITA CONSULTING, OBRT  VL.JANOŠ ANDOČI PAUŠALNI OBRTNIK</v>
      </c>
      <c r="C203" s="1083">
        <f>VLOOKUP(Table17[[#This Row],[šifra]],Table6[],3,0)</f>
        <v>23</v>
      </c>
      <c r="D203" s="1084" t="str">
        <f>VLOOKUP(Table17[[#This Row],[šifra]],Table6[],4,0)</f>
        <v>MARKO</v>
      </c>
      <c r="E203" s="118" t="str">
        <f>VLOOKUP(Table17[[#This Row],[šifra]],Table6[],6,0)</f>
        <v>andocsi.janos@gmail.com. Janos.andoci@skole.hr</v>
      </c>
      <c r="F203" s="118" t="e">
        <f>VLOOKUP(Table17[[#This Row],[šifra]],Table2,11,0)</f>
        <v>#N/A</v>
      </c>
      <c r="G203" s="1085" t="e">
        <f>VLOOKUP(Table17[[#This Row],[šifra]],Table2,10,0)</f>
        <v>#N/A</v>
      </c>
      <c r="H203" s="1085" t="str">
        <f>poduzeća!W199</f>
        <v>M-da</v>
      </c>
      <c r="I203" s="846"/>
      <c r="J203" s="1085"/>
      <c r="K203" s="1085"/>
      <c r="L203" s="1085"/>
      <c r="M203" s="196"/>
      <c r="N203" s="1085"/>
      <c r="O203" s="1085"/>
      <c r="P203" s="1085"/>
      <c r="Q203" s="1085"/>
      <c r="R203" s="1085"/>
      <c r="S203" s="1085"/>
      <c r="T203" s="1085"/>
      <c r="U203" s="1085"/>
      <c r="V203" s="1085"/>
      <c r="W203" s="1085"/>
      <c r="X203" s="1085"/>
      <c r="Y203" s="1085"/>
      <c r="Z203" s="1085"/>
      <c r="AA203" s="1085"/>
      <c r="AB203" s="1085"/>
      <c r="AC203" s="1085"/>
      <c r="AD203" s="1085"/>
      <c r="AE203" s="1085"/>
      <c r="AF203" s="1085"/>
      <c r="AG203" s="1085"/>
      <c r="AH203" s="1085"/>
      <c r="AI203" s="1085"/>
      <c r="AJ203" s="1085"/>
      <c r="AK203" s="1085"/>
      <c r="AL203" s="1085"/>
      <c r="AM203" s="1085"/>
      <c r="AN203" s="1085"/>
      <c r="AO203" s="1085"/>
      <c r="AP203" s="1085"/>
      <c r="AQ203" s="1085"/>
      <c r="AR203" s="1085"/>
      <c r="AS203" s="1085"/>
      <c r="AT203" s="1085"/>
      <c r="AU203" s="1085"/>
      <c r="AV203" s="1085"/>
    </row>
    <row r="204" spans="1:48">
      <c r="A204" s="1082">
        <v>199</v>
      </c>
      <c r="B204" s="1083" t="str">
        <f>VLOOKUP(Table17[[#This Row],[šifra]],Table6[],2,0)</f>
        <v>Jachimiám Tünde</v>
      </c>
      <c r="C204" s="1083">
        <f>VLOOKUP(Table17[[#This Row],[šifra]],Table6[],3,0)</f>
        <v>2</v>
      </c>
      <c r="D204" s="1084" t="str">
        <f>VLOOKUP(Table17[[#This Row],[šifra]],Table6[],4,0)</f>
        <v>LAURA</v>
      </c>
      <c r="E204" s="118" t="str">
        <f>VLOOKUP(Table17[[#This Row],[šifra]],Table6[],6,0)</f>
        <v>tunde@riso.hu</v>
      </c>
      <c r="F204" s="118" t="e">
        <f>VLOOKUP(Table17[[#This Row],[šifra]],Table2,11,0)</f>
        <v>#N/A</v>
      </c>
      <c r="G204" s="1085" t="e">
        <f>VLOOKUP(Table17[[#This Row],[šifra]],Table2,10,0)</f>
        <v>#N/A</v>
      </c>
      <c r="H204" s="1085" t="str">
        <f>poduzeća!W200</f>
        <v>ne</v>
      </c>
      <c r="I204" s="846"/>
      <c r="J204" s="1085"/>
      <c r="K204" s="1085"/>
      <c r="L204" s="1085"/>
      <c r="M204" s="196"/>
      <c r="N204" s="1085"/>
      <c r="O204" s="1085"/>
      <c r="P204" s="1085"/>
      <c r="Q204" s="1085"/>
      <c r="R204" s="1085"/>
      <c r="S204" s="1085"/>
      <c r="T204" s="1085"/>
      <c r="U204" s="1085"/>
      <c r="V204" s="1085"/>
      <c r="W204" s="1085"/>
      <c r="X204" s="1085"/>
      <c r="Y204" s="1085"/>
      <c r="Z204" s="1085"/>
      <c r="AA204" s="1085"/>
      <c r="AB204" s="1085"/>
      <c r="AC204" s="1085"/>
      <c r="AD204" s="1085"/>
      <c r="AE204" s="1085"/>
      <c r="AF204" s="1085"/>
      <c r="AG204" s="1085"/>
      <c r="AH204" s="1085"/>
      <c r="AI204" s="1085"/>
      <c r="AJ204" s="1085"/>
      <c r="AK204" s="1085"/>
      <c r="AL204" s="1085"/>
      <c r="AM204" s="1085"/>
      <c r="AN204" s="1085"/>
      <c r="AO204" s="1085"/>
      <c r="AP204" s="1085"/>
      <c r="AQ204" s="1085"/>
      <c r="AR204" s="1085"/>
      <c r="AS204" s="1085"/>
      <c r="AT204" s="1085"/>
      <c r="AU204" s="1085"/>
      <c r="AV204" s="1085"/>
    </row>
    <row r="205" spans="1:48">
      <c r="A205" s="1082">
        <v>200</v>
      </c>
      <c r="B205" s="1083" t="str">
        <f>VLOOKUP(Table17[[#This Row],[šifra]],Table6[],2,0)</f>
        <v>Takács Lászlő Barna</v>
      </c>
      <c r="C205" s="1083">
        <f>VLOOKUP(Table17[[#This Row],[šifra]],Table6[],3,0)</f>
        <v>2</v>
      </c>
      <c r="D205" s="1084" t="str">
        <f>VLOOKUP(Table17[[#This Row],[šifra]],Table6[],4,0)</f>
        <v>LAURA</v>
      </c>
      <c r="E205" s="118" t="str">
        <f>VLOOKUP(Table17[[#This Row],[šifra]],Table6[],6,0)</f>
        <v>tunde@riso.hu</v>
      </c>
      <c r="F205" s="118" t="e">
        <f>VLOOKUP(Table17[[#This Row],[šifra]],Table2,11,0)</f>
        <v>#N/A</v>
      </c>
      <c r="G205" s="1085" t="e">
        <f>VLOOKUP(Table17[[#This Row],[šifra]],Table2,10,0)</f>
        <v>#N/A</v>
      </c>
      <c r="H205" s="1085" t="str">
        <f>poduzeća!W201</f>
        <v>ne</v>
      </c>
      <c r="I205" s="846"/>
      <c r="J205" s="1085"/>
      <c r="K205" s="1085"/>
      <c r="L205" s="1085"/>
      <c r="M205" s="196"/>
      <c r="N205" s="1085"/>
      <c r="O205" s="1085"/>
      <c r="P205" s="1085"/>
      <c r="Q205" s="1085"/>
      <c r="R205" s="1085"/>
      <c r="S205" s="1085"/>
      <c r="T205" s="1085"/>
      <c r="U205" s="1085"/>
      <c r="V205" s="1085"/>
      <c r="W205" s="1085"/>
      <c r="X205" s="1085"/>
      <c r="Y205" s="1085"/>
      <c r="Z205" s="1085"/>
      <c r="AA205" s="1085"/>
      <c r="AB205" s="1085"/>
      <c r="AC205" s="1085"/>
      <c r="AD205" s="1085"/>
      <c r="AE205" s="1085"/>
      <c r="AF205" s="1085"/>
      <c r="AG205" s="1085"/>
      <c r="AH205" s="1085"/>
      <c r="AI205" s="1085"/>
      <c r="AJ205" s="1085"/>
      <c r="AK205" s="1085"/>
      <c r="AL205" s="1085"/>
      <c r="AM205" s="1085"/>
      <c r="AN205" s="1085"/>
      <c r="AO205" s="1085"/>
      <c r="AP205" s="1085"/>
      <c r="AQ205" s="1085"/>
      <c r="AR205" s="1085"/>
      <c r="AS205" s="1085"/>
      <c r="AT205" s="1085"/>
      <c r="AU205" s="1085"/>
      <c r="AV205" s="1085"/>
    </row>
    <row r="206" spans="1:48">
      <c r="A206" s="1082">
        <v>201</v>
      </c>
      <c r="B206" s="1083" t="str">
        <f>VLOOKUP(Table17[[#This Row],[šifra]],Table6[],2,0)</f>
        <v>Vura Péter</v>
      </c>
      <c r="C206" s="1083">
        <f>VLOOKUP(Table17[[#This Row],[šifra]],Table6[],3,0)</f>
        <v>2</v>
      </c>
      <c r="D206" s="1084" t="str">
        <f>VLOOKUP(Table17[[#This Row],[šifra]],Table6[],4,0)</f>
        <v>LAURA</v>
      </c>
      <c r="E206" s="118" t="str">
        <f>VLOOKUP(Table17[[#This Row],[šifra]],Table6[],6,0)</f>
        <v>gyopar1975@gmail.com</v>
      </c>
      <c r="F206" s="118" t="e">
        <f>VLOOKUP(Table17[[#This Row],[šifra]],Table2,11,0)</f>
        <v>#N/A</v>
      </c>
      <c r="G206" s="1085" t="e">
        <f>VLOOKUP(Table17[[#This Row],[šifra]],Table2,10,0)</f>
        <v>#N/A</v>
      </c>
      <c r="H206" s="1085">
        <f>poduzeća!W202</f>
        <v>0</v>
      </c>
      <c r="I206" s="846"/>
      <c r="J206" s="1085"/>
      <c r="K206" s="1085"/>
      <c r="L206" s="1085"/>
      <c r="M206" s="196"/>
      <c r="N206" s="1085"/>
      <c r="O206" s="1085"/>
      <c r="P206" s="1085"/>
      <c r="Q206" s="1085"/>
      <c r="R206" s="1085"/>
      <c r="S206" s="1085"/>
      <c r="T206" s="1085"/>
      <c r="U206" s="1085"/>
      <c r="V206" s="1085"/>
      <c r="W206" s="1085"/>
      <c r="X206" s="1085"/>
      <c r="Y206" s="1085"/>
      <c r="Z206" s="1085"/>
      <c r="AA206" s="1085"/>
      <c r="AB206" s="1085"/>
      <c r="AC206" s="1085"/>
      <c r="AD206" s="1085"/>
      <c r="AE206" s="1085"/>
      <c r="AF206" s="1085"/>
      <c r="AG206" s="1085"/>
      <c r="AH206" s="1085"/>
      <c r="AI206" s="1085"/>
      <c r="AJ206" s="1085"/>
      <c r="AK206" s="1085"/>
      <c r="AL206" s="1085"/>
      <c r="AM206" s="1085"/>
      <c r="AN206" s="1085"/>
      <c r="AO206" s="1085"/>
      <c r="AP206" s="1085"/>
      <c r="AQ206" s="1085"/>
      <c r="AR206" s="1085"/>
      <c r="AS206" s="1085"/>
      <c r="AT206" s="1085"/>
      <c r="AU206" s="1085"/>
      <c r="AV206" s="1085"/>
    </row>
    <row r="207" spans="1:48" ht="30">
      <c r="A207" s="1082">
        <v>202</v>
      </c>
      <c r="B207" s="1083" t="str">
        <f>VLOOKUP(Table17[[#This Row],[šifra]],Table6[],2,0)</f>
        <v>GENERATE PROSYSTEM IPARI GYARTO  kft</v>
      </c>
      <c r="C207" s="1083">
        <f>VLOOKUP(Table17[[#This Row],[šifra]],Table6[],3,0)</f>
        <v>2</v>
      </c>
      <c r="D207" s="1084" t="str">
        <f>VLOOKUP(Table17[[#This Row],[šifra]],Table6[],4,0)</f>
        <v>LAURA</v>
      </c>
      <c r="E207" s="118" t="str">
        <f>VLOOKUP(Table17[[#This Row],[šifra]],Table6[],6,0)</f>
        <v>sovágo csaba</v>
      </c>
      <c r="F207" s="118" t="e">
        <f>VLOOKUP(Table17[[#This Row],[šifra]],Table2,11,0)</f>
        <v>#N/A</v>
      </c>
      <c r="G207" s="1085" t="e">
        <f>VLOOKUP(Table17[[#This Row],[šifra]],Table2,10,0)</f>
        <v>#N/A</v>
      </c>
      <c r="H207" s="1085" t="str">
        <f>poduzeća!W203</f>
        <v>ne</v>
      </c>
      <c r="I207" s="846"/>
      <c r="J207" s="1085"/>
      <c r="K207" s="1085"/>
      <c r="L207" s="1085"/>
      <c r="M207" s="196"/>
      <c r="N207" s="1085"/>
      <c r="O207" s="1085"/>
      <c r="P207" s="1085"/>
      <c r="Q207" s="1085"/>
      <c r="R207" s="1085"/>
      <c r="S207" s="1085"/>
      <c r="T207" s="1085"/>
      <c r="U207" s="1085"/>
      <c r="V207" s="1085"/>
      <c r="W207" s="1085"/>
      <c r="X207" s="1085"/>
      <c r="Y207" s="1085"/>
      <c r="Z207" s="1085"/>
      <c r="AA207" s="1085"/>
      <c r="AB207" s="1085"/>
      <c r="AC207" s="1085"/>
      <c r="AD207" s="1085"/>
      <c r="AE207" s="1085"/>
      <c r="AF207" s="1085"/>
      <c r="AG207" s="1085"/>
      <c r="AH207" s="1085"/>
      <c r="AI207" s="1085"/>
      <c r="AJ207" s="1085"/>
      <c r="AK207" s="1085"/>
      <c r="AL207" s="1085"/>
      <c r="AM207" s="1085"/>
      <c r="AN207" s="1085"/>
      <c r="AO207" s="1085"/>
      <c r="AP207" s="1085"/>
      <c r="AQ207" s="1085"/>
      <c r="AR207" s="1085"/>
      <c r="AS207" s="1085"/>
      <c r="AT207" s="1085"/>
      <c r="AU207" s="1085"/>
      <c r="AV207" s="1085"/>
    </row>
  </sheetData>
  <mergeCells count="14">
    <mergeCell ref="H3:I3"/>
    <mergeCell ref="AI4:AK4"/>
    <mergeCell ref="F4:G4"/>
    <mergeCell ref="H4:I4"/>
    <mergeCell ref="J4:K4"/>
    <mergeCell ref="P4:Q4"/>
    <mergeCell ref="S4:U4"/>
    <mergeCell ref="AL4:AN4"/>
    <mergeCell ref="AO4:AQ4"/>
    <mergeCell ref="AR4:AT4"/>
    <mergeCell ref="Y4:AB4"/>
    <mergeCell ref="V4:X4"/>
    <mergeCell ref="AC4:AE4"/>
    <mergeCell ref="AF4:AH4"/>
  </mergeCells>
  <pageMargins left="0.7" right="0.7" top="0.75" bottom="0.75" header="0.3" footer="0.3"/>
  <pageSetup paperSize="9" scale="22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O4"/>
  <sheetViews>
    <sheetView workbookViewId="0">
      <selection activeCell="G12" sqref="G12"/>
    </sheetView>
  </sheetViews>
  <sheetFormatPr defaultColWidth="9" defaultRowHeight="15"/>
  <cols>
    <col min="1" max="1" width="19.42578125" customWidth="1"/>
    <col min="2" max="3" width="11.42578125" customWidth="1"/>
    <col min="4" max="4" width="13.7109375" customWidth="1"/>
    <col min="5" max="7" width="10.140625" customWidth="1"/>
    <col min="8" max="8" width="11.140625" customWidth="1"/>
    <col min="9" max="9" width="12.140625" customWidth="1"/>
    <col min="10" max="10" width="10.140625" customWidth="1"/>
    <col min="12" max="13" width="10.140625" customWidth="1"/>
  </cols>
  <sheetData>
    <row r="1" spans="1:15">
      <c r="D1" s="1090" t="s">
        <v>244</v>
      </c>
      <c r="E1" s="1090"/>
      <c r="F1" s="1090"/>
      <c r="G1" s="1090"/>
      <c r="H1" s="1090"/>
      <c r="I1" s="1090"/>
      <c r="J1" s="1090"/>
      <c r="K1" s="1090"/>
      <c r="L1" s="1090"/>
      <c r="M1" s="1090"/>
      <c r="N1" s="1090"/>
      <c r="O1" s="1090"/>
    </row>
    <row r="2" spans="1:15">
      <c r="A2" t="s">
        <v>245</v>
      </c>
      <c r="B2" t="s">
        <v>246</v>
      </c>
      <c r="C2" t="s">
        <v>247</v>
      </c>
      <c r="D2" t="s">
        <v>248</v>
      </c>
      <c r="E2" t="s">
        <v>249</v>
      </c>
      <c r="F2" t="s">
        <v>250</v>
      </c>
      <c r="G2" s="40" t="s">
        <v>251</v>
      </c>
      <c r="H2" s="40" t="s">
        <v>252</v>
      </c>
      <c r="I2" s="40" t="s">
        <v>253</v>
      </c>
      <c r="J2" s="40" t="s">
        <v>254</v>
      </c>
      <c r="K2" s="40" t="s">
        <v>255</v>
      </c>
      <c r="L2" s="40" t="s">
        <v>256</v>
      </c>
      <c r="M2" s="40" t="s">
        <v>257</v>
      </c>
      <c r="N2" s="40" t="s">
        <v>258</v>
      </c>
      <c r="O2" s="40" t="s">
        <v>259</v>
      </c>
    </row>
    <row r="3" spans="1:15">
      <c r="A3" t="s">
        <v>262</v>
      </c>
      <c r="B3" t="s">
        <v>260</v>
      </c>
      <c r="C3" t="s">
        <v>261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t="s">
        <v>263</v>
      </c>
      <c r="B4" t="s">
        <v>260</v>
      </c>
      <c r="C4" t="s">
        <v>261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</sheetData>
  <mergeCells count="1">
    <mergeCell ref="D1:O1"/>
  </mergeCells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3:I63"/>
  <sheetViews>
    <sheetView workbookViewId="0">
      <selection activeCell="D26" sqref="D26"/>
    </sheetView>
  </sheetViews>
  <sheetFormatPr defaultColWidth="9" defaultRowHeight="15"/>
  <cols>
    <col min="1" max="1" width="13.140625" customWidth="1"/>
    <col min="2" max="2" width="19" customWidth="1"/>
    <col min="3" max="3" width="15" customWidth="1"/>
    <col min="4" max="4" width="16.42578125" customWidth="1"/>
    <col min="5" max="5" width="14.7109375" hidden="1" customWidth="1"/>
    <col min="6" max="6" width="15" hidden="1" customWidth="1"/>
    <col min="7" max="7" width="16.140625" hidden="1" customWidth="1"/>
    <col min="8" max="13" width="16.42578125" customWidth="1"/>
    <col min="14" max="14" width="6" customWidth="1"/>
    <col min="15" max="15" width="8.42578125" customWidth="1"/>
    <col min="16" max="16" width="13.140625" customWidth="1"/>
    <col min="17" max="17" width="4.5703125" customWidth="1"/>
    <col min="18" max="18" width="5.5703125" customWidth="1"/>
    <col min="19" max="23" width="4.5703125" customWidth="1"/>
    <col min="24" max="24" width="5" customWidth="1"/>
    <col min="25" max="25" width="8" customWidth="1"/>
    <col min="26" max="27" width="5" customWidth="1"/>
    <col min="28" max="28" width="6" customWidth="1"/>
    <col min="29" max="29" width="8.42578125" customWidth="1"/>
    <col min="30" max="30" width="19.28515625" customWidth="1"/>
    <col min="31" max="31" width="6.5703125" customWidth="1"/>
    <col min="32" max="34" width="8.140625" customWidth="1"/>
    <col min="35" max="35" width="6.5703125" customWidth="1"/>
    <col min="36" max="36" width="8.140625" customWidth="1"/>
    <col min="37" max="37" width="6.5703125" customWidth="1"/>
    <col min="38" max="42" width="8.140625" customWidth="1"/>
    <col min="43" max="43" width="8.42578125" customWidth="1"/>
    <col min="44" max="44" width="14.42578125" customWidth="1"/>
    <col min="45" max="45" width="4.5703125" customWidth="1"/>
    <col min="46" max="46" width="5.5703125" customWidth="1"/>
    <col min="47" max="51" width="4.5703125" customWidth="1"/>
    <col min="52" max="52" width="5" customWidth="1"/>
    <col min="53" max="53" width="8" customWidth="1"/>
    <col min="54" max="55" width="5" customWidth="1"/>
    <col min="56" max="56" width="6" customWidth="1"/>
    <col min="57" max="57" width="8.42578125" customWidth="1"/>
    <col min="58" max="58" width="20.28515625" customWidth="1"/>
    <col min="59" max="59" width="6.5703125" customWidth="1"/>
    <col min="60" max="60" width="8.140625" customWidth="1"/>
    <col min="61" max="61" width="6.5703125" customWidth="1"/>
    <col min="62" max="62" width="8.140625" customWidth="1"/>
    <col min="63" max="63" width="6.5703125" customWidth="1"/>
    <col min="64" max="64" width="8.140625" customWidth="1"/>
    <col min="65" max="65" width="6.5703125" customWidth="1"/>
    <col min="66" max="70" width="8.140625" customWidth="1"/>
    <col min="71" max="71" width="8.42578125" customWidth="1"/>
    <col min="72" max="72" width="14.42578125" customWidth="1"/>
    <col min="73" max="73" width="4.5703125" customWidth="1"/>
    <col min="74" max="74" width="5.5703125" customWidth="1"/>
    <col min="75" max="79" width="4.5703125" customWidth="1"/>
    <col min="80" max="80" width="5" customWidth="1"/>
    <col min="81" max="81" width="8" customWidth="1"/>
    <col min="82" max="83" width="5" customWidth="1"/>
    <col min="84" max="84" width="6" customWidth="1"/>
    <col min="85" max="85" width="8.42578125" customWidth="1"/>
    <col min="86" max="86" width="17.7109375" customWidth="1"/>
    <col min="87" max="87" width="6.5703125" customWidth="1"/>
    <col min="88" max="88" width="8.140625" customWidth="1"/>
    <col min="89" max="89" width="6.5703125" customWidth="1"/>
    <col min="90" max="90" width="8.140625" customWidth="1"/>
    <col min="91" max="91" width="6.5703125" customWidth="1"/>
    <col min="92" max="92" width="8.140625" customWidth="1"/>
    <col min="93" max="93" width="6.5703125" customWidth="1"/>
    <col min="94" max="97" width="8.140625" customWidth="1"/>
    <col min="99" max="99" width="8.42578125" customWidth="1"/>
    <col min="100" max="100" width="18.7109375" customWidth="1"/>
    <col min="101" max="101" width="4.5703125" customWidth="1"/>
    <col min="102" max="102" width="5.5703125" customWidth="1"/>
    <col min="103" max="107" width="4.5703125" customWidth="1"/>
    <col min="108" max="108" width="5" customWidth="1"/>
    <col min="109" max="109" width="8" customWidth="1"/>
    <col min="110" max="111" width="5" customWidth="1"/>
    <col min="112" max="112" width="6" customWidth="1"/>
    <col min="113" max="113" width="8.42578125" customWidth="1"/>
    <col min="114" max="114" width="18.140625" customWidth="1"/>
    <col min="115" max="115" width="6.5703125" customWidth="1"/>
    <col min="116" max="116" width="8.140625" customWidth="1"/>
    <col min="117" max="117" width="6.5703125" customWidth="1"/>
    <col min="118" max="118" width="8.140625" customWidth="1"/>
    <col min="119" max="119" width="6.5703125" customWidth="1"/>
    <col min="120" max="120" width="8.140625" customWidth="1"/>
    <col min="121" max="121" width="6.5703125" customWidth="1"/>
    <col min="122" max="125" width="8.140625" customWidth="1"/>
    <col min="127" max="127" width="8.42578125" customWidth="1"/>
    <col min="128" max="128" width="17.5703125" customWidth="1"/>
    <col min="129" max="129" width="4.5703125" customWidth="1"/>
    <col min="130" max="130" width="5.5703125" customWidth="1"/>
    <col min="131" max="135" width="4.5703125" customWidth="1"/>
    <col min="136" max="136" width="5" customWidth="1"/>
    <col min="137" max="137" width="8" customWidth="1"/>
    <col min="138" max="139" width="5" customWidth="1"/>
    <col min="140" max="140" width="6" customWidth="1"/>
    <col min="141" max="141" width="8.42578125" customWidth="1"/>
    <col min="142" max="142" width="16.42578125" customWidth="1"/>
    <col min="143" max="143" width="6.5703125" customWidth="1"/>
    <col min="144" max="144" width="8.140625" customWidth="1"/>
    <col min="145" max="145" width="6.5703125" customWidth="1"/>
    <col min="146" max="146" width="8.140625" customWidth="1"/>
    <col min="147" max="147" width="6.5703125" customWidth="1"/>
    <col min="148" max="148" width="8.140625" customWidth="1"/>
    <col min="149" max="149" width="6.5703125" customWidth="1"/>
    <col min="150" max="153" width="8.140625" customWidth="1"/>
    <col min="155" max="155" width="8.42578125" customWidth="1"/>
    <col min="156" max="157" width="20.7109375" customWidth="1"/>
    <col min="158" max="158" width="27" customWidth="1"/>
    <col min="159" max="159" width="22.140625" customWidth="1"/>
    <col min="160" max="160" width="28" customWidth="1"/>
    <col min="161" max="161" width="22.140625" customWidth="1"/>
    <col min="162" max="162" width="25.28515625" customWidth="1"/>
    <col min="163" max="163" width="26.42578125" customWidth="1"/>
    <col min="164" max="164" width="25.85546875" customWidth="1"/>
    <col min="165" max="165" width="25.140625" customWidth="1"/>
    <col min="166" max="166" width="24.140625" customWidth="1"/>
  </cols>
  <sheetData>
    <row r="3" spans="1:9">
      <c r="H3" t="s">
        <v>264</v>
      </c>
      <c r="I3" t="s">
        <v>265</v>
      </c>
    </row>
    <row r="4" spans="1:9">
      <c r="A4" t="s">
        <v>266</v>
      </c>
      <c r="B4" t="s">
        <v>267</v>
      </c>
      <c r="C4" t="s">
        <v>268</v>
      </c>
      <c r="D4" t="s">
        <v>269</v>
      </c>
      <c r="H4" s="21">
        <v>10825</v>
      </c>
      <c r="I4" t="s">
        <v>270</v>
      </c>
    </row>
    <row r="5" spans="1:9">
      <c r="A5" s="41" t="s">
        <v>271</v>
      </c>
      <c r="B5">
        <v>18367.5</v>
      </c>
      <c r="C5">
        <v>18</v>
      </c>
      <c r="D5">
        <v>10825</v>
      </c>
      <c r="H5" s="21">
        <v>6350</v>
      </c>
      <c r="I5" t="s">
        <v>272</v>
      </c>
    </row>
    <row r="6" spans="1:9">
      <c r="A6" s="41" t="s">
        <v>273</v>
      </c>
      <c r="B6">
        <v>15370</v>
      </c>
      <c r="C6">
        <v>22</v>
      </c>
      <c r="D6">
        <v>6350</v>
      </c>
      <c r="H6" s="21">
        <v>1000</v>
      </c>
      <c r="I6" t="s">
        <v>272</v>
      </c>
    </row>
    <row r="7" spans="1:9">
      <c r="A7" s="41" t="s">
        <v>274</v>
      </c>
      <c r="C7">
        <v>1</v>
      </c>
      <c r="D7">
        <v>1000</v>
      </c>
      <c r="H7" s="21">
        <v>750</v>
      </c>
      <c r="I7" t="s">
        <v>275</v>
      </c>
    </row>
    <row r="8" spans="1:9">
      <c r="A8" s="41" t="s">
        <v>276</v>
      </c>
      <c r="D8">
        <v>750</v>
      </c>
      <c r="H8" s="21">
        <v>1300</v>
      </c>
      <c r="I8" t="s">
        <v>275</v>
      </c>
    </row>
    <row r="9" spans="1:9">
      <c r="A9" s="41" t="s">
        <v>277</v>
      </c>
      <c r="B9">
        <v>6140</v>
      </c>
      <c r="C9">
        <v>7</v>
      </c>
      <c r="D9">
        <v>1300</v>
      </c>
      <c r="H9" s="21">
        <v>1250</v>
      </c>
      <c r="I9" t="s">
        <v>278</v>
      </c>
    </row>
    <row r="10" spans="1:9">
      <c r="A10" s="41" t="s">
        <v>279</v>
      </c>
      <c r="B10">
        <v>1375</v>
      </c>
      <c r="C10">
        <v>2</v>
      </c>
      <c r="D10">
        <v>1250</v>
      </c>
      <c r="H10" s="21">
        <v>16504</v>
      </c>
      <c r="I10" t="s">
        <v>280</v>
      </c>
    </row>
    <row r="11" spans="1:9">
      <c r="A11" s="41" t="s">
        <v>280</v>
      </c>
      <c r="B11">
        <v>21280.04</v>
      </c>
      <c r="C11">
        <v>13</v>
      </c>
      <c r="D11">
        <v>16504</v>
      </c>
      <c r="H11" s="21">
        <v>3031</v>
      </c>
    </row>
    <row r="12" spans="1:9">
      <c r="A12" s="41" t="s">
        <v>281</v>
      </c>
      <c r="C12">
        <v>3</v>
      </c>
      <c r="D12">
        <v>3031</v>
      </c>
      <c r="H12" s="21">
        <v>500</v>
      </c>
    </row>
    <row r="13" spans="1:9">
      <c r="A13" s="41" t="s">
        <v>282</v>
      </c>
      <c r="D13">
        <v>500</v>
      </c>
      <c r="H13" s="21"/>
    </row>
    <row r="14" spans="1:9">
      <c r="A14" s="41" t="s">
        <v>283</v>
      </c>
      <c r="B14">
        <v>62532.54</v>
      </c>
      <c r="C14">
        <v>66</v>
      </c>
      <c r="D14">
        <v>41510</v>
      </c>
      <c r="H14" s="21">
        <f>SUBTOTAL(109,Table10[ukupno sa r1])</f>
        <v>41510</v>
      </c>
    </row>
    <row r="27" spans="1:2">
      <c r="A27" t="s">
        <v>266</v>
      </c>
      <c r="B27" t="s">
        <v>284</v>
      </c>
    </row>
    <row r="28" spans="1:2">
      <c r="A28" s="41" t="s">
        <v>270</v>
      </c>
      <c r="B28" s="21">
        <v>10825</v>
      </c>
    </row>
    <row r="29" spans="1:2">
      <c r="A29" s="41" t="s">
        <v>272</v>
      </c>
      <c r="B29" s="21">
        <v>7350</v>
      </c>
    </row>
    <row r="30" spans="1:2">
      <c r="A30" s="41" t="s">
        <v>275</v>
      </c>
      <c r="B30" s="21">
        <v>2050</v>
      </c>
    </row>
    <row r="31" spans="1:2">
      <c r="A31" s="41" t="s">
        <v>278</v>
      </c>
      <c r="B31" s="21">
        <v>1250</v>
      </c>
    </row>
    <row r="32" spans="1:2">
      <c r="A32" s="41" t="s">
        <v>280</v>
      </c>
      <c r="B32" s="21">
        <v>16504</v>
      </c>
    </row>
    <row r="33" spans="1:4">
      <c r="A33" s="41" t="s">
        <v>285</v>
      </c>
      <c r="B33" s="21">
        <v>3531</v>
      </c>
    </row>
    <row r="34" spans="1:4">
      <c r="A34" s="41" t="s">
        <v>283</v>
      </c>
      <c r="B34" s="21">
        <v>41510</v>
      </c>
    </row>
    <row r="44" spans="1:4">
      <c r="A44" t="s">
        <v>266</v>
      </c>
      <c r="B44" t="s">
        <v>286</v>
      </c>
      <c r="C44" t="s">
        <v>287</v>
      </c>
      <c r="D44" t="s">
        <v>288</v>
      </c>
    </row>
    <row r="45" spans="1:4">
      <c r="A45" s="41" t="s">
        <v>273</v>
      </c>
      <c r="B45">
        <v>22</v>
      </c>
      <c r="C45">
        <v>15</v>
      </c>
      <c r="D45">
        <v>7</v>
      </c>
    </row>
    <row r="46" spans="1:4">
      <c r="A46" s="41" t="s">
        <v>277</v>
      </c>
      <c r="B46">
        <v>15</v>
      </c>
      <c r="C46">
        <v>8</v>
      </c>
      <c r="D46">
        <v>3</v>
      </c>
    </row>
    <row r="47" spans="1:4">
      <c r="A47" s="41" t="s">
        <v>280</v>
      </c>
      <c r="B47">
        <v>16</v>
      </c>
      <c r="C47">
        <v>14</v>
      </c>
      <c r="D47">
        <v>5</v>
      </c>
    </row>
    <row r="48" spans="1:4">
      <c r="A48" s="41" t="s">
        <v>281</v>
      </c>
      <c r="B48">
        <v>35</v>
      </c>
      <c r="C48">
        <v>25</v>
      </c>
      <c r="D48">
        <v>3</v>
      </c>
    </row>
    <row r="49" spans="1:4">
      <c r="A49" s="41" t="s">
        <v>274</v>
      </c>
      <c r="B49">
        <v>9</v>
      </c>
      <c r="C49">
        <v>5</v>
      </c>
      <c r="D49">
        <v>1</v>
      </c>
    </row>
    <row r="50" spans="1:4">
      <c r="A50" s="41" t="s">
        <v>276</v>
      </c>
      <c r="B50">
        <v>3</v>
      </c>
      <c r="C50">
        <v>2</v>
      </c>
      <c r="D50">
        <v>0</v>
      </c>
    </row>
    <row r="51" spans="1:4">
      <c r="A51" s="41" t="s">
        <v>271</v>
      </c>
      <c r="B51">
        <v>15</v>
      </c>
      <c r="C51">
        <v>12</v>
      </c>
      <c r="D51">
        <v>4</v>
      </c>
    </row>
    <row r="52" spans="1:4">
      <c r="A52" s="41" t="s">
        <v>279</v>
      </c>
      <c r="B52">
        <v>2</v>
      </c>
      <c r="C52">
        <v>2</v>
      </c>
      <c r="D52">
        <v>1</v>
      </c>
    </row>
    <row r="53" spans="1:4">
      <c r="A53" s="41" t="s">
        <v>283</v>
      </c>
      <c r="B53">
        <v>117</v>
      </c>
      <c r="C53">
        <v>83</v>
      </c>
      <c r="D53">
        <v>24</v>
      </c>
    </row>
    <row r="58" spans="1:4">
      <c r="A58" s="41"/>
    </row>
    <row r="59" spans="1:4">
      <c r="A59" s="41"/>
    </row>
    <row r="60" spans="1:4">
      <c r="A60" s="41"/>
    </row>
    <row r="61" spans="1:4">
      <c r="A61" s="41"/>
    </row>
    <row r="62" spans="1:4">
      <c r="A62" s="41"/>
    </row>
    <row r="63" spans="1:4">
      <c r="A63" s="41"/>
    </row>
  </sheetData>
  <pageMargins left="0.7" right="0.7" top="0.75" bottom="0.75" header="0.3" footer="0.3"/>
  <pageSetup scale="88" orientation="portrait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2:AA38"/>
  <sheetViews>
    <sheetView workbookViewId="0">
      <selection activeCell="Z30" sqref="Z30"/>
    </sheetView>
  </sheetViews>
  <sheetFormatPr defaultColWidth="9" defaultRowHeight="15"/>
  <cols>
    <col min="1" max="1" width="21" customWidth="1"/>
    <col min="2" max="3" width="13" customWidth="1"/>
    <col min="4" max="5" width="13" hidden="1" customWidth="1"/>
    <col min="6" max="6" width="13.140625" hidden="1" customWidth="1"/>
    <col min="7" max="8" width="12.140625" hidden="1" customWidth="1"/>
    <col min="9" max="11" width="13" hidden="1" customWidth="1"/>
    <col min="12" max="12" width="16" hidden="1" customWidth="1"/>
    <col min="13" max="13" width="20" hidden="1" customWidth="1"/>
    <col min="14" max="14" width="15.140625" hidden="1" customWidth="1"/>
    <col min="15" max="15" width="20.7109375" hidden="1" customWidth="1"/>
    <col min="16" max="16" width="16.42578125" hidden="1" customWidth="1"/>
    <col min="17" max="17" width="22.140625" hidden="1" customWidth="1"/>
    <col min="18" max="18" width="17.42578125" hidden="1" customWidth="1"/>
    <col min="19" max="19" width="23.140625" hidden="1" customWidth="1"/>
    <col min="20" max="20" width="20.5703125" hidden="1" customWidth="1"/>
    <col min="21" max="21" width="20" hidden="1" customWidth="1"/>
    <col min="22" max="22" width="20.5703125" hidden="1" customWidth="1"/>
    <col min="23" max="23" width="20" hidden="1" customWidth="1"/>
    <col min="24" max="24" width="19.42578125" hidden="1" customWidth="1"/>
    <col min="25" max="25" width="18.42578125" hidden="1" customWidth="1"/>
    <col min="26" max="26" width="12.5703125" customWidth="1"/>
  </cols>
  <sheetData>
    <row r="2" spans="1:27" hidden="1"/>
    <row r="3" spans="1:27" hidden="1"/>
    <row r="4" spans="1:27" hidden="1"/>
    <row r="5" spans="1:27" hidden="1"/>
    <row r="6" spans="1:27" hidden="1"/>
    <row r="7" spans="1:27" hidden="1"/>
    <row r="8" spans="1:27" hidden="1"/>
    <row r="9" spans="1:27" hidden="1"/>
    <row r="12" spans="1:27">
      <c r="A12" t="s">
        <v>266</v>
      </c>
      <c r="B12" t="s">
        <v>289</v>
      </c>
      <c r="C12" t="s">
        <v>290</v>
      </c>
      <c r="D12" t="s">
        <v>291</v>
      </c>
      <c r="E12" t="s">
        <v>292</v>
      </c>
      <c r="F12" t="s">
        <v>293</v>
      </c>
      <c r="G12" t="s">
        <v>294</v>
      </c>
      <c r="H12" t="s">
        <v>295</v>
      </c>
      <c r="I12" t="s">
        <v>296</v>
      </c>
      <c r="J12" t="s">
        <v>297</v>
      </c>
      <c r="K12" t="s">
        <v>298</v>
      </c>
      <c r="L12" t="s">
        <v>299</v>
      </c>
      <c r="M12" t="s">
        <v>300</v>
      </c>
      <c r="N12" t="s">
        <v>301</v>
      </c>
      <c r="O12" t="s">
        <v>302</v>
      </c>
      <c r="P12" t="s">
        <v>303</v>
      </c>
      <c r="Q12" t="s">
        <v>304</v>
      </c>
      <c r="R12" t="s">
        <v>305</v>
      </c>
      <c r="S12" t="s">
        <v>306</v>
      </c>
      <c r="T12" t="s">
        <v>307</v>
      </c>
      <c r="U12" t="s">
        <v>308</v>
      </c>
      <c r="V12" t="s">
        <v>309</v>
      </c>
      <c r="W12" t="s">
        <v>310</v>
      </c>
      <c r="X12" t="s">
        <v>311</v>
      </c>
      <c r="Y12" t="s">
        <v>269</v>
      </c>
      <c r="Z12" t="s">
        <v>312</v>
      </c>
      <c r="AA12" t="s">
        <v>313</v>
      </c>
    </row>
    <row r="13" spans="1:27">
      <c r="A13" t="s">
        <v>273</v>
      </c>
      <c r="B13" s="21">
        <v>15370</v>
      </c>
      <c r="C13" s="21">
        <v>22</v>
      </c>
      <c r="D13" s="21">
        <v>10294.959999999999</v>
      </c>
      <c r="E13">
        <v>16</v>
      </c>
      <c r="F13" s="21">
        <v>8954</v>
      </c>
      <c r="G13">
        <v>14</v>
      </c>
      <c r="H13" s="21">
        <v>24010</v>
      </c>
      <c r="I13" s="21">
        <v>12</v>
      </c>
      <c r="J13" s="21">
        <v>10300</v>
      </c>
      <c r="K13" s="21">
        <v>14</v>
      </c>
      <c r="L13">
        <v>13</v>
      </c>
      <c r="M13" s="21">
        <v>6600</v>
      </c>
      <c r="N13">
        <v>18</v>
      </c>
      <c r="O13" s="21">
        <v>9580</v>
      </c>
      <c r="P13">
        <v>13</v>
      </c>
      <c r="Q13" s="21">
        <v>7000</v>
      </c>
      <c r="R13">
        <v>13</v>
      </c>
      <c r="S13" s="21">
        <v>12250</v>
      </c>
      <c r="T13">
        <v>21</v>
      </c>
      <c r="U13" s="21">
        <v>13790</v>
      </c>
      <c r="V13">
        <v>15</v>
      </c>
      <c r="W13" s="21">
        <v>9300</v>
      </c>
      <c r="X13" s="21">
        <v>16</v>
      </c>
      <c r="Y13" s="21">
        <v>9730</v>
      </c>
      <c r="Z13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137178.96</v>
      </c>
      <c r="AA13" s="81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14.416666666666666</v>
      </c>
    </row>
    <row r="14" spans="1:27">
      <c r="A14" t="s">
        <v>277</v>
      </c>
      <c r="B14" s="21">
        <v>11015</v>
      </c>
      <c r="C14" s="21">
        <v>7</v>
      </c>
      <c r="D14" s="21">
        <v>13243.76</v>
      </c>
      <c r="E14">
        <v>9</v>
      </c>
      <c r="F14" s="21">
        <v>8440</v>
      </c>
      <c r="G14">
        <v>7</v>
      </c>
      <c r="H14" s="21">
        <v>14600</v>
      </c>
      <c r="I14" s="21">
        <v>6</v>
      </c>
      <c r="J14" s="21">
        <v>13860</v>
      </c>
      <c r="K14" s="21">
        <v>8</v>
      </c>
      <c r="L14">
        <v>8</v>
      </c>
      <c r="M14" s="21">
        <v>15400</v>
      </c>
      <c r="N14">
        <v>7</v>
      </c>
      <c r="O14" s="21">
        <v>7500</v>
      </c>
      <c r="P14">
        <v>4</v>
      </c>
      <c r="Q14" s="21">
        <v>4100</v>
      </c>
      <c r="R14">
        <v>14</v>
      </c>
      <c r="S14" s="21">
        <v>10990</v>
      </c>
      <c r="T14">
        <v>10</v>
      </c>
      <c r="U14" s="21">
        <v>11360</v>
      </c>
      <c r="V14">
        <v>8</v>
      </c>
      <c r="W14" s="21">
        <v>7400</v>
      </c>
      <c r="X14" s="21">
        <v>10</v>
      </c>
      <c r="Y14" s="21">
        <v>7800</v>
      </c>
      <c r="Z14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125708.76</v>
      </c>
      <c r="AA14" s="78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7.5</v>
      </c>
    </row>
    <row r="15" spans="1:27">
      <c r="A15" t="s">
        <v>280</v>
      </c>
      <c r="B15" s="21">
        <v>21280</v>
      </c>
      <c r="C15" s="21">
        <v>13</v>
      </c>
      <c r="D15" s="21">
        <v>19480.03</v>
      </c>
      <c r="E15">
        <v>12</v>
      </c>
      <c r="F15" s="21">
        <v>19710</v>
      </c>
      <c r="G15">
        <v>12</v>
      </c>
      <c r="H15" s="21">
        <v>22964</v>
      </c>
      <c r="I15" s="21">
        <v>12</v>
      </c>
      <c r="J15" s="21">
        <v>13988.6</v>
      </c>
      <c r="K15" s="21">
        <v>12</v>
      </c>
      <c r="L15">
        <v>12</v>
      </c>
      <c r="M15" s="21">
        <v>15730</v>
      </c>
      <c r="N15">
        <v>14</v>
      </c>
      <c r="O15" s="21">
        <v>13160</v>
      </c>
      <c r="P15">
        <v>14</v>
      </c>
      <c r="Q15" s="21">
        <v>10660.01</v>
      </c>
      <c r="R15">
        <v>9</v>
      </c>
      <c r="S15" s="21">
        <v>8000</v>
      </c>
      <c r="T15">
        <v>10</v>
      </c>
      <c r="U15" s="21">
        <v>20000</v>
      </c>
      <c r="V15">
        <v>10</v>
      </c>
      <c r="W15" s="21">
        <v>9800</v>
      </c>
      <c r="X15" s="21">
        <v>9</v>
      </c>
      <c r="Y15" s="21">
        <v>13504</v>
      </c>
      <c r="Z15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188276.64</v>
      </c>
      <c r="AA15" s="81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10.583333333333334</v>
      </c>
    </row>
    <row r="16" spans="1:27">
      <c r="A16" t="s">
        <v>281</v>
      </c>
      <c r="B16" s="21"/>
      <c r="C16" s="21">
        <v>3</v>
      </c>
      <c r="D16" s="21"/>
      <c r="F16" s="21"/>
      <c r="G16">
        <v>1</v>
      </c>
      <c r="H16" s="21"/>
      <c r="I16" s="21">
        <v>1</v>
      </c>
      <c r="J16" s="21">
        <v>-200</v>
      </c>
      <c r="K16" s="21"/>
      <c r="M16" s="21"/>
      <c r="O16" s="21"/>
      <c r="Q16" s="21">
        <v>800</v>
      </c>
      <c r="S16" s="21"/>
      <c r="U16" s="21"/>
      <c r="V16">
        <v>1</v>
      </c>
      <c r="W16" s="21">
        <v>1000</v>
      </c>
      <c r="X16" s="21"/>
      <c r="Y16" s="21"/>
      <c r="Z16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1600</v>
      </c>
      <c r="AA16" s="78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0.5</v>
      </c>
    </row>
    <row r="17" spans="1:27">
      <c r="A17" t="s">
        <v>276</v>
      </c>
      <c r="B17" s="21">
        <v>4875</v>
      </c>
      <c r="C17" s="21">
        <v>3</v>
      </c>
      <c r="D17" s="21"/>
      <c r="F17" s="21">
        <v>750</v>
      </c>
      <c r="H17" s="21"/>
      <c r="I17" s="21">
        <v>3</v>
      </c>
      <c r="J17" s="21">
        <v>750</v>
      </c>
      <c r="K17" s="21">
        <v>3</v>
      </c>
      <c r="L17">
        <v>3</v>
      </c>
      <c r="M17" s="21">
        <v>7500</v>
      </c>
      <c r="O17" s="21"/>
      <c r="Q17" s="21"/>
      <c r="S17" s="21"/>
      <c r="U17" s="21"/>
      <c r="V17">
        <v>5</v>
      </c>
      <c r="W17" s="21"/>
      <c r="X17" s="21">
        <v>5</v>
      </c>
      <c r="Y17" s="21">
        <v>750</v>
      </c>
      <c r="Z17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14625</v>
      </c>
      <c r="AA17" s="78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1.5833333333333333</v>
      </c>
    </row>
    <row r="18" spans="1:27">
      <c r="A18" t="s">
        <v>274</v>
      </c>
      <c r="B18" s="21">
        <v>9300</v>
      </c>
      <c r="C18" s="21">
        <v>2</v>
      </c>
      <c r="D18" s="21"/>
      <c r="F18" s="21">
        <v>750</v>
      </c>
      <c r="G18">
        <v>1</v>
      </c>
      <c r="H18" s="21"/>
      <c r="I18" s="21">
        <v>9</v>
      </c>
      <c r="J18" s="21">
        <v>4600</v>
      </c>
      <c r="K18" s="21">
        <v>9</v>
      </c>
      <c r="L18">
        <v>19</v>
      </c>
      <c r="M18" s="21">
        <v>53957</v>
      </c>
      <c r="O18" s="21"/>
      <c r="Q18" s="21"/>
      <c r="S18" s="21"/>
      <c r="U18" s="21"/>
      <c r="V18">
        <v>3</v>
      </c>
      <c r="W18" s="21">
        <v>4500</v>
      </c>
      <c r="X18" s="21">
        <v>1</v>
      </c>
      <c r="Y18" s="21">
        <v>800</v>
      </c>
      <c r="Z18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73907</v>
      </c>
      <c r="AA18" s="81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2.9166666666666665</v>
      </c>
    </row>
    <row r="19" spans="1:27">
      <c r="A19" t="s">
        <v>271</v>
      </c>
      <c r="B19" s="21">
        <v>18367.5</v>
      </c>
      <c r="C19" s="21">
        <v>18</v>
      </c>
      <c r="D19" s="21">
        <v>16517.5</v>
      </c>
      <c r="E19">
        <v>16</v>
      </c>
      <c r="F19" s="21">
        <v>17332.5</v>
      </c>
      <c r="G19">
        <v>17</v>
      </c>
      <c r="H19" s="21">
        <v>17175</v>
      </c>
      <c r="I19" s="21">
        <v>16</v>
      </c>
      <c r="J19" s="21">
        <v>14075</v>
      </c>
      <c r="K19" s="21">
        <v>13</v>
      </c>
      <c r="L19">
        <v>12</v>
      </c>
      <c r="M19" s="21">
        <v>11075</v>
      </c>
      <c r="N19">
        <v>13</v>
      </c>
      <c r="O19" s="21">
        <v>16075</v>
      </c>
      <c r="P19">
        <v>13</v>
      </c>
      <c r="Q19" s="21">
        <v>13105</v>
      </c>
      <c r="R19">
        <v>10</v>
      </c>
      <c r="S19" s="21">
        <v>16900</v>
      </c>
      <c r="T19">
        <v>11</v>
      </c>
      <c r="U19" s="21">
        <v>13700</v>
      </c>
      <c r="V19">
        <v>9</v>
      </c>
      <c r="W19" s="21">
        <v>10075</v>
      </c>
      <c r="X19" s="21">
        <v>9</v>
      </c>
      <c r="Y19" s="21">
        <v>9075</v>
      </c>
      <c r="Z19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173472.5</v>
      </c>
      <c r="AA19" s="78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12</v>
      </c>
    </row>
    <row r="20" spans="1:27">
      <c r="A20" t="s">
        <v>314</v>
      </c>
      <c r="B20" s="21"/>
      <c r="C20" s="21"/>
      <c r="D20" s="21"/>
      <c r="E20">
        <v>0</v>
      </c>
      <c r="F20" s="21"/>
      <c r="H20" s="21"/>
      <c r="I20" s="21"/>
      <c r="J20" s="21"/>
      <c r="K20" s="21"/>
      <c r="M20" s="21"/>
      <c r="O20" s="21"/>
      <c r="P20">
        <v>1</v>
      </c>
      <c r="Q20" s="21">
        <v>2000</v>
      </c>
      <c r="S20" s="21"/>
      <c r="U20" s="21"/>
      <c r="W20" s="21"/>
      <c r="X20" s="21"/>
      <c r="Y20" s="21"/>
      <c r="Z20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2000</v>
      </c>
      <c r="AA20" s="81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8.3333333333333329E-2</v>
      </c>
    </row>
    <row r="21" spans="1:27">
      <c r="A21" t="s">
        <v>279</v>
      </c>
      <c r="B21" s="21">
        <v>1375</v>
      </c>
      <c r="C21" s="21">
        <v>2</v>
      </c>
      <c r="D21" s="21">
        <v>1375</v>
      </c>
      <c r="E21">
        <v>2</v>
      </c>
      <c r="F21" s="21">
        <v>1375</v>
      </c>
      <c r="G21">
        <v>2</v>
      </c>
      <c r="H21" s="21">
        <v>1250</v>
      </c>
      <c r="I21" s="21">
        <v>2</v>
      </c>
      <c r="J21" s="21">
        <v>2250</v>
      </c>
      <c r="K21" s="21">
        <v>2</v>
      </c>
      <c r="L21">
        <v>2</v>
      </c>
      <c r="M21" s="21">
        <v>650</v>
      </c>
      <c r="N21">
        <v>2</v>
      </c>
      <c r="O21" s="21">
        <v>1300</v>
      </c>
      <c r="P21">
        <v>2</v>
      </c>
      <c r="Q21" s="21">
        <v>1250</v>
      </c>
      <c r="S21" s="21"/>
      <c r="U21" s="21"/>
      <c r="W21" s="21"/>
      <c r="X21" s="21"/>
      <c r="Y21" s="21">
        <v>250</v>
      </c>
      <c r="Z21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11075</v>
      </c>
      <c r="AA21" s="78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1.1666666666666667</v>
      </c>
    </row>
    <row r="22" spans="1:27">
      <c r="A22" t="s">
        <v>315</v>
      </c>
      <c r="B22" s="21"/>
      <c r="C22" s="21"/>
      <c r="D22" s="21"/>
      <c r="F22" s="21"/>
      <c r="H22" s="21"/>
      <c r="J22" s="21"/>
      <c r="M22" s="21"/>
      <c r="O22" s="21"/>
      <c r="Q22" s="21"/>
      <c r="R22">
        <v>1</v>
      </c>
      <c r="S22" s="21">
        <v>250</v>
      </c>
      <c r="T22">
        <v>1</v>
      </c>
      <c r="U22" s="21">
        <v>250</v>
      </c>
      <c r="V22">
        <v>1</v>
      </c>
      <c r="W22" s="21">
        <v>250</v>
      </c>
      <c r="X22" s="21">
        <v>1</v>
      </c>
      <c r="Y22" s="21">
        <v>250</v>
      </c>
      <c r="Z22" s="21">
        <f>Table3[[#This Row],[Sum of 1ostvaren]]+Table3[[#This Row],[Sum of 2 ostvareno]]+Table3[[#This Row],[Sum of 3ostvareno]]+Table3[[#This Row],[Sum of 4 OSTVARENO3]]+Table3[[#This Row],[Sum of 5 OSTVARENO]]+Table3[[#This Row],[Zbroj od 6ostvareno]]+Table3[[#This Row],[Sum of 7 ostvareno]]+Table3[[#This Row],[8. mj]]+Table3[[#This Row],[9.mj]]+Table3[[#This Row],[10.mj]]+Table3[[#This Row],[11.mj]]+Table3[[#This Row],[12.mj]]</f>
        <v>1000</v>
      </c>
      <c r="AA22" s="78">
        <f>(Table3[[#This Row],[Count of 1planiran]]+Table3[[#This Row],[Count of 2planirano]]+Table3[[#This Row],[Count of 3 plan]]+Table3[[#This Row],[Count of 4 plan2]]+Table3[[#This Row],[Count of 5 plan]]+Table3[[#This Row],[Broj od 6 plan]]+Table3[[#This Row],[Count of 7plan]]+Table3[[#This Row],[9.mj2]]+Table3[[#This Row],[10.mj2]]+Table3[[#This Row],[11.mj2]]+Table3[[#This Row],[12.mj2]])/12</f>
        <v>0.33333333333333331</v>
      </c>
    </row>
    <row r="23" spans="1:27">
      <c r="B23" s="21">
        <f>SUBTOTAL(109,Table3[12.mj])</f>
        <v>81582.5</v>
      </c>
      <c r="C23" s="21"/>
      <c r="D23" s="21">
        <f>SUBTOTAL(109,Table3[11.mj])</f>
        <v>60911.25</v>
      </c>
      <c r="E23">
        <f>SUBTOTAL(109,Table3[11.mj2])</f>
        <v>55</v>
      </c>
      <c r="F23" s="21">
        <f>SUBTOTAL(109,Table3[10.mj])</f>
        <v>57311.5</v>
      </c>
      <c r="G23">
        <f>SUBTOTAL(109,Table3[10.mj2])</f>
        <v>54</v>
      </c>
      <c r="H23" s="21">
        <f>SUBTOTAL(109,Table3[9.mj])</f>
        <v>79999</v>
      </c>
      <c r="I23" s="21">
        <f>SUBTOTAL(109,Table3[9.mj2])</f>
        <v>61</v>
      </c>
      <c r="J23" s="21">
        <f>SUM(Table3[8. mj])</f>
        <v>59623.6</v>
      </c>
      <c r="K23" s="21">
        <f>SUBTOTAL(109,Table3[8mj.])</f>
        <v>61</v>
      </c>
      <c r="L23">
        <f>SUBTOTAL(109,Table3[Count of 7plan])</f>
        <v>69</v>
      </c>
      <c r="M23" s="21">
        <f>SUBTOTAL(109,Table3[Sum of 7 ostvareno])</f>
        <v>110912</v>
      </c>
      <c r="N23" s="21">
        <f>SUBTOTAL(109,Table3[Broj od 6 plan])</f>
        <v>54</v>
      </c>
      <c r="O23" s="21">
        <f>SUBTOTAL(109,Table3[Zbroj od 6ostvareno])</f>
        <v>47615</v>
      </c>
      <c r="P23" s="21">
        <f>SUBTOTAL(109,Table3[Count of 5 plan])</f>
        <v>47</v>
      </c>
      <c r="Q23" s="21">
        <f>SUBTOTAL(109,Table3[Sum of 5 OSTVARENO])</f>
        <v>38915.01</v>
      </c>
      <c r="R23" s="21">
        <f>SUBTOTAL(109,Table3[Count of 4 plan2])</f>
        <v>47</v>
      </c>
      <c r="S23" s="21">
        <f>SUBTOTAL(109,Table3[Sum of 4 OSTVARENO3])</f>
        <v>48390</v>
      </c>
      <c r="T23" s="21">
        <f>SUBTOTAL(109,Table3[Count of 3 plan])</f>
        <v>53</v>
      </c>
      <c r="U23" s="21">
        <f>SUBTOTAL(109,Table3[Sum of 3ostvareno])</f>
        <v>59100</v>
      </c>
      <c r="V23" s="21">
        <f>SUBTOTAL(109,Table3[Count of 2planirano])</f>
        <v>52</v>
      </c>
      <c r="W23" s="21">
        <f>SUBTOTAL(109,Table3[Sum of 2 ostvareno])</f>
        <v>42325</v>
      </c>
      <c r="X23" s="21">
        <f>SUBTOTAL(109,Table3[Count of 1planiran])</f>
        <v>51</v>
      </c>
      <c r="Y23" s="21">
        <f>SUBTOTAL(109,Table3[Sum of 1ostvaren])</f>
        <v>42159</v>
      </c>
      <c r="Z23" s="21">
        <f>SUBTOTAL(109,Table3[ukupno])</f>
        <v>728843.86</v>
      </c>
    </row>
    <row r="28" spans="1:27" ht="30">
      <c r="A28" t="s">
        <v>316</v>
      </c>
      <c r="B28" t="s">
        <v>32</v>
      </c>
      <c r="C28" s="2" t="s">
        <v>317</v>
      </c>
    </row>
    <row r="29" spans="1:27">
      <c r="A29" t="s">
        <v>273</v>
      </c>
      <c r="B29" s="21">
        <f>Z13+Z18</f>
        <v>211085.96</v>
      </c>
      <c r="C29" s="78">
        <v>17</v>
      </c>
      <c r="E29" s="41"/>
      <c r="F29" s="21"/>
    </row>
    <row r="30" spans="1:27">
      <c r="A30" t="s">
        <v>280</v>
      </c>
      <c r="B30" s="21">
        <f>Z20+Z15</f>
        <v>190276.64</v>
      </c>
      <c r="C30" s="78">
        <v>11</v>
      </c>
      <c r="E30" s="41"/>
      <c r="F30" s="21"/>
    </row>
    <row r="31" spans="1:27">
      <c r="A31" t="s">
        <v>271</v>
      </c>
      <c r="B31" s="21">
        <f>Z19</f>
        <v>173472.5</v>
      </c>
      <c r="C31" s="78">
        <v>12</v>
      </c>
      <c r="E31" s="41"/>
      <c r="F31" s="21"/>
    </row>
    <row r="32" spans="1:27">
      <c r="A32" t="s">
        <v>277</v>
      </c>
      <c r="B32" s="21">
        <f>Z14+Z17</f>
        <v>140333.76000000001</v>
      </c>
      <c r="C32" s="78">
        <v>10</v>
      </c>
      <c r="E32" s="41"/>
      <c r="F32" s="21"/>
    </row>
    <row r="33" spans="1:26">
      <c r="A33" t="s">
        <v>278</v>
      </c>
      <c r="B33" s="21">
        <f>Z21</f>
        <v>11075</v>
      </c>
      <c r="C33" s="78">
        <v>1</v>
      </c>
      <c r="E33" s="41"/>
      <c r="F33" s="21"/>
    </row>
    <row r="34" spans="1:26">
      <c r="A34" t="s">
        <v>281</v>
      </c>
      <c r="B34" s="21">
        <v>1600</v>
      </c>
      <c r="C34" s="78">
        <v>1</v>
      </c>
      <c r="E34" s="41"/>
      <c r="F34" s="21"/>
    </row>
    <row r="35" spans="1:26">
      <c r="A35" t="s">
        <v>315</v>
      </c>
      <c r="B35" s="21">
        <v>1000</v>
      </c>
      <c r="C35" s="78">
        <v>0</v>
      </c>
      <c r="F35" s="41"/>
    </row>
    <row r="36" spans="1:26">
      <c r="B36" s="25">
        <f>SUBTOTAL(109,Table11[iznos])</f>
        <v>728843.86</v>
      </c>
      <c r="D36" s="39"/>
      <c r="E36" s="39"/>
      <c r="F36" s="7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 t="s">
        <v>318</v>
      </c>
    </row>
    <row r="38" spans="1:26">
      <c r="A38" s="39" t="s">
        <v>319</v>
      </c>
      <c r="B38" s="80">
        <f>SUBTOTAL(109,Table1[ukupno planirano])</f>
        <v>159993.59299999999</v>
      </c>
      <c r="Z38" s="82">
        <v>603790.5</v>
      </c>
    </row>
  </sheetData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F86"/>
  <sheetViews>
    <sheetView workbookViewId="0">
      <selection activeCell="P14" sqref="P14"/>
    </sheetView>
  </sheetViews>
  <sheetFormatPr defaultColWidth="9" defaultRowHeight="15"/>
  <cols>
    <col min="1" max="1" width="11" customWidth="1"/>
    <col min="2" max="2" width="18.140625" customWidth="1"/>
    <col min="3" max="3" width="11" customWidth="1"/>
    <col min="4" max="4" width="11" style="21" customWidth="1"/>
    <col min="5" max="5" width="16.85546875" customWidth="1"/>
    <col min="6" max="6" width="18.85546875" customWidth="1"/>
  </cols>
  <sheetData>
    <row r="2" spans="1:6">
      <c r="B2" t="s">
        <v>320</v>
      </c>
    </row>
    <row r="3" spans="1:6">
      <c r="B3" t="s">
        <v>321</v>
      </c>
      <c r="C3" t="s">
        <v>322</v>
      </c>
    </row>
    <row r="4" spans="1:6">
      <c r="A4" s="4" t="s">
        <v>323</v>
      </c>
    </row>
    <row r="5" spans="1:6">
      <c r="A5" t="s">
        <v>324</v>
      </c>
    </row>
    <row r="6" spans="1:6">
      <c r="A6" t="s">
        <v>325</v>
      </c>
    </row>
    <row r="7" spans="1:6">
      <c r="A7" s="5" t="s">
        <v>326</v>
      </c>
      <c r="B7" s="5" t="s">
        <v>327</v>
      </c>
      <c r="C7" s="5" t="s">
        <v>328</v>
      </c>
      <c r="D7" s="73" t="s">
        <v>329</v>
      </c>
      <c r="E7" t="s">
        <v>330</v>
      </c>
      <c r="F7" s="74" t="s">
        <v>331</v>
      </c>
    </row>
    <row r="8" spans="1:6">
      <c r="A8">
        <v>1</v>
      </c>
      <c r="B8" t="s">
        <v>332</v>
      </c>
      <c r="C8" t="s">
        <v>333</v>
      </c>
      <c r="D8" s="21">
        <v>419.68</v>
      </c>
      <c r="E8" s="4">
        <v>43935</v>
      </c>
    </row>
    <row r="9" spans="1:6">
      <c r="A9">
        <v>2</v>
      </c>
      <c r="B9" t="s">
        <v>332</v>
      </c>
      <c r="C9" t="s">
        <v>334</v>
      </c>
      <c r="D9" s="21">
        <v>580.11</v>
      </c>
      <c r="E9" s="4">
        <v>43935</v>
      </c>
    </row>
    <row r="10" spans="1:6">
      <c r="A10">
        <v>3</v>
      </c>
      <c r="B10" t="s">
        <v>335</v>
      </c>
      <c r="C10" t="s">
        <v>336</v>
      </c>
      <c r="D10" s="21">
        <v>373.19</v>
      </c>
      <c r="E10" s="4">
        <v>43965</v>
      </c>
    </row>
    <row r="11" spans="1:6">
      <c r="A11">
        <v>4</v>
      </c>
      <c r="B11" t="s">
        <v>337</v>
      </c>
      <c r="C11" t="s">
        <v>338</v>
      </c>
      <c r="D11" s="21">
        <v>117.61</v>
      </c>
      <c r="E11" s="4">
        <v>43965</v>
      </c>
    </row>
    <row r="12" spans="1:6">
      <c r="A12">
        <v>5</v>
      </c>
      <c r="B12" t="s">
        <v>337</v>
      </c>
      <c r="C12" t="s">
        <v>339</v>
      </c>
      <c r="D12" s="21">
        <v>117.61</v>
      </c>
      <c r="E12" s="4">
        <v>43965</v>
      </c>
    </row>
    <row r="13" spans="1:6">
      <c r="A13">
        <v>6</v>
      </c>
      <c r="B13" t="s">
        <v>340</v>
      </c>
      <c r="C13" t="s">
        <v>333</v>
      </c>
      <c r="D13" s="21">
        <v>54.81</v>
      </c>
      <c r="E13" s="4">
        <v>43965</v>
      </c>
    </row>
    <row r="14" spans="1:6">
      <c r="A14">
        <v>7</v>
      </c>
      <c r="B14" t="s">
        <v>340</v>
      </c>
      <c r="C14" t="s">
        <v>336</v>
      </c>
      <c r="D14" s="21">
        <v>72.38</v>
      </c>
      <c r="E14" s="4">
        <v>43965</v>
      </c>
    </row>
    <row r="15" spans="1:6">
      <c r="A15">
        <v>8</v>
      </c>
      <c r="B15" t="s">
        <v>340</v>
      </c>
      <c r="C15" t="s">
        <v>334</v>
      </c>
      <c r="D15" s="21">
        <v>160.25</v>
      </c>
      <c r="E15" s="4">
        <v>43965</v>
      </c>
    </row>
    <row r="16" spans="1:6">
      <c r="A16">
        <v>9</v>
      </c>
      <c r="B16" t="s">
        <v>341</v>
      </c>
      <c r="C16" t="s">
        <v>336</v>
      </c>
      <c r="D16" s="21">
        <v>100.47</v>
      </c>
      <c r="E16" s="4">
        <v>44013</v>
      </c>
    </row>
    <row r="17" spans="1:5">
      <c r="A17">
        <v>10</v>
      </c>
      <c r="B17" t="s">
        <v>341</v>
      </c>
      <c r="C17" t="s">
        <v>342</v>
      </c>
      <c r="D17" s="21">
        <v>90.58</v>
      </c>
      <c r="E17" s="4">
        <v>44013</v>
      </c>
    </row>
    <row r="18" spans="1:5">
      <c r="A18">
        <v>11</v>
      </c>
      <c r="B18" t="s">
        <v>341</v>
      </c>
      <c r="C18" t="s">
        <v>338</v>
      </c>
      <c r="D18" s="21">
        <v>201.22</v>
      </c>
      <c r="E18" s="4">
        <v>44013</v>
      </c>
    </row>
    <row r="19" spans="1:5">
      <c r="A19">
        <v>12</v>
      </c>
      <c r="B19" t="s">
        <v>335</v>
      </c>
      <c r="C19" t="s">
        <v>342</v>
      </c>
      <c r="D19" s="21">
        <v>576.24</v>
      </c>
      <c r="E19" s="4">
        <v>44013</v>
      </c>
    </row>
    <row r="20" spans="1:5">
      <c r="A20">
        <v>13</v>
      </c>
      <c r="B20" t="s">
        <v>335</v>
      </c>
      <c r="C20" t="s">
        <v>338</v>
      </c>
      <c r="D20" s="21">
        <v>189.13</v>
      </c>
      <c r="E20" s="4">
        <v>44013</v>
      </c>
    </row>
    <row r="21" spans="1:5">
      <c r="A21">
        <v>14</v>
      </c>
      <c r="B21" t="s">
        <v>337</v>
      </c>
      <c r="C21" t="s">
        <v>336</v>
      </c>
      <c r="D21" s="21">
        <v>117.61</v>
      </c>
      <c r="E21" s="4">
        <v>44013</v>
      </c>
    </row>
    <row r="22" spans="1:5">
      <c r="A22">
        <v>15</v>
      </c>
      <c r="B22" t="s">
        <v>337</v>
      </c>
      <c r="C22" t="s">
        <v>336</v>
      </c>
      <c r="D22" s="21">
        <v>46.25</v>
      </c>
      <c r="E22" s="4">
        <v>44013</v>
      </c>
    </row>
    <row r="23" spans="1:5">
      <c r="A23">
        <v>16</v>
      </c>
      <c r="B23" t="s">
        <v>337</v>
      </c>
      <c r="C23" t="s">
        <v>338</v>
      </c>
      <c r="D23" s="21">
        <v>46.25</v>
      </c>
      <c r="E23" s="4">
        <v>44013</v>
      </c>
    </row>
    <row r="24" spans="1:5">
      <c r="A24">
        <v>17</v>
      </c>
      <c r="B24" t="s">
        <v>337</v>
      </c>
      <c r="C24" t="s">
        <v>339</v>
      </c>
      <c r="D24" s="21">
        <v>46.25</v>
      </c>
      <c r="E24" s="4">
        <v>44013</v>
      </c>
    </row>
    <row r="25" spans="1:5">
      <c r="A25">
        <v>18</v>
      </c>
      <c r="B25" t="s">
        <v>337</v>
      </c>
      <c r="C25" t="s">
        <v>331</v>
      </c>
      <c r="D25" s="21">
        <v>117.61</v>
      </c>
      <c r="E25" s="4">
        <v>44091</v>
      </c>
    </row>
    <row r="26" spans="1:5">
      <c r="A26">
        <v>19</v>
      </c>
      <c r="B26" t="s">
        <v>337</v>
      </c>
      <c r="C26" t="s">
        <v>331</v>
      </c>
      <c r="D26" s="21">
        <v>117.61</v>
      </c>
      <c r="E26" s="4">
        <v>44091</v>
      </c>
    </row>
    <row r="27" spans="1:5">
      <c r="A27">
        <v>20</v>
      </c>
      <c r="B27" t="s">
        <v>340</v>
      </c>
      <c r="C27" t="s">
        <v>342</v>
      </c>
      <c r="D27" s="21">
        <v>72.38</v>
      </c>
      <c r="E27" s="4">
        <v>44013</v>
      </c>
    </row>
    <row r="28" spans="1:5">
      <c r="A28">
        <v>21</v>
      </c>
      <c r="B28" t="s">
        <v>340</v>
      </c>
      <c r="C28" t="s">
        <v>338</v>
      </c>
      <c r="D28" s="21">
        <v>109.48</v>
      </c>
      <c r="E28" s="4">
        <v>44013</v>
      </c>
    </row>
    <row r="29" spans="1:5">
      <c r="A29">
        <v>22</v>
      </c>
      <c r="B29" t="s">
        <v>341</v>
      </c>
      <c r="C29" t="s">
        <v>339</v>
      </c>
      <c r="D29" s="21">
        <v>305.75</v>
      </c>
      <c r="E29" s="4">
        <v>44048</v>
      </c>
    </row>
    <row r="30" spans="1:5">
      <c r="A30">
        <v>23</v>
      </c>
      <c r="B30" t="s">
        <v>335</v>
      </c>
      <c r="C30" t="s">
        <v>339</v>
      </c>
      <c r="D30" s="21">
        <v>110.85</v>
      </c>
      <c r="E30" s="4">
        <v>44048</v>
      </c>
    </row>
    <row r="31" spans="1:5">
      <c r="A31">
        <v>24</v>
      </c>
      <c r="B31" t="s">
        <v>343</v>
      </c>
      <c r="C31" t="s">
        <v>339</v>
      </c>
      <c r="D31" s="21">
        <v>54.81</v>
      </c>
      <c r="E31" s="4">
        <v>44048</v>
      </c>
    </row>
    <row r="32" spans="1:5">
      <c r="A32">
        <v>25</v>
      </c>
      <c r="B32" t="s">
        <v>335</v>
      </c>
      <c r="C32" t="s">
        <v>344</v>
      </c>
      <c r="D32" s="21">
        <v>110.85</v>
      </c>
      <c r="E32" s="4">
        <v>44091</v>
      </c>
    </row>
    <row r="33" spans="1:6">
      <c r="A33">
        <v>26</v>
      </c>
      <c r="B33" t="s">
        <v>335</v>
      </c>
      <c r="C33" t="s">
        <v>345</v>
      </c>
      <c r="D33" s="21">
        <v>110.85</v>
      </c>
      <c r="E33" s="4">
        <v>44091</v>
      </c>
    </row>
    <row r="34" spans="1:6">
      <c r="A34">
        <v>27</v>
      </c>
      <c r="B34" t="s">
        <v>341</v>
      </c>
      <c r="C34" t="s">
        <v>344</v>
      </c>
      <c r="D34" s="21">
        <v>241.01</v>
      </c>
      <c r="E34" s="4">
        <v>44091</v>
      </c>
    </row>
    <row r="35" spans="1:6">
      <c r="A35">
        <v>28</v>
      </c>
      <c r="B35" t="s">
        <v>341</v>
      </c>
      <c r="C35" t="s">
        <v>345</v>
      </c>
      <c r="D35" s="21">
        <v>236.87</v>
      </c>
      <c r="E35" s="4">
        <v>44132</v>
      </c>
    </row>
    <row r="36" spans="1:6">
      <c r="A36">
        <v>29</v>
      </c>
      <c r="B36" t="s">
        <v>340</v>
      </c>
      <c r="C36" t="s">
        <v>345</v>
      </c>
      <c r="D36" s="21">
        <v>76.900000000000006</v>
      </c>
      <c r="E36" s="4">
        <v>44132</v>
      </c>
    </row>
    <row r="37" spans="1:6">
      <c r="A37">
        <v>30</v>
      </c>
      <c r="B37" t="s">
        <v>341</v>
      </c>
      <c r="C37" t="s">
        <v>346</v>
      </c>
      <c r="D37" s="21">
        <v>194.33</v>
      </c>
      <c r="E37" s="4">
        <v>44159</v>
      </c>
    </row>
    <row r="38" spans="1:6">
      <c r="A38">
        <v>31</v>
      </c>
      <c r="B38" t="s">
        <v>340</v>
      </c>
      <c r="C38" t="s">
        <v>293</v>
      </c>
      <c r="D38" s="21">
        <v>252.64</v>
      </c>
      <c r="E38" s="4">
        <v>44159</v>
      </c>
    </row>
    <row r="39" spans="1:6">
      <c r="A39">
        <v>32</v>
      </c>
      <c r="B39" t="s">
        <v>337</v>
      </c>
      <c r="C39" t="s">
        <v>346</v>
      </c>
      <c r="D39" s="21">
        <v>46.25</v>
      </c>
      <c r="E39" s="4">
        <v>44159</v>
      </c>
    </row>
    <row r="40" spans="1:6">
      <c r="A40">
        <v>33</v>
      </c>
      <c r="B40" t="s">
        <v>341</v>
      </c>
      <c r="C40" t="s">
        <v>346</v>
      </c>
      <c r="D40" s="21">
        <v>502.23</v>
      </c>
      <c r="E40" s="4">
        <v>44153</v>
      </c>
    </row>
    <row r="41" spans="1:6">
      <c r="A41">
        <v>34</v>
      </c>
      <c r="B41" t="s">
        <v>341</v>
      </c>
      <c r="C41" s="75" t="s">
        <v>346</v>
      </c>
      <c r="D41" s="76">
        <v>502.23</v>
      </c>
      <c r="E41" s="77">
        <v>44153</v>
      </c>
      <c r="F41" s="75">
        <v>502.88</v>
      </c>
    </row>
    <row r="42" spans="1:6">
      <c r="A42">
        <v>35</v>
      </c>
      <c r="B42" t="s">
        <v>337</v>
      </c>
      <c r="C42" t="s">
        <v>347</v>
      </c>
      <c r="D42" s="21">
        <v>46.25</v>
      </c>
      <c r="E42" s="4">
        <v>44159</v>
      </c>
    </row>
    <row r="43" spans="1:6">
      <c r="A43">
        <v>36</v>
      </c>
      <c r="B43" t="s">
        <v>337</v>
      </c>
      <c r="C43" t="s">
        <v>348</v>
      </c>
      <c r="D43" s="21">
        <v>46.25</v>
      </c>
      <c r="E43" s="4">
        <v>44159</v>
      </c>
    </row>
    <row r="44" spans="1:6">
      <c r="A44">
        <v>37</v>
      </c>
      <c r="B44" t="s">
        <v>340</v>
      </c>
      <c r="C44" t="s">
        <v>349</v>
      </c>
      <c r="D44" s="21">
        <v>121.86</v>
      </c>
      <c r="E44" s="4">
        <v>44159</v>
      </c>
    </row>
    <row r="45" spans="1:6">
      <c r="A45">
        <v>38</v>
      </c>
      <c r="B45" t="s">
        <v>340</v>
      </c>
      <c r="C45" t="s">
        <v>346</v>
      </c>
      <c r="D45" s="21">
        <v>98.63</v>
      </c>
      <c r="E45" s="4">
        <v>44159</v>
      </c>
    </row>
    <row r="46" spans="1:6">
      <c r="A46">
        <v>39</v>
      </c>
      <c r="B46" t="s">
        <v>335</v>
      </c>
      <c r="C46" t="s">
        <v>350</v>
      </c>
      <c r="D46" s="21">
        <v>113.95</v>
      </c>
      <c r="E46" s="4">
        <v>44159</v>
      </c>
    </row>
    <row r="47" spans="1:6">
      <c r="A47">
        <v>40</v>
      </c>
      <c r="B47" t="s">
        <v>335</v>
      </c>
      <c r="C47" t="s">
        <v>346</v>
      </c>
      <c r="D47" s="21">
        <v>366.99</v>
      </c>
      <c r="E47" s="4">
        <v>44159</v>
      </c>
    </row>
    <row r="48" spans="1:6">
      <c r="A48">
        <v>41</v>
      </c>
      <c r="B48" t="s">
        <v>335</v>
      </c>
      <c r="C48" t="s">
        <v>347</v>
      </c>
      <c r="D48" s="21">
        <v>596.78</v>
      </c>
      <c r="E48" s="4">
        <v>44188</v>
      </c>
    </row>
    <row r="49" spans="1:6">
      <c r="A49">
        <v>42</v>
      </c>
      <c r="B49" t="s">
        <v>341</v>
      </c>
      <c r="C49" t="s">
        <v>351</v>
      </c>
      <c r="D49" s="21">
        <v>396.99</v>
      </c>
      <c r="E49" s="4">
        <v>44188</v>
      </c>
      <c r="F49">
        <f>F41-Table4[[#This Row],[Column4]]</f>
        <v>105.88999999999999</v>
      </c>
    </row>
    <row r="50" spans="1:6">
      <c r="A50">
        <v>43</v>
      </c>
      <c r="B50" t="s">
        <v>341</v>
      </c>
      <c r="C50" t="s">
        <v>348</v>
      </c>
      <c r="D50" s="21">
        <v>184.29</v>
      </c>
      <c r="E50" s="4">
        <v>44216</v>
      </c>
    </row>
    <row r="51" spans="1:6">
      <c r="A51">
        <v>44</v>
      </c>
      <c r="B51" t="s">
        <v>352</v>
      </c>
      <c r="C51" t="s">
        <v>353</v>
      </c>
      <c r="D51" s="21">
        <v>665.75</v>
      </c>
      <c r="E51" s="4">
        <v>44216</v>
      </c>
    </row>
    <row r="52" spans="1:6">
      <c r="A52">
        <v>45</v>
      </c>
      <c r="B52" t="s">
        <v>354</v>
      </c>
      <c r="C52" s="104" t="s">
        <v>355</v>
      </c>
      <c r="D52" s="21">
        <v>117.61</v>
      </c>
      <c r="E52" s="4">
        <v>44217</v>
      </c>
    </row>
    <row r="53" spans="1:6">
      <c r="A53">
        <v>46</v>
      </c>
      <c r="B53" t="s">
        <v>340</v>
      </c>
      <c r="C53" s="104" t="s">
        <v>289</v>
      </c>
      <c r="D53" s="21">
        <v>98.63</v>
      </c>
      <c r="E53" s="4">
        <v>44236</v>
      </c>
    </row>
    <row r="54" spans="1:6">
      <c r="A54">
        <v>47</v>
      </c>
      <c r="B54" t="s">
        <v>337</v>
      </c>
      <c r="C54" s="104" t="s">
        <v>356</v>
      </c>
      <c r="D54" s="21">
        <v>117.61</v>
      </c>
      <c r="E54" s="4">
        <v>44236</v>
      </c>
    </row>
    <row r="55" spans="1:6">
      <c r="A55">
        <v>48</v>
      </c>
      <c r="B55" t="s">
        <v>335</v>
      </c>
      <c r="C55" s="104" t="s">
        <v>355</v>
      </c>
      <c r="D55" s="21">
        <v>770.76</v>
      </c>
      <c r="E55" s="4">
        <v>44243</v>
      </c>
    </row>
    <row r="56" spans="1:6">
      <c r="A56">
        <v>49</v>
      </c>
      <c r="B56" t="s">
        <v>341</v>
      </c>
      <c r="C56" s="30">
        <v>12021</v>
      </c>
      <c r="D56" s="21">
        <v>0</v>
      </c>
      <c r="E56" s="4">
        <v>44243</v>
      </c>
      <c r="F56" t="s">
        <v>357</v>
      </c>
    </row>
    <row r="57" spans="1:6">
      <c r="A57">
        <v>50</v>
      </c>
      <c r="B57" t="s">
        <v>358</v>
      </c>
      <c r="C57" s="104" t="s">
        <v>359</v>
      </c>
      <c r="D57" s="21">
        <v>605.69000000000005</v>
      </c>
      <c r="E57" s="4">
        <v>44279</v>
      </c>
    </row>
    <row r="58" spans="1:6">
      <c r="A58">
        <v>51</v>
      </c>
      <c r="B58" t="s">
        <v>341</v>
      </c>
      <c r="C58" s="104" t="s">
        <v>359</v>
      </c>
      <c r="D58" s="21">
        <v>321.47000000000003</v>
      </c>
      <c r="E58" s="4">
        <v>44279</v>
      </c>
      <c r="F58" t="s">
        <v>360</v>
      </c>
    </row>
    <row r="59" spans="1:6">
      <c r="A59">
        <v>52</v>
      </c>
      <c r="B59" t="s">
        <v>340</v>
      </c>
      <c r="C59" s="104" t="s">
        <v>355</v>
      </c>
      <c r="D59" s="21">
        <v>76.72</v>
      </c>
      <c r="E59" s="4">
        <v>44279</v>
      </c>
    </row>
    <row r="60" spans="1:6">
      <c r="A60">
        <v>53</v>
      </c>
      <c r="B60" t="s">
        <v>361</v>
      </c>
      <c r="C60" s="104" t="s">
        <v>362</v>
      </c>
      <c r="D60" s="21">
        <v>117.61</v>
      </c>
      <c r="E60" s="4">
        <v>44319</v>
      </c>
    </row>
    <row r="61" spans="1:6">
      <c r="A61">
        <v>54</v>
      </c>
      <c r="B61" t="s">
        <v>361</v>
      </c>
      <c r="C61" s="104" t="s">
        <v>362</v>
      </c>
      <c r="D61" s="21">
        <v>46.25</v>
      </c>
      <c r="E61" s="4">
        <v>44319</v>
      </c>
    </row>
    <row r="62" spans="1:6">
      <c r="A62">
        <v>55</v>
      </c>
      <c r="B62" t="s">
        <v>361</v>
      </c>
      <c r="C62" s="104" t="s">
        <v>363</v>
      </c>
      <c r="D62" s="21">
        <v>117.61</v>
      </c>
      <c r="E62" s="4">
        <v>44319</v>
      </c>
    </row>
    <row r="63" spans="1:6">
      <c r="A63">
        <v>56</v>
      </c>
      <c r="B63" t="s">
        <v>340</v>
      </c>
      <c r="C63" s="104" t="s">
        <v>363</v>
      </c>
      <c r="D63" s="21">
        <v>46.58</v>
      </c>
      <c r="E63" s="4">
        <v>44319</v>
      </c>
    </row>
    <row r="64" spans="1:6">
      <c r="A64">
        <v>57</v>
      </c>
      <c r="B64" t="s">
        <v>358</v>
      </c>
      <c r="C64" s="104" t="s">
        <v>363</v>
      </c>
      <c r="D64" s="21">
        <v>604.91</v>
      </c>
      <c r="E64" s="4">
        <v>44319</v>
      </c>
    </row>
    <row r="65" spans="1:5">
      <c r="A65">
        <v>58</v>
      </c>
      <c r="B65" t="s">
        <v>341</v>
      </c>
      <c r="C65" s="104" t="s">
        <v>363</v>
      </c>
      <c r="D65" s="21">
        <v>324.48</v>
      </c>
      <c r="E65" s="4">
        <v>44319</v>
      </c>
    </row>
    <row r="66" spans="1:5">
      <c r="A66">
        <v>59</v>
      </c>
      <c r="B66" t="s">
        <v>358</v>
      </c>
      <c r="C66" s="104" t="s">
        <v>364</v>
      </c>
      <c r="D66" s="21">
        <v>471.61</v>
      </c>
      <c r="E66" s="4">
        <v>44344</v>
      </c>
    </row>
    <row r="67" spans="1:5">
      <c r="A67">
        <v>60</v>
      </c>
      <c r="B67" t="s">
        <v>341</v>
      </c>
      <c r="C67" s="104" t="s">
        <v>364</v>
      </c>
      <c r="D67" s="21">
        <v>261.27999999999997</v>
      </c>
      <c r="E67" s="4">
        <v>44344</v>
      </c>
    </row>
    <row r="68" spans="1:5">
      <c r="A68">
        <v>61</v>
      </c>
      <c r="B68" t="s">
        <v>340</v>
      </c>
      <c r="C68" s="104" t="s">
        <v>362</v>
      </c>
      <c r="D68" s="21">
        <v>98.63</v>
      </c>
      <c r="E68" s="4">
        <v>44344</v>
      </c>
    </row>
    <row r="69" spans="1:5">
      <c r="A69">
        <v>62</v>
      </c>
      <c r="B69" t="s">
        <v>341</v>
      </c>
      <c r="C69" s="104" t="s">
        <v>365</v>
      </c>
      <c r="D69" s="21">
        <v>187.6</v>
      </c>
      <c r="E69" s="4">
        <v>44393</v>
      </c>
    </row>
    <row r="70" spans="1:5">
      <c r="A70">
        <v>63</v>
      </c>
      <c r="B70" t="s">
        <v>341</v>
      </c>
      <c r="C70" s="104" t="s">
        <v>366</v>
      </c>
      <c r="D70" s="21">
        <v>162.03</v>
      </c>
      <c r="E70" s="4">
        <v>44393</v>
      </c>
    </row>
    <row r="71" spans="1:5">
      <c r="A71">
        <v>64</v>
      </c>
      <c r="B71" t="s">
        <v>358</v>
      </c>
      <c r="C71" s="104" t="s">
        <v>366</v>
      </c>
      <c r="D71" s="21">
        <v>214.31</v>
      </c>
      <c r="E71" s="4">
        <v>44393</v>
      </c>
    </row>
    <row r="72" spans="1:5">
      <c r="A72">
        <v>65</v>
      </c>
      <c r="B72" t="s">
        <v>358</v>
      </c>
      <c r="C72" s="104" t="s">
        <v>365</v>
      </c>
      <c r="D72" s="21">
        <v>110.85</v>
      </c>
      <c r="E72" s="4">
        <v>44393</v>
      </c>
    </row>
    <row r="73" spans="1:5">
      <c r="A73">
        <v>66</v>
      </c>
      <c r="B73" t="s">
        <v>358</v>
      </c>
      <c r="C73" s="104" t="s">
        <v>367</v>
      </c>
      <c r="D73" s="21">
        <v>110.85</v>
      </c>
      <c r="E73" s="4">
        <v>44440</v>
      </c>
    </row>
    <row r="74" spans="1:5">
      <c r="A74">
        <v>67</v>
      </c>
      <c r="B74" t="s">
        <v>340</v>
      </c>
      <c r="C74" s="104" t="s">
        <v>367</v>
      </c>
      <c r="D74" s="21">
        <v>98.63</v>
      </c>
      <c r="E74" s="4">
        <v>44440</v>
      </c>
    </row>
    <row r="75" spans="1:5">
      <c r="A75">
        <v>68</v>
      </c>
      <c r="B75" t="s">
        <v>341</v>
      </c>
      <c r="C75" s="104" t="s">
        <v>367</v>
      </c>
      <c r="D75" s="21">
        <v>274.08</v>
      </c>
      <c r="E75" s="4">
        <v>44440</v>
      </c>
    </row>
    <row r="76" spans="1:5">
      <c r="A76">
        <v>69</v>
      </c>
      <c r="B76" t="s">
        <v>340</v>
      </c>
      <c r="C76" s="104" t="s">
        <v>368</v>
      </c>
      <c r="D76" s="21">
        <v>77.02</v>
      </c>
      <c r="E76" s="4">
        <v>44440</v>
      </c>
    </row>
    <row r="77" spans="1:5">
      <c r="A77">
        <v>70</v>
      </c>
      <c r="B77" t="s">
        <v>361</v>
      </c>
      <c r="C77" s="104" t="s">
        <v>368</v>
      </c>
      <c r="D77" s="21">
        <v>117.61</v>
      </c>
      <c r="E77" s="4">
        <v>44441</v>
      </c>
    </row>
    <row r="78" spans="1:5">
      <c r="A78">
        <v>71</v>
      </c>
      <c r="B78" t="s">
        <v>369</v>
      </c>
      <c r="C78" s="104" t="s">
        <v>370</v>
      </c>
      <c r="D78" s="21">
        <v>46.25</v>
      </c>
      <c r="E78" s="4">
        <v>44441</v>
      </c>
    </row>
    <row r="79" spans="1:5">
      <c r="A79">
        <v>72</v>
      </c>
      <c r="B79" t="s">
        <v>369</v>
      </c>
      <c r="C79" s="104" t="s">
        <v>368</v>
      </c>
      <c r="D79" s="21">
        <v>117.61</v>
      </c>
      <c r="E79" s="4">
        <v>44441</v>
      </c>
    </row>
    <row r="80" spans="1:5">
      <c r="A80">
        <v>73</v>
      </c>
      <c r="B80" t="s">
        <v>369</v>
      </c>
      <c r="C80" s="104" t="s">
        <v>370</v>
      </c>
      <c r="D80" s="21">
        <v>46.25</v>
      </c>
      <c r="E80" s="4">
        <v>44441</v>
      </c>
    </row>
    <row r="81" spans="1:5">
      <c r="A81">
        <v>74</v>
      </c>
      <c r="B81" t="s">
        <v>341</v>
      </c>
      <c r="C81" s="104" t="s">
        <v>371</v>
      </c>
      <c r="D81" s="21">
        <v>210.68</v>
      </c>
      <c r="E81" s="4">
        <v>44482</v>
      </c>
    </row>
    <row r="82" spans="1:5">
      <c r="A82">
        <v>75</v>
      </c>
      <c r="B82" t="s">
        <v>358</v>
      </c>
      <c r="C82" s="104" t="s">
        <v>371</v>
      </c>
      <c r="D82" s="21">
        <v>110.85</v>
      </c>
      <c r="E82" s="4">
        <v>44482</v>
      </c>
    </row>
    <row r="83" spans="1:5">
      <c r="A83">
        <v>76</v>
      </c>
      <c r="B83" t="s">
        <v>340</v>
      </c>
      <c r="C83" s="104" t="s">
        <v>372</v>
      </c>
      <c r="D83" s="21">
        <v>78.150000000000006</v>
      </c>
      <c r="E83" s="4">
        <v>44491</v>
      </c>
    </row>
    <row r="84" spans="1:5">
      <c r="A84">
        <v>77</v>
      </c>
      <c r="B84" t="s">
        <v>358</v>
      </c>
      <c r="C84" s="104" t="s">
        <v>372</v>
      </c>
      <c r="D84" s="21">
        <v>110.85</v>
      </c>
      <c r="E84" s="4">
        <v>44491</v>
      </c>
    </row>
    <row r="85" spans="1:5">
      <c r="A85">
        <v>78</v>
      </c>
      <c r="B85" t="s">
        <v>341</v>
      </c>
      <c r="C85" s="104" t="s">
        <v>372</v>
      </c>
      <c r="D85" s="21">
        <v>210.72</v>
      </c>
      <c r="E85" s="4">
        <v>44491</v>
      </c>
    </row>
    <row r="86" spans="1:5">
      <c r="D86" s="21">
        <f>SUBTOTAL(109,Table4[Column4])</f>
        <v>15591.820000000003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3:C46"/>
  <sheetViews>
    <sheetView workbookViewId="0">
      <selection activeCell="A23" sqref="A23"/>
    </sheetView>
  </sheetViews>
  <sheetFormatPr defaultColWidth="9" defaultRowHeight="15"/>
  <cols>
    <col min="1" max="1" width="56.5703125" customWidth="1"/>
  </cols>
  <sheetData>
    <row r="3" spans="1:3">
      <c r="A3" s="58" t="s">
        <v>373</v>
      </c>
      <c r="B3" s="59" t="s">
        <v>374</v>
      </c>
    </row>
    <row r="4" spans="1:3">
      <c r="A4" s="60" t="s">
        <v>375</v>
      </c>
      <c r="B4" s="61"/>
      <c r="C4" s="62"/>
    </row>
    <row r="5" spans="1:3">
      <c r="A5" s="63" t="s">
        <v>376</v>
      </c>
      <c r="B5" s="64"/>
      <c r="C5" s="62"/>
    </row>
    <row r="6" spans="1:3">
      <c r="A6" s="60" t="s">
        <v>377</v>
      </c>
      <c r="B6" s="64"/>
      <c r="C6" s="62"/>
    </row>
    <row r="7" spans="1:3">
      <c r="A7" s="60" t="s">
        <v>378</v>
      </c>
      <c r="B7" s="64"/>
      <c r="C7" s="62"/>
    </row>
    <row r="8" spans="1:3">
      <c r="A8" s="65" t="s">
        <v>379</v>
      </c>
      <c r="B8" s="64"/>
      <c r="C8" s="62"/>
    </row>
    <row r="9" spans="1:3">
      <c r="A9" s="60" t="s">
        <v>380</v>
      </c>
      <c r="B9" s="64"/>
      <c r="C9" s="66"/>
    </row>
    <row r="10" spans="1:3">
      <c r="A10" s="65" t="s">
        <v>381</v>
      </c>
      <c r="B10" s="64"/>
      <c r="C10" s="66"/>
    </row>
    <row r="11" spans="1:3">
      <c r="A11" s="67" t="s">
        <v>382</v>
      </c>
      <c r="B11" s="64"/>
      <c r="C11" s="66"/>
    </row>
    <row r="12" spans="1:3">
      <c r="A12" s="65" t="s">
        <v>383</v>
      </c>
      <c r="B12" s="64"/>
      <c r="C12" s="66"/>
    </row>
    <row r="13" spans="1:3">
      <c r="A13" s="65" t="s">
        <v>384</v>
      </c>
      <c r="B13" s="64"/>
      <c r="C13" s="62"/>
    </row>
    <row r="14" spans="1:3">
      <c r="A14" s="68" t="s">
        <v>385</v>
      </c>
      <c r="B14" s="64"/>
      <c r="C14" s="66"/>
    </row>
    <row r="15" spans="1:3">
      <c r="A15" s="60" t="s">
        <v>386</v>
      </c>
      <c r="B15" s="64"/>
      <c r="C15" s="66"/>
    </row>
    <row r="16" spans="1:3">
      <c r="A16" s="65" t="s">
        <v>387</v>
      </c>
      <c r="B16" s="64"/>
      <c r="C16" s="66"/>
    </row>
    <row r="17" spans="1:3">
      <c r="A17" s="65" t="s">
        <v>388</v>
      </c>
      <c r="B17" s="64"/>
      <c r="C17" s="66"/>
    </row>
    <row r="18" spans="1:3">
      <c r="A18" s="60" t="s">
        <v>389</v>
      </c>
      <c r="B18" s="64"/>
      <c r="C18" s="66"/>
    </row>
    <row r="19" spans="1:3">
      <c r="A19" s="67" t="s">
        <v>390</v>
      </c>
      <c r="B19" s="64"/>
      <c r="C19" s="66"/>
    </row>
    <row r="20" spans="1:3">
      <c r="A20" s="60" t="s">
        <v>391</v>
      </c>
      <c r="B20" s="64"/>
      <c r="C20" s="66"/>
    </row>
    <row r="21" spans="1:3">
      <c r="A21" s="65" t="s">
        <v>392</v>
      </c>
      <c r="B21" s="64"/>
      <c r="C21" s="66"/>
    </row>
    <row r="22" spans="1:3">
      <c r="A22" s="69" t="s">
        <v>393</v>
      </c>
      <c r="B22" s="70"/>
    </row>
    <row r="23" spans="1:3">
      <c r="A23" s="69" t="s">
        <v>83</v>
      </c>
      <c r="B23" s="70"/>
    </row>
    <row r="24" spans="1:3">
      <c r="A24" s="69" t="s">
        <v>394</v>
      </c>
      <c r="B24" s="70"/>
    </row>
    <row r="25" spans="1:3">
      <c r="A25" s="69" t="s">
        <v>395</v>
      </c>
      <c r="B25" s="70"/>
    </row>
    <row r="26" spans="1:3">
      <c r="A26" s="69" t="s">
        <v>396</v>
      </c>
      <c r="B26" s="70"/>
    </row>
    <row r="27" spans="1:3">
      <c r="A27" s="69" t="s">
        <v>397</v>
      </c>
      <c r="B27" s="70"/>
    </row>
    <row r="28" spans="1:3">
      <c r="A28" s="69" t="s">
        <v>398</v>
      </c>
      <c r="B28" s="70"/>
    </row>
    <row r="29" spans="1:3">
      <c r="A29" s="69" t="s">
        <v>399</v>
      </c>
      <c r="B29" s="70"/>
    </row>
    <row r="30" spans="1:3">
      <c r="A30" s="69" t="s">
        <v>400</v>
      </c>
      <c r="B30" s="70"/>
    </row>
    <row r="31" spans="1:3">
      <c r="A31" s="69" t="s">
        <v>401</v>
      </c>
      <c r="B31" s="70"/>
    </row>
    <row r="32" spans="1:3">
      <c r="A32" s="69" t="s">
        <v>402</v>
      </c>
      <c r="B32" s="70"/>
    </row>
    <row r="33" spans="1:2">
      <c r="A33" s="69" t="s">
        <v>403</v>
      </c>
      <c r="B33" s="70"/>
    </row>
    <row r="34" spans="1:2">
      <c r="A34" s="71" t="s">
        <v>404</v>
      </c>
      <c r="B34" s="72"/>
    </row>
    <row r="35" spans="1:2">
      <c r="A35" s="72" t="s">
        <v>405</v>
      </c>
      <c r="B35" s="72"/>
    </row>
    <row r="36" spans="1:2">
      <c r="A36" s="72" t="s">
        <v>406</v>
      </c>
      <c r="B36" s="72"/>
    </row>
    <row r="37" spans="1:2">
      <c r="A37" s="70" t="s">
        <v>407</v>
      </c>
      <c r="B37" s="70"/>
    </row>
    <row r="38" spans="1:2">
      <c r="A38" s="72" t="s">
        <v>408</v>
      </c>
      <c r="B38" s="72"/>
    </row>
    <row r="39" spans="1:2">
      <c r="A39" s="72" t="s">
        <v>409</v>
      </c>
      <c r="B39" s="72"/>
    </row>
    <row r="40" spans="1:2">
      <c r="A40" s="72" t="s">
        <v>410</v>
      </c>
      <c r="B40" s="72"/>
    </row>
    <row r="41" spans="1:2">
      <c r="A41" s="70" t="s">
        <v>411</v>
      </c>
      <c r="B41" s="70"/>
    </row>
    <row r="42" spans="1:2">
      <c r="A42" s="70" t="s">
        <v>412</v>
      </c>
      <c r="B42" s="70"/>
    </row>
    <row r="43" spans="1:2">
      <c r="A43" s="70" t="s">
        <v>413</v>
      </c>
      <c r="B43" s="70"/>
    </row>
    <row r="44" spans="1:2">
      <c r="A44" s="72" t="s">
        <v>414</v>
      </c>
      <c r="B44" s="72"/>
    </row>
    <row r="45" spans="1:2">
      <c r="A45" s="72" t="s">
        <v>415</v>
      </c>
      <c r="B45" s="72"/>
    </row>
    <row r="46" spans="1:2">
      <c r="A46" s="72" t="s">
        <v>416</v>
      </c>
      <c r="B46" s="72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52"/>
  <sheetViews>
    <sheetView topLeftCell="A139" workbookViewId="0">
      <selection activeCell="H20" sqref="H20"/>
    </sheetView>
  </sheetViews>
  <sheetFormatPr defaultColWidth="9" defaultRowHeight="15"/>
  <cols>
    <col min="1" max="1" width="9.140625" style="40"/>
    <col min="2" max="3" width="12" style="21" customWidth="1"/>
    <col min="4" max="4" width="9.42578125" customWidth="1"/>
    <col min="7" max="7" width="13.140625" customWidth="1"/>
    <col min="8" max="8" width="16.5703125" customWidth="1"/>
    <col min="12" max="12" width="11.42578125" customWidth="1"/>
    <col min="13" max="13" width="10" customWidth="1"/>
    <col min="14" max="14" width="9.7109375" customWidth="1"/>
  </cols>
  <sheetData>
    <row r="1" spans="1:14">
      <c r="A1" s="40" t="s">
        <v>422</v>
      </c>
      <c r="B1" s="21" t="s">
        <v>423</v>
      </c>
      <c r="C1" s="21" t="s">
        <v>424</v>
      </c>
      <c r="D1" t="s">
        <v>425</v>
      </c>
      <c r="G1" t="s">
        <v>425</v>
      </c>
      <c r="H1" s="41">
        <v>12</v>
      </c>
    </row>
    <row r="2" spans="1:14">
      <c r="A2" s="40" t="s">
        <v>195</v>
      </c>
      <c r="B2" s="21">
        <v>60</v>
      </c>
      <c r="C2" s="21">
        <v>60</v>
      </c>
      <c r="D2">
        <v>1</v>
      </c>
      <c r="J2" t="s">
        <v>426</v>
      </c>
      <c r="K2" t="s">
        <v>427</v>
      </c>
      <c r="L2" t="s">
        <v>428</v>
      </c>
      <c r="M2" t="s">
        <v>429</v>
      </c>
      <c r="N2" t="s">
        <v>430</v>
      </c>
    </row>
    <row r="3" spans="1:14">
      <c r="A3" s="40" t="s">
        <v>195</v>
      </c>
      <c r="B3" s="21">
        <v>35</v>
      </c>
      <c r="C3" s="21">
        <v>35</v>
      </c>
      <c r="D3">
        <v>1</v>
      </c>
      <c r="G3" t="s">
        <v>266</v>
      </c>
      <c r="H3" t="s">
        <v>431</v>
      </c>
      <c r="J3" s="41" t="s">
        <v>195</v>
      </c>
      <c r="K3" s="41" t="s">
        <v>272</v>
      </c>
      <c r="L3" s="21">
        <v>36053.35</v>
      </c>
      <c r="M3">
        <v>12</v>
      </c>
      <c r="N3" s="21">
        <f>Table23[[#This Row],[Prihod]]/Table23[[#This Row],[mjeseci]]</f>
        <v>3004.4458333333332</v>
      </c>
    </row>
    <row r="4" spans="1:14">
      <c r="A4" s="40" t="s">
        <v>195</v>
      </c>
      <c r="B4" s="21">
        <v>132.56</v>
      </c>
      <c r="C4" s="21">
        <v>0</v>
      </c>
      <c r="D4">
        <v>1</v>
      </c>
      <c r="G4" s="41" t="s">
        <v>194</v>
      </c>
      <c r="H4" s="21"/>
      <c r="J4" s="41" t="s">
        <v>199</v>
      </c>
      <c r="K4" s="41" t="s">
        <v>417</v>
      </c>
      <c r="L4" s="21">
        <v>34845.75</v>
      </c>
      <c r="M4">
        <v>12</v>
      </c>
      <c r="N4" s="21">
        <f>Table23[[#This Row],[Prihod]]/Table23[[#This Row],[mjeseci]]</f>
        <v>2903.8125</v>
      </c>
    </row>
    <row r="5" spans="1:14">
      <c r="A5" s="40" t="s">
        <v>197</v>
      </c>
      <c r="B5" s="21">
        <v>550</v>
      </c>
      <c r="C5" s="21">
        <v>640.26</v>
      </c>
      <c r="D5">
        <v>1</v>
      </c>
      <c r="G5" s="41" t="s">
        <v>198</v>
      </c>
      <c r="H5" s="21">
        <v>1240</v>
      </c>
      <c r="J5" s="41" t="s">
        <v>197</v>
      </c>
      <c r="K5" s="41" t="s">
        <v>270</v>
      </c>
      <c r="L5" s="21">
        <v>34308.46</v>
      </c>
      <c r="M5">
        <v>12</v>
      </c>
      <c r="N5" s="21">
        <f>Table23[[#This Row],[Prihod]]/Table23[[#This Row],[mjeseci]]</f>
        <v>2859.0383333333334</v>
      </c>
    </row>
    <row r="6" spans="1:14">
      <c r="A6" s="40" t="s">
        <v>195</v>
      </c>
      <c r="B6" s="21">
        <v>200</v>
      </c>
      <c r="C6" s="21">
        <v>200</v>
      </c>
      <c r="D6">
        <v>1</v>
      </c>
      <c r="G6" s="41" t="s">
        <v>197</v>
      </c>
      <c r="H6" s="21">
        <v>2853.3</v>
      </c>
      <c r="J6" s="41" t="s">
        <v>198</v>
      </c>
      <c r="K6" s="41" t="s">
        <v>275</v>
      </c>
      <c r="L6" s="21">
        <v>31681.22</v>
      </c>
      <c r="M6">
        <v>12</v>
      </c>
      <c r="N6" s="21">
        <f>Table23[[#This Row],[Prihod]]/Table23[[#This Row],[mjeseci]]</f>
        <v>2640.1016666666669</v>
      </c>
    </row>
    <row r="7" spans="1:14">
      <c r="A7" s="40" t="s">
        <v>199</v>
      </c>
      <c r="B7" s="21">
        <v>120</v>
      </c>
      <c r="C7" s="21">
        <v>120</v>
      </c>
      <c r="D7">
        <v>1</v>
      </c>
      <c r="G7" s="41" t="s">
        <v>199</v>
      </c>
      <c r="H7" s="21">
        <v>3648.75</v>
      </c>
      <c r="J7" s="41" t="s">
        <v>200</v>
      </c>
      <c r="K7" s="41" t="s">
        <v>418</v>
      </c>
      <c r="L7" s="21">
        <v>30720.83</v>
      </c>
      <c r="M7">
        <v>8</v>
      </c>
      <c r="N7" s="21">
        <f>Table23[[#This Row],[Prihod]]/Table23[[#This Row],[mjeseci]]</f>
        <v>3840.1037500000002</v>
      </c>
    </row>
    <row r="8" spans="1:14">
      <c r="A8" s="40" t="s">
        <v>197</v>
      </c>
      <c r="B8" s="21">
        <v>150</v>
      </c>
      <c r="C8" s="21">
        <v>150</v>
      </c>
      <c r="D8">
        <v>1</v>
      </c>
      <c r="G8" s="41" t="s">
        <v>200</v>
      </c>
      <c r="H8" s="21">
        <v>5215.21</v>
      </c>
      <c r="J8" s="41" t="s">
        <v>196</v>
      </c>
      <c r="K8" s="41" t="s">
        <v>420</v>
      </c>
      <c r="L8" s="21">
        <v>15200.9</v>
      </c>
      <c r="M8">
        <v>12</v>
      </c>
      <c r="N8" s="21">
        <f>Table23[[#This Row],[Prihod]]/Table23[[#This Row],[mjeseci]]</f>
        <v>1266.7416666666666</v>
      </c>
    </row>
    <row r="9" spans="1:14">
      <c r="A9" s="40" t="s">
        <v>432</v>
      </c>
      <c r="B9" s="21">
        <v>70</v>
      </c>
      <c r="C9" s="21">
        <v>70</v>
      </c>
      <c r="D9">
        <v>1</v>
      </c>
      <c r="G9" s="41" t="s">
        <v>201</v>
      </c>
      <c r="H9" s="21">
        <v>501.36</v>
      </c>
      <c r="J9" s="41" t="s">
        <v>202</v>
      </c>
      <c r="K9" s="41" t="s">
        <v>421</v>
      </c>
      <c r="L9" s="21">
        <v>5757.59</v>
      </c>
      <c r="M9">
        <v>3</v>
      </c>
      <c r="N9" s="21">
        <f>Table23[[#This Row],[Prihod]]/Table23[[#This Row],[mjeseci]]</f>
        <v>1919.1966666666667</v>
      </c>
    </row>
    <row r="10" spans="1:14">
      <c r="A10" s="40" t="s">
        <v>195</v>
      </c>
      <c r="B10" s="21">
        <v>650</v>
      </c>
      <c r="C10" s="21">
        <v>650</v>
      </c>
      <c r="D10">
        <v>1</v>
      </c>
      <c r="G10" s="41" t="s">
        <v>195</v>
      </c>
      <c r="H10" s="21">
        <v>2135</v>
      </c>
      <c r="J10" s="41" t="s">
        <v>201</v>
      </c>
      <c r="K10" s="41" t="s">
        <v>419</v>
      </c>
      <c r="L10" s="21">
        <v>5755.88</v>
      </c>
      <c r="M10">
        <v>7</v>
      </c>
      <c r="N10" s="21">
        <f>Table23[[#This Row],[Prihod]]/Table23[[#This Row],[mjeseci]]</f>
        <v>822.26857142857148</v>
      </c>
    </row>
    <row r="11" spans="1:14">
      <c r="A11" s="40" t="s">
        <v>197</v>
      </c>
      <c r="B11" s="21">
        <v>310</v>
      </c>
      <c r="C11" s="21">
        <v>310</v>
      </c>
      <c r="D11">
        <v>1</v>
      </c>
      <c r="G11" s="41" t="s">
        <v>196</v>
      </c>
      <c r="H11" s="21">
        <v>1551.96</v>
      </c>
      <c r="J11" s="41" t="s">
        <v>432</v>
      </c>
      <c r="K11" s="41" t="s">
        <v>433</v>
      </c>
      <c r="L11" s="21">
        <v>336</v>
      </c>
      <c r="M11">
        <v>4</v>
      </c>
      <c r="N11" s="21">
        <f>Table23[[#This Row],[Prihod]]/Table23[[#This Row],[mjeseci]]</f>
        <v>84</v>
      </c>
    </row>
    <row r="12" spans="1:14">
      <c r="A12" s="40" t="s">
        <v>196</v>
      </c>
      <c r="B12" s="21">
        <v>75</v>
      </c>
      <c r="C12" s="21">
        <v>75</v>
      </c>
      <c r="D12">
        <v>1</v>
      </c>
      <c r="G12" s="41" t="s">
        <v>202</v>
      </c>
      <c r="H12" s="21">
        <v>1634.58</v>
      </c>
      <c r="J12" s="41"/>
      <c r="K12" s="41"/>
      <c r="L12" s="21">
        <f>SUBTOTAL(109,Table23[Prihod])</f>
        <v>194659.97999999998</v>
      </c>
      <c r="N12" s="21"/>
    </row>
    <row r="13" spans="1:14">
      <c r="A13" s="40" t="s">
        <v>196</v>
      </c>
      <c r="B13" s="21">
        <v>30</v>
      </c>
      <c r="C13" s="21">
        <v>30</v>
      </c>
      <c r="D13">
        <v>1</v>
      </c>
      <c r="G13" s="41" t="s">
        <v>283</v>
      </c>
      <c r="H13">
        <v>18780.16</v>
      </c>
    </row>
    <row r="14" spans="1:14">
      <c r="A14" s="40" t="s">
        <v>197</v>
      </c>
      <c r="B14" s="21">
        <v>500</v>
      </c>
      <c r="C14" s="21">
        <v>500</v>
      </c>
      <c r="D14">
        <v>1</v>
      </c>
    </row>
    <row r="15" spans="1:14">
      <c r="A15" s="40" t="s">
        <v>195</v>
      </c>
      <c r="B15" s="21">
        <v>87.49</v>
      </c>
      <c r="C15" s="21">
        <v>87.49</v>
      </c>
      <c r="D15">
        <v>1</v>
      </c>
    </row>
    <row r="16" spans="1:14">
      <c r="A16" s="40" t="s">
        <v>196</v>
      </c>
      <c r="B16" s="21">
        <v>75</v>
      </c>
      <c r="C16" s="21">
        <v>75</v>
      </c>
      <c r="D16">
        <v>1</v>
      </c>
    </row>
    <row r="17" spans="1:4">
      <c r="A17" s="40" t="s">
        <v>197</v>
      </c>
      <c r="B17" s="21">
        <v>410</v>
      </c>
      <c r="C17" s="21">
        <v>410</v>
      </c>
      <c r="D17">
        <v>1</v>
      </c>
    </row>
    <row r="18" spans="1:4">
      <c r="A18" s="40" t="s">
        <v>197</v>
      </c>
      <c r="B18" s="21">
        <v>175</v>
      </c>
      <c r="C18" s="21">
        <v>175</v>
      </c>
      <c r="D18">
        <v>1</v>
      </c>
    </row>
    <row r="19" spans="1:4">
      <c r="A19" s="40" t="s">
        <v>195</v>
      </c>
      <c r="B19" s="21">
        <v>60</v>
      </c>
      <c r="C19" s="21">
        <v>60</v>
      </c>
      <c r="D19">
        <v>1</v>
      </c>
    </row>
    <row r="20" spans="1:4">
      <c r="A20" s="40" t="s">
        <v>195</v>
      </c>
      <c r="B20" s="21">
        <v>620</v>
      </c>
      <c r="C20" s="21">
        <v>620</v>
      </c>
      <c r="D20">
        <v>1</v>
      </c>
    </row>
    <row r="21" spans="1:4">
      <c r="A21" s="40" t="s">
        <v>195</v>
      </c>
      <c r="B21" s="21">
        <v>0</v>
      </c>
      <c r="C21" s="21">
        <v>70</v>
      </c>
      <c r="D21">
        <v>1</v>
      </c>
    </row>
    <row r="22" spans="1:4">
      <c r="A22" s="40" t="s">
        <v>195</v>
      </c>
      <c r="B22" s="21">
        <v>155</v>
      </c>
      <c r="C22" s="21">
        <v>155</v>
      </c>
      <c r="D22">
        <v>1</v>
      </c>
    </row>
    <row r="23" spans="1:4">
      <c r="A23" s="40" t="s">
        <v>195</v>
      </c>
      <c r="B23" s="21">
        <v>75</v>
      </c>
      <c r="C23" s="21">
        <v>75</v>
      </c>
      <c r="D23">
        <v>1</v>
      </c>
    </row>
    <row r="24" spans="1:4">
      <c r="A24" s="40" t="s">
        <v>195</v>
      </c>
      <c r="B24" s="21">
        <v>87.5</v>
      </c>
      <c r="C24" s="21">
        <v>87.5</v>
      </c>
      <c r="D24">
        <v>1</v>
      </c>
    </row>
    <row r="25" spans="1:4">
      <c r="A25" s="40" t="s">
        <v>199</v>
      </c>
      <c r="B25" s="21">
        <v>50</v>
      </c>
      <c r="C25" s="21">
        <v>50</v>
      </c>
      <c r="D25">
        <v>1</v>
      </c>
    </row>
    <row r="26" spans="1:4">
      <c r="A26" s="40" t="s">
        <v>199</v>
      </c>
      <c r="B26" s="21">
        <v>45</v>
      </c>
      <c r="C26" s="21">
        <v>45</v>
      </c>
      <c r="D26">
        <v>1</v>
      </c>
    </row>
    <row r="27" spans="1:4">
      <c r="A27" s="40" t="s">
        <v>198</v>
      </c>
      <c r="B27" s="21">
        <v>1660</v>
      </c>
      <c r="C27" s="21">
        <v>2031</v>
      </c>
      <c r="D27">
        <v>1</v>
      </c>
    </row>
    <row r="28" spans="1:4">
      <c r="A28" s="40" t="s">
        <v>195</v>
      </c>
      <c r="B28" s="21">
        <v>100</v>
      </c>
      <c r="C28" s="21">
        <v>100</v>
      </c>
      <c r="D28">
        <v>1</v>
      </c>
    </row>
    <row r="29" spans="1:4">
      <c r="A29" s="40" t="s">
        <v>199</v>
      </c>
      <c r="B29" s="21">
        <v>45</v>
      </c>
      <c r="C29" s="21">
        <v>45</v>
      </c>
      <c r="D29">
        <v>1</v>
      </c>
    </row>
    <row r="30" spans="1:4">
      <c r="A30" s="40" t="s">
        <v>196</v>
      </c>
      <c r="B30" s="21">
        <v>140</v>
      </c>
      <c r="C30" s="21">
        <v>140</v>
      </c>
      <c r="D30">
        <v>1</v>
      </c>
    </row>
    <row r="31" spans="1:4">
      <c r="A31" s="40" t="s">
        <v>196</v>
      </c>
      <c r="B31" s="21">
        <v>75</v>
      </c>
      <c r="C31" s="21">
        <v>150</v>
      </c>
      <c r="D31">
        <v>1</v>
      </c>
    </row>
    <row r="32" spans="1:4">
      <c r="A32" s="40" t="s">
        <v>195</v>
      </c>
      <c r="B32" s="21">
        <v>80</v>
      </c>
      <c r="C32" s="21">
        <v>100</v>
      </c>
      <c r="D32">
        <v>1</v>
      </c>
    </row>
    <row r="33" spans="1:4">
      <c r="A33" s="40" t="s">
        <v>195</v>
      </c>
      <c r="B33" s="21">
        <v>30</v>
      </c>
      <c r="C33" s="21">
        <v>30</v>
      </c>
      <c r="D33">
        <v>1</v>
      </c>
    </row>
    <row r="34" spans="1:4">
      <c r="A34" s="40" t="s">
        <v>199</v>
      </c>
      <c r="B34" s="21">
        <v>175</v>
      </c>
      <c r="C34" s="21">
        <v>175</v>
      </c>
      <c r="D34">
        <v>1</v>
      </c>
    </row>
    <row r="35" spans="1:4">
      <c r="A35" s="40" t="s">
        <v>199</v>
      </c>
      <c r="B35" s="21">
        <v>175</v>
      </c>
      <c r="C35" s="21">
        <v>175</v>
      </c>
      <c r="D35">
        <v>1</v>
      </c>
    </row>
    <row r="36" spans="1:4">
      <c r="A36" s="40" t="s">
        <v>195</v>
      </c>
      <c r="B36" s="21">
        <v>30</v>
      </c>
      <c r="C36" s="21">
        <v>30</v>
      </c>
      <c r="D36">
        <v>1</v>
      </c>
    </row>
    <row r="37" spans="1:4">
      <c r="A37" s="40" t="s">
        <v>198</v>
      </c>
      <c r="B37" s="21">
        <v>545</v>
      </c>
      <c r="C37" s="21">
        <v>1033.68</v>
      </c>
      <c r="D37">
        <v>1</v>
      </c>
    </row>
    <row r="38" spans="1:4">
      <c r="A38" s="40" t="s">
        <v>196</v>
      </c>
      <c r="B38" s="21">
        <v>75</v>
      </c>
      <c r="C38" s="21">
        <v>75</v>
      </c>
      <c r="D38">
        <v>1</v>
      </c>
    </row>
    <row r="39" spans="1:4">
      <c r="A39" s="40" t="s">
        <v>195</v>
      </c>
      <c r="B39" s="21">
        <v>200</v>
      </c>
      <c r="C39" s="21">
        <v>200</v>
      </c>
      <c r="D39">
        <v>1</v>
      </c>
    </row>
    <row r="40" spans="1:4">
      <c r="A40" s="40" t="s">
        <v>199</v>
      </c>
      <c r="B40" s="21">
        <v>110</v>
      </c>
      <c r="C40" s="21">
        <v>110</v>
      </c>
      <c r="D40">
        <v>1</v>
      </c>
    </row>
    <row r="41" spans="1:4">
      <c r="A41" s="40" t="s">
        <v>195</v>
      </c>
      <c r="B41" s="21">
        <v>110</v>
      </c>
      <c r="C41" s="21">
        <v>110</v>
      </c>
      <c r="D41">
        <v>1</v>
      </c>
    </row>
    <row r="42" spans="1:4">
      <c r="A42" s="40" t="s">
        <v>197</v>
      </c>
      <c r="B42" s="21">
        <v>75</v>
      </c>
      <c r="C42" s="21">
        <v>75</v>
      </c>
      <c r="D42">
        <v>1</v>
      </c>
    </row>
    <row r="43" spans="1:4">
      <c r="A43" s="40" t="s">
        <v>195</v>
      </c>
      <c r="B43" s="21">
        <v>50</v>
      </c>
      <c r="C43" s="21">
        <v>50</v>
      </c>
      <c r="D43">
        <v>1</v>
      </c>
    </row>
    <row r="44" spans="1:4">
      <c r="A44" s="40" t="s">
        <v>199</v>
      </c>
      <c r="B44" s="21">
        <v>150</v>
      </c>
      <c r="C44" s="21">
        <v>150</v>
      </c>
      <c r="D44">
        <v>1</v>
      </c>
    </row>
    <row r="45" spans="1:4">
      <c r="A45" s="40" t="s">
        <v>199</v>
      </c>
      <c r="B45" s="21">
        <v>610</v>
      </c>
      <c r="C45" s="21">
        <v>610</v>
      </c>
      <c r="D45">
        <v>1</v>
      </c>
    </row>
    <row r="46" spans="1:4">
      <c r="A46" s="40" t="s">
        <v>197</v>
      </c>
      <c r="B46" s="21">
        <v>75</v>
      </c>
      <c r="C46" s="21">
        <v>75</v>
      </c>
      <c r="D46">
        <v>1</v>
      </c>
    </row>
    <row r="47" spans="1:4">
      <c r="A47" s="40" t="s">
        <v>196</v>
      </c>
      <c r="B47" s="21">
        <v>110</v>
      </c>
      <c r="C47" s="21">
        <v>110</v>
      </c>
      <c r="D47">
        <v>1</v>
      </c>
    </row>
    <row r="48" spans="1:4">
      <c r="A48" s="40" t="s">
        <v>199</v>
      </c>
      <c r="B48" s="21">
        <v>110</v>
      </c>
      <c r="C48" s="21">
        <v>110</v>
      </c>
      <c r="D48">
        <v>1</v>
      </c>
    </row>
    <row r="49" spans="1:4">
      <c r="A49" s="40" t="s">
        <v>196</v>
      </c>
      <c r="B49" s="21">
        <v>190</v>
      </c>
      <c r="C49" s="21">
        <v>190</v>
      </c>
      <c r="D49">
        <v>1</v>
      </c>
    </row>
    <row r="50" spans="1:4">
      <c r="A50" s="40" t="s">
        <v>195</v>
      </c>
      <c r="B50" s="21">
        <v>110</v>
      </c>
      <c r="C50" s="21">
        <v>60</v>
      </c>
      <c r="D50">
        <v>1</v>
      </c>
    </row>
    <row r="51" spans="1:4">
      <c r="A51" s="40" t="s">
        <v>195</v>
      </c>
      <c r="B51" s="21">
        <v>30</v>
      </c>
      <c r="C51" s="21">
        <v>30</v>
      </c>
      <c r="D51">
        <v>1</v>
      </c>
    </row>
    <row r="52" spans="1:4">
      <c r="A52" s="40" t="s">
        <v>195</v>
      </c>
      <c r="B52" s="21">
        <v>140</v>
      </c>
      <c r="C52" s="21">
        <v>140</v>
      </c>
      <c r="D52">
        <v>1</v>
      </c>
    </row>
    <row r="53" spans="1:4">
      <c r="A53" s="40" t="s">
        <v>195</v>
      </c>
      <c r="B53" s="21">
        <v>60</v>
      </c>
      <c r="C53" s="21">
        <v>66</v>
      </c>
      <c r="D53">
        <v>1</v>
      </c>
    </row>
    <row r="54" spans="1:4">
      <c r="A54" s="40" t="s">
        <v>195</v>
      </c>
      <c r="B54" s="21">
        <v>150</v>
      </c>
      <c r="C54" s="21">
        <v>150</v>
      </c>
      <c r="D54">
        <v>1</v>
      </c>
    </row>
    <row r="55" spans="1:4">
      <c r="A55" s="40" t="s">
        <v>199</v>
      </c>
      <c r="B55" s="21">
        <v>150</v>
      </c>
      <c r="C55" s="21">
        <v>150</v>
      </c>
      <c r="D55">
        <v>1</v>
      </c>
    </row>
    <row r="56" spans="1:4">
      <c r="A56" s="40" t="s">
        <v>199</v>
      </c>
      <c r="B56" s="21">
        <v>55</v>
      </c>
      <c r="C56" s="21">
        <v>55</v>
      </c>
      <c r="D56">
        <v>1</v>
      </c>
    </row>
    <row r="57" spans="1:4">
      <c r="A57" s="40" t="s">
        <v>199</v>
      </c>
      <c r="B57" s="21">
        <v>85</v>
      </c>
      <c r="C57" s="21">
        <v>80.75</v>
      </c>
      <c r="D57">
        <v>1</v>
      </c>
    </row>
    <row r="58" spans="1:4">
      <c r="A58" s="40" t="s">
        <v>199</v>
      </c>
      <c r="B58" s="21">
        <v>33</v>
      </c>
      <c r="C58" s="21">
        <v>33</v>
      </c>
      <c r="D58">
        <v>1</v>
      </c>
    </row>
    <row r="59" spans="1:4">
      <c r="A59" s="40" t="s">
        <v>199</v>
      </c>
      <c r="B59" s="21">
        <v>33</v>
      </c>
      <c r="C59" s="21">
        <v>33</v>
      </c>
      <c r="D59">
        <v>1</v>
      </c>
    </row>
    <row r="60" spans="1:4">
      <c r="A60" s="40" t="s">
        <v>195</v>
      </c>
      <c r="B60" s="21">
        <v>132.56</v>
      </c>
      <c r="C60" s="21">
        <v>100</v>
      </c>
      <c r="D60">
        <v>1</v>
      </c>
    </row>
    <row r="61" spans="1:4">
      <c r="A61" s="40" t="s">
        <v>197</v>
      </c>
      <c r="B61" s="21">
        <v>66</v>
      </c>
      <c r="C61" s="21">
        <v>66</v>
      </c>
      <c r="D61">
        <v>1</v>
      </c>
    </row>
    <row r="62" spans="1:4">
      <c r="A62" s="40" t="s">
        <v>199</v>
      </c>
      <c r="B62" s="21">
        <v>55</v>
      </c>
      <c r="C62" s="21">
        <v>55</v>
      </c>
      <c r="D62">
        <v>1</v>
      </c>
    </row>
    <row r="63" spans="1:4">
      <c r="A63" s="40" t="s">
        <v>197</v>
      </c>
      <c r="B63" s="21">
        <v>60</v>
      </c>
      <c r="C63" s="21">
        <v>60</v>
      </c>
      <c r="D63">
        <v>1</v>
      </c>
    </row>
    <row r="64" spans="1:4">
      <c r="A64" s="40" t="s">
        <v>196</v>
      </c>
      <c r="B64" s="21">
        <v>30</v>
      </c>
      <c r="C64" s="21">
        <v>30</v>
      </c>
      <c r="D64">
        <v>1</v>
      </c>
    </row>
    <row r="65" spans="1:4">
      <c r="A65" s="40" t="s">
        <v>195</v>
      </c>
      <c r="B65" s="21">
        <v>88</v>
      </c>
      <c r="C65" s="21">
        <v>528</v>
      </c>
      <c r="D65">
        <v>1</v>
      </c>
    </row>
    <row r="66" spans="1:4">
      <c r="A66" s="40" t="s">
        <v>195</v>
      </c>
      <c r="B66" s="21">
        <v>60</v>
      </c>
      <c r="C66" s="21">
        <v>60</v>
      </c>
      <c r="D66">
        <v>1</v>
      </c>
    </row>
    <row r="67" spans="1:4">
      <c r="A67" s="40" t="s">
        <v>195</v>
      </c>
      <c r="B67" s="21">
        <v>60</v>
      </c>
      <c r="C67" s="21">
        <v>60</v>
      </c>
      <c r="D67">
        <v>1</v>
      </c>
    </row>
    <row r="68" spans="1:4">
      <c r="A68" s="40" t="s">
        <v>195</v>
      </c>
      <c r="B68" s="21">
        <v>100</v>
      </c>
      <c r="C68" s="21">
        <v>100</v>
      </c>
      <c r="D68">
        <v>1</v>
      </c>
    </row>
    <row r="69" spans="1:4">
      <c r="A69" s="40" t="s">
        <v>199</v>
      </c>
      <c r="B69" s="21">
        <v>110</v>
      </c>
      <c r="C69" s="21">
        <v>110</v>
      </c>
      <c r="D69">
        <v>1</v>
      </c>
    </row>
    <row r="70" spans="1:4">
      <c r="A70" s="40" t="s">
        <v>197</v>
      </c>
      <c r="B70" s="21">
        <v>375</v>
      </c>
      <c r="C70" s="21">
        <v>375</v>
      </c>
      <c r="D70">
        <v>1</v>
      </c>
    </row>
    <row r="71" spans="1:4">
      <c r="A71" s="40" t="s">
        <v>199</v>
      </c>
      <c r="B71" s="21">
        <v>160</v>
      </c>
      <c r="C71" s="21">
        <v>160</v>
      </c>
      <c r="D71">
        <v>1</v>
      </c>
    </row>
    <row r="72" spans="1:4">
      <c r="A72" s="40" t="s">
        <v>199</v>
      </c>
      <c r="B72" s="21">
        <v>30</v>
      </c>
      <c r="C72" s="21">
        <v>30</v>
      </c>
      <c r="D72">
        <v>1</v>
      </c>
    </row>
    <row r="73" spans="1:4">
      <c r="A73" s="40" t="s">
        <v>196</v>
      </c>
      <c r="B73" s="21">
        <v>30</v>
      </c>
      <c r="C73" s="21">
        <v>30</v>
      </c>
      <c r="D73">
        <v>1</v>
      </c>
    </row>
    <row r="74" spans="1:4">
      <c r="A74" s="40" t="s">
        <v>198</v>
      </c>
      <c r="B74" s="21">
        <v>30</v>
      </c>
      <c r="C74" s="21">
        <v>30</v>
      </c>
      <c r="D74">
        <v>1</v>
      </c>
    </row>
    <row r="75" spans="1:4">
      <c r="A75" s="40" t="s">
        <v>196</v>
      </c>
      <c r="B75" s="21">
        <v>50</v>
      </c>
      <c r="C75" s="21">
        <v>50</v>
      </c>
      <c r="D75">
        <v>1</v>
      </c>
    </row>
    <row r="76" spans="1:4">
      <c r="A76" s="40" t="s">
        <v>198</v>
      </c>
      <c r="B76" s="21">
        <v>50</v>
      </c>
      <c r="C76" s="21">
        <v>50</v>
      </c>
      <c r="D76">
        <v>1</v>
      </c>
    </row>
    <row r="77" spans="1:4">
      <c r="A77" s="40" t="s">
        <v>198</v>
      </c>
      <c r="B77" s="21">
        <v>280</v>
      </c>
      <c r="C77" s="21">
        <v>280</v>
      </c>
      <c r="D77">
        <v>1</v>
      </c>
    </row>
    <row r="78" spans="1:4">
      <c r="A78" s="40" t="s">
        <v>198</v>
      </c>
      <c r="B78" s="21">
        <v>100</v>
      </c>
      <c r="C78" s="21">
        <v>100</v>
      </c>
      <c r="D78">
        <v>1</v>
      </c>
    </row>
    <row r="79" spans="1:4">
      <c r="A79" s="40" t="s">
        <v>199</v>
      </c>
      <c r="B79" s="21">
        <v>600</v>
      </c>
      <c r="C79" s="21">
        <v>200</v>
      </c>
      <c r="D79">
        <v>1</v>
      </c>
    </row>
    <row r="80" spans="1:4">
      <c r="A80" s="40" t="s">
        <v>198</v>
      </c>
      <c r="B80" s="21">
        <v>50</v>
      </c>
      <c r="C80" s="21">
        <v>38.700000000000003</v>
      </c>
      <c r="D80">
        <v>1</v>
      </c>
    </row>
    <row r="81" spans="1:4">
      <c r="A81" s="40" t="s">
        <v>198</v>
      </c>
      <c r="B81" s="21">
        <v>50</v>
      </c>
      <c r="C81" s="21">
        <v>38.700000000000003</v>
      </c>
      <c r="D81">
        <v>1</v>
      </c>
    </row>
    <row r="82" spans="1:4">
      <c r="A82" s="42" t="s">
        <v>195</v>
      </c>
      <c r="B82" s="15">
        <v>60</v>
      </c>
      <c r="C82" s="15">
        <v>60</v>
      </c>
      <c r="D82">
        <v>2</v>
      </c>
    </row>
    <row r="83" spans="1:4">
      <c r="A83" s="40" t="s">
        <v>195</v>
      </c>
      <c r="B83" s="21">
        <v>35</v>
      </c>
      <c r="C83" s="21">
        <v>35</v>
      </c>
      <c r="D83">
        <v>2</v>
      </c>
    </row>
    <row r="84" spans="1:4">
      <c r="A84" s="40" t="s">
        <v>197</v>
      </c>
      <c r="B84" s="21">
        <v>175</v>
      </c>
      <c r="C84" s="21">
        <v>175</v>
      </c>
      <c r="D84">
        <v>2</v>
      </c>
    </row>
    <row r="85" spans="1:4">
      <c r="A85" s="40" t="s">
        <v>195</v>
      </c>
      <c r="B85" s="21">
        <v>200</v>
      </c>
      <c r="C85" s="21">
        <v>200</v>
      </c>
      <c r="D85">
        <v>2</v>
      </c>
    </row>
    <row r="86" spans="1:4">
      <c r="A86" s="40" t="s">
        <v>199</v>
      </c>
      <c r="B86" s="21">
        <v>120</v>
      </c>
      <c r="C86" s="21">
        <v>120</v>
      </c>
      <c r="D86">
        <v>2</v>
      </c>
    </row>
    <row r="87" spans="1:4">
      <c r="A87" s="40" t="s">
        <v>197</v>
      </c>
      <c r="B87" s="21">
        <v>150</v>
      </c>
      <c r="C87" s="21">
        <v>150</v>
      </c>
      <c r="D87">
        <v>2</v>
      </c>
    </row>
    <row r="88" spans="1:4">
      <c r="A88" s="40" t="s">
        <v>432</v>
      </c>
      <c r="B88" s="21">
        <v>70</v>
      </c>
      <c r="C88" s="21">
        <v>70</v>
      </c>
      <c r="D88">
        <v>2</v>
      </c>
    </row>
    <row r="89" spans="1:4">
      <c r="A89" s="40" t="s">
        <v>195</v>
      </c>
      <c r="B89" s="21">
        <v>162</v>
      </c>
      <c r="C89" s="21">
        <v>155</v>
      </c>
      <c r="D89">
        <v>2</v>
      </c>
    </row>
    <row r="90" spans="1:4">
      <c r="A90" s="40" t="s">
        <v>197</v>
      </c>
      <c r="B90" s="21">
        <v>310</v>
      </c>
      <c r="C90" s="21">
        <v>310</v>
      </c>
      <c r="D90">
        <v>2</v>
      </c>
    </row>
    <row r="91" spans="1:4">
      <c r="A91" s="40" t="s">
        <v>196</v>
      </c>
      <c r="B91" s="21">
        <v>75</v>
      </c>
      <c r="C91" s="21">
        <v>75</v>
      </c>
      <c r="D91">
        <v>2</v>
      </c>
    </row>
    <row r="92" spans="1:4">
      <c r="A92" s="40" t="s">
        <v>196</v>
      </c>
      <c r="B92" s="21">
        <v>30</v>
      </c>
      <c r="C92" s="21">
        <v>30</v>
      </c>
      <c r="D92">
        <v>2</v>
      </c>
    </row>
    <row r="93" spans="1:4">
      <c r="A93" s="40" t="s">
        <v>197</v>
      </c>
      <c r="B93" s="21">
        <v>500</v>
      </c>
      <c r="C93" s="21">
        <v>500</v>
      </c>
      <c r="D93">
        <v>2</v>
      </c>
    </row>
    <row r="94" spans="1:4">
      <c r="A94" s="40" t="s">
        <v>195</v>
      </c>
      <c r="B94" s="21">
        <v>87.49</v>
      </c>
      <c r="C94" s="21">
        <v>87.49</v>
      </c>
      <c r="D94">
        <v>2</v>
      </c>
    </row>
    <row r="95" spans="1:4">
      <c r="A95" s="40" t="s">
        <v>196</v>
      </c>
      <c r="B95" s="21">
        <v>75</v>
      </c>
      <c r="C95" s="21">
        <v>75</v>
      </c>
      <c r="D95">
        <v>2</v>
      </c>
    </row>
    <row r="96" spans="1:4">
      <c r="A96" s="43" t="s">
        <v>197</v>
      </c>
      <c r="B96" s="44">
        <v>415</v>
      </c>
      <c r="C96" s="44">
        <v>415</v>
      </c>
      <c r="D96">
        <v>2</v>
      </c>
    </row>
    <row r="97" spans="1:4">
      <c r="A97" s="43" t="s">
        <v>197</v>
      </c>
      <c r="B97" s="44">
        <v>175</v>
      </c>
      <c r="C97" s="44">
        <v>175</v>
      </c>
      <c r="D97">
        <v>2</v>
      </c>
    </row>
    <row r="98" spans="1:4">
      <c r="A98" s="43" t="s">
        <v>195</v>
      </c>
      <c r="B98" s="44">
        <v>60</v>
      </c>
      <c r="C98" s="44">
        <v>60</v>
      </c>
      <c r="D98">
        <v>2</v>
      </c>
    </row>
    <row r="99" spans="1:4">
      <c r="A99" s="43" t="s">
        <v>195</v>
      </c>
      <c r="B99" s="44">
        <v>120</v>
      </c>
      <c r="C99" s="44">
        <v>120</v>
      </c>
      <c r="D99">
        <v>2</v>
      </c>
    </row>
    <row r="100" spans="1:4">
      <c r="A100" s="43" t="s">
        <v>195</v>
      </c>
      <c r="B100" s="44">
        <v>0</v>
      </c>
      <c r="C100" s="44">
        <v>75</v>
      </c>
      <c r="D100">
        <v>2</v>
      </c>
    </row>
    <row r="101" spans="1:4">
      <c r="A101" s="43" t="s">
        <v>195</v>
      </c>
      <c r="B101" s="44">
        <v>75</v>
      </c>
      <c r="C101" s="44">
        <v>75</v>
      </c>
      <c r="D101">
        <v>2</v>
      </c>
    </row>
    <row r="102" spans="1:4">
      <c r="A102" s="43" t="s">
        <v>195</v>
      </c>
      <c r="B102" s="44">
        <v>87.5</v>
      </c>
      <c r="C102" s="44">
        <v>87.5</v>
      </c>
      <c r="D102">
        <v>2</v>
      </c>
    </row>
    <row r="103" spans="1:4">
      <c r="A103" s="40" t="s">
        <v>199</v>
      </c>
      <c r="B103" s="44">
        <v>50</v>
      </c>
      <c r="C103" s="44">
        <v>50</v>
      </c>
      <c r="D103">
        <v>2</v>
      </c>
    </row>
    <row r="104" spans="1:4">
      <c r="A104" s="40" t="s">
        <v>199</v>
      </c>
      <c r="B104" s="38">
        <v>45</v>
      </c>
      <c r="C104" s="38">
        <v>45</v>
      </c>
      <c r="D104">
        <v>2</v>
      </c>
    </row>
    <row r="105" spans="1:4">
      <c r="A105" s="40" t="s">
        <v>198</v>
      </c>
      <c r="B105" s="44">
        <v>1660</v>
      </c>
      <c r="C105" s="44">
        <v>2044</v>
      </c>
      <c r="D105">
        <v>2</v>
      </c>
    </row>
    <row r="106" spans="1:4">
      <c r="A106" s="43" t="s">
        <v>195</v>
      </c>
      <c r="B106" s="44">
        <v>100</v>
      </c>
      <c r="C106" s="44">
        <v>100</v>
      </c>
      <c r="D106">
        <v>2</v>
      </c>
    </row>
    <row r="107" spans="1:4">
      <c r="A107" s="40" t="s">
        <v>199</v>
      </c>
      <c r="B107" s="44">
        <v>45</v>
      </c>
      <c r="C107" s="44">
        <v>45</v>
      </c>
      <c r="D107">
        <v>2</v>
      </c>
    </row>
    <row r="108" spans="1:4">
      <c r="A108" s="43" t="s">
        <v>196</v>
      </c>
      <c r="B108" s="44">
        <v>140</v>
      </c>
      <c r="C108" s="44">
        <v>140</v>
      </c>
      <c r="D108">
        <v>2</v>
      </c>
    </row>
    <row r="109" spans="1:4">
      <c r="A109" s="43" t="s">
        <v>196</v>
      </c>
      <c r="B109" s="44">
        <v>75</v>
      </c>
      <c r="C109" s="44">
        <v>75</v>
      </c>
      <c r="D109">
        <v>2</v>
      </c>
    </row>
    <row r="110" spans="1:4">
      <c r="A110" s="43" t="s">
        <v>195</v>
      </c>
      <c r="B110" s="44">
        <v>80</v>
      </c>
      <c r="C110" s="44">
        <v>100</v>
      </c>
      <c r="D110">
        <v>2</v>
      </c>
    </row>
    <row r="111" spans="1:4">
      <c r="A111" s="43" t="s">
        <v>195</v>
      </c>
      <c r="B111" s="44">
        <v>30</v>
      </c>
      <c r="C111" s="44">
        <v>30</v>
      </c>
      <c r="D111">
        <v>2</v>
      </c>
    </row>
    <row r="112" spans="1:4">
      <c r="A112" s="40" t="s">
        <v>199</v>
      </c>
      <c r="B112" s="44">
        <v>175</v>
      </c>
      <c r="C112" s="44">
        <v>175</v>
      </c>
      <c r="D112">
        <v>2</v>
      </c>
    </row>
    <row r="113" spans="1:4">
      <c r="A113" s="40" t="s">
        <v>199</v>
      </c>
      <c r="B113" s="44">
        <v>175</v>
      </c>
      <c r="C113" s="44">
        <v>175</v>
      </c>
      <c r="D113">
        <v>2</v>
      </c>
    </row>
    <row r="114" spans="1:4">
      <c r="A114" s="43" t="s">
        <v>195</v>
      </c>
      <c r="B114" s="44">
        <v>30</v>
      </c>
      <c r="C114" s="44">
        <v>30</v>
      </c>
      <c r="D114">
        <v>2</v>
      </c>
    </row>
    <row r="115" spans="1:4">
      <c r="A115" s="40" t="s">
        <v>198</v>
      </c>
      <c r="B115" s="44">
        <v>545</v>
      </c>
      <c r="C115" s="44">
        <v>1157.57</v>
      </c>
      <c r="D115">
        <v>2</v>
      </c>
    </row>
    <row r="116" spans="1:4">
      <c r="A116" s="43" t="s">
        <v>196</v>
      </c>
      <c r="B116" s="44">
        <v>75</v>
      </c>
      <c r="C116" s="44">
        <v>75</v>
      </c>
      <c r="D116">
        <v>2</v>
      </c>
    </row>
    <row r="117" spans="1:4">
      <c r="A117" s="43" t="s">
        <v>195</v>
      </c>
      <c r="B117" s="44">
        <v>200</v>
      </c>
      <c r="C117" s="44">
        <v>200</v>
      </c>
      <c r="D117">
        <v>2</v>
      </c>
    </row>
    <row r="118" spans="1:4">
      <c r="A118" s="40" t="s">
        <v>199</v>
      </c>
      <c r="B118" s="44">
        <v>110</v>
      </c>
      <c r="C118" s="44">
        <v>110</v>
      </c>
      <c r="D118">
        <v>2</v>
      </c>
    </row>
    <row r="119" spans="1:4">
      <c r="A119" s="43" t="s">
        <v>195</v>
      </c>
      <c r="B119" s="44">
        <v>110</v>
      </c>
      <c r="C119" s="44">
        <v>110</v>
      </c>
      <c r="D119">
        <v>2</v>
      </c>
    </row>
    <row r="120" spans="1:4">
      <c r="A120" s="43" t="s">
        <v>197</v>
      </c>
      <c r="B120" s="44">
        <v>150</v>
      </c>
      <c r="C120" s="44">
        <v>150</v>
      </c>
      <c r="D120">
        <v>2</v>
      </c>
    </row>
    <row r="121" spans="1:4">
      <c r="A121" s="45" t="s">
        <v>195</v>
      </c>
      <c r="B121" s="46">
        <v>50</v>
      </c>
      <c r="C121" s="46">
        <v>50</v>
      </c>
      <c r="D121">
        <v>2</v>
      </c>
    </row>
    <row r="122" spans="1:4">
      <c r="A122" s="40" t="s">
        <v>199</v>
      </c>
      <c r="B122" s="44">
        <v>150</v>
      </c>
      <c r="C122" s="44">
        <v>150</v>
      </c>
      <c r="D122">
        <v>2</v>
      </c>
    </row>
    <row r="123" spans="1:4">
      <c r="A123" s="40" t="s">
        <v>199</v>
      </c>
      <c r="B123" s="44">
        <v>110</v>
      </c>
      <c r="C123" s="44">
        <v>110</v>
      </c>
      <c r="D123">
        <v>2</v>
      </c>
    </row>
    <row r="124" spans="1:4">
      <c r="A124" s="43" t="s">
        <v>197</v>
      </c>
      <c r="B124" s="44">
        <v>150</v>
      </c>
      <c r="C124" s="44">
        <v>150</v>
      </c>
      <c r="D124">
        <v>2</v>
      </c>
    </row>
    <row r="125" spans="1:4">
      <c r="A125" s="43" t="s">
        <v>196</v>
      </c>
      <c r="B125" s="44">
        <v>110</v>
      </c>
      <c r="C125" s="44">
        <v>110</v>
      </c>
      <c r="D125">
        <v>2</v>
      </c>
    </row>
    <row r="126" spans="1:4">
      <c r="A126" s="40" t="s">
        <v>199</v>
      </c>
      <c r="B126" s="44">
        <v>110</v>
      </c>
      <c r="C126" s="44">
        <v>110</v>
      </c>
      <c r="D126">
        <v>2</v>
      </c>
    </row>
    <row r="127" spans="1:4">
      <c r="A127" s="43" t="s">
        <v>196</v>
      </c>
      <c r="B127" s="44">
        <v>190</v>
      </c>
      <c r="C127" s="44">
        <v>190</v>
      </c>
      <c r="D127">
        <v>2</v>
      </c>
    </row>
    <row r="128" spans="1:4">
      <c r="A128" s="47" t="s">
        <v>195</v>
      </c>
      <c r="B128" s="48">
        <v>110</v>
      </c>
      <c r="C128" s="48">
        <v>60</v>
      </c>
      <c r="D128">
        <v>2</v>
      </c>
    </row>
    <row r="129" spans="1:4">
      <c r="A129" s="49" t="s">
        <v>195</v>
      </c>
      <c r="B129" s="38">
        <v>30</v>
      </c>
      <c r="C129" s="38">
        <v>30</v>
      </c>
      <c r="D129">
        <v>2</v>
      </c>
    </row>
    <row r="130" spans="1:4">
      <c r="A130" s="49" t="s">
        <v>195</v>
      </c>
      <c r="B130" s="38">
        <v>140</v>
      </c>
      <c r="C130" s="38">
        <v>140</v>
      </c>
      <c r="D130">
        <v>2</v>
      </c>
    </row>
    <row r="131" spans="1:4">
      <c r="A131" s="47" t="s">
        <v>195</v>
      </c>
      <c r="B131" s="48">
        <v>60</v>
      </c>
      <c r="C131" s="48">
        <v>66</v>
      </c>
      <c r="D131">
        <v>2</v>
      </c>
    </row>
    <row r="132" spans="1:4">
      <c r="A132" s="49" t="s">
        <v>195</v>
      </c>
      <c r="B132" s="38">
        <v>150</v>
      </c>
      <c r="C132" s="38">
        <v>150</v>
      </c>
      <c r="D132">
        <v>2</v>
      </c>
    </row>
    <row r="133" spans="1:4">
      <c r="A133" s="40" t="s">
        <v>199</v>
      </c>
      <c r="B133" s="38">
        <v>150</v>
      </c>
      <c r="C133" s="21">
        <v>150</v>
      </c>
      <c r="D133">
        <v>2</v>
      </c>
    </row>
    <row r="134" spans="1:4">
      <c r="A134" s="40" t="s">
        <v>199</v>
      </c>
      <c r="B134" s="38">
        <v>55</v>
      </c>
      <c r="C134" s="21">
        <v>55</v>
      </c>
      <c r="D134">
        <v>2</v>
      </c>
    </row>
    <row r="135" spans="1:4">
      <c r="A135" s="40" t="s">
        <v>199</v>
      </c>
      <c r="B135" s="38">
        <v>85</v>
      </c>
      <c r="C135" s="21">
        <v>80.75</v>
      </c>
      <c r="D135">
        <v>2</v>
      </c>
    </row>
    <row r="136" spans="1:4">
      <c r="A136" s="50" t="s">
        <v>199</v>
      </c>
      <c r="B136" s="51">
        <v>33</v>
      </c>
      <c r="C136" s="52">
        <v>33</v>
      </c>
      <c r="D136">
        <v>2</v>
      </c>
    </row>
    <row r="137" spans="1:4">
      <c r="A137" s="40" t="s">
        <v>199</v>
      </c>
      <c r="B137" s="38">
        <v>33</v>
      </c>
      <c r="C137" s="21">
        <v>33</v>
      </c>
      <c r="D137">
        <v>2</v>
      </c>
    </row>
    <row r="138" spans="1:4">
      <c r="A138" s="47" t="s">
        <v>195</v>
      </c>
      <c r="B138" s="48">
        <v>132.56</v>
      </c>
      <c r="C138" s="53">
        <v>100</v>
      </c>
      <c r="D138">
        <v>2</v>
      </c>
    </row>
    <row r="139" spans="1:4">
      <c r="A139" s="49" t="s">
        <v>197</v>
      </c>
      <c r="B139" s="38">
        <v>66</v>
      </c>
      <c r="C139" s="21">
        <v>66</v>
      </c>
      <c r="D139">
        <v>2</v>
      </c>
    </row>
    <row r="140" spans="1:4">
      <c r="A140" s="40" t="s">
        <v>199</v>
      </c>
      <c r="B140" s="38">
        <v>55</v>
      </c>
      <c r="C140" s="21">
        <v>55</v>
      </c>
      <c r="D140">
        <v>2</v>
      </c>
    </row>
    <row r="141" spans="1:4">
      <c r="A141" s="49" t="s">
        <v>197</v>
      </c>
      <c r="B141" s="38">
        <v>30</v>
      </c>
      <c r="C141" s="21">
        <v>30</v>
      </c>
      <c r="D141">
        <v>2</v>
      </c>
    </row>
    <row r="142" spans="1:4">
      <c r="A142" s="49" t="s">
        <v>196</v>
      </c>
      <c r="B142" s="38">
        <v>30</v>
      </c>
      <c r="C142" s="21">
        <v>60</v>
      </c>
      <c r="D142">
        <v>2</v>
      </c>
    </row>
    <row r="143" spans="1:4">
      <c r="A143" s="49" t="s">
        <v>195</v>
      </c>
      <c r="B143" s="38">
        <v>60</v>
      </c>
      <c r="C143" s="21">
        <v>60</v>
      </c>
      <c r="D143">
        <v>2</v>
      </c>
    </row>
    <row r="144" spans="1:4">
      <c r="A144" s="47" t="s">
        <v>195</v>
      </c>
      <c r="B144" s="48">
        <v>60</v>
      </c>
      <c r="C144" s="53">
        <v>60</v>
      </c>
      <c r="D144">
        <v>2</v>
      </c>
    </row>
    <row r="145" spans="1:4">
      <c r="A145" s="49" t="s">
        <v>195</v>
      </c>
      <c r="B145" s="38">
        <v>100</v>
      </c>
      <c r="C145" s="21">
        <v>100</v>
      </c>
      <c r="D145">
        <v>2</v>
      </c>
    </row>
    <row r="146" spans="1:4">
      <c r="A146" s="40" t="s">
        <v>199</v>
      </c>
      <c r="B146" s="38">
        <v>110</v>
      </c>
      <c r="C146" s="21">
        <v>110</v>
      </c>
      <c r="D146">
        <v>2</v>
      </c>
    </row>
    <row r="147" spans="1:4">
      <c r="A147" s="49" t="s">
        <v>197</v>
      </c>
      <c r="B147" s="38">
        <v>375</v>
      </c>
      <c r="C147" s="21">
        <v>375</v>
      </c>
      <c r="D147">
        <v>2</v>
      </c>
    </row>
    <row r="148" spans="1:4">
      <c r="A148" s="40" t="s">
        <v>199</v>
      </c>
      <c r="B148" s="38">
        <v>160</v>
      </c>
      <c r="C148" s="21">
        <v>160</v>
      </c>
      <c r="D148">
        <v>2</v>
      </c>
    </row>
    <row r="149" spans="1:4">
      <c r="A149" s="40" t="s">
        <v>199</v>
      </c>
      <c r="B149" s="38">
        <v>30</v>
      </c>
      <c r="C149" s="21">
        <v>30</v>
      </c>
      <c r="D149">
        <v>2</v>
      </c>
    </row>
    <row r="150" spans="1:4">
      <c r="A150" s="49" t="s">
        <v>196</v>
      </c>
      <c r="B150" s="38">
        <v>30</v>
      </c>
      <c r="C150" s="21">
        <v>30</v>
      </c>
      <c r="D150">
        <v>2</v>
      </c>
    </row>
    <row r="151" spans="1:4">
      <c r="A151" s="49" t="s">
        <v>198</v>
      </c>
      <c r="B151" s="38">
        <v>30</v>
      </c>
      <c r="C151" s="21">
        <v>30</v>
      </c>
      <c r="D151">
        <v>2</v>
      </c>
    </row>
    <row r="152" spans="1:4">
      <c r="A152" s="49" t="s">
        <v>196</v>
      </c>
      <c r="B152" s="38">
        <v>50</v>
      </c>
      <c r="C152" s="21">
        <v>50</v>
      </c>
      <c r="D152">
        <v>2</v>
      </c>
    </row>
    <row r="153" spans="1:4">
      <c r="A153" s="49" t="s">
        <v>198</v>
      </c>
      <c r="B153" s="38">
        <v>50</v>
      </c>
      <c r="C153" s="21">
        <v>50</v>
      </c>
      <c r="D153">
        <v>2</v>
      </c>
    </row>
    <row r="154" spans="1:4">
      <c r="A154" s="49" t="s">
        <v>198</v>
      </c>
      <c r="B154" s="38">
        <v>280</v>
      </c>
      <c r="C154" s="21">
        <v>280</v>
      </c>
      <c r="D154">
        <v>2</v>
      </c>
    </row>
    <row r="155" spans="1:4">
      <c r="A155" s="49" t="s">
        <v>198</v>
      </c>
      <c r="B155" s="38">
        <v>150</v>
      </c>
      <c r="C155" s="54">
        <v>150</v>
      </c>
      <c r="D155">
        <v>2</v>
      </c>
    </row>
    <row r="156" spans="1:4">
      <c r="A156" s="40" t="s">
        <v>199</v>
      </c>
      <c r="B156" s="38">
        <v>100</v>
      </c>
      <c r="C156" s="21">
        <v>600</v>
      </c>
      <c r="D156">
        <v>2</v>
      </c>
    </row>
    <row r="157" spans="1:4">
      <c r="A157" s="49" t="s">
        <v>198</v>
      </c>
      <c r="B157" s="38">
        <v>100</v>
      </c>
      <c r="C157" s="21">
        <v>100</v>
      </c>
      <c r="D157">
        <v>2</v>
      </c>
    </row>
    <row r="158" spans="1:4">
      <c r="A158" s="49" t="s">
        <v>198</v>
      </c>
      <c r="B158" s="38">
        <v>100</v>
      </c>
      <c r="C158" s="21">
        <v>100</v>
      </c>
      <c r="D158">
        <v>2</v>
      </c>
    </row>
    <row r="159" spans="1:4">
      <c r="A159" s="42" t="s">
        <v>195</v>
      </c>
      <c r="B159" s="38">
        <v>30</v>
      </c>
      <c r="C159" s="21">
        <v>30</v>
      </c>
      <c r="D159">
        <v>2</v>
      </c>
    </row>
    <row r="160" spans="1:4">
      <c r="A160" s="40" t="s">
        <v>195</v>
      </c>
      <c r="B160" s="21">
        <v>60</v>
      </c>
      <c r="C160" s="21">
        <v>60</v>
      </c>
      <c r="D160">
        <v>3</v>
      </c>
    </row>
    <row r="161" spans="1:4">
      <c r="A161" s="40" t="s">
        <v>196</v>
      </c>
      <c r="B161" s="21">
        <v>70</v>
      </c>
      <c r="C161" s="21">
        <v>0</v>
      </c>
      <c r="D161">
        <v>3</v>
      </c>
    </row>
    <row r="162" spans="1:4">
      <c r="A162" s="40" t="s">
        <v>195</v>
      </c>
      <c r="B162" s="21">
        <v>35</v>
      </c>
      <c r="C162" s="21">
        <v>35</v>
      </c>
      <c r="D162">
        <v>3</v>
      </c>
    </row>
    <row r="163" spans="1:4">
      <c r="A163" s="40" t="s">
        <v>197</v>
      </c>
      <c r="B163" s="21">
        <v>352</v>
      </c>
      <c r="C163" s="21">
        <v>352</v>
      </c>
      <c r="D163">
        <v>3</v>
      </c>
    </row>
    <row r="164" spans="1:4">
      <c r="A164" s="40" t="s">
        <v>195</v>
      </c>
      <c r="B164" s="21">
        <v>200</v>
      </c>
      <c r="C164" s="21">
        <v>200</v>
      </c>
      <c r="D164">
        <v>3</v>
      </c>
    </row>
    <row r="165" spans="1:4">
      <c r="A165" s="40" t="s">
        <v>199</v>
      </c>
      <c r="B165" s="21">
        <v>120</v>
      </c>
      <c r="C165" s="21">
        <v>120</v>
      </c>
      <c r="D165">
        <v>3</v>
      </c>
    </row>
    <row r="166" spans="1:4">
      <c r="A166" s="40" t="s">
        <v>197</v>
      </c>
      <c r="B166" s="21">
        <v>305</v>
      </c>
      <c r="C166" s="21">
        <v>305</v>
      </c>
      <c r="D166">
        <v>3</v>
      </c>
    </row>
    <row r="167" spans="1:4">
      <c r="A167" s="40" t="s">
        <v>432</v>
      </c>
      <c r="B167" s="21">
        <v>70</v>
      </c>
      <c r="C167" s="21">
        <v>126</v>
      </c>
      <c r="D167">
        <v>3</v>
      </c>
    </row>
    <row r="168" spans="1:4">
      <c r="A168" s="40" t="s">
        <v>195</v>
      </c>
      <c r="B168" s="21">
        <v>150</v>
      </c>
      <c r="C168" s="21">
        <v>150</v>
      </c>
      <c r="D168">
        <v>3</v>
      </c>
    </row>
    <row r="169" spans="1:4">
      <c r="A169" s="40" t="s">
        <v>197</v>
      </c>
      <c r="B169" s="21">
        <v>710</v>
      </c>
      <c r="C169" s="21">
        <v>710</v>
      </c>
      <c r="D169">
        <v>3</v>
      </c>
    </row>
    <row r="170" spans="1:4">
      <c r="A170" s="40" t="s">
        <v>196</v>
      </c>
      <c r="B170" s="21">
        <v>75</v>
      </c>
      <c r="C170" s="21">
        <v>75</v>
      </c>
      <c r="D170">
        <v>3</v>
      </c>
    </row>
    <row r="171" spans="1:4">
      <c r="A171" s="40" t="s">
        <v>196</v>
      </c>
      <c r="B171" s="21">
        <v>30</v>
      </c>
      <c r="C171" s="21">
        <v>30</v>
      </c>
      <c r="D171">
        <v>3</v>
      </c>
    </row>
    <row r="172" spans="1:4">
      <c r="A172" s="40" t="s">
        <v>197</v>
      </c>
      <c r="B172" s="21">
        <v>1000</v>
      </c>
      <c r="C172" s="21">
        <v>1000</v>
      </c>
      <c r="D172">
        <v>3</v>
      </c>
    </row>
    <row r="173" spans="1:4">
      <c r="A173" s="40" t="s">
        <v>195</v>
      </c>
      <c r="B173" s="21">
        <v>87.49</v>
      </c>
      <c r="C173" s="21">
        <v>87.49</v>
      </c>
      <c r="D173">
        <v>3</v>
      </c>
    </row>
    <row r="174" spans="1:4">
      <c r="A174" s="40" t="s">
        <v>196</v>
      </c>
      <c r="B174" s="21">
        <v>70</v>
      </c>
      <c r="C174" s="21">
        <v>70</v>
      </c>
      <c r="D174">
        <v>3</v>
      </c>
    </row>
    <row r="175" spans="1:4">
      <c r="A175" s="40" t="s">
        <v>196</v>
      </c>
      <c r="B175" s="21">
        <v>70</v>
      </c>
      <c r="C175" s="21">
        <v>70</v>
      </c>
      <c r="D175">
        <v>3</v>
      </c>
    </row>
    <row r="176" spans="1:4">
      <c r="A176" s="40" t="s">
        <v>196</v>
      </c>
      <c r="B176" s="21">
        <v>70</v>
      </c>
      <c r="C176" s="21">
        <v>70</v>
      </c>
      <c r="D176">
        <v>3</v>
      </c>
    </row>
    <row r="177" spans="1:4">
      <c r="A177" s="40" t="s">
        <v>196</v>
      </c>
      <c r="B177" s="21">
        <v>75</v>
      </c>
      <c r="C177" s="21">
        <v>150</v>
      </c>
      <c r="D177">
        <v>3</v>
      </c>
    </row>
    <row r="178" spans="1:4">
      <c r="A178" s="40" t="s">
        <v>196</v>
      </c>
      <c r="B178" s="21">
        <v>70</v>
      </c>
      <c r="C178" s="21">
        <v>30</v>
      </c>
      <c r="D178">
        <v>3</v>
      </c>
    </row>
    <row r="179" spans="1:4">
      <c r="A179" s="40" t="s">
        <v>197</v>
      </c>
      <c r="B179" s="21">
        <v>820</v>
      </c>
      <c r="C179" s="21">
        <v>820</v>
      </c>
      <c r="D179">
        <v>3</v>
      </c>
    </row>
    <row r="180" spans="1:4">
      <c r="A180" s="40" t="s">
        <v>197</v>
      </c>
      <c r="B180" s="21">
        <v>175</v>
      </c>
      <c r="C180" s="21">
        <v>175</v>
      </c>
      <c r="D180">
        <v>3</v>
      </c>
    </row>
    <row r="181" spans="1:4">
      <c r="A181" s="40" t="s">
        <v>194</v>
      </c>
      <c r="B181" s="21">
        <v>500</v>
      </c>
      <c r="C181" s="21">
        <v>500</v>
      </c>
      <c r="D181">
        <v>3</v>
      </c>
    </row>
    <row r="182" spans="1:4">
      <c r="A182" s="40" t="s">
        <v>199</v>
      </c>
      <c r="B182" s="21">
        <v>75</v>
      </c>
      <c r="C182" s="21">
        <v>75</v>
      </c>
      <c r="D182">
        <v>3</v>
      </c>
    </row>
    <row r="183" spans="1:4">
      <c r="A183" s="40" t="s">
        <v>195</v>
      </c>
      <c r="B183" s="21">
        <v>60</v>
      </c>
      <c r="C183" s="21">
        <v>60</v>
      </c>
      <c r="D183">
        <v>3</v>
      </c>
    </row>
    <row r="184" spans="1:4">
      <c r="A184" s="40" t="s">
        <v>195</v>
      </c>
      <c r="B184" s="21">
        <v>120</v>
      </c>
      <c r="C184" s="21">
        <v>120</v>
      </c>
      <c r="D184">
        <v>3</v>
      </c>
    </row>
    <row r="185" spans="1:4">
      <c r="A185" s="40" t="s">
        <v>195</v>
      </c>
      <c r="B185" s="21">
        <v>95</v>
      </c>
      <c r="C185" s="21">
        <v>70</v>
      </c>
      <c r="D185">
        <v>3</v>
      </c>
    </row>
    <row r="186" spans="1:4">
      <c r="A186" s="40" t="s">
        <v>195</v>
      </c>
      <c r="B186" s="21">
        <v>75</v>
      </c>
      <c r="C186" s="21">
        <v>75</v>
      </c>
      <c r="D186">
        <v>3</v>
      </c>
    </row>
    <row r="187" spans="1:4">
      <c r="A187" s="40" t="s">
        <v>195</v>
      </c>
      <c r="B187" s="21">
        <v>87.5</v>
      </c>
      <c r="C187" s="21">
        <v>87.5</v>
      </c>
      <c r="D187">
        <v>3</v>
      </c>
    </row>
    <row r="188" spans="1:4">
      <c r="A188" s="40" t="s">
        <v>199</v>
      </c>
      <c r="B188" s="21">
        <v>50</v>
      </c>
      <c r="C188" s="21">
        <v>50</v>
      </c>
      <c r="D188">
        <v>3</v>
      </c>
    </row>
    <row r="189" spans="1:4">
      <c r="A189" s="40" t="s">
        <v>199</v>
      </c>
      <c r="B189" s="21">
        <v>45</v>
      </c>
      <c r="C189" s="21">
        <v>45</v>
      </c>
      <c r="D189">
        <v>3</v>
      </c>
    </row>
    <row r="190" spans="1:4">
      <c r="A190" s="40" t="s">
        <v>198</v>
      </c>
      <c r="B190" s="21">
        <v>1660</v>
      </c>
      <c r="C190" s="21">
        <v>1966</v>
      </c>
      <c r="D190">
        <v>3</v>
      </c>
    </row>
    <row r="191" spans="1:4">
      <c r="A191" s="40" t="s">
        <v>195</v>
      </c>
      <c r="B191" s="21">
        <v>100</v>
      </c>
      <c r="C191" s="21">
        <v>100</v>
      </c>
      <c r="D191">
        <v>3</v>
      </c>
    </row>
    <row r="192" spans="1:4">
      <c r="A192" s="40" t="s">
        <v>199</v>
      </c>
      <c r="B192" s="21">
        <v>45</v>
      </c>
      <c r="C192" s="21">
        <v>45</v>
      </c>
      <c r="D192">
        <v>3</v>
      </c>
    </row>
    <row r="193" spans="1:4">
      <c r="A193" s="40" t="s">
        <v>196</v>
      </c>
      <c r="B193" s="21">
        <v>140</v>
      </c>
      <c r="C193" s="21">
        <v>240</v>
      </c>
      <c r="D193">
        <v>3</v>
      </c>
    </row>
    <row r="194" spans="1:4">
      <c r="A194" s="40" t="s">
        <v>196</v>
      </c>
      <c r="B194" s="21">
        <v>75</v>
      </c>
      <c r="C194" s="21">
        <v>75</v>
      </c>
      <c r="D194">
        <v>3</v>
      </c>
    </row>
    <row r="195" spans="1:4">
      <c r="A195" s="40" t="s">
        <v>194</v>
      </c>
      <c r="B195" s="21">
        <v>300</v>
      </c>
      <c r="C195" s="21">
        <v>300</v>
      </c>
      <c r="D195">
        <v>3</v>
      </c>
    </row>
    <row r="196" spans="1:4">
      <c r="A196" s="40" t="s">
        <v>195</v>
      </c>
      <c r="B196" s="21">
        <v>80</v>
      </c>
      <c r="C196" s="21">
        <v>100</v>
      </c>
      <c r="D196">
        <v>3</v>
      </c>
    </row>
    <row r="197" spans="1:4">
      <c r="A197" s="40" t="s">
        <v>195</v>
      </c>
      <c r="B197" s="21">
        <v>30</v>
      </c>
      <c r="C197" s="21">
        <v>30</v>
      </c>
      <c r="D197">
        <v>3</v>
      </c>
    </row>
    <row r="198" spans="1:4">
      <c r="A198" s="40" t="s">
        <v>199</v>
      </c>
      <c r="B198" s="21">
        <v>175</v>
      </c>
      <c r="C198" s="21">
        <v>175</v>
      </c>
      <c r="D198">
        <v>3</v>
      </c>
    </row>
    <row r="199" spans="1:4">
      <c r="A199" s="40" t="s">
        <v>199</v>
      </c>
      <c r="B199" s="21">
        <v>175</v>
      </c>
      <c r="C199" s="21">
        <v>175</v>
      </c>
      <c r="D199">
        <v>3</v>
      </c>
    </row>
    <row r="200" spans="1:4">
      <c r="A200" s="40" t="s">
        <v>195</v>
      </c>
      <c r="B200" s="21">
        <v>30</v>
      </c>
      <c r="C200" s="21">
        <v>30</v>
      </c>
      <c r="D200">
        <v>3</v>
      </c>
    </row>
    <row r="201" spans="1:4">
      <c r="A201" s="40" t="s">
        <v>198</v>
      </c>
      <c r="B201" s="21">
        <v>545</v>
      </c>
      <c r="C201" s="21">
        <v>1043.28</v>
      </c>
      <c r="D201">
        <v>3</v>
      </c>
    </row>
    <row r="202" spans="1:4">
      <c r="A202" s="40" t="s">
        <v>196</v>
      </c>
      <c r="B202" s="21">
        <v>75</v>
      </c>
      <c r="C202" s="21">
        <v>75</v>
      </c>
      <c r="D202">
        <v>3</v>
      </c>
    </row>
    <row r="203" spans="1:4">
      <c r="A203" s="40" t="s">
        <v>195</v>
      </c>
      <c r="B203" s="21">
        <v>200</v>
      </c>
      <c r="C203" s="21">
        <v>200</v>
      </c>
      <c r="D203">
        <v>3</v>
      </c>
    </row>
    <row r="204" spans="1:4">
      <c r="A204" s="40" t="s">
        <v>199</v>
      </c>
      <c r="B204" s="21">
        <v>110</v>
      </c>
      <c r="C204" s="21">
        <v>110</v>
      </c>
      <c r="D204">
        <v>3</v>
      </c>
    </row>
    <row r="205" spans="1:4">
      <c r="A205" s="40" t="s">
        <v>195</v>
      </c>
      <c r="B205" s="21">
        <v>110</v>
      </c>
      <c r="C205" s="21">
        <v>110</v>
      </c>
      <c r="D205">
        <v>3</v>
      </c>
    </row>
    <row r="206" spans="1:4">
      <c r="A206" s="40" t="s">
        <v>197</v>
      </c>
      <c r="B206" s="21">
        <v>75</v>
      </c>
      <c r="C206" s="21">
        <v>75</v>
      </c>
      <c r="D206">
        <v>3</v>
      </c>
    </row>
    <row r="207" spans="1:4">
      <c r="A207" s="40" t="s">
        <v>195</v>
      </c>
      <c r="B207" s="21">
        <v>50</v>
      </c>
      <c r="C207" s="21">
        <v>50</v>
      </c>
      <c r="D207">
        <v>3</v>
      </c>
    </row>
    <row r="208" spans="1:4">
      <c r="A208" s="40" t="s">
        <v>199</v>
      </c>
      <c r="B208" s="21">
        <v>150</v>
      </c>
      <c r="C208" s="21">
        <v>150</v>
      </c>
      <c r="D208">
        <v>3</v>
      </c>
    </row>
    <row r="209" spans="1:4">
      <c r="A209" s="40" t="s">
        <v>199</v>
      </c>
      <c r="B209" s="21">
        <v>110</v>
      </c>
      <c r="C209" s="21">
        <v>110</v>
      </c>
      <c r="D209">
        <v>3</v>
      </c>
    </row>
    <row r="210" spans="1:4">
      <c r="A210" s="40" t="s">
        <v>197</v>
      </c>
      <c r="B210" s="21">
        <v>75</v>
      </c>
      <c r="C210" s="21">
        <v>75</v>
      </c>
      <c r="D210">
        <v>3</v>
      </c>
    </row>
    <row r="211" spans="1:4">
      <c r="A211" s="40" t="s">
        <v>196</v>
      </c>
      <c r="B211" s="21">
        <v>110</v>
      </c>
      <c r="C211" s="21">
        <v>110</v>
      </c>
      <c r="D211">
        <v>3</v>
      </c>
    </row>
    <row r="212" spans="1:4">
      <c r="A212" s="40" t="s">
        <v>199</v>
      </c>
      <c r="B212" s="21">
        <v>110</v>
      </c>
      <c r="C212" s="21">
        <v>110</v>
      </c>
      <c r="D212">
        <v>3</v>
      </c>
    </row>
    <row r="213" spans="1:4">
      <c r="A213" s="40" t="s">
        <v>196</v>
      </c>
      <c r="B213" s="21">
        <v>190</v>
      </c>
      <c r="C213" s="21">
        <v>190</v>
      </c>
      <c r="D213">
        <v>3</v>
      </c>
    </row>
    <row r="214" spans="1:4">
      <c r="A214" s="40" t="s">
        <v>195</v>
      </c>
      <c r="B214" s="21">
        <v>110</v>
      </c>
      <c r="C214" s="21">
        <v>560</v>
      </c>
      <c r="D214">
        <v>3</v>
      </c>
    </row>
    <row r="215" spans="1:4">
      <c r="A215" s="40" t="s">
        <v>195</v>
      </c>
      <c r="B215" s="21">
        <v>30</v>
      </c>
      <c r="C215" s="21">
        <v>30</v>
      </c>
      <c r="D215">
        <v>3</v>
      </c>
    </row>
    <row r="216" spans="1:4">
      <c r="A216" s="40" t="s">
        <v>195</v>
      </c>
      <c r="B216" s="21">
        <v>140</v>
      </c>
      <c r="C216" s="21">
        <v>140</v>
      </c>
      <c r="D216">
        <v>3</v>
      </c>
    </row>
    <row r="217" spans="1:4">
      <c r="A217" s="40" t="s">
        <v>196</v>
      </c>
      <c r="B217" s="21">
        <v>106.05</v>
      </c>
      <c r="C217" s="21">
        <v>106.05</v>
      </c>
      <c r="D217">
        <v>3</v>
      </c>
    </row>
    <row r="218" spans="1:4">
      <c r="A218" s="40" t="s">
        <v>195</v>
      </c>
      <c r="B218" s="21">
        <v>60</v>
      </c>
      <c r="C218" s="21">
        <v>66</v>
      </c>
      <c r="D218">
        <v>3</v>
      </c>
    </row>
    <row r="219" spans="1:4">
      <c r="A219" s="40" t="s">
        <v>195</v>
      </c>
      <c r="B219" s="21">
        <v>650</v>
      </c>
      <c r="C219" s="21">
        <v>150</v>
      </c>
      <c r="D219">
        <v>3</v>
      </c>
    </row>
    <row r="220" spans="1:4">
      <c r="A220" s="40" t="s">
        <v>199</v>
      </c>
      <c r="B220" s="21">
        <v>150</v>
      </c>
      <c r="C220" s="21">
        <v>150</v>
      </c>
      <c r="D220">
        <v>3</v>
      </c>
    </row>
    <row r="221" spans="1:4">
      <c r="A221" s="40" t="s">
        <v>196</v>
      </c>
      <c r="B221" s="21">
        <v>80</v>
      </c>
      <c r="C221" s="21">
        <v>80</v>
      </c>
      <c r="D221">
        <v>3</v>
      </c>
    </row>
    <row r="222" spans="1:4">
      <c r="A222" s="40" t="s">
        <v>196</v>
      </c>
      <c r="B222" s="21">
        <v>80</v>
      </c>
      <c r="C222" s="21">
        <v>80</v>
      </c>
      <c r="D222">
        <v>3</v>
      </c>
    </row>
    <row r="223" spans="1:4">
      <c r="A223" s="40" t="s">
        <v>199</v>
      </c>
      <c r="B223" s="21">
        <v>55</v>
      </c>
      <c r="C223" s="21">
        <v>55</v>
      </c>
      <c r="D223">
        <v>3</v>
      </c>
    </row>
    <row r="224" spans="1:4">
      <c r="A224" s="40" t="s">
        <v>199</v>
      </c>
      <c r="B224" s="21">
        <v>85</v>
      </c>
      <c r="C224" s="21">
        <v>85</v>
      </c>
      <c r="D224">
        <v>3</v>
      </c>
    </row>
    <row r="225" spans="1:4">
      <c r="A225" s="40" t="s">
        <v>199</v>
      </c>
      <c r="B225" s="21">
        <v>33</v>
      </c>
      <c r="C225" s="21">
        <v>33</v>
      </c>
      <c r="D225">
        <v>3</v>
      </c>
    </row>
    <row r="226" spans="1:4">
      <c r="A226" s="40" t="s">
        <v>199</v>
      </c>
      <c r="B226" s="21">
        <v>33</v>
      </c>
      <c r="C226" s="21">
        <v>33</v>
      </c>
      <c r="D226">
        <v>3</v>
      </c>
    </row>
    <row r="227" spans="1:4">
      <c r="A227" s="40" t="s">
        <v>195</v>
      </c>
      <c r="B227" s="21">
        <v>132.56</v>
      </c>
      <c r="C227" s="21">
        <v>100</v>
      </c>
      <c r="D227">
        <v>3</v>
      </c>
    </row>
    <row r="228" spans="1:4">
      <c r="A228" s="40" t="s">
        <v>197</v>
      </c>
      <c r="B228" s="21">
        <v>132</v>
      </c>
      <c r="C228" s="21">
        <v>132</v>
      </c>
      <c r="D228">
        <v>3</v>
      </c>
    </row>
    <row r="229" spans="1:4">
      <c r="A229" s="40" t="s">
        <v>199</v>
      </c>
      <c r="B229" s="21">
        <v>55</v>
      </c>
      <c r="C229" s="21">
        <v>55</v>
      </c>
      <c r="D229">
        <v>3</v>
      </c>
    </row>
    <row r="230" spans="1:4">
      <c r="A230" s="40" t="s">
        <v>197</v>
      </c>
      <c r="B230" s="21">
        <v>30</v>
      </c>
      <c r="C230" s="21">
        <v>30</v>
      </c>
      <c r="D230">
        <v>3</v>
      </c>
    </row>
    <row r="231" spans="1:4">
      <c r="A231" s="40" t="s">
        <v>196</v>
      </c>
      <c r="B231" s="21">
        <v>30</v>
      </c>
      <c r="C231" s="21">
        <v>-270</v>
      </c>
      <c r="D231">
        <v>3</v>
      </c>
    </row>
    <row r="232" spans="1:4">
      <c r="A232" s="40" t="s">
        <v>195</v>
      </c>
      <c r="B232" s="21">
        <v>60</v>
      </c>
      <c r="C232" s="21">
        <v>60</v>
      </c>
      <c r="D232">
        <v>3</v>
      </c>
    </row>
    <row r="233" spans="1:4">
      <c r="A233" s="40" t="s">
        <v>195</v>
      </c>
      <c r="B233" s="21">
        <v>60</v>
      </c>
      <c r="C233" s="21">
        <v>60</v>
      </c>
      <c r="D233">
        <v>3</v>
      </c>
    </row>
    <row r="234" spans="1:4">
      <c r="A234" s="40" t="s">
        <v>195</v>
      </c>
      <c r="B234" s="21">
        <v>100</v>
      </c>
      <c r="C234" s="21">
        <v>100</v>
      </c>
      <c r="D234">
        <v>3</v>
      </c>
    </row>
    <row r="235" spans="1:4">
      <c r="A235" s="40" t="s">
        <v>199</v>
      </c>
      <c r="B235" s="21">
        <v>110</v>
      </c>
      <c r="C235" s="21">
        <v>110</v>
      </c>
      <c r="D235">
        <v>3</v>
      </c>
    </row>
    <row r="236" spans="1:4">
      <c r="A236" s="40" t="s">
        <v>197</v>
      </c>
      <c r="B236" s="21">
        <v>375</v>
      </c>
      <c r="C236" s="21">
        <v>375</v>
      </c>
      <c r="D236">
        <v>3</v>
      </c>
    </row>
    <row r="237" spans="1:4">
      <c r="A237" s="40" t="s">
        <v>199</v>
      </c>
      <c r="B237" s="21">
        <v>160</v>
      </c>
      <c r="C237" s="21">
        <v>160</v>
      </c>
      <c r="D237">
        <v>3</v>
      </c>
    </row>
    <row r="238" spans="1:4">
      <c r="A238" s="40" t="s">
        <v>199</v>
      </c>
      <c r="B238" s="21">
        <v>30</v>
      </c>
      <c r="C238" s="21">
        <v>30</v>
      </c>
      <c r="D238">
        <v>3</v>
      </c>
    </row>
    <row r="239" spans="1:4">
      <c r="A239" s="40" t="s">
        <v>196</v>
      </c>
      <c r="B239" s="21">
        <v>30</v>
      </c>
      <c r="C239" s="21">
        <v>30</v>
      </c>
      <c r="D239">
        <v>3</v>
      </c>
    </row>
    <row r="240" spans="1:4">
      <c r="A240" s="40" t="s">
        <v>198</v>
      </c>
      <c r="B240" s="21">
        <v>60</v>
      </c>
      <c r="C240" s="21">
        <v>60</v>
      </c>
      <c r="D240">
        <v>3</v>
      </c>
    </row>
    <row r="241" spans="1:4">
      <c r="A241" s="40" t="s">
        <v>198</v>
      </c>
      <c r="B241" s="21">
        <v>100</v>
      </c>
      <c r="C241" s="21">
        <v>100</v>
      </c>
      <c r="D241">
        <v>3</v>
      </c>
    </row>
    <row r="242" spans="1:4">
      <c r="A242" s="40" t="s">
        <v>198</v>
      </c>
      <c r="B242" s="21">
        <v>560</v>
      </c>
      <c r="C242" s="21">
        <v>565</v>
      </c>
      <c r="D242">
        <v>3</v>
      </c>
    </row>
    <row r="243" spans="1:4">
      <c r="A243" s="40" t="s">
        <v>198</v>
      </c>
      <c r="B243" s="21">
        <v>165</v>
      </c>
      <c r="C243" s="21">
        <v>165</v>
      </c>
      <c r="D243">
        <v>3</v>
      </c>
    </row>
    <row r="244" spans="1:4">
      <c r="A244" s="40" t="s">
        <v>199</v>
      </c>
      <c r="B244" s="21">
        <v>100</v>
      </c>
      <c r="C244" s="21">
        <v>100</v>
      </c>
      <c r="D244">
        <v>3</v>
      </c>
    </row>
    <row r="245" spans="1:4">
      <c r="A245" s="40" t="s">
        <v>198</v>
      </c>
      <c r="B245" s="21">
        <v>100</v>
      </c>
      <c r="C245" s="21">
        <v>100</v>
      </c>
      <c r="D245">
        <v>3</v>
      </c>
    </row>
    <row r="246" spans="1:4">
      <c r="A246" s="40" t="s">
        <v>198</v>
      </c>
      <c r="B246" s="21">
        <v>100</v>
      </c>
      <c r="C246" s="21">
        <v>100</v>
      </c>
      <c r="D246">
        <v>3</v>
      </c>
    </row>
    <row r="247" spans="1:4">
      <c r="A247" s="40" t="s">
        <v>195</v>
      </c>
      <c r="B247" s="21">
        <v>30</v>
      </c>
      <c r="C247" s="21">
        <v>570</v>
      </c>
      <c r="D247">
        <v>3</v>
      </c>
    </row>
    <row r="248" spans="1:4">
      <c r="A248" s="40" t="s">
        <v>198</v>
      </c>
      <c r="B248" s="21">
        <v>980</v>
      </c>
      <c r="C248" s="21">
        <v>980</v>
      </c>
      <c r="D248">
        <v>3</v>
      </c>
    </row>
    <row r="249" spans="1:4">
      <c r="A249" s="40" t="s">
        <v>198</v>
      </c>
      <c r="B249" s="21">
        <v>30</v>
      </c>
      <c r="D249">
        <v>3</v>
      </c>
    </row>
    <row r="250" spans="1:4">
      <c r="A250" s="40" t="s">
        <v>198</v>
      </c>
      <c r="B250" s="21">
        <v>15</v>
      </c>
      <c r="C250" s="21">
        <v>15</v>
      </c>
      <c r="D250">
        <v>3</v>
      </c>
    </row>
    <row r="251" spans="1:4">
      <c r="A251" s="40" t="s">
        <v>198</v>
      </c>
      <c r="B251" s="21">
        <v>120</v>
      </c>
      <c r="C251" s="21">
        <v>120</v>
      </c>
      <c r="D251">
        <v>3</v>
      </c>
    </row>
    <row r="252" spans="1:4">
      <c r="A252" s="40" t="s">
        <v>195</v>
      </c>
      <c r="B252" s="21">
        <v>60</v>
      </c>
      <c r="C252" s="21">
        <v>60</v>
      </c>
      <c r="D252">
        <v>4</v>
      </c>
    </row>
    <row r="253" spans="1:4">
      <c r="A253" s="40" t="s">
        <v>195</v>
      </c>
      <c r="B253" s="21">
        <v>70</v>
      </c>
      <c r="C253" s="21">
        <v>70</v>
      </c>
      <c r="D253">
        <v>4</v>
      </c>
    </row>
    <row r="254" spans="1:4">
      <c r="A254" s="40" t="s">
        <v>197</v>
      </c>
      <c r="B254" s="21">
        <v>212.4</v>
      </c>
      <c r="C254" s="21">
        <v>212.4</v>
      </c>
      <c r="D254">
        <v>4</v>
      </c>
    </row>
    <row r="255" spans="1:4">
      <c r="A255" s="40" t="s">
        <v>195</v>
      </c>
      <c r="B255" s="21">
        <v>400</v>
      </c>
      <c r="C255" s="21">
        <v>400</v>
      </c>
      <c r="D255">
        <v>4</v>
      </c>
    </row>
    <row r="256" spans="1:4">
      <c r="A256" s="40" t="s">
        <v>199</v>
      </c>
      <c r="B256" s="21">
        <v>132</v>
      </c>
      <c r="C256" s="21">
        <v>252</v>
      </c>
      <c r="D256">
        <v>4</v>
      </c>
    </row>
    <row r="257" spans="1:4">
      <c r="A257" s="40" t="s">
        <v>197</v>
      </c>
      <c r="B257" s="21">
        <v>165</v>
      </c>
      <c r="C257" s="21">
        <v>165</v>
      </c>
      <c r="D257">
        <v>4</v>
      </c>
    </row>
    <row r="258" spans="1:4">
      <c r="A258" s="40" t="s">
        <v>432</v>
      </c>
      <c r="B258" s="21">
        <v>70</v>
      </c>
      <c r="C258" s="21">
        <v>70</v>
      </c>
      <c r="D258">
        <v>4</v>
      </c>
    </row>
    <row r="259" spans="1:4">
      <c r="A259" s="40" t="s">
        <v>195</v>
      </c>
      <c r="B259" s="21">
        <v>150</v>
      </c>
      <c r="C259" s="21">
        <v>150</v>
      </c>
      <c r="D259">
        <v>4</v>
      </c>
    </row>
    <row r="260" spans="1:4">
      <c r="A260" s="40" t="s">
        <v>197</v>
      </c>
      <c r="B260" s="21">
        <v>400</v>
      </c>
      <c r="C260" s="21">
        <v>400</v>
      </c>
      <c r="D260">
        <v>4</v>
      </c>
    </row>
    <row r="261" spans="1:4">
      <c r="A261" s="40" t="s">
        <v>196</v>
      </c>
      <c r="B261" s="21">
        <v>75</v>
      </c>
      <c r="C261" s="21">
        <v>75</v>
      </c>
      <c r="D261">
        <v>4</v>
      </c>
    </row>
    <row r="262" spans="1:4">
      <c r="A262" s="40" t="s">
        <v>196</v>
      </c>
      <c r="B262" s="21">
        <v>60</v>
      </c>
      <c r="C262" s="21">
        <v>60</v>
      </c>
      <c r="D262">
        <v>4</v>
      </c>
    </row>
    <row r="263" spans="1:4">
      <c r="A263" s="40" t="s">
        <v>197</v>
      </c>
      <c r="B263" s="21">
        <v>520</v>
      </c>
      <c r="C263" s="21">
        <v>520</v>
      </c>
      <c r="D263">
        <v>4</v>
      </c>
    </row>
    <row r="264" spans="1:4">
      <c r="A264" s="40" t="s">
        <v>195</v>
      </c>
      <c r="B264" s="21">
        <v>87.49</v>
      </c>
      <c r="C264" s="21">
        <v>87.49</v>
      </c>
      <c r="D264">
        <v>4</v>
      </c>
    </row>
    <row r="265" spans="1:4">
      <c r="A265" s="40" t="s">
        <v>196</v>
      </c>
      <c r="B265" s="21">
        <v>75</v>
      </c>
      <c r="C265" s="21">
        <v>75</v>
      </c>
      <c r="D265">
        <v>4</v>
      </c>
    </row>
    <row r="266" spans="1:4">
      <c r="A266" s="40" t="s">
        <v>197</v>
      </c>
      <c r="B266" s="21">
        <v>451</v>
      </c>
      <c r="C266" s="21">
        <v>451</v>
      </c>
      <c r="D266">
        <v>4</v>
      </c>
    </row>
    <row r="267" spans="1:4">
      <c r="A267" s="40" t="s">
        <v>197</v>
      </c>
      <c r="B267" s="21">
        <v>192.5</v>
      </c>
      <c r="C267" s="21">
        <v>192.5</v>
      </c>
      <c r="D267">
        <v>4</v>
      </c>
    </row>
    <row r="268" spans="1:4">
      <c r="A268" s="40" t="s">
        <v>195</v>
      </c>
      <c r="B268" s="21">
        <v>120</v>
      </c>
      <c r="C268" s="21">
        <v>120</v>
      </c>
      <c r="D268">
        <v>4</v>
      </c>
    </row>
    <row r="269" spans="1:4">
      <c r="A269" s="40" t="s">
        <v>195</v>
      </c>
      <c r="B269" s="21">
        <v>120</v>
      </c>
      <c r="C269" s="21">
        <v>120</v>
      </c>
      <c r="D269">
        <v>4</v>
      </c>
    </row>
    <row r="270" spans="1:4">
      <c r="A270" s="40" t="s">
        <v>198</v>
      </c>
      <c r="B270" s="21">
        <v>200</v>
      </c>
      <c r="C270" s="21">
        <v>200</v>
      </c>
      <c r="D270">
        <v>4</v>
      </c>
    </row>
    <row r="271" spans="1:4">
      <c r="A271" s="40" t="s">
        <v>195</v>
      </c>
      <c r="B271" s="21">
        <v>95</v>
      </c>
      <c r="C271" s="21">
        <v>95</v>
      </c>
      <c r="D271">
        <v>4</v>
      </c>
    </row>
    <row r="272" spans="1:4">
      <c r="A272" s="40" t="s">
        <v>195</v>
      </c>
      <c r="B272" s="21">
        <v>75</v>
      </c>
      <c r="C272" s="21">
        <v>75</v>
      </c>
      <c r="D272">
        <v>4</v>
      </c>
    </row>
    <row r="273" spans="1:4">
      <c r="A273" s="40" t="s">
        <v>195</v>
      </c>
      <c r="B273" s="21">
        <v>87.5</v>
      </c>
      <c r="C273" s="21">
        <v>87.5</v>
      </c>
      <c r="D273">
        <v>4</v>
      </c>
    </row>
    <row r="274" spans="1:4">
      <c r="A274" s="40" t="s">
        <v>199</v>
      </c>
      <c r="B274" s="21">
        <v>55</v>
      </c>
      <c r="C274" s="21">
        <v>55</v>
      </c>
      <c r="D274">
        <v>4</v>
      </c>
    </row>
    <row r="275" spans="1:4">
      <c r="A275" s="40" t="s">
        <v>199</v>
      </c>
      <c r="B275" s="21">
        <v>50</v>
      </c>
      <c r="C275" s="21">
        <v>100</v>
      </c>
      <c r="D275">
        <v>4</v>
      </c>
    </row>
    <row r="276" spans="1:4">
      <c r="A276" s="40" t="s">
        <v>198</v>
      </c>
      <c r="B276" s="21">
        <v>1660</v>
      </c>
      <c r="C276" s="21">
        <v>3020</v>
      </c>
      <c r="D276">
        <v>4</v>
      </c>
    </row>
    <row r="277" spans="1:4">
      <c r="A277" s="40" t="s">
        <v>195</v>
      </c>
      <c r="B277" s="21">
        <v>100</v>
      </c>
      <c r="C277" s="21">
        <v>100</v>
      </c>
      <c r="D277">
        <v>4</v>
      </c>
    </row>
    <row r="278" spans="1:4">
      <c r="A278" s="40" t="s">
        <v>199</v>
      </c>
      <c r="B278" s="21">
        <v>50</v>
      </c>
      <c r="C278" s="21">
        <v>100</v>
      </c>
      <c r="D278">
        <v>4</v>
      </c>
    </row>
    <row r="279" spans="1:4">
      <c r="A279" s="40" t="s">
        <v>196</v>
      </c>
      <c r="B279" s="21">
        <v>280</v>
      </c>
      <c r="C279" s="21">
        <v>280</v>
      </c>
      <c r="D279">
        <v>4</v>
      </c>
    </row>
    <row r="280" spans="1:4">
      <c r="A280" s="40" t="s">
        <v>196</v>
      </c>
      <c r="B280" s="21">
        <v>150</v>
      </c>
      <c r="C280" s="21">
        <v>150</v>
      </c>
      <c r="D280">
        <v>4</v>
      </c>
    </row>
    <row r="281" spans="1:4">
      <c r="A281" s="40" t="s">
        <v>195</v>
      </c>
      <c r="B281" s="21">
        <v>160</v>
      </c>
      <c r="C281" s="21">
        <v>160</v>
      </c>
      <c r="D281">
        <v>4</v>
      </c>
    </row>
    <row r="282" spans="1:4">
      <c r="A282" s="40" t="s">
        <v>195</v>
      </c>
      <c r="B282" s="21">
        <v>30</v>
      </c>
      <c r="C282" s="21">
        <v>30</v>
      </c>
      <c r="D282">
        <v>4</v>
      </c>
    </row>
    <row r="283" spans="1:4">
      <c r="A283" s="40" t="s">
        <v>199</v>
      </c>
      <c r="B283" s="21">
        <v>190</v>
      </c>
      <c r="C283" s="21">
        <v>190</v>
      </c>
      <c r="D283">
        <v>4</v>
      </c>
    </row>
    <row r="284" spans="1:4">
      <c r="A284" s="40" t="s">
        <v>199</v>
      </c>
      <c r="B284" s="21">
        <v>190</v>
      </c>
      <c r="C284" s="21">
        <v>335</v>
      </c>
      <c r="D284">
        <v>4</v>
      </c>
    </row>
    <row r="285" spans="1:4">
      <c r="A285" s="40" t="s">
        <v>198</v>
      </c>
      <c r="B285" s="21">
        <v>1090</v>
      </c>
      <c r="C285" s="21">
        <v>1711.71</v>
      </c>
      <c r="D285">
        <v>4</v>
      </c>
    </row>
    <row r="286" spans="1:4">
      <c r="A286" s="40" t="s">
        <v>196</v>
      </c>
      <c r="B286" s="21">
        <v>150</v>
      </c>
      <c r="C286" s="21">
        <v>150</v>
      </c>
      <c r="D286">
        <v>4</v>
      </c>
    </row>
    <row r="287" spans="1:4">
      <c r="A287" s="40" t="s">
        <v>195</v>
      </c>
      <c r="B287" s="21">
        <v>400</v>
      </c>
      <c r="C287" s="21">
        <v>400</v>
      </c>
      <c r="D287">
        <v>4</v>
      </c>
    </row>
    <row r="288" spans="1:4">
      <c r="A288" s="40" t="s">
        <v>199</v>
      </c>
      <c r="B288" s="21">
        <v>121</v>
      </c>
      <c r="C288" s="21">
        <v>121</v>
      </c>
      <c r="D288">
        <v>4</v>
      </c>
    </row>
    <row r="289" spans="1:4">
      <c r="A289" s="40" t="s">
        <v>195</v>
      </c>
      <c r="B289" s="21">
        <v>220</v>
      </c>
      <c r="C289" s="21">
        <v>220</v>
      </c>
      <c r="D289">
        <v>4</v>
      </c>
    </row>
    <row r="290" spans="1:4">
      <c r="A290" s="40" t="s">
        <v>197</v>
      </c>
      <c r="B290" s="21">
        <v>82.5</v>
      </c>
      <c r="C290" s="21">
        <v>82.5</v>
      </c>
      <c r="D290">
        <v>4</v>
      </c>
    </row>
    <row r="291" spans="1:4">
      <c r="A291" s="40" t="s">
        <v>195</v>
      </c>
      <c r="B291" s="21">
        <v>100</v>
      </c>
      <c r="C291" s="21">
        <v>100</v>
      </c>
      <c r="D291">
        <v>4</v>
      </c>
    </row>
    <row r="292" spans="1:4">
      <c r="A292" s="40" t="s">
        <v>199</v>
      </c>
      <c r="B292" s="21">
        <v>165</v>
      </c>
      <c r="C292" s="21">
        <v>165</v>
      </c>
      <c r="D292">
        <v>4</v>
      </c>
    </row>
    <row r="293" spans="1:4">
      <c r="A293" s="40" t="s">
        <v>199</v>
      </c>
      <c r="B293" s="21">
        <v>121</v>
      </c>
      <c r="C293" s="21">
        <v>121</v>
      </c>
      <c r="D293">
        <v>4</v>
      </c>
    </row>
    <row r="294" spans="1:4">
      <c r="A294" s="40" t="s">
        <v>197</v>
      </c>
      <c r="B294" s="21">
        <v>92.5</v>
      </c>
      <c r="C294" s="21">
        <v>92.5</v>
      </c>
      <c r="D294">
        <v>4</v>
      </c>
    </row>
    <row r="295" spans="1:4">
      <c r="A295" s="40" t="s">
        <v>196</v>
      </c>
      <c r="B295" s="21">
        <v>110</v>
      </c>
      <c r="C295" s="21">
        <v>110</v>
      </c>
      <c r="D295">
        <v>4</v>
      </c>
    </row>
    <row r="296" spans="1:4">
      <c r="A296" s="40" t="s">
        <v>199</v>
      </c>
      <c r="B296" s="21">
        <v>121</v>
      </c>
      <c r="C296" s="21">
        <v>121</v>
      </c>
      <c r="D296">
        <v>4</v>
      </c>
    </row>
    <row r="297" spans="1:4">
      <c r="A297" s="40" t="s">
        <v>196</v>
      </c>
      <c r="B297" s="21">
        <v>190</v>
      </c>
      <c r="C297" s="21">
        <v>190</v>
      </c>
      <c r="D297">
        <v>4</v>
      </c>
    </row>
    <row r="298" spans="1:4">
      <c r="A298" s="40" t="s">
        <v>195</v>
      </c>
      <c r="B298" s="21">
        <v>220</v>
      </c>
      <c r="C298" s="21">
        <v>220</v>
      </c>
      <c r="D298">
        <v>4</v>
      </c>
    </row>
    <row r="299" spans="1:4">
      <c r="A299" s="40" t="s">
        <v>195</v>
      </c>
      <c r="B299" s="21">
        <v>60</v>
      </c>
      <c r="C299" s="21">
        <v>60</v>
      </c>
      <c r="D299">
        <v>4</v>
      </c>
    </row>
    <row r="300" spans="1:4">
      <c r="A300" s="40" t="s">
        <v>195</v>
      </c>
      <c r="B300" s="21">
        <v>280</v>
      </c>
      <c r="C300" s="21">
        <v>280</v>
      </c>
      <c r="D300">
        <v>4</v>
      </c>
    </row>
    <row r="301" spans="1:4">
      <c r="A301" s="40" t="s">
        <v>195</v>
      </c>
      <c r="B301" s="21">
        <v>120</v>
      </c>
      <c r="C301" s="21">
        <v>120</v>
      </c>
      <c r="D301">
        <v>4</v>
      </c>
    </row>
    <row r="302" spans="1:4">
      <c r="A302" s="40" t="s">
        <v>195</v>
      </c>
      <c r="B302" s="21">
        <v>300</v>
      </c>
      <c r="C302" s="21">
        <v>300</v>
      </c>
      <c r="D302">
        <v>4</v>
      </c>
    </row>
    <row r="303" spans="1:4">
      <c r="A303" s="40" t="s">
        <v>199</v>
      </c>
      <c r="B303" s="21">
        <v>165</v>
      </c>
      <c r="C303" s="21">
        <v>165</v>
      </c>
      <c r="D303">
        <v>4</v>
      </c>
    </row>
    <row r="304" spans="1:4">
      <c r="A304" s="40" t="s">
        <v>199</v>
      </c>
      <c r="B304" s="21">
        <v>60</v>
      </c>
      <c r="C304" s="21">
        <v>60</v>
      </c>
      <c r="D304">
        <v>4</v>
      </c>
    </row>
    <row r="305" spans="1:4">
      <c r="A305" s="40" t="s">
        <v>199</v>
      </c>
      <c r="B305" s="21">
        <v>95</v>
      </c>
      <c r="C305" s="21">
        <v>95</v>
      </c>
      <c r="D305">
        <v>4</v>
      </c>
    </row>
    <row r="306" spans="1:4">
      <c r="A306" s="40" t="s">
        <v>199</v>
      </c>
      <c r="B306" s="21">
        <v>36</v>
      </c>
      <c r="C306" s="21">
        <v>36</v>
      </c>
      <c r="D306">
        <v>4</v>
      </c>
    </row>
    <row r="307" spans="1:4">
      <c r="A307" s="40" t="s">
        <v>195</v>
      </c>
      <c r="B307" s="21">
        <v>132.56</v>
      </c>
      <c r="C307" s="21">
        <v>132</v>
      </c>
      <c r="D307">
        <v>4</v>
      </c>
    </row>
    <row r="308" spans="1:4">
      <c r="A308" s="40" t="s">
        <v>197</v>
      </c>
      <c r="B308" s="21">
        <v>72.599999999999994</v>
      </c>
      <c r="C308" s="21">
        <v>72.599999999999994</v>
      </c>
      <c r="D308">
        <v>4</v>
      </c>
    </row>
    <row r="309" spans="1:4">
      <c r="A309" s="40" t="s">
        <v>199</v>
      </c>
      <c r="B309" s="21">
        <v>60</v>
      </c>
      <c r="C309" s="21">
        <v>60</v>
      </c>
      <c r="D309">
        <v>4</v>
      </c>
    </row>
    <row r="310" spans="1:4">
      <c r="A310" s="40" t="s">
        <v>197</v>
      </c>
      <c r="B310" s="21">
        <v>33</v>
      </c>
      <c r="C310" s="21">
        <v>33</v>
      </c>
      <c r="D310">
        <v>4</v>
      </c>
    </row>
    <row r="311" spans="1:4">
      <c r="A311" s="40" t="s">
        <v>196</v>
      </c>
      <c r="B311" s="21">
        <v>30</v>
      </c>
      <c r="C311" s="21">
        <v>30</v>
      </c>
      <c r="D311">
        <v>4</v>
      </c>
    </row>
    <row r="312" spans="1:4">
      <c r="A312" s="40" t="s">
        <v>195</v>
      </c>
      <c r="B312" s="21">
        <v>88</v>
      </c>
      <c r="C312" s="21">
        <v>88</v>
      </c>
      <c r="D312">
        <v>4</v>
      </c>
    </row>
    <row r="313" spans="1:4">
      <c r="A313" s="40" t="s">
        <v>195</v>
      </c>
      <c r="B313" s="21">
        <v>120</v>
      </c>
      <c r="C313" s="21">
        <v>120</v>
      </c>
      <c r="D313">
        <v>4</v>
      </c>
    </row>
    <row r="314" spans="1:4">
      <c r="A314" s="40" t="s">
        <v>195</v>
      </c>
      <c r="B314" s="21">
        <v>60</v>
      </c>
      <c r="C314" s="21">
        <v>60</v>
      </c>
      <c r="D314">
        <v>4</v>
      </c>
    </row>
    <row r="315" spans="1:4">
      <c r="A315" s="40" t="s">
        <v>195</v>
      </c>
      <c r="B315" s="21">
        <v>100</v>
      </c>
      <c r="C315" s="21">
        <v>100</v>
      </c>
      <c r="D315">
        <v>4</v>
      </c>
    </row>
    <row r="316" spans="1:4">
      <c r="A316" s="40" t="s">
        <v>199</v>
      </c>
      <c r="B316" s="21">
        <v>121</v>
      </c>
      <c r="C316" s="21">
        <v>242</v>
      </c>
      <c r="D316">
        <v>4</v>
      </c>
    </row>
    <row r="317" spans="1:4">
      <c r="A317" s="40" t="s">
        <v>197</v>
      </c>
      <c r="B317" s="21">
        <v>787.5</v>
      </c>
      <c r="C317" s="21">
        <v>787.5</v>
      </c>
      <c r="D317">
        <v>4</v>
      </c>
    </row>
    <row r="318" spans="1:4">
      <c r="A318" s="40" t="s">
        <v>199</v>
      </c>
      <c r="B318" s="21">
        <v>176</v>
      </c>
      <c r="C318" s="21">
        <v>176</v>
      </c>
      <c r="D318">
        <v>4</v>
      </c>
    </row>
    <row r="319" spans="1:4">
      <c r="A319" s="40" t="s">
        <v>199</v>
      </c>
      <c r="B319" s="21">
        <v>33</v>
      </c>
      <c r="C319" s="21">
        <v>33</v>
      </c>
      <c r="D319">
        <v>4</v>
      </c>
    </row>
    <row r="320" spans="1:4">
      <c r="A320" s="40" t="s">
        <v>196</v>
      </c>
      <c r="B320" s="21">
        <v>30</v>
      </c>
      <c r="C320" s="21">
        <v>30</v>
      </c>
      <c r="D320">
        <v>4</v>
      </c>
    </row>
    <row r="321" spans="1:4">
      <c r="A321" s="40" t="s">
        <v>198</v>
      </c>
      <c r="B321" s="21">
        <v>30</v>
      </c>
      <c r="C321" s="21">
        <v>30</v>
      </c>
      <c r="D321">
        <v>4</v>
      </c>
    </row>
    <row r="322" spans="1:4">
      <c r="A322" s="40" t="s">
        <v>198</v>
      </c>
      <c r="B322" s="21">
        <v>50</v>
      </c>
      <c r="C322" s="21">
        <v>50</v>
      </c>
      <c r="D322">
        <v>4</v>
      </c>
    </row>
    <row r="323" spans="1:4">
      <c r="A323" s="40" t="s">
        <v>198</v>
      </c>
      <c r="B323" s="21">
        <v>280</v>
      </c>
      <c r="C323" s="21">
        <v>280</v>
      </c>
      <c r="D323">
        <v>4</v>
      </c>
    </row>
    <row r="324" spans="1:4">
      <c r="A324" s="40" t="s">
        <v>198</v>
      </c>
      <c r="B324" s="21">
        <v>165</v>
      </c>
      <c r="C324" s="21">
        <v>165</v>
      </c>
      <c r="D324">
        <v>4</v>
      </c>
    </row>
    <row r="325" spans="1:4">
      <c r="A325" s="40" t="s">
        <v>199</v>
      </c>
      <c r="B325" s="21">
        <v>100</v>
      </c>
      <c r="C325" s="21">
        <v>100</v>
      </c>
      <c r="D325">
        <v>4</v>
      </c>
    </row>
    <row r="326" spans="1:4">
      <c r="A326" s="40" t="s">
        <v>198</v>
      </c>
      <c r="B326" s="21">
        <v>100</v>
      </c>
      <c r="C326" s="21">
        <v>100</v>
      </c>
      <c r="D326">
        <v>4</v>
      </c>
    </row>
    <row r="327" spans="1:4">
      <c r="A327" s="40" t="s">
        <v>195</v>
      </c>
      <c r="B327" s="21">
        <v>30</v>
      </c>
      <c r="C327" s="21">
        <v>30</v>
      </c>
      <c r="D327">
        <v>4</v>
      </c>
    </row>
    <row r="328" spans="1:4">
      <c r="A328" s="40" t="s">
        <v>195</v>
      </c>
      <c r="B328" s="21">
        <v>300</v>
      </c>
      <c r="C328" s="21">
        <v>300</v>
      </c>
      <c r="D328">
        <v>4</v>
      </c>
    </row>
    <row r="329" spans="1:4">
      <c r="A329" s="40" t="s">
        <v>199</v>
      </c>
      <c r="B329" s="21">
        <v>250</v>
      </c>
      <c r="C329" s="21">
        <v>250</v>
      </c>
      <c r="D329">
        <v>4</v>
      </c>
    </row>
    <row r="330" spans="1:4">
      <c r="A330" s="40" t="s">
        <v>198</v>
      </c>
      <c r="B330" s="21">
        <v>120</v>
      </c>
      <c r="C330" s="21">
        <v>120</v>
      </c>
      <c r="D330">
        <v>4</v>
      </c>
    </row>
    <row r="331" spans="1:4">
      <c r="A331" s="40" t="s">
        <v>198</v>
      </c>
      <c r="B331" s="21">
        <v>66.36</v>
      </c>
      <c r="C331" s="21">
        <v>66.36</v>
      </c>
      <c r="D331">
        <v>4</v>
      </c>
    </row>
    <row r="332" spans="1:4">
      <c r="A332" s="40" t="s">
        <v>199</v>
      </c>
      <c r="B332" s="21">
        <v>60</v>
      </c>
      <c r="C332" s="21">
        <v>60</v>
      </c>
      <c r="D332">
        <v>4</v>
      </c>
    </row>
    <row r="333" spans="1:4">
      <c r="A333" s="40" t="s">
        <v>195</v>
      </c>
      <c r="B333" s="21">
        <v>60</v>
      </c>
      <c r="C333" s="21">
        <v>60</v>
      </c>
      <c r="D333">
        <v>5</v>
      </c>
    </row>
    <row r="334" spans="1:4">
      <c r="A334" s="40" t="s">
        <v>195</v>
      </c>
      <c r="B334" s="21">
        <v>35</v>
      </c>
      <c r="C334" s="21">
        <v>35</v>
      </c>
      <c r="D334">
        <v>5</v>
      </c>
    </row>
    <row r="335" spans="1:4">
      <c r="A335" s="40" t="s">
        <v>197</v>
      </c>
      <c r="B335" s="21">
        <v>194.85</v>
      </c>
      <c r="C335" s="21">
        <v>194.85</v>
      </c>
      <c r="D335">
        <v>5</v>
      </c>
    </row>
    <row r="336" spans="1:4">
      <c r="A336" s="40" t="s">
        <v>195</v>
      </c>
      <c r="B336" s="21">
        <v>200</v>
      </c>
      <c r="C336" s="21">
        <v>200</v>
      </c>
      <c r="D336">
        <v>5</v>
      </c>
    </row>
    <row r="337" spans="1:4">
      <c r="A337" s="40" t="s">
        <v>199</v>
      </c>
      <c r="B337" s="21">
        <v>132</v>
      </c>
      <c r="C337" s="21">
        <v>132</v>
      </c>
      <c r="D337">
        <v>5</v>
      </c>
    </row>
    <row r="338" spans="1:4">
      <c r="A338" s="40" t="s">
        <v>197</v>
      </c>
      <c r="B338" s="21">
        <v>165</v>
      </c>
      <c r="C338" s="21">
        <v>165</v>
      </c>
      <c r="D338">
        <v>5</v>
      </c>
    </row>
    <row r="339" spans="1:4">
      <c r="A339" s="40" t="s">
        <v>201</v>
      </c>
      <c r="B339" s="21">
        <v>70</v>
      </c>
      <c r="C339" s="21">
        <v>70</v>
      </c>
      <c r="D339">
        <v>5</v>
      </c>
    </row>
    <row r="340" spans="1:4">
      <c r="A340" s="40" t="s">
        <v>195</v>
      </c>
      <c r="B340" s="21">
        <v>150</v>
      </c>
      <c r="C340" s="21">
        <v>150</v>
      </c>
      <c r="D340">
        <v>5</v>
      </c>
    </row>
    <row r="341" spans="1:4">
      <c r="A341" s="40" t="s">
        <v>197</v>
      </c>
      <c r="B341" s="21">
        <v>400</v>
      </c>
      <c r="C341" s="21">
        <v>400</v>
      </c>
      <c r="D341">
        <v>5</v>
      </c>
    </row>
    <row r="342" spans="1:4">
      <c r="A342" s="40" t="s">
        <v>196</v>
      </c>
      <c r="B342" s="21">
        <v>75</v>
      </c>
      <c r="C342" s="21">
        <v>75</v>
      </c>
      <c r="D342">
        <v>5</v>
      </c>
    </row>
    <row r="343" spans="1:4">
      <c r="A343" s="40" t="s">
        <v>196</v>
      </c>
      <c r="B343" s="21">
        <v>30</v>
      </c>
      <c r="C343" s="21">
        <v>30</v>
      </c>
      <c r="D343">
        <v>5</v>
      </c>
    </row>
    <row r="344" spans="1:4">
      <c r="A344" s="40" t="s">
        <v>197</v>
      </c>
      <c r="B344" s="21">
        <v>500</v>
      </c>
      <c r="C344" s="21">
        <v>500</v>
      </c>
      <c r="D344">
        <v>5</v>
      </c>
    </row>
    <row r="345" spans="1:4">
      <c r="A345" s="40" t="s">
        <v>195</v>
      </c>
      <c r="B345" s="21">
        <v>87.49</v>
      </c>
      <c r="C345" s="21">
        <v>87.49</v>
      </c>
      <c r="D345">
        <v>5</v>
      </c>
    </row>
    <row r="346" spans="1:4">
      <c r="A346" s="40" t="s">
        <v>196</v>
      </c>
      <c r="B346" s="21">
        <v>75</v>
      </c>
      <c r="C346" s="21">
        <v>75</v>
      </c>
      <c r="D346">
        <v>5</v>
      </c>
    </row>
    <row r="347" spans="1:4">
      <c r="A347" s="40" t="s">
        <v>201</v>
      </c>
      <c r="B347" s="21">
        <v>150</v>
      </c>
      <c r="C347" s="21">
        <v>150</v>
      </c>
      <c r="D347">
        <v>5</v>
      </c>
    </row>
    <row r="348" spans="1:4">
      <c r="A348" s="40" t="s">
        <v>197</v>
      </c>
      <c r="B348" s="21">
        <v>451</v>
      </c>
      <c r="C348" s="21">
        <v>451</v>
      </c>
      <c r="D348">
        <v>5</v>
      </c>
    </row>
    <row r="349" spans="1:4">
      <c r="A349" s="40" t="s">
        <v>197</v>
      </c>
      <c r="B349" s="21">
        <v>192.5</v>
      </c>
      <c r="C349" s="21">
        <v>192.5</v>
      </c>
      <c r="D349">
        <v>5</v>
      </c>
    </row>
    <row r="350" spans="1:4">
      <c r="A350" s="40" t="s">
        <v>195</v>
      </c>
      <c r="B350" s="21">
        <v>60</v>
      </c>
      <c r="C350" s="21">
        <v>60</v>
      </c>
      <c r="D350">
        <v>5</v>
      </c>
    </row>
    <row r="351" spans="1:4">
      <c r="A351" s="40" t="s">
        <v>195</v>
      </c>
      <c r="B351" s="21">
        <v>120</v>
      </c>
      <c r="C351" s="21">
        <v>120</v>
      </c>
      <c r="D351">
        <v>5</v>
      </c>
    </row>
    <row r="352" spans="1:4">
      <c r="A352" s="40" t="s">
        <v>198</v>
      </c>
      <c r="B352" s="21">
        <v>50</v>
      </c>
      <c r="C352" s="21">
        <v>50</v>
      </c>
      <c r="D352">
        <v>5</v>
      </c>
    </row>
    <row r="353" spans="1:4">
      <c r="A353" s="40" t="s">
        <v>195</v>
      </c>
      <c r="B353" s="21">
        <v>0</v>
      </c>
      <c r="C353" s="21">
        <v>100</v>
      </c>
      <c r="D353">
        <v>5</v>
      </c>
    </row>
    <row r="354" spans="1:4">
      <c r="A354" s="40" t="s">
        <v>195</v>
      </c>
      <c r="B354" s="21">
        <v>75</v>
      </c>
      <c r="C354" s="21">
        <v>75</v>
      </c>
      <c r="D354">
        <v>5</v>
      </c>
    </row>
    <row r="355" spans="1:4">
      <c r="A355" s="40" t="s">
        <v>195</v>
      </c>
      <c r="B355" s="21">
        <v>87.5</v>
      </c>
      <c r="C355" s="21">
        <v>87.5</v>
      </c>
      <c r="D355">
        <v>5</v>
      </c>
    </row>
    <row r="356" spans="1:4">
      <c r="A356" s="40" t="s">
        <v>199</v>
      </c>
      <c r="B356" s="21">
        <v>55</v>
      </c>
      <c r="C356" s="21">
        <v>55</v>
      </c>
      <c r="D356">
        <v>5</v>
      </c>
    </row>
    <row r="357" spans="1:4">
      <c r="A357" s="40" t="s">
        <v>199</v>
      </c>
      <c r="B357" s="21">
        <v>50</v>
      </c>
      <c r="C357" s="21">
        <v>50</v>
      </c>
      <c r="D357">
        <v>5</v>
      </c>
    </row>
    <row r="358" spans="1:4">
      <c r="A358" s="40" t="s">
        <v>200</v>
      </c>
      <c r="B358" s="21">
        <v>1660</v>
      </c>
      <c r="C358" s="21">
        <v>1660</v>
      </c>
      <c r="D358">
        <v>5</v>
      </c>
    </row>
    <row r="359" spans="1:4">
      <c r="A359" s="40" t="s">
        <v>195</v>
      </c>
      <c r="B359" s="21">
        <v>100</v>
      </c>
      <c r="C359" s="21">
        <v>100</v>
      </c>
      <c r="D359">
        <v>5</v>
      </c>
    </row>
    <row r="360" spans="1:4">
      <c r="A360" s="40" t="s">
        <v>199</v>
      </c>
      <c r="B360" s="21">
        <v>50</v>
      </c>
      <c r="C360" s="21">
        <v>50</v>
      </c>
      <c r="D360">
        <v>5</v>
      </c>
    </row>
    <row r="361" spans="1:4">
      <c r="A361" s="40" t="s">
        <v>196</v>
      </c>
      <c r="B361" s="21">
        <v>140</v>
      </c>
      <c r="C361" s="21">
        <v>140</v>
      </c>
      <c r="D361">
        <v>5</v>
      </c>
    </row>
    <row r="362" spans="1:4">
      <c r="A362" s="40" t="s">
        <v>196</v>
      </c>
      <c r="B362" s="21">
        <v>75</v>
      </c>
      <c r="C362" s="21">
        <v>75</v>
      </c>
      <c r="D362">
        <v>5</v>
      </c>
    </row>
    <row r="363" spans="1:4">
      <c r="A363" s="40" t="s">
        <v>195</v>
      </c>
      <c r="B363" s="21">
        <v>80</v>
      </c>
      <c r="C363" s="21">
        <v>100</v>
      </c>
      <c r="D363">
        <v>5</v>
      </c>
    </row>
    <row r="364" spans="1:4">
      <c r="A364" s="40" t="s">
        <v>195</v>
      </c>
      <c r="B364" s="21">
        <v>30</v>
      </c>
      <c r="C364" s="21">
        <v>9.4</v>
      </c>
      <c r="D364">
        <v>5</v>
      </c>
    </row>
    <row r="365" spans="1:4">
      <c r="A365" s="40" t="s">
        <v>199</v>
      </c>
      <c r="B365" s="21">
        <v>190</v>
      </c>
      <c r="C365" s="21">
        <v>190</v>
      </c>
      <c r="D365">
        <v>5</v>
      </c>
    </row>
    <row r="366" spans="1:4">
      <c r="A366" s="40" t="s">
        <v>199</v>
      </c>
      <c r="B366" s="21">
        <v>190</v>
      </c>
      <c r="C366" s="21">
        <v>190</v>
      </c>
      <c r="D366">
        <v>5</v>
      </c>
    </row>
    <row r="367" spans="1:4">
      <c r="A367" s="40" t="s">
        <v>198</v>
      </c>
      <c r="B367" s="21">
        <v>1045</v>
      </c>
      <c r="C367" s="21">
        <v>1552.13</v>
      </c>
      <c r="D367">
        <v>5</v>
      </c>
    </row>
    <row r="368" spans="1:4">
      <c r="A368" s="40" t="s">
        <v>196</v>
      </c>
      <c r="B368" s="21">
        <v>75</v>
      </c>
      <c r="C368" s="21">
        <v>75</v>
      </c>
      <c r="D368">
        <v>5</v>
      </c>
    </row>
    <row r="369" spans="1:4">
      <c r="A369" s="40" t="s">
        <v>195</v>
      </c>
      <c r="B369" s="21">
        <v>200</v>
      </c>
      <c r="C369" s="21">
        <v>200</v>
      </c>
      <c r="D369">
        <v>5</v>
      </c>
    </row>
    <row r="370" spans="1:4">
      <c r="A370" s="40" t="s">
        <v>199</v>
      </c>
      <c r="B370" s="21">
        <v>121</v>
      </c>
      <c r="C370" s="21">
        <v>121</v>
      </c>
      <c r="D370">
        <v>5</v>
      </c>
    </row>
    <row r="371" spans="1:4">
      <c r="A371" s="40" t="s">
        <v>195</v>
      </c>
      <c r="B371" s="21">
        <v>110</v>
      </c>
      <c r="C371" s="21">
        <v>110</v>
      </c>
      <c r="D371">
        <v>5</v>
      </c>
    </row>
    <row r="372" spans="1:4">
      <c r="A372" s="40" t="s">
        <v>197</v>
      </c>
      <c r="B372" s="21">
        <v>82.5</v>
      </c>
      <c r="C372" s="21">
        <v>82.5</v>
      </c>
      <c r="D372">
        <v>5</v>
      </c>
    </row>
    <row r="373" spans="1:4">
      <c r="A373" s="40" t="s">
        <v>199</v>
      </c>
      <c r="B373" s="21">
        <v>165</v>
      </c>
      <c r="C373" s="21">
        <v>165</v>
      </c>
      <c r="D373">
        <v>5</v>
      </c>
    </row>
    <row r="374" spans="1:4">
      <c r="A374" s="40" t="s">
        <v>199</v>
      </c>
      <c r="B374" s="21">
        <v>121</v>
      </c>
      <c r="C374" s="21">
        <v>121</v>
      </c>
      <c r="D374">
        <v>5</v>
      </c>
    </row>
    <row r="375" spans="1:4">
      <c r="A375" s="40" t="s">
        <v>197</v>
      </c>
      <c r="B375" s="21">
        <v>82.5</v>
      </c>
      <c r="C375" s="21">
        <v>82.5</v>
      </c>
      <c r="D375">
        <v>5</v>
      </c>
    </row>
    <row r="376" spans="1:4">
      <c r="A376" s="40" t="s">
        <v>196</v>
      </c>
      <c r="B376" s="21">
        <v>110</v>
      </c>
      <c r="C376" s="21">
        <v>110</v>
      </c>
      <c r="D376">
        <v>5</v>
      </c>
    </row>
    <row r="377" spans="1:4">
      <c r="A377" s="40" t="s">
        <v>199</v>
      </c>
      <c r="B377" s="21">
        <v>121</v>
      </c>
      <c r="C377" s="21">
        <v>121</v>
      </c>
      <c r="D377">
        <v>5</v>
      </c>
    </row>
    <row r="378" spans="1:4">
      <c r="A378" s="40" t="s">
        <v>196</v>
      </c>
      <c r="B378" s="21">
        <v>190</v>
      </c>
      <c r="C378" s="21">
        <v>190</v>
      </c>
      <c r="D378">
        <v>5</v>
      </c>
    </row>
    <row r="379" spans="1:4">
      <c r="A379" s="40" t="s">
        <v>195</v>
      </c>
      <c r="B379" s="21">
        <v>110</v>
      </c>
      <c r="C379" s="21">
        <v>60</v>
      </c>
      <c r="D379">
        <v>5</v>
      </c>
    </row>
    <row r="380" spans="1:4">
      <c r="A380" s="40" t="s">
        <v>195</v>
      </c>
      <c r="B380" s="21">
        <v>30</v>
      </c>
      <c r="C380" s="21">
        <v>30</v>
      </c>
      <c r="D380">
        <v>5</v>
      </c>
    </row>
    <row r="381" spans="1:4">
      <c r="A381" s="40" t="s">
        <v>195</v>
      </c>
      <c r="B381" s="21">
        <v>140</v>
      </c>
      <c r="C381" s="21">
        <v>140</v>
      </c>
      <c r="D381">
        <v>5</v>
      </c>
    </row>
    <row r="382" spans="1:4">
      <c r="A382" s="40" t="s">
        <v>195</v>
      </c>
      <c r="B382" s="21">
        <v>60</v>
      </c>
      <c r="D382">
        <v>5</v>
      </c>
    </row>
    <row r="383" spans="1:4">
      <c r="A383" s="40" t="s">
        <v>195</v>
      </c>
      <c r="B383" s="21">
        <v>150</v>
      </c>
      <c r="C383" s="21">
        <v>150</v>
      </c>
      <c r="D383">
        <v>5</v>
      </c>
    </row>
    <row r="384" spans="1:4">
      <c r="A384" s="40" t="s">
        <v>199</v>
      </c>
      <c r="B384" s="21">
        <v>165</v>
      </c>
      <c r="C384" s="21">
        <v>165</v>
      </c>
      <c r="D384">
        <v>5</v>
      </c>
    </row>
    <row r="385" spans="1:4">
      <c r="A385" s="40" t="s">
        <v>199</v>
      </c>
      <c r="B385" s="21">
        <v>60</v>
      </c>
      <c r="C385" s="21">
        <v>60</v>
      </c>
      <c r="D385">
        <v>5</v>
      </c>
    </row>
    <row r="386" spans="1:4">
      <c r="A386" s="40" t="s">
        <v>199</v>
      </c>
      <c r="B386" s="21">
        <v>95</v>
      </c>
      <c r="C386" s="21">
        <v>95</v>
      </c>
      <c r="D386">
        <v>5</v>
      </c>
    </row>
    <row r="387" spans="1:4">
      <c r="A387" s="40" t="s">
        <v>199</v>
      </c>
      <c r="B387" s="21">
        <v>36</v>
      </c>
      <c r="C387" s="21">
        <v>36</v>
      </c>
      <c r="D387">
        <v>5</v>
      </c>
    </row>
    <row r="388" spans="1:4">
      <c r="A388" s="40" t="s">
        <v>195</v>
      </c>
      <c r="B388" s="21">
        <v>132.56</v>
      </c>
      <c r="C388" s="21">
        <v>100</v>
      </c>
      <c r="D388">
        <v>5</v>
      </c>
    </row>
    <row r="389" spans="1:4">
      <c r="A389" s="40" t="s">
        <v>197</v>
      </c>
      <c r="B389" s="21">
        <v>72.599999999999994</v>
      </c>
      <c r="C389" s="21">
        <v>72.599999999999994</v>
      </c>
      <c r="D389">
        <v>5</v>
      </c>
    </row>
    <row r="390" spans="1:4">
      <c r="A390" s="40" t="s">
        <v>199</v>
      </c>
      <c r="B390" s="21">
        <v>60</v>
      </c>
      <c r="C390" s="21">
        <v>60</v>
      </c>
      <c r="D390">
        <v>5</v>
      </c>
    </row>
    <row r="391" spans="1:4">
      <c r="A391" s="40" t="s">
        <v>197</v>
      </c>
      <c r="B391" s="21">
        <v>33</v>
      </c>
      <c r="C391" s="21">
        <v>33</v>
      </c>
      <c r="D391">
        <v>5</v>
      </c>
    </row>
    <row r="392" spans="1:4">
      <c r="A392" s="40" t="s">
        <v>195</v>
      </c>
      <c r="B392" s="21">
        <v>60</v>
      </c>
      <c r="C392" s="21">
        <v>60</v>
      </c>
      <c r="D392">
        <v>5</v>
      </c>
    </row>
    <row r="393" spans="1:4">
      <c r="A393" s="40" t="s">
        <v>195</v>
      </c>
      <c r="B393" s="21">
        <v>60</v>
      </c>
      <c r="C393" s="21">
        <v>120</v>
      </c>
      <c r="D393">
        <v>5</v>
      </c>
    </row>
    <row r="394" spans="1:4">
      <c r="A394" s="40" t="s">
        <v>195</v>
      </c>
      <c r="B394" s="21">
        <v>100</v>
      </c>
      <c r="C394" s="21">
        <v>100</v>
      </c>
      <c r="D394">
        <v>5</v>
      </c>
    </row>
    <row r="395" spans="1:4">
      <c r="A395" s="40" t="s">
        <v>199</v>
      </c>
      <c r="B395" s="21">
        <v>121</v>
      </c>
      <c r="C395" s="21">
        <v>121</v>
      </c>
      <c r="D395">
        <v>5</v>
      </c>
    </row>
    <row r="396" spans="1:4">
      <c r="A396" s="40" t="s">
        <v>197</v>
      </c>
      <c r="B396" s="21">
        <v>412.5</v>
      </c>
      <c r="C396" s="21">
        <v>412.5</v>
      </c>
      <c r="D396">
        <v>5</v>
      </c>
    </row>
    <row r="397" spans="1:4">
      <c r="A397" s="40" t="s">
        <v>199</v>
      </c>
      <c r="B397" s="21">
        <v>176</v>
      </c>
      <c r="C397" s="21">
        <v>176</v>
      </c>
      <c r="D397">
        <v>5</v>
      </c>
    </row>
    <row r="398" spans="1:4">
      <c r="A398" s="40" t="s">
        <v>199</v>
      </c>
      <c r="B398" s="21">
        <v>33</v>
      </c>
      <c r="C398" s="21">
        <v>33</v>
      </c>
      <c r="D398">
        <v>5</v>
      </c>
    </row>
    <row r="399" spans="1:4">
      <c r="A399" s="40" t="s">
        <v>196</v>
      </c>
      <c r="B399" s="21">
        <v>30</v>
      </c>
      <c r="C399" s="21">
        <v>30</v>
      </c>
      <c r="D399">
        <v>5</v>
      </c>
    </row>
    <row r="400" spans="1:4">
      <c r="A400" s="40" t="s">
        <v>198</v>
      </c>
      <c r="B400" s="21">
        <v>30</v>
      </c>
      <c r="C400" s="21">
        <v>30</v>
      </c>
      <c r="D400">
        <v>5</v>
      </c>
    </row>
    <row r="401" spans="1:4">
      <c r="A401" s="40" t="s">
        <v>201</v>
      </c>
      <c r="B401" s="21">
        <v>50</v>
      </c>
      <c r="C401" s="21">
        <v>50</v>
      </c>
      <c r="D401">
        <v>5</v>
      </c>
    </row>
    <row r="402" spans="1:4">
      <c r="A402" s="40" t="s">
        <v>200</v>
      </c>
      <c r="B402" s="21">
        <v>280</v>
      </c>
      <c r="C402" s="21">
        <v>280</v>
      </c>
      <c r="D402">
        <v>5</v>
      </c>
    </row>
    <row r="403" spans="1:4">
      <c r="A403" s="40" t="s">
        <v>201</v>
      </c>
      <c r="B403" s="21">
        <v>165</v>
      </c>
      <c r="C403" s="21">
        <v>165</v>
      </c>
      <c r="D403">
        <v>5</v>
      </c>
    </row>
    <row r="404" spans="1:4">
      <c r="A404" s="40" t="s">
        <v>199</v>
      </c>
      <c r="B404" s="21">
        <v>100</v>
      </c>
      <c r="C404" s="21">
        <v>100</v>
      </c>
      <c r="D404">
        <v>5</v>
      </c>
    </row>
    <row r="405" spans="1:4">
      <c r="A405" s="40" t="s">
        <v>201</v>
      </c>
      <c r="B405" s="21">
        <v>100</v>
      </c>
      <c r="C405" s="21">
        <v>100</v>
      </c>
      <c r="D405">
        <v>5</v>
      </c>
    </row>
    <row r="406" spans="1:4">
      <c r="A406" s="40" t="s">
        <v>195</v>
      </c>
      <c r="B406" s="21">
        <v>30</v>
      </c>
      <c r="C406" s="21">
        <v>30</v>
      </c>
      <c r="D406">
        <v>5</v>
      </c>
    </row>
    <row r="407" spans="1:4">
      <c r="A407" s="40" t="s">
        <v>199</v>
      </c>
      <c r="B407" s="21">
        <v>250</v>
      </c>
      <c r="C407" s="21">
        <v>250</v>
      </c>
      <c r="D407">
        <v>5</v>
      </c>
    </row>
    <row r="408" spans="1:4">
      <c r="A408" s="40" t="s">
        <v>198</v>
      </c>
      <c r="B408" s="21">
        <v>90</v>
      </c>
      <c r="C408" s="21">
        <v>300</v>
      </c>
      <c r="D408">
        <v>5</v>
      </c>
    </row>
    <row r="409" spans="1:4">
      <c r="A409" s="40" t="s">
        <v>201</v>
      </c>
      <c r="B409" s="21">
        <v>120</v>
      </c>
      <c r="C409" s="21">
        <v>120</v>
      </c>
      <c r="D409">
        <v>5</v>
      </c>
    </row>
    <row r="410" spans="1:4">
      <c r="A410" s="40" t="s">
        <v>201</v>
      </c>
      <c r="B410" s="21">
        <v>66.36</v>
      </c>
      <c r="C410" s="21">
        <v>66.36</v>
      </c>
      <c r="D410">
        <v>5</v>
      </c>
    </row>
    <row r="411" spans="1:4">
      <c r="A411" s="40" t="s">
        <v>199</v>
      </c>
      <c r="B411" s="21">
        <v>60</v>
      </c>
      <c r="C411" s="21">
        <v>60</v>
      </c>
      <c r="D411">
        <v>5</v>
      </c>
    </row>
    <row r="412" spans="1:4">
      <c r="A412" s="40" t="s">
        <v>198</v>
      </c>
      <c r="B412" s="21">
        <v>600</v>
      </c>
      <c r="C412" s="21">
        <v>600</v>
      </c>
      <c r="D412">
        <v>5</v>
      </c>
    </row>
    <row r="413" spans="1:4">
      <c r="A413" s="40" t="s">
        <v>200</v>
      </c>
      <c r="B413" s="21">
        <v>79.63</v>
      </c>
      <c r="C413" s="21">
        <v>79.63</v>
      </c>
      <c r="D413">
        <v>5</v>
      </c>
    </row>
    <row r="414" spans="1:4">
      <c r="A414" s="40" t="s">
        <v>200</v>
      </c>
      <c r="B414" s="21">
        <v>106.18</v>
      </c>
      <c r="C414" s="21">
        <v>106.18</v>
      </c>
      <c r="D414">
        <v>5</v>
      </c>
    </row>
    <row r="415" spans="1:4">
      <c r="A415" s="40" t="s">
        <v>200</v>
      </c>
      <c r="B415" s="21">
        <v>79.63</v>
      </c>
      <c r="C415" s="21">
        <v>79.63</v>
      </c>
      <c r="D415">
        <v>5</v>
      </c>
    </row>
    <row r="416" spans="1:4">
      <c r="A416" s="40" t="s">
        <v>200</v>
      </c>
      <c r="B416" s="21">
        <v>155</v>
      </c>
      <c r="D416">
        <v>5</v>
      </c>
    </row>
    <row r="417" spans="1:4">
      <c r="A417" s="40" t="s">
        <v>198</v>
      </c>
      <c r="B417" s="21">
        <v>200</v>
      </c>
      <c r="C417" s="21">
        <v>200</v>
      </c>
      <c r="D417">
        <v>5</v>
      </c>
    </row>
    <row r="418" spans="1:4">
      <c r="A418" s="40" t="s">
        <v>195</v>
      </c>
      <c r="B418" s="21">
        <v>60</v>
      </c>
      <c r="C418" s="21">
        <v>60</v>
      </c>
      <c r="D418">
        <v>6</v>
      </c>
    </row>
    <row r="419" spans="1:4">
      <c r="A419" s="40" t="s">
        <v>196</v>
      </c>
      <c r="B419" s="21">
        <v>70</v>
      </c>
      <c r="C419" s="21">
        <v>77</v>
      </c>
      <c r="D419">
        <v>6</v>
      </c>
    </row>
    <row r="420" spans="1:4">
      <c r="A420" s="40" t="s">
        <v>195</v>
      </c>
      <c r="B420" s="21">
        <v>35</v>
      </c>
      <c r="C420" s="21">
        <v>35</v>
      </c>
      <c r="D420">
        <v>6</v>
      </c>
    </row>
    <row r="421" spans="1:4">
      <c r="A421" s="40" t="s">
        <v>197</v>
      </c>
      <c r="B421" s="21">
        <v>176</v>
      </c>
      <c r="C421" s="21">
        <v>200</v>
      </c>
      <c r="D421">
        <v>6</v>
      </c>
    </row>
    <row r="422" spans="1:4">
      <c r="A422" s="40" t="s">
        <v>195</v>
      </c>
      <c r="B422" s="21">
        <v>200</v>
      </c>
      <c r="C422" s="21">
        <v>220</v>
      </c>
      <c r="D422">
        <v>6</v>
      </c>
    </row>
    <row r="423" spans="1:4">
      <c r="A423" s="40" t="s">
        <v>199</v>
      </c>
      <c r="B423" s="21">
        <v>120</v>
      </c>
      <c r="C423" s="21">
        <v>132</v>
      </c>
      <c r="D423">
        <v>6</v>
      </c>
    </row>
    <row r="424" spans="1:4">
      <c r="A424" s="40" t="s">
        <v>197</v>
      </c>
      <c r="B424" s="21">
        <v>165</v>
      </c>
      <c r="C424" s="21">
        <v>165</v>
      </c>
      <c r="D424">
        <v>6</v>
      </c>
    </row>
    <row r="425" spans="1:4">
      <c r="A425" s="40" t="s">
        <v>201</v>
      </c>
      <c r="B425" s="21">
        <v>70</v>
      </c>
      <c r="C425" s="21">
        <v>70</v>
      </c>
      <c r="D425">
        <v>6</v>
      </c>
    </row>
    <row r="426" spans="1:4">
      <c r="A426" s="40" t="s">
        <v>195</v>
      </c>
      <c r="B426" s="21">
        <v>150</v>
      </c>
      <c r="C426" s="21">
        <v>165</v>
      </c>
      <c r="D426">
        <v>6</v>
      </c>
    </row>
    <row r="427" spans="1:4">
      <c r="A427" s="40" t="s">
        <v>197</v>
      </c>
      <c r="B427" s="21">
        <v>400</v>
      </c>
      <c r="C427" s="21">
        <v>400</v>
      </c>
      <c r="D427">
        <v>6</v>
      </c>
    </row>
    <row r="428" spans="1:4">
      <c r="A428" s="40" t="s">
        <v>196</v>
      </c>
      <c r="B428" s="21">
        <v>75</v>
      </c>
      <c r="C428" s="21">
        <v>82.5</v>
      </c>
      <c r="D428">
        <v>6</v>
      </c>
    </row>
    <row r="429" spans="1:4">
      <c r="A429" s="40" t="s">
        <v>196</v>
      </c>
      <c r="B429" s="21">
        <v>30</v>
      </c>
      <c r="C429" s="21">
        <v>30</v>
      </c>
      <c r="D429">
        <v>6</v>
      </c>
    </row>
    <row r="430" spans="1:4">
      <c r="A430" s="40" t="s">
        <v>197</v>
      </c>
      <c r="B430" s="21">
        <v>500</v>
      </c>
      <c r="C430" s="21">
        <v>500</v>
      </c>
      <c r="D430">
        <v>6</v>
      </c>
    </row>
    <row r="431" spans="1:4">
      <c r="A431" s="40" t="s">
        <v>195</v>
      </c>
      <c r="B431" s="21">
        <v>87.49</v>
      </c>
      <c r="C431" s="21">
        <v>96</v>
      </c>
      <c r="D431">
        <v>6</v>
      </c>
    </row>
    <row r="432" spans="1:4">
      <c r="A432" s="40" t="s">
        <v>196</v>
      </c>
      <c r="B432" s="21">
        <v>70</v>
      </c>
      <c r="C432" s="21">
        <v>77</v>
      </c>
      <c r="D432">
        <v>6</v>
      </c>
    </row>
    <row r="433" spans="1:4">
      <c r="A433" s="40" t="s">
        <v>196</v>
      </c>
      <c r="B433" s="21">
        <v>70</v>
      </c>
      <c r="C433" s="21">
        <v>77</v>
      </c>
      <c r="D433">
        <v>6</v>
      </c>
    </row>
    <row r="434" spans="1:4">
      <c r="A434" s="40" t="s">
        <v>196</v>
      </c>
      <c r="B434" s="21">
        <v>70</v>
      </c>
      <c r="C434" s="21">
        <v>77</v>
      </c>
      <c r="D434">
        <v>6</v>
      </c>
    </row>
    <row r="435" spans="1:4">
      <c r="A435" s="40" t="s">
        <v>196</v>
      </c>
      <c r="B435" s="21">
        <v>75</v>
      </c>
      <c r="C435" s="21">
        <v>82.4</v>
      </c>
      <c r="D435">
        <v>6</v>
      </c>
    </row>
    <row r="436" spans="1:4">
      <c r="A436" s="40" t="s">
        <v>201</v>
      </c>
      <c r="B436" s="21">
        <v>150</v>
      </c>
      <c r="C436" s="21">
        <v>150</v>
      </c>
      <c r="D436">
        <v>6</v>
      </c>
    </row>
    <row r="437" spans="1:4">
      <c r="A437" s="40" t="s">
        <v>196</v>
      </c>
      <c r="B437" s="21">
        <v>70</v>
      </c>
      <c r="C437" s="21">
        <v>70</v>
      </c>
      <c r="D437">
        <v>6</v>
      </c>
    </row>
    <row r="438" spans="1:4">
      <c r="A438" s="40" t="s">
        <v>197</v>
      </c>
      <c r="B438" s="21">
        <v>451</v>
      </c>
      <c r="C438" s="21">
        <v>451</v>
      </c>
      <c r="D438">
        <v>6</v>
      </c>
    </row>
    <row r="439" spans="1:4">
      <c r="A439" s="40" t="s">
        <v>197</v>
      </c>
      <c r="B439" s="21">
        <v>192.5</v>
      </c>
      <c r="C439" s="21">
        <v>192.5</v>
      </c>
      <c r="D439">
        <v>6</v>
      </c>
    </row>
    <row r="440" spans="1:4">
      <c r="A440" s="40" t="s">
        <v>199</v>
      </c>
      <c r="B440" s="21">
        <v>75</v>
      </c>
      <c r="C440" s="21">
        <v>82.5</v>
      </c>
      <c r="D440">
        <v>6</v>
      </c>
    </row>
    <row r="441" spans="1:4">
      <c r="A441" s="40" t="s">
        <v>195</v>
      </c>
      <c r="B441" s="21">
        <v>60</v>
      </c>
      <c r="C441" s="21">
        <v>60</v>
      </c>
      <c r="D441">
        <v>6</v>
      </c>
    </row>
    <row r="442" spans="1:4">
      <c r="A442" s="40" t="s">
        <v>194</v>
      </c>
      <c r="B442" s="21">
        <v>500</v>
      </c>
      <c r="C442" s="21">
        <v>500</v>
      </c>
      <c r="D442">
        <v>6</v>
      </c>
    </row>
    <row r="443" spans="1:4">
      <c r="A443" s="40" t="s">
        <v>195</v>
      </c>
      <c r="B443" s="21">
        <v>120</v>
      </c>
      <c r="C443" s="21">
        <v>132</v>
      </c>
      <c r="D443">
        <v>6</v>
      </c>
    </row>
    <row r="444" spans="1:4">
      <c r="A444" s="40" t="s">
        <v>198</v>
      </c>
      <c r="B444" s="21">
        <v>50</v>
      </c>
      <c r="C444" s="21">
        <v>50</v>
      </c>
      <c r="D444">
        <v>6</v>
      </c>
    </row>
    <row r="445" spans="1:4">
      <c r="A445" s="40" t="s">
        <v>195</v>
      </c>
      <c r="B445" s="21">
        <v>95</v>
      </c>
      <c r="C445" s="21">
        <v>143</v>
      </c>
      <c r="D445">
        <v>6</v>
      </c>
    </row>
    <row r="446" spans="1:4">
      <c r="A446" s="40" t="s">
        <v>195</v>
      </c>
      <c r="B446" s="21">
        <v>75</v>
      </c>
      <c r="C446" s="21">
        <v>75</v>
      </c>
      <c r="D446">
        <v>6</v>
      </c>
    </row>
    <row r="447" spans="1:4">
      <c r="A447" s="40" t="s">
        <v>195</v>
      </c>
      <c r="B447" s="21">
        <v>87.5</v>
      </c>
      <c r="C447" s="21">
        <v>87.5</v>
      </c>
      <c r="D447">
        <v>6</v>
      </c>
    </row>
    <row r="448" spans="1:4">
      <c r="A448" s="40" t="s">
        <v>199</v>
      </c>
      <c r="B448" s="21">
        <v>50</v>
      </c>
      <c r="C448" s="21">
        <v>55</v>
      </c>
      <c r="D448">
        <v>6</v>
      </c>
    </row>
    <row r="449" spans="1:4">
      <c r="A449" s="40" t="s">
        <v>199</v>
      </c>
      <c r="B449" s="21">
        <v>45</v>
      </c>
      <c r="C449" s="21">
        <v>50</v>
      </c>
      <c r="D449">
        <v>6</v>
      </c>
    </row>
    <row r="450" spans="1:4">
      <c r="A450" s="40" t="s">
        <v>200</v>
      </c>
      <c r="B450" s="21">
        <v>1660</v>
      </c>
      <c r="C450" s="21">
        <v>1660</v>
      </c>
      <c r="D450">
        <v>6</v>
      </c>
    </row>
    <row r="451" spans="1:4">
      <c r="A451" s="40" t="s">
        <v>195</v>
      </c>
      <c r="B451" s="21">
        <v>100</v>
      </c>
      <c r="C451" s="21">
        <v>110</v>
      </c>
      <c r="D451">
        <v>6</v>
      </c>
    </row>
    <row r="452" spans="1:4">
      <c r="A452" s="40" t="s">
        <v>199</v>
      </c>
      <c r="B452" s="21">
        <v>45</v>
      </c>
      <c r="C452" s="21">
        <v>50</v>
      </c>
      <c r="D452">
        <v>6</v>
      </c>
    </row>
    <row r="453" spans="1:4">
      <c r="A453" s="40" t="s">
        <v>196</v>
      </c>
      <c r="B453" s="21">
        <v>240</v>
      </c>
      <c r="C453" s="21">
        <v>254</v>
      </c>
      <c r="D453">
        <v>6</v>
      </c>
    </row>
    <row r="454" spans="1:4">
      <c r="A454" s="40" t="s">
        <v>196</v>
      </c>
      <c r="B454" s="21">
        <v>75</v>
      </c>
      <c r="C454" s="21">
        <v>82.4</v>
      </c>
      <c r="D454">
        <v>6</v>
      </c>
    </row>
    <row r="455" spans="1:4">
      <c r="A455" s="40" t="s">
        <v>195</v>
      </c>
      <c r="B455" s="21">
        <v>80</v>
      </c>
      <c r="C455" s="21">
        <v>180</v>
      </c>
      <c r="D455">
        <v>6</v>
      </c>
    </row>
    <row r="456" spans="1:4">
      <c r="A456" s="40" t="s">
        <v>195</v>
      </c>
      <c r="B456" s="21">
        <v>30</v>
      </c>
      <c r="C456" s="21">
        <v>33</v>
      </c>
      <c r="D456">
        <v>6</v>
      </c>
    </row>
    <row r="457" spans="1:4">
      <c r="A457" s="40" t="s">
        <v>199</v>
      </c>
      <c r="B457" s="21">
        <v>175</v>
      </c>
      <c r="C457" s="21">
        <v>190</v>
      </c>
      <c r="D457">
        <v>6</v>
      </c>
    </row>
    <row r="458" spans="1:4">
      <c r="A458" s="40" t="s">
        <v>199</v>
      </c>
      <c r="B458" s="21">
        <v>175</v>
      </c>
      <c r="C458" s="21">
        <v>190</v>
      </c>
      <c r="D458">
        <v>6</v>
      </c>
    </row>
    <row r="459" spans="1:4">
      <c r="A459" s="40" t="s">
        <v>198</v>
      </c>
      <c r="B459" s="21">
        <v>545</v>
      </c>
      <c r="C459" s="21">
        <v>1368</v>
      </c>
      <c r="D459">
        <v>6</v>
      </c>
    </row>
    <row r="460" spans="1:4">
      <c r="A460" s="40" t="s">
        <v>196</v>
      </c>
      <c r="B460" s="21">
        <v>75</v>
      </c>
      <c r="C460" s="21">
        <v>82.4</v>
      </c>
      <c r="D460">
        <v>6</v>
      </c>
    </row>
    <row r="461" spans="1:4">
      <c r="A461" s="40" t="s">
        <v>195</v>
      </c>
      <c r="B461" s="21">
        <v>200</v>
      </c>
      <c r="C461" s="21">
        <v>220</v>
      </c>
      <c r="D461">
        <v>6</v>
      </c>
    </row>
    <row r="462" spans="1:4">
      <c r="A462" s="40" t="s">
        <v>199</v>
      </c>
      <c r="B462" s="21">
        <v>110</v>
      </c>
      <c r="C462" s="21">
        <v>121</v>
      </c>
      <c r="D462">
        <v>6</v>
      </c>
    </row>
    <row r="463" spans="1:4">
      <c r="A463" s="40" t="s">
        <v>195</v>
      </c>
      <c r="B463" s="21">
        <v>110</v>
      </c>
      <c r="C463" s="21">
        <v>121</v>
      </c>
      <c r="D463">
        <v>6</v>
      </c>
    </row>
    <row r="464" spans="1:4">
      <c r="A464" s="40" t="s">
        <v>197</v>
      </c>
      <c r="B464" s="21">
        <v>82.5</v>
      </c>
      <c r="C464" s="21">
        <v>82.5</v>
      </c>
      <c r="D464">
        <v>6</v>
      </c>
    </row>
    <row r="465" spans="1:4">
      <c r="A465" s="40" t="s">
        <v>199</v>
      </c>
      <c r="B465" s="21">
        <v>150</v>
      </c>
      <c r="C465" s="21">
        <v>165</v>
      </c>
      <c r="D465">
        <v>6</v>
      </c>
    </row>
    <row r="466" spans="1:4">
      <c r="A466" s="40" t="s">
        <v>199</v>
      </c>
      <c r="B466" s="21">
        <v>110</v>
      </c>
      <c r="C466" s="21">
        <v>121</v>
      </c>
      <c r="D466">
        <v>6</v>
      </c>
    </row>
    <row r="467" spans="1:4">
      <c r="A467" s="40" t="s">
        <v>197</v>
      </c>
      <c r="B467" s="21">
        <v>82.5</v>
      </c>
      <c r="C467" s="21">
        <v>82.5</v>
      </c>
      <c r="D467">
        <v>6</v>
      </c>
    </row>
    <row r="468" spans="1:4">
      <c r="A468" s="40" t="s">
        <v>196</v>
      </c>
      <c r="B468" s="21">
        <v>110</v>
      </c>
      <c r="C468" s="21">
        <v>121</v>
      </c>
      <c r="D468">
        <v>6</v>
      </c>
    </row>
    <row r="469" spans="1:4">
      <c r="A469" s="40" t="s">
        <v>199</v>
      </c>
      <c r="B469" s="21">
        <v>110</v>
      </c>
      <c r="C469" s="21">
        <v>121</v>
      </c>
      <c r="D469">
        <v>6</v>
      </c>
    </row>
    <row r="470" spans="1:4">
      <c r="A470" s="40" t="s">
        <v>196</v>
      </c>
      <c r="B470" s="21">
        <v>190</v>
      </c>
      <c r="C470" s="21">
        <v>209</v>
      </c>
      <c r="D470">
        <v>6</v>
      </c>
    </row>
    <row r="471" spans="1:4">
      <c r="A471" s="40" t="s">
        <v>195</v>
      </c>
      <c r="B471" s="21">
        <v>110</v>
      </c>
      <c r="C471" s="21">
        <v>60</v>
      </c>
      <c r="D471">
        <v>6</v>
      </c>
    </row>
    <row r="472" spans="1:4">
      <c r="A472" s="40" t="s">
        <v>195</v>
      </c>
      <c r="B472" s="21">
        <v>30</v>
      </c>
      <c r="C472" s="21">
        <v>30</v>
      </c>
      <c r="D472">
        <v>6</v>
      </c>
    </row>
    <row r="473" spans="1:4">
      <c r="A473" s="40" t="s">
        <v>195</v>
      </c>
      <c r="B473" s="21">
        <v>140</v>
      </c>
      <c r="C473" s="21">
        <v>154</v>
      </c>
      <c r="D473">
        <v>6</v>
      </c>
    </row>
    <row r="474" spans="1:4">
      <c r="A474" s="40" t="s">
        <v>196</v>
      </c>
      <c r="B474" s="21">
        <v>106.05</v>
      </c>
      <c r="C474" s="21">
        <v>116.66</v>
      </c>
      <c r="D474">
        <v>6</v>
      </c>
    </row>
    <row r="475" spans="1:4">
      <c r="A475" s="40" t="s">
        <v>195</v>
      </c>
      <c r="B475" s="21">
        <v>60</v>
      </c>
      <c r="C475" s="21">
        <v>120</v>
      </c>
      <c r="D475">
        <v>6</v>
      </c>
    </row>
    <row r="476" spans="1:4">
      <c r="A476" s="40" t="s">
        <v>195</v>
      </c>
      <c r="B476" s="21">
        <v>150</v>
      </c>
      <c r="C476" s="21">
        <v>165</v>
      </c>
      <c r="D476">
        <v>6</v>
      </c>
    </row>
    <row r="477" spans="1:4">
      <c r="A477" s="40" t="s">
        <v>199</v>
      </c>
      <c r="B477" s="21">
        <v>150</v>
      </c>
      <c r="C477" s="21">
        <v>266</v>
      </c>
      <c r="D477">
        <v>6</v>
      </c>
    </row>
    <row r="478" spans="1:4">
      <c r="A478" s="40" t="s">
        <v>196</v>
      </c>
      <c r="B478" s="21">
        <v>80</v>
      </c>
      <c r="C478" s="21">
        <v>88</v>
      </c>
      <c r="D478">
        <v>6</v>
      </c>
    </row>
    <row r="479" spans="1:4">
      <c r="A479" s="40" t="s">
        <v>196</v>
      </c>
      <c r="B479" s="21">
        <v>80</v>
      </c>
      <c r="C479" s="21">
        <v>88</v>
      </c>
      <c r="D479">
        <v>6</v>
      </c>
    </row>
    <row r="480" spans="1:4">
      <c r="A480" s="40" t="s">
        <v>199</v>
      </c>
      <c r="B480" s="21">
        <v>55</v>
      </c>
      <c r="C480" s="21">
        <v>60</v>
      </c>
      <c r="D480">
        <v>6</v>
      </c>
    </row>
    <row r="481" spans="1:4">
      <c r="A481" s="40" t="s">
        <v>199</v>
      </c>
      <c r="B481" s="21">
        <v>85</v>
      </c>
      <c r="C481" s="21">
        <v>90.25</v>
      </c>
      <c r="D481">
        <v>6</v>
      </c>
    </row>
    <row r="482" spans="1:4">
      <c r="A482" s="40" t="s">
        <v>199</v>
      </c>
      <c r="B482" s="21">
        <v>36</v>
      </c>
      <c r="C482" s="21">
        <v>36</v>
      </c>
      <c r="D482">
        <v>6</v>
      </c>
    </row>
    <row r="483" spans="1:4">
      <c r="A483" s="40" t="s">
        <v>199</v>
      </c>
      <c r="B483" s="21">
        <v>33</v>
      </c>
      <c r="C483" s="21">
        <v>36</v>
      </c>
      <c r="D483">
        <v>6</v>
      </c>
    </row>
    <row r="484" spans="1:4">
      <c r="A484" s="40" t="s">
        <v>197</v>
      </c>
      <c r="B484" s="21">
        <v>72.599999999999994</v>
      </c>
      <c r="C484" s="21">
        <v>72.599999999999994</v>
      </c>
      <c r="D484">
        <v>6</v>
      </c>
    </row>
    <row r="485" spans="1:4">
      <c r="A485" s="40" t="s">
        <v>199</v>
      </c>
      <c r="B485" s="21">
        <v>55</v>
      </c>
      <c r="C485" s="21">
        <v>60</v>
      </c>
      <c r="D485">
        <v>6</v>
      </c>
    </row>
    <row r="486" spans="1:4">
      <c r="A486" s="40" t="s">
        <v>197</v>
      </c>
      <c r="B486" s="21">
        <v>33</v>
      </c>
      <c r="C486" s="21">
        <v>33</v>
      </c>
      <c r="D486">
        <v>6</v>
      </c>
    </row>
    <row r="487" spans="1:4">
      <c r="A487" s="40" t="s">
        <v>195</v>
      </c>
      <c r="B487" s="21">
        <v>588</v>
      </c>
      <c r="C487" s="21">
        <v>1028</v>
      </c>
      <c r="D487">
        <v>6</v>
      </c>
    </row>
    <row r="488" spans="1:4">
      <c r="A488" s="40" t="s">
        <v>195</v>
      </c>
      <c r="B488" s="21">
        <v>60</v>
      </c>
      <c r="C488" s="21">
        <v>66</v>
      </c>
      <c r="D488">
        <v>6</v>
      </c>
    </row>
    <row r="489" spans="1:4">
      <c r="A489" s="40" t="s">
        <v>195</v>
      </c>
      <c r="B489" s="21">
        <v>60</v>
      </c>
      <c r="C489" s="21">
        <v>66</v>
      </c>
      <c r="D489">
        <v>6</v>
      </c>
    </row>
    <row r="490" spans="1:4">
      <c r="A490" s="40" t="s">
        <v>195</v>
      </c>
      <c r="B490" s="21">
        <v>100</v>
      </c>
      <c r="C490" s="21">
        <v>110</v>
      </c>
      <c r="D490">
        <v>6</v>
      </c>
    </row>
    <row r="491" spans="1:4">
      <c r="A491" s="40" t="s">
        <v>199</v>
      </c>
      <c r="B491" s="21">
        <v>110</v>
      </c>
      <c r="C491" s="21">
        <v>121</v>
      </c>
      <c r="D491">
        <v>6</v>
      </c>
    </row>
    <row r="492" spans="1:4">
      <c r="A492" s="40" t="s">
        <v>197</v>
      </c>
      <c r="B492" s="21">
        <v>412.5</v>
      </c>
      <c r="C492" s="21">
        <v>412.5</v>
      </c>
      <c r="D492">
        <v>6</v>
      </c>
    </row>
    <row r="493" spans="1:4">
      <c r="A493" s="40" t="s">
        <v>199</v>
      </c>
      <c r="B493" s="21">
        <v>160</v>
      </c>
      <c r="C493" s="21">
        <v>176</v>
      </c>
      <c r="D493">
        <v>6</v>
      </c>
    </row>
    <row r="494" spans="1:4">
      <c r="A494" s="40" t="s">
        <v>199</v>
      </c>
      <c r="B494" s="21">
        <v>30</v>
      </c>
      <c r="C494" s="21">
        <v>33</v>
      </c>
      <c r="D494">
        <v>6</v>
      </c>
    </row>
    <row r="495" spans="1:4">
      <c r="A495" s="40" t="s">
        <v>194</v>
      </c>
      <c r="C495" s="21">
        <v>30</v>
      </c>
      <c r="D495">
        <v>6</v>
      </c>
    </row>
    <row r="496" spans="1:4">
      <c r="A496" s="40" t="s">
        <v>196</v>
      </c>
      <c r="B496" s="21">
        <v>30</v>
      </c>
      <c r="C496" s="21">
        <v>33</v>
      </c>
      <c r="D496">
        <v>6</v>
      </c>
    </row>
    <row r="497" spans="1:4">
      <c r="A497" s="40" t="s">
        <v>198</v>
      </c>
      <c r="B497" s="21">
        <v>30</v>
      </c>
      <c r="C497" s="21">
        <v>30</v>
      </c>
      <c r="D497">
        <v>6</v>
      </c>
    </row>
    <row r="498" spans="1:4">
      <c r="A498" s="40" t="s">
        <v>201</v>
      </c>
      <c r="B498" s="21">
        <v>50</v>
      </c>
      <c r="C498" s="21">
        <v>50</v>
      </c>
      <c r="D498">
        <v>6</v>
      </c>
    </row>
    <row r="499" spans="1:4">
      <c r="A499" s="40" t="s">
        <v>200</v>
      </c>
      <c r="B499" s="21">
        <v>280</v>
      </c>
      <c r="C499" s="21">
        <v>280</v>
      </c>
      <c r="D499">
        <v>6</v>
      </c>
    </row>
    <row r="500" spans="1:4">
      <c r="A500" s="40" t="s">
        <v>201</v>
      </c>
      <c r="B500" s="21">
        <v>165</v>
      </c>
      <c r="C500" s="21">
        <v>165</v>
      </c>
      <c r="D500">
        <v>6</v>
      </c>
    </row>
    <row r="501" spans="1:4">
      <c r="A501" s="40" t="s">
        <v>199</v>
      </c>
      <c r="B501" s="21">
        <v>100</v>
      </c>
      <c r="C501" s="21">
        <v>100</v>
      </c>
      <c r="D501">
        <v>6</v>
      </c>
    </row>
    <row r="502" spans="1:4">
      <c r="A502" s="40" t="s">
        <v>201</v>
      </c>
      <c r="B502" s="21">
        <v>100</v>
      </c>
      <c r="C502" s="21">
        <v>100</v>
      </c>
      <c r="D502">
        <v>6</v>
      </c>
    </row>
    <row r="503" spans="1:4">
      <c r="A503" s="40" t="s">
        <v>201</v>
      </c>
      <c r="B503" s="21">
        <v>100</v>
      </c>
      <c r="C503" s="21">
        <v>100</v>
      </c>
      <c r="D503">
        <v>6</v>
      </c>
    </row>
    <row r="504" spans="1:4">
      <c r="A504" s="40" t="s">
        <v>195</v>
      </c>
      <c r="B504" s="21">
        <v>30</v>
      </c>
      <c r="C504" s="21">
        <v>33</v>
      </c>
      <c r="D504">
        <v>6</v>
      </c>
    </row>
    <row r="505" spans="1:4">
      <c r="A505" s="40" t="s">
        <v>199</v>
      </c>
      <c r="B505" s="21">
        <v>250</v>
      </c>
      <c r="C505" s="21">
        <v>250</v>
      </c>
      <c r="D505">
        <v>6</v>
      </c>
    </row>
    <row r="506" spans="1:4">
      <c r="A506" s="40" t="s">
        <v>201</v>
      </c>
      <c r="B506" s="21">
        <v>120</v>
      </c>
      <c r="C506" s="21">
        <v>120</v>
      </c>
      <c r="D506">
        <v>6</v>
      </c>
    </row>
    <row r="507" spans="1:4">
      <c r="A507" s="40" t="s">
        <v>201</v>
      </c>
      <c r="B507" s="21">
        <v>66.36</v>
      </c>
      <c r="C507" s="21">
        <v>66.36</v>
      </c>
      <c r="D507">
        <v>6</v>
      </c>
    </row>
    <row r="508" spans="1:4">
      <c r="A508" s="40" t="s">
        <v>199</v>
      </c>
      <c r="B508" s="21">
        <v>60</v>
      </c>
      <c r="C508" s="21">
        <v>60</v>
      </c>
      <c r="D508">
        <v>6</v>
      </c>
    </row>
    <row r="509" spans="1:4">
      <c r="A509" s="40" t="s">
        <v>198</v>
      </c>
      <c r="B509" s="21">
        <v>100</v>
      </c>
      <c r="C509" s="21">
        <v>100</v>
      </c>
      <c r="D509">
        <v>6</v>
      </c>
    </row>
    <row r="510" spans="1:4">
      <c r="A510" s="40" t="s">
        <v>200</v>
      </c>
      <c r="B510" s="21">
        <v>132.72</v>
      </c>
      <c r="C510" s="21">
        <v>132.72</v>
      </c>
      <c r="D510">
        <v>6</v>
      </c>
    </row>
    <row r="511" spans="1:4">
      <c r="A511" s="40" t="s">
        <v>200</v>
      </c>
      <c r="B511" s="21">
        <v>79.63</v>
      </c>
      <c r="C511" s="21">
        <v>89.63</v>
      </c>
      <c r="D511">
        <v>6</v>
      </c>
    </row>
    <row r="512" spans="1:4">
      <c r="A512" s="40" t="s">
        <v>200</v>
      </c>
      <c r="B512" s="21">
        <v>106.18</v>
      </c>
      <c r="C512" s="21">
        <v>106.18</v>
      </c>
      <c r="D512">
        <v>6</v>
      </c>
    </row>
    <row r="513" spans="1:4">
      <c r="A513" s="40" t="s">
        <v>200</v>
      </c>
      <c r="B513" s="21">
        <v>79.63</v>
      </c>
      <c r="C513" s="21">
        <v>79.63</v>
      </c>
      <c r="D513">
        <v>6</v>
      </c>
    </row>
    <row r="514" spans="1:4">
      <c r="A514" s="40" t="s">
        <v>200</v>
      </c>
      <c r="B514" s="21">
        <v>350</v>
      </c>
      <c r="C514" s="21">
        <v>1395.03</v>
      </c>
      <c r="D514">
        <v>6</v>
      </c>
    </row>
    <row r="515" spans="1:4">
      <c r="A515" s="40" t="s">
        <v>199</v>
      </c>
      <c r="B515" s="21">
        <v>35</v>
      </c>
      <c r="C515" s="21">
        <v>35</v>
      </c>
      <c r="D515">
        <v>6</v>
      </c>
    </row>
    <row r="516" spans="1:4">
      <c r="A516" s="40" t="s">
        <v>200</v>
      </c>
      <c r="B516" s="21">
        <v>106.18</v>
      </c>
      <c r="C516" s="21">
        <v>106.18</v>
      </c>
      <c r="D516">
        <v>6</v>
      </c>
    </row>
    <row r="517" spans="1:4">
      <c r="A517" s="40" t="s">
        <v>198</v>
      </c>
      <c r="B517" s="21">
        <v>50</v>
      </c>
      <c r="C517" s="21">
        <v>50</v>
      </c>
      <c r="D517">
        <v>6</v>
      </c>
    </row>
    <row r="518" spans="1:4">
      <c r="A518" s="40" t="s">
        <v>199</v>
      </c>
      <c r="B518" s="21">
        <v>140</v>
      </c>
      <c r="C518" s="21">
        <v>40</v>
      </c>
      <c r="D518">
        <v>6</v>
      </c>
    </row>
    <row r="519" spans="1:4">
      <c r="A519" s="40" t="s">
        <v>199</v>
      </c>
      <c r="B519" s="21">
        <v>140</v>
      </c>
      <c r="C519" s="21">
        <v>40</v>
      </c>
      <c r="D519">
        <v>6</v>
      </c>
    </row>
    <row r="520" spans="1:4">
      <c r="A520" s="40" t="s">
        <v>201</v>
      </c>
      <c r="B520" s="21">
        <v>20</v>
      </c>
      <c r="C520" s="21">
        <v>20</v>
      </c>
      <c r="D520">
        <v>6</v>
      </c>
    </row>
    <row r="521" spans="1:4">
      <c r="A521" s="40" t="s">
        <v>198</v>
      </c>
      <c r="B521" s="21">
        <v>30</v>
      </c>
      <c r="C521" s="21">
        <v>30</v>
      </c>
      <c r="D521">
        <v>6</v>
      </c>
    </row>
    <row r="522" spans="1:4">
      <c r="A522" s="40" t="s">
        <v>198</v>
      </c>
      <c r="B522" s="21">
        <v>30</v>
      </c>
      <c r="D522">
        <v>6</v>
      </c>
    </row>
    <row r="523" spans="1:4">
      <c r="A523" s="40" t="s">
        <v>195</v>
      </c>
      <c r="B523" s="21">
        <v>200</v>
      </c>
      <c r="D523">
        <v>6</v>
      </c>
    </row>
    <row r="524" spans="1:4">
      <c r="A524" s="40" t="s">
        <v>195</v>
      </c>
      <c r="B524" s="21">
        <v>60</v>
      </c>
      <c r="C524" s="21">
        <v>60</v>
      </c>
      <c r="D524">
        <v>7</v>
      </c>
    </row>
    <row r="525" spans="1:4">
      <c r="A525" s="40" t="s">
        <v>195</v>
      </c>
      <c r="B525" s="21">
        <v>35</v>
      </c>
      <c r="C525" s="21">
        <v>35</v>
      </c>
      <c r="D525">
        <v>7</v>
      </c>
    </row>
    <row r="526" spans="1:4">
      <c r="A526" s="40" t="s">
        <v>197</v>
      </c>
      <c r="B526" s="21">
        <v>176</v>
      </c>
      <c r="C526" s="21">
        <v>199.25</v>
      </c>
      <c r="D526">
        <v>7</v>
      </c>
    </row>
    <row r="527" spans="1:4">
      <c r="A527" s="40" t="s">
        <v>195</v>
      </c>
      <c r="B527" s="21">
        <v>200</v>
      </c>
      <c r="C527" s="21">
        <v>220</v>
      </c>
      <c r="D527">
        <v>7</v>
      </c>
    </row>
    <row r="528" spans="1:4">
      <c r="A528" s="40" t="s">
        <v>199</v>
      </c>
      <c r="B528" s="21">
        <v>132</v>
      </c>
      <c r="C528" s="21">
        <v>132</v>
      </c>
      <c r="D528">
        <v>7</v>
      </c>
    </row>
    <row r="529" spans="1:4">
      <c r="A529" s="40" t="s">
        <v>197</v>
      </c>
      <c r="B529" s="21">
        <v>165</v>
      </c>
      <c r="C529" s="21">
        <v>165</v>
      </c>
      <c r="D529">
        <v>7</v>
      </c>
    </row>
    <row r="530" spans="1:4">
      <c r="A530" s="40" t="s">
        <v>201</v>
      </c>
      <c r="B530" s="21">
        <v>70</v>
      </c>
      <c r="C530" s="21">
        <v>70</v>
      </c>
      <c r="D530">
        <v>7</v>
      </c>
    </row>
    <row r="531" spans="1:4">
      <c r="A531" s="40" t="s">
        <v>195</v>
      </c>
      <c r="B531" s="21">
        <v>150</v>
      </c>
      <c r="C531" s="21">
        <v>165</v>
      </c>
      <c r="D531">
        <v>7</v>
      </c>
    </row>
    <row r="532" spans="1:4">
      <c r="A532" s="40" t="s">
        <v>197</v>
      </c>
      <c r="B532" s="21">
        <v>400</v>
      </c>
      <c r="C532" s="21">
        <v>400</v>
      </c>
      <c r="D532">
        <v>7</v>
      </c>
    </row>
    <row r="533" spans="1:4">
      <c r="A533" s="40" t="s">
        <v>196</v>
      </c>
      <c r="B533" s="21">
        <v>75</v>
      </c>
      <c r="C533" s="21">
        <v>82.5</v>
      </c>
      <c r="D533">
        <v>7</v>
      </c>
    </row>
    <row r="534" spans="1:4">
      <c r="A534" s="40" t="s">
        <v>196</v>
      </c>
      <c r="B534" s="21">
        <v>30</v>
      </c>
      <c r="C534" s="21">
        <v>30</v>
      </c>
      <c r="D534">
        <v>7</v>
      </c>
    </row>
    <row r="535" spans="1:4">
      <c r="A535" s="40" t="s">
        <v>197</v>
      </c>
      <c r="B535" s="21">
        <v>500</v>
      </c>
      <c r="C535" s="21">
        <v>500</v>
      </c>
      <c r="D535">
        <v>7</v>
      </c>
    </row>
    <row r="536" spans="1:4">
      <c r="A536" s="40" t="s">
        <v>195</v>
      </c>
      <c r="B536" s="21">
        <v>87.49</v>
      </c>
      <c r="C536" s="21">
        <v>96</v>
      </c>
      <c r="D536">
        <v>7</v>
      </c>
    </row>
    <row r="537" spans="1:4">
      <c r="A537" s="40" t="s">
        <v>196</v>
      </c>
      <c r="B537" s="21">
        <v>75</v>
      </c>
      <c r="C537" s="21">
        <v>82.4</v>
      </c>
      <c r="D537">
        <v>7</v>
      </c>
    </row>
    <row r="538" spans="1:4">
      <c r="A538" s="40" t="s">
        <v>201</v>
      </c>
      <c r="B538" s="21">
        <v>150</v>
      </c>
      <c r="C538" s="21">
        <v>150</v>
      </c>
      <c r="D538">
        <v>7</v>
      </c>
    </row>
    <row r="539" spans="1:4">
      <c r="A539" s="40" t="s">
        <v>197</v>
      </c>
      <c r="B539" s="21">
        <v>451</v>
      </c>
      <c r="C539" s="21">
        <v>451</v>
      </c>
      <c r="D539">
        <v>7</v>
      </c>
    </row>
    <row r="540" spans="1:4">
      <c r="A540" s="40" t="s">
        <v>197</v>
      </c>
      <c r="B540" s="21">
        <v>192.5</v>
      </c>
      <c r="C540" s="21">
        <v>192.5</v>
      </c>
      <c r="D540">
        <v>7</v>
      </c>
    </row>
    <row r="541" spans="1:4">
      <c r="A541" s="40" t="s">
        <v>199</v>
      </c>
      <c r="B541" s="21">
        <v>82.5</v>
      </c>
      <c r="C541" s="21">
        <v>82.5</v>
      </c>
      <c r="D541">
        <v>7</v>
      </c>
    </row>
    <row r="542" spans="1:4">
      <c r="A542" s="40" t="s">
        <v>195</v>
      </c>
      <c r="B542" s="21">
        <v>60</v>
      </c>
      <c r="C542" s="21">
        <v>60</v>
      </c>
      <c r="D542">
        <v>7</v>
      </c>
    </row>
    <row r="543" spans="1:4">
      <c r="A543" s="40" t="s">
        <v>195</v>
      </c>
      <c r="B543" s="21">
        <v>120</v>
      </c>
      <c r="C543" s="21">
        <v>1320</v>
      </c>
      <c r="D543">
        <v>7</v>
      </c>
    </row>
    <row r="544" spans="1:4">
      <c r="A544" s="40" t="s">
        <v>198</v>
      </c>
      <c r="B544" s="21">
        <v>50</v>
      </c>
      <c r="C544" s="21">
        <v>50</v>
      </c>
      <c r="D544">
        <v>7</v>
      </c>
    </row>
    <row r="545" spans="1:4">
      <c r="A545" s="40" t="s">
        <v>195</v>
      </c>
      <c r="B545" s="21">
        <v>95</v>
      </c>
      <c r="C545" s="21">
        <v>143</v>
      </c>
      <c r="D545">
        <v>7</v>
      </c>
    </row>
    <row r="546" spans="1:4">
      <c r="A546" s="40" t="s">
        <v>195</v>
      </c>
      <c r="B546" s="21">
        <v>75</v>
      </c>
      <c r="C546" s="21">
        <v>75</v>
      </c>
      <c r="D546">
        <v>7</v>
      </c>
    </row>
    <row r="547" spans="1:4">
      <c r="A547" s="40" t="s">
        <v>195</v>
      </c>
      <c r="B547" s="21">
        <v>87.5</v>
      </c>
      <c r="C547" s="21">
        <v>87.5</v>
      </c>
      <c r="D547">
        <v>7</v>
      </c>
    </row>
    <row r="548" spans="1:4">
      <c r="A548" s="40" t="s">
        <v>199</v>
      </c>
      <c r="B548" s="21">
        <v>55</v>
      </c>
      <c r="C548" s="21">
        <v>55</v>
      </c>
      <c r="D548">
        <v>7</v>
      </c>
    </row>
    <row r="549" spans="1:4">
      <c r="A549" s="40" t="s">
        <v>199</v>
      </c>
      <c r="B549" s="21">
        <v>50</v>
      </c>
      <c r="C549" s="21">
        <v>50</v>
      </c>
      <c r="D549">
        <v>7</v>
      </c>
    </row>
    <row r="550" spans="1:4">
      <c r="A550" s="40" t="s">
        <v>200</v>
      </c>
      <c r="B550" s="21">
        <v>1660</v>
      </c>
      <c r="C550" s="21">
        <v>1660</v>
      </c>
      <c r="D550">
        <v>7</v>
      </c>
    </row>
    <row r="551" spans="1:4">
      <c r="A551" s="40" t="s">
        <v>195</v>
      </c>
      <c r="B551" s="21">
        <v>100</v>
      </c>
      <c r="C551" s="21">
        <v>100</v>
      </c>
      <c r="D551">
        <v>7</v>
      </c>
    </row>
    <row r="552" spans="1:4">
      <c r="A552" s="40" t="s">
        <v>199</v>
      </c>
      <c r="B552" s="21">
        <v>50</v>
      </c>
      <c r="C552" s="21">
        <v>75</v>
      </c>
      <c r="D552">
        <v>7</v>
      </c>
    </row>
    <row r="553" spans="1:4">
      <c r="A553" s="40" t="s">
        <v>196</v>
      </c>
      <c r="B553" s="21">
        <v>140</v>
      </c>
      <c r="C553" s="21">
        <v>154</v>
      </c>
      <c r="D553">
        <v>7</v>
      </c>
    </row>
    <row r="554" spans="1:4">
      <c r="A554" s="40" t="s">
        <v>196</v>
      </c>
      <c r="B554" s="21">
        <v>75</v>
      </c>
      <c r="C554" s="21">
        <v>82.4</v>
      </c>
      <c r="D554">
        <v>7</v>
      </c>
    </row>
    <row r="555" spans="1:4">
      <c r="A555" s="40" t="s">
        <v>195</v>
      </c>
      <c r="B555" s="21">
        <v>580</v>
      </c>
      <c r="C555" s="21">
        <v>715</v>
      </c>
      <c r="D555">
        <v>7</v>
      </c>
    </row>
    <row r="556" spans="1:4">
      <c r="A556" s="40" t="s">
        <v>195</v>
      </c>
      <c r="B556" s="21">
        <v>30</v>
      </c>
      <c r="C556" s="21">
        <v>33</v>
      </c>
      <c r="D556">
        <v>7</v>
      </c>
    </row>
    <row r="557" spans="1:4">
      <c r="A557" s="40" t="s">
        <v>199</v>
      </c>
      <c r="B557" s="21">
        <v>235</v>
      </c>
      <c r="C557" s="21">
        <v>235</v>
      </c>
      <c r="D557">
        <v>7</v>
      </c>
    </row>
    <row r="558" spans="1:4">
      <c r="A558" s="40" t="s">
        <v>199</v>
      </c>
      <c r="B558" s="21">
        <v>235</v>
      </c>
      <c r="C558" s="21">
        <v>235</v>
      </c>
      <c r="D558">
        <v>7</v>
      </c>
    </row>
    <row r="559" spans="1:4">
      <c r="A559" s="40" t="s">
        <v>198</v>
      </c>
      <c r="B559" s="21">
        <v>545</v>
      </c>
      <c r="C559" s="21">
        <v>1269.49</v>
      </c>
      <c r="D559">
        <v>7</v>
      </c>
    </row>
    <row r="560" spans="1:4">
      <c r="A560" s="40" t="s">
        <v>196</v>
      </c>
      <c r="B560" s="21">
        <v>75</v>
      </c>
      <c r="C560" s="21">
        <v>82.4</v>
      </c>
      <c r="D560">
        <v>7</v>
      </c>
    </row>
    <row r="561" spans="1:4">
      <c r="A561" s="40" t="s">
        <v>195</v>
      </c>
      <c r="B561" s="21">
        <v>200</v>
      </c>
      <c r="C561" s="21">
        <v>220</v>
      </c>
      <c r="D561">
        <v>7</v>
      </c>
    </row>
    <row r="562" spans="1:4">
      <c r="A562" s="40" t="s">
        <v>199</v>
      </c>
      <c r="B562" s="21">
        <v>621</v>
      </c>
      <c r="C562" s="21">
        <v>621</v>
      </c>
      <c r="D562">
        <v>7</v>
      </c>
    </row>
    <row r="563" spans="1:4">
      <c r="A563" s="40" t="s">
        <v>195</v>
      </c>
      <c r="B563" s="21">
        <v>110</v>
      </c>
      <c r="C563" s="21">
        <v>121</v>
      </c>
      <c r="D563">
        <v>7</v>
      </c>
    </row>
    <row r="564" spans="1:4">
      <c r="A564" s="40" t="s">
        <v>197</v>
      </c>
      <c r="B564" s="21">
        <v>82.5</v>
      </c>
      <c r="C564" s="21">
        <v>82.5</v>
      </c>
      <c r="D564">
        <v>7</v>
      </c>
    </row>
    <row r="565" spans="1:4">
      <c r="A565" s="40" t="s">
        <v>199</v>
      </c>
      <c r="B565" s="21">
        <v>165</v>
      </c>
      <c r="C565" s="21">
        <v>165</v>
      </c>
      <c r="D565">
        <v>7</v>
      </c>
    </row>
    <row r="566" spans="1:4">
      <c r="A566" s="40" t="s">
        <v>199</v>
      </c>
      <c r="B566" s="21">
        <v>121</v>
      </c>
      <c r="C566" s="21">
        <v>121</v>
      </c>
      <c r="D566">
        <v>7</v>
      </c>
    </row>
    <row r="567" spans="1:4">
      <c r="A567" s="40" t="s">
        <v>197</v>
      </c>
      <c r="B567" s="21">
        <v>82.5</v>
      </c>
      <c r="C567" s="21">
        <v>82.5</v>
      </c>
      <c r="D567">
        <v>7</v>
      </c>
    </row>
    <row r="568" spans="1:4">
      <c r="A568" s="40" t="s">
        <v>196</v>
      </c>
      <c r="B568" s="21">
        <v>110</v>
      </c>
      <c r="C568" s="21">
        <v>121</v>
      </c>
      <c r="D568">
        <v>7</v>
      </c>
    </row>
    <row r="569" spans="1:4">
      <c r="A569" s="40" t="s">
        <v>199</v>
      </c>
      <c r="B569" s="21">
        <v>121</v>
      </c>
      <c r="C569" s="21">
        <v>121</v>
      </c>
      <c r="D569">
        <v>7</v>
      </c>
    </row>
    <row r="570" spans="1:4">
      <c r="A570" s="40" t="s">
        <v>196</v>
      </c>
      <c r="B570" s="21">
        <v>190</v>
      </c>
      <c r="C570" s="21">
        <v>209</v>
      </c>
      <c r="D570">
        <v>7</v>
      </c>
    </row>
    <row r="571" spans="1:4">
      <c r="A571" s="40" t="s">
        <v>195</v>
      </c>
      <c r="B571" s="21">
        <v>110</v>
      </c>
      <c r="C571" s="21">
        <v>60</v>
      </c>
      <c r="D571">
        <v>7</v>
      </c>
    </row>
    <row r="572" spans="1:4">
      <c r="A572" s="40" t="s">
        <v>195</v>
      </c>
      <c r="B572" s="21">
        <v>30</v>
      </c>
      <c r="C572" s="21">
        <v>30</v>
      </c>
      <c r="D572">
        <v>7</v>
      </c>
    </row>
    <row r="573" spans="1:4">
      <c r="A573" s="40" t="s">
        <v>195</v>
      </c>
      <c r="B573" s="21">
        <v>140</v>
      </c>
      <c r="C573" s="21">
        <v>154</v>
      </c>
      <c r="D573">
        <v>7</v>
      </c>
    </row>
    <row r="574" spans="1:4">
      <c r="A574" s="40" t="s">
        <v>196</v>
      </c>
      <c r="B574" s="21">
        <v>106.05</v>
      </c>
      <c r="C574" s="21">
        <v>116.66</v>
      </c>
      <c r="D574">
        <v>7</v>
      </c>
    </row>
    <row r="575" spans="1:4">
      <c r="A575" s="40" t="s">
        <v>195</v>
      </c>
      <c r="B575" s="21">
        <v>60</v>
      </c>
      <c r="C575" s="21">
        <v>60</v>
      </c>
      <c r="D575">
        <v>7</v>
      </c>
    </row>
    <row r="576" spans="1:4">
      <c r="A576" s="40" t="s">
        <v>195</v>
      </c>
      <c r="B576" s="21">
        <v>150</v>
      </c>
      <c r="C576" s="21">
        <v>165</v>
      </c>
      <c r="D576">
        <v>7</v>
      </c>
    </row>
    <row r="577" spans="1:4">
      <c r="A577" s="40" t="s">
        <v>199</v>
      </c>
      <c r="B577" s="21">
        <v>250</v>
      </c>
      <c r="C577" s="21">
        <v>250</v>
      </c>
      <c r="D577">
        <v>7</v>
      </c>
    </row>
    <row r="578" spans="1:4">
      <c r="A578" s="40" t="s">
        <v>199</v>
      </c>
      <c r="B578" s="21">
        <v>60</v>
      </c>
      <c r="C578" s="21">
        <v>60</v>
      </c>
      <c r="D578">
        <v>7</v>
      </c>
    </row>
    <row r="579" spans="1:4">
      <c r="A579" s="40" t="s">
        <v>199</v>
      </c>
      <c r="B579" s="21">
        <v>90.25</v>
      </c>
      <c r="C579" s="21">
        <v>95</v>
      </c>
      <c r="D579">
        <v>7</v>
      </c>
    </row>
    <row r="580" spans="1:4">
      <c r="A580" s="40" t="s">
        <v>199</v>
      </c>
      <c r="B580" s="21">
        <v>36</v>
      </c>
      <c r="C580" s="21">
        <v>36</v>
      </c>
      <c r="D580">
        <v>7</v>
      </c>
    </row>
    <row r="581" spans="1:4">
      <c r="A581" s="40" t="s">
        <v>199</v>
      </c>
      <c r="B581" s="21">
        <v>36</v>
      </c>
      <c r="C581" s="21">
        <v>36</v>
      </c>
      <c r="D581">
        <v>7</v>
      </c>
    </row>
    <row r="582" spans="1:4">
      <c r="A582" s="40" t="s">
        <v>197</v>
      </c>
      <c r="B582" s="21">
        <v>72.599999999999994</v>
      </c>
      <c r="C582" s="21">
        <v>72.599999999999994</v>
      </c>
      <c r="D582">
        <v>7</v>
      </c>
    </row>
    <row r="583" spans="1:4">
      <c r="A583" s="40" t="s">
        <v>199</v>
      </c>
      <c r="B583" s="21">
        <v>60</v>
      </c>
      <c r="C583" s="21">
        <v>60</v>
      </c>
      <c r="D583">
        <v>7</v>
      </c>
    </row>
    <row r="584" spans="1:4">
      <c r="A584" s="40" t="s">
        <v>197</v>
      </c>
      <c r="B584" s="21">
        <v>33</v>
      </c>
      <c r="C584" s="21">
        <v>33</v>
      </c>
      <c r="D584">
        <v>7</v>
      </c>
    </row>
    <row r="585" spans="1:4">
      <c r="A585" s="40" t="s">
        <v>195</v>
      </c>
      <c r="B585" s="21">
        <v>60</v>
      </c>
      <c r="C585" s="21">
        <v>66</v>
      </c>
      <c r="D585">
        <v>7</v>
      </c>
    </row>
    <row r="586" spans="1:4">
      <c r="A586" s="40" t="s">
        <v>195</v>
      </c>
      <c r="B586" s="21">
        <v>60</v>
      </c>
      <c r="C586" s="21">
        <v>66</v>
      </c>
      <c r="D586">
        <v>7</v>
      </c>
    </row>
    <row r="587" spans="1:4">
      <c r="A587" s="40" t="s">
        <v>195</v>
      </c>
      <c r="B587" s="21">
        <v>100</v>
      </c>
      <c r="C587" s="21">
        <v>110</v>
      </c>
      <c r="D587">
        <v>7</v>
      </c>
    </row>
    <row r="588" spans="1:4">
      <c r="A588" s="40" t="s">
        <v>199</v>
      </c>
      <c r="B588" s="21">
        <v>121</v>
      </c>
      <c r="C588" s="21">
        <v>121</v>
      </c>
      <c r="D588">
        <v>7</v>
      </c>
    </row>
    <row r="589" spans="1:4">
      <c r="A589" s="40" t="s">
        <v>197</v>
      </c>
      <c r="B589" s="21">
        <v>412.5</v>
      </c>
      <c r="C589" s="21">
        <v>412.5</v>
      </c>
      <c r="D589">
        <v>7</v>
      </c>
    </row>
    <row r="590" spans="1:4">
      <c r="A590" s="40" t="s">
        <v>199</v>
      </c>
      <c r="B590" s="21">
        <v>176</v>
      </c>
      <c r="C590" s="21">
        <v>176</v>
      </c>
      <c r="D590">
        <v>7</v>
      </c>
    </row>
    <row r="591" spans="1:4">
      <c r="A591" s="40" t="s">
        <v>199</v>
      </c>
      <c r="B591" s="21">
        <v>33</v>
      </c>
      <c r="C591" s="21">
        <v>33</v>
      </c>
      <c r="D591">
        <v>7</v>
      </c>
    </row>
    <row r="592" spans="1:4">
      <c r="A592" s="40" t="s">
        <v>194</v>
      </c>
      <c r="C592" s="21">
        <v>30</v>
      </c>
      <c r="D592">
        <v>7</v>
      </c>
    </row>
    <row r="593" spans="1:4">
      <c r="A593" s="40" t="s">
        <v>196</v>
      </c>
      <c r="B593" s="21">
        <v>30</v>
      </c>
      <c r="C593" s="21">
        <v>33</v>
      </c>
      <c r="D593">
        <v>7</v>
      </c>
    </row>
    <row r="594" spans="1:4">
      <c r="A594" s="40" t="s">
        <v>198</v>
      </c>
      <c r="B594" s="21">
        <v>30</v>
      </c>
      <c r="C594" s="21">
        <v>30</v>
      </c>
      <c r="D594">
        <v>7</v>
      </c>
    </row>
    <row r="595" spans="1:4">
      <c r="A595" s="40" t="s">
        <v>201</v>
      </c>
      <c r="B595" s="21">
        <v>50</v>
      </c>
      <c r="C595" s="21">
        <v>50</v>
      </c>
      <c r="D595">
        <v>7</v>
      </c>
    </row>
    <row r="596" spans="1:4">
      <c r="A596" s="40" t="s">
        <v>200</v>
      </c>
      <c r="B596" s="21">
        <v>280</v>
      </c>
      <c r="C596" s="21">
        <v>280</v>
      </c>
      <c r="D596">
        <v>7</v>
      </c>
    </row>
    <row r="597" spans="1:4">
      <c r="A597" s="40" t="s">
        <v>201</v>
      </c>
      <c r="B597" s="21">
        <v>165</v>
      </c>
      <c r="C597" s="21">
        <v>165</v>
      </c>
      <c r="D597">
        <v>7</v>
      </c>
    </row>
    <row r="598" spans="1:4">
      <c r="A598" s="40" t="s">
        <v>199</v>
      </c>
      <c r="B598" s="21">
        <v>100</v>
      </c>
      <c r="C598" s="21">
        <v>100</v>
      </c>
      <c r="D598">
        <v>7</v>
      </c>
    </row>
    <row r="599" spans="1:4">
      <c r="A599" s="40" t="s">
        <v>201</v>
      </c>
      <c r="B599" s="21">
        <v>100</v>
      </c>
      <c r="C599" s="21">
        <v>100</v>
      </c>
      <c r="D599">
        <v>7</v>
      </c>
    </row>
    <row r="600" spans="1:4">
      <c r="A600" s="40" t="s">
        <v>201</v>
      </c>
      <c r="B600" s="21">
        <v>100</v>
      </c>
      <c r="C600" s="21">
        <v>100</v>
      </c>
      <c r="D600">
        <v>7</v>
      </c>
    </row>
    <row r="601" spans="1:4">
      <c r="A601" s="40" t="s">
        <v>195</v>
      </c>
      <c r="B601" s="21">
        <v>30</v>
      </c>
      <c r="C601" s="21">
        <v>33</v>
      </c>
      <c r="D601">
        <v>7</v>
      </c>
    </row>
    <row r="602" spans="1:4">
      <c r="A602" s="40" t="s">
        <v>199</v>
      </c>
      <c r="B602" s="21">
        <v>250</v>
      </c>
      <c r="C602" s="21">
        <v>250</v>
      </c>
      <c r="D602">
        <v>7</v>
      </c>
    </row>
    <row r="603" spans="1:4">
      <c r="A603" s="40" t="s">
        <v>201</v>
      </c>
      <c r="B603" s="21">
        <v>120</v>
      </c>
      <c r="C603" s="21">
        <v>120</v>
      </c>
      <c r="D603">
        <v>7</v>
      </c>
    </row>
    <row r="604" spans="1:4">
      <c r="A604" s="40" t="s">
        <v>201</v>
      </c>
      <c r="B604" s="21">
        <v>66.36</v>
      </c>
      <c r="C604" s="21">
        <v>66.36</v>
      </c>
      <c r="D604">
        <v>7</v>
      </c>
    </row>
    <row r="605" spans="1:4">
      <c r="A605" s="40" t="s">
        <v>199</v>
      </c>
      <c r="B605" s="21">
        <v>60</v>
      </c>
      <c r="C605" s="21">
        <v>60</v>
      </c>
      <c r="D605">
        <v>7</v>
      </c>
    </row>
    <row r="606" spans="1:4">
      <c r="A606" s="40" t="s">
        <v>198</v>
      </c>
      <c r="B606" s="21">
        <v>100</v>
      </c>
      <c r="C606" s="21">
        <v>100</v>
      </c>
      <c r="D606">
        <v>7</v>
      </c>
    </row>
    <row r="607" spans="1:4">
      <c r="A607" s="40" t="s">
        <v>200</v>
      </c>
      <c r="B607" s="21">
        <v>132.72</v>
      </c>
      <c r="C607" s="21">
        <v>132.72</v>
      </c>
      <c r="D607">
        <v>7</v>
      </c>
    </row>
    <row r="608" spans="1:4">
      <c r="A608" s="40" t="s">
        <v>200</v>
      </c>
      <c r="B608" s="21">
        <v>89.63</v>
      </c>
      <c r="C608" s="21">
        <v>79.63</v>
      </c>
      <c r="D608">
        <v>7</v>
      </c>
    </row>
    <row r="609" spans="1:4">
      <c r="A609" s="40" t="s">
        <v>200</v>
      </c>
      <c r="B609" s="21">
        <v>106.18</v>
      </c>
      <c r="C609" s="21">
        <v>106.18</v>
      </c>
      <c r="D609">
        <v>7</v>
      </c>
    </row>
    <row r="610" spans="1:4">
      <c r="A610" s="40" t="s">
        <v>200</v>
      </c>
      <c r="B610" s="21">
        <v>79.63</v>
      </c>
      <c r="C610" s="21">
        <v>79.63</v>
      </c>
      <c r="D610">
        <v>7</v>
      </c>
    </row>
    <row r="611" spans="1:4">
      <c r="A611" s="40" t="s">
        <v>200</v>
      </c>
      <c r="B611" s="21">
        <v>150</v>
      </c>
      <c r="C611" s="21">
        <v>1020</v>
      </c>
      <c r="D611">
        <v>7</v>
      </c>
    </row>
    <row r="612" spans="1:4">
      <c r="A612" s="40" t="s">
        <v>199</v>
      </c>
      <c r="B612" s="21">
        <v>45</v>
      </c>
      <c r="C612" s="21">
        <v>45</v>
      </c>
      <c r="D612">
        <v>7</v>
      </c>
    </row>
    <row r="613" spans="1:4">
      <c r="A613" s="40" t="s">
        <v>200</v>
      </c>
      <c r="B613" s="21">
        <v>106.18</v>
      </c>
      <c r="C613" s="21">
        <v>106.18</v>
      </c>
      <c r="D613">
        <v>7</v>
      </c>
    </row>
    <row r="614" spans="1:4">
      <c r="A614" s="40" t="s">
        <v>198</v>
      </c>
      <c r="B614" s="21">
        <v>50</v>
      </c>
      <c r="C614" s="21">
        <v>50</v>
      </c>
      <c r="D614">
        <v>7</v>
      </c>
    </row>
    <row r="615" spans="1:4">
      <c r="A615" s="40" t="s">
        <v>199</v>
      </c>
      <c r="B615" s="21">
        <v>140</v>
      </c>
      <c r="C615" s="21">
        <v>140</v>
      </c>
      <c r="D615">
        <v>7</v>
      </c>
    </row>
    <row r="616" spans="1:4">
      <c r="A616" s="40" t="s">
        <v>199</v>
      </c>
      <c r="B616" s="21">
        <v>140</v>
      </c>
      <c r="C616" s="21">
        <v>140</v>
      </c>
      <c r="D616">
        <v>7</v>
      </c>
    </row>
    <row r="617" spans="1:4">
      <c r="A617" s="40" t="s">
        <v>201</v>
      </c>
      <c r="B617" s="21">
        <v>20</v>
      </c>
      <c r="C617" s="21">
        <v>20</v>
      </c>
      <c r="D617">
        <v>7</v>
      </c>
    </row>
    <row r="618" spans="1:4">
      <c r="A618" s="40" t="s">
        <v>198</v>
      </c>
      <c r="B618" s="21">
        <v>30</v>
      </c>
      <c r="C618" s="21">
        <v>30</v>
      </c>
      <c r="D618">
        <v>7</v>
      </c>
    </row>
    <row r="619" spans="1:4">
      <c r="A619" s="40" t="s">
        <v>198</v>
      </c>
      <c r="B619" s="21">
        <v>30</v>
      </c>
      <c r="C619" s="21">
        <v>30</v>
      </c>
      <c r="D619">
        <v>7</v>
      </c>
    </row>
    <row r="620" spans="1:4">
      <c r="A620" s="40" t="s">
        <v>198</v>
      </c>
      <c r="B620" s="21">
        <v>30</v>
      </c>
      <c r="C620" s="21">
        <v>30</v>
      </c>
      <c r="D620">
        <v>7</v>
      </c>
    </row>
    <row r="621" spans="1:4">
      <c r="A621" s="40" t="s">
        <v>195</v>
      </c>
      <c r="B621" s="21">
        <v>200</v>
      </c>
      <c r="D621">
        <v>7</v>
      </c>
    </row>
    <row r="622" spans="1:4">
      <c r="A622" s="40" t="s">
        <v>199</v>
      </c>
      <c r="B622" s="21">
        <v>33</v>
      </c>
      <c r="C622" s="21">
        <v>330</v>
      </c>
      <c r="D622">
        <v>7</v>
      </c>
    </row>
    <row r="623" spans="1:4">
      <c r="A623" s="15" t="s">
        <v>195</v>
      </c>
      <c r="B623" s="15">
        <v>60</v>
      </c>
      <c r="C623" s="15">
        <v>60</v>
      </c>
      <c r="D623">
        <v>8</v>
      </c>
    </row>
    <row r="624" spans="1:4">
      <c r="A624" s="21" t="s">
        <v>195</v>
      </c>
      <c r="B624" s="21">
        <v>35</v>
      </c>
      <c r="C624" s="21">
        <v>35</v>
      </c>
      <c r="D624">
        <v>8</v>
      </c>
    </row>
    <row r="625" spans="1:4">
      <c r="A625" s="21" t="s">
        <v>197</v>
      </c>
      <c r="B625" s="21">
        <v>176</v>
      </c>
      <c r="C625" s="21">
        <v>199.25</v>
      </c>
      <c r="D625">
        <v>8</v>
      </c>
    </row>
    <row r="626" spans="1:4">
      <c r="A626" s="21" t="s">
        <v>195</v>
      </c>
      <c r="B626" s="21">
        <v>200</v>
      </c>
      <c r="C626" s="21">
        <v>220</v>
      </c>
      <c r="D626">
        <v>8</v>
      </c>
    </row>
    <row r="627" spans="1:4">
      <c r="A627" s="21" t="s">
        <v>199</v>
      </c>
      <c r="B627" s="21">
        <v>132</v>
      </c>
      <c r="C627" s="21">
        <v>132</v>
      </c>
      <c r="D627">
        <v>8</v>
      </c>
    </row>
    <row r="628" spans="1:4">
      <c r="A628" s="21" t="s">
        <v>197</v>
      </c>
      <c r="B628" s="44">
        <v>165</v>
      </c>
      <c r="C628" s="21">
        <v>165</v>
      </c>
      <c r="D628">
        <v>8</v>
      </c>
    </row>
    <row r="629" spans="1:4">
      <c r="A629" s="105" t="s">
        <v>201</v>
      </c>
      <c r="B629" s="44">
        <v>70</v>
      </c>
      <c r="C629" s="21">
        <v>70</v>
      </c>
      <c r="D629">
        <v>8</v>
      </c>
    </row>
    <row r="630" spans="1:4">
      <c r="A630" s="21" t="s">
        <v>195</v>
      </c>
      <c r="B630" s="44">
        <v>621</v>
      </c>
      <c r="C630" s="21">
        <v>165</v>
      </c>
      <c r="D630">
        <v>8</v>
      </c>
    </row>
    <row r="631" spans="1:4">
      <c r="A631" s="21" t="s">
        <v>197</v>
      </c>
      <c r="B631" s="44">
        <v>400</v>
      </c>
      <c r="C631" s="21">
        <v>400</v>
      </c>
      <c r="D631">
        <v>8</v>
      </c>
    </row>
    <row r="632" spans="1:4">
      <c r="A632" s="21" t="s">
        <v>196</v>
      </c>
      <c r="B632" s="44">
        <v>121</v>
      </c>
      <c r="C632" s="21">
        <v>82.5</v>
      </c>
      <c r="D632">
        <v>8</v>
      </c>
    </row>
    <row r="633" spans="1:4">
      <c r="A633" s="21" t="s">
        <v>196</v>
      </c>
      <c r="B633" s="44">
        <v>121</v>
      </c>
      <c r="C633" s="21">
        <v>0</v>
      </c>
      <c r="D633">
        <v>8</v>
      </c>
    </row>
    <row r="634" spans="1:4">
      <c r="A634" s="21" t="s">
        <v>197</v>
      </c>
      <c r="B634" s="38">
        <v>500</v>
      </c>
      <c r="C634" s="21">
        <v>500</v>
      </c>
      <c r="D634">
        <v>8</v>
      </c>
    </row>
    <row r="635" spans="1:4">
      <c r="A635" s="21" t="s">
        <v>195</v>
      </c>
      <c r="B635" s="38">
        <v>250</v>
      </c>
      <c r="C635" s="21">
        <v>96</v>
      </c>
      <c r="D635">
        <v>8</v>
      </c>
    </row>
    <row r="636" spans="1:4">
      <c r="A636" s="21" t="s">
        <v>196</v>
      </c>
      <c r="B636" s="38">
        <v>60</v>
      </c>
      <c r="C636" s="21">
        <v>82.4</v>
      </c>
      <c r="D636">
        <v>8</v>
      </c>
    </row>
    <row r="637" spans="1:4">
      <c r="A637" s="105" t="s">
        <v>201</v>
      </c>
      <c r="B637" s="38">
        <v>150</v>
      </c>
      <c r="C637" s="21">
        <v>150</v>
      </c>
      <c r="D637">
        <v>8</v>
      </c>
    </row>
    <row r="638" spans="1:4">
      <c r="A638" s="44" t="s">
        <v>197</v>
      </c>
      <c r="B638" s="38">
        <v>451</v>
      </c>
      <c r="C638" s="44">
        <v>451</v>
      </c>
      <c r="D638">
        <v>8</v>
      </c>
    </row>
    <row r="639" spans="1:4">
      <c r="A639" s="44" t="s">
        <v>197</v>
      </c>
      <c r="B639" s="38">
        <v>192.5</v>
      </c>
      <c r="C639" s="44">
        <v>192.5</v>
      </c>
      <c r="D639">
        <v>8</v>
      </c>
    </row>
    <row r="640" spans="1:4">
      <c r="A640" s="21" t="s">
        <v>199</v>
      </c>
      <c r="B640" s="38">
        <v>82.5</v>
      </c>
      <c r="C640" s="44">
        <v>82.5</v>
      </c>
      <c r="D640">
        <v>8</v>
      </c>
    </row>
    <row r="641" spans="1:4">
      <c r="A641" s="44" t="s">
        <v>195</v>
      </c>
      <c r="B641" s="38">
        <v>140</v>
      </c>
      <c r="C641" s="44">
        <v>60</v>
      </c>
      <c r="D641">
        <v>8</v>
      </c>
    </row>
    <row r="642" spans="1:4">
      <c r="A642" s="44" t="s">
        <v>195</v>
      </c>
      <c r="B642" s="44">
        <v>120</v>
      </c>
      <c r="C642" s="44">
        <v>132</v>
      </c>
      <c r="D642">
        <v>8</v>
      </c>
    </row>
    <row r="643" spans="1:4">
      <c r="A643" t="s">
        <v>198</v>
      </c>
      <c r="B643" s="38">
        <v>50</v>
      </c>
      <c r="C643" s="38">
        <v>50</v>
      </c>
      <c r="D643">
        <v>8</v>
      </c>
    </row>
    <row r="644" spans="1:4">
      <c r="A644" s="44" t="s">
        <v>195</v>
      </c>
      <c r="B644" s="44">
        <f>95+500</f>
        <v>595</v>
      </c>
      <c r="C644" s="44">
        <v>643</v>
      </c>
      <c r="D644">
        <v>8</v>
      </c>
    </row>
    <row r="645" spans="1:4">
      <c r="A645" s="44" t="s">
        <v>195</v>
      </c>
      <c r="B645" s="44">
        <v>75</v>
      </c>
      <c r="C645" s="44">
        <v>75</v>
      </c>
      <c r="D645">
        <v>8</v>
      </c>
    </row>
    <row r="646" spans="1:4">
      <c r="A646" s="44" t="s">
        <v>195</v>
      </c>
      <c r="B646" s="44">
        <v>87.5</v>
      </c>
      <c r="C646" s="44">
        <v>87.5</v>
      </c>
      <c r="D646">
        <v>8</v>
      </c>
    </row>
    <row r="647" spans="1:4">
      <c r="A647" s="21" t="s">
        <v>199</v>
      </c>
      <c r="B647" s="44">
        <v>55</v>
      </c>
      <c r="C647" s="44">
        <v>55</v>
      </c>
      <c r="D647">
        <v>8</v>
      </c>
    </row>
    <row r="648" spans="1:4">
      <c r="A648" s="21" t="s">
        <v>199</v>
      </c>
      <c r="B648" s="38">
        <v>50</v>
      </c>
      <c r="C648" s="38">
        <v>50</v>
      </c>
      <c r="D648">
        <v>8</v>
      </c>
    </row>
    <row r="649" spans="1:4">
      <c r="A649" s="106" t="s">
        <v>200</v>
      </c>
      <c r="B649" s="44">
        <v>1660</v>
      </c>
      <c r="C649" s="44">
        <v>1993</v>
      </c>
      <c r="D649">
        <v>8</v>
      </c>
    </row>
    <row r="650" spans="1:4">
      <c r="A650" s="44" t="s">
        <v>195</v>
      </c>
      <c r="B650" s="44">
        <v>100</v>
      </c>
      <c r="C650" s="44">
        <v>110</v>
      </c>
      <c r="D650">
        <v>8</v>
      </c>
    </row>
    <row r="651" spans="1:4">
      <c r="A651" s="21" t="s">
        <v>199</v>
      </c>
      <c r="B651" s="44">
        <v>50</v>
      </c>
      <c r="C651" s="44">
        <v>50</v>
      </c>
      <c r="D651">
        <v>8</v>
      </c>
    </row>
    <row r="652" spans="1:4">
      <c r="A652" s="21" t="s">
        <v>196</v>
      </c>
      <c r="B652" s="44">
        <v>140</v>
      </c>
      <c r="C652" s="44">
        <v>154</v>
      </c>
      <c r="D652">
        <v>8</v>
      </c>
    </row>
    <row r="653" spans="1:4">
      <c r="A653" s="44" t="s">
        <v>196</v>
      </c>
      <c r="B653" s="44">
        <v>75</v>
      </c>
      <c r="C653" s="44">
        <v>103</v>
      </c>
      <c r="D653">
        <v>8</v>
      </c>
    </row>
    <row r="654" spans="1:4">
      <c r="A654" s="44" t="s">
        <v>195</v>
      </c>
      <c r="B654" s="44">
        <v>80</v>
      </c>
      <c r="C654" s="44">
        <v>215</v>
      </c>
      <c r="D654">
        <v>8</v>
      </c>
    </row>
    <row r="655" spans="1:4">
      <c r="A655" s="44" t="s">
        <v>195</v>
      </c>
      <c r="B655" s="44">
        <v>30</v>
      </c>
      <c r="C655" s="44">
        <v>33</v>
      </c>
      <c r="D655">
        <v>8</v>
      </c>
    </row>
    <row r="656" spans="1:4">
      <c r="A656" s="21" t="s">
        <v>199</v>
      </c>
      <c r="B656" s="44">
        <v>235</v>
      </c>
      <c r="C656" s="44">
        <v>235</v>
      </c>
      <c r="D656">
        <v>8</v>
      </c>
    </row>
    <row r="657" spans="1:4">
      <c r="A657" s="21" t="s">
        <v>199</v>
      </c>
      <c r="B657" s="44">
        <v>235</v>
      </c>
      <c r="C657" s="44">
        <v>235</v>
      </c>
      <c r="D657">
        <v>8</v>
      </c>
    </row>
    <row r="658" spans="1:4">
      <c r="A658" t="s">
        <v>198</v>
      </c>
      <c r="B658" s="44">
        <v>545</v>
      </c>
      <c r="C658" s="44">
        <v>1627.1</v>
      </c>
      <c r="D658">
        <v>8</v>
      </c>
    </row>
    <row r="659" spans="1:4">
      <c r="A659" s="21" t="s">
        <v>196</v>
      </c>
      <c r="B659" s="44">
        <v>75</v>
      </c>
      <c r="C659" s="44">
        <v>82.4</v>
      </c>
      <c r="D659">
        <v>8</v>
      </c>
    </row>
    <row r="660" spans="1:4">
      <c r="A660" s="44" t="s">
        <v>195</v>
      </c>
      <c r="B660" s="44">
        <v>200</v>
      </c>
      <c r="C660" s="44">
        <v>-440</v>
      </c>
      <c r="D660">
        <v>8</v>
      </c>
    </row>
    <row r="661" spans="1:4">
      <c r="A661" s="21" t="s">
        <v>199</v>
      </c>
      <c r="B661" s="44">
        <v>121</v>
      </c>
      <c r="C661" s="44">
        <v>121</v>
      </c>
      <c r="D661">
        <v>8</v>
      </c>
    </row>
    <row r="662" spans="1:4">
      <c r="A662" s="44" t="s">
        <v>195</v>
      </c>
      <c r="B662" s="44">
        <v>110</v>
      </c>
      <c r="C662" s="44">
        <v>121</v>
      </c>
      <c r="D662">
        <v>8</v>
      </c>
    </row>
    <row r="663" spans="1:4">
      <c r="A663" s="44" t="s">
        <v>197</v>
      </c>
      <c r="B663" s="44">
        <v>82.5</v>
      </c>
      <c r="C663" s="44">
        <v>82.5</v>
      </c>
      <c r="D663">
        <v>8</v>
      </c>
    </row>
    <row r="664" spans="1:4">
      <c r="A664" s="21" t="s">
        <v>199</v>
      </c>
      <c r="B664" s="44">
        <v>165</v>
      </c>
      <c r="C664" s="44">
        <v>165</v>
      </c>
      <c r="D664">
        <v>8</v>
      </c>
    </row>
    <row r="665" spans="1:4">
      <c r="A665" s="21" t="s">
        <v>199</v>
      </c>
      <c r="B665" s="44">
        <v>121</v>
      </c>
      <c r="C665" s="44">
        <v>121</v>
      </c>
      <c r="D665">
        <v>8</v>
      </c>
    </row>
    <row r="666" spans="1:4">
      <c r="A666" s="44" t="s">
        <v>197</v>
      </c>
      <c r="B666" s="44">
        <v>82.5</v>
      </c>
      <c r="C666" s="44">
        <v>82.5</v>
      </c>
      <c r="D666">
        <v>8</v>
      </c>
    </row>
    <row r="667" spans="1:4">
      <c r="A667" s="21" t="s">
        <v>196</v>
      </c>
      <c r="B667" s="44">
        <v>110</v>
      </c>
      <c r="C667" s="44">
        <v>121</v>
      </c>
      <c r="D667">
        <v>8</v>
      </c>
    </row>
    <row r="668" spans="1:4">
      <c r="A668" s="21" t="s">
        <v>199</v>
      </c>
      <c r="B668" s="44">
        <v>121</v>
      </c>
      <c r="C668" s="44">
        <v>121</v>
      </c>
      <c r="D668">
        <v>8</v>
      </c>
    </row>
    <row r="669" spans="1:4">
      <c r="A669" s="21" t="s">
        <v>196</v>
      </c>
      <c r="B669" s="44">
        <v>190</v>
      </c>
      <c r="C669" s="44">
        <v>209</v>
      </c>
      <c r="D669">
        <v>8</v>
      </c>
    </row>
    <row r="670" spans="1:4">
      <c r="A670" s="53" t="s">
        <v>195</v>
      </c>
      <c r="B670" s="48">
        <v>110</v>
      </c>
      <c r="C670" s="38">
        <v>15</v>
      </c>
      <c r="D670">
        <v>8</v>
      </c>
    </row>
    <row r="671" spans="1:4">
      <c r="A671" s="38" t="s">
        <v>195</v>
      </c>
      <c r="B671" s="38">
        <v>30</v>
      </c>
      <c r="C671" s="38">
        <v>30</v>
      </c>
      <c r="D671">
        <v>8</v>
      </c>
    </row>
    <row r="672" spans="1:4">
      <c r="A672" s="38" t="s">
        <v>195</v>
      </c>
      <c r="B672" s="38">
        <v>140</v>
      </c>
      <c r="C672" s="38">
        <v>154</v>
      </c>
      <c r="D672">
        <v>8</v>
      </c>
    </row>
    <row r="673" spans="1:4">
      <c r="A673" s="21" t="s">
        <v>196</v>
      </c>
      <c r="B673" s="38">
        <v>106.5</v>
      </c>
      <c r="C673" s="38">
        <v>116.66</v>
      </c>
      <c r="D673">
        <v>8</v>
      </c>
    </row>
    <row r="674" spans="1:4">
      <c r="A674" s="53" t="s">
        <v>195</v>
      </c>
      <c r="B674" s="48">
        <v>60</v>
      </c>
      <c r="C674" s="38">
        <v>0</v>
      </c>
      <c r="D674">
        <v>8</v>
      </c>
    </row>
    <row r="675" spans="1:4">
      <c r="A675" s="38" t="s">
        <v>195</v>
      </c>
      <c r="B675" s="38">
        <v>150</v>
      </c>
      <c r="C675" s="38">
        <v>265</v>
      </c>
      <c r="D675">
        <v>8</v>
      </c>
    </row>
    <row r="676" spans="1:4">
      <c r="A676" s="21" t="s">
        <v>199</v>
      </c>
      <c r="B676" s="38">
        <v>250</v>
      </c>
      <c r="C676" s="38">
        <v>560</v>
      </c>
      <c r="D676">
        <v>8</v>
      </c>
    </row>
    <row r="677" spans="1:4">
      <c r="A677" s="21" t="s">
        <v>199</v>
      </c>
      <c r="B677" s="38">
        <v>60</v>
      </c>
      <c r="C677" s="38">
        <v>60</v>
      </c>
      <c r="D677">
        <v>8</v>
      </c>
    </row>
    <row r="678" spans="1:4">
      <c r="A678" s="21" t="s">
        <v>199</v>
      </c>
      <c r="B678" s="21">
        <v>90.25</v>
      </c>
      <c r="C678" s="38">
        <v>95.25</v>
      </c>
      <c r="D678">
        <v>8</v>
      </c>
    </row>
    <row r="679" spans="1:4">
      <c r="A679" s="107" t="s">
        <v>199</v>
      </c>
      <c r="B679" s="52">
        <v>36</v>
      </c>
      <c r="C679" s="51">
        <v>36</v>
      </c>
      <c r="D679">
        <v>8</v>
      </c>
    </row>
    <row r="680" spans="1:4">
      <c r="A680" s="21" t="s">
        <v>199</v>
      </c>
      <c r="B680" s="38">
        <v>36</v>
      </c>
      <c r="C680" s="38">
        <v>36</v>
      </c>
      <c r="D680">
        <v>8</v>
      </c>
    </row>
    <row r="681" spans="1:4">
      <c r="A681" s="103" t="s">
        <v>197</v>
      </c>
      <c r="B681" s="38">
        <v>72.599999999999994</v>
      </c>
      <c r="C681" s="38">
        <v>72.599999999999994</v>
      </c>
      <c r="D681">
        <v>8</v>
      </c>
    </row>
    <row r="682" spans="1:4">
      <c r="A682" s="21" t="s">
        <v>199</v>
      </c>
      <c r="B682" s="38">
        <v>60</v>
      </c>
      <c r="C682" s="38">
        <v>60</v>
      </c>
      <c r="D682">
        <v>8</v>
      </c>
    </row>
    <row r="683" spans="1:4">
      <c r="A683" s="103" t="s">
        <v>197</v>
      </c>
      <c r="B683" s="38">
        <v>60</v>
      </c>
      <c r="C683" s="38">
        <v>60</v>
      </c>
      <c r="D683">
        <v>8</v>
      </c>
    </row>
    <row r="684" spans="1:4">
      <c r="A684" s="103" t="s">
        <v>195</v>
      </c>
      <c r="B684" s="38">
        <v>60</v>
      </c>
      <c r="C684" s="38">
        <v>66</v>
      </c>
      <c r="D684">
        <v>8</v>
      </c>
    </row>
    <row r="685" spans="1:4">
      <c r="A685" s="108" t="s">
        <v>195</v>
      </c>
      <c r="B685" s="48">
        <v>60</v>
      </c>
      <c r="C685" s="38">
        <v>66</v>
      </c>
      <c r="D685">
        <v>8</v>
      </c>
    </row>
    <row r="686" spans="1:4">
      <c r="A686" s="103" t="s">
        <v>195</v>
      </c>
      <c r="B686" s="38">
        <v>100</v>
      </c>
      <c r="C686" s="38">
        <v>110</v>
      </c>
      <c r="D686">
        <v>8</v>
      </c>
    </row>
    <row r="687" spans="1:4">
      <c r="A687" s="21" t="s">
        <v>199</v>
      </c>
      <c r="B687" s="38">
        <v>121</v>
      </c>
      <c r="C687" s="38">
        <v>121</v>
      </c>
      <c r="D687">
        <v>8</v>
      </c>
    </row>
    <row r="688" spans="1:4">
      <c r="A688" s="103" t="s">
        <v>197</v>
      </c>
      <c r="B688" s="38">
        <v>412.5</v>
      </c>
      <c r="C688" s="38">
        <v>412.5</v>
      </c>
      <c r="D688">
        <v>8</v>
      </c>
    </row>
    <row r="689" spans="1:4">
      <c r="A689" s="21" t="s">
        <v>199</v>
      </c>
      <c r="B689" s="38">
        <v>176</v>
      </c>
      <c r="C689" s="38">
        <v>206</v>
      </c>
      <c r="D689">
        <v>8</v>
      </c>
    </row>
    <row r="690" spans="1:4">
      <c r="A690" s="21" t="s">
        <v>199</v>
      </c>
      <c r="B690" s="38">
        <v>33</v>
      </c>
      <c r="C690" s="38">
        <v>33</v>
      </c>
      <c r="D690">
        <v>8</v>
      </c>
    </row>
    <row r="691" spans="1:4">
      <c r="A691" s="51" t="s">
        <v>194</v>
      </c>
      <c r="B691" s="51">
        <v>30</v>
      </c>
      <c r="C691" s="38">
        <v>30</v>
      </c>
      <c r="D691">
        <v>8</v>
      </c>
    </row>
    <row r="692" spans="1:4">
      <c r="A692" s="38" t="s">
        <v>196</v>
      </c>
      <c r="B692" s="38"/>
      <c r="C692" s="38">
        <v>33</v>
      </c>
      <c r="D692">
        <v>8</v>
      </c>
    </row>
    <row r="693" spans="1:4">
      <c r="A693" s="38" t="s">
        <v>198</v>
      </c>
      <c r="B693" s="38">
        <v>30</v>
      </c>
      <c r="C693" s="38">
        <v>30</v>
      </c>
      <c r="D693">
        <v>8</v>
      </c>
    </row>
    <row r="694" spans="1:4">
      <c r="A694" s="105" t="s">
        <v>201</v>
      </c>
      <c r="B694" s="38">
        <v>50</v>
      </c>
      <c r="C694" s="38">
        <v>50</v>
      </c>
      <c r="D694">
        <v>8</v>
      </c>
    </row>
    <row r="695" spans="1:4">
      <c r="A695" s="106" t="s">
        <v>200</v>
      </c>
      <c r="B695" s="38">
        <v>280</v>
      </c>
      <c r="C695" s="38">
        <v>280</v>
      </c>
      <c r="D695">
        <v>8</v>
      </c>
    </row>
    <row r="696" spans="1:4">
      <c r="A696" s="105" t="s">
        <v>201</v>
      </c>
      <c r="B696" s="38">
        <v>165</v>
      </c>
      <c r="C696" s="38">
        <v>165</v>
      </c>
      <c r="D696">
        <v>8</v>
      </c>
    </row>
    <row r="697" spans="1:4">
      <c r="A697" s="38" t="s">
        <v>199</v>
      </c>
      <c r="B697" s="38">
        <v>100</v>
      </c>
      <c r="C697" s="38">
        <v>100</v>
      </c>
      <c r="D697">
        <v>8</v>
      </c>
    </row>
    <row r="698" spans="1:4">
      <c r="A698" s="105" t="s">
        <v>201</v>
      </c>
      <c r="B698" s="38">
        <v>100</v>
      </c>
      <c r="C698" s="38">
        <v>100</v>
      </c>
      <c r="D698">
        <v>8</v>
      </c>
    </row>
    <row r="699" spans="1:4">
      <c r="A699" s="105" t="s">
        <v>201</v>
      </c>
      <c r="B699" s="38">
        <v>100</v>
      </c>
      <c r="C699" s="38">
        <v>100</v>
      </c>
      <c r="D699">
        <v>8</v>
      </c>
    </row>
    <row r="700" spans="1:4">
      <c r="A700" s="15" t="s">
        <v>195</v>
      </c>
      <c r="B700" s="38">
        <v>30</v>
      </c>
      <c r="C700" s="38">
        <v>33</v>
      </c>
      <c r="D700">
        <v>8</v>
      </c>
    </row>
    <row r="701" spans="1:4">
      <c r="A701" s="109" t="s">
        <v>199</v>
      </c>
      <c r="B701" s="21">
        <v>250</v>
      </c>
      <c r="C701" s="38">
        <v>250</v>
      </c>
      <c r="D701">
        <v>8</v>
      </c>
    </row>
    <row r="702" spans="1:4">
      <c r="A702" s="105" t="s">
        <v>201</v>
      </c>
      <c r="B702" s="38">
        <v>120</v>
      </c>
      <c r="C702" s="38">
        <v>120</v>
      </c>
      <c r="D702">
        <v>8</v>
      </c>
    </row>
    <row r="703" spans="1:4">
      <c r="A703" s="105" t="s">
        <v>201</v>
      </c>
      <c r="B703" s="38">
        <v>66.36</v>
      </c>
      <c r="C703" s="38">
        <v>66.36</v>
      </c>
      <c r="D703">
        <v>8</v>
      </c>
    </row>
    <row r="704" spans="1:4">
      <c r="A704" s="103" t="s">
        <v>199</v>
      </c>
      <c r="B704" s="38">
        <v>60</v>
      </c>
      <c r="C704" s="38">
        <v>60</v>
      </c>
      <c r="D704">
        <v>8</v>
      </c>
    </row>
    <row r="705" spans="1:4">
      <c r="A705" s="110" t="s">
        <v>198</v>
      </c>
      <c r="B705" s="55">
        <v>100</v>
      </c>
      <c r="C705" s="56">
        <v>100</v>
      </c>
      <c r="D705">
        <v>8</v>
      </c>
    </row>
    <row r="706" spans="1:4">
      <c r="A706" s="106" t="s">
        <v>200</v>
      </c>
      <c r="B706" s="38">
        <v>132.72</v>
      </c>
      <c r="C706" s="38">
        <v>132.72</v>
      </c>
      <c r="D706">
        <v>8</v>
      </c>
    </row>
    <row r="707" spans="1:4">
      <c r="A707" s="106" t="s">
        <v>200</v>
      </c>
      <c r="B707" s="38">
        <v>89.63</v>
      </c>
      <c r="C707" s="38">
        <v>89.63</v>
      </c>
      <c r="D707">
        <v>8</v>
      </c>
    </row>
    <row r="708" spans="1:4">
      <c r="A708" s="106" t="s">
        <v>200</v>
      </c>
      <c r="B708" s="38">
        <v>106.18</v>
      </c>
      <c r="C708" s="38">
        <v>106.18</v>
      </c>
      <c r="D708">
        <v>8</v>
      </c>
    </row>
    <row r="709" spans="1:4">
      <c r="A709" s="111" t="s">
        <v>200</v>
      </c>
      <c r="B709" s="57">
        <v>79.63</v>
      </c>
      <c r="C709" s="57">
        <v>79.63</v>
      </c>
      <c r="D709">
        <v>8</v>
      </c>
    </row>
    <row r="710" spans="1:4">
      <c r="A710" s="106" t="s">
        <v>200</v>
      </c>
      <c r="B710" s="38">
        <v>1020</v>
      </c>
      <c r="C710" s="38">
        <v>1140</v>
      </c>
      <c r="D710">
        <v>8</v>
      </c>
    </row>
    <row r="711" spans="1:4">
      <c r="A711" s="112" t="s">
        <v>199</v>
      </c>
      <c r="B711" s="38">
        <v>45</v>
      </c>
      <c r="C711" s="38">
        <v>45</v>
      </c>
      <c r="D711">
        <v>8</v>
      </c>
    </row>
    <row r="712" spans="1:4">
      <c r="A712" s="106" t="s">
        <v>200</v>
      </c>
      <c r="B712" s="38">
        <v>106.18</v>
      </c>
      <c r="C712" s="38">
        <v>106.18</v>
      </c>
      <c r="D712">
        <v>8</v>
      </c>
    </row>
    <row r="713" spans="1:4">
      <c r="A713" s="103" t="s">
        <v>198</v>
      </c>
      <c r="B713" s="38">
        <v>50</v>
      </c>
      <c r="C713" s="38">
        <v>50</v>
      </c>
      <c r="D713">
        <v>8</v>
      </c>
    </row>
    <row r="714" spans="1:4">
      <c r="A714" s="103" t="s">
        <v>199</v>
      </c>
      <c r="B714" s="38">
        <v>140</v>
      </c>
      <c r="C714" s="38">
        <v>140</v>
      </c>
      <c r="D714">
        <v>8</v>
      </c>
    </row>
    <row r="715" spans="1:4">
      <c r="A715" s="103" t="s">
        <v>199</v>
      </c>
      <c r="B715" s="38">
        <v>140</v>
      </c>
      <c r="C715" s="38">
        <v>140</v>
      </c>
      <c r="D715">
        <v>8</v>
      </c>
    </row>
    <row r="716" spans="1:4">
      <c r="A716" s="105" t="s">
        <v>201</v>
      </c>
      <c r="B716" s="38">
        <v>20</v>
      </c>
      <c r="C716" s="38">
        <v>20</v>
      </c>
      <c r="D716">
        <v>8</v>
      </c>
    </row>
    <row r="717" spans="1:4">
      <c r="A717" s="38"/>
      <c r="B717" s="38"/>
      <c r="C717" s="38">
        <v>1500</v>
      </c>
      <c r="D717">
        <v>8</v>
      </c>
    </row>
    <row r="718" spans="1:4">
      <c r="A718" s="103" t="s">
        <v>198</v>
      </c>
      <c r="B718" s="38">
        <v>30</v>
      </c>
      <c r="C718" s="38">
        <v>30</v>
      </c>
      <c r="D718">
        <v>8</v>
      </c>
    </row>
    <row r="719" spans="1:4">
      <c r="A719" s="38"/>
      <c r="B719" s="38"/>
      <c r="C719" s="38">
        <v>30</v>
      </c>
      <c r="D719">
        <v>8</v>
      </c>
    </row>
    <row r="720" spans="1:4">
      <c r="A720" s="103" t="s">
        <v>198</v>
      </c>
      <c r="B720" s="38">
        <v>30</v>
      </c>
      <c r="C720" s="38">
        <v>30</v>
      </c>
      <c r="D720">
        <v>8</v>
      </c>
    </row>
    <row r="721" spans="1:4">
      <c r="A721" s="103" t="s">
        <v>195</v>
      </c>
      <c r="B721" s="38">
        <v>200</v>
      </c>
      <c r="C721" s="38"/>
      <c r="D721">
        <v>8</v>
      </c>
    </row>
    <row r="722" spans="1:4">
      <c r="A722" s="103" t="s">
        <v>199</v>
      </c>
      <c r="B722" s="38">
        <v>33</v>
      </c>
      <c r="C722" s="38">
        <v>33</v>
      </c>
      <c r="D722">
        <v>8</v>
      </c>
    </row>
    <row r="723" spans="1:4">
      <c r="A723" s="103" t="s">
        <v>198</v>
      </c>
      <c r="B723" s="38">
        <v>60</v>
      </c>
      <c r="C723" s="38">
        <v>60</v>
      </c>
      <c r="D723">
        <v>8</v>
      </c>
    </row>
    <row r="724" spans="1:4">
      <c r="A724" s="103" t="s">
        <v>198</v>
      </c>
      <c r="B724" s="38">
        <v>315</v>
      </c>
      <c r="C724" s="38"/>
      <c r="D724">
        <v>8</v>
      </c>
    </row>
    <row r="725" spans="1:4">
      <c r="A725" s="40" t="s">
        <v>195</v>
      </c>
      <c r="B725" s="21">
        <v>60</v>
      </c>
      <c r="C725" s="21">
        <v>60</v>
      </c>
      <c r="D725">
        <v>9</v>
      </c>
    </row>
    <row r="726" spans="1:4">
      <c r="A726" s="40" t="s">
        <v>196</v>
      </c>
      <c r="B726" s="21">
        <v>70</v>
      </c>
      <c r="C726" s="21">
        <v>77</v>
      </c>
      <c r="D726">
        <v>9</v>
      </c>
    </row>
    <row r="727" spans="1:4">
      <c r="A727" s="40" t="s">
        <v>195</v>
      </c>
      <c r="B727" s="21">
        <v>35</v>
      </c>
      <c r="C727" s="21">
        <v>35</v>
      </c>
      <c r="D727">
        <v>9</v>
      </c>
    </row>
    <row r="728" spans="1:4">
      <c r="A728" s="40" t="s">
        <v>197</v>
      </c>
      <c r="B728" s="21">
        <v>176</v>
      </c>
      <c r="C728" s="21">
        <v>203.4</v>
      </c>
      <c r="D728">
        <v>9</v>
      </c>
    </row>
    <row r="729" spans="1:4">
      <c r="A729" s="40" t="s">
        <v>199</v>
      </c>
      <c r="B729" s="21">
        <v>120</v>
      </c>
      <c r="C729" s="21">
        <v>132</v>
      </c>
      <c r="D729">
        <v>9</v>
      </c>
    </row>
    <row r="730" spans="1:4">
      <c r="A730" s="40" t="s">
        <v>197</v>
      </c>
      <c r="B730" s="21">
        <v>165</v>
      </c>
      <c r="C730" s="21">
        <v>165</v>
      </c>
      <c r="D730">
        <v>9</v>
      </c>
    </row>
    <row r="731" spans="1:4">
      <c r="A731" s="40" t="s">
        <v>201</v>
      </c>
      <c r="B731" s="21">
        <v>70</v>
      </c>
      <c r="C731" s="21">
        <v>70</v>
      </c>
      <c r="D731">
        <v>9</v>
      </c>
    </row>
    <row r="732" spans="1:4">
      <c r="A732" s="40" t="s">
        <v>195</v>
      </c>
      <c r="B732" s="21">
        <v>150</v>
      </c>
      <c r="C732" s="21">
        <v>165</v>
      </c>
      <c r="D732">
        <v>9</v>
      </c>
    </row>
    <row r="733" spans="1:4">
      <c r="A733" s="40" t="s">
        <v>197</v>
      </c>
      <c r="B733" s="21">
        <v>400</v>
      </c>
      <c r="C733" s="21">
        <v>400</v>
      </c>
      <c r="D733">
        <v>9</v>
      </c>
    </row>
    <row r="734" spans="1:4">
      <c r="A734" s="40" t="s">
        <v>196</v>
      </c>
      <c r="B734" s="21">
        <v>75</v>
      </c>
      <c r="C734" s="21">
        <v>82.5</v>
      </c>
      <c r="D734">
        <v>9</v>
      </c>
    </row>
    <row r="735" spans="1:4">
      <c r="A735" s="40" t="s">
        <v>196</v>
      </c>
      <c r="B735" s="21">
        <v>30</v>
      </c>
      <c r="C735" s="21">
        <v>30</v>
      </c>
      <c r="D735">
        <v>9</v>
      </c>
    </row>
    <row r="736" spans="1:4">
      <c r="A736" s="40" t="s">
        <v>197</v>
      </c>
      <c r="B736" s="21">
        <v>500</v>
      </c>
      <c r="C736" s="21">
        <v>500</v>
      </c>
      <c r="D736">
        <v>9</v>
      </c>
    </row>
    <row r="737" spans="1:4">
      <c r="A737" s="40" t="s">
        <v>195</v>
      </c>
      <c r="B737" s="21">
        <v>87.49</v>
      </c>
      <c r="C737" s="21">
        <v>96</v>
      </c>
      <c r="D737">
        <v>9</v>
      </c>
    </row>
    <row r="738" spans="1:4">
      <c r="A738" s="40" t="s">
        <v>196</v>
      </c>
      <c r="B738" s="21">
        <v>70</v>
      </c>
      <c r="C738" s="21">
        <v>77</v>
      </c>
      <c r="D738">
        <v>9</v>
      </c>
    </row>
    <row r="739" spans="1:4">
      <c r="A739" s="40" t="s">
        <v>196</v>
      </c>
      <c r="B739" s="21">
        <v>70</v>
      </c>
      <c r="C739" s="21">
        <v>77</v>
      </c>
      <c r="D739">
        <v>9</v>
      </c>
    </row>
    <row r="740" spans="1:4">
      <c r="A740" s="40" t="s">
        <v>196</v>
      </c>
      <c r="B740" s="21">
        <v>70</v>
      </c>
      <c r="C740" s="21">
        <v>77</v>
      </c>
      <c r="D740">
        <v>9</v>
      </c>
    </row>
    <row r="741" spans="1:4">
      <c r="A741" s="40" t="s">
        <v>196</v>
      </c>
      <c r="B741" s="21">
        <v>75</v>
      </c>
      <c r="C741" s="21">
        <v>82.4</v>
      </c>
      <c r="D741">
        <v>9</v>
      </c>
    </row>
    <row r="742" spans="1:4">
      <c r="A742" s="40" t="s">
        <v>201</v>
      </c>
      <c r="B742" s="21">
        <v>150</v>
      </c>
      <c r="C742" s="21">
        <v>150</v>
      </c>
      <c r="D742">
        <v>9</v>
      </c>
    </row>
    <row r="743" spans="1:4">
      <c r="A743" s="40" t="s">
        <v>196</v>
      </c>
      <c r="B743" s="21">
        <v>70</v>
      </c>
      <c r="C743" s="21">
        <v>70</v>
      </c>
      <c r="D743">
        <v>9</v>
      </c>
    </row>
    <row r="744" spans="1:4">
      <c r="A744" s="40" t="s">
        <v>197</v>
      </c>
      <c r="B744" s="21">
        <v>451</v>
      </c>
      <c r="C744" s="21">
        <v>451</v>
      </c>
      <c r="D744">
        <v>9</v>
      </c>
    </row>
    <row r="745" spans="1:4">
      <c r="A745" s="40" t="s">
        <v>197</v>
      </c>
      <c r="B745" s="21">
        <v>192.5</v>
      </c>
      <c r="C745" s="21">
        <v>192.5</v>
      </c>
      <c r="D745">
        <v>9</v>
      </c>
    </row>
    <row r="746" spans="1:4">
      <c r="A746" s="40" t="s">
        <v>199</v>
      </c>
      <c r="B746" s="21">
        <v>75</v>
      </c>
      <c r="C746" s="21">
        <v>82.5</v>
      </c>
      <c r="D746">
        <v>9</v>
      </c>
    </row>
    <row r="747" spans="1:4">
      <c r="A747" s="40" t="s">
        <v>195</v>
      </c>
      <c r="B747" s="21">
        <v>60</v>
      </c>
      <c r="C747" s="21">
        <v>60</v>
      </c>
      <c r="D747">
        <v>9</v>
      </c>
    </row>
    <row r="748" spans="1:4">
      <c r="A748" s="40" t="s">
        <v>195</v>
      </c>
      <c r="B748" s="21">
        <v>120</v>
      </c>
      <c r="C748" s="21">
        <v>132</v>
      </c>
      <c r="D748">
        <v>9</v>
      </c>
    </row>
    <row r="749" spans="1:4">
      <c r="A749" s="40" t="s">
        <v>202</v>
      </c>
      <c r="B749" s="21">
        <v>50</v>
      </c>
      <c r="C749" s="21">
        <v>50</v>
      </c>
      <c r="D749">
        <v>9</v>
      </c>
    </row>
    <row r="750" spans="1:4">
      <c r="A750" s="40" t="s">
        <v>195</v>
      </c>
      <c r="B750" s="21">
        <v>95</v>
      </c>
      <c r="C750" s="21">
        <v>110</v>
      </c>
      <c r="D750">
        <v>9</v>
      </c>
    </row>
    <row r="751" spans="1:4">
      <c r="A751" s="40" t="s">
        <v>195</v>
      </c>
      <c r="B751" s="21">
        <v>75</v>
      </c>
      <c r="C751" s="21">
        <v>75</v>
      </c>
      <c r="D751">
        <v>9</v>
      </c>
    </row>
    <row r="752" spans="1:4">
      <c r="A752" s="40" t="s">
        <v>195</v>
      </c>
      <c r="B752" s="21">
        <v>87.5</v>
      </c>
      <c r="C752" s="21">
        <v>87.5</v>
      </c>
      <c r="D752">
        <v>9</v>
      </c>
    </row>
    <row r="753" spans="1:4">
      <c r="A753" s="40" t="s">
        <v>199</v>
      </c>
      <c r="B753" s="21">
        <v>55</v>
      </c>
      <c r="C753" s="21">
        <v>55</v>
      </c>
      <c r="D753">
        <v>9</v>
      </c>
    </row>
    <row r="754" spans="1:4">
      <c r="A754" s="40" t="s">
        <v>199</v>
      </c>
      <c r="B754" s="21">
        <v>50</v>
      </c>
      <c r="C754" s="21">
        <v>50</v>
      </c>
      <c r="D754">
        <v>9</v>
      </c>
    </row>
    <row r="755" spans="1:4">
      <c r="A755" s="40" t="s">
        <v>200</v>
      </c>
      <c r="B755" s="21">
        <v>1660</v>
      </c>
      <c r="C755" s="21">
        <v>1660</v>
      </c>
      <c r="D755">
        <v>9</v>
      </c>
    </row>
    <row r="756" spans="1:4">
      <c r="A756" s="40" t="s">
        <v>195</v>
      </c>
      <c r="B756" s="21">
        <v>100</v>
      </c>
      <c r="C756" s="21">
        <v>110</v>
      </c>
      <c r="D756">
        <v>9</v>
      </c>
    </row>
    <row r="757" spans="1:4">
      <c r="A757" s="40" t="s">
        <v>199</v>
      </c>
      <c r="B757" s="21">
        <v>50</v>
      </c>
      <c r="C757" s="21">
        <v>50</v>
      </c>
      <c r="D757">
        <v>9</v>
      </c>
    </row>
    <row r="758" spans="1:4">
      <c r="A758" s="40" t="s">
        <v>196</v>
      </c>
      <c r="B758" s="21">
        <v>140</v>
      </c>
      <c r="C758" s="21">
        <v>154</v>
      </c>
      <c r="D758">
        <v>9</v>
      </c>
    </row>
    <row r="759" spans="1:4">
      <c r="A759" s="40" t="s">
        <v>196</v>
      </c>
      <c r="B759" s="21">
        <v>75</v>
      </c>
      <c r="C759" s="21">
        <v>82.4</v>
      </c>
      <c r="D759">
        <v>9</v>
      </c>
    </row>
    <row r="760" spans="1:4">
      <c r="A760" s="40" t="s">
        <v>195</v>
      </c>
      <c r="B760" s="21">
        <v>80</v>
      </c>
      <c r="C760" s="21">
        <v>145</v>
      </c>
      <c r="D760">
        <v>9</v>
      </c>
    </row>
    <row r="761" spans="1:4">
      <c r="A761" s="40" t="s">
        <v>195</v>
      </c>
      <c r="B761" s="21">
        <v>30</v>
      </c>
      <c r="C761" s="21">
        <v>33</v>
      </c>
      <c r="D761">
        <v>9</v>
      </c>
    </row>
    <row r="762" spans="1:4">
      <c r="A762" s="40" t="s">
        <v>199</v>
      </c>
      <c r="B762" s="21">
        <v>235</v>
      </c>
      <c r="C762" s="21">
        <v>235</v>
      </c>
      <c r="D762">
        <v>9</v>
      </c>
    </row>
    <row r="763" spans="1:4">
      <c r="A763" s="40" t="s">
        <v>199</v>
      </c>
      <c r="B763" s="21">
        <v>235</v>
      </c>
      <c r="C763" s="21">
        <v>235</v>
      </c>
      <c r="D763">
        <v>9</v>
      </c>
    </row>
    <row r="764" spans="1:4">
      <c r="A764" s="40" t="s">
        <v>198</v>
      </c>
      <c r="B764" s="21">
        <v>545</v>
      </c>
      <c r="C764" s="21">
        <v>1554</v>
      </c>
      <c r="D764">
        <v>9</v>
      </c>
    </row>
    <row r="765" spans="1:4">
      <c r="A765" s="40" t="s">
        <v>196</v>
      </c>
      <c r="B765" s="21">
        <v>75</v>
      </c>
      <c r="C765" s="21">
        <v>82.4</v>
      </c>
      <c r="D765">
        <v>9</v>
      </c>
    </row>
    <row r="766" spans="1:4">
      <c r="A766" s="40" t="s">
        <v>199</v>
      </c>
      <c r="B766" s="21">
        <v>121</v>
      </c>
      <c r="C766" s="21">
        <v>121</v>
      </c>
      <c r="D766">
        <v>9</v>
      </c>
    </row>
    <row r="767" spans="1:4">
      <c r="A767" s="40" t="s">
        <v>197</v>
      </c>
      <c r="B767" s="21">
        <v>82.5</v>
      </c>
      <c r="C767" s="21">
        <v>82.5</v>
      </c>
      <c r="D767">
        <v>9</v>
      </c>
    </row>
    <row r="768" spans="1:4">
      <c r="A768" s="40" t="s">
        <v>199</v>
      </c>
      <c r="B768" s="21">
        <v>165</v>
      </c>
      <c r="C768" s="21">
        <v>165</v>
      </c>
      <c r="D768">
        <v>9</v>
      </c>
    </row>
    <row r="769" spans="1:4">
      <c r="A769" s="40" t="s">
        <v>199</v>
      </c>
      <c r="B769" s="21">
        <v>121</v>
      </c>
      <c r="C769" s="21">
        <v>121</v>
      </c>
      <c r="D769">
        <v>9</v>
      </c>
    </row>
    <row r="770" spans="1:4">
      <c r="A770" s="40" t="s">
        <v>197</v>
      </c>
      <c r="B770" s="21">
        <v>82.5</v>
      </c>
      <c r="C770" s="21">
        <v>82.5</v>
      </c>
      <c r="D770">
        <v>9</v>
      </c>
    </row>
    <row r="771" spans="1:4">
      <c r="A771" s="40" t="s">
        <v>196</v>
      </c>
      <c r="B771" s="21">
        <v>110</v>
      </c>
      <c r="C771" s="21">
        <v>121</v>
      </c>
      <c r="D771">
        <v>9</v>
      </c>
    </row>
    <row r="772" spans="1:4">
      <c r="A772" s="40" t="s">
        <v>199</v>
      </c>
      <c r="B772" s="21">
        <v>121</v>
      </c>
      <c r="C772" s="21">
        <v>121</v>
      </c>
      <c r="D772">
        <v>9</v>
      </c>
    </row>
    <row r="773" spans="1:4">
      <c r="A773" s="40" t="s">
        <v>196</v>
      </c>
      <c r="B773" s="21">
        <v>190</v>
      </c>
      <c r="C773" s="21">
        <v>209</v>
      </c>
      <c r="D773">
        <v>9</v>
      </c>
    </row>
    <row r="774" spans="1:4">
      <c r="A774" s="40" t="s">
        <v>195</v>
      </c>
      <c r="B774" s="21">
        <v>30</v>
      </c>
      <c r="C774" s="21">
        <v>30</v>
      </c>
      <c r="D774">
        <v>9</v>
      </c>
    </row>
    <row r="775" spans="1:4">
      <c r="A775" s="40" t="s">
        <v>195</v>
      </c>
      <c r="B775" s="21">
        <v>140</v>
      </c>
      <c r="C775" s="21">
        <v>154</v>
      </c>
      <c r="D775">
        <v>9</v>
      </c>
    </row>
    <row r="776" spans="1:4">
      <c r="A776" s="40" t="s">
        <v>196</v>
      </c>
      <c r="B776" s="21">
        <v>106.05</v>
      </c>
      <c r="C776" s="21">
        <v>191.66</v>
      </c>
      <c r="D776">
        <v>9</v>
      </c>
    </row>
    <row r="777" spans="1:4">
      <c r="A777" s="40" t="s">
        <v>195</v>
      </c>
      <c r="B777" s="21">
        <v>150</v>
      </c>
      <c r="C777" s="21">
        <v>165</v>
      </c>
      <c r="D777">
        <v>9</v>
      </c>
    </row>
    <row r="778" spans="1:4">
      <c r="A778" s="40" t="s">
        <v>199</v>
      </c>
      <c r="B778" s="21">
        <v>250</v>
      </c>
      <c r="C778" s="21">
        <v>250</v>
      </c>
      <c r="D778">
        <v>9</v>
      </c>
    </row>
    <row r="779" spans="1:4">
      <c r="A779" s="40" t="s">
        <v>196</v>
      </c>
      <c r="B779" s="21">
        <v>80</v>
      </c>
      <c r="C779" s="21">
        <v>88</v>
      </c>
      <c r="D779">
        <v>9</v>
      </c>
    </row>
    <row r="780" spans="1:4">
      <c r="A780" s="40" t="s">
        <v>196</v>
      </c>
      <c r="B780" s="21">
        <v>80</v>
      </c>
      <c r="C780" s="21">
        <v>88</v>
      </c>
      <c r="D780">
        <v>9</v>
      </c>
    </row>
    <row r="781" spans="1:4">
      <c r="A781" s="40" t="s">
        <v>199</v>
      </c>
      <c r="B781" s="21">
        <v>60</v>
      </c>
      <c r="C781" s="21">
        <v>60</v>
      </c>
      <c r="D781">
        <v>9</v>
      </c>
    </row>
    <row r="782" spans="1:4">
      <c r="A782" s="40" t="s">
        <v>199</v>
      </c>
      <c r="B782" s="21">
        <v>95</v>
      </c>
      <c r="C782" s="21">
        <v>95</v>
      </c>
      <c r="D782">
        <v>9</v>
      </c>
    </row>
    <row r="783" spans="1:4">
      <c r="A783" s="40" t="s">
        <v>199</v>
      </c>
      <c r="B783" s="21">
        <v>36</v>
      </c>
      <c r="C783" s="21">
        <v>36</v>
      </c>
      <c r="D783">
        <v>9</v>
      </c>
    </row>
    <row r="784" spans="1:4">
      <c r="A784" s="40" t="s">
        <v>199</v>
      </c>
      <c r="B784" s="21">
        <v>36</v>
      </c>
      <c r="C784" s="21">
        <v>36</v>
      </c>
      <c r="D784">
        <v>9</v>
      </c>
    </row>
    <row r="785" spans="1:4">
      <c r="A785" s="40" t="s">
        <v>202</v>
      </c>
      <c r="B785" s="21">
        <v>400</v>
      </c>
      <c r="C785" s="21">
        <v>400</v>
      </c>
      <c r="D785">
        <v>9</v>
      </c>
    </row>
    <row r="786" spans="1:4">
      <c r="A786" s="40" t="s">
        <v>197</v>
      </c>
      <c r="B786" s="21">
        <v>72.599999999999994</v>
      </c>
      <c r="C786" s="21">
        <v>72.599999999999994</v>
      </c>
      <c r="D786">
        <v>9</v>
      </c>
    </row>
    <row r="787" spans="1:4">
      <c r="A787" s="40" t="s">
        <v>199</v>
      </c>
      <c r="B787" s="21">
        <v>60</v>
      </c>
      <c r="C787" s="21">
        <v>60</v>
      </c>
      <c r="D787">
        <v>9</v>
      </c>
    </row>
    <row r="788" spans="1:4">
      <c r="A788" s="40" t="s">
        <v>197</v>
      </c>
      <c r="B788" s="21">
        <v>60</v>
      </c>
      <c r="C788" s="21">
        <v>60</v>
      </c>
      <c r="D788">
        <v>9</v>
      </c>
    </row>
    <row r="789" spans="1:4">
      <c r="A789" s="40" t="s">
        <v>195</v>
      </c>
      <c r="B789" s="21">
        <v>60</v>
      </c>
      <c r="C789" s="21">
        <v>66</v>
      </c>
      <c r="D789">
        <v>9</v>
      </c>
    </row>
    <row r="790" spans="1:4">
      <c r="A790" s="40" t="s">
        <v>195</v>
      </c>
      <c r="B790" s="21">
        <v>60</v>
      </c>
      <c r="C790" s="21">
        <v>66</v>
      </c>
      <c r="D790">
        <v>9</v>
      </c>
    </row>
    <row r="791" spans="1:4">
      <c r="A791" s="40" t="s">
        <v>195</v>
      </c>
      <c r="B791" s="21">
        <v>100</v>
      </c>
      <c r="C791" s="21">
        <v>110</v>
      </c>
      <c r="D791">
        <v>9</v>
      </c>
    </row>
    <row r="792" spans="1:4">
      <c r="A792" s="40" t="s">
        <v>199</v>
      </c>
      <c r="B792" s="21">
        <v>121</v>
      </c>
      <c r="C792" s="21">
        <v>121</v>
      </c>
      <c r="D792">
        <v>9</v>
      </c>
    </row>
    <row r="793" spans="1:4">
      <c r="A793" s="40" t="s">
        <v>197</v>
      </c>
      <c r="B793" s="21">
        <v>412.5</v>
      </c>
      <c r="C793" s="21">
        <v>412.5</v>
      </c>
      <c r="D793">
        <v>9</v>
      </c>
    </row>
    <row r="794" spans="1:4">
      <c r="A794" s="40" t="s">
        <v>199</v>
      </c>
      <c r="B794" s="21">
        <v>176</v>
      </c>
      <c r="C794" s="21">
        <v>176</v>
      </c>
      <c r="D794">
        <v>9</v>
      </c>
    </row>
    <row r="795" spans="1:4">
      <c r="A795" s="40" t="s">
        <v>199</v>
      </c>
      <c r="B795" s="21">
        <v>33</v>
      </c>
      <c r="C795" s="21">
        <v>33</v>
      </c>
      <c r="D795">
        <v>9</v>
      </c>
    </row>
    <row r="796" spans="1:4">
      <c r="A796" s="40" t="s">
        <v>196</v>
      </c>
      <c r="B796" s="21">
        <v>30</v>
      </c>
      <c r="C796" s="21">
        <v>33</v>
      </c>
      <c r="D796">
        <v>9</v>
      </c>
    </row>
    <row r="797" spans="1:4">
      <c r="A797" s="40" t="s">
        <v>198</v>
      </c>
      <c r="B797" s="21">
        <v>230</v>
      </c>
      <c r="C797" s="21">
        <v>230</v>
      </c>
      <c r="D797">
        <v>9</v>
      </c>
    </row>
    <row r="798" spans="1:4">
      <c r="A798" s="40" t="s">
        <v>201</v>
      </c>
      <c r="B798" s="21">
        <v>50</v>
      </c>
      <c r="C798" s="21">
        <v>50</v>
      </c>
      <c r="D798">
        <v>9</v>
      </c>
    </row>
    <row r="799" spans="1:4">
      <c r="A799" s="40" t="s">
        <v>200</v>
      </c>
      <c r="B799" s="21">
        <v>280</v>
      </c>
      <c r="C799" s="21">
        <v>280</v>
      </c>
      <c r="D799">
        <v>9</v>
      </c>
    </row>
    <row r="800" spans="1:4">
      <c r="A800" s="40" t="s">
        <v>201</v>
      </c>
      <c r="B800" s="21">
        <v>165</v>
      </c>
      <c r="C800" s="21">
        <v>165</v>
      </c>
      <c r="D800">
        <v>9</v>
      </c>
    </row>
    <row r="801" spans="1:4">
      <c r="A801" s="40" t="s">
        <v>199</v>
      </c>
      <c r="B801" s="21">
        <v>100</v>
      </c>
      <c r="C801" s="21">
        <v>100</v>
      </c>
      <c r="D801">
        <v>9</v>
      </c>
    </row>
    <row r="802" spans="1:4">
      <c r="A802" s="40" t="s">
        <v>201</v>
      </c>
      <c r="B802" s="21">
        <v>100</v>
      </c>
      <c r="C802" s="21">
        <v>100</v>
      </c>
      <c r="D802">
        <v>9</v>
      </c>
    </row>
    <row r="803" spans="1:4">
      <c r="A803" s="40" t="s">
        <v>201</v>
      </c>
      <c r="B803" s="21">
        <v>100</v>
      </c>
      <c r="C803" s="21">
        <v>100</v>
      </c>
      <c r="D803">
        <v>9</v>
      </c>
    </row>
    <row r="804" spans="1:4">
      <c r="A804" s="40" t="s">
        <v>195</v>
      </c>
      <c r="B804" s="21">
        <v>30</v>
      </c>
      <c r="C804" s="21">
        <v>33</v>
      </c>
      <c r="D804">
        <v>9</v>
      </c>
    </row>
    <row r="805" spans="1:4">
      <c r="A805" s="40" t="s">
        <v>199</v>
      </c>
      <c r="B805" s="21">
        <v>250</v>
      </c>
      <c r="C805" s="21">
        <v>290</v>
      </c>
      <c r="D805">
        <v>9</v>
      </c>
    </row>
    <row r="806" spans="1:4">
      <c r="A806" s="40" t="s">
        <v>201</v>
      </c>
      <c r="B806" s="21">
        <v>120</v>
      </c>
      <c r="C806" s="21">
        <v>120</v>
      </c>
      <c r="D806">
        <v>9</v>
      </c>
    </row>
    <row r="807" spans="1:4">
      <c r="A807" s="40" t="s">
        <v>201</v>
      </c>
      <c r="B807" s="21">
        <v>66.36</v>
      </c>
      <c r="C807" s="21">
        <v>66.36</v>
      </c>
      <c r="D807">
        <v>9</v>
      </c>
    </row>
    <row r="808" spans="1:4">
      <c r="A808" s="40" t="s">
        <v>199</v>
      </c>
      <c r="B808" s="21">
        <v>60</v>
      </c>
      <c r="C808" s="21">
        <v>60</v>
      </c>
      <c r="D808">
        <v>9</v>
      </c>
    </row>
    <row r="809" spans="1:4">
      <c r="A809" s="40" t="s">
        <v>195</v>
      </c>
      <c r="B809" s="21">
        <v>100</v>
      </c>
      <c r="C809" s="21">
        <v>100</v>
      </c>
      <c r="D809">
        <v>9</v>
      </c>
    </row>
    <row r="810" spans="1:4">
      <c r="A810" s="40" t="s">
        <v>200</v>
      </c>
      <c r="B810" s="21">
        <v>132.72</v>
      </c>
      <c r="C810" s="21">
        <v>132.72</v>
      </c>
      <c r="D810">
        <v>9</v>
      </c>
    </row>
    <row r="811" spans="1:4">
      <c r="A811" s="40" t="s">
        <v>200</v>
      </c>
      <c r="B811" s="21">
        <v>89.63</v>
      </c>
      <c r="C811" s="21">
        <v>89.63</v>
      </c>
      <c r="D811">
        <v>9</v>
      </c>
    </row>
    <row r="812" spans="1:4">
      <c r="A812" s="40" t="s">
        <v>200</v>
      </c>
      <c r="B812" s="21">
        <v>106.18</v>
      </c>
      <c r="C812" s="21">
        <v>106.18</v>
      </c>
      <c r="D812">
        <v>9</v>
      </c>
    </row>
    <row r="813" spans="1:4">
      <c r="A813" s="40" t="s">
        <v>200</v>
      </c>
      <c r="B813" s="21">
        <v>1020</v>
      </c>
      <c r="C813" s="21">
        <v>1470</v>
      </c>
      <c r="D813">
        <v>9</v>
      </c>
    </row>
    <row r="814" spans="1:4">
      <c r="A814" s="40" t="s">
        <v>199</v>
      </c>
      <c r="B814" s="21">
        <v>45</v>
      </c>
      <c r="C814" s="21">
        <v>45</v>
      </c>
      <c r="D814">
        <v>9</v>
      </c>
    </row>
    <row r="815" spans="1:4">
      <c r="A815" s="40" t="s">
        <v>200</v>
      </c>
      <c r="B815" s="21">
        <v>106.18</v>
      </c>
      <c r="C815" s="21">
        <v>106.18</v>
      </c>
      <c r="D815">
        <v>9</v>
      </c>
    </row>
    <row r="816" spans="1:4">
      <c r="A816" s="40" t="s">
        <v>196</v>
      </c>
      <c r="B816" s="21">
        <v>50</v>
      </c>
      <c r="C816" s="21">
        <v>50</v>
      </c>
      <c r="D816">
        <v>9</v>
      </c>
    </row>
    <row r="817" spans="1:4">
      <c r="A817" s="40" t="s">
        <v>199</v>
      </c>
      <c r="B817" s="21">
        <v>140</v>
      </c>
      <c r="C817" s="21">
        <v>140</v>
      </c>
      <c r="D817">
        <v>9</v>
      </c>
    </row>
    <row r="818" spans="1:4">
      <c r="A818" s="40" t="s">
        <v>199</v>
      </c>
      <c r="B818" s="21">
        <v>140</v>
      </c>
      <c r="C818" s="21">
        <v>140</v>
      </c>
      <c r="D818">
        <v>9</v>
      </c>
    </row>
    <row r="819" spans="1:4">
      <c r="A819" s="40" t="s">
        <v>201</v>
      </c>
      <c r="B819" s="21">
        <v>20</v>
      </c>
      <c r="C819" s="21">
        <v>20</v>
      </c>
      <c r="D819">
        <v>9</v>
      </c>
    </row>
    <row r="820" spans="1:4">
      <c r="A820" s="40" t="s">
        <v>198</v>
      </c>
      <c r="B820" s="21">
        <v>30</v>
      </c>
      <c r="C820" s="21">
        <v>30</v>
      </c>
      <c r="D820">
        <v>9</v>
      </c>
    </row>
    <row r="821" spans="1:4">
      <c r="A821" s="40" t="s">
        <v>198</v>
      </c>
      <c r="B821" s="21">
        <v>50</v>
      </c>
      <c r="C821" s="21">
        <v>50</v>
      </c>
      <c r="D821">
        <v>9</v>
      </c>
    </row>
    <row r="822" spans="1:4">
      <c r="A822" s="40" t="s">
        <v>198</v>
      </c>
      <c r="B822" s="21">
        <v>30</v>
      </c>
      <c r="C822" s="21">
        <v>30</v>
      </c>
      <c r="D822">
        <v>9</v>
      </c>
    </row>
    <row r="823" spans="1:4">
      <c r="A823" s="40" t="s">
        <v>195</v>
      </c>
      <c r="B823" s="21">
        <v>200</v>
      </c>
      <c r="C823" s="21">
        <v>680</v>
      </c>
      <c r="D823">
        <v>9</v>
      </c>
    </row>
    <row r="824" spans="1:4">
      <c r="A824" s="40" t="s">
        <v>199</v>
      </c>
      <c r="B824" s="21">
        <v>33</v>
      </c>
      <c r="C824" s="21">
        <v>33</v>
      </c>
      <c r="D824">
        <v>9</v>
      </c>
    </row>
    <row r="825" spans="1:4">
      <c r="A825" s="40" t="s">
        <v>198</v>
      </c>
      <c r="B825" s="21">
        <v>60</v>
      </c>
      <c r="C825" s="21">
        <v>60</v>
      </c>
      <c r="D825">
        <v>9</v>
      </c>
    </row>
    <row r="826" spans="1:4">
      <c r="A826" s="40" t="s">
        <v>198</v>
      </c>
      <c r="B826" s="21">
        <v>315</v>
      </c>
      <c r="C826" s="21">
        <v>750</v>
      </c>
      <c r="D826">
        <v>9</v>
      </c>
    </row>
    <row r="827" spans="1:4">
      <c r="A827" s="105" t="s">
        <v>196</v>
      </c>
      <c r="C827" s="21">
        <v>500</v>
      </c>
      <c r="D827">
        <v>9</v>
      </c>
    </row>
    <row r="828" spans="1:4">
      <c r="A828" s="40" t="s">
        <v>195</v>
      </c>
      <c r="B828" s="21">
        <v>60</v>
      </c>
      <c r="C828" s="21">
        <v>60</v>
      </c>
      <c r="D828">
        <v>10</v>
      </c>
    </row>
    <row r="829" spans="1:4">
      <c r="A829" s="40" t="s">
        <v>195</v>
      </c>
      <c r="B829" s="21">
        <v>35</v>
      </c>
      <c r="C829" s="21">
        <v>35</v>
      </c>
      <c r="D829">
        <v>10</v>
      </c>
    </row>
    <row r="830" spans="1:4">
      <c r="A830" s="40" t="s">
        <v>197</v>
      </c>
      <c r="B830" s="21">
        <v>176</v>
      </c>
      <c r="C830" s="21">
        <v>504.3</v>
      </c>
      <c r="D830">
        <v>10</v>
      </c>
    </row>
    <row r="831" spans="1:4">
      <c r="A831" s="40" t="s">
        <v>199</v>
      </c>
      <c r="B831" s="21">
        <v>132</v>
      </c>
      <c r="C831" s="21">
        <v>132</v>
      </c>
      <c r="D831">
        <v>10</v>
      </c>
    </row>
    <row r="832" spans="1:4">
      <c r="A832" s="40" t="s">
        <v>197</v>
      </c>
      <c r="B832" s="21">
        <v>165</v>
      </c>
      <c r="C832" s="21">
        <v>165</v>
      </c>
      <c r="D832">
        <v>10</v>
      </c>
    </row>
    <row r="833" spans="1:4">
      <c r="A833" s="40" t="s">
        <v>201</v>
      </c>
      <c r="B833" s="21">
        <v>70</v>
      </c>
      <c r="C833" s="21">
        <v>70</v>
      </c>
      <c r="D833">
        <v>10</v>
      </c>
    </row>
    <row r="834" spans="1:4">
      <c r="A834" s="40" t="s">
        <v>195</v>
      </c>
      <c r="B834" s="21">
        <v>150</v>
      </c>
      <c r="C834" s="21">
        <v>165</v>
      </c>
      <c r="D834">
        <v>10</v>
      </c>
    </row>
    <row r="835" spans="1:4">
      <c r="A835" s="40" t="s">
        <v>197</v>
      </c>
      <c r="B835" s="21">
        <v>400</v>
      </c>
      <c r="C835" s="21">
        <v>400</v>
      </c>
      <c r="D835">
        <v>10</v>
      </c>
    </row>
    <row r="836" spans="1:4">
      <c r="A836" s="40" t="s">
        <v>196</v>
      </c>
      <c r="B836" s="21">
        <v>75</v>
      </c>
      <c r="C836" s="21">
        <v>82.5</v>
      </c>
      <c r="D836">
        <v>10</v>
      </c>
    </row>
    <row r="837" spans="1:4">
      <c r="A837" s="40" t="s">
        <v>196</v>
      </c>
      <c r="B837" s="21">
        <v>30</v>
      </c>
      <c r="C837" s="21">
        <v>30</v>
      </c>
      <c r="D837">
        <v>10</v>
      </c>
    </row>
    <row r="838" spans="1:4">
      <c r="A838" s="40" t="s">
        <v>197</v>
      </c>
      <c r="B838" s="21">
        <v>500</v>
      </c>
      <c r="C838" s="21">
        <v>500</v>
      </c>
      <c r="D838">
        <v>10</v>
      </c>
    </row>
    <row r="839" spans="1:4">
      <c r="A839" s="40" t="s">
        <v>195</v>
      </c>
      <c r="B839" s="21">
        <v>87.49</v>
      </c>
      <c r="C839" s="21">
        <v>96</v>
      </c>
      <c r="D839">
        <v>10</v>
      </c>
    </row>
    <row r="840" spans="1:4">
      <c r="A840" s="40" t="s">
        <v>196</v>
      </c>
      <c r="B840" s="21">
        <v>75</v>
      </c>
      <c r="C840" s="21">
        <v>82.4</v>
      </c>
      <c r="D840">
        <v>10</v>
      </c>
    </row>
    <row r="841" spans="1:4">
      <c r="A841" s="40" t="s">
        <v>201</v>
      </c>
      <c r="B841" s="21">
        <v>150</v>
      </c>
      <c r="C841" s="21">
        <v>150</v>
      </c>
      <c r="D841">
        <v>10</v>
      </c>
    </row>
    <row r="842" spans="1:4">
      <c r="A842" s="40" t="s">
        <v>197</v>
      </c>
      <c r="B842" s="21">
        <v>451</v>
      </c>
      <c r="C842" s="21">
        <v>451</v>
      </c>
      <c r="D842">
        <v>10</v>
      </c>
    </row>
    <row r="843" spans="1:4">
      <c r="A843" s="40" t="s">
        <v>197</v>
      </c>
      <c r="B843" s="21">
        <v>192.5</v>
      </c>
      <c r="C843" s="21">
        <v>192.5</v>
      </c>
      <c r="D843">
        <v>10</v>
      </c>
    </row>
    <row r="844" spans="1:4">
      <c r="A844" s="40" t="s">
        <v>195</v>
      </c>
      <c r="B844" s="21">
        <v>60</v>
      </c>
      <c r="C844" s="21">
        <v>60</v>
      </c>
      <c r="D844">
        <v>10</v>
      </c>
    </row>
    <row r="845" spans="1:4">
      <c r="A845" s="40" t="s">
        <v>195</v>
      </c>
      <c r="B845" s="21">
        <v>120</v>
      </c>
      <c r="C845" s="21">
        <v>132</v>
      </c>
      <c r="D845">
        <v>10</v>
      </c>
    </row>
    <row r="846" spans="1:4">
      <c r="A846" s="40" t="s">
        <v>202</v>
      </c>
      <c r="B846" s="21">
        <v>50</v>
      </c>
      <c r="C846" s="21">
        <v>50</v>
      </c>
      <c r="D846">
        <v>10</v>
      </c>
    </row>
    <row r="847" spans="1:4">
      <c r="A847" s="40" t="s">
        <v>195</v>
      </c>
      <c r="B847" s="21">
        <v>0</v>
      </c>
      <c r="C847" s="21">
        <v>600</v>
      </c>
      <c r="D847">
        <v>10</v>
      </c>
    </row>
    <row r="848" spans="1:4">
      <c r="A848" s="40" t="s">
        <v>195</v>
      </c>
      <c r="B848" s="21">
        <v>75</v>
      </c>
      <c r="C848" s="21">
        <v>75</v>
      </c>
      <c r="D848">
        <v>10</v>
      </c>
    </row>
    <row r="849" spans="1:4">
      <c r="A849" s="40" t="s">
        <v>195</v>
      </c>
      <c r="B849" s="21">
        <v>87.5</v>
      </c>
      <c r="C849" s="21">
        <v>87.5</v>
      </c>
      <c r="D849">
        <v>10</v>
      </c>
    </row>
    <row r="850" spans="1:4">
      <c r="A850" s="40" t="s">
        <v>199</v>
      </c>
      <c r="B850" s="21">
        <v>55</v>
      </c>
      <c r="C850" s="21">
        <v>55</v>
      </c>
      <c r="D850">
        <v>10</v>
      </c>
    </row>
    <row r="851" spans="1:4">
      <c r="A851" s="40" t="s">
        <v>199</v>
      </c>
      <c r="B851" s="21">
        <v>50</v>
      </c>
      <c r="C851" s="21">
        <v>50</v>
      </c>
      <c r="D851">
        <v>10</v>
      </c>
    </row>
    <row r="852" spans="1:4">
      <c r="A852" s="40" t="s">
        <v>200</v>
      </c>
      <c r="B852" s="21">
        <v>1660</v>
      </c>
      <c r="C852" s="21">
        <v>1660</v>
      </c>
      <c r="D852">
        <v>10</v>
      </c>
    </row>
    <row r="853" spans="1:4">
      <c r="A853" s="40" t="s">
        <v>195</v>
      </c>
      <c r="B853" s="21">
        <v>100</v>
      </c>
      <c r="C853" s="21">
        <v>110</v>
      </c>
      <c r="D853">
        <v>10</v>
      </c>
    </row>
    <row r="854" spans="1:4">
      <c r="A854" s="40" t="s">
        <v>199</v>
      </c>
      <c r="B854" s="21">
        <v>50</v>
      </c>
      <c r="C854" s="21">
        <v>50</v>
      </c>
      <c r="D854">
        <v>10</v>
      </c>
    </row>
    <row r="855" spans="1:4">
      <c r="A855" s="40" t="s">
        <v>196</v>
      </c>
      <c r="B855" s="21">
        <v>140</v>
      </c>
      <c r="C855" s="21">
        <v>154</v>
      </c>
      <c r="D855">
        <v>10</v>
      </c>
    </row>
    <row r="856" spans="1:4">
      <c r="A856" s="40" t="s">
        <v>196</v>
      </c>
      <c r="B856" s="21">
        <v>75</v>
      </c>
      <c r="C856" s="21">
        <v>82.4</v>
      </c>
      <c r="D856">
        <v>10</v>
      </c>
    </row>
    <row r="857" spans="1:4">
      <c r="A857" s="40" t="s">
        <v>195</v>
      </c>
      <c r="B857" s="21">
        <v>80</v>
      </c>
      <c r="C857" s="21">
        <v>110</v>
      </c>
      <c r="D857">
        <v>10</v>
      </c>
    </row>
    <row r="858" spans="1:4">
      <c r="A858" s="40" t="s">
        <v>195</v>
      </c>
      <c r="B858" s="21">
        <v>30</v>
      </c>
      <c r="C858" s="21">
        <v>33</v>
      </c>
      <c r="D858">
        <v>10</v>
      </c>
    </row>
    <row r="859" spans="1:4">
      <c r="A859" s="40" t="s">
        <v>199</v>
      </c>
      <c r="B859" s="21">
        <v>235</v>
      </c>
      <c r="C859" s="21">
        <v>235</v>
      </c>
      <c r="D859">
        <v>10</v>
      </c>
    </row>
    <row r="860" spans="1:4">
      <c r="A860" s="40" t="s">
        <v>199</v>
      </c>
      <c r="B860" s="21">
        <v>235</v>
      </c>
      <c r="C860" s="21">
        <v>235</v>
      </c>
      <c r="D860">
        <v>10</v>
      </c>
    </row>
    <row r="861" spans="1:4">
      <c r="A861" s="40" t="s">
        <v>202</v>
      </c>
      <c r="B861" s="21">
        <v>545</v>
      </c>
      <c r="C861" s="21">
        <v>1464.72</v>
      </c>
      <c r="D861">
        <v>10</v>
      </c>
    </row>
    <row r="862" spans="1:4">
      <c r="A862" s="40" t="s">
        <v>196</v>
      </c>
      <c r="B862" s="21">
        <v>75</v>
      </c>
      <c r="C862" s="21">
        <v>82.4</v>
      </c>
      <c r="D862">
        <v>10</v>
      </c>
    </row>
    <row r="863" spans="1:4">
      <c r="A863" s="40" t="s">
        <v>195</v>
      </c>
      <c r="B863" s="21">
        <v>1000</v>
      </c>
      <c r="D863">
        <v>10</v>
      </c>
    </row>
    <row r="864" spans="1:4">
      <c r="A864" s="40" t="s">
        <v>199</v>
      </c>
      <c r="B864" s="21">
        <v>121</v>
      </c>
      <c r="C864" s="21">
        <v>121</v>
      </c>
      <c r="D864">
        <v>10</v>
      </c>
    </row>
    <row r="865" spans="1:4">
      <c r="A865" s="40" t="s">
        <v>197</v>
      </c>
      <c r="B865" s="21">
        <v>82.5</v>
      </c>
      <c r="C865" s="21">
        <v>82.5</v>
      </c>
      <c r="D865">
        <v>10</v>
      </c>
    </row>
    <row r="866" spans="1:4">
      <c r="A866" s="40" t="s">
        <v>199</v>
      </c>
      <c r="B866" s="21">
        <v>165</v>
      </c>
      <c r="C866" s="21">
        <v>165</v>
      </c>
      <c r="D866">
        <v>10</v>
      </c>
    </row>
    <row r="867" spans="1:4">
      <c r="A867" s="40" t="s">
        <v>199</v>
      </c>
      <c r="B867" s="21">
        <v>121</v>
      </c>
      <c r="C867" s="21">
        <v>121</v>
      </c>
      <c r="D867">
        <v>10</v>
      </c>
    </row>
    <row r="868" spans="1:4">
      <c r="A868" s="40" t="s">
        <v>197</v>
      </c>
      <c r="B868" s="21">
        <v>82.5</v>
      </c>
      <c r="C868" s="21">
        <v>82.5</v>
      </c>
      <c r="D868">
        <v>10</v>
      </c>
    </row>
    <row r="869" spans="1:4">
      <c r="A869" s="40" t="s">
        <v>196</v>
      </c>
      <c r="B869" s="21">
        <v>110</v>
      </c>
      <c r="C869" s="21">
        <v>121</v>
      </c>
      <c r="D869">
        <v>10</v>
      </c>
    </row>
    <row r="870" spans="1:4">
      <c r="A870" s="40" t="s">
        <v>199</v>
      </c>
      <c r="B870" s="21">
        <v>121</v>
      </c>
      <c r="C870" s="21">
        <v>121</v>
      </c>
      <c r="D870">
        <v>10</v>
      </c>
    </row>
    <row r="871" spans="1:4">
      <c r="A871" s="40" t="s">
        <v>196</v>
      </c>
      <c r="B871" s="21">
        <v>190</v>
      </c>
      <c r="C871" s="21">
        <v>209</v>
      </c>
      <c r="D871">
        <v>10</v>
      </c>
    </row>
    <row r="872" spans="1:4">
      <c r="C872" s="21">
        <v>60</v>
      </c>
      <c r="D872">
        <v>10</v>
      </c>
    </row>
    <row r="873" spans="1:4">
      <c r="A873" s="40" t="s">
        <v>195</v>
      </c>
      <c r="B873" s="21">
        <v>30</v>
      </c>
      <c r="C873" s="21">
        <v>30</v>
      </c>
      <c r="D873">
        <v>10</v>
      </c>
    </row>
    <row r="874" spans="1:4">
      <c r="A874" s="40" t="s">
        <v>195</v>
      </c>
      <c r="B874" s="21">
        <v>140</v>
      </c>
      <c r="C874" s="21">
        <v>154</v>
      </c>
      <c r="D874">
        <v>10</v>
      </c>
    </row>
    <row r="875" spans="1:4">
      <c r="A875" s="40" t="s">
        <v>196</v>
      </c>
      <c r="B875" s="21">
        <v>0</v>
      </c>
      <c r="C875" s="21">
        <v>116.66</v>
      </c>
      <c r="D875">
        <v>10</v>
      </c>
    </row>
    <row r="876" spans="1:4">
      <c r="C876" s="21">
        <v>60</v>
      </c>
      <c r="D876">
        <v>10</v>
      </c>
    </row>
    <row r="877" spans="1:4">
      <c r="A877" s="40" t="s">
        <v>195</v>
      </c>
      <c r="B877" s="21">
        <v>150</v>
      </c>
      <c r="C877" s="21">
        <v>165</v>
      </c>
      <c r="D877">
        <v>10</v>
      </c>
    </row>
    <row r="878" spans="1:4">
      <c r="A878" s="40" t="s">
        <v>199</v>
      </c>
      <c r="B878" s="21">
        <v>250</v>
      </c>
      <c r="C878" s="21">
        <v>260</v>
      </c>
      <c r="D878">
        <v>10</v>
      </c>
    </row>
    <row r="879" spans="1:4">
      <c r="A879" s="40" t="s">
        <v>199</v>
      </c>
      <c r="B879" s="21">
        <v>60</v>
      </c>
      <c r="C879" s="21">
        <v>60</v>
      </c>
      <c r="D879">
        <v>10</v>
      </c>
    </row>
    <row r="880" spans="1:4">
      <c r="A880" s="40" t="s">
        <v>199</v>
      </c>
      <c r="B880" s="21">
        <v>95</v>
      </c>
      <c r="C880" s="21">
        <v>95</v>
      </c>
      <c r="D880">
        <v>10</v>
      </c>
    </row>
    <row r="881" spans="1:4">
      <c r="A881" s="40" t="s">
        <v>199</v>
      </c>
      <c r="B881" s="21">
        <v>36</v>
      </c>
      <c r="C881" s="21">
        <v>36</v>
      </c>
      <c r="D881">
        <v>10</v>
      </c>
    </row>
    <row r="882" spans="1:4">
      <c r="A882" s="40" t="s">
        <v>199</v>
      </c>
      <c r="B882" s="21">
        <v>36</v>
      </c>
      <c r="C882" s="21">
        <v>36</v>
      </c>
      <c r="D882">
        <v>10</v>
      </c>
    </row>
    <row r="883" spans="1:4">
      <c r="A883" s="40" t="s">
        <v>202</v>
      </c>
      <c r="B883" s="21">
        <v>400</v>
      </c>
      <c r="C883" s="21">
        <v>400</v>
      </c>
      <c r="D883">
        <v>10</v>
      </c>
    </row>
    <row r="884" spans="1:4">
      <c r="A884" s="40" t="s">
        <v>197</v>
      </c>
      <c r="B884" s="21">
        <v>72.599999999999994</v>
      </c>
      <c r="C884" s="21">
        <v>72.599999999999994</v>
      </c>
      <c r="D884">
        <v>10</v>
      </c>
    </row>
    <row r="885" spans="1:4">
      <c r="A885" s="40" t="s">
        <v>199</v>
      </c>
      <c r="B885" s="21">
        <v>60</v>
      </c>
      <c r="C885" s="21">
        <v>60</v>
      </c>
      <c r="D885">
        <v>10</v>
      </c>
    </row>
    <row r="886" spans="1:4">
      <c r="A886" s="40" t="s">
        <v>197</v>
      </c>
      <c r="B886" s="21">
        <v>60</v>
      </c>
      <c r="C886" s="21">
        <v>60</v>
      </c>
      <c r="D886">
        <v>10</v>
      </c>
    </row>
    <row r="887" spans="1:4">
      <c r="A887" s="40" t="s">
        <v>195</v>
      </c>
      <c r="B887" s="21">
        <v>60</v>
      </c>
      <c r="C887" s="21">
        <v>66</v>
      </c>
      <c r="D887">
        <v>10</v>
      </c>
    </row>
    <row r="888" spans="1:4">
      <c r="A888" s="40" t="s">
        <v>195</v>
      </c>
      <c r="B888" s="21">
        <v>60</v>
      </c>
      <c r="C888" s="21">
        <v>66</v>
      </c>
      <c r="D888">
        <v>10</v>
      </c>
    </row>
    <row r="889" spans="1:4">
      <c r="A889" s="40" t="s">
        <v>195</v>
      </c>
      <c r="B889" s="21">
        <v>100</v>
      </c>
      <c r="C889" s="21">
        <v>110</v>
      </c>
      <c r="D889">
        <v>10</v>
      </c>
    </row>
    <row r="890" spans="1:4">
      <c r="A890" s="40" t="s">
        <v>199</v>
      </c>
      <c r="B890" s="21">
        <v>121</v>
      </c>
      <c r="C890" s="21">
        <v>121</v>
      </c>
      <c r="D890">
        <v>10</v>
      </c>
    </row>
    <row r="891" spans="1:4">
      <c r="A891" s="40" t="s">
        <v>197</v>
      </c>
      <c r="B891" s="21">
        <v>572.5</v>
      </c>
      <c r="C891" s="21">
        <v>572.5</v>
      </c>
      <c r="D891">
        <v>10</v>
      </c>
    </row>
    <row r="892" spans="1:4">
      <c r="A892" s="40" t="s">
        <v>199</v>
      </c>
      <c r="B892" s="21">
        <v>176</v>
      </c>
      <c r="C892" s="21">
        <v>177</v>
      </c>
      <c r="D892">
        <v>10</v>
      </c>
    </row>
    <row r="893" spans="1:4">
      <c r="A893" s="40" t="s">
        <v>199</v>
      </c>
      <c r="B893" s="21">
        <v>33</v>
      </c>
      <c r="C893" s="21">
        <v>33</v>
      </c>
      <c r="D893">
        <v>10</v>
      </c>
    </row>
    <row r="894" spans="1:4">
      <c r="A894" s="40" t="s">
        <v>196</v>
      </c>
      <c r="B894" s="21">
        <v>30</v>
      </c>
      <c r="C894" s="21">
        <v>99</v>
      </c>
      <c r="D894">
        <v>10</v>
      </c>
    </row>
    <row r="895" spans="1:4">
      <c r="A895" s="40" t="s">
        <v>198</v>
      </c>
      <c r="B895" s="21">
        <v>230</v>
      </c>
      <c r="C895" s="21">
        <v>230</v>
      </c>
      <c r="D895">
        <v>10</v>
      </c>
    </row>
    <row r="896" spans="1:4">
      <c r="A896" s="40" t="s">
        <v>201</v>
      </c>
      <c r="B896" s="21">
        <v>50</v>
      </c>
      <c r="C896" s="21">
        <v>50</v>
      </c>
      <c r="D896">
        <v>10</v>
      </c>
    </row>
    <row r="897" spans="1:4">
      <c r="A897" s="40" t="s">
        <v>200</v>
      </c>
      <c r="B897" s="21">
        <v>280</v>
      </c>
      <c r="C897" s="21">
        <v>280</v>
      </c>
      <c r="D897">
        <v>10</v>
      </c>
    </row>
    <row r="898" spans="1:4">
      <c r="A898" s="40" t="s">
        <v>201</v>
      </c>
      <c r="B898" s="21">
        <v>165</v>
      </c>
      <c r="C898" s="21">
        <v>165</v>
      </c>
      <c r="D898">
        <v>10</v>
      </c>
    </row>
    <row r="899" spans="1:4">
      <c r="A899" s="40" t="s">
        <v>199</v>
      </c>
      <c r="B899" s="21">
        <v>100</v>
      </c>
      <c r="C899" s="21">
        <v>100</v>
      </c>
      <c r="D899">
        <v>10</v>
      </c>
    </row>
    <row r="900" spans="1:4">
      <c r="A900" s="40" t="s">
        <v>200</v>
      </c>
      <c r="B900" s="21">
        <v>100</v>
      </c>
      <c r="C900" s="21">
        <v>100</v>
      </c>
      <c r="D900">
        <v>10</v>
      </c>
    </row>
    <row r="901" spans="1:4">
      <c r="A901" s="40" t="s">
        <v>200</v>
      </c>
      <c r="B901" s="21">
        <v>100</v>
      </c>
      <c r="C901" s="21">
        <v>100</v>
      </c>
      <c r="D901">
        <v>10</v>
      </c>
    </row>
    <row r="902" spans="1:4">
      <c r="A902" s="40" t="s">
        <v>195</v>
      </c>
      <c r="B902" s="21">
        <v>30</v>
      </c>
      <c r="C902" s="21">
        <v>33</v>
      </c>
      <c r="D902">
        <v>10</v>
      </c>
    </row>
    <row r="903" spans="1:4">
      <c r="A903" s="40" t="s">
        <v>199</v>
      </c>
      <c r="B903" s="21">
        <v>250</v>
      </c>
      <c r="C903" s="21">
        <v>250</v>
      </c>
      <c r="D903">
        <v>10</v>
      </c>
    </row>
    <row r="904" spans="1:4">
      <c r="A904" s="40" t="s">
        <v>201</v>
      </c>
      <c r="B904" s="21">
        <v>120</v>
      </c>
      <c r="C904" s="21">
        <v>120</v>
      </c>
      <c r="D904">
        <v>10</v>
      </c>
    </row>
    <row r="905" spans="1:4">
      <c r="A905" s="40" t="s">
        <v>201</v>
      </c>
      <c r="B905" s="21">
        <v>66.36</v>
      </c>
      <c r="C905" s="21">
        <v>66.36</v>
      </c>
      <c r="D905">
        <v>10</v>
      </c>
    </row>
    <row r="906" spans="1:4">
      <c r="A906" s="40" t="s">
        <v>199</v>
      </c>
      <c r="B906" s="21">
        <v>30</v>
      </c>
      <c r="C906" s="21">
        <v>30</v>
      </c>
      <c r="D906">
        <v>10</v>
      </c>
    </row>
    <row r="907" spans="1:4">
      <c r="A907" s="40" t="s">
        <v>195</v>
      </c>
      <c r="B907" s="21">
        <v>100</v>
      </c>
      <c r="C907" s="21">
        <v>100</v>
      </c>
      <c r="D907">
        <v>10</v>
      </c>
    </row>
    <row r="908" spans="1:4">
      <c r="A908" s="40" t="s">
        <v>200</v>
      </c>
      <c r="B908" s="21">
        <v>132.72</v>
      </c>
      <c r="C908" s="21">
        <v>132.72</v>
      </c>
      <c r="D908">
        <v>10</v>
      </c>
    </row>
    <row r="909" spans="1:4">
      <c r="A909" s="40" t="s">
        <v>200</v>
      </c>
      <c r="B909" s="21">
        <v>89.63</v>
      </c>
      <c r="C909" s="21">
        <v>89.63</v>
      </c>
      <c r="D909">
        <v>10</v>
      </c>
    </row>
    <row r="910" spans="1:4">
      <c r="A910" s="40" t="s">
        <v>200</v>
      </c>
      <c r="B910" s="21">
        <v>106.18</v>
      </c>
      <c r="C910" s="21">
        <v>106.18</v>
      </c>
      <c r="D910">
        <v>10</v>
      </c>
    </row>
    <row r="911" spans="1:4">
      <c r="A911" s="40" t="s">
        <v>200</v>
      </c>
      <c r="B911" s="21">
        <v>1270</v>
      </c>
      <c r="C911" s="21">
        <v>1270</v>
      </c>
      <c r="D911">
        <v>10</v>
      </c>
    </row>
    <row r="912" spans="1:4">
      <c r="A912" s="40" t="s">
        <v>199</v>
      </c>
      <c r="B912" s="21">
        <v>45</v>
      </c>
      <c r="C912" s="21">
        <v>45</v>
      </c>
      <c r="D912">
        <v>10</v>
      </c>
    </row>
    <row r="913" spans="1:4">
      <c r="A913" s="40" t="s">
        <v>200</v>
      </c>
      <c r="B913" s="21">
        <v>106.18</v>
      </c>
      <c r="C913" s="21">
        <v>106.18</v>
      </c>
      <c r="D913">
        <v>10</v>
      </c>
    </row>
    <row r="914" spans="1:4">
      <c r="A914" s="40" t="s">
        <v>196</v>
      </c>
      <c r="B914" s="21">
        <v>50</v>
      </c>
      <c r="C914" s="21">
        <v>50</v>
      </c>
      <c r="D914">
        <v>10</v>
      </c>
    </row>
    <row r="915" spans="1:4">
      <c r="A915" s="40" t="s">
        <v>199</v>
      </c>
      <c r="B915" s="21">
        <v>140</v>
      </c>
      <c r="C915" s="21">
        <v>140</v>
      </c>
      <c r="D915">
        <v>10</v>
      </c>
    </row>
    <row r="916" spans="1:4">
      <c r="A916" s="40" t="s">
        <v>199</v>
      </c>
      <c r="B916" s="21">
        <v>140</v>
      </c>
      <c r="C916" s="21">
        <v>140</v>
      </c>
      <c r="D916">
        <v>10</v>
      </c>
    </row>
    <row r="917" spans="1:4">
      <c r="A917" s="40" t="s">
        <v>201</v>
      </c>
      <c r="B917" s="21">
        <v>15</v>
      </c>
      <c r="C917" s="21">
        <v>15</v>
      </c>
      <c r="D917">
        <v>10</v>
      </c>
    </row>
    <row r="918" spans="1:4">
      <c r="A918" s="40" t="s">
        <v>201</v>
      </c>
      <c r="B918" s="21">
        <v>30</v>
      </c>
      <c r="C918" s="21">
        <v>30</v>
      </c>
      <c r="D918">
        <v>10</v>
      </c>
    </row>
    <row r="919" spans="1:4">
      <c r="A919" s="40" t="s">
        <v>198</v>
      </c>
      <c r="B919" s="21">
        <v>50</v>
      </c>
      <c r="C919" s="21">
        <v>50</v>
      </c>
      <c r="D919">
        <v>10</v>
      </c>
    </row>
    <row r="920" spans="1:4">
      <c r="A920" s="40" t="s">
        <v>198</v>
      </c>
      <c r="B920" s="21">
        <v>30</v>
      </c>
      <c r="C920" s="21">
        <v>30</v>
      </c>
      <c r="D920">
        <v>10</v>
      </c>
    </row>
    <row r="921" spans="1:4">
      <c r="A921" s="40" t="s">
        <v>195</v>
      </c>
      <c r="B921" s="21">
        <v>200</v>
      </c>
      <c r="C921" s="21">
        <v>200</v>
      </c>
      <c r="D921">
        <v>10</v>
      </c>
    </row>
    <row r="922" spans="1:4">
      <c r="A922" s="40" t="s">
        <v>199</v>
      </c>
      <c r="B922" s="21">
        <v>33</v>
      </c>
      <c r="C922" s="21">
        <v>33</v>
      </c>
      <c r="D922">
        <v>10</v>
      </c>
    </row>
    <row r="923" spans="1:4">
      <c r="A923" s="40" t="s">
        <v>199</v>
      </c>
      <c r="B923" s="21">
        <v>60</v>
      </c>
      <c r="C923" s="21">
        <v>60</v>
      </c>
      <c r="D923">
        <v>10</v>
      </c>
    </row>
    <row r="924" spans="1:4">
      <c r="A924" s="40" t="s">
        <v>198</v>
      </c>
      <c r="B924" s="21">
        <v>50</v>
      </c>
      <c r="C924" s="21">
        <v>50</v>
      </c>
      <c r="D924">
        <v>10</v>
      </c>
    </row>
    <row r="925" spans="1:4">
      <c r="A925" s="40" t="s">
        <v>196</v>
      </c>
      <c r="B925" s="21">
        <v>500</v>
      </c>
      <c r="C925" s="21">
        <v>250</v>
      </c>
      <c r="D925">
        <v>10</v>
      </c>
    </row>
    <row r="926" spans="1:4">
      <c r="A926" s="40" t="s">
        <v>197</v>
      </c>
      <c r="B926" s="21">
        <v>80</v>
      </c>
      <c r="C926" s="21">
        <v>80</v>
      </c>
      <c r="D926">
        <v>10</v>
      </c>
    </row>
    <row r="927" spans="1:4">
      <c r="A927" s="40" t="s">
        <v>197</v>
      </c>
      <c r="B927" s="21">
        <v>60</v>
      </c>
      <c r="C927" s="21">
        <v>60</v>
      </c>
      <c r="D927">
        <v>10</v>
      </c>
    </row>
    <row r="928" spans="1:4">
      <c r="A928" s="40" t="s">
        <v>199</v>
      </c>
      <c r="B928" s="21">
        <v>100</v>
      </c>
      <c r="C928" s="21">
        <v>100</v>
      </c>
      <c r="D928">
        <v>10</v>
      </c>
    </row>
    <row r="929" spans="1:4">
      <c r="A929" s="40" t="s">
        <v>196</v>
      </c>
      <c r="B929" s="21">
        <v>130</v>
      </c>
      <c r="C929" s="21">
        <v>130</v>
      </c>
      <c r="D929">
        <v>10</v>
      </c>
    </row>
    <row r="930" spans="1:4">
      <c r="A930" s="40" t="s">
        <v>198</v>
      </c>
      <c r="B930" s="21">
        <v>50</v>
      </c>
      <c r="C930" s="21">
        <v>50</v>
      </c>
      <c r="D930">
        <v>10</v>
      </c>
    </row>
    <row r="931" spans="1:4">
      <c r="A931" s="40" t="s">
        <v>195</v>
      </c>
      <c r="B931" s="21">
        <v>630</v>
      </c>
      <c r="C931" s="21">
        <v>650</v>
      </c>
      <c r="D931">
        <v>10</v>
      </c>
    </row>
    <row r="932" spans="1:4">
      <c r="A932" s="40" t="s">
        <v>198</v>
      </c>
      <c r="B932" s="21">
        <v>50</v>
      </c>
      <c r="C932" s="21">
        <v>50</v>
      </c>
      <c r="D932">
        <v>10</v>
      </c>
    </row>
    <row r="933" spans="1:4">
      <c r="A933" s="40" t="s">
        <v>197</v>
      </c>
      <c r="B933" s="21">
        <v>400</v>
      </c>
      <c r="C933" s="21">
        <v>0</v>
      </c>
      <c r="D933">
        <v>10</v>
      </c>
    </row>
    <row r="934" spans="1:4">
      <c r="A934" s="40" t="s">
        <v>195</v>
      </c>
      <c r="B934" s="21">
        <v>60</v>
      </c>
      <c r="C934" s="21">
        <v>60</v>
      </c>
      <c r="D934">
        <v>11</v>
      </c>
    </row>
    <row r="935" spans="1:4">
      <c r="A935" s="40" t="s">
        <v>195</v>
      </c>
      <c r="B935" s="21">
        <v>35</v>
      </c>
      <c r="C935" s="21">
        <v>35</v>
      </c>
      <c r="D935">
        <v>11</v>
      </c>
    </row>
    <row r="936" spans="1:4">
      <c r="A936" s="40" t="s">
        <v>197</v>
      </c>
      <c r="B936" s="21">
        <v>176</v>
      </c>
      <c r="C936" s="21">
        <v>274.64999999999998</v>
      </c>
      <c r="D936">
        <v>11</v>
      </c>
    </row>
    <row r="937" spans="1:4">
      <c r="A937" s="40" t="s">
        <v>198</v>
      </c>
      <c r="B937" s="21">
        <v>0</v>
      </c>
      <c r="C937" s="21">
        <v>602</v>
      </c>
      <c r="D937">
        <v>11</v>
      </c>
    </row>
    <row r="938" spans="1:4">
      <c r="A938" s="40" t="s">
        <v>199</v>
      </c>
      <c r="B938" s="21">
        <v>132</v>
      </c>
      <c r="C938" s="21">
        <v>152</v>
      </c>
      <c r="D938">
        <v>11</v>
      </c>
    </row>
    <row r="939" spans="1:4">
      <c r="A939" s="40" t="s">
        <v>197</v>
      </c>
      <c r="B939" s="21">
        <v>165</v>
      </c>
      <c r="C939" s="21">
        <v>165</v>
      </c>
      <c r="D939">
        <v>11</v>
      </c>
    </row>
    <row r="940" spans="1:4">
      <c r="A940" s="40" t="s">
        <v>201</v>
      </c>
      <c r="B940" s="21">
        <v>70</v>
      </c>
      <c r="C940" s="21">
        <v>70</v>
      </c>
      <c r="D940">
        <v>11</v>
      </c>
    </row>
    <row r="941" spans="1:4">
      <c r="A941" s="40" t="s">
        <v>195</v>
      </c>
      <c r="B941" s="21">
        <v>150</v>
      </c>
      <c r="C941" s="21">
        <v>165</v>
      </c>
      <c r="D941">
        <v>11</v>
      </c>
    </row>
    <row r="942" spans="1:4">
      <c r="A942" s="40" t="s">
        <v>197</v>
      </c>
      <c r="B942" s="21">
        <v>400</v>
      </c>
      <c r="C942" s="21">
        <v>0</v>
      </c>
      <c r="D942">
        <v>11</v>
      </c>
    </row>
    <row r="943" spans="1:4">
      <c r="A943" s="40" t="s">
        <v>196</v>
      </c>
      <c r="B943" s="21">
        <v>75</v>
      </c>
      <c r="C943" s="21">
        <v>82.5</v>
      </c>
      <c r="D943">
        <v>11</v>
      </c>
    </row>
    <row r="944" spans="1:4">
      <c r="A944" s="40" t="s">
        <v>196</v>
      </c>
      <c r="B944" s="21">
        <v>30</v>
      </c>
      <c r="C944" s="21">
        <v>472.79</v>
      </c>
      <c r="D944">
        <v>11</v>
      </c>
    </row>
    <row r="945" spans="1:4">
      <c r="A945" s="40" t="s">
        <v>197</v>
      </c>
      <c r="B945" s="21">
        <v>500</v>
      </c>
      <c r="C945" s="21">
        <v>500</v>
      </c>
      <c r="D945">
        <v>11</v>
      </c>
    </row>
    <row r="946" spans="1:4">
      <c r="A946" s="40" t="s">
        <v>195</v>
      </c>
      <c r="B946" s="21">
        <v>87.49</v>
      </c>
      <c r="C946" s="21">
        <v>96</v>
      </c>
      <c r="D946">
        <v>11</v>
      </c>
    </row>
    <row r="947" spans="1:4">
      <c r="A947" s="40" t="s">
        <v>196</v>
      </c>
      <c r="B947" s="21">
        <v>75</v>
      </c>
      <c r="C947" s="21">
        <v>82.4</v>
      </c>
      <c r="D947">
        <v>11</v>
      </c>
    </row>
    <row r="948" spans="1:4">
      <c r="A948" s="40" t="s">
        <v>201</v>
      </c>
      <c r="B948" s="21">
        <v>150</v>
      </c>
      <c r="C948" s="21">
        <v>150</v>
      </c>
      <c r="D948">
        <v>11</v>
      </c>
    </row>
    <row r="949" spans="1:4">
      <c r="A949" s="40" t="s">
        <v>197</v>
      </c>
      <c r="B949" s="21">
        <v>451</v>
      </c>
      <c r="C949" s="21">
        <v>451</v>
      </c>
      <c r="D949">
        <v>11</v>
      </c>
    </row>
    <row r="950" spans="1:4">
      <c r="A950" s="40" t="s">
        <v>197</v>
      </c>
      <c r="B950" s="21">
        <v>192.5</v>
      </c>
      <c r="C950" s="21">
        <v>192.5</v>
      </c>
      <c r="D950">
        <v>11</v>
      </c>
    </row>
    <row r="951" spans="1:4">
      <c r="A951" s="40" t="s">
        <v>195</v>
      </c>
      <c r="B951" s="21">
        <v>60</v>
      </c>
      <c r="C951" s="21">
        <v>60</v>
      </c>
      <c r="D951">
        <v>11</v>
      </c>
    </row>
    <row r="952" spans="1:4">
      <c r="A952" s="40" t="s">
        <v>195</v>
      </c>
      <c r="B952" s="21">
        <v>120</v>
      </c>
      <c r="C952" s="21">
        <v>132</v>
      </c>
      <c r="D952">
        <v>11</v>
      </c>
    </row>
    <row r="953" spans="1:4">
      <c r="A953" s="40" t="s">
        <v>202</v>
      </c>
      <c r="B953" s="21">
        <v>50</v>
      </c>
      <c r="C953" s="21">
        <v>50</v>
      </c>
      <c r="D953">
        <v>11</v>
      </c>
    </row>
    <row r="954" spans="1:4">
      <c r="A954" s="40" t="s">
        <v>195</v>
      </c>
      <c r="B954" s="21">
        <v>0</v>
      </c>
      <c r="C954" s="21">
        <v>110</v>
      </c>
      <c r="D954">
        <v>11</v>
      </c>
    </row>
    <row r="955" spans="1:4">
      <c r="A955" s="40" t="s">
        <v>195</v>
      </c>
      <c r="B955" s="21">
        <v>75</v>
      </c>
      <c r="C955" s="21">
        <v>75</v>
      </c>
      <c r="D955">
        <v>11</v>
      </c>
    </row>
    <row r="956" spans="1:4">
      <c r="A956" s="40" t="s">
        <v>195</v>
      </c>
      <c r="B956" s="21">
        <v>87.5</v>
      </c>
      <c r="C956" s="21">
        <v>87.5</v>
      </c>
      <c r="D956">
        <v>11</v>
      </c>
    </row>
    <row r="957" spans="1:4">
      <c r="A957" s="40" t="s">
        <v>194</v>
      </c>
      <c r="B957" s="21">
        <v>500</v>
      </c>
      <c r="D957">
        <v>11</v>
      </c>
    </row>
    <row r="958" spans="1:4">
      <c r="A958" s="40" t="s">
        <v>199</v>
      </c>
      <c r="B958" s="21">
        <v>55</v>
      </c>
      <c r="C958" s="21">
        <v>55</v>
      </c>
      <c r="D958">
        <v>11</v>
      </c>
    </row>
    <row r="959" spans="1:4">
      <c r="A959" s="40" t="s">
        <v>199</v>
      </c>
      <c r="B959" s="21">
        <v>50</v>
      </c>
      <c r="C959" s="21">
        <v>71</v>
      </c>
      <c r="D959">
        <v>11</v>
      </c>
    </row>
    <row r="960" spans="1:4">
      <c r="A960" s="40" t="s">
        <v>200</v>
      </c>
      <c r="B960" s="21">
        <v>1660</v>
      </c>
      <c r="C960" s="21">
        <v>1660</v>
      </c>
      <c r="D960">
        <v>11</v>
      </c>
    </row>
    <row r="961" spans="1:4">
      <c r="A961" s="40" t="s">
        <v>195</v>
      </c>
      <c r="B961" s="21">
        <v>100</v>
      </c>
      <c r="C961" s="21">
        <v>110</v>
      </c>
      <c r="D961">
        <v>11</v>
      </c>
    </row>
    <row r="962" spans="1:4">
      <c r="A962" s="40" t="s">
        <v>199</v>
      </c>
      <c r="B962" s="21">
        <v>50</v>
      </c>
      <c r="C962" s="21">
        <v>71</v>
      </c>
      <c r="D962">
        <v>11</v>
      </c>
    </row>
    <row r="963" spans="1:4">
      <c r="A963" s="40" t="s">
        <v>196</v>
      </c>
      <c r="B963" s="21">
        <v>140</v>
      </c>
      <c r="C963" s="21">
        <v>154</v>
      </c>
      <c r="D963">
        <v>11</v>
      </c>
    </row>
    <row r="964" spans="1:4">
      <c r="A964" s="40" t="s">
        <v>196</v>
      </c>
      <c r="B964" s="21">
        <v>75</v>
      </c>
      <c r="C964" s="21">
        <v>82.4</v>
      </c>
      <c r="D964">
        <v>11</v>
      </c>
    </row>
    <row r="965" spans="1:4">
      <c r="A965" s="40" t="s">
        <v>195</v>
      </c>
      <c r="B965" s="21">
        <v>80</v>
      </c>
      <c r="C965" s="21">
        <v>110</v>
      </c>
      <c r="D965">
        <v>11</v>
      </c>
    </row>
    <row r="966" spans="1:4">
      <c r="A966" s="40" t="s">
        <v>195</v>
      </c>
      <c r="B966" s="21">
        <v>30</v>
      </c>
      <c r="C966" s="21">
        <v>33</v>
      </c>
      <c r="D966">
        <v>11</v>
      </c>
    </row>
    <row r="967" spans="1:4">
      <c r="A967" s="40" t="s">
        <v>199</v>
      </c>
      <c r="B967" s="21">
        <v>235</v>
      </c>
      <c r="C967" s="21">
        <v>255</v>
      </c>
      <c r="D967">
        <v>11</v>
      </c>
    </row>
    <row r="968" spans="1:4">
      <c r="A968" s="40" t="s">
        <v>199</v>
      </c>
      <c r="B968" s="21">
        <v>235</v>
      </c>
      <c r="C968" s="21">
        <v>255</v>
      </c>
      <c r="D968">
        <v>11</v>
      </c>
    </row>
    <row r="969" spans="1:4">
      <c r="A969" s="40" t="s">
        <v>202</v>
      </c>
      <c r="B969" s="21">
        <v>545</v>
      </c>
      <c r="C969" s="21">
        <v>1258.29</v>
      </c>
      <c r="D969">
        <v>11</v>
      </c>
    </row>
    <row r="970" spans="1:4">
      <c r="A970" s="40" t="s">
        <v>196</v>
      </c>
      <c r="B970" s="21">
        <v>75</v>
      </c>
      <c r="C970" s="21">
        <v>82.4</v>
      </c>
      <c r="D970">
        <v>11</v>
      </c>
    </row>
    <row r="971" spans="1:4">
      <c r="A971" s="40" t="s">
        <v>199</v>
      </c>
      <c r="B971" s="21">
        <v>121</v>
      </c>
      <c r="C971" s="21">
        <v>141</v>
      </c>
      <c r="D971">
        <v>11</v>
      </c>
    </row>
    <row r="972" spans="1:4">
      <c r="A972" s="40" t="s">
        <v>197</v>
      </c>
      <c r="B972" s="21">
        <v>82.5</v>
      </c>
      <c r="C972" s="21">
        <v>82.5</v>
      </c>
      <c r="D972">
        <v>11</v>
      </c>
    </row>
    <row r="973" spans="1:4">
      <c r="A973" s="40" t="s">
        <v>199</v>
      </c>
      <c r="B973" s="21">
        <v>165</v>
      </c>
      <c r="C973" s="21">
        <v>165</v>
      </c>
      <c r="D973">
        <v>11</v>
      </c>
    </row>
    <row r="974" spans="1:4">
      <c r="A974" s="40" t="s">
        <v>199</v>
      </c>
      <c r="B974" s="21">
        <v>121</v>
      </c>
      <c r="C974" s="21">
        <v>121</v>
      </c>
      <c r="D974">
        <v>11</v>
      </c>
    </row>
    <row r="975" spans="1:4">
      <c r="A975" s="40" t="s">
        <v>197</v>
      </c>
      <c r="B975" s="21">
        <v>82.5</v>
      </c>
      <c r="C975" s="21">
        <v>82.5</v>
      </c>
      <c r="D975">
        <v>11</v>
      </c>
    </row>
    <row r="976" spans="1:4">
      <c r="A976" s="40" t="s">
        <v>196</v>
      </c>
      <c r="B976" s="21">
        <v>110</v>
      </c>
      <c r="C976" s="21">
        <v>121</v>
      </c>
      <c r="D976">
        <v>11</v>
      </c>
    </row>
    <row r="977" spans="1:4">
      <c r="A977" s="40" t="s">
        <v>199</v>
      </c>
      <c r="B977" s="21">
        <v>121</v>
      </c>
      <c r="C977" s="21">
        <v>121</v>
      </c>
      <c r="D977">
        <v>11</v>
      </c>
    </row>
    <row r="978" spans="1:4">
      <c r="A978" s="40" t="s">
        <v>196</v>
      </c>
      <c r="B978" s="21">
        <v>190</v>
      </c>
      <c r="C978" s="21">
        <v>209</v>
      </c>
      <c r="D978">
        <v>11</v>
      </c>
    </row>
    <row r="979" spans="1:4">
      <c r="A979" s="40" t="s">
        <v>195</v>
      </c>
      <c r="B979" s="21">
        <v>30</v>
      </c>
      <c r="C979" s="21">
        <v>30</v>
      </c>
      <c r="D979">
        <v>11</v>
      </c>
    </row>
    <row r="980" spans="1:4">
      <c r="A980" s="40" t="s">
        <v>195</v>
      </c>
      <c r="B980" s="21">
        <v>140</v>
      </c>
      <c r="C980" s="21">
        <v>154</v>
      </c>
      <c r="D980">
        <v>11</v>
      </c>
    </row>
    <row r="981" spans="1:4">
      <c r="A981" s="40" t="s">
        <v>195</v>
      </c>
      <c r="B981" s="21">
        <v>150</v>
      </c>
      <c r="C981" s="21">
        <v>165</v>
      </c>
      <c r="D981">
        <v>11</v>
      </c>
    </row>
    <row r="982" spans="1:4">
      <c r="A982" s="40" t="s">
        <v>199</v>
      </c>
      <c r="B982" s="21">
        <v>250</v>
      </c>
      <c r="C982" s="21">
        <v>250</v>
      </c>
      <c r="D982">
        <v>11</v>
      </c>
    </row>
    <row r="983" spans="1:4">
      <c r="A983" s="40" t="s">
        <v>199</v>
      </c>
      <c r="B983" s="21">
        <v>60</v>
      </c>
      <c r="C983" s="21">
        <v>60</v>
      </c>
      <c r="D983">
        <v>11</v>
      </c>
    </row>
    <row r="984" spans="1:4">
      <c r="A984" s="40" t="s">
        <v>199</v>
      </c>
      <c r="B984" s="21">
        <v>95</v>
      </c>
      <c r="C984" s="21">
        <v>96</v>
      </c>
      <c r="D984">
        <v>11</v>
      </c>
    </row>
    <row r="985" spans="1:4">
      <c r="A985" s="40" t="s">
        <v>199</v>
      </c>
      <c r="B985" s="21">
        <v>36</v>
      </c>
      <c r="C985" s="21">
        <v>36</v>
      </c>
      <c r="D985">
        <v>11</v>
      </c>
    </row>
    <row r="986" spans="1:4">
      <c r="A986" s="40" t="s">
        <v>202</v>
      </c>
      <c r="B986" s="21">
        <v>400</v>
      </c>
      <c r="C986" s="21">
        <v>450</v>
      </c>
      <c r="D986">
        <v>11</v>
      </c>
    </row>
    <row r="987" spans="1:4">
      <c r="A987" s="40" t="s">
        <v>197</v>
      </c>
      <c r="B987" s="21">
        <v>72.599999999999994</v>
      </c>
      <c r="C987" s="21">
        <v>72.599999999999994</v>
      </c>
      <c r="D987">
        <v>11</v>
      </c>
    </row>
    <row r="988" spans="1:4">
      <c r="A988" s="40" t="s">
        <v>199</v>
      </c>
      <c r="B988" s="21">
        <v>60</v>
      </c>
      <c r="C988" s="21">
        <v>60</v>
      </c>
      <c r="D988">
        <v>11</v>
      </c>
    </row>
    <row r="989" spans="1:4">
      <c r="A989" s="40" t="s">
        <v>197</v>
      </c>
      <c r="B989" s="21">
        <v>60</v>
      </c>
      <c r="C989" s="21">
        <v>60</v>
      </c>
      <c r="D989">
        <v>11</v>
      </c>
    </row>
    <row r="990" spans="1:4">
      <c r="A990" s="40" t="s">
        <v>195</v>
      </c>
      <c r="B990" s="21">
        <v>60</v>
      </c>
      <c r="C990" s="21">
        <v>66</v>
      </c>
      <c r="D990">
        <v>11</v>
      </c>
    </row>
    <row r="991" spans="1:4">
      <c r="A991" s="40" t="s">
        <v>195</v>
      </c>
      <c r="B991" s="21">
        <v>60</v>
      </c>
      <c r="C991" s="21">
        <v>66</v>
      </c>
      <c r="D991">
        <v>11</v>
      </c>
    </row>
    <row r="992" spans="1:4">
      <c r="A992" s="40" t="s">
        <v>195</v>
      </c>
      <c r="B992" s="21">
        <v>100</v>
      </c>
      <c r="C992" s="21">
        <v>110</v>
      </c>
      <c r="D992">
        <v>11</v>
      </c>
    </row>
    <row r="993" spans="1:4">
      <c r="A993" s="40" t="s">
        <v>199</v>
      </c>
      <c r="B993" s="21">
        <v>121</v>
      </c>
      <c r="C993" s="21">
        <v>121</v>
      </c>
      <c r="D993">
        <v>11</v>
      </c>
    </row>
    <row r="994" spans="1:4">
      <c r="A994" s="40" t="s">
        <v>197</v>
      </c>
      <c r="B994" s="21">
        <v>412.5</v>
      </c>
      <c r="C994" s="21">
        <v>412.5</v>
      </c>
      <c r="D994">
        <v>11</v>
      </c>
    </row>
    <row r="995" spans="1:4">
      <c r="A995" s="40" t="s">
        <v>199</v>
      </c>
      <c r="B995" s="21">
        <v>176</v>
      </c>
      <c r="C995" s="21">
        <v>227</v>
      </c>
      <c r="D995">
        <v>11</v>
      </c>
    </row>
    <row r="996" spans="1:4">
      <c r="A996" s="40" t="s">
        <v>199</v>
      </c>
      <c r="B996" s="21">
        <v>33</v>
      </c>
      <c r="C996" s="21">
        <v>33</v>
      </c>
      <c r="D996">
        <v>11</v>
      </c>
    </row>
    <row r="997" spans="1:4">
      <c r="A997" s="40" t="s">
        <v>196</v>
      </c>
      <c r="B997" s="21">
        <v>30</v>
      </c>
      <c r="D997">
        <v>11</v>
      </c>
    </row>
    <row r="998" spans="1:4">
      <c r="A998" s="40" t="s">
        <v>198</v>
      </c>
      <c r="B998" s="21">
        <v>230</v>
      </c>
      <c r="C998" s="21">
        <v>230</v>
      </c>
      <c r="D998">
        <v>11</v>
      </c>
    </row>
    <row r="999" spans="1:4">
      <c r="A999" s="40" t="s">
        <v>201</v>
      </c>
      <c r="B999" s="21">
        <v>50</v>
      </c>
      <c r="C999" s="21">
        <v>50</v>
      </c>
      <c r="D999">
        <v>11</v>
      </c>
    </row>
    <row r="1000" spans="1:4">
      <c r="A1000" s="40" t="s">
        <v>200</v>
      </c>
      <c r="B1000" s="21">
        <v>280</v>
      </c>
      <c r="C1000" s="21">
        <v>280</v>
      </c>
      <c r="D1000">
        <v>11</v>
      </c>
    </row>
    <row r="1001" spans="1:4">
      <c r="A1001" s="40" t="s">
        <v>198</v>
      </c>
      <c r="B1001" s="21">
        <v>0</v>
      </c>
      <c r="C1001" s="21">
        <v>-412.5</v>
      </c>
      <c r="D1001">
        <v>11</v>
      </c>
    </row>
    <row r="1002" spans="1:4">
      <c r="A1002" s="40" t="s">
        <v>199</v>
      </c>
      <c r="B1002" s="21">
        <v>100</v>
      </c>
      <c r="C1002" s="21">
        <v>100</v>
      </c>
      <c r="D1002">
        <v>11</v>
      </c>
    </row>
    <row r="1003" spans="1:4">
      <c r="A1003" s="40" t="s">
        <v>200</v>
      </c>
      <c r="B1003" s="21">
        <v>100</v>
      </c>
      <c r="C1003" s="21">
        <v>100</v>
      </c>
      <c r="D1003">
        <v>11</v>
      </c>
    </row>
    <row r="1004" spans="1:4">
      <c r="A1004" s="40" t="s">
        <v>200</v>
      </c>
      <c r="B1004" s="21">
        <v>100</v>
      </c>
      <c r="C1004" s="21">
        <v>100</v>
      </c>
      <c r="D1004">
        <v>11</v>
      </c>
    </row>
    <row r="1005" spans="1:4">
      <c r="A1005" s="40" t="s">
        <v>195</v>
      </c>
      <c r="B1005" s="21">
        <v>30</v>
      </c>
      <c r="C1005" s="21">
        <v>33</v>
      </c>
      <c r="D1005">
        <v>11</v>
      </c>
    </row>
    <row r="1006" spans="1:4">
      <c r="A1006" s="40" t="s">
        <v>199</v>
      </c>
      <c r="B1006" s="21">
        <v>250</v>
      </c>
      <c r="C1006" s="21">
        <v>250</v>
      </c>
      <c r="D1006">
        <v>11</v>
      </c>
    </row>
    <row r="1007" spans="1:4">
      <c r="A1007" s="40" t="s">
        <v>201</v>
      </c>
      <c r="B1007" s="21">
        <v>120</v>
      </c>
      <c r="C1007" s="21">
        <v>120</v>
      </c>
      <c r="D1007">
        <v>11</v>
      </c>
    </row>
    <row r="1008" spans="1:4">
      <c r="A1008" s="40" t="s">
        <v>201</v>
      </c>
      <c r="B1008" s="21">
        <v>66.36</v>
      </c>
      <c r="C1008" s="21">
        <v>66.36</v>
      </c>
      <c r="D1008">
        <v>11</v>
      </c>
    </row>
    <row r="1009" spans="1:4">
      <c r="A1009" s="40" t="s">
        <v>199</v>
      </c>
      <c r="B1009" s="21">
        <v>30</v>
      </c>
      <c r="C1009" s="21">
        <v>30</v>
      </c>
      <c r="D1009">
        <v>11</v>
      </c>
    </row>
    <row r="1010" spans="1:4">
      <c r="A1010" s="40" t="s">
        <v>195</v>
      </c>
      <c r="B1010" s="21">
        <v>100</v>
      </c>
      <c r="C1010" s="21">
        <v>100</v>
      </c>
      <c r="D1010">
        <v>11</v>
      </c>
    </row>
    <row r="1011" spans="1:4">
      <c r="A1011" s="40" t="s">
        <v>200</v>
      </c>
      <c r="B1011" s="21">
        <v>132.72</v>
      </c>
      <c r="C1011" s="21">
        <v>132.72</v>
      </c>
      <c r="D1011">
        <v>11</v>
      </c>
    </row>
    <row r="1012" spans="1:4">
      <c r="A1012" s="40" t="s">
        <v>200</v>
      </c>
      <c r="B1012" s="21">
        <v>89.63</v>
      </c>
      <c r="C1012" s="21">
        <v>89.63</v>
      </c>
      <c r="D1012">
        <v>11</v>
      </c>
    </row>
    <row r="1013" spans="1:4">
      <c r="A1013" s="40" t="s">
        <v>200</v>
      </c>
      <c r="B1013" s="21">
        <v>106.18</v>
      </c>
      <c r="C1013" s="21">
        <v>106.18</v>
      </c>
      <c r="D1013">
        <v>11</v>
      </c>
    </row>
    <row r="1014" spans="1:4">
      <c r="A1014" s="40" t="s">
        <v>200</v>
      </c>
      <c r="B1014" s="21">
        <v>1020</v>
      </c>
      <c r="C1014" s="21">
        <v>1320</v>
      </c>
      <c r="D1014">
        <v>11</v>
      </c>
    </row>
    <row r="1015" spans="1:4">
      <c r="A1015" s="40" t="s">
        <v>199</v>
      </c>
      <c r="B1015" s="21">
        <v>45</v>
      </c>
      <c r="C1015" s="21">
        <v>45</v>
      </c>
      <c r="D1015">
        <v>11</v>
      </c>
    </row>
    <row r="1016" spans="1:4">
      <c r="A1016" s="40" t="s">
        <v>200</v>
      </c>
      <c r="B1016" s="21">
        <v>106.18</v>
      </c>
      <c r="C1016" s="21">
        <v>106.18</v>
      </c>
      <c r="D1016">
        <v>11</v>
      </c>
    </row>
    <row r="1017" spans="1:4">
      <c r="A1017" s="40" t="s">
        <v>196</v>
      </c>
      <c r="B1017" s="21">
        <v>50</v>
      </c>
      <c r="C1017" s="21">
        <v>50</v>
      </c>
      <c r="D1017">
        <v>11</v>
      </c>
    </row>
    <row r="1018" spans="1:4">
      <c r="A1018" s="40" t="s">
        <v>199</v>
      </c>
      <c r="B1018" s="21">
        <v>140</v>
      </c>
      <c r="C1018" s="21">
        <v>140</v>
      </c>
      <c r="D1018">
        <v>11</v>
      </c>
    </row>
    <row r="1019" spans="1:4">
      <c r="A1019" s="40" t="s">
        <v>199</v>
      </c>
      <c r="B1019" s="21">
        <v>140</v>
      </c>
      <c r="C1019" s="21">
        <v>140</v>
      </c>
      <c r="D1019">
        <v>11</v>
      </c>
    </row>
    <row r="1020" spans="1:4">
      <c r="A1020" s="40" t="s">
        <v>201</v>
      </c>
      <c r="B1020" s="21">
        <v>15</v>
      </c>
      <c r="C1020" s="21">
        <v>15</v>
      </c>
      <c r="D1020">
        <v>11</v>
      </c>
    </row>
    <row r="1021" spans="1:4">
      <c r="A1021" s="40" t="s">
        <v>201</v>
      </c>
      <c r="B1021" s="21">
        <v>30</v>
      </c>
      <c r="C1021" s="21">
        <v>30</v>
      </c>
      <c r="D1021">
        <v>11</v>
      </c>
    </row>
    <row r="1022" spans="1:4">
      <c r="A1022" s="40" t="s">
        <v>198</v>
      </c>
      <c r="B1022" s="21">
        <v>50</v>
      </c>
      <c r="C1022" s="21">
        <v>50</v>
      </c>
      <c r="D1022">
        <v>11</v>
      </c>
    </row>
    <row r="1023" spans="1:4">
      <c r="A1023" s="40" t="s">
        <v>198</v>
      </c>
      <c r="B1023" s="21">
        <v>30</v>
      </c>
      <c r="C1023" s="21">
        <v>30</v>
      </c>
      <c r="D1023">
        <v>11</v>
      </c>
    </row>
    <row r="1024" spans="1:4">
      <c r="A1024" s="40" t="s">
        <v>195</v>
      </c>
      <c r="B1024" s="21">
        <v>200</v>
      </c>
      <c r="C1024" s="21">
        <v>200</v>
      </c>
      <c r="D1024">
        <v>11</v>
      </c>
    </row>
    <row r="1025" spans="1:4">
      <c r="A1025" s="40" t="s">
        <v>199</v>
      </c>
      <c r="B1025" s="21">
        <v>33</v>
      </c>
      <c r="C1025" s="21">
        <v>33</v>
      </c>
      <c r="D1025">
        <v>11</v>
      </c>
    </row>
    <row r="1026" spans="1:4">
      <c r="A1026" s="40" t="s">
        <v>199</v>
      </c>
      <c r="B1026" s="21">
        <v>60</v>
      </c>
      <c r="C1026" s="21">
        <v>60</v>
      </c>
      <c r="D1026">
        <v>11</v>
      </c>
    </row>
    <row r="1027" spans="1:4">
      <c r="A1027" s="40" t="s">
        <v>200</v>
      </c>
      <c r="B1027" s="21">
        <v>450</v>
      </c>
      <c r="C1027" s="21">
        <v>475</v>
      </c>
      <c r="D1027">
        <v>11</v>
      </c>
    </row>
    <row r="1028" spans="1:4">
      <c r="A1028" s="40" t="s">
        <v>196</v>
      </c>
      <c r="B1028" s="21">
        <v>250</v>
      </c>
      <c r="D1028">
        <v>11</v>
      </c>
    </row>
    <row r="1029" spans="1:4">
      <c r="A1029" s="40" t="s">
        <v>197</v>
      </c>
      <c r="B1029" s="21">
        <v>80</v>
      </c>
      <c r="C1029" s="21">
        <v>80</v>
      </c>
      <c r="D1029">
        <v>11</v>
      </c>
    </row>
    <row r="1030" spans="1:4">
      <c r="A1030" s="40" t="s">
        <v>197</v>
      </c>
      <c r="B1030" s="21">
        <v>60</v>
      </c>
      <c r="C1030" s="21">
        <v>60</v>
      </c>
      <c r="D1030">
        <v>11</v>
      </c>
    </row>
    <row r="1031" spans="1:4">
      <c r="A1031" s="40" t="s">
        <v>199</v>
      </c>
      <c r="B1031" s="21">
        <v>100</v>
      </c>
      <c r="C1031" s="21">
        <v>100</v>
      </c>
      <c r="D1031">
        <v>11</v>
      </c>
    </row>
    <row r="1032" spans="1:4">
      <c r="A1032" s="40" t="s">
        <v>198</v>
      </c>
      <c r="B1032" s="21">
        <v>50</v>
      </c>
      <c r="C1032" s="21">
        <v>50</v>
      </c>
      <c r="D1032">
        <v>11</v>
      </c>
    </row>
    <row r="1033" spans="1:4">
      <c r="A1033" s="40" t="s">
        <v>195</v>
      </c>
      <c r="B1033" s="21">
        <v>130</v>
      </c>
      <c r="D1033">
        <v>11</v>
      </c>
    </row>
    <row r="1034" spans="1:4">
      <c r="A1034" s="40" t="s">
        <v>198</v>
      </c>
      <c r="B1034" s="21">
        <v>50</v>
      </c>
      <c r="C1034" s="21">
        <v>300</v>
      </c>
      <c r="D1034">
        <v>11</v>
      </c>
    </row>
    <row r="1035" spans="1:4">
      <c r="A1035" s="40" t="s">
        <v>197</v>
      </c>
      <c r="B1035" s="21">
        <v>400</v>
      </c>
      <c r="C1035" s="21">
        <v>400</v>
      </c>
      <c r="D1035">
        <v>11</v>
      </c>
    </row>
    <row r="1036" spans="1:4">
      <c r="A1036" s="40" t="s">
        <v>198</v>
      </c>
      <c r="B1036" s="21">
        <v>30</v>
      </c>
      <c r="C1036" s="21">
        <v>30</v>
      </c>
      <c r="D1036">
        <v>11</v>
      </c>
    </row>
    <row r="1037" spans="1:4">
      <c r="A1037" s="40" t="s">
        <v>196</v>
      </c>
      <c r="B1037" s="21">
        <v>100</v>
      </c>
      <c r="D1037">
        <v>11</v>
      </c>
    </row>
    <row r="1038" spans="1:4">
      <c r="A1038" s="40" t="s">
        <v>195</v>
      </c>
      <c r="B1038" s="21">
        <v>60</v>
      </c>
      <c r="C1038" s="21">
        <v>60</v>
      </c>
      <c r="D1038">
        <v>12</v>
      </c>
    </row>
    <row r="1039" spans="1:4">
      <c r="A1039" s="40" t="s">
        <v>196</v>
      </c>
      <c r="B1039" s="21">
        <v>70</v>
      </c>
      <c r="C1039" s="21">
        <v>77</v>
      </c>
      <c r="D1039">
        <v>12</v>
      </c>
    </row>
    <row r="1040" spans="1:4">
      <c r="A1040" s="40" t="s">
        <v>195</v>
      </c>
      <c r="B1040" s="21">
        <v>35</v>
      </c>
      <c r="C1040" s="21">
        <v>35</v>
      </c>
      <c r="D1040">
        <v>12</v>
      </c>
    </row>
    <row r="1041" spans="1:4">
      <c r="A1041" s="40" t="s">
        <v>197</v>
      </c>
      <c r="B1041" s="21">
        <v>176</v>
      </c>
      <c r="C1041" s="21">
        <v>294.7</v>
      </c>
      <c r="D1041">
        <v>12</v>
      </c>
    </row>
    <row r="1042" spans="1:4">
      <c r="A1042" s="40" t="s">
        <v>199</v>
      </c>
      <c r="B1042" s="21">
        <v>120</v>
      </c>
      <c r="C1042" s="21">
        <v>132</v>
      </c>
      <c r="D1042">
        <v>12</v>
      </c>
    </row>
    <row r="1043" spans="1:4">
      <c r="A1043" s="40" t="s">
        <v>197</v>
      </c>
      <c r="B1043" s="21">
        <v>165</v>
      </c>
      <c r="C1043" s="21">
        <v>165</v>
      </c>
      <c r="D1043">
        <v>12</v>
      </c>
    </row>
    <row r="1044" spans="1:4">
      <c r="A1044" s="40" t="s">
        <v>201</v>
      </c>
      <c r="B1044" s="21">
        <v>70</v>
      </c>
      <c r="C1044" s="21">
        <v>70</v>
      </c>
      <c r="D1044">
        <v>12</v>
      </c>
    </row>
    <row r="1045" spans="1:4">
      <c r="A1045" s="40" t="s">
        <v>195</v>
      </c>
      <c r="B1045" s="21">
        <v>150</v>
      </c>
      <c r="C1045" s="21">
        <v>165</v>
      </c>
      <c r="D1045">
        <v>12</v>
      </c>
    </row>
    <row r="1046" spans="1:4">
      <c r="A1046" s="40" t="s">
        <v>197</v>
      </c>
      <c r="B1046" s="21">
        <v>400</v>
      </c>
      <c r="C1046" s="21">
        <v>0</v>
      </c>
      <c r="D1046">
        <v>12</v>
      </c>
    </row>
    <row r="1047" spans="1:4">
      <c r="A1047" s="40" t="s">
        <v>196</v>
      </c>
      <c r="B1047" s="21">
        <v>75</v>
      </c>
      <c r="C1047" s="21">
        <v>82.5</v>
      </c>
      <c r="D1047">
        <v>12</v>
      </c>
    </row>
    <row r="1048" spans="1:4">
      <c r="A1048" s="40" t="s">
        <v>196</v>
      </c>
      <c r="B1048" s="21">
        <v>30</v>
      </c>
      <c r="D1048">
        <v>12</v>
      </c>
    </row>
    <row r="1049" spans="1:4">
      <c r="A1049" s="40" t="s">
        <v>197</v>
      </c>
      <c r="B1049" s="21">
        <v>500</v>
      </c>
      <c r="C1049" s="21">
        <v>500</v>
      </c>
      <c r="D1049">
        <v>12</v>
      </c>
    </row>
    <row r="1050" spans="1:4">
      <c r="A1050" s="40" t="s">
        <v>195</v>
      </c>
      <c r="B1050" s="21">
        <v>87.49</v>
      </c>
      <c r="C1050" s="21">
        <v>96</v>
      </c>
      <c r="D1050">
        <v>12</v>
      </c>
    </row>
    <row r="1051" spans="1:4">
      <c r="A1051" s="40" t="s">
        <v>196</v>
      </c>
      <c r="B1051" s="21">
        <v>70</v>
      </c>
      <c r="C1051" s="21">
        <v>77</v>
      </c>
      <c r="D1051">
        <v>12</v>
      </c>
    </row>
    <row r="1052" spans="1:4">
      <c r="A1052" s="40" t="s">
        <v>196</v>
      </c>
      <c r="B1052" s="21">
        <v>70</v>
      </c>
      <c r="C1052" s="21">
        <v>77</v>
      </c>
      <c r="D1052">
        <v>12</v>
      </c>
    </row>
    <row r="1053" spans="1:4">
      <c r="A1053" s="40" t="s">
        <v>196</v>
      </c>
      <c r="B1053" s="21">
        <v>70</v>
      </c>
      <c r="C1053" s="21">
        <v>77</v>
      </c>
      <c r="D1053">
        <v>12</v>
      </c>
    </row>
    <row r="1054" spans="1:4">
      <c r="A1054" s="40" t="s">
        <v>196</v>
      </c>
      <c r="B1054" s="21">
        <v>75</v>
      </c>
      <c r="C1054" s="21">
        <v>82.4</v>
      </c>
      <c r="D1054">
        <v>12</v>
      </c>
    </row>
    <row r="1055" spans="1:4">
      <c r="A1055" s="40" t="s">
        <v>201</v>
      </c>
      <c r="B1055" s="21">
        <v>150</v>
      </c>
      <c r="C1055" s="21">
        <v>150</v>
      </c>
      <c r="D1055">
        <v>12</v>
      </c>
    </row>
    <row r="1056" spans="1:4">
      <c r="A1056" s="40" t="s">
        <v>196</v>
      </c>
      <c r="B1056" s="21">
        <v>70</v>
      </c>
      <c r="C1056" s="21">
        <v>87.5</v>
      </c>
      <c r="D1056">
        <v>12</v>
      </c>
    </row>
    <row r="1057" spans="1:4">
      <c r="A1057" s="40" t="s">
        <v>197</v>
      </c>
      <c r="B1057" s="21">
        <v>451</v>
      </c>
      <c r="C1057" s="21">
        <v>451</v>
      </c>
      <c r="D1057">
        <v>12</v>
      </c>
    </row>
    <row r="1058" spans="1:4">
      <c r="A1058" s="40" t="s">
        <v>197</v>
      </c>
      <c r="B1058" s="21">
        <v>192.5</v>
      </c>
      <c r="C1058" s="21">
        <v>192.5</v>
      </c>
      <c r="D1058">
        <v>12</v>
      </c>
    </row>
    <row r="1059" spans="1:4">
      <c r="A1059" s="40" t="s">
        <v>199</v>
      </c>
      <c r="B1059" s="21">
        <v>75</v>
      </c>
      <c r="C1059" s="21">
        <v>82.5</v>
      </c>
      <c r="D1059">
        <v>12</v>
      </c>
    </row>
    <row r="1060" spans="1:4">
      <c r="A1060" s="40" t="s">
        <v>200</v>
      </c>
      <c r="B1060" s="21">
        <v>100</v>
      </c>
      <c r="C1060" s="21">
        <v>150</v>
      </c>
      <c r="D1060">
        <v>12</v>
      </c>
    </row>
    <row r="1061" spans="1:4">
      <c r="A1061" s="40" t="s">
        <v>195</v>
      </c>
      <c r="B1061" s="21">
        <v>60</v>
      </c>
      <c r="C1061" s="21">
        <v>60</v>
      </c>
      <c r="D1061">
        <v>12</v>
      </c>
    </row>
    <row r="1062" spans="1:4">
      <c r="A1062" s="40" t="s">
        <v>195</v>
      </c>
      <c r="B1062" s="21">
        <v>120</v>
      </c>
      <c r="C1062" s="21">
        <v>132</v>
      </c>
      <c r="D1062">
        <v>12</v>
      </c>
    </row>
    <row r="1063" spans="1:4">
      <c r="A1063" s="40" t="s">
        <v>202</v>
      </c>
      <c r="B1063" s="21">
        <v>50</v>
      </c>
      <c r="C1063" s="21">
        <v>50</v>
      </c>
      <c r="D1063">
        <v>12</v>
      </c>
    </row>
    <row r="1064" spans="1:4">
      <c r="A1064" s="40" t="s">
        <v>195</v>
      </c>
      <c r="B1064" s="21">
        <v>95</v>
      </c>
      <c r="C1064" s="21">
        <v>137.5</v>
      </c>
      <c r="D1064">
        <v>12</v>
      </c>
    </row>
    <row r="1065" spans="1:4">
      <c r="A1065" s="40" t="s">
        <v>195</v>
      </c>
      <c r="B1065" s="21">
        <v>75</v>
      </c>
      <c r="C1065" s="21">
        <v>75</v>
      </c>
      <c r="D1065">
        <v>12</v>
      </c>
    </row>
    <row r="1066" spans="1:4">
      <c r="A1066" s="40" t="s">
        <v>195</v>
      </c>
      <c r="B1066" s="21">
        <v>87.5</v>
      </c>
      <c r="C1066" s="21">
        <v>87.5</v>
      </c>
      <c r="D1066">
        <v>12</v>
      </c>
    </row>
    <row r="1067" spans="1:4">
      <c r="A1067" s="40" t="s">
        <v>199</v>
      </c>
      <c r="B1067" s="21">
        <v>350</v>
      </c>
      <c r="C1067" s="21">
        <v>375</v>
      </c>
      <c r="D1067">
        <v>12</v>
      </c>
    </row>
    <row r="1068" spans="1:4">
      <c r="A1068" s="40" t="s">
        <v>199</v>
      </c>
      <c r="B1068" s="21">
        <v>45</v>
      </c>
      <c r="C1068" s="21">
        <v>50</v>
      </c>
      <c r="D1068">
        <v>12</v>
      </c>
    </row>
    <row r="1069" spans="1:4">
      <c r="A1069" s="40" t="s">
        <v>200</v>
      </c>
      <c r="B1069" s="21">
        <v>1660</v>
      </c>
      <c r="C1069" s="21">
        <v>2055.5</v>
      </c>
      <c r="D1069">
        <v>12</v>
      </c>
    </row>
    <row r="1070" spans="1:4">
      <c r="A1070" s="40" t="s">
        <v>195</v>
      </c>
      <c r="B1070" s="21">
        <v>100</v>
      </c>
      <c r="C1070" s="21">
        <v>110</v>
      </c>
      <c r="D1070">
        <v>12</v>
      </c>
    </row>
    <row r="1071" spans="1:4">
      <c r="A1071" s="40" t="s">
        <v>199</v>
      </c>
      <c r="B1071" s="21">
        <v>45</v>
      </c>
      <c r="C1071" s="21">
        <v>50</v>
      </c>
      <c r="D1071">
        <v>12</v>
      </c>
    </row>
    <row r="1072" spans="1:4">
      <c r="A1072" s="40" t="s">
        <v>196</v>
      </c>
      <c r="B1072" s="21">
        <v>140</v>
      </c>
      <c r="C1072" s="21">
        <v>154</v>
      </c>
      <c r="D1072">
        <v>12</v>
      </c>
    </row>
    <row r="1073" spans="1:4">
      <c r="A1073" s="40" t="s">
        <v>196</v>
      </c>
      <c r="B1073" s="21">
        <v>75</v>
      </c>
      <c r="C1073" s="21">
        <v>82.4</v>
      </c>
      <c r="D1073">
        <v>12</v>
      </c>
    </row>
    <row r="1074" spans="1:4">
      <c r="A1074" s="40" t="s">
        <v>195</v>
      </c>
      <c r="B1074" s="21">
        <v>80</v>
      </c>
      <c r="C1074" s="21">
        <v>110</v>
      </c>
      <c r="D1074">
        <v>12</v>
      </c>
    </row>
    <row r="1075" spans="1:4">
      <c r="A1075" s="40" t="s">
        <v>195</v>
      </c>
      <c r="B1075" s="21">
        <v>30</v>
      </c>
      <c r="C1075" s="21">
        <v>33</v>
      </c>
      <c r="D1075">
        <v>12</v>
      </c>
    </row>
    <row r="1076" spans="1:4">
      <c r="A1076" s="40" t="s">
        <v>199</v>
      </c>
      <c r="B1076" s="21">
        <v>175</v>
      </c>
      <c r="C1076" s="21">
        <v>235</v>
      </c>
      <c r="D1076">
        <v>12</v>
      </c>
    </row>
    <row r="1077" spans="1:4">
      <c r="A1077" s="40" t="s">
        <v>199</v>
      </c>
      <c r="B1077" s="21">
        <v>175</v>
      </c>
      <c r="C1077" s="21">
        <v>235</v>
      </c>
      <c r="D1077">
        <v>12</v>
      </c>
    </row>
    <row r="1078" spans="1:4">
      <c r="A1078" s="40" t="s">
        <v>202</v>
      </c>
      <c r="B1078" s="21">
        <v>545</v>
      </c>
      <c r="C1078" s="21">
        <v>1184.58</v>
      </c>
      <c r="D1078">
        <v>12</v>
      </c>
    </row>
    <row r="1079" spans="1:4">
      <c r="A1079" s="40" t="s">
        <v>196</v>
      </c>
      <c r="B1079" s="21">
        <v>75</v>
      </c>
      <c r="C1079" s="21">
        <v>82.5</v>
      </c>
      <c r="D1079">
        <v>12</v>
      </c>
    </row>
    <row r="1080" spans="1:4">
      <c r="A1080" s="40" t="s">
        <v>194</v>
      </c>
      <c r="B1080" s="21">
        <v>500</v>
      </c>
      <c r="D1080">
        <v>12</v>
      </c>
    </row>
    <row r="1081" spans="1:4">
      <c r="A1081" s="40" t="s">
        <v>199</v>
      </c>
      <c r="B1081" s="21">
        <v>110</v>
      </c>
      <c r="C1081" s="21">
        <v>121</v>
      </c>
      <c r="D1081">
        <v>12</v>
      </c>
    </row>
    <row r="1082" spans="1:4">
      <c r="A1082" s="40" t="s">
        <v>197</v>
      </c>
      <c r="B1082" s="21">
        <v>82.5</v>
      </c>
      <c r="C1082" s="21">
        <v>82.5</v>
      </c>
      <c r="D1082">
        <v>12</v>
      </c>
    </row>
    <row r="1083" spans="1:4">
      <c r="A1083" s="40" t="s">
        <v>199</v>
      </c>
      <c r="B1083" s="21">
        <v>150</v>
      </c>
      <c r="C1083" s="21">
        <v>165</v>
      </c>
      <c r="D1083">
        <v>12</v>
      </c>
    </row>
    <row r="1084" spans="1:4">
      <c r="A1084" s="40" t="s">
        <v>199</v>
      </c>
      <c r="B1084" s="21">
        <v>110</v>
      </c>
      <c r="C1084" s="21">
        <v>121</v>
      </c>
      <c r="D1084">
        <v>12</v>
      </c>
    </row>
    <row r="1085" spans="1:4">
      <c r="A1085" s="40" t="s">
        <v>197</v>
      </c>
      <c r="B1085" s="21">
        <v>82.5</v>
      </c>
      <c r="C1085" s="21">
        <v>82.5</v>
      </c>
      <c r="D1085">
        <v>12</v>
      </c>
    </row>
    <row r="1086" spans="1:4">
      <c r="A1086" s="40" t="s">
        <v>196</v>
      </c>
      <c r="B1086" s="21">
        <v>110</v>
      </c>
      <c r="C1086" s="21">
        <v>121</v>
      </c>
      <c r="D1086">
        <v>12</v>
      </c>
    </row>
    <row r="1087" spans="1:4">
      <c r="A1087" s="40" t="s">
        <v>199</v>
      </c>
      <c r="B1087" s="21">
        <v>110</v>
      </c>
      <c r="C1087" s="21">
        <v>121</v>
      </c>
      <c r="D1087">
        <v>12</v>
      </c>
    </row>
    <row r="1088" spans="1:4">
      <c r="A1088" s="40" t="s">
        <v>196</v>
      </c>
      <c r="B1088" s="21">
        <v>190</v>
      </c>
      <c r="C1088" s="21">
        <v>209</v>
      </c>
      <c r="D1088">
        <v>12</v>
      </c>
    </row>
    <row r="1089" spans="1:4">
      <c r="A1089" s="40" t="s">
        <v>195</v>
      </c>
      <c r="B1089" s="21">
        <v>30</v>
      </c>
      <c r="C1089" s="21">
        <v>30</v>
      </c>
      <c r="D1089">
        <v>12</v>
      </c>
    </row>
    <row r="1090" spans="1:4">
      <c r="A1090" s="40" t="s">
        <v>195</v>
      </c>
      <c r="B1090" s="21">
        <v>140</v>
      </c>
      <c r="C1090" s="21">
        <v>154</v>
      </c>
      <c r="D1090">
        <v>12</v>
      </c>
    </row>
    <row r="1091" spans="1:4">
      <c r="A1091" s="40" t="s">
        <v>196</v>
      </c>
      <c r="B1091" s="21">
        <v>106.05</v>
      </c>
      <c r="C1091" s="21">
        <v>116.66</v>
      </c>
      <c r="D1091">
        <v>12</v>
      </c>
    </row>
    <row r="1092" spans="1:4">
      <c r="A1092" s="40" t="s">
        <v>195</v>
      </c>
      <c r="B1092" s="21">
        <v>150</v>
      </c>
      <c r="C1092" s="21">
        <v>165</v>
      </c>
      <c r="D1092">
        <v>12</v>
      </c>
    </row>
    <row r="1093" spans="1:4">
      <c r="A1093" s="40" t="s">
        <v>199</v>
      </c>
      <c r="B1093" s="21">
        <v>150</v>
      </c>
      <c r="C1093" s="21">
        <v>250</v>
      </c>
      <c r="D1093">
        <v>12</v>
      </c>
    </row>
    <row r="1094" spans="1:4">
      <c r="A1094" s="40" t="s">
        <v>196</v>
      </c>
      <c r="B1094" s="21">
        <v>80</v>
      </c>
      <c r="C1094" s="21">
        <v>88</v>
      </c>
      <c r="D1094">
        <v>12</v>
      </c>
    </row>
    <row r="1095" spans="1:4">
      <c r="A1095" s="40" t="s">
        <v>196</v>
      </c>
      <c r="B1095" s="21">
        <v>80</v>
      </c>
      <c r="C1095" s="21">
        <v>88</v>
      </c>
      <c r="D1095">
        <v>12</v>
      </c>
    </row>
    <row r="1096" spans="1:4">
      <c r="A1096" s="40" t="s">
        <v>199</v>
      </c>
      <c r="B1096" s="21">
        <v>55</v>
      </c>
      <c r="C1096" s="21">
        <v>360</v>
      </c>
      <c r="D1096">
        <v>12</v>
      </c>
    </row>
    <row r="1097" spans="1:4">
      <c r="A1097" s="40" t="s">
        <v>199</v>
      </c>
      <c r="B1097" s="21">
        <v>85</v>
      </c>
      <c r="C1097" s="21">
        <v>90.25</v>
      </c>
      <c r="D1097">
        <v>12</v>
      </c>
    </row>
    <row r="1098" spans="1:4">
      <c r="A1098" s="40" t="s">
        <v>199</v>
      </c>
      <c r="B1098" s="21">
        <v>33</v>
      </c>
      <c r="C1098" s="21">
        <v>36</v>
      </c>
      <c r="D1098">
        <v>12</v>
      </c>
    </row>
    <row r="1099" spans="1:4">
      <c r="A1099" s="40" t="s">
        <v>202</v>
      </c>
      <c r="B1099" s="21">
        <v>400</v>
      </c>
      <c r="C1099" s="21">
        <v>400</v>
      </c>
      <c r="D1099">
        <v>12</v>
      </c>
    </row>
    <row r="1100" spans="1:4">
      <c r="A1100" s="40" t="s">
        <v>197</v>
      </c>
      <c r="B1100" s="21">
        <v>72.599999999999994</v>
      </c>
      <c r="C1100" s="21">
        <v>72.599999999999994</v>
      </c>
      <c r="D1100">
        <v>12</v>
      </c>
    </row>
    <row r="1101" spans="1:4">
      <c r="A1101" s="40" t="s">
        <v>199</v>
      </c>
      <c r="B1101" s="21">
        <v>55</v>
      </c>
      <c r="C1101" s="21">
        <v>60</v>
      </c>
      <c r="D1101">
        <v>12</v>
      </c>
    </row>
    <row r="1102" spans="1:4">
      <c r="A1102" s="40" t="s">
        <v>197</v>
      </c>
      <c r="B1102" s="21">
        <v>60</v>
      </c>
      <c r="C1102" s="21">
        <v>60</v>
      </c>
      <c r="D1102">
        <v>12</v>
      </c>
    </row>
    <row r="1103" spans="1:4">
      <c r="A1103" s="40" t="s">
        <v>195</v>
      </c>
      <c r="B1103" s="21">
        <v>60</v>
      </c>
      <c r="C1103" s="21">
        <v>66</v>
      </c>
      <c r="D1103">
        <v>12</v>
      </c>
    </row>
    <row r="1104" spans="1:4">
      <c r="A1104" s="40" t="s">
        <v>195</v>
      </c>
      <c r="B1104" s="21">
        <v>60</v>
      </c>
      <c r="C1104" s="21">
        <v>66</v>
      </c>
      <c r="D1104">
        <v>12</v>
      </c>
    </row>
    <row r="1105" spans="1:4">
      <c r="A1105" s="40" t="s">
        <v>195</v>
      </c>
      <c r="B1105" s="21">
        <v>100</v>
      </c>
      <c r="C1105" s="21">
        <v>110</v>
      </c>
      <c r="D1105">
        <v>12</v>
      </c>
    </row>
    <row r="1106" spans="1:4">
      <c r="A1106" s="40" t="s">
        <v>199</v>
      </c>
      <c r="B1106" s="21">
        <v>110</v>
      </c>
      <c r="C1106" s="21">
        <v>121</v>
      </c>
      <c r="D1106">
        <v>12</v>
      </c>
    </row>
    <row r="1107" spans="1:4">
      <c r="A1107" s="40" t="s">
        <v>197</v>
      </c>
      <c r="B1107" s="21">
        <v>412.5</v>
      </c>
      <c r="C1107" s="21">
        <v>412.5</v>
      </c>
      <c r="D1107">
        <v>12</v>
      </c>
    </row>
    <row r="1108" spans="1:4">
      <c r="A1108" s="40" t="s">
        <v>199</v>
      </c>
      <c r="B1108" s="21">
        <v>160</v>
      </c>
      <c r="C1108" s="21">
        <v>176</v>
      </c>
      <c r="D1108">
        <v>12</v>
      </c>
    </row>
    <row r="1109" spans="1:4">
      <c r="A1109" s="40" t="s">
        <v>199</v>
      </c>
      <c r="B1109" s="21">
        <v>30</v>
      </c>
      <c r="D1109">
        <v>12</v>
      </c>
    </row>
    <row r="1110" spans="1:4">
      <c r="A1110" s="40" t="s">
        <v>196</v>
      </c>
      <c r="B1110" s="21">
        <v>30</v>
      </c>
      <c r="D1110">
        <v>12</v>
      </c>
    </row>
    <row r="1111" spans="1:4">
      <c r="A1111" s="40" t="s">
        <v>198</v>
      </c>
      <c r="B1111" s="21">
        <v>730</v>
      </c>
      <c r="C1111" s="21">
        <v>730</v>
      </c>
      <c r="D1111">
        <v>12</v>
      </c>
    </row>
    <row r="1112" spans="1:4">
      <c r="A1112" s="40" t="s">
        <v>201</v>
      </c>
      <c r="B1112" s="21">
        <v>50</v>
      </c>
      <c r="C1112" s="21">
        <v>50</v>
      </c>
      <c r="D1112">
        <v>12</v>
      </c>
    </row>
    <row r="1113" spans="1:4">
      <c r="A1113" s="40" t="s">
        <v>200</v>
      </c>
      <c r="B1113" s="21">
        <v>280</v>
      </c>
      <c r="C1113" s="21">
        <v>280</v>
      </c>
      <c r="D1113">
        <v>12</v>
      </c>
    </row>
    <row r="1114" spans="1:4">
      <c r="A1114" s="40" t="s">
        <v>198</v>
      </c>
      <c r="B1114" s="21">
        <v>100</v>
      </c>
      <c r="C1114" s="21">
        <v>200</v>
      </c>
      <c r="D1114">
        <v>12</v>
      </c>
    </row>
    <row r="1115" spans="1:4">
      <c r="A1115" s="40" t="s">
        <v>199</v>
      </c>
      <c r="B1115" s="21">
        <v>100</v>
      </c>
      <c r="C1115" s="21">
        <v>100</v>
      </c>
      <c r="D1115">
        <v>12</v>
      </c>
    </row>
    <row r="1116" spans="1:4">
      <c r="A1116" s="40" t="s">
        <v>200</v>
      </c>
      <c r="B1116" s="21">
        <v>100</v>
      </c>
      <c r="C1116" s="21">
        <v>100</v>
      </c>
      <c r="D1116">
        <v>12</v>
      </c>
    </row>
    <row r="1117" spans="1:4">
      <c r="A1117" s="40" t="s">
        <v>200</v>
      </c>
      <c r="B1117" s="21">
        <v>100</v>
      </c>
      <c r="C1117" s="21">
        <v>100</v>
      </c>
      <c r="D1117">
        <v>12</v>
      </c>
    </row>
    <row r="1118" spans="1:4">
      <c r="A1118" s="40" t="s">
        <v>195</v>
      </c>
      <c r="B1118" s="21">
        <v>30</v>
      </c>
      <c r="C1118" s="21">
        <v>33</v>
      </c>
      <c r="D1118">
        <v>12</v>
      </c>
    </row>
    <row r="1119" spans="1:4">
      <c r="A1119" s="40" t="s">
        <v>199</v>
      </c>
      <c r="B1119" s="21">
        <v>250</v>
      </c>
      <c r="C1119" s="21">
        <v>250</v>
      </c>
      <c r="D1119">
        <v>12</v>
      </c>
    </row>
    <row r="1120" spans="1:4">
      <c r="A1120" s="40" t="s">
        <v>201</v>
      </c>
      <c r="B1120" s="21">
        <v>120</v>
      </c>
      <c r="C1120" s="21">
        <v>120</v>
      </c>
      <c r="D1120">
        <v>12</v>
      </c>
    </row>
    <row r="1121" spans="1:4">
      <c r="A1121" s="40" t="s">
        <v>201</v>
      </c>
      <c r="B1121" s="21">
        <v>66.36</v>
      </c>
      <c r="C1121" s="21">
        <v>66.36</v>
      </c>
      <c r="D1121">
        <v>12</v>
      </c>
    </row>
    <row r="1122" spans="1:4">
      <c r="A1122" s="40" t="s">
        <v>195</v>
      </c>
      <c r="B1122" s="21">
        <v>100</v>
      </c>
      <c r="C1122" s="21">
        <v>100</v>
      </c>
      <c r="D1122">
        <v>12</v>
      </c>
    </row>
    <row r="1123" spans="1:4">
      <c r="A1123" s="40" t="s">
        <v>200</v>
      </c>
      <c r="B1123" s="21">
        <v>132.72</v>
      </c>
      <c r="C1123" s="21">
        <v>132.72</v>
      </c>
      <c r="D1123">
        <v>12</v>
      </c>
    </row>
    <row r="1124" spans="1:4">
      <c r="A1124" s="40" t="s">
        <v>200</v>
      </c>
      <c r="B1124" s="21">
        <v>89.63</v>
      </c>
      <c r="C1124" s="21">
        <v>89.63</v>
      </c>
      <c r="D1124">
        <v>12</v>
      </c>
    </row>
    <row r="1125" spans="1:4">
      <c r="A1125" s="40" t="s">
        <v>200</v>
      </c>
      <c r="B1125" s="21">
        <v>106.18</v>
      </c>
      <c r="C1125" s="21">
        <v>106.18</v>
      </c>
      <c r="D1125">
        <v>12</v>
      </c>
    </row>
    <row r="1126" spans="1:4">
      <c r="A1126" s="40" t="s">
        <v>200</v>
      </c>
      <c r="B1126" s="21">
        <v>1020</v>
      </c>
      <c r="C1126" s="21">
        <v>1620</v>
      </c>
      <c r="D1126">
        <v>12</v>
      </c>
    </row>
    <row r="1127" spans="1:4">
      <c r="A1127" s="40" t="s">
        <v>199</v>
      </c>
      <c r="B1127" s="21">
        <v>35</v>
      </c>
      <c r="C1127" s="21">
        <v>45</v>
      </c>
      <c r="D1127">
        <v>12</v>
      </c>
    </row>
    <row r="1128" spans="1:4">
      <c r="A1128" s="40" t="s">
        <v>200</v>
      </c>
      <c r="B1128" s="21">
        <v>106.18</v>
      </c>
      <c r="C1128" s="21">
        <v>106.18</v>
      </c>
      <c r="D1128">
        <v>12</v>
      </c>
    </row>
    <row r="1129" spans="1:4">
      <c r="A1129" s="40" t="s">
        <v>196</v>
      </c>
      <c r="B1129" s="21">
        <v>50</v>
      </c>
      <c r="C1129" s="21">
        <v>50</v>
      </c>
      <c r="D1129">
        <v>12</v>
      </c>
    </row>
    <row r="1130" spans="1:4">
      <c r="A1130" s="40" t="s">
        <v>199</v>
      </c>
      <c r="B1130" s="21">
        <v>140</v>
      </c>
      <c r="C1130" s="21">
        <v>140</v>
      </c>
      <c r="D1130">
        <v>12</v>
      </c>
    </row>
    <row r="1131" spans="1:4">
      <c r="A1131" s="40" t="s">
        <v>199</v>
      </c>
      <c r="B1131" s="21">
        <v>140</v>
      </c>
      <c r="C1131" s="21">
        <v>140</v>
      </c>
      <c r="D1131">
        <v>12</v>
      </c>
    </row>
    <row r="1132" spans="1:4">
      <c r="A1132" s="40" t="s">
        <v>201</v>
      </c>
      <c r="B1132" s="21">
        <v>15</v>
      </c>
      <c r="C1132" s="21">
        <v>15</v>
      </c>
      <c r="D1132">
        <v>12</v>
      </c>
    </row>
    <row r="1133" spans="1:4">
      <c r="A1133" s="40" t="s">
        <v>201</v>
      </c>
      <c r="B1133" s="21">
        <v>30</v>
      </c>
      <c r="C1133" s="21">
        <v>30</v>
      </c>
      <c r="D1133">
        <v>12</v>
      </c>
    </row>
    <row r="1134" spans="1:4">
      <c r="A1134" s="40" t="s">
        <v>198</v>
      </c>
      <c r="B1134" s="21">
        <v>50</v>
      </c>
      <c r="C1134" s="21">
        <v>50</v>
      </c>
      <c r="D1134">
        <v>12</v>
      </c>
    </row>
    <row r="1135" spans="1:4">
      <c r="A1135" s="40" t="s">
        <v>198</v>
      </c>
      <c r="B1135" s="21">
        <v>30</v>
      </c>
      <c r="C1135" s="21">
        <v>30</v>
      </c>
      <c r="D1135">
        <v>12</v>
      </c>
    </row>
    <row r="1136" spans="1:4">
      <c r="A1136" s="40" t="s">
        <v>195</v>
      </c>
      <c r="B1136" s="21">
        <v>200</v>
      </c>
      <c r="D1136">
        <v>12</v>
      </c>
    </row>
    <row r="1137" spans="1:4">
      <c r="A1137" s="40" t="s">
        <v>199</v>
      </c>
      <c r="B1137" s="21">
        <v>33</v>
      </c>
      <c r="C1137" s="21">
        <v>33</v>
      </c>
      <c r="D1137">
        <v>12</v>
      </c>
    </row>
    <row r="1138" spans="1:4">
      <c r="A1138" s="40" t="s">
        <v>199</v>
      </c>
      <c r="B1138" s="21">
        <v>60</v>
      </c>
      <c r="C1138" s="21">
        <v>60</v>
      </c>
      <c r="D1138">
        <v>12</v>
      </c>
    </row>
    <row r="1139" spans="1:4">
      <c r="A1139" s="40" t="s">
        <v>200</v>
      </c>
      <c r="B1139" s="21">
        <v>450</v>
      </c>
      <c r="C1139" s="21">
        <v>475</v>
      </c>
      <c r="D1139">
        <v>12</v>
      </c>
    </row>
    <row r="1140" spans="1:4">
      <c r="A1140" s="40" t="s">
        <v>197</v>
      </c>
      <c r="B1140" s="21">
        <v>80</v>
      </c>
      <c r="C1140" s="21">
        <v>80</v>
      </c>
      <c r="D1140">
        <v>12</v>
      </c>
    </row>
    <row r="1141" spans="1:4">
      <c r="A1141" s="40" t="s">
        <v>197</v>
      </c>
      <c r="B1141" s="21">
        <v>60</v>
      </c>
      <c r="C1141" s="21">
        <v>60</v>
      </c>
      <c r="D1141">
        <v>12</v>
      </c>
    </row>
    <row r="1142" spans="1:4">
      <c r="A1142" s="40" t="s">
        <v>199</v>
      </c>
      <c r="B1142" s="21">
        <v>100</v>
      </c>
      <c r="C1142" s="21">
        <v>100</v>
      </c>
      <c r="D1142">
        <v>12</v>
      </c>
    </row>
    <row r="1143" spans="1:4">
      <c r="A1143" s="40" t="s">
        <v>198</v>
      </c>
      <c r="B1143" s="21">
        <v>50</v>
      </c>
      <c r="C1143" s="21">
        <v>50</v>
      </c>
      <c r="D1143">
        <v>12</v>
      </c>
    </row>
    <row r="1144" spans="1:4">
      <c r="A1144" s="40" t="s">
        <v>195</v>
      </c>
      <c r="B1144" s="21">
        <v>130</v>
      </c>
      <c r="C1144" s="21">
        <v>310</v>
      </c>
      <c r="D1144">
        <v>12</v>
      </c>
    </row>
    <row r="1145" spans="1:4">
      <c r="A1145" s="40" t="s">
        <v>198</v>
      </c>
      <c r="B1145" s="21">
        <v>50</v>
      </c>
      <c r="C1145" s="21">
        <v>50</v>
      </c>
      <c r="D1145">
        <v>12</v>
      </c>
    </row>
    <row r="1146" spans="1:4">
      <c r="A1146" s="40" t="s">
        <v>197</v>
      </c>
      <c r="B1146" s="21">
        <v>400</v>
      </c>
      <c r="C1146" s="21">
        <v>400</v>
      </c>
      <c r="D1146">
        <v>12</v>
      </c>
    </row>
    <row r="1147" spans="1:4">
      <c r="A1147" s="40" t="s">
        <v>198</v>
      </c>
      <c r="B1147" s="21">
        <v>50</v>
      </c>
      <c r="C1147" s="21">
        <v>50</v>
      </c>
      <c r="D1147">
        <v>12</v>
      </c>
    </row>
    <row r="1148" spans="1:4">
      <c r="A1148" s="40" t="s">
        <v>196</v>
      </c>
      <c r="B1148" s="21">
        <v>100</v>
      </c>
      <c r="D1148">
        <v>12</v>
      </c>
    </row>
    <row r="1149" spans="1:4">
      <c r="A1149" s="40" t="s">
        <v>202</v>
      </c>
      <c r="B1149" s="21">
        <v>400</v>
      </c>
      <c r="D1149">
        <v>12</v>
      </c>
    </row>
    <row r="1150" spans="1:4">
      <c r="A1150" s="40" t="s">
        <v>197</v>
      </c>
      <c r="B1150" s="21">
        <v>50</v>
      </c>
      <c r="D1150">
        <v>12</v>
      </c>
    </row>
    <row r="1151" spans="1:4">
      <c r="A1151" s="40" t="s">
        <v>198</v>
      </c>
      <c r="B1151" s="21">
        <v>80</v>
      </c>
      <c r="C1151" s="21">
        <v>80</v>
      </c>
      <c r="D1151">
        <v>12</v>
      </c>
    </row>
    <row r="1152" spans="1:4">
      <c r="B1152" s="21">
        <f>SUBTOTAL(109,Table21[[planirano ]])</f>
        <v>176745.18999999994</v>
      </c>
      <c r="C1152" s="21">
        <f>SUBTOTAL(109,Table21[ostvareno])</f>
        <v>197699.97999999986</v>
      </c>
    </row>
  </sheetData>
  <pageMargins left="0.7" right="0.7" top="0.75" bottom="0.75" header="0.3" footer="0.3"/>
  <pageSetup paperSize="9" orientation="portrait"/>
  <legacy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3:J26"/>
  <sheetViews>
    <sheetView topLeftCell="A16" workbookViewId="0">
      <selection activeCell="N22" sqref="N22"/>
    </sheetView>
  </sheetViews>
  <sheetFormatPr defaultColWidth="9" defaultRowHeight="15"/>
  <cols>
    <col min="1" max="1" width="13" customWidth="1"/>
    <col min="2" max="2" width="11.5703125" style="21" customWidth="1"/>
    <col min="3" max="3" width="12.28515625" style="30" customWidth="1"/>
    <col min="4" max="4" width="14.85546875" customWidth="1"/>
    <col min="5" max="5" width="12.140625" hidden="1" customWidth="1"/>
    <col min="6" max="6" width="14.85546875" customWidth="1"/>
    <col min="7" max="7" width="12" customWidth="1"/>
    <col min="8" max="8" width="11.140625" customWidth="1"/>
    <col min="9" max="9" width="13.42578125" customWidth="1"/>
  </cols>
  <sheetData>
    <row r="3" spans="1:3">
      <c r="A3" t="s">
        <v>266</v>
      </c>
      <c r="B3" s="21" t="s">
        <v>312</v>
      </c>
      <c r="C3" s="30" t="s">
        <v>313</v>
      </c>
    </row>
    <row r="4" spans="1:3">
      <c r="A4" t="s">
        <v>272</v>
      </c>
      <c r="B4" s="21">
        <v>211085.96</v>
      </c>
      <c r="C4" s="30">
        <v>17</v>
      </c>
    </row>
    <row r="5" spans="1:3">
      <c r="A5" t="s">
        <v>275</v>
      </c>
      <c r="B5" s="21">
        <v>190276.64</v>
      </c>
      <c r="C5" s="30">
        <v>11</v>
      </c>
    </row>
    <row r="6" spans="1:3">
      <c r="A6" t="s">
        <v>417</v>
      </c>
      <c r="B6" s="21">
        <v>173472.5</v>
      </c>
      <c r="C6" s="30">
        <v>12</v>
      </c>
    </row>
    <row r="7" spans="1:3">
      <c r="A7" t="s">
        <v>433</v>
      </c>
      <c r="B7" s="21">
        <v>140333.76000000001</v>
      </c>
      <c r="C7" s="30">
        <v>10</v>
      </c>
    </row>
    <row r="8" spans="1:3">
      <c r="A8" t="s">
        <v>281</v>
      </c>
      <c r="B8" s="21">
        <v>11075</v>
      </c>
      <c r="C8" s="30">
        <v>1</v>
      </c>
    </row>
    <row r="9" spans="1:3">
      <c r="A9" t="s">
        <v>434</v>
      </c>
      <c r="B9" s="21">
        <v>1600</v>
      </c>
      <c r="C9" s="30">
        <v>1</v>
      </c>
    </row>
    <row r="10" spans="1:3">
      <c r="A10" t="s">
        <v>435</v>
      </c>
      <c r="B10" s="21">
        <v>1000</v>
      </c>
      <c r="C10" s="30">
        <v>0</v>
      </c>
    </row>
    <row r="11" spans="1:3">
      <c r="B11" s="21">
        <f>SUBTOTAL(109,Tablica7[ukupno])</f>
        <v>728843.86</v>
      </c>
    </row>
    <row r="17" spans="1:10" ht="45">
      <c r="A17" s="31" t="s">
        <v>436</v>
      </c>
      <c r="B17" s="32" t="s">
        <v>437</v>
      </c>
      <c r="C17" s="33" t="s">
        <v>438</v>
      </c>
      <c r="D17" s="34" t="s">
        <v>439</v>
      </c>
      <c r="E17" s="34" t="s">
        <v>440</v>
      </c>
      <c r="F17" s="34" t="s">
        <v>441</v>
      </c>
      <c r="G17" s="34" t="s">
        <v>442</v>
      </c>
      <c r="H17" s="34" t="s">
        <v>443</v>
      </c>
      <c r="I17" s="34" t="s">
        <v>1977</v>
      </c>
      <c r="J17" s="34" t="s">
        <v>444</v>
      </c>
    </row>
    <row r="18" spans="1:10">
      <c r="A18">
        <v>2019</v>
      </c>
      <c r="B18" s="21">
        <f>143217/7.5435</f>
        <v>18985.484191688207</v>
      </c>
      <c r="C18" s="21">
        <f>161665.37/7.5435</f>
        <v>21431.082388811559</v>
      </c>
      <c r="D18" s="35">
        <f>1-Table12[[#This Row],[Planirano]]/Table12[[#This Row],[Ostvareno]]</f>
        <v>0.11411454413520972</v>
      </c>
      <c r="E18" s="21">
        <v>5600</v>
      </c>
      <c r="F18" s="35"/>
      <c r="G18">
        <v>2</v>
      </c>
      <c r="H18" s="35"/>
      <c r="I18" s="21">
        <f>Table12[[#This Row],[Ostvareno]]/Table12[[#This Row],[broj zaposlenih]]</f>
        <v>10715.54119440578</v>
      </c>
      <c r="J18" s="35"/>
    </row>
    <row r="19" spans="1:10">
      <c r="A19">
        <v>2020</v>
      </c>
      <c r="B19" s="21">
        <f>553974/7.5435</f>
        <v>73437.263869556569</v>
      </c>
      <c r="C19" s="21">
        <f>563353/7.5435</f>
        <v>74680.58593491085</v>
      </c>
      <c r="D19" s="35">
        <f>1-Table12[[#This Row],[Planirano]]/Table12[[#This Row],[Ostvareno]]</f>
        <v>1.6648531205123662E-2</v>
      </c>
      <c r="E19" s="21">
        <v>28650</v>
      </c>
      <c r="F19" s="35">
        <f>(Table12[[#This Row],[Ostvareno]]/C18-1)</f>
        <v>2.4846856812934024</v>
      </c>
      <c r="G19">
        <v>4</v>
      </c>
      <c r="H19" s="35">
        <f>Table12[[#This Row],[broj zaposlenih]]/G18-1</f>
        <v>1</v>
      </c>
      <c r="I19" s="21">
        <f>Table12[[#This Row],[Ostvareno]]/Table12[[#This Row],[broj zaposlenih]]</f>
        <v>18670.146483727713</v>
      </c>
      <c r="J19" s="35"/>
    </row>
    <row r="20" spans="1:10">
      <c r="A20">
        <v>2021</v>
      </c>
      <c r="B20" s="36">
        <f>603790.5/7.5435</f>
        <v>80041.161264664945</v>
      </c>
      <c r="C20" s="21">
        <f>728845/7.5435</f>
        <v>96618.943461258037</v>
      </c>
      <c r="D20" s="35">
        <f>1-Table12[[#This Row],[Planirano]]/Table12[[#This Row],[Ostvareno]]</f>
        <v>0.17157900513826674</v>
      </c>
      <c r="E20" s="21">
        <f>Table12[[#This Row],[Ostvareno]]-636769.26</f>
        <v>-540150.31653874193</v>
      </c>
      <c r="F20" s="35">
        <f>(Table12[[#This Row],[Ostvareno]]/C19-1)</f>
        <v>0.29376252545029491</v>
      </c>
      <c r="G20">
        <v>5</v>
      </c>
      <c r="H20" s="35">
        <f>Table12[[#This Row],[broj zaposlenih]]/G19-1</f>
        <v>0.25</v>
      </c>
      <c r="I20" s="21">
        <f>Table12[[#This Row],[Ostvareno]]/Table12[[#This Row],[broj zaposlenih]]</f>
        <v>19323.788692251608</v>
      </c>
      <c r="J20" s="35"/>
    </row>
    <row r="21" spans="1:10">
      <c r="A21">
        <v>2022</v>
      </c>
      <c r="B21" s="37">
        <f>694239.5/7.5435</f>
        <v>92031.484059123744</v>
      </c>
      <c r="C21" s="21">
        <f>880645/7.5435</f>
        <v>116742.22840856366</v>
      </c>
      <c r="D21" s="35">
        <f>1-Table12[[#This Row],[Planirano]]/Table12[[#This Row],[Ostvareno]]</f>
        <v>0.21166928785151795</v>
      </c>
      <c r="E21" s="21"/>
      <c r="F21" s="35">
        <f>(Table12[[#This Row],[Ostvareno]]/C20-1)</f>
        <v>0.20827473605499103</v>
      </c>
      <c r="G21">
        <v>6</v>
      </c>
      <c r="H21" s="35">
        <f>Table12[[#This Row],[broj zaposlenih]]/G20-1</f>
        <v>0.19999999999999996</v>
      </c>
      <c r="I21" s="21">
        <f>Table12[[#This Row],[Ostvareno]]/Table12[[#This Row],[broj zaposlenih]]</f>
        <v>19457.038068093945</v>
      </c>
      <c r="J21" s="35"/>
    </row>
    <row r="22" spans="1:10">
      <c r="A22">
        <v>2023</v>
      </c>
      <c r="B22" s="21">
        <v>143000</v>
      </c>
      <c r="C22" s="38">
        <v>194659</v>
      </c>
      <c r="D22" s="35">
        <f>1-Table12[[#This Row],[Planirano]]/Table12[[#This Row],[Ostvareno]]</f>
        <v>0.26538202703188651</v>
      </c>
      <c r="E22" s="21"/>
      <c r="F22" s="35">
        <f>(Table12[[#This Row],[Ostvareno]]/C21-1)</f>
        <v>0.66742576918054386</v>
      </c>
      <c r="G22">
        <v>9</v>
      </c>
      <c r="H22" s="35">
        <f>Table12[[#This Row],[broj zaposlenih]]/G21-1</f>
        <v>0.5</v>
      </c>
      <c r="I22" s="21">
        <f>Table12[[#This Row],[Ostvareno]]/Table12[[#This Row],[broj zaposlenih]]</f>
        <v>21628.777777777777</v>
      </c>
      <c r="J22" s="35"/>
    </row>
    <row r="23" spans="1:10">
      <c r="A23">
        <v>2024</v>
      </c>
      <c r="B23" s="21">
        <v>213115</v>
      </c>
      <c r="C23" s="21">
        <v>260000</v>
      </c>
      <c r="D23" s="35">
        <f>1-Table12[[#This Row],[Planirano]]/Table12[[#This Row],[Ostvareno]]</f>
        <v>0.18032692307692311</v>
      </c>
      <c r="E23" s="21"/>
      <c r="F23" s="35">
        <f>(Table12[[#This Row],[Ostvareno]]/C22-1)</f>
        <v>0.3356690417602064</v>
      </c>
      <c r="G23">
        <v>13</v>
      </c>
      <c r="H23" s="35">
        <f>Table12[[#This Row],[broj zaposlenih]]/G22-1</f>
        <v>0.44444444444444442</v>
      </c>
      <c r="I23" s="21">
        <f>Table12[[#This Row],[Ostvareno]]/Table12[[#This Row],[broj zaposlenih]]</f>
        <v>20000</v>
      </c>
      <c r="J23" s="35"/>
    </row>
    <row r="24" spans="1:10">
      <c r="A24">
        <v>2025</v>
      </c>
      <c r="B24" s="21">
        <v>262500</v>
      </c>
      <c r="C24" s="21">
        <v>247747.96</v>
      </c>
      <c r="D24" s="35">
        <f>1-Table12[[#This Row],[Planirano]]/Table12[[#This Row],[Ostvareno]]</f>
        <v>-5.9544546804744636E-2</v>
      </c>
      <c r="E24" s="21"/>
      <c r="F24" s="35">
        <f>(Table12[[#This Row],[Ostvareno]]/C23-1)</f>
        <v>-4.7123230769230751E-2</v>
      </c>
      <c r="G24">
        <v>6</v>
      </c>
      <c r="H24" s="35">
        <f>Table12[[#This Row],[broj zaposlenih]]/G23-1</f>
        <v>-0.53846153846153844</v>
      </c>
      <c r="I24" s="21">
        <f>Table12[[#This Row],[Ostvareno]]/Table12[[#This Row],[broj zaposlenih]]</f>
        <v>41291.326666666668</v>
      </c>
      <c r="J24" s="35"/>
    </row>
    <row r="25" spans="1:10">
      <c r="A25">
        <v>2026</v>
      </c>
      <c r="B25" s="21">
        <v>167000</v>
      </c>
      <c r="C25" s="21">
        <v>152000</v>
      </c>
      <c r="D25" s="35">
        <f>1-Table12[[#This Row],[Planirano]]/Table12[[#This Row],[Ostvareno]]</f>
        <v>-9.8684210526315708E-2</v>
      </c>
      <c r="E25" s="21"/>
      <c r="F25" s="35">
        <f>Table12[[#This Row],[Ostvareno kp]]/Table12[[#This Row],[Ostvareno]]</f>
        <v>0</v>
      </c>
      <c r="G25">
        <v>3</v>
      </c>
      <c r="H25" s="35">
        <f>Table12[[#This Row],[broj zaposlenih]]/G24-1</f>
        <v>-0.5</v>
      </c>
      <c r="I25" s="21">
        <f>Table12[[#This Row],[Ostvareno]]/Table12[[#This Row],[broj zaposlenih]]</f>
        <v>50666.666666666664</v>
      </c>
      <c r="J25" s="35"/>
    </row>
    <row r="26" spans="1:10">
      <c r="C26" s="21"/>
      <c r="D26" s="35"/>
      <c r="E26" s="21"/>
      <c r="F26" s="35"/>
      <c r="H26" s="35"/>
      <c r="I26" s="35"/>
      <c r="J26" s="35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fitToPage="1"/>
  </sheetPr>
  <dimension ref="A2:F67"/>
  <sheetViews>
    <sheetView workbookViewId="0">
      <selection activeCell="A46" sqref="A46"/>
    </sheetView>
  </sheetViews>
  <sheetFormatPr defaultColWidth="9" defaultRowHeight="15"/>
  <cols>
    <col min="1" max="1" width="44" customWidth="1"/>
    <col min="2" max="2" width="28.42578125" customWidth="1"/>
    <col min="3" max="3" width="39.140625" customWidth="1"/>
    <col min="4" max="4" width="9.140625" style="21" hidden="1" customWidth="1"/>
    <col min="5" max="5" width="9.140625" style="21"/>
    <col min="6" max="6" width="13.85546875" customWidth="1"/>
  </cols>
  <sheetData>
    <row r="2" spans="1:6">
      <c r="B2" t="s">
        <v>445</v>
      </c>
    </row>
    <row r="5" spans="1:6" ht="30">
      <c r="A5" s="22" t="s">
        <v>246</v>
      </c>
      <c r="B5" s="22" t="s">
        <v>446</v>
      </c>
      <c r="C5" s="22" t="s">
        <v>447</v>
      </c>
      <c r="D5" s="23" t="s">
        <v>448</v>
      </c>
      <c r="E5" s="23" t="s">
        <v>449</v>
      </c>
      <c r="F5" s="24" t="s">
        <v>450</v>
      </c>
    </row>
    <row r="6" spans="1:6">
      <c r="A6" t="s">
        <v>451</v>
      </c>
      <c r="B6" t="s">
        <v>452</v>
      </c>
      <c r="C6" t="s">
        <v>453</v>
      </c>
      <c r="D6" s="21">
        <v>250</v>
      </c>
      <c r="E6" s="21">
        <v>34</v>
      </c>
      <c r="F6">
        <v>1</v>
      </c>
    </row>
    <row r="7" spans="1:6">
      <c r="A7" t="s">
        <v>451</v>
      </c>
      <c r="B7" t="s">
        <v>454</v>
      </c>
      <c r="C7" t="s">
        <v>455</v>
      </c>
      <c r="D7" s="25">
        <v>4500</v>
      </c>
      <c r="E7" s="21">
        <v>600</v>
      </c>
      <c r="F7">
        <v>1</v>
      </c>
    </row>
    <row r="8" spans="1:6">
      <c r="A8" t="s">
        <v>451</v>
      </c>
      <c r="B8" t="s">
        <v>456</v>
      </c>
      <c r="C8" t="s">
        <v>457</v>
      </c>
      <c r="D8" s="21">
        <v>350</v>
      </c>
      <c r="E8" s="21">
        <v>50</v>
      </c>
      <c r="F8">
        <v>1</v>
      </c>
    </row>
    <row r="9" spans="1:6" ht="17.25" customHeight="1">
      <c r="A9" t="s">
        <v>451</v>
      </c>
      <c r="B9" t="s">
        <v>458</v>
      </c>
      <c r="C9" t="s">
        <v>459</v>
      </c>
      <c r="D9" s="21">
        <v>750</v>
      </c>
      <c r="E9" s="21">
        <v>100</v>
      </c>
      <c r="F9">
        <v>1</v>
      </c>
    </row>
    <row r="10" spans="1:6" ht="17.25" customHeight="1">
      <c r="A10" t="s">
        <v>451</v>
      </c>
      <c r="B10" t="s">
        <v>460</v>
      </c>
      <c r="C10" t="s">
        <v>461</v>
      </c>
      <c r="D10" s="25"/>
      <c r="E10" s="21">
        <v>0</v>
      </c>
      <c r="F10">
        <v>1</v>
      </c>
    </row>
    <row r="11" spans="1:6" ht="17.25" customHeight="1">
      <c r="A11" t="s">
        <v>451</v>
      </c>
      <c r="B11" t="s">
        <v>462</v>
      </c>
      <c r="C11" t="s">
        <v>463</v>
      </c>
      <c r="D11" s="21">
        <v>3771.05</v>
      </c>
      <c r="E11" s="21">
        <v>500</v>
      </c>
      <c r="F11">
        <v>1</v>
      </c>
    </row>
    <row r="12" spans="1:6">
      <c r="A12" t="s">
        <v>464</v>
      </c>
      <c r="B12" t="s">
        <v>452</v>
      </c>
      <c r="C12" t="s">
        <v>453</v>
      </c>
      <c r="D12" s="21">
        <v>450</v>
      </c>
      <c r="E12" s="21">
        <v>60</v>
      </c>
      <c r="F12">
        <v>1</v>
      </c>
    </row>
    <row r="13" spans="1:6">
      <c r="A13" t="s">
        <v>464</v>
      </c>
      <c r="B13" t="s">
        <v>465</v>
      </c>
      <c r="C13" t="s">
        <v>466</v>
      </c>
      <c r="D13" s="21">
        <v>120</v>
      </c>
      <c r="E13" s="21">
        <v>16</v>
      </c>
      <c r="F13">
        <v>1</v>
      </c>
    </row>
    <row r="14" spans="1:6">
      <c r="A14" t="s">
        <v>464</v>
      </c>
      <c r="B14" t="s">
        <v>454</v>
      </c>
      <c r="C14" t="s">
        <v>467</v>
      </c>
      <c r="D14" s="21">
        <v>2200</v>
      </c>
      <c r="E14" s="21">
        <v>300</v>
      </c>
      <c r="F14">
        <v>1</v>
      </c>
    </row>
    <row r="15" spans="1:6">
      <c r="A15" t="s">
        <v>464</v>
      </c>
      <c r="B15" t="s">
        <v>456</v>
      </c>
      <c r="C15" t="s">
        <v>468</v>
      </c>
      <c r="D15" s="21">
        <v>350</v>
      </c>
      <c r="E15" s="21">
        <v>50</v>
      </c>
      <c r="F15">
        <v>1</v>
      </c>
    </row>
    <row r="16" spans="1:6">
      <c r="A16" t="s">
        <v>464</v>
      </c>
      <c r="B16" t="s">
        <v>458</v>
      </c>
      <c r="C16" t="s">
        <v>469</v>
      </c>
      <c r="D16" s="21">
        <v>750</v>
      </c>
      <c r="E16" s="21">
        <v>100</v>
      </c>
      <c r="F16">
        <v>1</v>
      </c>
    </row>
    <row r="17" spans="1:6">
      <c r="A17" t="s">
        <v>464</v>
      </c>
      <c r="B17" t="s">
        <v>470</v>
      </c>
      <c r="C17" t="s">
        <v>471</v>
      </c>
      <c r="D17" s="21">
        <v>22630.5</v>
      </c>
      <c r="E17" s="21">
        <v>2500</v>
      </c>
      <c r="F17">
        <v>1</v>
      </c>
    </row>
    <row r="18" spans="1:6">
      <c r="A18" t="s">
        <v>464</v>
      </c>
      <c r="B18" t="s">
        <v>472</v>
      </c>
      <c r="C18" t="s">
        <v>473</v>
      </c>
      <c r="D18" s="21">
        <v>150</v>
      </c>
      <c r="E18" s="21">
        <v>20</v>
      </c>
    </row>
    <row r="19" spans="1:6">
      <c r="A19" t="s">
        <v>464</v>
      </c>
      <c r="B19" t="s">
        <v>474</v>
      </c>
      <c r="C19" t="s">
        <v>475</v>
      </c>
      <c r="D19" s="21">
        <v>3771.5</v>
      </c>
      <c r="E19" s="21">
        <v>500</v>
      </c>
    </row>
    <row r="20" spans="1:6">
      <c r="A20" t="s">
        <v>476</v>
      </c>
      <c r="B20" s="1"/>
      <c r="C20" t="s">
        <v>476</v>
      </c>
      <c r="D20" s="21">
        <v>225.9</v>
      </c>
      <c r="E20" s="21">
        <v>30</v>
      </c>
      <c r="F20" t="s">
        <v>477</v>
      </c>
    </row>
    <row r="21" spans="1:6">
      <c r="A21" t="s">
        <v>478</v>
      </c>
      <c r="C21" t="s">
        <v>478</v>
      </c>
      <c r="D21" s="21">
        <v>756</v>
      </c>
      <c r="E21" s="21">
        <v>100.4</v>
      </c>
      <c r="F21">
        <v>1</v>
      </c>
    </row>
    <row r="22" spans="1:6" ht="15.75">
      <c r="A22" t="s">
        <v>479</v>
      </c>
      <c r="B22" s="26"/>
      <c r="C22" s="27" t="s">
        <v>479</v>
      </c>
      <c r="D22" s="28">
        <v>500</v>
      </c>
      <c r="E22" s="21">
        <v>66.400000000000006</v>
      </c>
      <c r="F22">
        <v>1</v>
      </c>
    </row>
    <row r="23" spans="1:6" ht="15.75">
      <c r="A23" t="s">
        <v>480</v>
      </c>
      <c r="B23" s="1"/>
      <c r="C23" t="s">
        <v>480</v>
      </c>
      <c r="D23" s="29">
        <v>300</v>
      </c>
      <c r="E23" s="21">
        <v>39.840000000000003</v>
      </c>
      <c r="F23" t="s">
        <v>481</v>
      </c>
    </row>
    <row r="24" spans="1:6">
      <c r="A24" t="s">
        <v>482</v>
      </c>
      <c r="C24" t="s">
        <v>482</v>
      </c>
      <c r="D24" s="21">
        <v>500</v>
      </c>
      <c r="E24" s="21">
        <v>66.400000000000006</v>
      </c>
      <c r="F24">
        <v>1</v>
      </c>
    </row>
    <row r="25" spans="1:6">
      <c r="A25" t="s">
        <v>483</v>
      </c>
      <c r="C25" t="s">
        <v>730</v>
      </c>
      <c r="D25" s="21">
        <v>451.8</v>
      </c>
      <c r="E25" s="21">
        <v>60</v>
      </c>
      <c r="F25" t="s">
        <v>484</v>
      </c>
    </row>
    <row r="26" spans="1:6">
      <c r="A26" t="s">
        <v>483</v>
      </c>
      <c r="C26" t="s">
        <v>485</v>
      </c>
      <c r="D26" s="21">
        <v>50</v>
      </c>
      <c r="E26" s="21">
        <v>6.64</v>
      </c>
    </row>
    <row r="27" spans="1:6">
      <c r="A27" t="s">
        <v>483</v>
      </c>
      <c r="C27" t="s">
        <v>486</v>
      </c>
      <c r="D27" s="21">
        <v>150</v>
      </c>
      <c r="E27" s="21">
        <v>20</v>
      </c>
      <c r="F27" t="s">
        <v>487</v>
      </c>
    </row>
    <row r="28" spans="1:6">
      <c r="A28" t="s">
        <v>483</v>
      </c>
      <c r="C28" t="s">
        <v>488</v>
      </c>
      <c r="D28" s="21">
        <v>150</v>
      </c>
      <c r="E28" s="21">
        <v>20</v>
      </c>
      <c r="F28" t="s">
        <v>489</v>
      </c>
    </row>
    <row r="29" spans="1:6">
      <c r="A29" t="s">
        <v>483</v>
      </c>
      <c r="C29" t="s">
        <v>490</v>
      </c>
      <c r="D29" s="21">
        <v>250</v>
      </c>
      <c r="E29" s="21">
        <v>40</v>
      </c>
    </row>
    <row r="30" spans="1:6">
      <c r="A30" t="s">
        <v>483</v>
      </c>
      <c r="C30" t="s">
        <v>491</v>
      </c>
      <c r="D30" s="21">
        <v>500</v>
      </c>
      <c r="E30" s="21">
        <v>70</v>
      </c>
    </row>
    <row r="31" spans="1:6">
      <c r="A31" t="s">
        <v>483</v>
      </c>
      <c r="C31" t="s">
        <v>492</v>
      </c>
      <c r="D31" s="21">
        <v>1000</v>
      </c>
      <c r="E31" s="21">
        <v>135</v>
      </c>
    </row>
    <row r="32" spans="1:6">
      <c r="A32" t="s">
        <v>483</v>
      </c>
      <c r="C32" t="s">
        <v>493</v>
      </c>
      <c r="D32" s="21">
        <v>500</v>
      </c>
      <c r="E32" s="21">
        <v>70</v>
      </c>
    </row>
    <row r="33" spans="1:6">
      <c r="A33" t="s">
        <v>483</v>
      </c>
      <c r="C33" t="s">
        <v>494</v>
      </c>
      <c r="D33" s="21">
        <v>1500</v>
      </c>
      <c r="E33" s="21">
        <v>200</v>
      </c>
      <c r="F33" t="s">
        <v>495</v>
      </c>
    </row>
    <row r="34" spans="1:6">
      <c r="A34" t="s">
        <v>483</v>
      </c>
      <c r="C34" t="s">
        <v>496</v>
      </c>
      <c r="D34" s="21">
        <v>1500</v>
      </c>
      <c r="E34" s="21">
        <v>200</v>
      </c>
    </row>
    <row r="35" spans="1:6">
      <c r="A35" t="s">
        <v>483</v>
      </c>
      <c r="C35" t="s">
        <v>497</v>
      </c>
      <c r="D35" s="21">
        <v>350</v>
      </c>
      <c r="E35" s="21">
        <v>50</v>
      </c>
      <c r="F35" t="s">
        <v>498</v>
      </c>
    </row>
    <row r="36" spans="1:6">
      <c r="A36" t="s">
        <v>483</v>
      </c>
      <c r="C36" t="s">
        <v>499</v>
      </c>
      <c r="D36" s="21">
        <v>450</v>
      </c>
      <c r="E36" s="21">
        <v>60</v>
      </c>
      <c r="F36" t="s">
        <v>489</v>
      </c>
    </row>
    <row r="37" spans="1:6">
      <c r="A37" t="s">
        <v>483</v>
      </c>
      <c r="C37" t="s">
        <v>500</v>
      </c>
      <c r="D37" s="21">
        <v>150</v>
      </c>
      <c r="E37" s="21">
        <v>20</v>
      </c>
      <c r="F37" t="s">
        <v>489</v>
      </c>
    </row>
    <row r="38" spans="1:6">
      <c r="A38" t="s">
        <v>483</v>
      </c>
      <c r="C38" t="s">
        <v>501</v>
      </c>
      <c r="E38" s="21">
        <v>500</v>
      </c>
    </row>
    <row r="39" spans="1:6">
      <c r="A39" t="s">
        <v>483</v>
      </c>
      <c r="C39" t="s">
        <v>502</v>
      </c>
      <c r="D39" s="21">
        <v>1000</v>
      </c>
      <c r="E39" s="21">
        <v>135</v>
      </c>
    </row>
    <row r="40" spans="1:6">
      <c r="A40" t="s">
        <v>483</v>
      </c>
      <c r="C40" t="s">
        <v>503</v>
      </c>
      <c r="D40" s="21">
        <v>250</v>
      </c>
      <c r="E40" s="21">
        <v>33.200000000000003</v>
      </c>
      <c r="F40" t="s">
        <v>495</v>
      </c>
    </row>
    <row r="41" spans="1:6">
      <c r="A41" t="s">
        <v>483</v>
      </c>
      <c r="C41" t="s">
        <v>504</v>
      </c>
      <c r="D41" s="21">
        <v>500</v>
      </c>
      <c r="E41" s="21">
        <v>66.400000000000006</v>
      </c>
    </row>
    <row r="42" spans="1:6">
      <c r="A42" t="s">
        <v>483</v>
      </c>
      <c r="C42" t="s">
        <v>505</v>
      </c>
      <c r="D42" s="21">
        <v>750</v>
      </c>
      <c r="E42" s="21">
        <v>99.6</v>
      </c>
    </row>
    <row r="43" spans="1:6">
      <c r="A43" t="s">
        <v>483</v>
      </c>
      <c r="C43" t="s">
        <v>506</v>
      </c>
      <c r="D43" s="21">
        <v>1500</v>
      </c>
      <c r="E43" s="21">
        <v>199.2</v>
      </c>
    </row>
    <row r="44" spans="1:6">
      <c r="A44" t="s">
        <v>483</v>
      </c>
      <c r="C44" t="s">
        <v>507</v>
      </c>
      <c r="D44" s="21">
        <v>250</v>
      </c>
      <c r="E44" s="21">
        <v>35</v>
      </c>
    </row>
    <row r="45" spans="1:6">
      <c r="A45" t="s">
        <v>483</v>
      </c>
      <c r="C45" t="s">
        <v>508</v>
      </c>
      <c r="D45" s="21">
        <v>50</v>
      </c>
      <c r="E45" s="21">
        <v>10</v>
      </c>
    </row>
    <row r="46" spans="1:6">
      <c r="A46" t="s">
        <v>483</v>
      </c>
      <c r="C46" t="s">
        <v>509</v>
      </c>
      <c r="D46" s="21">
        <v>376.5</v>
      </c>
      <c r="E46" s="21">
        <v>50</v>
      </c>
    </row>
    <row r="47" spans="1:6">
      <c r="A47" t="s">
        <v>510</v>
      </c>
      <c r="C47" t="s">
        <v>510</v>
      </c>
      <c r="D47" s="21">
        <v>750</v>
      </c>
      <c r="E47" s="21">
        <v>100</v>
      </c>
      <c r="F47">
        <v>1</v>
      </c>
    </row>
    <row r="48" spans="1:6">
      <c r="A48" t="s">
        <v>511</v>
      </c>
      <c r="C48" t="s">
        <v>511</v>
      </c>
      <c r="D48" s="21">
        <v>1000</v>
      </c>
      <c r="E48" s="21">
        <v>135</v>
      </c>
      <c r="F48">
        <v>1</v>
      </c>
    </row>
    <row r="49" spans="1:6">
      <c r="A49" t="s">
        <v>512</v>
      </c>
      <c r="C49" t="s">
        <v>513</v>
      </c>
      <c r="D49" s="21">
        <v>150</v>
      </c>
      <c r="E49" s="21">
        <v>20</v>
      </c>
      <c r="F49">
        <v>1</v>
      </c>
    </row>
    <row r="50" spans="1:6">
      <c r="A50" t="s">
        <v>514</v>
      </c>
      <c r="C50" t="s">
        <v>515</v>
      </c>
      <c r="D50" s="21">
        <v>180</v>
      </c>
      <c r="E50" s="21">
        <v>25</v>
      </c>
      <c r="F50">
        <v>1</v>
      </c>
    </row>
    <row r="51" spans="1:6">
      <c r="A51" t="s">
        <v>516</v>
      </c>
      <c r="C51" t="s">
        <v>516</v>
      </c>
      <c r="E51" s="21">
        <v>25</v>
      </c>
      <c r="F51">
        <v>1</v>
      </c>
    </row>
    <row r="52" spans="1:6">
      <c r="A52" t="s">
        <v>517</v>
      </c>
      <c r="C52" t="s">
        <v>507</v>
      </c>
      <c r="D52" s="21">
        <v>250</v>
      </c>
      <c r="E52" s="21">
        <v>34</v>
      </c>
      <c r="F52">
        <v>1</v>
      </c>
    </row>
    <row r="53" spans="1:6">
      <c r="A53" t="s">
        <v>517</v>
      </c>
      <c r="C53" t="s">
        <v>508</v>
      </c>
      <c r="D53" s="21">
        <v>50</v>
      </c>
      <c r="E53" s="21">
        <v>10</v>
      </c>
      <c r="F53">
        <v>1</v>
      </c>
    </row>
    <row r="54" spans="1:6">
      <c r="A54" t="s">
        <v>518</v>
      </c>
      <c r="C54" t="s">
        <v>518</v>
      </c>
      <c r="D54" s="21">
        <v>150</v>
      </c>
      <c r="E54" s="21">
        <v>20</v>
      </c>
      <c r="F54">
        <v>1</v>
      </c>
    </row>
    <row r="55" spans="1:6">
      <c r="A55" t="s">
        <v>518</v>
      </c>
      <c r="C55" t="s">
        <v>518</v>
      </c>
      <c r="E55" s="21">
        <v>150</v>
      </c>
      <c r="F55">
        <v>1</v>
      </c>
    </row>
    <row r="56" spans="1:6">
      <c r="A56" t="s">
        <v>519</v>
      </c>
      <c r="C56" t="s">
        <v>519</v>
      </c>
      <c r="D56" s="21">
        <v>376.5</v>
      </c>
      <c r="E56" s="21">
        <v>50</v>
      </c>
      <c r="F56">
        <v>1</v>
      </c>
    </row>
    <row r="57" spans="1:6">
      <c r="A57" t="s">
        <v>520</v>
      </c>
      <c r="C57" t="s">
        <v>519</v>
      </c>
      <c r="E57" s="21">
        <v>150</v>
      </c>
      <c r="F57">
        <v>1</v>
      </c>
    </row>
    <row r="58" spans="1:6">
      <c r="A58" t="s">
        <v>521</v>
      </c>
      <c r="C58" t="s">
        <v>521</v>
      </c>
      <c r="D58" s="21">
        <v>1000</v>
      </c>
      <c r="E58" s="21">
        <v>135</v>
      </c>
      <c r="F58">
        <v>1</v>
      </c>
    </row>
    <row r="59" spans="1:6">
      <c r="A59" t="s">
        <v>731</v>
      </c>
      <c r="C59" t="s">
        <v>522</v>
      </c>
      <c r="D59" s="21">
        <v>1000</v>
      </c>
      <c r="E59" s="21">
        <v>135</v>
      </c>
      <c r="F59">
        <v>1</v>
      </c>
    </row>
    <row r="60" spans="1:6">
      <c r="A60" t="s">
        <v>509</v>
      </c>
      <c r="C60" t="s">
        <v>509</v>
      </c>
      <c r="D60" s="21">
        <v>376.5</v>
      </c>
      <c r="E60" s="21">
        <v>50</v>
      </c>
      <c r="F60">
        <v>1</v>
      </c>
    </row>
    <row r="61" spans="1:6">
      <c r="A61" t="s">
        <v>464</v>
      </c>
      <c r="B61" t="s">
        <v>523</v>
      </c>
      <c r="C61" t="s">
        <v>524</v>
      </c>
      <c r="D61" s="21">
        <v>150.87</v>
      </c>
      <c r="E61" s="21">
        <v>20</v>
      </c>
    </row>
    <row r="62" spans="1:6">
      <c r="A62" t="s">
        <v>525</v>
      </c>
      <c r="C62" t="s">
        <v>524</v>
      </c>
      <c r="D62" s="21">
        <v>150</v>
      </c>
      <c r="E62" s="21">
        <v>20</v>
      </c>
      <c r="F62">
        <v>1</v>
      </c>
    </row>
    <row r="63" spans="1:6">
      <c r="A63" t="s">
        <v>526</v>
      </c>
      <c r="C63" t="s">
        <v>526</v>
      </c>
      <c r="D63" s="21">
        <v>226</v>
      </c>
      <c r="E63" s="21">
        <v>30</v>
      </c>
    </row>
    <row r="64" spans="1:6">
      <c r="A64" t="s">
        <v>527</v>
      </c>
      <c r="C64" t="s">
        <v>527</v>
      </c>
      <c r="D64" s="21">
        <v>756</v>
      </c>
      <c r="E64" s="21">
        <v>100</v>
      </c>
    </row>
    <row r="65" spans="4:5">
      <c r="E65" s="21">
        <v>0</v>
      </c>
    </row>
    <row r="66" spans="4:5">
      <c r="E66" s="21">
        <v>0</v>
      </c>
    </row>
    <row r="67" spans="4:5">
      <c r="D67" s="21" t="e">
        <f>SUBTOTAL(109,#REF!)</f>
        <v>#REF!</v>
      </c>
      <c r="E67" s="21">
        <f>SUBTOTAL(109,Table13[EUR])</f>
        <v>8422.0799999999981</v>
      </c>
    </row>
  </sheetData>
  <pageMargins left="0.7" right="0.7" top="0.75" bottom="0.75" header="0.3" footer="0.3"/>
  <pageSetup scale="92" fitToHeight="0" orientation="landscape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6"/>
  <sheetViews>
    <sheetView workbookViewId="0">
      <selection activeCell="K24" sqref="K24"/>
    </sheetView>
  </sheetViews>
  <sheetFormatPr defaultColWidth="9" defaultRowHeight="15"/>
  <cols>
    <col min="1" max="1" width="44" customWidth="1"/>
    <col min="2" max="2" width="23.85546875" customWidth="1"/>
    <col min="3" max="4" width="29.140625" hidden="1" customWidth="1"/>
    <col min="5" max="5" width="13" customWidth="1"/>
    <col min="6" max="6" width="9" bestFit="1" customWidth="1"/>
  </cols>
  <sheetData>
    <row r="1" spans="1:6" ht="15.75" thickBot="1">
      <c r="A1" t="s">
        <v>528</v>
      </c>
    </row>
    <row r="2" spans="1:6" ht="30.75" thickBot="1">
      <c r="A2" s="6" t="s">
        <v>246</v>
      </c>
      <c r="B2" s="7" t="s">
        <v>446</v>
      </c>
      <c r="C2" s="7" t="s">
        <v>447</v>
      </c>
      <c r="D2" s="121" t="s">
        <v>773</v>
      </c>
      <c r="E2" s="8" t="s">
        <v>449</v>
      </c>
      <c r="F2" s="9" t="s">
        <v>450</v>
      </c>
    </row>
    <row r="3" spans="1:6" ht="15.75" thickBot="1">
      <c r="A3" s="10" t="s">
        <v>464</v>
      </c>
      <c r="B3" s="11" t="s">
        <v>452</v>
      </c>
      <c r="C3" s="11" t="s">
        <v>453</v>
      </c>
      <c r="D3" s="122" t="s">
        <v>774</v>
      </c>
      <c r="E3" s="135">
        <v>60</v>
      </c>
      <c r="F3" s="12">
        <v>1</v>
      </c>
    </row>
    <row r="4" spans="1:6" ht="15.75" thickBot="1">
      <c r="A4" s="13" t="s">
        <v>464</v>
      </c>
      <c r="B4" s="14" t="s">
        <v>465</v>
      </c>
      <c r="C4" s="14" t="s">
        <v>466</v>
      </c>
      <c r="D4" s="123" t="s">
        <v>775</v>
      </c>
      <c r="E4" s="116">
        <v>16</v>
      </c>
      <c r="F4" s="16">
        <v>1</v>
      </c>
    </row>
    <row r="5" spans="1:6" ht="15.75" thickBot="1">
      <c r="A5" s="10" t="s">
        <v>464</v>
      </c>
      <c r="B5" s="11" t="s">
        <v>454</v>
      </c>
      <c r="C5" s="11" t="s">
        <v>467</v>
      </c>
      <c r="D5" s="123" t="s">
        <v>776</v>
      </c>
      <c r="E5" s="136">
        <v>800</v>
      </c>
      <c r="F5" s="12">
        <v>1</v>
      </c>
    </row>
    <row r="6" spans="1:6" ht="15.75" thickBot="1">
      <c r="A6" s="13" t="s">
        <v>464</v>
      </c>
      <c r="B6" s="14" t="s">
        <v>456</v>
      </c>
      <c r="C6" s="14" t="s">
        <v>468</v>
      </c>
      <c r="D6" s="122" t="s">
        <v>777</v>
      </c>
      <c r="E6" s="116">
        <v>50</v>
      </c>
      <c r="F6" s="16">
        <v>1</v>
      </c>
    </row>
    <row r="7" spans="1:6" ht="15.75" thickBot="1">
      <c r="A7" s="10" t="s">
        <v>464</v>
      </c>
      <c r="B7" s="11" t="s">
        <v>458</v>
      </c>
      <c r="C7" s="11" t="s">
        <v>469</v>
      </c>
      <c r="D7" s="123" t="s">
        <v>778</v>
      </c>
      <c r="E7" s="136">
        <v>300</v>
      </c>
      <c r="F7" s="12">
        <v>1</v>
      </c>
    </row>
    <row r="8" spans="1:6" ht="15.75" thickBot="1">
      <c r="A8" s="13" t="s">
        <v>464</v>
      </c>
      <c r="B8" s="14" t="s">
        <v>470</v>
      </c>
      <c r="C8" s="14" t="s">
        <v>471</v>
      </c>
      <c r="D8" s="122" t="s">
        <v>779</v>
      </c>
      <c r="E8" s="116">
        <v>1</v>
      </c>
      <c r="F8" s="16">
        <v>1</v>
      </c>
    </row>
    <row r="9" spans="1:6" ht="15.75" thickBot="1">
      <c r="A9" s="10" t="s">
        <v>464</v>
      </c>
      <c r="B9" s="11" t="s">
        <v>472</v>
      </c>
      <c r="C9" s="11" t="s">
        <v>473</v>
      </c>
      <c r="D9" s="123" t="s">
        <v>780</v>
      </c>
      <c r="E9" s="136">
        <v>20</v>
      </c>
      <c r="F9" s="12"/>
    </row>
    <row r="10" spans="1:6" ht="30.75" thickBot="1">
      <c r="A10" s="13" t="s">
        <v>464</v>
      </c>
      <c r="B10" s="14" t="s">
        <v>474</v>
      </c>
      <c r="C10" s="14" t="s">
        <v>475</v>
      </c>
      <c r="D10" s="122" t="s">
        <v>781</v>
      </c>
      <c r="E10" s="116">
        <v>600</v>
      </c>
      <c r="F10" s="16"/>
    </row>
    <row r="11" spans="1:6" ht="15.75" thickBot="1">
      <c r="A11" s="10" t="s">
        <v>464</v>
      </c>
      <c r="B11" s="11" t="s">
        <v>523</v>
      </c>
      <c r="C11" s="11" t="s">
        <v>524</v>
      </c>
      <c r="D11" s="124" t="s">
        <v>782</v>
      </c>
      <c r="E11" s="137"/>
      <c r="F11" s="12"/>
    </row>
    <row r="12" spans="1:6" ht="15.75" thickTop="1">
      <c r="A12" s="17"/>
      <c r="B12" s="18"/>
      <c r="C12" s="18"/>
      <c r="D12" s="18"/>
      <c r="E12" s="19">
        <f>SUM(E3:E11)</f>
        <v>1847</v>
      </c>
      <c r="F12" s="20"/>
    </row>
    <row r="15" spans="1:6" ht="15.75" thickBot="1">
      <c r="A15" t="s">
        <v>529</v>
      </c>
    </row>
    <row r="16" spans="1:6" ht="30.75" thickBot="1">
      <c r="A16" s="6" t="s">
        <v>246</v>
      </c>
      <c r="B16" s="7" t="s">
        <v>446</v>
      </c>
      <c r="C16" s="7" t="s">
        <v>447</v>
      </c>
      <c r="D16" s="121" t="s">
        <v>773</v>
      </c>
      <c r="E16" s="8" t="s">
        <v>449</v>
      </c>
      <c r="F16" s="9" t="s">
        <v>450</v>
      </c>
    </row>
    <row r="17" spans="1:6" ht="15.75" thickBot="1">
      <c r="A17" s="10" t="s">
        <v>464</v>
      </c>
      <c r="B17" s="11" t="s">
        <v>452</v>
      </c>
      <c r="C17" s="11" t="s">
        <v>453</v>
      </c>
      <c r="D17" s="125" t="s">
        <v>774</v>
      </c>
      <c r="E17" s="135">
        <v>60</v>
      </c>
      <c r="F17" s="12">
        <v>1</v>
      </c>
    </row>
    <row r="18" spans="1:6" ht="15.75" thickBot="1">
      <c r="A18" s="13" t="s">
        <v>464</v>
      </c>
      <c r="B18" s="14" t="s">
        <v>465</v>
      </c>
      <c r="C18" s="14" t="s">
        <v>466</v>
      </c>
      <c r="D18" s="123" t="s">
        <v>775</v>
      </c>
      <c r="E18" s="116">
        <v>16</v>
      </c>
      <c r="F18" s="16">
        <v>1</v>
      </c>
    </row>
    <row r="19" spans="1:6" ht="15.75" thickBot="1">
      <c r="A19" s="10" t="s">
        <v>464</v>
      </c>
      <c r="B19" s="11" t="s">
        <v>454</v>
      </c>
      <c r="C19" s="11" t="s">
        <v>467</v>
      </c>
      <c r="D19" s="123" t="s">
        <v>776</v>
      </c>
      <c r="E19" s="136">
        <v>800</v>
      </c>
      <c r="F19" s="12">
        <v>1</v>
      </c>
    </row>
    <row r="20" spans="1:6" ht="15.75" thickBot="1">
      <c r="A20" s="13" t="s">
        <v>464</v>
      </c>
      <c r="B20" s="14" t="s">
        <v>456</v>
      </c>
      <c r="C20" s="14" t="s">
        <v>468</v>
      </c>
      <c r="D20" s="122" t="s">
        <v>777</v>
      </c>
      <c r="E20" s="116">
        <v>50</v>
      </c>
      <c r="F20" s="16">
        <v>1</v>
      </c>
    </row>
    <row r="21" spans="1:6" ht="15.75" thickBot="1">
      <c r="A21" s="10" t="s">
        <v>464</v>
      </c>
      <c r="B21" s="11" t="s">
        <v>458</v>
      </c>
      <c r="C21" s="11" t="s">
        <v>469</v>
      </c>
      <c r="D21" s="123" t="s">
        <v>778</v>
      </c>
      <c r="E21" s="136">
        <v>300</v>
      </c>
      <c r="F21" s="12">
        <v>1</v>
      </c>
    </row>
    <row r="22" spans="1:6" ht="15.75" thickBot="1">
      <c r="A22" s="13" t="s">
        <v>464</v>
      </c>
      <c r="B22" s="14" t="s">
        <v>470</v>
      </c>
      <c r="C22" s="14" t="s">
        <v>471</v>
      </c>
      <c r="D22" s="122" t="s">
        <v>779</v>
      </c>
      <c r="E22" s="116">
        <v>2500</v>
      </c>
      <c r="F22" s="16">
        <v>1</v>
      </c>
    </row>
    <row r="23" spans="1:6" ht="15.75" thickBot="1">
      <c r="A23" s="10" t="s">
        <v>464</v>
      </c>
      <c r="B23" s="11" t="s">
        <v>472</v>
      </c>
      <c r="C23" s="11" t="s">
        <v>473</v>
      </c>
      <c r="D23" s="123" t="s">
        <v>780</v>
      </c>
      <c r="E23" s="136">
        <v>20</v>
      </c>
      <c r="F23" s="12"/>
    </row>
    <row r="24" spans="1:6" ht="30.75" thickBot="1">
      <c r="A24" s="13" t="s">
        <v>464</v>
      </c>
      <c r="B24" s="14" t="s">
        <v>474</v>
      </c>
      <c r="C24" s="14" t="s">
        <v>475</v>
      </c>
      <c r="D24" s="122" t="s">
        <v>781</v>
      </c>
      <c r="E24" s="116">
        <v>600</v>
      </c>
      <c r="F24" s="16"/>
    </row>
    <row r="25" spans="1:6" ht="15.75" thickBot="1">
      <c r="A25" s="10" t="s">
        <v>464</v>
      </c>
      <c r="B25" s="11" t="s">
        <v>523</v>
      </c>
      <c r="C25" s="11" t="s">
        <v>524</v>
      </c>
      <c r="D25" s="124" t="s">
        <v>782</v>
      </c>
      <c r="E25" s="137"/>
      <c r="F25" s="12"/>
    </row>
    <row r="26" spans="1:6" ht="15.75" thickTop="1">
      <c r="A26" s="17"/>
      <c r="B26" s="18"/>
      <c r="C26" s="18"/>
      <c r="D26" s="18"/>
      <c r="E26" s="19">
        <f>SUM(E17:E25)</f>
        <v>4346</v>
      </c>
      <c r="F26" s="20"/>
    </row>
    <row r="29" spans="1:6">
      <c r="B29" s="126" t="s">
        <v>530</v>
      </c>
      <c r="C29" s="127" t="s">
        <v>763</v>
      </c>
      <c r="D29" s="127" t="s">
        <v>783</v>
      </c>
    </row>
    <row r="30" spans="1:6" ht="30">
      <c r="B30" t="s">
        <v>531</v>
      </c>
      <c r="C30" s="118" t="s">
        <v>766</v>
      </c>
      <c r="D30" s="118" t="s">
        <v>784</v>
      </c>
    </row>
    <row r="31" spans="1:6" ht="30">
      <c r="B31" t="s">
        <v>532</v>
      </c>
      <c r="C31" s="118" t="s">
        <v>767</v>
      </c>
      <c r="D31" s="118" t="s">
        <v>785</v>
      </c>
    </row>
    <row r="32" spans="1:6">
      <c r="B32" s="120" t="s">
        <v>765</v>
      </c>
      <c r="C32" s="118" t="s">
        <v>768</v>
      </c>
      <c r="D32" s="118" t="s">
        <v>786</v>
      </c>
    </row>
    <row r="33" spans="2:4" ht="45">
      <c r="B33" s="3" t="s">
        <v>764</v>
      </c>
      <c r="C33" s="128" t="s">
        <v>769</v>
      </c>
      <c r="D33" s="128" t="s">
        <v>787</v>
      </c>
    </row>
    <row r="34" spans="2:4">
      <c r="B34" s="3" t="s">
        <v>760</v>
      </c>
      <c r="C34" s="128" t="s">
        <v>770</v>
      </c>
      <c r="D34" s="128" t="s">
        <v>788</v>
      </c>
    </row>
    <row r="35" spans="2:4">
      <c r="B35" t="s">
        <v>761</v>
      </c>
      <c r="C35" s="118" t="s">
        <v>771</v>
      </c>
      <c r="D35" s="118" t="s">
        <v>789</v>
      </c>
    </row>
    <row r="36" spans="2:4" ht="30">
      <c r="B36" t="s">
        <v>762</v>
      </c>
      <c r="C36" s="118" t="s">
        <v>772</v>
      </c>
      <c r="D36" s="118" t="s">
        <v>790</v>
      </c>
    </row>
  </sheetData>
  <hyperlinks>
    <hyperlink ref="D33" r:id="rId1" xr:uid="{00000000-0004-0000-0B00-000000000000}"/>
    <hyperlink ref="D34" r:id="rId2" xr:uid="{00000000-0004-0000-0B00-000001000000}"/>
    <hyperlink ref="C34" r:id="rId3" xr:uid="{00000000-0004-0000-0B00-000002000000}"/>
    <hyperlink ref="B34" r:id="rId4" xr:uid="{00000000-0004-0000-0B00-000003000000}"/>
    <hyperlink ref="B33" r:id="rId5" xr:uid="{00000000-0004-0000-0B00-000004000000}"/>
    <hyperlink ref="C33" r:id="rId6" xr:uid="{00000000-0004-0000-0B00-000005000000}"/>
  </hyperlinks>
  <pageMargins left="0.7" right="0.7" top="0.75" bottom="0.75" header="0.3" footer="0.3"/>
  <pageSetup paperSize="9" scale="97" fitToHeight="0" orientation="portrait"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5:I45"/>
  <sheetViews>
    <sheetView topLeftCell="A10" workbookViewId="0">
      <selection activeCell="B28" sqref="B28"/>
    </sheetView>
  </sheetViews>
  <sheetFormatPr defaultColWidth="9" defaultRowHeight="15"/>
  <cols>
    <col min="2" max="2" width="19.140625" customWidth="1"/>
    <col min="3" max="3" width="14.85546875" customWidth="1"/>
    <col min="4" max="4" width="26.5703125" customWidth="1"/>
    <col min="9" max="9" width="14.85546875" customWidth="1"/>
  </cols>
  <sheetData>
    <row r="5" spans="1:9">
      <c r="A5" t="s">
        <v>533</v>
      </c>
    </row>
    <row r="6" spans="1:9">
      <c r="A6">
        <v>0</v>
      </c>
      <c r="B6" t="s">
        <v>534</v>
      </c>
    </row>
    <row r="7" spans="1:9">
      <c r="A7">
        <v>1</v>
      </c>
      <c r="B7" t="s">
        <v>535</v>
      </c>
    </row>
    <row r="8" spans="1:9">
      <c r="A8">
        <v>2</v>
      </c>
      <c r="B8" t="s">
        <v>536</v>
      </c>
    </row>
    <row r="9" spans="1:9">
      <c r="A9">
        <v>3</v>
      </c>
      <c r="B9" t="s">
        <v>537</v>
      </c>
    </row>
    <row r="15" spans="1:9">
      <c r="A15" t="s">
        <v>538</v>
      </c>
      <c r="B15" t="s">
        <v>245</v>
      </c>
      <c r="C15" t="s">
        <v>539</v>
      </c>
      <c r="D15" t="s">
        <v>326</v>
      </c>
      <c r="I15" t="s">
        <v>326</v>
      </c>
    </row>
    <row r="16" spans="1:9">
      <c r="A16">
        <v>0</v>
      </c>
      <c r="B16" t="s">
        <v>281</v>
      </c>
      <c r="C16" t="s">
        <v>896</v>
      </c>
      <c r="I16" t="s">
        <v>875</v>
      </c>
    </row>
    <row r="17" spans="1:9">
      <c r="A17">
        <v>1</v>
      </c>
      <c r="B17" t="s">
        <v>2094</v>
      </c>
      <c r="C17" s="131" t="s">
        <v>892</v>
      </c>
      <c r="D17" s="3" t="s">
        <v>1192</v>
      </c>
      <c r="I17" t="s">
        <v>44</v>
      </c>
    </row>
    <row r="18" spans="1:9">
      <c r="A18">
        <v>2</v>
      </c>
      <c r="B18" t="s">
        <v>277</v>
      </c>
      <c r="C18" s="131" t="s">
        <v>897</v>
      </c>
      <c r="D18" s="3" t="s">
        <v>43</v>
      </c>
      <c r="I18" t="s">
        <v>881</v>
      </c>
    </row>
    <row r="19" spans="1:9">
      <c r="A19">
        <v>3</v>
      </c>
      <c r="B19" t="s">
        <v>274</v>
      </c>
      <c r="C19" s="131" t="s">
        <v>892</v>
      </c>
      <c r="D19" s="3" t="s">
        <v>1192</v>
      </c>
      <c r="I19" t="s">
        <v>882</v>
      </c>
    </row>
    <row r="20" spans="1:9">
      <c r="A20">
        <v>4</v>
      </c>
      <c r="B20" t="s">
        <v>541</v>
      </c>
      <c r="C20" s="102" t="s">
        <v>898</v>
      </c>
      <c r="I20" t="s">
        <v>883</v>
      </c>
    </row>
    <row r="21" spans="1:9">
      <c r="A21">
        <v>5</v>
      </c>
      <c r="B21" t="s">
        <v>276</v>
      </c>
      <c r="C21" s="131" t="s">
        <v>897</v>
      </c>
      <c r="D21" s="3" t="s">
        <v>43</v>
      </c>
      <c r="I21" t="s">
        <v>876</v>
      </c>
    </row>
    <row r="22" spans="1:9">
      <c r="A22">
        <v>6</v>
      </c>
      <c r="B22" s="604" t="s">
        <v>1322</v>
      </c>
      <c r="C22" s="131" t="s">
        <v>899</v>
      </c>
      <c r="D22" s="3" t="s">
        <v>890</v>
      </c>
      <c r="I22" t="s">
        <v>879</v>
      </c>
    </row>
    <row r="23" spans="1:9">
      <c r="A23">
        <v>7</v>
      </c>
      <c r="B23" t="s">
        <v>540</v>
      </c>
      <c r="C23" s="102" t="s">
        <v>900</v>
      </c>
      <c r="I23" t="s">
        <v>271</v>
      </c>
    </row>
    <row r="24" spans="1:9">
      <c r="A24">
        <v>8</v>
      </c>
      <c r="B24" t="s">
        <v>804</v>
      </c>
      <c r="C24" s="132"/>
      <c r="I24" t="s">
        <v>878</v>
      </c>
    </row>
    <row r="25" spans="1:9">
      <c r="A25">
        <v>9</v>
      </c>
      <c r="B25" t="s">
        <v>832</v>
      </c>
      <c r="C25" s="106" t="s">
        <v>878</v>
      </c>
      <c r="D25" s="3" t="s">
        <v>982</v>
      </c>
      <c r="I25" t="s">
        <v>877</v>
      </c>
    </row>
    <row r="26" spans="1:9">
      <c r="A26">
        <v>10</v>
      </c>
      <c r="B26" s="1035" t="s">
        <v>2036</v>
      </c>
      <c r="C26" s="131"/>
      <c r="D26" s="3" t="s">
        <v>2037</v>
      </c>
      <c r="I26" t="s">
        <v>884</v>
      </c>
    </row>
    <row r="27" spans="1:9">
      <c r="A27">
        <v>11</v>
      </c>
      <c r="B27" t="s">
        <v>273</v>
      </c>
      <c r="C27" s="131"/>
      <c r="D27" s="3" t="s">
        <v>1196</v>
      </c>
    </row>
    <row r="28" spans="1:9">
      <c r="A28">
        <v>12</v>
      </c>
      <c r="B28" t="s">
        <v>542</v>
      </c>
      <c r="C28" s="132"/>
      <c r="D28" s="3" t="s">
        <v>890</v>
      </c>
    </row>
    <row r="29" spans="1:9">
      <c r="A29">
        <v>13</v>
      </c>
      <c r="B29" t="s">
        <v>543</v>
      </c>
      <c r="C29" s="131"/>
    </row>
    <row r="30" spans="1:9">
      <c r="A30">
        <v>14</v>
      </c>
      <c r="B30" t="s">
        <v>2026</v>
      </c>
      <c r="C30" s="131" t="s">
        <v>2027</v>
      </c>
    </row>
    <row r="31" spans="1:9">
      <c r="A31">
        <v>15</v>
      </c>
      <c r="B31" t="s">
        <v>203</v>
      </c>
      <c r="C31" s="131" t="s">
        <v>901</v>
      </c>
      <c r="D31" s="3" t="s">
        <v>1193</v>
      </c>
    </row>
    <row r="32" spans="1:9">
      <c r="A32">
        <v>16</v>
      </c>
      <c r="B32" t="s">
        <v>39</v>
      </c>
      <c r="C32" s="131" t="s">
        <v>902</v>
      </c>
      <c r="D32" s="3" t="s">
        <v>1194</v>
      </c>
    </row>
    <row r="33" spans="1:4">
      <c r="A33">
        <v>17</v>
      </c>
      <c r="B33" t="s">
        <v>544</v>
      </c>
      <c r="C33" s="102"/>
      <c r="D33" s="3"/>
    </row>
    <row r="34" spans="1:4">
      <c r="A34">
        <v>18</v>
      </c>
      <c r="B34" t="s">
        <v>545</v>
      </c>
      <c r="C34" s="131"/>
      <c r="D34" s="3" t="s">
        <v>1198</v>
      </c>
    </row>
    <row r="35" spans="1:4">
      <c r="A35">
        <v>19</v>
      </c>
      <c r="B35" t="s">
        <v>546</v>
      </c>
      <c r="C35" s="102"/>
      <c r="D35" s="3"/>
    </row>
    <row r="36" spans="1:4">
      <c r="A36">
        <v>20</v>
      </c>
      <c r="B36" t="s">
        <v>550</v>
      </c>
      <c r="C36" s="143" t="s">
        <v>550</v>
      </c>
      <c r="D36" s="3" t="s">
        <v>984</v>
      </c>
    </row>
    <row r="37" spans="1:4">
      <c r="A37">
        <v>21</v>
      </c>
      <c r="B37" t="s">
        <v>551</v>
      </c>
      <c r="C37" s="131"/>
      <c r="D37" s="3"/>
    </row>
    <row r="38" spans="1:4">
      <c r="A38">
        <v>22</v>
      </c>
      <c r="B38" t="s">
        <v>833</v>
      </c>
      <c r="C38" s="102" t="s">
        <v>903</v>
      </c>
      <c r="D38" s="3" t="s">
        <v>983</v>
      </c>
    </row>
    <row r="39" spans="1:4">
      <c r="A39">
        <v>23</v>
      </c>
      <c r="B39" t="s">
        <v>891</v>
      </c>
      <c r="C39" s="102" t="s">
        <v>891</v>
      </c>
      <c r="D39" s="3" t="s">
        <v>1195</v>
      </c>
    </row>
    <row r="40" spans="1:4">
      <c r="A40">
        <v>24</v>
      </c>
      <c r="B40" t="s">
        <v>834</v>
      </c>
      <c r="C40" t="s">
        <v>550</v>
      </c>
      <c r="D40" s="3" t="s">
        <v>984</v>
      </c>
    </row>
    <row r="41" spans="1:4">
      <c r="A41">
        <v>25</v>
      </c>
      <c r="B41" s="604" t="s">
        <v>1323</v>
      </c>
      <c r="C41" s="102" t="s">
        <v>904</v>
      </c>
      <c r="D41" s="3" t="s">
        <v>1195</v>
      </c>
    </row>
    <row r="42" spans="1:4">
      <c r="A42">
        <v>26</v>
      </c>
      <c r="B42" s="604" t="s">
        <v>1324</v>
      </c>
      <c r="C42" t="s">
        <v>916</v>
      </c>
      <c r="D42" s="3" t="s">
        <v>1197</v>
      </c>
    </row>
    <row r="43" spans="1:4">
      <c r="A43">
        <v>27</v>
      </c>
      <c r="B43" t="s">
        <v>1293</v>
      </c>
      <c r="C43" t="s">
        <v>1294</v>
      </c>
      <c r="D43" s="3" t="s">
        <v>1295</v>
      </c>
    </row>
    <row r="44" spans="1:4">
      <c r="A44">
        <v>28</v>
      </c>
      <c r="B44" s="1051" t="s">
        <v>2057</v>
      </c>
      <c r="C44" t="s">
        <v>2058</v>
      </c>
    </row>
    <row r="45" spans="1:4">
      <c r="A45">
        <v>29</v>
      </c>
      <c r="B45" t="s">
        <v>1534</v>
      </c>
      <c r="C45" t="s">
        <v>891</v>
      </c>
    </row>
  </sheetData>
  <hyperlinks>
    <hyperlink ref="D17" r:id="rId1" xr:uid="{00000000-0004-0000-0C00-000000000000}"/>
    <hyperlink ref="D18" r:id="rId2" xr:uid="{00000000-0004-0000-0C00-000001000000}"/>
    <hyperlink ref="D19" r:id="rId3" xr:uid="{00000000-0004-0000-0C00-000002000000}"/>
    <hyperlink ref="D21" r:id="rId4" xr:uid="{00000000-0004-0000-0C00-000003000000}"/>
    <hyperlink ref="D22" r:id="rId5" xr:uid="{00000000-0004-0000-0C00-000004000000}"/>
    <hyperlink ref="D25" r:id="rId6" xr:uid="{00000000-0004-0000-0C00-000005000000}"/>
    <hyperlink ref="D26" r:id="rId7" xr:uid="{00000000-0004-0000-0C00-000006000000}"/>
    <hyperlink ref="D27" r:id="rId8" xr:uid="{00000000-0004-0000-0C00-000007000000}"/>
    <hyperlink ref="D28" r:id="rId9" xr:uid="{00000000-0004-0000-0C00-000008000000}"/>
    <hyperlink ref="D31" r:id="rId10" xr:uid="{00000000-0004-0000-0C00-000009000000}"/>
    <hyperlink ref="D32" r:id="rId11" xr:uid="{00000000-0004-0000-0C00-00000A000000}"/>
    <hyperlink ref="D36" r:id="rId12" xr:uid="{00000000-0004-0000-0C00-00000B000000}"/>
    <hyperlink ref="D39" r:id="rId13" xr:uid="{00000000-0004-0000-0C00-00000C000000}"/>
    <hyperlink ref="D40" r:id="rId14" xr:uid="{00000000-0004-0000-0C00-00000D000000}"/>
    <hyperlink ref="D42" r:id="rId15" xr:uid="{00000000-0004-0000-0C00-00000E000000}"/>
    <hyperlink ref="D38" r:id="rId16" xr:uid="{00000000-0004-0000-0C00-00000F000000}"/>
    <hyperlink ref="D41" r:id="rId17" xr:uid="{00000000-0004-0000-0C00-000010000000}"/>
    <hyperlink ref="D34" r:id="rId18" xr:uid="{00000000-0004-0000-0C00-000011000000}"/>
    <hyperlink ref="D43" r:id="rId19" xr:uid="{00000000-0004-0000-0C00-000012000000}"/>
  </hyperlinks>
  <pageMargins left="0.7" right="0.7" top="0.75" bottom="0.75" header="0.3" footer="0.3"/>
  <tableParts count="2">
    <tablePart r:id="rId20"/>
    <tablePart r:id="rId2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8"/>
  <sheetViews>
    <sheetView workbookViewId="0">
      <selection activeCell="B9" sqref="B9"/>
    </sheetView>
  </sheetViews>
  <sheetFormatPr defaultRowHeight="15"/>
  <sheetData>
    <row r="2" spans="1:2">
      <c r="A2" s="1003" t="s">
        <v>2006</v>
      </c>
      <c r="B2" s="1003" t="s">
        <v>2007</v>
      </c>
    </row>
    <row r="3" spans="1:2">
      <c r="A3" s="1003" t="s">
        <v>2008</v>
      </c>
      <c r="B3" s="1003" t="s">
        <v>2009</v>
      </c>
    </row>
    <row r="4" spans="1:2">
      <c r="A4" s="1003" t="s">
        <v>2010</v>
      </c>
      <c r="B4" s="1003" t="s">
        <v>2011</v>
      </c>
    </row>
    <row r="5" spans="1:2">
      <c r="A5" s="1003" t="s">
        <v>2012</v>
      </c>
      <c r="B5" s="1003" t="s">
        <v>2017</v>
      </c>
    </row>
    <row r="6" spans="1:2">
      <c r="A6" s="1003" t="s">
        <v>2013</v>
      </c>
      <c r="B6" s="1003" t="s">
        <v>2014</v>
      </c>
    </row>
    <row r="7" spans="1:2">
      <c r="A7" s="1003" t="s">
        <v>2015</v>
      </c>
      <c r="B7" s="1003" t="s">
        <v>2016</v>
      </c>
    </row>
    <row r="8" spans="1:2">
      <c r="A8" s="1003" t="s">
        <v>2018</v>
      </c>
      <c r="B8" s="1003" t="s">
        <v>2019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C50E0F-4FCE-4DE7-8806-3E74676778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poduzeća</vt:lpstr>
      <vt:lpstr>plan</vt:lpstr>
      <vt:lpstr>rokovi</vt:lpstr>
      <vt:lpstr>intrastat</vt:lpstr>
      <vt:lpstr>pivotica</vt:lpstr>
      <vt:lpstr>pivot mj</vt:lpstr>
      <vt:lpstr>troškovi horvat</vt:lpstr>
      <vt:lpstr>NITKO</vt:lpstr>
      <vt:lpstr>rezulta_mj</vt:lpstr>
      <vt:lpstr>rezultat godišnji</vt:lpstr>
      <vt:lpstr>CJENIK</vt:lpstr>
      <vt:lpstr>cjenik osnivanja</vt:lpstr>
      <vt:lpstr>djelatnik</vt:lpstr>
      <vt:lpstr>upute za ugovor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 Gergelj</cp:lastModifiedBy>
  <cp:lastPrinted>2026-03-17T10:59:26Z</cp:lastPrinted>
  <dcterms:created xsi:type="dcterms:W3CDTF">2019-02-18T11:00:00Z</dcterms:created>
  <dcterms:modified xsi:type="dcterms:W3CDTF">2026-08-28T12:02:40Z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4C026CF902FE49BDA10163DF7376802E_12</vt:lpwstr>
  </property>
  <property fmtid="{D5CDD505-2E9C-101B-9397-08002B2CF9AE}" pid="3" name="KSOProductBuildVer">
    <vt:lpwstr>1033-12.2.0.16909</vt:lpwstr>
  </property>
</Properties>
</file>
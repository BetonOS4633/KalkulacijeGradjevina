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T-ICT\Downloads\"/>
    </mc:Choice>
  </mc:AlternateContent>
  <bookViews>
    <workbookView xWindow="0" yWindow="0" windowWidth="19200" windowHeight="6930" tabRatio="500" firstSheet="6" activeTab="11"/>
  </bookViews>
  <sheets>
    <sheet name="1-2026" sheetId="1" r:id="rId1"/>
    <sheet name="2-2026 " sheetId="2" r:id="rId2"/>
    <sheet name="3-2026 " sheetId="3" r:id="rId3"/>
    <sheet name="4-2026   " sheetId="4" r:id="rId4"/>
    <sheet name="5-2026   " sheetId="5" r:id="rId5"/>
    <sheet name="6-2026   " sheetId="6" r:id="rId6"/>
    <sheet name="7-2026   " sheetId="7" r:id="rId7"/>
    <sheet name="8-2026    " sheetId="8" r:id="rId8"/>
    <sheet name="9-2026    " sheetId="9" r:id="rId9"/>
    <sheet name="10-2026    " sheetId="10" r:id="rId10"/>
    <sheet name="11-2026    " sheetId="11" r:id="rId11"/>
    <sheet name="12-2026    " sheetId="12" r:id="rId12"/>
  </sheets>
  <definedNames>
    <definedName name="Naziv_usluge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12" i="3" l="1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U3" i="12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U3" i="11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U3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U3" i="9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U3" i="8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U3" i="7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U3" i="6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U3" i="5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U3" i="4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U3" i="3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U3" i="2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U3" i="1"/>
</calcChain>
</file>

<file path=xl/comments1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2" authorId="0" shapeId="0">
      <text>
        <r>
          <rPr>
            <sz val="9"/>
            <color rgb="FF000000"/>
            <rFont val="Tahoma"/>
            <family val="2"/>
            <charset val="238"/>
          </rPr>
          <t xml:space="preserve">upisati naziv firme
</t>
        </r>
      </text>
    </comment>
  </commentList>
</comments>
</file>

<file path=xl/sharedStrings.xml><?xml version="1.0" encoding="utf-8"?>
<sst xmlns="http://schemas.openxmlformats.org/spreadsheetml/2006/main" count="368" uniqueCount="32">
  <si>
    <t xml:space="preserve"> </t>
  </si>
  <si>
    <t>EVIDENCIJA O RADNOM VREMENU RADNIKA ZA</t>
  </si>
  <si>
    <t>. MJESEC</t>
  </si>
  <si>
    <t>Ime i prezime</t>
  </si>
  <si>
    <t>Datum u mjesecu</t>
  </si>
  <si>
    <t>UKUPNO</t>
  </si>
  <si>
    <t>Početak rada</t>
  </si>
  <si>
    <t>Završetak rada</t>
  </si>
  <si>
    <t>Ukupno dnevno radno vrijeme</t>
  </si>
  <si>
    <t>Vrijeme i sati zastoja, prekida rada i sl. do kojeg je došlo kriv. poslodavca ili usljed okolnosti za koje radnik nije odgovoran</t>
  </si>
  <si>
    <t>Vrijeme terenskog rada</t>
  </si>
  <si>
    <t>Vrijeme pripravnosti</t>
  </si>
  <si>
    <t>Godišnji odmor</t>
  </si>
  <si>
    <t>Neradni dani i blagdani utvrđeni posebnim propisom</t>
  </si>
  <si>
    <t>Vrijeme spriječenosti za rad zbog privremene nesposobnosti za rad</t>
  </si>
  <si>
    <t>Vrijeme rodiljnih i roditeljskih dopusta</t>
  </si>
  <si>
    <t>Vrijeme mirovanja radnog odnosa ili korištenja drugih prava u skladu s posebnim propisom</t>
  </si>
  <si>
    <t>Vrijeme plaćenog dopusta</t>
  </si>
  <si>
    <t>Vrijeme neplaćenog dopusta</t>
  </si>
  <si>
    <t>Vrijeme nenazočnosti u tijeku dnevnog rasporeda radnog vremena u kojima radnik svojom krivnjom ne obavlja poslove</t>
  </si>
  <si>
    <t>Vrijeme nenazočnosti u tijeku dnevnog rasporeda radnog vremena po zahtjevu radnika</t>
  </si>
  <si>
    <t>Vrijeme provedeno u štrajku</t>
  </si>
  <si>
    <t>Vrijeme isključenosti s rada (lockout)</t>
  </si>
  <si>
    <t>Sati rada noću</t>
  </si>
  <si>
    <t>Prekovremeni rad</t>
  </si>
  <si>
    <t>_____________________________</t>
  </si>
  <si>
    <t xml:space="preserve">ukupni fond sati = </t>
  </si>
  <si>
    <t>ukupni fond sati = 160</t>
  </si>
  <si>
    <t>ANTONIO ŽURGA</t>
  </si>
  <si>
    <t>ukupni fond sati = 168</t>
  </si>
  <si>
    <t>STUDIO 031</t>
  </si>
  <si>
    <t>STEFAN KIŠ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</si>
</sst>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"/>
  </numFmts>
  <fonts count="16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1"/>
      <color rgb="FF000000"/>
      <name val="Arial"/>
      <family val="2"/>
      <charset val="238"/>
    </font>
    <font>
      <b/>
      <sz val="12"/>
      <name val="Arial"/>
      <family val="2"/>
      <charset val="238"/>
    </font>
    <font>
      <b/>
      <sz val="11"/>
      <color rgb="FF000000"/>
      <name val="Arial"/>
      <family val="2"/>
      <charset val="238"/>
    </font>
    <font>
      <sz val="11"/>
      <color rgb="FFFFFFFF"/>
      <name val="Arial"/>
      <family val="2"/>
      <charset val="238"/>
    </font>
    <font>
      <sz val="12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sz val="12"/>
      <color rgb="FF000000"/>
      <name val="Arial"/>
      <family val="2"/>
      <charset val="238"/>
    </font>
    <font>
      <b/>
      <sz val="11"/>
      <color rgb="FF000000"/>
      <name val="Calibri"/>
      <family val="2"/>
      <charset val="238"/>
    </font>
    <font>
      <i/>
      <sz val="9"/>
      <color rgb="FF000000"/>
      <name val="Arial"/>
      <family val="2"/>
      <charset val="238"/>
    </font>
    <font>
      <b/>
      <i/>
      <sz val="9"/>
      <color rgb="FF000000"/>
      <name val="Arial"/>
      <family val="2"/>
      <charset val="238"/>
    </font>
    <font>
      <sz val="9"/>
      <color rgb="FF000000"/>
      <name val="Tahoma"/>
      <family val="2"/>
      <charset val="238"/>
    </font>
    <font>
      <sz val="9"/>
      <color rgb="FF000000"/>
      <name val="Arial"/>
      <family val="2"/>
      <charset val="238"/>
    </font>
    <font>
      <b/>
      <sz val="9"/>
      <name val="Arial"/>
      <family val="2"/>
      <charset val="238"/>
    </font>
    <font>
      <b/>
      <sz val="7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CCCCCC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Border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" fontId="6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0" xfId="0" applyFont="1"/>
    <xf numFmtId="0" fontId="14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2">
    <cellStyle name="Explanatory Text" xfId="1" builtinId="53" customBuiltin="1"/>
    <cellStyle name="Normal" xfId="0" builtinId="0"/>
  </cellStyles>
  <dxfs count="24"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A8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28</xdr:row>
      <xdr:rowOff>129540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7E77AF90-7CEC-4E60-8797-7F2591F1BCF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A13" zoomScaleNormal="100" workbookViewId="0">
      <selection activeCell="C2" sqref="C2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31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1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1.1.2026.</v>
      </c>
      <c r="F8" s="11" t="str">
        <f t="shared" si="0"/>
        <v>2.1.2026.</v>
      </c>
      <c r="G8" s="11" t="str">
        <f t="shared" si="0"/>
        <v>3.1.2026.</v>
      </c>
      <c r="H8" s="11" t="str">
        <f t="shared" si="0"/>
        <v>4.1.2026.</v>
      </c>
      <c r="I8" s="11" t="str">
        <f t="shared" si="0"/>
        <v>5.1.2026.</v>
      </c>
      <c r="J8" s="11" t="str">
        <f t="shared" si="0"/>
        <v>6.1.2026.</v>
      </c>
      <c r="K8" s="11" t="str">
        <f t="shared" si="0"/>
        <v>7.1.2026.</v>
      </c>
      <c r="L8" s="11" t="str">
        <f t="shared" si="0"/>
        <v>8.1.2026.</v>
      </c>
      <c r="M8" s="11" t="str">
        <f t="shared" si="0"/>
        <v>9.1.2026.</v>
      </c>
      <c r="N8" s="11" t="str">
        <f t="shared" si="0"/>
        <v>10.1.2026.</v>
      </c>
      <c r="O8" s="11" t="str">
        <f t="shared" si="0"/>
        <v>11.1.2026.</v>
      </c>
      <c r="P8" s="11" t="str">
        <f t="shared" si="0"/>
        <v>12.1.2026.</v>
      </c>
      <c r="Q8" s="11" t="str">
        <f t="shared" si="0"/>
        <v>13.1.2026.</v>
      </c>
      <c r="R8" s="11" t="str">
        <f t="shared" si="0"/>
        <v>14.1.2026.</v>
      </c>
      <c r="S8" s="11" t="str">
        <f t="shared" si="0"/>
        <v>15.1.2026.</v>
      </c>
      <c r="T8" s="11" t="str">
        <f t="shared" si="0"/>
        <v>16.1.2026.</v>
      </c>
      <c r="U8" s="11" t="str">
        <f t="shared" si="0"/>
        <v>17.1.2026.</v>
      </c>
      <c r="V8" s="11" t="str">
        <f t="shared" si="0"/>
        <v>18.1.2026.</v>
      </c>
      <c r="W8" s="11" t="str">
        <f t="shared" si="0"/>
        <v>19.1.2026.</v>
      </c>
      <c r="X8" s="11" t="str">
        <f t="shared" si="0"/>
        <v>20.1.2026.</v>
      </c>
      <c r="Y8" s="11" t="str">
        <f t="shared" si="0"/>
        <v>21.1.2026.</v>
      </c>
      <c r="Z8" s="11" t="str">
        <f t="shared" si="0"/>
        <v>22.1.2026.</v>
      </c>
      <c r="AA8" s="11" t="str">
        <f t="shared" si="0"/>
        <v>23.1.2026.</v>
      </c>
      <c r="AB8" s="11" t="str">
        <f t="shared" si="0"/>
        <v>24.1.2026.</v>
      </c>
      <c r="AC8" s="11" t="str">
        <f t="shared" si="0"/>
        <v>25.1.2026.</v>
      </c>
      <c r="AD8" s="11" t="str">
        <f t="shared" si="0"/>
        <v>26.1.2026.</v>
      </c>
      <c r="AE8" s="11" t="str">
        <f t="shared" si="0"/>
        <v>27.1.2026.</v>
      </c>
      <c r="AF8" s="11" t="str">
        <f t="shared" si="0"/>
        <v>28.1.2026.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5</v>
      </c>
      <c r="F9" s="12">
        <f t="shared" si="1"/>
        <v>6</v>
      </c>
      <c r="G9" s="12">
        <f t="shared" si="1"/>
        <v>7</v>
      </c>
      <c r="H9" s="12">
        <f t="shared" si="1"/>
        <v>1</v>
      </c>
      <c r="I9" s="12">
        <f t="shared" si="1"/>
        <v>2</v>
      </c>
      <c r="J9" s="12">
        <f t="shared" si="1"/>
        <v>3</v>
      </c>
      <c r="K9" s="12">
        <f t="shared" si="1"/>
        <v>4</v>
      </c>
      <c r="L9" s="12">
        <f t="shared" si="1"/>
        <v>5</v>
      </c>
      <c r="M9" s="12">
        <f t="shared" si="1"/>
        <v>6</v>
      </c>
      <c r="N9" s="12">
        <f t="shared" si="1"/>
        <v>7</v>
      </c>
      <c r="O9" s="12">
        <f t="shared" si="1"/>
        <v>1</v>
      </c>
      <c r="P9" s="12">
        <f t="shared" si="1"/>
        <v>2</v>
      </c>
      <c r="Q9" s="12">
        <f t="shared" si="1"/>
        <v>3</v>
      </c>
      <c r="R9" s="12">
        <f t="shared" si="1"/>
        <v>4</v>
      </c>
      <c r="S9" s="12">
        <f t="shared" si="1"/>
        <v>5</v>
      </c>
      <c r="T9" s="12">
        <f t="shared" si="1"/>
        <v>6</v>
      </c>
      <c r="U9" s="12">
        <f t="shared" si="1"/>
        <v>7</v>
      </c>
      <c r="V9" s="12">
        <f t="shared" si="1"/>
        <v>1</v>
      </c>
      <c r="W9" s="12">
        <f t="shared" si="1"/>
        <v>2</v>
      </c>
      <c r="X9" s="12">
        <f t="shared" si="1"/>
        <v>3</v>
      </c>
      <c r="Y9" s="12">
        <f t="shared" si="1"/>
        <v>4</v>
      </c>
      <c r="Z9" s="12">
        <f t="shared" si="1"/>
        <v>5</v>
      </c>
      <c r="AA9" s="12">
        <f t="shared" si="1"/>
        <v>6</v>
      </c>
      <c r="AB9" s="12">
        <f t="shared" si="1"/>
        <v>7</v>
      </c>
      <c r="AC9" s="12">
        <f t="shared" si="1"/>
        <v>1</v>
      </c>
      <c r="AD9" s="12">
        <f t="shared" si="1"/>
        <v>2</v>
      </c>
      <c r="AE9" s="12">
        <f t="shared" si="1"/>
        <v>3</v>
      </c>
      <c r="AF9" s="12">
        <f t="shared" si="1"/>
        <v>4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18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18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18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18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18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18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18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8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18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18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18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18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18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18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18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18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18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18"/>
      <c r="AJ27" s="17"/>
    </row>
    <row r="28" spans="2:36" ht="24" customHeight="1" x14ac:dyDescent="0.35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18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5:D25"/>
    <mergeCell ref="B26:D26"/>
    <mergeCell ref="B27:D27"/>
    <mergeCell ref="B28:D28"/>
    <mergeCell ref="B29:D29"/>
    <mergeCell ref="B20:D20"/>
    <mergeCell ref="B21:D21"/>
    <mergeCell ref="B22:D22"/>
    <mergeCell ref="B23:D23"/>
    <mergeCell ref="B24:D24"/>
    <mergeCell ref="B15:D15"/>
    <mergeCell ref="B16:D16"/>
    <mergeCell ref="B17:D17"/>
    <mergeCell ref="B18:D18"/>
    <mergeCell ref="B19:D19"/>
    <mergeCell ref="B10:D10"/>
    <mergeCell ref="B11:D11"/>
    <mergeCell ref="B12:D12"/>
    <mergeCell ref="B13:D13"/>
    <mergeCell ref="B14:D14"/>
    <mergeCell ref="N4:O4"/>
    <mergeCell ref="B6:D6"/>
    <mergeCell ref="E6:AJ6"/>
    <mergeCell ref="B7:D7"/>
    <mergeCell ref="AJ7:AJ9"/>
  </mergeCells>
  <conditionalFormatting sqref="E7:AA7 AC7 AD7:AI9 E8:AC9 E10:AI28">
    <cfRule type="expression" dxfId="23" priority="2">
      <formula>IF(E$9=7,1,IF(E$9=1,1,0))</formula>
    </cfRule>
    <cfRule type="expression" dxfId="22" priority="3">
      <formula>IF(E$7&gt;$U$3,1,0)</formula>
    </cfRule>
  </conditionalFormatting>
  <pageMargins left="0.25" right="0.25" top="0.4" bottom="0.4" header="0.51180555555555496" footer="0.51180555555555496"/>
  <pageSetup paperSize="9" scale="77" firstPageNumber="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zoomScaleNormal="100" workbookViewId="0">
      <selection activeCell="M14" sqref="M14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28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2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27</v>
      </c>
    </row>
    <row r="6" spans="1:36" ht="24" customHeight="1" x14ac:dyDescent="0.35">
      <c r="B6" s="21" t="s">
        <v>3</v>
      </c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1.2.2026.</v>
      </c>
      <c r="F8" s="11" t="str">
        <f t="shared" si="0"/>
        <v>2.2.2026.</v>
      </c>
      <c r="G8" s="11" t="str">
        <f t="shared" si="0"/>
        <v>3.2.2026.</v>
      </c>
      <c r="H8" s="11" t="str">
        <f t="shared" si="0"/>
        <v>4.2.2026.</v>
      </c>
      <c r="I8" s="11" t="str">
        <f t="shared" si="0"/>
        <v>5.2.2026.</v>
      </c>
      <c r="J8" s="11" t="str">
        <f t="shared" si="0"/>
        <v>6.2.2026.</v>
      </c>
      <c r="K8" s="11" t="str">
        <f t="shared" si="0"/>
        <v>7.2.2026.</v>
      </c>
      <c r="L8" s="11" t="str">
        <f t="shared" si="0"/>
        <v>8.2.2026.</v>
      </c>
      <c r="M8" s="11" t="str">
        <f t="shared" si="0"/>
        <v>9.2.2026.</v>
      </c>
      <c r="N8" s="11" t="str">
        <f t="shared" si="0"/>
        <v>10.2.2026.</v>
      </c>
      <c r="O8" s="11" t="str">
        <f t="shared" si="0"/>
        <v>11.2.2026.</v>
      </c>
      <c r="P8" s="11" t="str">
        <f t="shared" si="0"/>
        <v>12.2.2026.</v>
      </c>
      <c r="Q8" s="11" t="str">
        <f t="shared" si="0"/>
        <v>13.2.2026.</v>
      </c>
      <c r="R8" s="11" t="str">
        <f t="shared" si="0"/>
        <v>14.2.2026.</v>
      </c>
      <c r="S8" s="11" t="str">
        <f t="shared" si="0"/>
        <v>15.2.2026.</v>
      </c>
      <c r="T8" s="11" t="str">
        <f t="shared" si="0"/>
        <v>16.2.2026.</v>
      </c>
      <c r="U8" s="11" t="str">
        <f t="shared" si="0"/>
        <v>17.2.2026.</v>
      </c>
      <c r="V8" s="11" t="str">
        <f t="shared" si="0"/>
        <v>18.2.2026.</v>
      </c>
      <c r="W8" s="11" t="str">
        <f t="shared" si="0"/>
        <v>19.2.2026.</v>
      </c>
      <c r="X8" s="11" t="str">
        <f t="shared" si="0"/>
        <v>20.2.2026.</v>
      </c>
      <c r="Y8" s="11" t="str">
        <f t="shared" si="0"/>
        <v>21.2.2026.</v>
      </c>
      <c r="Z8" s="11" t="str">
        <f t="shared" si="0"/>
        <v>22.2.2026.</v>
      </c>
      <c r="AA8" s="11" t="str">
        <f t="shared" si="0"/>
        <v>23.2.2026.</v>
      </c>
      <c r="AB8" s="11" t="str">
        <f t="shared" si="0"/>
        <v>24.2.2026.</v>
      </c>
      <c r="AC8" s="11" t="str">
        <f t="shared" si="0"/>
        <v>25.2.2026.</v>
      </c>
      <c r="AD8" s="11" t="str">
        <f t="shared" si="0"/>
        <v>26.2.2026.</v>
      </c>
      <c r="AE8" s="11" t="str">
        <f t="shared" si="0"/>
        <v>27.2.2026.</v>
      </c>
      <c r="AF8" s="11" t="str">
        <f t="shared" si="0"/>
        <v>28.2.2026.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1</v>
      </c>
      <c r="F9" s="12">
        <f t="shared" si="1"/>
        <v>2</v>
      </c>
      <c r="G9" s="12">
        <f t="shared" si="1"/>
        <v>3</v>
      </c>
      <c r="H9" s="12">
        <f t="shared" si="1"/>
        <v>4</v>
      </c>
      <c r="I9" s="12">
        <f t="shared" si="1"/>
        <v>5</v>
      </c>
      <c r="J9" s="12">
        <f t="shared" si="1"/>
        <v>6</v>
      </c>
      <c r="K9" s="12">
        <f t="shared" si="1"/>
        <v>7</v>
      </c>
      <c r="L9" s="12">
        <f t="shared" si="1"/>
        <v>1</v>
      </c>
      <c r="M9" s="12">
        <f t="shared" si="1"/>
        <v>2</v>
      </c>
      <c r="N9" s="12">
        <f t="shared" si="1"/>
        <v>3</v>
      </c>
      <c r="O9" s="12">
        <f t="shared" si="1"/>
        <v>4</v>
      </c>
      <c r="P9" s="12">
        <f t="shared" si="1"/>
        <v>5</v>
      </c>
      <c r="Q9" s="12">
        <f t="shared" si="1"/>
        <v>6</v>
      </c>
      <c r="R9" s="12">
        <f t="shared" si="1"/>
        <v>7</v>
      </c>
      <c r="S9" s="12">
        <f t="shared" si="1"/>
        <v>1</v>
      </c>
      <c r="T9" s="12">
        <f t="shared" si="1"/>
        <v>2</v>
      </c>
      <c r="U9" s="12">
        <f t="shared" si="1"/>
        <v>3</v>
      </c>
      <c r="V9" s="12">
        <f t="shared" si="1"/>
        <v>4</v>
      </c>
      <c r="W9" s="12">
        <f t="shared" si="1"/>
        <v>5</v>
      </c>
      <c r="X9" s="12">
        <f t="shared" si="1"/>
        <v>6</v>
      </c>
      <c r="Y9" s="12">
        <f t="shared" si="1"/>
        <v>7</v>
      </c>
      <c r="Z9" s="12">
        <f t="shared" si="1"/>
        <v>1</v>
      </c>
      <c r="AA9" s="12">
        <f t="shared" si="1"/>
        <v>2</v>
      </c>
      <c r="AB9" s="12">
        <f t="shared" si="1"/>
        <v>3</v>
      </c>
      <c r="AC9" s="12">
        <f t="shared" si="1"/>
        <v>4</v>
      </c>
      <c r="AD9" s="12">
        <f t="shared" si="1"/>
        <v>5</v>
      </c>
      <c r="AE9" s="12">
        <f t="shared" si="1"/>
        <v>6</v>
      </c>
      <c r="AF9" s="12">
        <f t="shared" si="1"/>
        <v>7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21" priority="1">
      <formula>IF(E$9=7,1,IF(E$9=1,1,0))</formula>
    </cfRule>
    <cfRule type="expression" dxfId="20" priority="2">
      <formula>IF(E$7&gt;$U$3,1,0)</formula>
    </cfRule>
  </conditionalFormatting>
  <pageMargins left="0.25" right="0.25" top="0.4" bottom="0.4" header="0.51180555555555496" footer="0.51180555555555496"/>
  <pageSetup paperSize="9" scale="77" firstPageNumber="0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A19" zoomScaleNormal="100" workbookViewId="0">
      <selection activeCell="N29" sqref="M29:AJ29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31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3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 t="s">
        <v>28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1.3.2026.</v>
      </c>
      <c r="F8" s="11" t="str">
        <f t="shared" si="0"/>
        <v>2.3.2026.</v>
      </c>
      <c r="G8" s="11" t="str">
        <f t="shared" si="0"/>
        <v>3.3.2026.</v>
      </c>
      <c r="H8" s="11" t="str">
        <f t="shared" si="0"/>
        <v>4.3.2026.</v>
      </c>
      <c r="I8" s="11" t="str">
        <f t="shared" si="0"/>
        <v>5.3.2026.</v>
      </c>
      <c r="J8" s="11" t="str">
        <f t="shared" si="0"/>
        <v>6.3.2026.</v>
      </c>
      <c r="K8" s="11" t="str">
        <f t="shared" si="0"/>
        <v>7.3.2026.</v>
      </c>
      <c r="L8" s="11" t="str">
        <f t="shared" si="0"/>
        <v>8.3.2026.</v>
      </c>
      <c r="M8" s="11" t="str">
        <f t="shared" si="0"/>
        <v>9.3.2026.</v>
      </c>
      <c r="N8" s="11" t="str">
        <f t="shared" si="0"/>
        <v>10.3.2026.</v>
      </c>
      <c r="O8" s="11" t="str">
        <f t="shared" si="0"/>
        <v>11.3.2026.</v>
      </c>
      <c r="P8" s="11" t="str">
        <f t="shared" si="0"/>
        <v>12.3.2026.</v>
      </c>
      <c r="Q8" s="11" t="str">
        <f t="shared" si="0"/>
        <v>13.3.2026.</v>
      </c>
      <c r="R8" s="11" t="str">
        <f t="shared" si="0"/>
        <v>14.3.2026.</v>
      </c>
      <c r="S8" s="11" t="str">
        <f t="shared" si="0"/>
        <v>15.3.2026.</v>
      </c>
      <c r="T8" s="11" t="str">
        <f t="shared" si="0"/>
        <v>16.3.2026.</v>
      </c>
      <c r="U8" s="11" t="str">
        <f t="shared" si="0"/>
        <v>17.3.2026.</v>
      </c>
      <c r="V8" s="11" t="str">
        <f t="shared" si="0"/>
        <v>18.3.2026.</v>
      </c>
      <c r="W8" s="11" t="str">
        <f t="shared" si="0"/>
        <v>19.3.2026.</v>
      </c>
      <c r="X8" s="11" t="str">
        <f t="shared" si="0"/>
        <v>20.3.2026.</v>
      </c>
      <c r="Y8" s="11" t="str">
        <f t="shared" si="0"/>
        <v>21.3.2026.</v>
      </c>
      <c r="Z8" s="11" t="str">
        <f t="shared" si="0"/>
        <v>22.3.2026.</v>
      </c>
      <c r="AA8" s="11" t="str">
        <f t="shared" si="0"/>
        <v>23.3.2026.</v>
      </c>
      <c r="AB8" s="11" t="str">
        <f t="shared" si="0"/>
        <v>24.3.2026.</v>
      </c>
      <c r="AC8" s="11" t="str">
        <f t="shared" si="0"/>
        <v>25.3.2026.</v>
      </c>
      <c r="AD8" s="11" t="str">
        <f t="shared" si="0"/>
        <v>26.3.2026.</v>
      </c>
      <c r="AE8" s="11" t="str">
        <f t="shared" si="0"/>
        <v>27.3.2026.</v>
      </c>
      <c r="AF8" s="11" t="str">
        <f t="shared" si="0"/>
        <v>28.3.2026.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1</v>
      </c>
      <c r="F9" s="12">
        <f t="shared" si="1"/>
        <v>2</v>
      </c>
      <c r="G9" s="12">
        <f t="shared" si="1"/>
        <v>3</v>
      </c>
      <c r="H9" s="12">
        <f t="shared" si="1"/>
        <v>4</v>
      </c>
      <c r="I9" s="12">
        <f t="shared" si="1"/>
        <v>5</v>
      </c>
      <c r="J9" s="12">
        <f t="shared" si="1"/>
        <v>6</v>
      </c>
      <c r="K9" s="12">
        <f t="shared" si="1"/>
        <v>7</v>
      </c>
      <c r="L9" s="12">
        <f t="shared" si="1"/>
        <v>1</v>
      </c>
      <c r="M9" s="12">
        <f t="shared" si="1"/>
        <v>2</v>
      </c>
      <c r="N9" s="12">
        <f t="shared" si="1"/>
        <v>3</v>
      </c>
      <c r="O9" s="12">
        <f t="shared" si="1"/>
        <v>4</v>
      </c>
      <c r="P9" s="12">
        <f t="shared" si="1"/>
        <v>5</v>
      </c>
      <c r="Q9" s="12">
        <f t="shared" si="1"/>
        <v>6</v>
      </c>
      <c r="R9" s="12">
        <f t="shared" si="1"/>
        <v>7</v>
      </c>
      <c r="S9" s="12">
        <f t="shared" si="1"/>
        <v>1</v>
      </c>
      <c r="T9" s="12">
        <f t="shared" si="1"/>
        <v>2</v>
      </c>
      <c r="U9" s="12">
        <f t="shared" si="1"/>
        <v>3</v>
      </c>
      <c r="V9" s="12">
        <f t="shared" si="1"/>
        <v>4</v>
      </c>
      <c r="W9" s="12">
        <f t="shared" si="1"/>
        <v>5</v>
      </c>
      <c r="X9" s="12">
        <f t="shared" si="1"/>
        <v>6</v>
      </c>
      <c r="Y9" s="12">
        <f t="shared" si="1"/>
        <v>7</v>
      </c>
      <c r="Z9" s="12">
        <f t="shared" si="1"/>
        <v>1</v>
      </c>
      <c r="AA9" s="12">
        <f t="shared" si="1"/>
        <v>2</v>
      </c>
      <c r="AB9" s="12">
        <f t="shared" si="1"/>
        <v>3</v>
      </c>
      <c r="AC9" s="12">
        <f t="shared" si="1"/>
        <v>4</v>
      </c>
      <c r="AD9" s="12">
        <f t="shared" si="1"/>
        <v>5</v>
      </c>
      <c r="AE9" s="12">
        <f t="shared" si="1"/>
        <v>6</v>
      </c>
      <c r="AF9" s="12">
        <f t="shared" si="1"/>
        <v>7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19"/>
      <c r="AH10" s="7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19"/>
      <c r="AH11" s="7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19"/>
      <c r="AH12" s="7"/>
      <c r="AI12" s="7"/>
      <c r="AJ12" s="17">
        <f>SUM(F12:AI12)</f>
        <v>0</v>
      </c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19"/>
      <c r="AH13" s="7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19"/>
      <c r="AH14" s="7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19"/>
      <c r="AH15" s="7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9"/>
      <c r="AH16" s="7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19"/>
      <c r="AH17" s="7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19"/>
      <c r="AH18" s="7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19"/>
      <c r="AH19" s="7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19"/>
      <c r="AH20" s="7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19"/>
      <c r="AH21" s="7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19"/>
      <c r="AH22" s="7"/>
      <c r="AI22" s="7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19"/>
      <c r="AH23" s="7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9"/>
      <c r="AH24" s="7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19"/>
      <c r="AH25" s="7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19"/>
      <c r="AH26" s="7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19"/>
      <c r="AH27" s="7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19"/>
      <c r="AH28" s="7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19" priority="1">
      <formula>IF(E$9=7,1,IF(E$9=1,1,0))</formula>
    </cfRule>
    <cfRule type="expression" dxfId="18" priority="2">
      <formula>IF(E$7&gt;$U$3,1,0)</formula>
    </cfRule>
  </conditionalFormatting>
  <pageMargins left="0.25" right="0.25" top="0.4" bottom="0.4" header="0.51180555555555496" footer="0.51180555555555496"/>
  <pageSetup paperSize="9" scale="77" firstPageNumber="0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A25" zoomScaleNormal="100" workbookViewId="0">
      <selection activeCell="L29" sqref="L29:AJ29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30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4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1.4.2026.</v>
      </c>
      <c r="F8" s="11" t="str">
        <f t="shared" si="0"/>
        <v>2.4.2026.</v>
      </c>
      <c r="G8" s="11" t="str">
        <f t="shared" si="0"/>
        <v>3.4.2026.</v>
      </c>
      <c r="H8" s="11" t="str">
        <f t="shared" si="0"/>
        <v>4.4.2026.</v>
      </c>
      <c r="I8" s="11" t="str">
        <f t="shared" si="0"/>
        <v>5.4.2026.</v>
      </c>
      <c r="J8" s="11" t="str">
        <f t="shared" si="0"/>
        <v>6.4.2026.</v>
      </c>
      <c r="K8" s="11" t="str">
        <f t="shared" si="0"/>
        <v>7.4.2026.</v>
      </c>
      <c r="L8" s="11" t="str">
        <f t="shared" si="0"/>
        <v>8.4.2026.</v>
      </c>
      <c r="M8" s="11" t="str">
        <f t="shared" si="0"/>
        <v>9.4.2026.</v>
      </c>
      <c r="N8" s="11" t="str">
        <f t="shared" si="0"/>
        <v>10.4.2026.</v>
      </c>
      <c r="O8" s="11" t="str">
        <f t="shared" si="0"/>
        <v>11.4.2026.</v>
      </c>
      <c r="P8" s="11" t="str">
        <f t="shared" si="0"/>
        <v>12.4.2026.</v>
      </c>
      <c r="Q8" s="11" t="str">
        <f t="shared" si="0"/>
        <v>13.4.2026.</v>
      </c>
      <c r="R8" s="11" t="str">
        <f t="shared" si="0"/>
        <v>14.4.2026.</v>
      </c>
      <c r="S8" s="11" t="str">
        <f t="shared" si="0"/>
        <v>15.4.2026.</v>
      </c>
      <c r="T8" s="11" t="str">
        <f t="shared" si="0"/>
        <v>16.4.2026.</v>
      </c>
      <c r="U8" s="11" t="str">
        <f t="shared" si="0"/>
        <v>17.4.2026.</v>
      </c>
      <c r="V8" s="11" t="str">
        <f t="shared" si="0"/>
        <v>18.4.2026.</v>
      </c>
      <c r="W8" s="11" t="str">
        <f t="shared" si="0"/>
        <v>19.4.2026.</v>
      </c>
      <c r="X8" s="11" t="str">
        <f t="shared" si="0"/>
        <v>20.4.2026.</v>
      </c>
      <c r="Y8" s="11" t="str">
        <f t="shared" si="0"/>
        <v>21.4.2026.</v>
      </c>
      <c r="Z8" s="11" t="str">
        <f t="shared" si="0"/>
        <v>22.4.2026.</v>
      </c>
      <c r="AA8" s="11" t="str">
        <f t="shared" si="0"/>
        <v>23.4.2026.</v>
      </c>
      <c r="AB8" s="11" t="str">
        <f t="shared" si="0"/>
        <v>24.4.2026.</v>
      </c>
      <c r="AC8" s="11" t="str">
        <f t="shared" si="0"/>
        <v>25.4.2026.</v>
      </c>
      <c r="AD8" s="11" t="str">
        <f t="shared" si="0"/>
        <v>26.4.2026.</v>
      </c>
      <c r="AE8" s="11" t="str">
        <f t="shared" si="0"/>
        <v>27.4.2026.</v>
      </c>
      <c r="AF8" s="11" t="str">
        <f t="shared" si="0"/>
        <v>28.4.2026.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4</v>
      </c>
      <c r="F9" s="12">
        <f t="shared" si="1"/>
        <v>5</v>
      </c>
      <c r="G9" s="12">
        <f t="shared" si="1"/>
        <v>6</v>
      </c>
      <c r="H9" s="12">
        <f t="shared" si="1"/>
        <v>7</v>
      </c>
      <c r="I9" s="12">
        <f t="shared" si="1"/>
        <v>1</v>
      </c>
      <c r="J9" s="12">
        <f t="shared" si="1"/>
        <v>2</v>
      </c>
      <c r="K9" s="12">
        <f t="shared" si="1"/>
        <v>3</v>
      </c>
      <c r="L9" s="12">
        <f t="shared" si="1"/>
        <v>4</v>
      </c>
      <c r="M9" s="12">
        <f t="shared" si="1"/>
        <v>5</v>
      </c>
      <c r="N9" s="12">
        <f t="shared" si="1"/>
        <v>6</v>
      </c>
      <c r="O9" s="12">
        <f t="shared" si="1"/>
        <v>7</v>
      </c>
      <c r="P9" s="12">
        <f t="shared" si="1"/>
        <v>1</v>
      </c>
      <c r="Q9" s="12">
        <f t="shared" si="1"/>
        <v>2</v>
      </c>
      <c r="R9" s="12">
        <f t="shared" si="1"/>
        <v>3</v>
      </c>
      <c r="S9" s="12">
        <f t="shared" si="1"/>
        <v>4</v>
      </c>
      <c r="T9" s="12">
        <f t="shared" si="1"/>
        <v>5</v>
      </c>
      <c r="U9" s="12">
        <f t="shared" si="1"/>
        <v>6</v>
      </c>
      <c r="V9" s="12">
        <f t="shared" si="1"/>
        <v>7</v>
      </c>
      <c r="W9" s="12">
        <f t="shared" si="1"/>
        <v>1</v>
      </c>
      <c r="X9" s="12">
        <f t="shared" si="1"/>
        <v>2</v>
      </c>
      <c r="Y9" s="12">
        <f t="shared" si="1"/>
        <v>3</v>
      </c>
      <c r="Z9" s="12">
        <f t="shared" si="1"/>
        <v>4</v>
      </c>
      <c r="AA9" s="12">
        <f t="shared" si="1"/>
        <v>5</v>
      </c>
      <c r="AB9" s="12">
        <f t="shared" si="1"/>
        <v>6</v>
      </c>
      <c r="AC9" s="12">
        <f t="shared" si="1"/>
        <v>7</v>
      </c>
      <c r="AD9" s="12">
        <f t="shared" si="1"/>
        <v>1</v>
      </c>
      <c r="AE9" s="12">
        <f t="shared" si="1"/>
        <v>2</v>
      </c>
      <c r="AF9" s="12">
        <f t="shared" si="1"/>
        <v>3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17" priority="1">
      <formula>IF(E$9=7,1,IF(E$9=1,1,0))</formula>
    </cfRule>
    <cfRule type="expression" dxfId="16" priority="2">
      <formula>IF(E$7&gt;$U$3,1,0)</formula>
    </cfRule>
  </conditionalFormatting>
  <pageMargins left="0.25" right="0.25" top="0.4" bottom="0.4" header="0.51180555555555496" footer="0.51180555555555496"/>
  <pageSetup paperSize="9" scale="77" firstPageNumber="0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A19" zoomScaleNormal="100" workbookViewId="0">
      <selection activeCell="J29" sqref="J29:AJ29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31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5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29</v>
      </c>
    </row>
    <row r="6" spans="1:36" ht="24" customHeight="1" x14ac:dyDescent="0.35">
      <c r="B6" s="21" t="s">
        <v>3</v>
      </c>
      <c r="C6" s="21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1.5.2026.</v>
      </c>
      <c r="F8" s="11" t="str">
        <f t="shared" si="0"/>
        <v>2.5.2026.</v>
      </c>
      <c r="G8" s="11" t="str">
        <f t="shared" si="0"/>
        <v>3.5.2026.</v>
      </c>
      <c r="H8" s="11" t="str">
        <f t="shared" si="0"/>
        <v>4.5.2026.</v>
      </c>
      <c r="I8" s="11" t="str">
        <f t="shared" si="0"/>
        <v>5.5.2026.</v>
      </c>
      <c r="J8" s="11" t="str">
        <f t="shared" si="0"/>
        <v>6.5.2026.</v>
      </c>
      <c r="K8" s="11" t="str">
        <f t="shared" si="0"/>
        <v>7.5.2026.</v>
      </c>
      <c r="L8" s="11" t="str">
        <f t="shared" si="0"/>
        <v>8.5.2026.</v>
      </c>
      <c r="M8" s="11" t="str">
        <f t="shared" si="0"/>
        <v>9.5.2026.</v>
      </c>
      <c r="N8" s="11" t="str">
        <f t="shared" si="0"/>
        <v>10.5.2026.</v>
      </c>
      <c r="O8" s="11" t="str">
        <f t="shared" si="0"/>
        <v>11.5.2026.</v>
      </c>
      <c r="P8" s="11" t="str">
        <f t="shared" si="0"/>
        <v>12.5.2026.</v>
      </c>
      <c r="Q8" s="11" t="str">
        <f t="shared" si="0"/>
        <v>13.5.2026.</v>
      </c>
      <c r="R8" s="11" t="str">
        <f t="shared" si="0"/>
        <v>14.5.2026.</v>
      </c>
      <c r="S8" s="11" t="str">
        <f t="shared" si="0"/>
        <v>15.5.2026.</v>
      </c>
      <c r="T8" s="11" t="str">
        <f t="shared" si="0"/>
        <v>16.5.2026.</v>
      </c>
      <c r="U8" s="11" t="str">
        <f t="shared" si="0"/>
        <v>17.5.2026.</v>
      </c>
      <c r="V8" s="11" t="str">
        <f t="shared" si="0"/>
        <v>18.5.2026.</v>
      </c>
      <c r="W8" s="11" t="str">
        <f t="shared" si="0"/>
        <v>19.5.2026.</v>
      </c>
      <c r="X8" s="11" t="str">
        <f t="shared" si="0"/>
        <v>20.5.2026.</v>
      </c>
      <c r="Y8" s="11" t="str">
        <f t="shared" si="0"/>
        <v>21.5.2026.</v>
      </c>
      <c r="Z8" s="11" t="str">
        <f t="shared" si="0"/>
        <v>22.5.2026.</v>
      </c>
      <c r="AA8" s="11" t="str">
        <f t="shared" si="0"/>
        <v>23.5.2026.</v>
      </c>
      <c r="AB8" s="11" t="str">
        <f t="shared" si="0"/>
        <v>24.5.2026.</v>
      </c>
      <c r="AC8" s="11" t="str">
        <f t="shared" si="0"/>
        <v>25.5.2026.</v>
      </c>
      <c r="AD8" s="11" t="str">
        <f t="shared" si="0"/>
        <v>26.5.2026.</v>
      </c>
      <c r="AE8" s="11" t="str">
        <f t="shared" si="0"/>
        <v>27.5.2026.</v>
      </c>
      <c r="AF8" s="11" t="str">
        <f t="shared" si="0"/>
        <v>28.5.2026.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6</v>
      </c>
      <c r="F9" s="12">
        <f t="shared" si="1"/>
        <v>7</v>
      </c>
      <c r="G9" s="12">
        <f t="shared" si="1"/>
        <v>1</v>
      </c>
      <c r="H9" s="12">
        <f t="shared" si="1"/>
        <v>2</v>
      </c>
      <c r="I9" s="12">
        <f t="shared" si="1"/>
        <v>3</v>
      </c>
      <c r="J9" s="12">
        <f t="shared" si="1"/>
        <v>4</v>
      </c>
      <c r="K9" s="12">
        <f t="shared" si="1"/>
        <v>5</v>
      </c>
      <c r="L9" s="12">
        <f t="shared" si="1"/>
        <v>6</v>
      </c>
      <c r="M9" s="12">
        <f t="shared" si="1"/>
        <v>7</v>
      </c>
      <c r="N9" s="12">
        <f t="shared" si="1"/>
        <v>1</v>
      </c>
      <c r="O9" s="12">
        <f t="shared" si="1"/>
        <v>2</v>
      </c>
      <c r="P9" s="12">
        <f t="shared" si="1"/>
        <v>3</v>
      </c>
      <c r="Q9" s="12">
        <f t="shared" si="1"/>
        <v>4</v>
      </c>
      <c r="R9" s="12">
        <f t="shared" si="1"/>
        <v>5</v>
      </c>
      <c r="S9" s="12">
        <f t="shared" si="1"/>
        <v>6</v>
      </c>
      <c r="T9" s="12">
        <f t="shared" si="1"/>
        <v>7</v>
      </c>
      <c r="U9" s="12">
        <f t="shared" si="1"/>
        <v>1</v>
      </c>
      <c r="V9" s="12">
        <f t="shared" si="1"/>
        <v>2</v>
      </c>
      <c r="W9" s="12">
        <f t="shared" si="1"/>
        <v>3</v>
      </c>
      <c r="X9" s="12">
        <f t="shared" si="1"/>
        <v>4</v>
      </c>
      <c r="Y9" s="12">
        <f t="shared" si="1"/>
        <v>5</v>
      </c>
      <c r="Z9" s="12">
        <f t="shared" si="1"/>
        <v>6</v>
      </c>
      <c r="AA9" s="12">
        <f t="shared" si="1"/>
        <v>7</v>
      </c>
      <c r="AB9" s="12">
        <f t="shared" si="1"/>
        <v>1</v>
      </c>
      <c r="AC9" s="12">
        <f t="shared" si="1"/>
        <v>2</v>
      </c>
      <c r="AD9" s="12">
        <f t="shared" si="1"/>
        <v>3</v>
      </c>
      <c r="AE9" s="12">
        <f t="shared" si="1"/>
        <v>4</v>
      </c>
      <c r="AF9" s="12">
        <f t="shared" si="1"/>
        <v>5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19"/>
      <c r="AI10" s="19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9"/>
      <c r="AI11" s="19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9"/>
      <c r="AI12" s="19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19"/>
      <c r="AI13" s="19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19"/>
      <c r="AI14" s="19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19"/>
      <c r="AI15" s="19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19"/>
      <c r="AI16" s="19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19"/>
      <c r="AI17" s="19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9"/>
      <c r="AI18" s="19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19"/>
      <c r="AI19" s="19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19"/>
      <c r="AI20" s="19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9"/>
      <c r="AI21" s="19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9"/>
      <c r="AI22" s="19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9"/>
      <c r="AI23" s="19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19"/>
      <c r="AI24" s="19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19"/>
      <c r="AI25" s="19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19"/>
      <c r="AI26" s="19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19"/>
      <c r="AI27" s="19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19"/>
      <c r="AI28" s="19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15" priority="1">
      <formula>IF(E$9=7,1,IF(E$9=1,1,0))</formula>
    </cfRule>
    <cfRule type="expression" dxfId="14" priority="2">
      <formula>IF(E$7&gt;$U$3,1,0)</formula>
    </cfRule>
  </conditionalFormatting>
  <pageMargins left="0.25" right="0.25" top="0.4" bottom="0.4" header="0.51180555555555496" footer="0.51180555555555496"/>
  <pageSetup paperSize="9" scale="77" firstPageNumber="0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A16" zoomScaleNormal="100" workbookViewId="0">
      <selection activeCell="B23" sqref="B23:D23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30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6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 t="s">
        <v>31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1.6.2026.</v>
      </c>
      <c r="F8" s="11" t="str">
        <f t="shared" si="0"/>
        <v>2.6.2026.</v>
      </c>
      <c r="G8" s="11" t="str">
        <f t="shared" si="0"/>
        <v>3.6.2026.</v>
      </c>
      <c r="H8" s="11" t="str">
        <f t="shared" si="0"/>
        <v>4.6.2026.</v>
      </c>
      <c r="I8" s="11" t="str">
        <f t="shared" si="0"/>
        <v>5.6.2026.</v>
      </c>
      <c r="J8" s="11" t="str">
        <f t="shared" si="0"/>
        <v>6.6.2026.</v>
      </c>
      <c r="K8" s="11" t="str">
        <f t="shared" si="0"/>
        <v>7.6.2026.</v>
      </c>
      <c r="L8" s="11" t="str">
        <f t="shared" si="0"/>
        <v>8.6.2026.</v>
      </c>
      <c r="M8" s="11" t="str">
        <f t="shared" si="0"/>
        <v>9.6.2026.</v>
      </c>
      <c r="N8" s="11" t="str">
        <f t="shared" si="0"/>
        <v>10.6.2026.</v>
      </c>
      <c r="O8" s="11" t="str">
        <f t="shared" si="0"/>
        <v>11.6.2026.</v>
      </c>
      <c r="P8" s="11" t="str">
        <f t="shared" si="0"/>
        <v>12.6.2026.</v>
      </c>
      <c r="Q8" s="11" t="str">
        <f t="shared" si="0"/>
        <v>13.6.2026.</v>
      </c>
      <c r="R8" s="11" t="str">
        <f t="shared" si="0"/>
        <v>14.6.2026.</v>
      </c>
      <c r="S8" s="11" t="str">
        <f t="shared" si="0"/>
        <v>15.6.2026.</v>
      </c>
      <c r="T8" s="11" t="str">
        <f t="shared" si="0"/>
        <v>16.6.2026.</v>
      </c>
      <c r="U8" s="11" t="str">
        <f t="shared" si="0"/>
        <v>17.6.2026.</v>
      </c>
      <c r="V8" s="11" t="str">
        <f t="shared" si="0"/>
        <v>18.6.2026.</v>
      </c>
      <c r="W8" s="11" t="str">
        <f t="shared" si="0"/>
        <v>19.6.2026.</v>
      </c>
      <c r="X8" s="11" t="str">
        <f t="shared" si="0"/>
        <v>20.6.2026.</v>
      </c>
      <c r="Y8" s="11" t="str">
        <f t="shared" si="0"/>
        <v>21.6.2026.</v>
      </c>
      <c r="Z8" s="11" t="str">
        <f t="shared" si="0"/>
        <v>22.6.2026.</v>
      </c>
      <c r="AA8" s="11" t="str">
        <f t="shared" si="0"/>
        <v>23.6.2026.</v>
      </c>
      <c r="AB8" s="11" t="str">
        <f t="shared" si="0"/>
        <v>24.6.2026.</v>
      </c>
      <c r="AC8" s="11" t="str">
        <f t="shared" si="0"/>
        <v>25.6.2026.</v>
      </c>
      <c r="AD8" s="11" t="str">
        <f t="shared" si="0"/>
        <v>26.6.2026.</v>
      </c>
      <c r="AE8" s="11" t="str">
        <f t="shared" si="0"/>
        <v>27.6.2026.</v>
      </c>
      <c r="AF8" s="11" t="str">
        <f t="shared" si="0"/>
        <v>28.6.2026.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2</v>
      </c>
      <c r="F9" s="12">
        <f t="shared" si="1"/>
        <v>3</v>
      </c>
      <c r="G9" s="12">
        <f t="shared" si="1"/>
        <v>4</v>
      </c>
      <c r="H9" s="12">
        <f t="shared" si="1"/>
        <v>5</v>
      </c>
      <c r="I9" s="12">
        <f t="shared" si="1"/>
        <v>6</v>
      </c>
      <c r="J9" s="12">
        <f t="shared" si="1"/>
        <v>7</v>
      </c>
      <c r="K9" s="12">
        <f t="shared" si="1"/>
        <v>1</v>
      </c>
      <c r="L9" s="12">
        <f t="shared" si="1"/>
        <v>2</v>
      </c>
      <c r="M9" s="12">
        <f t="shared" si="1"/>
        <v>3</v>
      </c>
      <c r="N9" s="12">
        <f t="shared" si="1"/>
        <v>4</v>
      </c>
      <c r="O9" s="12">
        <f t="shared" si="1"/>
        <v>5</v>
      </c>
      <c r="P9" s="12">
        <f t="shared" si="1"/>
        <v>6</v>
      </c>
      <c r="Q9" s="12">
        <f t="shared" si="1"/>
        <v>7</v>
      </c>
      <c r="R9" s="12">
        <f t="shared" si="1"/>
        <v>1</v>
      </c>
      <c r="S9" s="12">
        <f t="shared" si="1"/>
        <v>2</v>
      </c>
      <c r="T9" s="12">
        <f t="shared" si="1"/>
        <v>3</v>
      </c>
      <c r="U9" s="12">
        <f t="shared" si="1"/>
        <v>4</v>
      </c>
      <c r="V9" s="12">
        <f t="shared" si="1"/>
        <v>5</v>
      </c>
      <c r="W9" s="12">
        <f t="shared" si="1"/>
        <v>6</v>
      </c>
      <c r="X9" s="12">
        <f t="shared" si="1"/>
        <v>7</v>
      </c>
      <c r="Y9" s="12">
        <f t="shared" si="1"/>
        <v>1</v>
      </c>
      <c r="Z9" s="12">
        <f t="shared" si="1"/>
        <v>2</v>
      </c>
      <c r="AA9" s="12">
        <f t="shared" si="1"/>
        <v>3</v>
      </c>
      <c r="AB9" s="12">
        <f t="shared" si="1"/>
        <v>4</v>
      </c>
      <c r="AC9" s="12">
        <f t="shared" si="1"/>
        <v>5</v>
      </c>
      <c r="AD9" s="12">
        <f t="shared" si="1"/>
        <v>6</v>
      </c>
      <c r="AE9" s="12">
        <f t="shared" si="1"/>
        <v>7</v>
      </c>
      <c r="AF9" s="12">
        <f t="shared" si="1"/>
        <v>1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7"/>
    </row>
    <row r="23" spans="2:36" ht="24" customHeight="1" x14ac:dyDescent="0.35">
      <c r="B23" s="26" t="s">
        <v>19</v>
      </c>
      <c r="C23" s="26"/>
      <c r="D23" s="2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13" priority="1">
      <formula>IF(E$9=7,1,IF(E$9=1,1,0))</formula>
    </cfRule>
    <cfRule type="expression" dxfId="12" priority="2">
      <formula>IF(E$7&gt;$U$3,1,0)</formula>
    </cfRule>
  </conditionalFormatting>
  <pageMargins left="0.25" right="0.25" top="0.4" bottom="0.4" header="0.51180555555555496" footer="0.51180555555555496"/>
  <pageSetup paperSize="9" scale="76" firstPageNumber="0" orientation="landscape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A19" zoomScaleNormal="100" workbookViewId="0">
      <selection activeCell="E7" sqref="E7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31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7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 t="s">
        <v>31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1.7.2026.</v>
      </c>
      <c r="F8" s="11" t="str">
        <f t="shared" si="0"/>
        <v>2.7.2026.</v>
      </c>
      <c r="G8" s="11" t="str">
        <f t="shared" si="0"/>
        <v>3.7.2026.</v>
      </c>
      <c r="H8" s="11" t="str">
        <f t="shared" si="0"/>
        <v>4.7.2026.</v>
      </c>
      <c r="I8" s="11" t="str">
        <f t="shared" si="0"/>
        <v>5.7.2026.</v>
      </c>
      <c r="J8" s="11" t="str">
        <f t="shared" si="0"/>
        <v>6.7.2026.</v>
      </c>
      <c r="K8" s="11" t="str">
        <f t="shared" si="0"/>
        <v>7.7.2026.</v>
      </c>
      <c r="L8" s="11" t="str">
        <f t="shared" si="0"/>
        <v>8.7.2026.</v>
      </c>
      <c r="M8" s="11" t="str">
        <f t="shared" si="0"/>
        <v>9.7.2026.</v>
      </c>
      <c r="N8" s="11" t="str">
        <f t="shared" si="0"/>
        <v>10.7.2026.</v>
      </c>
      <c r="O8" s="11" t="str">
        <f t="shared" si="0"/>
        <v>11.7.2026.</v>
      </c>
      <c r="P8" s="11" t="str">
        <f t="shared" si="0"/>
        <v>12.7.2026.</v>
      </c>
      <c r="Q8" s="11" t="str">
        <f t="shared" si="0"/>
        <v>13.7.2026.</v>
      </c>
      <c r="R8" s="11" t="str">
        <f t="shared" si="0"/>
        <v>14.7.2026.</v>
      </c>
      <c r="S8" s="11" t="str">
        <f t="shared" si="0"/>
        <v>15.7.2026.</v>
      </c>
      <c r="T8" s="11" t="str">
        <f t="shared" si="0"/>
        <v>16.7.2026.</v>
      </c>
      <c r="U8" s="11" t="str">
        <f t="shared" si="0"/>
        <v>17.7.2026.</v>
      </c>
      <c r="V8" s="11" t="str">
        <f t="shared" si="0"/>
        <v>18.7.2026.</v>
      </c>
      <c r="W8" s="11" t="str">
        <f t="shared" si="0"/>
        <v>19.7.2026.</v>
      </c>
      <c r="X8" s="11" t="str">
        <f t="shared" si="0"/>
        <v>20.7.2026.</v>
      </c>
      <c r="Y8" s="11" t="str">
        <f t="shared" si="0"/>
        <v>21.7.2026.</v>
      </c>
      <c r="Z8" s="11" t="str">
        <f t="shared" si="0"/>
        <v>22.7.2026.</v>
      </c>
      <c r="AA8" s="11" t="str">
        <f t="shared" si="0"/>
        <v>23.7.2026.</v>
      </c>
      <c r="AB8" s="11" t="str">
        <f t="shared" si="0"/>
        <v>24.7.2026.</v>
      </c>
      <c r="AC8" s="11" t="str">
        <f t="shared" si="0"/>
        <v>25.7.2026.</v>
      </c>
      <c r="AD8" s="11" t="str">
        <f t="shared" si="0"/>
        <v>26.7.2026.</v>
      </c>
      <c r="AE8" s="11" t="str">
        <f t="shared" si="0"/>
        <v>27.7.2026.</v>
      </c>
      <c r="AF8" s="11" t="str">
        <f t="shared" si="0"/>
        <v>28.7.2026.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4</v>
      </c>
      <c r="F9" s="12">
        <f t="shared" si="1"/>
        <v>5</v>
      </c>
      <c r="G9" s="12">
        <f t="shared" si="1"/>
        <v>6</v>
      </c>
      <c r="H9" s="12">
        <f t="shared" si="1"/>
        <v>7</v>
      </c>
      <c r="I9" s="12">
        <f t="shared" si="1"/>
        <v>1</v>
      </c>
      <c r="J9" s="12">
        <f t="shared" si="1"/>
        <v>2</v>
      </c>
      <c r="K9" s="12">
        <f t="shared" si="1"/>
        <v>3</v>
      </c>
      <c r="L9" s="12">
        <f t="shared" si="1"/>
        <v>4</v>
      </c>
      <c r="M9" s="12">
        <f t="shared" si="1"/>
        <v>5</v>
      </c>
      <c r="N9" s="12">
        <f t="shared" si="1"/>
        <v>6</v>
      </c>
      <c r="O9" s="12">
        <f t="shared" si="1"/>
        <v>7</v>
      </c>
      <c r="P9" s="12">
        <f t="shared" si="1"/>
        <v>1</v>
      </c>
      <c r="Q9" s="12">
        <f t="shared" si="1"/>
        <v>2</v>
      </c>
      <c r="R9" s="12">
        <f t="shared" si="1"/>
        <v>3</v>
      </c>
      <c r="S9" s="12">
        <f t="shared" si="1"/>
        <v>4</v>
      </c>
      <c r="T9" s="12">
        <f t="shared" si="1"/>
        <v>5</v>
      </c>
      <c r="U9" s="12">
        <f t="shared" si="1"/>
        <v>6</v>
      </c>
      <c r="V9" s="12">
        <f t="shared" si="1"/>
        <v>7</v>
      </c>
      <c r="W9" s="12">
        <f t="shared" si="1"/>
        <v>1</v>
      </c>
      <c r="X9" s="12">
        <f t="shared" si="1"/>
        <v>2</v>
      </c>
      <c r="Y9" s="12">
        <f t="shared" si="1"/>
        <v>3</v>
      </c>
      <c r="Z9" s="12">
        <f t="shared" si="1"/>
        <v>4</v>
      </c>
      <c r="AA9" s="12">
        <f t="shared" si="1"/>
        <v>5</v>
      </c>
      <c r="AB9" s="12">
        <f t="shared" si="1"/>
        <v>6</v>
      </c>
      <c r="AC9" s="12">
        <f t="shared" si="1"/>
        <v>7</v>
      </c>
      <c r="AD9" s="12">
        <f t="shared" si="1"/>
        <v>1</v>
      </c>
      <c r="AE9" s="12">
        <f t="shared" si="1"/>
        <v>2</v>
      </c>
      <c r="AF9" s="12">
        <f t="shared" si="1"/>
        <v>3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11" priority="1">
      <formula>IF(E$9=7,1,IF(E$9=1,1,0))</formula>
    </cfRule>
    <cfRule type="expression" dxfId="10" priority="2">
      <formula>IF(E$7&gt;$U$3,1,0)</formula>
    </cfRule>
  </conditionalFormatting>
  <pageMargins left="0.25" right="0.25" top="0.4" bottom="0.4" header="0.51180555555555496" footer="0.51180555555555496"/>
  <pageSetup paperSize="9" scale="76" firstPageNumber="0" orientation="landscape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D4" zoomScaleNormal="100" workbookViewId="0">
      <selection activeCell="AB12" sqref="AB12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31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8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 t="s">
        <v>31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1.8.2026.</v>
      </c>
      <c r="F8" s="11" t="str">
        <f t="shared" si="0"/>
        <v>2.8.2026.</v>
      </c>
      <c r="G8" s="11" t="str">
        <f t="shared" si="0"/>
        <v>3.8.2026.</v>
      </c>
      <c r="H8" s="11" t="str">
        <f t="shared" si="0"/>
        <v>4.8.2026.</v>
      </c>
      <c r="I8" s="11" t="str">
        <f t="shared" si="0"/>
        <v>5.8.2026.</v>
      </c>
      <c r="J8" s="11" t="str">
        <f t="shared" si="0"/>
        <v>6.8.2026.</v>
      </c>
      <c r="K8" s="11" t="str">
        <f t="shared" si="0"/>
        <v>7.8.2026.</v>
      </c>
      <c r="L8" s="11" t="str">
        <f t="shared" si="0"/>
        <v>8.8.2026.</v>
      </c>
      <c r="M8" s="11" t="str">
        <f t="shared" si="0"/>
        <v>9.8.2026.</v>
      </c>
      <c r="N8" s="11" t="str">
        <f t="shared" si="0"/>
        <v>10.8.2026.</v>
      </c>
      <c r="O8" s="11" t="str">
        <f t="shared" si="0"/>
        <v>11.8.2026.</v>
      </c>
      <c r="P8" s="11" t="str">
        <f t="shared" si="0"/>
        <v>12.8.2026.</v>
      </c>
      <c r="Q8" s="11" t="str">
        <f t="shared" si="0"/>
        <v>13.8.2026.</v>
      </c>
      <c r="R8" s="11" t="str">
        <f t="shared" si="0"/>
        <v>14.8.2026.</v>
      </c>
      <c r="S8" s="11" t="str">
        <f t="shared" si="0"/>
        <v>15.8.2026.</v>
      </c>
      <c r="T8" s="11" t="str">
        <f t="shared" si="0"/>
        <v>16.8.2026.</v>
      </c>
      <c r="U8" s="11" t="str">
        <f t="shared" si="0"/>
        <v>17.8.2026.</v>
      </c>
      <c r="V8" s="11" t="str">
        <f t="shared" si="0"/>
        <v>18.8.2026.</v>
      </c>
      <c r="W8" s="11" t="str">
        <f t="shared" si="0"/>
        <v>19.8.2026.</v>
      </c>
      <c r="X8" s="11" t="str">
        <f t="shared" si="0"/>
        <v>20.8.2026.</v>
      </c>
      <c r="Y8" s="11" t="str">
        <f t="shared" si="0"/>
        <v>21.8.2026.</v>
      </c>
      <c r="Z8" s="11" t="str">
        <f t="shared" si="0"/>
        <v>22.8.2026.</v>
      </c>
      <c r="AA8" s="11" t="str">
        <f t="shared" si="0"/>
        <v>23.8.2026.</v>
      </c>
      <c r="AB8" s="11" t="str">
        <f t="shared" si="0"/>
        <v>24.8.2026.</v>
      </c>
      <c r="AC8" s="11" t="str">
        <f t="shared" si="0"/>
        <v>25.8.2026.</v>
      </c>
      <c r="AD8" s="11" t="str">
        <f t="shared" si="0"/>
        <v>26.8.2026.</v>
      </c>
      <c r="AE8" s="11" t="str">
        <f t="shared" si="0"/>
        <v>27.8.2026.</v>
      </c>
      <c r="AF8" s="11" t="str">
        <f t="shared" si="0"/>
        <v>28.8.2026.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7</v>
      </c>
      <c r="F9" s="12">
        <f t="shared" si="1"/>
        <v>1</v>
      </c>
      <c r="G9" s="12">
        <f t="shared" si="1"/>
        <v>2</v>
      </c>
      <c r="H9" s="12">
        <f t="shared" si="1"/>
        <v>3</v>
      </c>
      <c r="I9" s="12">
        <f t="shared" si="1"/>
        <v>4</v>
      </c>
      <c r="J9" s="12">
        <f t="shared" si="1"/>
        <v>5</v>
      </c>
      <c r="K9" s="12">
        <f t="shared" si="1"/>
        <v>6</v>
      </c>
      <c r="L9" s="12">
        <f t="shared" si="1"/>
        <v>7</v>
      </c>
      <c r="M9" s="12">
        <f t="shared" si="1"/>
        <v>1</v>
      </c>
      <c r="N9" s="12">
        <f t="shared" si="1"/>
        <v>2</v>
      </c>
      <c r="O9" s="12">
        <f t="shared" si="1"/>
        <v>3</v>
      </c>
      <c r="P9" s="12">
        <f t="shared" si="1"/>
        <v>4</v>
      </c>
      <c r="Q9" s="12">
        <f t="shared" si="1"/>
        <v>5</v>
      </c>
      <c r="R9" s="12">
        <f t="shared" si="1"/>
        <v>6</v>
      </c>
      <c r="S9" s="12">
        <f t="shared" si="1"/>
        <v>7</v>
      </c>
      <c r="T9" s="12">
        <f t="shared" si="1"/>
        <v>1</v>
      </c>
      <c r="U9" s="12">
        <f t="shared" si="1"/>
        <v>2</v>
      </c>
      <c r="V9" s="12">
        <f t="shared" si="1"/>
        <v>3</v>
      </c>
      <c r="W9" s="12">
        <f t="shared" si="1"/>
        <v>4</v>
      </c>
      <c r="X9" s="12">
        <f t="shared" si="1"/>
        <v>5</v>
      </c>
      <c r="Y9" s="12">
        <f t="shared" si="1"/>
        <v>6</v>
      </c>
      <c r="Z9" s="12">
        <f t="shared" si="1"/>
        <v>7</v>
      </c>
      <c r="AA9" s="12">
        <f t="shared" si="1"/>
        <v>1</v>
      </c>
      <c r="AB9" s="12">
        <f t="shared" si="1"/>
        <v>2</v>
      </c>
      <c r="AC9" s="12">
        <f t="shared" si="1"/>
        <v>3</v>
      </c>
      <c r="AD9" s="12">
        <f t="shared" si="1"/>
        <v>4</v>
      </c>
      <c r="AE9" s="12">
        <f t="shared" si="1"/>
        <v>5</v>
      </c>
      <c r="AF9" s="12">
        <f t="shared" si="1"/>
        <v>6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1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19"/>
      <c r="AH10" s="19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1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19"/>
      <c r="AH11" s="19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1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19"/>
      <c r="AH12" s="19"/>
      <c r="AI12" s="7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1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19"/>
      <c r="AH13" s="19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1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19"/>
      <c r="AH14" s="19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19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19"/>
      <c r="AH15" s="19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19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9"/>
      <c r="AH16" s="19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1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19"/>
      <c r="AH17" s="19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1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19"/>
      <c r="AH18" s="19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1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19"/>
      <c r="AH19" s="19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1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19"/>
      <c r="AH20" s="19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19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19"/>
      <c r="AH21" s="19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19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19"/>
      <c r="AH22" s="19"/>
      <c r="AI22" s="7"/>
      <c r="AJ22" s="17"/>
    </row>
    <row r="23" spans="2:36" ht="24" customHeight="1" x14ac:dyDescent="0.35">
      <c r="B23" s="26" t="s">
        <v>19</v>
      </c>
      <c r="C23" s="26"/>
      <c r="D23" s="26"/>
      <c r="E23" s="7"/>
      <c r="F23" s="7"/>
      <c r="G23" s="7"/>
      <c r="H23" s="7"/>
      <c r="I23" s="1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19"/>
      <c r="AH23" s="19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1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9"/>
      <c r="AH24" s="19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1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19"/>
      <c r="AH25" s="19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19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19"/>
      <c r="AH26" s="19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19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19"/>
      <c r="AH27" s="19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19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19"/>
      <c r="AH28" s="19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9" priority="1">
      <formula>IF(E$9=7,1,IF(E$9=1,1,0))</formula>
    </cfRule>
    <cfRule type="expression" dxfId="8" priority="2">
      <formula>IF(E$7&gt;$U$3,1,0)</formula>
    </cfRule>
  </conditionalFormatting>
  <pageMargins left="0.25" right="0.25" top="0.4" bottom="0.4" header="0.51180555555555496" footer="0.51180555555555496"/>
  <pageSetup paperSize="9" scale="76" firstPageNumber="0" orientation="landscape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F1" zoomScaleNormal="100" workbookViewId="0">
      <selection activeCell="E7" sqref="E7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30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9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 t="s">
        <v>31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1.9.2026.</v>
      </c>
      <c r="F8" s="11" t="str">
        <f t="shared" si="0"/>
        <v>2.9.2026.</v>
      </c>
      <c r="G8" s="11" t="str">
        <f t="shared" si="0"/>
        <v>3.9.2026.</v>
      </c>
      <c r="H8" s="11" t="str">
        <f t="shared" si="0"/>
        <v>4.9.2026.</v>
      </c>
      <c r="I8" s="11" t="str">
        <f t="shared" si="0"/>
        <v>5.9.2026.</v>
      </c>
      <c r="J8" s="11" t="str">
        <f t="shared" si="0"/>
        <v>6.9.2026.</v>
      </c>
      <c r="K8" s="11" t="str">
        <f t="shared" si="0"/>
        <v>7.9.2026.</v>
      </c>
      <c r="L8" s="11" t="str">
        <f t="shared" si="0"/>
        <v>8.9.2026.</v>
      </c>
      <c r="M8" s="11" t="str">
        <f t="shared" si="0"/>
        <v>9.9.2026.</v>
      </c>
      <c r="N8" s="11" t="str">
        <f t="shared" si="0"/>
        <v>10.9.2026.</v>
      </c>
      <c r="O8" s="11" t="str">
        <f t="shared" si="0"/>
        <v>11.9.2026.</v>
      </c>
      <c r="P8" s="11" t="str">
        <f t="shared" si="0"/>
        <v>12.9.2026.</v>
      </c>
      <c r="Q8" s="11" t="str">
        <f t="shared" si="0"/>
        <v>13.9.2026.</v>
      </c>
      <c r="R8" s="11" t="str">
        <f t="shared" si="0"/>
        <v>14.9.2026.</v>
      </c>
      <c r="S8" s="11" t="str">
        <f t="shared" si="0"/>
        <v>15.9.2026.</v>
      </c>
      <c r="T8" s="11" t="str">
        <f t="shared" si="0"/>
        <v>16.9.2026.</v>
      </c>
      <c r="U8" s="11" t="str">
        <f t="shared" si="0"/>
        <v>17.9.2026.</v>
      </c>
      <c r="V8" s="11" t="str">
        <f t="shared" si="0"/>
        <v>18.9.2026.</v>
      </c>
      <c r="W8" s="11" t="str">
        <f t="shared" si="0"/>
        <v>19.9.2026.</v>
      </c>
      <c r="X8" s="11" t="str">
        <f t="shared" si="0"/>
        <v>20.9.2026.</v>
      </c>
      <c r="Y8" s="11" t="str">
        <f t="shared" si="0"/>
        <v>21.9.2026.</v>
      </c>
      <c r="Z8" s="11" t="str">
        <f t="shared" si="0"/>
        <v>22.9.2026.</v>
      </c>
      <c r="AA8" s="11" t="str">
        <f t="shared" si="0"/>
        <v>23.9.2026.</v>
      </c>
      <c r="AB8" s="11" t="str">
        <f t="shared" si="0"/>
        <v>24.9.2026.</v>
      </c>
      <c r="AC8" s="11" t="str">
        <f t="shared" si="0"/>
        <v>25.9.2026.</v>
      </c>
      <c r="AD8" s="11" t="str">
        <f t="shared" si="0"/>
        <v>26.9.2026.</v>
      </c>
      <c r="AE8" s="11" t="str">
        <f t="shared" si="0"/>
        <v>27.9.2026.</v>
      </c>
      <c r="AF8" s="11" t="str">
        <f t="shared" si="0"/>
        <v>28.9.2026.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3</v>
      </c>
      <c r="F9" s="12">
        <f t="shared" si="1"/>
        <v>4</v>
      </c>
      <c r="G9" s="12">
        <f t="shared" si="1"/>
        <v>5</v>
      </c>
      <c r="H9" s="12">
        <f t="shared" si="1"/>
        <v>6</v>
      </c>
      <c r="I9" s="12">
        <f t="shared" si="1"/>
        <v>7</v>
      </c>
      <c r="J9" s="12">
        <f t="shared" si="1"/>
        <v>1</v>
      </c>
      <c r="K9" s="12">
        <f t="shared" si="1"/>
        <v>2</v>
      </c>
      <c r="L9" s="12">
        <f t="shared" si="1"/>
        <v>3</v>
      </c>
      <c r="M9" s="12">
        <f t="shared" si="1"/>
        <v>4</v>
      </c>
      <c r="N9" s="12">
        <f t="shared" si="1"/>
        <v>5</v>
      </c>
      <c r="O9" s="12">
        <f t="shared" si="1"/>
        <v>6</v>
      </c>
      <c r="P9" s="12">
        <f t="shared" si="1"/>
        <v>7</v>
      </c>
      <c r="Q9" s="12">
        <f t="shared" si="1"/>
        <v>1</v>
      </c>
      <c r="R9" s="12">
        <f t="shared" si="1"/>
        <v>2</v>
      </c>
      <c r="S9" s="12">
        <f t="shared" si="1"/>
        <v>3</v>
      </c>
      <c r="T9" s="12">
        <f t="shared" si="1"/>
        <v>4</v>
      </c>
      <c r="U9" s="12">
        <f t="shared" si="1"/>
        <v>5</v>
      </c>
      <c r="V9" s="12">
        <f t="shared" si="1"/>
        <v>6</v>
      </c>
      <c r="W9" s="12">
        <f t="shared" si="1"/>
        <v>7</v>
      </c>
      <c r="X9" s="12">
        <f t="shared" si="1"/>
        <v>1</v>
      </c>
      <c r="Y9" s="12">
        <f t="shared" si="1"/>
        <v>2</v>
      </c>
      <c r="Z9" s="12">
        <f t="shared" si="1"/>
        <v>3</v>
      </c>
      <c r="AA9" s="12">
        <f t="shared" si="1"/>
        <v>4</v>
      </c>
      <c r="AB9" s="12">
        <f t="shared" si="1"/>
        <v>5</v>
      </c>
      <c r="AC9" s="12">
        <f t="shared" si="1"/>
        <v>6</v>
      </c>
      <c r="AD9" s="12">
        <f t="shared" si="1"/>
        <v>7</v>
      </c>
      <c r="AE9" s="12">
        <f t="shared" si="1"/>
        <v>1</v>
      </c>
      <c r="AF9" s="12">
        <f t="shared" si="1"/>
        <v>2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7" priority="1">
      <formula>IF(E$9=7,1,IF(E$9=1,1,0))</formula>
    </cfRule>
    <cfRule type="expression" dxfId="6" priority="2">
      <formula>IF(E$7&gt;$U$3,1,0)</formula>
    </cfRule>
  </conditionalFormatting>
  <pageMargins left="0.25" right="0.25" top="0.4" bottom="0.4" header="0.51180555555555496" footer="0.51180555555555496"/>
  <pageSetup paperSize="9" scale="76" firstPageNumber="0"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D1" zoomScaleNormal="100" workbookViewId="0">
      <selection activeCell="E6" sqref="E6:AJ6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31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10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 t="s">
        <v>31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1.10.2026.</v>
      </c>
      <c r="F8" s="11" t="str">
        <f t="shared" si="0"/>
        <v>2.10.2026.</v>
      </c>
      <c r="G8" s="11" t="str">
        <f t="shared" si="0"/>
        <v>3.10.2026.</v>
      </c>
      <c r="H8" s="11" t="str">
        <f t="shared" si="0"/>
        <v>4.10.2026.</v>
      </c>
      <c r="I8" s="11" t="str">
        <f t="shared" si="0"/>
        <v>5.10.2026.</v>
      </c>
      <c r="J8" s="11" t="str">
        <f t="shared" si="0"/>
        <v>6.10.2026.</v>
      </c>
      <c r="K8" s="11" t="str">
        <f t="shared" si="0"/>
        <v>7.10.2026.</v>
      </c>
      <c r="L8" s="11" t="str">
        <f t="shared" si="0"/>
        <v>8.10.2026.</v>
      </c>
      <c r="M8" s="11" t="str">
        <f t="shared" si="0"/>
        <v>9.10.2026.</v>
      </c>
      <c r="N8" s="11" t="str">
        <f t="shared" si="0"/>
        <v>10.10.2026.</v>
      </c>
      <c r="O8" s="11" t="str">
        <f t="shared" si="0"/>
        <v>11.10.2026.</v>
      </c>
      <c r="P8" s="11" t="str">
        <f t="shared" si="0"/>
        <v>12.10.2026.</v>
      </c>
      <c r="Q8" s="11" t="str">
        <f t="shared" si="0"/>
        <v>13.10.2026.</v>
      </c>
      <c r="R8" s="11" t="str">
        <f t="shared" si="0"/>
        <v>14.10.2026.</v>
      </c>
      <c r="S8" s="11" t="str">
        <f t="shared" si="0"/>
        <v>15.10.2026.</v>
      </c>
      <c r="T8" s="11" t="str">
        <f t="shared" si="0"/>
        <v>16.10.2026.</v>
      </c>
      <c r="U8" s="11" t="str">
        <f t="shared" si="0"/>
        <v>17.10.2026.</v>
      </c>
      <c r="V8" s="11" t="str">
        <f t="shared" si="0"/>
        <v>18.10.2026.</v>
      </c>
      <c r="W8" s="11" t="str">
        <f t="shared" si="0"/>
        <v>19.10.2026.</v>
      </c>
      <c r="X8" s="11" t="str">
        <f t="shared" si="0"/>
        <v>20.10.2026.</v>
      </c>
      <c r="Y8" s="11" t="str">
        <f t="shared" si="0"/>
        <v>21.10.2026.</v>
      </c>
      <c r="Z8" s="11" t="str">
        <f t="shared" si="0"/>
        <v>22.10.2026.</v>
      </c>
      <c r="AA8" s="11" t="str">
        <f t="shared" si="0"/>
        <v>23.10.2026.</v>
      </c>
      <c r="AB8" s="11" t="str">
        <f t="shared" si="0"/>
        <v>24.10.2026.</v>
      </c>
      <c r="AC8" s="11" t="str">
        <f t="shared" si="0"/>
        <v>25.10.2026.</v>
      </c>
      <c r="AD8" s="11" t="str">
        <f t="shared" si="0"/>
        <v>26.10.2026.</v>
      </c>
      <c r="AE8" s="11" t="str">
        <f t="shared" si="0"/>
        <v>27.10.2026.</v>
      </c>
      <c r="AF8" s="11" t="str">
        <f t="shared" si="0"/>
        <v>28.10.2026.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5</v>
      </c>
      <c r="F9" s="12">
        <f t="shared" si="1"/>
        <v>6</v>
      </c>
      <c r="G9" s="12">
        <f t="shared" si="1"/>
        <v>7</v>
      </c>
      <c r="H9" s="12">
        <f t="shared" si="1"/>
        <v>1</v>
      </c>
      <c r="I9" s="12">
        <f t="shared" si="1"/>
        <v>2</v>
      </c>
      <c r="J9" s="12">
        <f t="shared" si="1"/>
        <v>3</v>
      </c>
      <c r="K9" s="12">
        <f t="shared" si="1"/>
        <v>4</v>
      </c>
      <c r="L9" s="12">
        <f t="shared" si="1"/>
        <v>5</v>
      </c>
      <c r="M9" s="12">
        <f t="shared" si="1"/>
        <v>6</v>
      </c>
      <c r="N9" s="12">
        <f t="shared" si="1"/>
        <v>7</v>
      </c>
      <c r="O9" s="12">
        <f t="shared" si="1"/>
        <v>1</v>
      </c>
      <c r="P9" s="12">
        <f t="shared" si="1"/>
        <v>2</v>
      </c>
      <c r="Q9" s="12">
        <f t="shared" si="1"/>
        <v>3</v>
      </c>
      <c r="R9" s="12">
        <f t="shared" si="1"/>
        <v>4</v>
      </c>
      <c r="S9" s="12">
        <f t="shared" si="1"/>
        <v>5</v>
      </c>
      <c r="T9" s="12">
        <f t="shared" si="1"/>
        <v>6</v>
      </c>
      <c r="U9" s="12">
        <f t="shared" si="1"/>
        <v>7</v>
      </c>
      <c r="V9" s="12">
        <f t="shared" si="1"/>
        <v>1</v>
      </c>
      <c r="W9" s="12">
        <f t="shared" si="1"/>
        <v>2</v>
      </c>
      <c r="X9" s="12">
        <f t="shared" si="1"/>
        <v>3</v>
      </c>
      <c r="Y9" s="12">
        <f t="shared" si="1"/>
        <v>4</v>
      </c>
      <c r="Z9" s="12">
        <f t="shared" si="1"/>
        <v>5</v>
      </c>
      <c r="AA9" s="12">
        <f t="shared" si="1"/>
        <v>6</v>
      </c>
      <c r="AB9" s="12">
        <f t="shared" si="1"/>
        <v>7</v>
      </c>
      <c r="AC9" s="12">
        <f t="shared" si="1"/>
        <v>1</v>
      </c>
      <c r="AD9" s="12">
        <f t="shared" si="1"/>
        <v>2</v>
      </c>
      <c r="AE9" s="12">
        <f t="shared" si="1"/>
        <v>3</v>
      </c>
      <c r="AF9" s="12">
        <f t="shared" si="1"/>
        <v>4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19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1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19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1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19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1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19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19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19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1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19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1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19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1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19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19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19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1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19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1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19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1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19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1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19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1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19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1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19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1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19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19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19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1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19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19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19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5" priority="1">
      <formula>IF(E$9=7,1,IF(E$9=1,1,0))</formula>
    </cfRule>
    <cfRule type="expression" dxfId="4" priority="2">
      <formula>IF(E$7&gt;$U$3,1,0)</formula>
    </cfRule>
  </conditionalFormatting>
  <pageMargins left="0.25" right="0.25" top="0.4" bottom="0.4" header="0.51180555555555496" footer="0.51180555555555496"/>
  <pageSetup paperSize="9" scale="76" firstPageNumber="0" orientation="landscape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opLeftCell="E1" zoomScaleNormal="100" workbookViewId="0">
      <selection activeCell="W12" sqref="W12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30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11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 t="s">
        <v>31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1.11.2026.</v>
      </c>
      <c r="F8" s="11" t="str">
        <f t="shared" si="0"/>
        <v>2.11.2026.</v>
      </c>
      <c r="G8" s="11" t="str">
        <f t="shared" si="0"/>
        <v>3.11.2026.</v>
      </c>
      <c r="H8" s="11" t="str">
        <f t="shared" si="0"/>
        <v>4.11.2026.</v>
      </c>
      <c r="I8" s="11" t="str">
        <f t="shared" si="0"/>
        <v>5.11.2026.</v>
      </c>
      <c r="J8" s="11" t="str">
        <f t="shared" si="0"/>
        <v>6.11.2026.</v>
      </c>
      <c r="K8" s="11" t="str">
        <f t="shared" si="0"/>
        <v>7.11.2026.</v>
      </c>
      <c r="L8" s="11" t="str">
        <f t="shared" si="0"/>
        <v>8.11.2026.</v>
      </c>
      <c r="M8" s="11" t="str">
        <f t="shared" si="0"/>
        <v>9.11.2026.</v>
      </c>
      <c r="N8" s="11" t="str">
        <f t="shared" si="0"/>
        <v>10.11.2026.</v>
      </c>
      <c r="O8" s="11" t="str">
        <f t="shared" si="0"/>
        <v>11.11.2026.</v>
      </c>
      <c r="P8" s="11" t="str">
        <f t="shared" si="0"/>
        <v>12.11.2026.</v>
      </c>
      <c r="Q8" s="11" t="str">
        <f t="shared" si="0"/>
        <v>13.11.2026.</v>
      </c>
      <c r="R8" s="11" t="str">
        <f t="shared" si="0"/>
        <v>14.11.2026.</v>
      </c>
      <c r="S8" s="11" t="str">
        <f t="shared" si="0"/>
        <v>15.11.2026.</v>
      </c>
      <c r="T8" s="11" t="str">
        <f t="shared" si="0"/>
        <v>16.11.2026.</v>
      </c>
      <c r="U8" s="11" t="str">
        <f t="shared" si="0"/>
        <v>17.11.2026.</v>
      </c>
      <c r="V8" s="11" t="str">
        <f t="shared" si="0"/>
        <v>18.11.2026.</v>
      </c>
      <c r="W8" s="11" t="str">
        <f t="shared" si="0"/>
        <v>19.11.2026.</v>
      </c>
      <c r="X8" s="11" t="str">
        <f t="shared" si="0"/>
        <v>20.11.2026.</v>
      </c>
      <c r="Y8" s="11" t="str">
        <f t="shared" si="0"/>
        <v>21.11.2026.</v>
      </c>
      <c r="Z8" s="11" t="str">
        <f t="shared" si="0"/>
        <v>22.11.2026.</v>
      </c>
      <c r="AA8" s="11" t="str">
        <f t="shared" si="0"/>
        <v>23.11.2026.</v>
      </c>
      <c r="AB8" s="11" t="str">
        <f t="shared" si="0"/>
        <v>24.11.2026.</v>
      </c>
      <c r="AC8" s="11" t="str">
        <f t="shared" si="0"/>
        <v>25.11.2026.</v>
      </c>
      <c r="AD8" s="11" t="str">
        <f t="shared" si="0"/>
        <v>26.11.2026.</v>
      </c>
      <c r="AE8" s="11" t="str">
        <f t="shared" si="0"/>
        <v>27.11.2026.</v>
      </c>
      <c r="AF8" s="11" t="str">
        <f t="shared" si="0"/>
        <v>28.11.2026.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1</v>
      </c>
      <c r="F9" s="12">
        <f t="shared" si="1"/>
        <v>2</v>
      </c>
      <c r="G9" s="12">
        <f t="shared" si="1"/>
        <v>3</v>
      </c>
      <c r="H9" s="12">
        <f t="shared" si="1"/>
        <v>4</v>
      </c>
      <c r="I9" s="12">
        <f t="shared" si="1"/>
        <v>5</v>
      </c>
      <c r="J9" s="12">
        <f t="shared" si="1"/>
        <v>6</v>
      </c>
      <c r="K9" s="12">
        <f t="shared" si="1"/>
        <v>7</v>
      </c>
      <c r="L9" s="12">
        <f t="shared" si="1"/>
        <v>1</v>
      </c>
      <c r="M9" s="12">
        <f t="shared" si="1"/>
        <v>2</v>
      </c>
      <c r="N9" s="12">
        <f t="shared" si="1"/>
        <v>3</v>
      </c>
      <c r="O9" s="12">
        <f t="shared" si="1"/>
        <v>4</v>
      </c>
      <c r="P9" s="12">
        <f t="shared" si="1"/>
        <v>5</v>
      </c>
      <c r="Q9" s="12">
        <f t="shared" si="1"/>
        <v>6</v>
      </c>
      <c r="R9" s="12">
        <f t="shared" si="1"/>
        <v>7</v>
      </c>
      <c r="S9" s="12">
        <f t="shared" si="1"/>
        <v>1</v>
      </c>
      <c r="T9" s="12">
        <f t="shared" si="1"/>
        <v>2</v>
      </c>
      <c r="U9" s="12">
        <f t="shared" si="1"/>
        <v>3</v>
      </c>
      <c r="V9" s="12">
        <f t="shared" si="1"/>
        <v>4</v>
      </c>
      <c r="W9" s="12">
        <f t="shared" si="1"/>
        <v>5</v>
      </c>
      <c r="X9" s="12">
        <f t="shared" si="1"/>
        <v>6</v>
      </c>
      <c r="Y9" s="12">
        <f t="shared" si="1"/>
        <v>7</v>
      </c>
      <c r="Z9" s="12">
        <f t="shared" si="1"/>
        <v>1</v>
      </c>
      <c r="AA9" s="12">
        <f t="shared" si="1"/>
        <v>2</v>
      </c>
      <c r="AB9" s="12">
        <f t="shared" si="1"/>
        <v>3</v>
      </c>
      <c r="AC9" s="12">
        <f t="shared" si="1"/>
        <v>4</v>
      </c>
      <c r="AD9" s="12">
        <f t="shared" si="1"/>
        <v>5</v>
      </c>
      <c r="AE9" s="12">
        <f t="shared" si="1"/>
        <v>6</v>
      </c>
      <c r="AF9" s="12">
        <f t="shared" si="1"/>
        <v>7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19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9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9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19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9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19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19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19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19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19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19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19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19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9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19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19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9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19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19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3" priority="1">
      <formula>IF(E$9=7,1,IF(E$9=1,1,0))</formula>
    </cfRule>
    <cfRule type="expression" dxfId="2" priority="2">
      <formula>IF(E$7&gt;$U$3,1,0)</formula>
    </cfRule>
  </conditionalFormatting>
  <pageMargins left="0.25" right="0.25" top="0.4" bottom="0.4" header="0.51180555555555496" footer="0.51180555555555496"/>
  <pageSetup paperSize="9" scale="76" firstPageNumber="0" orientation="landscape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MK33"/>
  <sheetViews>
    <sheetView tabSelected="1" topLeftCell="E1" zoomScaleNormal="100" workbookViewId="0">
      <selection activeCell="AA13" sqref="AA13"/>
    </sheetView>
  </sheetViews>
  <sheetFormatPr defaultRowHeight="14.5" x14ac:dyDescent="0.35"/>
  <cols>
    <col min="1" max="1" width="2" style="1" customWidth="1"/>
    <col min="2" max="2" width="3.90625" style="1" customWidth="1"/>
    <col min="3" max="3" width="31.90625" style="1" customWidth="1"/>
    <col min="4" max="4" width="3.90625" style="1" customWidth="1"/>
    <col min="5" max="5" width="4.453125" style="1" customWidth="1"/>
    <col min="6" max="35" width="4.36328125" style="1" customWidth="1"/>
    <col min="36" max="36" width="8.6328125" style="1" customWidth="1"/>
    <col min="37" max="1025" width="9.08984375" style="1" customWidth="1"/>
  </cols>
  <sheetData>
    <row r="2" spans="1:36" ht="15.5" x14ac:dyDescent="0.35">
      <c r="A2" s="1" t="s">
        <v>0</v>
      </c>
      <c r="B2" s="1" t="s">
        <v>0</v>
      </c>
      <c r="C2" s="2" t="s">
        <v>30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36" x14ac:dyDescent="0.35">
      <c r="C3" s="3"/>
      <c r="E3" s="3"/>
      <c r="F3" s="3"/>
      <c r="G3" s="3"/>
      <c r="H3" s="3"/>
      <c r="I3" s="3"/>
      <c r="J3" s="3"/>
      <c r="K3" s="3"/>
      <c r="L3" s="3"/>
      <c r="M3" s="3"/>
      <c r="N3" s="3"/>
      <c r="U3" s="4">
        <f>DAY(DATE(N4,J4+1,1)-1)</f>
        <v>31</v>
      </c>
    </row>
    <row r="4" spans="1:36" ht="15.5" x14ac:dyDescent="0.35">
      <c r="C4" s="5" t="s">
        <v>1</v>
      </c>
      <c r="D4" s="5"/>
      <c r="E4" s="5"/>
      <c r="F4" s="5"/>
      <c r="G4" s="5"/>
      <c r="H4" s="5"/>
      <c r="I4" s="5"/>
      <c r="J4" s="6">
        <v>12</v>
      </c>
      <c r="K4" s="5" t="s">
        <v>2</v>
      </c>
      <c r="L4" s="5"/>
      <c r="M4" s="5"/>
      <c r="N4" s="20">
        <v>2026</v>
      </c>
      <c r="O4" s="20"/>
    </row>
    <row r="5" spans="1:36" x14ac:dyDescent="0.35">
      <c r="C5" s="15" t="s">
        <v>26</v>
      </c>
    </row>
    <row r="6" spans="1:36" ht="24" customHeight="1" x14ac:dyDescent="0.35">
      <c r="B6" s="21" t="s">
        <v>3</v>
      </c>
      <c r="C6" s="21"/>
      <c r="D6" s="21"/>
      <c r="E6" s="22" t="s">
        <v>31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</row>
    <row r="7" spans="1:36" ht="21.75" customHeight="1" x14ac:dyDescent="0.35">
      <c r="B7" s="21" t="s">
        <v>4</v>
      </c>
      <c r="C7" s="21"/>
      <c r="D7" s="21"/>
      <c r="E7" s="16">
        <v>1</v>
      </c>
      <c r="F7" s="8">
        <v>2</v>
      </c>
      <c r="G7" s="8">
        <v>3</v>
      </c>
      <c r="H7" s="8">
        <v>4</v>
      </c>
      <c r="I7" s="8">
        <v>5</v>
      </c>
      <c r="J7" s="8">
        <v>6</v>
      </c>
      <c r="K7" s="8">
        <v>7</v>
      </c>
      <c r="L7" s="8">
        <v>8</v>
      </c>
      <c r="M7" s="8">
        <v>9</v>
      </c>
      <c r="N7" s="8">
        <v>10</v>
      </c>
      <c r="O7" s="8">
        <v>11</v>
      </c>
      <c r="P7" s="8">
        <v>12</v>
      </c>
      <c r="Q7" s="8">
        <v>13</v>
      </c>
      <c r="R7" s="8">
        <v>14</v>
      </c>
      <c r="S7" s="8">
        <v>15</v>
      </c>
      <c r="T7" s="8">
        <v>16</v>
      </c>
      <c r="U7" s="8">
        <v>17</v>
      </c>
      <c r="V7" s="16">
        <v>18</v>
      </c>
      <c r="W7" s="8">
        <v>19</v>
      </c>
      <c r="X7" s="8">
        <v>20</v>
      </c>
      <c r="Y7" s="8">
        <v>21</v>
      </c>
      <c r="Z7" s="8">
        <v>22</v>
      </c>
      <c r="AA7" s="8">
        <v>23</v>
      </c>
      <c r="AB7" s="13">
        <v>24</v>
      </c>
      <c r="AC7" s="8">
        <v>25</v>
      </c>
      <c r="AD7" s="8">
        <v>26</v>
      </c>
      <c r="AE7" s="8">
        <v>27</v>
      </c>
      <c r="AF7" s="8">
        <v>28</v>
      </c>
      <c r="AG7" s="8">
        <v>29</v>
      </c>
      <c r="AH7" s="8">
        <v>30</v>
      </c>
      <c r="AI7" s="8">
        <v>31</v>
      </c>
      <c r="AJ7" s="21" t="s">
        <v>5</v>
      </c>
    </row>
    <row r="8" spans="1:36" ht="14.25" hidden="1" customHeight="1" x14ac:dyDescent="0.35">
      <c r="B8" s="9"/>
      <c r="C8" s="9"/>
      <c r="D8" s="10"/>
      <c r="E8" s="11" t="str">
        <f t="shared" ref="E8:AF8" si="0">E$7&amp;"."&amp;$J$4&amp;"."&amp;$N$4&amp;"."</f>
        <v>1.12.2026.</v>
      </c>
      <c r="F8" s="11" t="str">
        <f t="shared" si="0"/>
        <v>2.12.2026.</v>
      </c>
      <c r="G8" s="11" t="str">
        <f t="shared" si="0"/>
        <v>3.12.2026.</v>
      </c>
      <c r="H8" s="11" t="str">
        <f t="shared" si="0"/>
        <v>4.12.2026.</v>
      </c>
      <c r="I8" s="11" t="str">
        <f t="shared" si="0"/>
        <v>5.12.2026.</v>
      </c>
      <c r="J8" s="11" t="str">
        <f t="shared" si="0"/>
        <v>6.12.2026.</v>
      </c>
      <c r="K8" s="11" t="str">
        <f t="shared" si="0"/>
        <v>7.12.2026.</v>
      </c>
      <c r="L8" s="11" t="str">
        <f t="shared" si="0"/>
        <v>8.12.2026.</v>
      </c>
      <c r="M8" s="11" t="str">
        <f t="shared" si="0"/>
        <v>9.12.2026.</v>
      </c>
      <c r="N8" s="11" t="str">
        <f t="shared" si="0"/>
        <v>10.12.2026.</v>
      </c>
      <c r="O8" s="11" t="str">
        <f t="shared" si="0"/>
        <v>11.12.2026.</v>
      </c>
      <c r="P8" s="11" t="str">
        <f t="shared" si="0"/>
        <v>12.12.2026.</v>
      </c>
      <c r="Q8" s="11" t="str">
        <f t="shared" si="0"/>
        <v>13.12.2026.</v>
      </c>
      <c r="R8" s="11" t="str">
        <f t="shared" si="0"/>
        <v>14.12.2026.</v>
      </c>
      <c r="S8" s="11" t="str">
        <f t="shared" si="0"/>
        <v>15.12.2026.</v>
      </c>
      <c r="T8" s="11" t="str">
        <f t="shared" si="0"/>
        <v>16.12.2026.</v>
      </c>
      <c r="U8" s="11" t="str">
        <f t="shared" si="0"/>
        <v>17.12.2026.</v>
      </c>
      <c r="V8" s="11" t="str">
        <f t="shared" si="0"/>
        <v>18.12.2026.</v>
      </c>
      <c r="W8" s="11" t="str">
        <f t="shared" si="0"/>
        <v>19.12.2026.</v>
      </c>
      <c r="X8" s="11" t="str">
        <f t="shared" si="0"/>
        <v>20.12.2026.</v>
      </c>
      <c r="Y8" s="11" t="str">
        <f t="shared" si="0"/>
        <v>21.12.2026.</v>
      </c>
      <c r="Z8" s="11" t="str">
        <f t="shared" si="0"/>
        <v>22.12.2026.</v>
      </c>
      <c r="AA8" s="11" t="str">
        <f t="shared" si="0"/>
        <v>23.12.2026.</v>
      </c>
      <c r="AB8" s="11" t="str">
        <f t="shared" si="0"/>
        <v>24.12.2026.</v>
      </c>
      <c r="AC8" s="11" t="str">
        <f t="shared" si="0"/>
        <v>25.12.2026.</v>
      </c>
      <c r="AD8" s="11" t="str">
        <f t="shared" si="0"/>
        <v>26.12.2026.</v>
      </c>
      <c r="AE8" s="11" t="str">
        <f t="shared" si="0"/>
        <v>27.12.2026.</v>
      </c>
      <c r="AF8" s="11" t="str">
        <f t="shared" si="0"/>
        <v>28.12.2026.</v>
      </c>
      <c r="AG8" s="11"/>
      <c r="AH8" s="11"/>
      <c r="AI8" s="11"/>
      <c r="AJ8" s="21"/>
    </row>
    <row r="9" spans="1:36" ht="24.75" hidden="1" customHeight="1" x14ac:dyDescent="0.35">
      <c r="B9" s="7"/>
      <c r="C9" s="7"/>
      <c r="D9" s="10"/>
      <c r="E9" s="12">
        <f t="shared" ref="E9:AF9" si="1">WEEKDAY(DATE($N$4,$J$4,E7))</f>
        <v>3</v>
      </c>
      <c r="F9" s="12">
        <f t="shared" si="1"/>
        <v>4</v>
      </c>
      <c r="G9" s="12">
        <f t="shared" si="1"/>
        <v>5</v>
      </c>
      <c r="H9" s="12">
        <f t="shared" si="1"/>
        <v>6</v>
      </c>
      <c r="I9" s="12">
        <f t="shared" si="1"/>
        <v>7</v>
      </c>
      <c r="J9" s="12">
        <f t="shared" si="1"/>
        <v>1</v>
      </c>
      <c r="K9" s="12">
        <f t="shared" si="1"/>
        <v>2</v>
      </c>
      <c r="L9" s="12">
        <f t="shared" si="1"/>
        <v>3</v>
      </c>
      <c r="M9" s="12">
        <f t="shared" si="1"/>
        <v>4</v>
      </c>
      <c r="N9" s="12">
        <f t="shared" si="1"/>
        <v>5</v>
      </c>
      <c r="O9" s="12">
        <f t="shared" si="1"/>
        <v>6</v>
      </c>
      <c r="P9" s="12">
        <f t="shared" si="1"/>
        <v>7</v>
      </c>
      <c r="Q9" s="12">
        <f t="shared" si="1"/>
        <v>1</v>
      </c>
      <c r="R9" s="12">
        <f t="shared" si="1"/>
        <v>2</v>
      </c>
      <c r="S9" s="12">
        <f t="shared" si="1"/>
        <v>3</v>
      </c>
      <c r="T9" s="12">
        <f t="shared" si="1"/>
        <v>4</v>
      </c>
      <c r="U9" s="12">
        <f t="shared" si="1"/>
        <v>5</v>
      </c>
      <c r="V9" s="12">
        <f t="shared" si="1"/>
        <v>6</v>
      </c>
      <c r="W9" s="12">
        <f t="shared" si="1"/>
        <v>7</v>
      </c>
      <c r="X9" s="12">
        <f t="shared" si="1"/>
        <v>1</v>
      </c>
      <c r="Y9" s="12">
        <f t="shared" si="1"/>
        <v>2</v>
      </c>
      <c r="Z9" s="12">
        <f t="shared" si="1"/>
        <v>3</v>
      </c>
      <c r="AA9" s="12">
        <f t="shared" si="1"/>
        <v>4</v>
      </c>
      <c r="AB9" s="12">
        <f t="shared" si="1"/>
        <v>5</v>
      </c>
      <c r="AC9" s="12">
        <f t="shared" si="1"/>
        <v>6</v>
      </c>
      <c r="AD9" s="12">
        <f t="shared" si="1"/>
        <v>7</v>
      </c>
      <c r="AE9" s="12">
        <f t="shared" si="1"/>
        <v>1</v>
      </c>
      <c r="AF9" s="12">
        <f t="shared" si="1"/>
        <v>2</v>
      </c>
      <c r="AG9" s="12"/>
      <c r="AH9" s="12"/>
      <c r="AI9" s="12"/>
      <c r="AJ9" s="21"/>
    </row>
    <row r="10" spans="1:36" ht="24" customHeight="1" x14ac:dyDescent="0.35">
      <c r="B10" s="23" t="s">
        <v>6</v>
      </c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19"/>
      <c r="AD10" s="7"/>
      <c r="AE10" s="7"/>
      <c r="AF10" s="7"/>
      <c r="AG10" s="7"/>
      <c r="AH10" s="7"/>
      <c r="AI10" s="7"/>
      <c r="AJ10" s="17"/>
    </row>
    <row r="11" spans="1:36" ht="24" customHeight="1" x14ac:dyDescent="0.35">
      <c r="B11" s="23" t="s">
        <v>7</v>
      </c>
      <c r="C11" s="23"/>
      <c r="D11" s="2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19"/>
      <c r="AD11" s="7"/>
      <c r="AE11" s="7"/>
      <c r="AF11" s="7"/>
      <c r="AG11" s="7"/>
      <c r="AH11" s="7"/>
      <c r="AI11" s="7"/>
      <c r="AJ11" s="17"/>
    </row>
    <row r="12" spans="1:36" ht="24" customHeight="1" x14ac:dyDescent="0.35">
      <c r="B12" s="23" t="s">
        <v>8</v>
      </c>
      <c r="C12" s="23"/>
      <c r="D12" s="2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19"/>
      <c r="AD12" s="7"/>
      <c r="AE12" s="7"/>
      <c r="AF12" s="7"/>
      <c r="AG12" s="7"/>
      <c r="AH12" s="7"/>
      <c r="AI12" s="7"/>
      <c r="AJ12" s="17"/>
    </row>
    <row r="13" spans="1:36" ht="38.25" customHeight="1" x14ac:dyDescent="0.35">
      <c r="B13" s="23" t="s">
        <v>9</v>
      </c>
      <c r="C13" s="23"/>
      <c r="D13" s="2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19"/>
      <c r="AD13" s="7"/>
      <c r="AE13" s="7"/>
      <c r="AF13" s="7"/>
      <c r="AG13" s="7"/>
      <c r="AH13" s="7"/>
      <c r="AI13" s="7"/>
      <c r="AJ13" s="17"/>
    </row>
    <row r="14" spans="1:36" ht="24" customHeight="1" x14ac:dyDescent="0.35">
      <c r="B14" s="23" t="s">
        <v>10</v>
      </c>
      <c r="C14" s="23"/>
      <c r="D14" s="2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19"/>
      <c r="AD14" s="7"/>
      <c r="AE14" s="7"/>
      <c r="AF14" s="7"/>
      <c r="AG14" s="7"/>
      <c r="AH14" s="7"/>
      <c r="AI14" s="7"/>
      <c r="AJ14" s="17"/>
    </row>
    <row r="15" spans="1:36" ht="24" customHeight="1" x14ac:dyDescent="0.35">
      <c r="B15" s="23" t="s">
        <v>11</v>
      </c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19"/>
      <c r="AD15" s="7"/>
      <c r="AE15" s="7"/>
      <c r="AF15" s="7"/>
      <c r="AG15" s="7"/>
      <c r="AH15" s="7"/>
      <c r="AI15" s="7"/>
      <c r="AJ15" s="17"/>
    </row>
    <row r="16" spans="1:36" ht="24" customHeight="1" x14ac:dyDescent="0.35">
      <c r="B16" s="23" t="s">
        <v>12</v>
      </c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19"/>
      <c r="AD16" s="7"/>
      <c r="AE16" s="7"/>
      <c r="AF16" s="7"/>
      <c r="AG16" s="7"/>
      <c r="AH16" s="7"/>
      <c r="AI16" s="7"/>
      <c r="AJ16" s="17"/>
    </row>
    <row r="17" spans="2:36" ht="24" customHeight="1" x14ac:dyDescent="0.35">
      <c r="B17" s="23" t="s">
        <v>13</v>
      </c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19"/>
      <c r="AD17" s="7"/>
      <c r="AE17" s="7"/>
      <c r="AF17" s="7"/>
      <c r="AG17" s="7"/>
      <c r="AH17" s="7"/>
      <c r="AI17" s="7"/>
      <c r="AJ17" s="17"/>
    </row>
    <row r="18" spans="2:36" ht="24" customHeight="1" x14ac:dyDescent="0.35">
      <c r="B18" s="23" t="s">
        <v>14</v>
      </c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19"/>
      <c r="AD18" s="7"/>
      <c r="AE18" s="7"/>
      <c r="AF18" s="7"/>
      <c r="AG18" s="7"/>
      <c r="AH18" s="7"/>
      <c r="AI18" s="7"/>
      <c r="AJ18" s="17"/>
    </row>
    <row r="19" spans="2:36" ht="24" customHeight="1" x14ac:dyDescent="0.35">
      <c r="B19" s="23" t="s">
        <v>15</v>
      </c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19"/>
      <c r="AD19" s="7"/>
      <c r="AE19" s="7"/>
      <c r="AF19" s="7"/>
      <c r="AG19" s="7"/>
      <c r="AH19" s="7"/>
      <c r="AI19" s="7"/>
      <c r="AJ19" s="17"/>
    </row>
    <row r="20" spans="2:36" ht="24" customHeight="1" x14ac:dyDescent="0.35">
      <c r="B20" s="23" t="s">
        <v>16</v>
      </c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19"/>
      <c r="AD20" s="7"/>
      <c r="AE20" s="7"/>
      <c r="AF20" s="7"/>
      <c r="AG20" s="7"/>
      <c r="AH20" s="7"/>
      <c r="AI20" s="7"/>
      <c r="AJ20" s="17"/>
    </row>
    <row r="21" spans="2:36" ht="24" customHeight="1" x14ac:dyDescent="0.35">
      <c r="B21" s="23" t="s">
        <v>17</v>
      </c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19"/>
      <c r="AD21" s="7"/>
      <c r="AE21" s="7"/>
      <c r="AF21" s="7"/>
      <c r="AG21" s="7"/>
      <c r="AH21" s="7"/>
      <c r="AI21" s="7"/>
      <c r="AJ21" s="17"/>
    </row>
    <row r="22" spans="2:36" ht="24" customHeight="1" x14ac:dyDescent="0.35">
      <c r="B22" s="23" t="s">
        <v>18</v>
      </c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19"/>
      <c r="AD22" s="7"/>
      <c r="AE22" s="7"/>
      <c r="AF22" s="7"/>
      <c r="AG22" s="7"/>
      <c r="AH22" s="7"/>
      <c r="AI22" s="7"/>
      <c r="AJ22" s="17"/>
    </row>
    <row r="23" spans="2:36" ht="24" customHeight="1" x14ac:dyDescent="0.35">
      <c r="B23" s="23" t="s">
        <v>19</v>
      </c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19"/>
      <c r="AD23" s="7"/>
      <c r="AE23" s="7"/>
      <c r="AF23" s="7"/>
      <c r="AG23" s="7"/>
      <c r="AH23" s="7"/>
      <c r="AI23" s="7"/>
      <c r="AJ23" s="17"/>
    </row>
    <row r="24" spans="2:36" ht="24" customHeight="1" x14ac:dyDescent="0.35">
      <c r="B24" s="23" t="s">
        <v>20</v>
      </c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19"/>
      <c r="AD24" s="7"/>
      <c r="AE24" s="7"/>
      <c r="AF24" s="7"/>
      <c r="AG24" s="7"/>
      <c r="AH24" s="7"/>
      <c r="AI24" s="7"/>
      <c r="AJ24" s="17"/>
    </row>
    <row r="25" spans="2:36" ht="24" customHeight="1" x14ac:dyDescent="0.35">
      <c r="B25" s="23" t="s">
        <v>21</v>
      </c>
      <c r="C25" s="23"/>
      <c r="D25" s="2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19"/>
      <c r="AD25" s="7"/>
      <c r="AE25" s="7"/>
      <c r="AF25" s="7"/>
      <c r="AG25" s="7"/>
      <c r="AH25" s="7"/>
      <c r="AI25" s="7"/>
      <c r="AJ25" s="17"/>
    </row>
    <row r="26" spans="2:36" ht="24" customHeight="1" x14ac:dyDescent="0.35">
      <c r="B26" s="23" t="s">
        <v>22</v>
      </c>
      <c r="C26" s="23"/>
      <c r="D26" s="2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19"/>
      <c r="AD26" s="7"/>
      <c r="AE26" s="7"/>
      <c r="AF26" s="7"/>
      <c r="AG26" s="7"/>
      <c r="AH26" s="7"/>
      <c r="AI26" s="7"/>
      <c r="AJ26" s="17"/>
    </row>
    <row r="27" spans="2:36" ht="24" customHeight="1" x14ac:dyDescent="0.35">
      <c r="B27" s="23" t="s">
        <v>23</v>
      </c>
      <c r="C27" s="23"/>
      <c r="D27" s="2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19"/>
      <c r="AD27" s="7"/>
      <c r="AE27" s="7"/>
      <c r="AF27" s="7"/>
      <c r="AG27" s="7"/>
      <c r="AH27" s="7"/>
      <c r="AI27" s="7"/>
      <c r="AJ27" s="17"/>
    </row>
    <row r="28" spans="2:36" ht="24" customHeight="1" thickBot="1" x14ac:dyDescent="0.4">
      <c r="B28" s="24" t="s">
        <v>24</v>
      </c>
      <c r="C28" s="24"/>
      <c r="D28" s="2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19"/>
      <c r="AD28" s="7"/>
      <c r="AE28" s="7"/>
      <c r="AF28" s="7"/>
      <c r="AG28" s="7"/>
      <c r="AH28" s="7"/>
      <c r="AI28" s="7"/>
      <c r="AJ28" s="17"/>
    </row>
    <row r="29" spans="2:36" ht="24" customHeight="1" x14ac:dyDescent="0.35">
      <c r="B29" s="25" t="s">
        <v>5</v>
      </c>
      <c r="C29" s="25"/>
      <c r="D29" s="2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3" spans="15:15" x14ac:dyDescent="0.35">
      <c r="O33" s="1" t="s">
        <v>25</v>
      </c>
    </row>
  </sheetData>
  <mergeCells count="25">
    <mergeCell ref="B29:D29"/>
    <mergeCell ref="B23:D23"/>
    <mergeCell ref="B24:D24"/>
    <mergeCell ref="B25:D25"/>
    <mergeCell ref="B26:D26"/>
    <mergeCell ref="B27:D27"/>
    <mergeCell ref="B28:D28"/>
    <mergeCell ref="B22:D22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10:D10"/>
    <mergeCell ref="N4:O4"/>
    <mergeCell ref="B6:D6"/>
    <mergeCell ref="E6:AJ6"/>
    <mergeCell ref="B7:D7"/>
    <mergeCell ref="AJ7:AJ9"/>
  </mergeCells>
  <conditionalFormatting sqref="E7:AA7 AC7 AD7:AI9 E8:AC9 E10:AI28">
    <cfRule type="expression" dxfId="1" priority="1">
      <formula>IF(E$9=7,1,IF(E$9=1,1,0))</formula>
    </cfRule>
    <cfRule type="expression" dxfId="0" priority="2">
      <formula>IF(E$7&gt;$U$3,1,0)</formula>
    </cfRule>
  </conditionalFormatting>
  <pageMargins left="0.25" right="0.25" top="0.4" bottom="0.4" header="0.51180555555555496" footer="0.51180555555555496"/>
  <pageSetup paperSize="9" scale="77" firstPageNumber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1-2026</vt:lpstr>
      <vt:lpstr>2-2026 </vt:lpstr>
      <vt:lpstr>3-2026 </vt:lpstr>
      <vt:lpstr>4-2026   </vt:lpstr>
      <vt:lpstr>5-2026   </vt:lpstr>
      <vt:lpstr>6-2026   </vt:lpstr>
      <vt:lpstr>7-2026   </vt:lpstr>
      <vt:lpstr>8-2026    </vt:lpstr>
      <vt:lpstr>9-2026    </vt:lpstr>
      <vt:lpstr>10-2026    </vt:lpstr>
      <vt:lpstr>11-2026    </vt:lpstr>
      <vt:lpstr>12-2026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Đorđe Utvić</dc:creator>
  <dc:description/>
  <cp:lastModifiedBy>HT-ICT</cp:lastModifiedBy>
  <cp:revision>4</cp:revision>
  <cp:lastPrinted>2026-06-23T18:41:14Z</cp:lastPrinted>
  <dcterms:created xsi:type="dcterms:W3CDTF">2014-02-07T11:28:39Z</dcterms:created>
  <dcterms:modified xsi:type="dcterms:W3CDTF">2026-06-23T18:41:51Z</dcterms:modified>
  <dc:language>hr-HR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
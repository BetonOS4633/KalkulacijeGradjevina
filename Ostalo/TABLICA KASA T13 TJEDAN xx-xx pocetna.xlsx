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GitHub\KalkulacijeGradjevina\Ostalo\"/>
    </mc:Choice>
  </mc:AlternateContent>
  <xr:revisionPtr revIDLastSave="0" documentId="13_ncr:1_{B690C088-DC57-40FC-8354-DD9701634FEF}" xr6:coauthVersionLast="47" xr6:coauthVersionMax="47" xr10:uidLastSave="{00000000-0000-0000-0000-000000000000}"/>
  <workbookProtection lockStructure="1"/>
  <bookViews>
    <workbookView xWindow="-120" yWindow="-120" windowWidth="29040" windowHeight="15720" firstSheet="2" activeTab="2" xr2:uid="{00000000-000D-0000-FFFF-FFFF00000000}"/>
  </bookViews>
  <sheets>
    <sheet name="211" sheetId="19" state="hidden" r:id="rId1"/>
    <sheet name="4. HÉT" sheetId="18" state="hidden" r:id="rId2"/>
    <sheet name="Tablica Unos" sheetId="36" r:id="rId3"/>
    <sheet name="Primjer" sheetId="21" r:id="rId4"/>
    <sheet name="Cijenik" sheetId="37" r:id="rId5"/>
  </sheets>
  <definedNames>
    <definedName name="_xlnm.Print_Area" localSheetId="0">'211'!$A$1:$V$38</definedName>
    <definedName name="_xlnm.Print_Area" localSheetId="1">'4. HÉT'!$A$1:$AJ$41</definedName>
  </definedNames>
  <calcPr calcId="191029"/>
</workbook>
</file>

<file path=xl/calcChain.xml><?xml version="1.0" encoding="utf-8"?>
<calcChain xmlns="http://schemas.openxmlformats.org/spreadsheetml/2006/main">
  <c r="W242" i="36" l="1"/>
  <c r="U242" i="36"/>
  <c r="F50" i="36"/>
  <c r="C147" i="36"/>
  <c r="R238" i="36"/>
  <c r="N238" i="36"/>
  <c r="N240" i="36"/>
  <c r="N236" i="36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Y140" i="36"/>
  <c r="Y139" i="36"/>
  <c r="Y138" i="36"/>
  <c r="Y137" i="36"/>
  <c r="Y136" i="36"/>
  <c r="Y135" i="36"/>
  <c r="Y134" i="36"/>
  <c r="Y133" i="36"/>
  <c r="Y132" i="36"/>
  <c r="Y121" i="36"/>
  <c r="Y120" i="36"/>
  <c r="Y119" i="36"/>
  <c r="Y118" i="36"/>
  <c r="Y117" i="36"/>
  <c r="Y116" i="36"/>
  <c r="Y115" i="36"/>
  <c r="Y114" i="36"/>
  <c r="Y113" i="36"/>
  <c r="Y112" i="36"/>
  <c r="Y111" i="36"/>
  <c r="Y110" i="36"/>
  <c r="Y109" i="36"/>
  <c r="Y108" i="36"/>
  <c r="Y107" i="36"/>
  <c r="Y106" i="36"/>
  <c r="Y105" i="36"/>
  <c r="Y104" i="36"/>
  <c r="Y93" i="36"/>
  <c r="Y92" i="36"/>
  <c r="Y91" i="36"/>
  <c r="Y90" i="36"/>
  <c r="Y89" i="36"/>
  <c r="Y88" i="36"/>
  <c r="Y87" i="36"/>
  <c r="Y86" i="36"/>
  <c r="Y85" i="36"/>
  <c r="Y84" i="36"/>
  <c r="Y83" i="36"/>
  <c r="Y82" i="36"/>
  <c r="Y81" i="36"/>
  <c r="Y80" i="36"/>
  <c r="Y79" i="36"/>
  <c r="Y78" i="36"/>
  <c r="Y77" i="36"/>
  <c r="Y76" i="36"/>
  <c r="Y75" i="36"/>
  <c r="Y74" i="36"/>
  <c r="Y73" i="36"/>
  <c r="Y72" i="36"/>
  <c r="Y71" i="36"/>
  <c r="Y70" i="36"/>
  <c r="Y69" i="36"/>
  <c r="Y68" i="36"/>
  <c r="Y67" i="36"/>
  <c r="Y66" i="36"/>
  <c r="Y65" i="36"/>
  <c r="Y64" i="36"/>
  <c r="Y63" i="36"/>
  <c r="Y62" i="36"/>
  <c r="Y61" i="36"/>
  <c r="Y60" i="36"/>
  <c r="Y59" i="36"/>
  <c r="Y58" i="36"/>
  <c r="Y57" i="36"/>
  <c r="Y42" i="36"/>
  <c r="Y41" i="36"/>
  <c r="Y40" i="36"/>
  <c r="Y39" i="36"/>
  <c r="Y38" i="36"/>
  <c r="Y37" i="36"/>
  <c r="Y36" i="36"/>
  <c r="Y35" i="36"/>
  <c r="Y34" i="36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20" i="36"/>
  <c r="Y19" i="36"/>
  <c r="Y18" i="36"/>
  <c r="Y17" i="36"/>
  <c r="Y16" i="36"/>
  <c r="Y15" i="36"/>
  <c r="Y14" i="36"/>
  <c r="Y13" i="36"/>
  <c r="Y12" i="36"/>
  <c r="Y11" i="36"/>
  <c r="Y10" i="36"/>
  <c r="Y8" i="36"/>
  <c r="Y7" i="36"/>
  <c r="Y6" i="36"/>
  <c r="K237" i="36"/>
  <c r="C137" i="36"/>
  <c r="D137" i="36"/>
  <c r="E137" i="36"/>
  <c r="Z137" i="36"/>
  <c r="N181" i="36"/>
  <c r="N180" i="36"/>
  <c r="N179" i="36"/>
  <c r="N178" i="36"/>
  <c r="N177" i="36"/>
  <c r="N176" i="36"/>
  <c r="N175" i="36"/>
  <c r="N174" i="36"/>
  <c r="N173" i="36"/>
  <c r="N172" i="36"/>
  <c r="N171" i="36"/>
  <c r="H181" i="36"/>
  <c r="H180" i="36"/>
  <c r="H179" i="36"/>
  <c r="H178" i="36"/>
  <c r="H177" i="36"/>
  <c r="H176" i="36"/>
  <c r="H175" i="36"/>
  <c r="H174" i="36"/>
  <c r="H173" i="36"/>
  <c r="H172" i="36"/>
  <c r="H171" i="36"/>
  <c r="Z140" i="36"/>
  <c r="Z139" i="36"/>
  <c r="Z138" i="36"/>
  <c r="Z136" i="36"/>
  <c r="Z135" i="36"/>
  <c r="Z134" i="36"/>
  <c r="Z133" i="36"/>
  <c r="Z132" i="36"/>
  <c r="Z131" i="36"/>
  <c r="Z121" i="36"/>
  <c r="Z120" i="36"/>
  <c r="Z119" i="36"/>
  <c r="Z118" i="36"/>
  <c r="Z117" i="36"/>
  <c r="Z116" i="36"/>
  <c r="Z115" i="36"/>
  <c r="Z114" i="36"/>
  <c r="Z113" i="36"/>
  <c r="Z112" i="36"/>
  <c r="Z111" i="36"/>
  <c r="Z110" i="36"/>
  <c r="Z109" i="36"/>
  <c r="Z108" i="36"/>
  <c r="Z107" i="36"/>
  <c r="Z106" i="36"/>
  <c r="Z105" i="36"/>
  <c r="Z104" i="36"/>
  <c r="Z93" i="36"/>
  <c r="Z92" i="36"/>
  <c r="Z91" i="36"/>
  <c r="Z90" i="36"/>
  <c r="Z89" i="36"/>
  <c r="Z88" i="36"/>
  <c r="Z87" i="36"/>
  <c r="Z86" i="36"/>
  <c r="Z85" i="36"/>
  <c r="Z84" i="36"/>
  <c r="Z83" i="36"/>
  <c r="Z82" i="36"/>
  <c r="Z81" i="36"/>
  <c r="Z80" i="36"/>
  <c r="Z79" i="36"/>
  <c r="Z78" i="36"/>
  <c r="Z77" i="36"/>
  <c r="Z76" i="36"/>
  <c r="Z75" i="36"/>
  <c r="Z74" i="36"/>
  <c r="Z73" i="36"/>
  <c r="Z72" i="36"/>
  <c r="Z71" i="36"/>
  <c r="Z70" i="36"/>
  <c r="Z69" i="36"/>
  <c r="Z68" i="36"/>
  <c r="Z67" i="36"/>
  <c r="Z66" i="36"/>
  <c r="Z65" i="36"/>
  <c r="Z64" i="36"/>
  <c r="Z63" i="36"/>
  <c r="Z62" i="36"/>
  <c r="Z61" i="36"/>
  <c r="Z60" i="36"/>
  <c r="Z59" i="36"/>
  <c r="Z58" i="36"/>
  <c r="Z57" i="36"/>
  <c r="A151" i="36"/>
  <c r="E140" i="36"/>
  <c r="D140" i="36"/>
  <c r="C140" i="36"/>
  <c r="E139" i="36"/>
  <c r="D139" i="36"/>
  <c r="C139" i="36"/>
  <c r="E138" i="36"/>
  <c r="D138" i="36"/>
  <c r="C138" i="36"/>
  <c r="E136" i="36"/>
  <c r="D136" i="36"/>
  <c r="C136" i="36"/>
  <c r="E135" i="36"/>
  <c r="D135" i="36"/>
  <c r="C135" i="36"/>
  <c r="E134" i="36"/>
  <c r="D134" i="36"/>
  <c r="C134" i="36"/>
  <c r="E133" i="36"/>
  <c r="D133" i="36"/>
  <c r="C133" i="36"/>
  <c r="E121" i="36"/>
  <c r="D121" i="36"/>
  <c r="C121" i="36"/>
  <c r="E120" i="36"/>
  <c r="D120" i="36"/>
  <c r="C120" i="36"/>
  <c r="E119" i="36"/>
  <c r="D119" i="36"/>
  <c r="C119" i="36"/>
  <c r="E118" i="36"/>
  <c r="D118" i="36"/>
  <c r="C118" i="36"/>
  <c r="E117" i="36"/>
  <c r="D117" i="36"/>
  <c r="C117" i="36"/>
  <c r="E116" i="36"/>
  <c r="D116" i="36"/>
  <c r="C116" i="36"/>
  <c r="E115" i="36"/>
  <c r="D115" i="36"/>
  <c r="C115" i="36"/>
  <c r="E114" i="36"/>
  <c r="D114" i="36"/>
  <c r="C114" i="36"/>
  <c r="E113" i="36"/>
  <c r="D113" i="36"/>
  <c r="C113" i="36"/>
  <c r="E112" i="36"/>
  <c r="D112" i="36"/>
  <c r="C112" i="36"/>
  <c r="E111" i="36"/>
  <c r="D111" i="36"/>
  <c r="C111" i="36"/>
  <c r="E110" i="36"/>
  <c r="D110" i="36"/>
  <c r="C110" i="36"/>
  <c r="E109" i="36"/>
  <c r="D109" i="36"/>
  <c r="C109" i="36"/>
  <c r="E108" i="36"/>
  <c r="D108" i="36"/>
  <c r="C108" i="36"/>
  <c r="E107" i="36"/>
  <c r="D107" i="36"/>
  <c r="C107" i="36"/>
  <c r="E106" i="36"/>
  <c r="D106" i="36"/>
  <c r="C106" i="36"/>
  <c r="E93" i="36"/>
  <c r="D93" i="36"/>
  <c r="C93" i="36"/>
  <c r="E92" i="36"/>
  <c r="D92" i="36"/>
  <c r="C92" i="36"/>
  <c r="E91" i="36"/>
  <c r="D91" i="36"/>
  <c r="C91" i="36"/>
  <c r="E90" i="36"/>
  <c r="D90" i="36"/>
  <c r="C90" i="36"/>
  <c r="E89" i="36"/>
  <c r="D89" i="36"/>
  <c r="C89" i="36"/>
  <c r="E88" i="36"/>
  <c r="D88" i="36"/>
  <c r="C88" i="36"/>
  <c r="E87" i="36"/>
  <c r="D87" i="36"/>
  <c r="C87" i="36"/>
  <c r="E86" i="36"/>
  <c r="D86" i="36"/>
  <c r="C86" i="36"/>
  <c r="E85" i="36"/>
  <c r="D85" i="36"/>
  <c r="C85" i="36"/>
  <c r="E84" i="36"/>
  <c r="D84" i="36"/>
  <c r="C84" i="36"/>
  <c r="E83" i="36"/>
  <c r="D83" i="36"/>
  <c r="C83" i="36"/>
  <c r="E82" i="36"/>
  <c r="D82" i="36"/>
  <c r="C82" i="36"/>
  <c r="E81" i="36"/>
  <c r="D81" i="36"/>
  <c r="C81" i="36"/>
  <c r="E80" i="36"/>
  <c r="D80" i="36"/>
  <c r="C80" i="36"/>
  <c r="E79" i="36"/>
  <c r="D79" i="36"/>
  <c r="C79" i="36"/>
  <c r="E78" i="36"/>
  <c r="D78" i="36"/>
  <c r="C78" i="36"/>
  <c r="E77" i="36"/>
  <c r="D77" i="36"/>
  <c r="C77" i="36"/>
  <c r="E76" i="36"/>
  <c r="D76" i="36"/>
  <c r="C76" i="36"/>
  <c r="E75" i="36"/>
  <c r="D75" i="36"/>
  <c r="C75" i="36"/>
  <c r="E74" i="36"/>
  <c r="D74" i="36"/>
  <c r="C74" i="36"/>
  <c r="E73" i="36"/>
  <c r="D73" i="36"/>
  <c r="C73" i="36"/>
  <c r="E72" i="36"/>
  <c r="D72" i="36"/>
  <c r="C72" i="36"/>
  <c r="E71" i="36"/>
  <c r="D71" i="36"/>
  <c r="C71" i="36"/>
  <c r="E70" i="36"/>
  <c r="D70" i="36"/>
  <c r="C70" i="36"/>
  <c r="E69" i="36"/>
  <c r="D69" i="36"/>
  <c r="C69" i="36"/>
  <c r="E68" i="36"/>
  <c r="D68" i="36"/>
  <c r="C68" i="36"/>
  <c r="E67" i="36"/>
  <c r="D67" i="36"/>
  <c r="C67" i="36"/>
  <c r="E66" i="36"/>
  <c r="D66" i="36"/>
  <c r="C66" i="36"/>
  <c r="E65" i="36"/>
  <c r="D65" i="36"/>
  <c r="C65" i="36"/>
  <c r="E64" i="36"/>
  <c r="D64" i="36"/>
  <c r="C64" i="36"/>
  <c r="E63" i="36"/>
  <c r="D63" i="36"/>
  <c r="C63" i="36"/>
  <c r="E62" i="36"/>
  <c r="D62" i="36"/>
  <c r="C62" i="36"/>
  <c r="E61" i="36"/>
  <c r="D61" i="36"/>
  <c r="C61" i="36"/>
  <c r="E60" i="36"/>
  <c r="D60" i="36"/>
  <c r="C60" i="36"/>
  <c r="E59" i="36"/>
  <c r="D59" i="36"/>
  <c r="C59" i="36"/>
  <c r="C105" i="36"/>
  <c r="E42" i="36"/>
  <c r="D42" i="36"/>
  <c r="C42" i="36"/>
  <c r="E41" i="36"/>
  <c r="D41" i="36"/>
  <c r="C41" i="36"/>
  <c r="E40" i="36"/>
  <c r="D40" i="36"/>
  <c r="C40" i="36"/>
  <c r="E39" i="36"/>
  <c r="D39" i="36"/>
  <c r="C39" i="36"/>
  <c r="E38" i="36"/>
  <c r="D38" i="36"/>
  <c r="C38" i="36"/>
  <c r="E37" i="36"/>
  <c r="D37" i="36"/>
  <c r="C37" i="36"/>
  <c r="E36" i="36"/>
  <c r="D36" i="36"/>
  <c r="C36" i="36"/>
  <c r="E35" i="36"/>
  <c r="D35" i="36"/>
  <c r="C35" i="36"/>
  <c r="E34" i="36"/>
  <c r="D34" i="36"/>
  <c r="C34" i="36"/>
  <c r="E33" i="36"/>
  <c r="D33" i="36"/>
  <c r="C33" i="36"/>
  <c r="E32" i="36"/>
  <c r="D32" i="36"/>
  <c r="C32" i="36"/>
  <c r="E31" i="36"/>
  <c r="D31" i="36"/>
  <c r="C31" i="36"/>
  <c r="E30" i="36"/>
  <c r="D30" i="36"/>
  <c r="C30" i="36"/>
  <c r="E29" i="36"/>
  <c r="D29" i="36"/>
  <c r="C29" i="36"/>
  <c r="E28" i="36"/>
  <c r="D28" i="36"/>
  <c r="C28" i="36"/>
  <c r="E27" i="36"/>
  <c r="D27" i="36"/>
  <c r="C27" i="36"/>
  <c r="E26" i="36"/>
  <c r="D26" i="36"/>
  <c r="C26" i="36"/>
  <c r="E25" i="36"/>
  <c r="D25" i="36"/>
  <c r="C25" i="36"/>
  <c r="E24" i="36"/>
  <c r="D24" i="36"/>
  <c r="C24" i="36"/>
  <c r="E23" i="36"/>
  <c r="D23" i="36"/>
  <c r="C23" i="36"/>
  <c r="E22" i="36"/>
  <c r="D22" i="36"/>
  <c r="C22" i="36"/>
  <c r="E21" i="36"/>
  <c r="D21" i="36"/>
  <c r="C21" i="36"/>
  <c r="E20" i="36"/>
  <c r="D20" i="36"/>
  <c r="C20" i="36"/>
  <c r="E19" i="36"/>
  <c r="D19" i="36"/>
  <c r="C19" i="36"/>
  <c r="E18" i="36"/>
  <c r="D18" i="36"/>
  <c r="C18" i="36"/>
  <c r="E17" i="36"/>
  <c r="D17" i="36"/>
  <c r="C17" i="36"/>
  <c r="E16" i="36"/>
  <c r="D16" i="36"/>
  <c r="C16" i="36"/>
  <c r="E15" i="36"/>
  <c r="D15" i="36"/>
  <c r="C15" i="36"/>
  <c r="E14" i="36"/>
  <c r="D14" i="36"/>
  <c r="C14" i="36"/>
  <c r="E13" i="36"/>
  <c r="D13" i="36"/>
  <c r="C13" i="36"/>
  <c r="E12" i="36"/>
  <c r="D12" i="36"/>
  <c r="C12" i="36"/>
  <c r="E11" i="36"/>
  <c r="D11" i="36"/>
  <c r="C11" i="36"/>
  <c r="E10" i="36"/>
  <c r="D10" i="36"/>
  <c r="C10" i="36"/>
  <c r="E9" i="36"/>
  <c r="D9" i="36"/>
  <c r="C9" i="36"/>
  <c r="Y9" i="36" s="1"/>
  <c r="E8" i="36"/>
  <c r="D8" i="36"/>
  <c r="C8" i="36"/>
  <c r="F235" i="36"/>
  <c r="G53" i="36"/>
  <c r="G2" i="36" s="1"/>
  <c r="B197" i="36"/>
  <c r="A222" i="36"/>
  <c r="A188" i="36"/>
  <c r="Z42" i="36"/>
  <c r="Z41" i="36"/>
  <c r="Z40" i="36"/>
  <c r="Z39" i="36"/>
  <c r="Z38" i="36"/>
  <c r="Z37" i="36"/>
  <c r="Z36" i="36"/>
  <c r="Z35" i="36"/>
  <c r="Z34" i="36"/>
  <c r="Z33" i="36"/>
  <c r="Z32" i="36"/>
  <c r="Z31" i="36"/>
  <c r="Z30" i="36"/>
  <c r="Z29" i="36"/>
  <c r="Z28" i="36"/>
  <c r="Z27" i="36"/>
  <c r="Z26" i="36"/>
  <c r="Z25" i="36"/>
  <c r="Z24" i="36"/>
  <c r="Z23" i="36"/>
  <c r="Z22" i="36"/>
  <c r="Z21" i="36"/>
  <c r="Z20" i="36"/>
  <c r="Z19" i="36"/>
  <c r="Z18" i="36"/>
  <c r="Z17" i="36"/>
  <c r="Z16" i="36"/>
  <c r="Z15" i="36"/>
  <c r="Z14" i="36"/>
  <c r="Z13" i="36"/>
  <c r="Z12" i="36"/>
  <c r="Z11" i="36"/>
  <c r="Z10" i="36"/>
  <c r="Z9" i="36"/>
  <c r="Z8" i="36"/>
  <c r="Z7" i="36"/>
  <c r="Z6" i="36"/>
  <c r="B39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A7" i="36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C7" i="36"/>
  <c r="I5" i="36"/>
  <c r="F40" i="37"/>
  <c r="C40" i="37"/>
  <c r="F21" i="37"/>
  <c r="F22" i="37" s="1"/>
  <c r="F20" i="37"/>
  <c r="F18" i="37"/>
  <c r="F16" i="37"/>
  <c r="F13" i="37"/>
  <c r="F11" i="37"/>
  <c r="F9" i="37"/>
  <c r="F10" i="37" s="1"/>
  <c r="F7" i="37"/>
  <c r="U53" i="36"/>
  <c r="V101" i="36" s="1"/>
  <c r="V148" i="36" s="1"/>
  <c r="V197" i="36" s="1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I55" i="37"/>
  <c r="J55" i="37" s="1"/>
  <c r="I53" i="37"/>
  <c r="J53" i="37" s="1"/>
  <c r="I51" i="37"/>
  <c r="J51" i="37" s="1"/>
  <c r="I49" i="37"/>
  <c r="J49" i="37" s="1"/>
  <c r="I47" i="37"/>
  <c r="J47" i="37" s="1"/>
  <c r="I45" i="37"/>
  <c r="J45" i="37" s="1"/>
  <c r="I43" i="37"/>
  <c r="J43" i="37" s="1"/>
  <c r="I41" i="37"/>
  <c r="J41" i="37" s="1"/>
  <c r="Z141" i="36" l="1"/>
  <c r="M147" i="36" s="1"/>
  <c r="X43" i="36"/>
  <c r="W43" i="36"/>
  <c r="V43" i="36"/>
  <c r="M43" i="36"/>
  <c r="L43" i="36"/>
  <c r="K43" i="36"/>
  <c r="J43" i="36"/>
  <c r="I43" i="36"/>
  <c r="H43" i="36"/>
  <c r="G43" i="36"/>
  <c r="V141" i="36"/>
  <c r="X141" i="36"/>
  <c r="W141" i="36"/>
  <c r="M141" i="36"/>
  <c r="L141" i="36"/>
  <c r="K141" i="36"/>
  <c r="J141" i="36"/>
  <c r="I141" i="36"/>
  <c r="H141" i="36"/>
  <c r="G122" i="36"/>
  <c r="M122" i="36"/>
  <c r="L122" i="36"/>
  <c r="K122" i="36"/>
  <c r="J122" i="36"/>
  <c r="I122" i="36"/>
  <c r="H122" i="36"/>
  <c r="V122" i="36"/>
  <c r="X122" i="36"/>
  <c r="W122" i="36"/>
  <c r="V94" i="36"/>
  <c r="X94" i="36"/>
  <c r="W94" i="36"/>
  <c r="M94" i="36"/>
  <c r="L94" i="36"/>
  <c r="K94" i="36"/>
  <c r="J94" i="36"/>
  <c r="I94" i="36"/>
  <c r="H94" i="36"/>
  <c r="G94" i="36"/>
  <c r="G141" i="36"/>
  <c r="X186" i="36"/>
  <c r="W186" i="36"/>
  <c r="V186" i="36"/>
  <c r="U186" i="36"/>
  <c r="T186" i="36"/>
  <c r="S186" i="36"/>
  <c r="R186" i="36"/>
  <c r="R164" i="36"/>
  <c r="X164" i="36"/>
  <c r="W164" i="36"/>
  <c r="V164" i="36"/>
  <c r="U164" i="36"/>
  <c r="T164" i="36"/>
  <c r="S164" i="36"/>
  <c r="H209" i="36"/>
  <c r="N209" i="36"/>
  <c r="M209" i="36"/>
  <c r="L209" i="36"/>
  <c r="K209" i="36"/>
  <c r="J209" i="36"/>
  <c r="I209" i="36"/>
  <c r="N182" i="36"/>
  <c r="I192" i="36" s="1"/>
  <c r="H182" i="36"/>
  <c r="Z94" i="36"/>
  <c r="M100" i="36" s="1"/>
  <c r="Z122" i="36"/>
  <c r="M128" i="36" s="1"/>
  <c r="Y122" i="36"/>
  <c r="M127" i="36" s="1"/>
  <c r="Z43" i="36"/>
  <c r="M49" i="36" s="1"/>
  <c r="F239" i="36"/>
  <c r="F238" i="36"/>
  <c r="F237" i="36"/>
  <c r="F236" i="36"/>
  <c r="Y43" i="36"/>
  <c r="M48" i="36" s="1"/>
  <c r="C57" i="36"/>
  <c r="F8" i="37"/>
  <c r="F12" i="37"/>
  <c r="F14" i="37"/>
  <c r="B48" i="36" l="1"/>
  <c r="B192" i="36"/>
  <c r="L148" i="36" s="1"/>
  <c r="E131" i="36"/>
  <c r="E105" i="36"/>
  <c r="E104" i="36"/>
  <c r="E132" i="36"/>
  <c r="D131" i="36"/>
  <c r="D132" i="36"/>
  <c r="D104" i="36"/>
  <c r="D105" i="36"/>
  <c r="E57" i="36"/>
  <c r="E58" i="36"/>
  <c r="D57" i="36"/>
  <c r="D58" i="36"/>
  <c r="C58" i="36"/>
  <c r="E6" i="36"/>
  <c r="E7" i="36"/>
  <c r="D6" i="36"/>
  <c r="D7" i="36"/>
  <c r="Y94" i="36" l="1"/>
  <c r="M99" i="36" l="1"/>
  <c r="F182" i="36"/>
  <c r="L183" i="36"/>
  <c r="F183" i="36"/>
  <c r="H198" i="21" l="1"/>
  <c r="I198" i="21"/>
  <c r="J198" i="21"/>
  <c r="K198" i="21"/>
  <c r="F207" i="21"/>
  <c r="G207" i="21"/>
  <c r="H207" i="21"/>
  <c r="I207" i="21"/>
  <c r="J207" i="21"/>
  <c r="K207" i="21"/>
  <c r="L207" i="21"/>
  <c r="D210" i="21"/>
  <c r="D214" i="21" s="1"/>
  <c r="D211" i="21"/>
  <c r="D215" i="21" s="1"/>
  <c r="D212" i="21"/>
  <c r="A213" i="21"/>
  <c r="I214" i="21"/>
  <c r="I216" i="21" s="1"/>
  <c r="J214" i="21"/>
  <c r="K214" i="21"/>
  <c r="L214" i="21"/>
  <c r="I215" i="21"/>
  <c r="J215" i="21"/>
  <c r="K215" i="21"/>
  <c r="K216" i="21" s="1"/>
  <c r="L215" i="21"/>
  <c r="L216" i="21" s="1"/>
  <c r="A218" i="21"/>
  <c r="E218" i="21" s="1"/>
  <c r="A219" i="21"/>
  <c r="E219" i="21" s="1"/>
  <c r="A220" i="21"/>
  <c r="E220" i="21" s="1"/>
  <c r="A221" i="21"/>
  <c r="E221" i="21" s="1"/>
  <c r="H105" i="21"/>
  <c r="J216" i="21" l="1"/>
  <c r="K94" i="37"/>
  <c r="I94" i="37" s="1"/>
  <c r="J94" i="37" s="1"/>
  <c r="K93" i="37"/>
  <c r="K92" i="37"/>
  <c r="I92" i="37" s="1"/>
  <c r="J92" i="37" s="1"/>
  <c r="K91" i="37"/>
  <c r="K90" i="37"/>
  <c r="I90" i="37" s="1"/>
  <c r="J90" i="37" s="1"/>
  <c r="K89" i="37"/>
  <c r="K88" i="37"/>
  <c r="I88" i="37" s="1"/>
  <c r="J88" i="37" s="1"/>
  <c r="K87" i="37"/>
  <c r="K86" i="37"/>
  <c r="I86" i="37" s="1"/>
  <c r="J86" i="37" s="1"/>
  <c r="K85" i="37"/>
  <c r="K84" i="37"/>
  <c r="I84" i="37" s="1"/>
  <c r="J84" i="37" s="1"/>
  <c r="K83" i="37"/>
  <c r="K82" i="37"/>
  <c r="I82" i="37" s="1"/>
  <c r="J82" i="37" s="1"/>
  <c r="K81" i="37"/>
  <c r="K80" i="37"/>
  <c r="I80" i="37" s="1"/>
  <c r="J80" i="37" s="1"/>
  <c r="K79" i="37"/>
  <c r="E94" i="37"/>
  <c r="E93" i="37"/>
  <c r="E92" i="37"/>
  <c r="C92" i="37" s="1"/>
  <c r="D92" i="37" s="1"/>
  <c r="E91" i="37"/>
  <c r="E90" i="37"/>
  <c r="E89" i="37"/>
  <c r="E88" i="37"/>
  <c r="C88" i="37" s="1"/>
  <c r="D88" i="37" s="1"/>
  <c r="E87" i="37"/>
  <c r="E86" i="37"/>
  <c r="E85" i="37"/>
  <c r="E84" i="37"/>
  <c r="C84" i="37" s="1"/>
  <c r="D84" i="37" s="1"/>
  <c r="E83" i="37"/>
  <c r="E82" i="37"/>
  <c r="E81" i="37"/>
  <c r="E80" i="37"/>
  <c r="C80" i="37" s="1"/>
  <c r="D80" i="37" s="1"/>
  <c r="E79" i="37"/>
  <c r="D56" i="37"/>
  <c r="E56" i="37" s="1"/>
  <c r="D55" i="37"/>
  <c r="E55" i="37" s="1"/>
  <c r="D54" i="37"/>
  <c r="E54" i="37" s="1"/>
  <c r="D53" i="37"/>
  <c r="E53" i="37" s="1"/>
  <c r="D52" i="37"/>
  <c r="E52" i="37" s="1"/>
  <c r="D51" i="37"/>
  <c r="E51" i="37" s="1"/>
  <c r="D50" i="37"/>
  <c r="E50" i="37" s="1"/>
  <c r="D49" i="37"/>
  <c r="E49" i="37" s="1"/>
  <c r="D48" i="37"/>
  <c r="E48" i="37" s="1"/>
  <c r="D47" i="37"/>
  <c r="E47" i="37" s="1"/>
  <c r="D46" i="37"/>
  <c r="E46" i="37" s="1"/>
  <c r="D45" i="37"/>
  <c r="E45" i="37" s="1"/>
  <c r="D44" i="37"/>
  <c r="E44" i="37" s="1"/>
  <c r="D43" i="37"/>
  <c r="E43" i="37" s="1"/>
  <c r="D42" i="37"/>
  <c r="E42" i="37" s="1"/>
  <c r="D41" i="37"/>
  <c r="E41" i="37" s="1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H80" i="37" l="1"/>
  <c r="F80" i="37" s="1"/>
  <c r="G80" i="37" s="1"/>
  <c r="H88" i="37"/>
  <c r="F88" i="37" s="1"/>
  <c r="G88" i="37" s="1"/>
  <c r="H92" i="37"/>
  <c r="F92" i="37" s="1"/>
  <c r="G92" i="37" s="1"/>
  <c r="H89" i="37"/>
  <c r="F89" i="37" s="1"/>
  <c r="G89" i="37" s="1"/>
  <c r="H90" i="37"/>
  <c r="F90" i="37" s="1"/>
  <c r="G90" i="37" s="1"/>
  <c r="H79" i="37"/>
  <c r="F79" i="37" s="1"/>
  <c r="G79" i="37" s="1"/>
  <c r="H87" i="37"/>
  <c r="F87" i="37" s="1"/>
  <c r="G87" i="37" s="1"/>
  <c r="H91" i="37"/>
  <c r="F91" i="37" s="1"/>
  <c r="G91" i="37" s="1"/>
  <c r="H86" i="37"/>
  <c r="F86" i="37" s="1"/>
  <c r="G86" i="37" s="1"/>
  <c r="H84" i="37"/>
  <c r="F84" i="37" s="1"/>
  <c r="G84" i="37" s="1"/>
  <c r="H94" i="37"/>
  <c r="F94" i="37" s="1"/>
  <c r="G94" i="37" s="1"/>
  <c r="H93" i="37"/>
  <c r="F93" i="37" s="1"/>
  <c r="G93" i="37" s="1"/>
  <c r="H85" i="37"/>
  <c r="F85" i="37" s="1"/>
  <c r="G85" i="37" s="1"/>
  <c r="H82" i="37"/>
  <c r="F82" i="37" s="1"/>
  <c r="G82" i="37" s="1"/>
  <c r="H83" i="37"/>
  <c r="F83" i="37" s="1"/>
  <c r="G83" i="37" s="1"/>
  <c r="H81" i="37"/>
  <c r="F81" i="37" s="1"/>
  <c r="G81" i="37" s="1"/>
  <c r="I91" i="37"/>
  <c r="J91" i="37" s="1"/>
  <c r="I89" i="37"/>
  <c r="J89" i="37" s="1"/>
  <c r="I83" i="37"/>
  <c r="J83" i="37" s="1"/>
  <c r="I81" i="37"/>
  <c r="J81" i="37" s="1"/>
  <c r="I87" i="37"/>
  <c r="J87" i="37" s="1"/>
  <c r="C91" i="37"/>
  <c r="D91" i="37" s="1"/>
  <c r="C87" i="37"/>
  <c r="D87" i="37" s="1"/>
  <c r="C81" i="37"/>
  <c r="D81" i="37" s="1"/>
  <c r="C89" i="37"/>
  <c r="D89" i="37" s="1"/>
  <c r="I79" i="37"/>
  <c r="J79" i="37" s="1"/>
  <c r="I85" i="37"/>
  <c r="J85" i="37" s="1"/>
  <c r="I93" i="37"/>
  <c r="J93" i="37" s="1"/>
  <c r="C83" i="37"/>
  <c r="D83" i="37" s="1"/>
  <c r="C85" i="37"/>
  <c r="D85" i="37" s="1"/>
  <c r="C93" i="37"/>
  <c r="D93" i="37" s="1"/>
  <c r="C79" i="37"/>
  <c r="D79" i="37" s="1"/>
  <c r="C82" i="37"/>
  <c r="D82" i="37" s="1"/>
  <c r="C86" i="37"/>
  <c r="D86" i="37" s="1"/>
  <c r="C90" i="37"/>
  <c r="D90" i="37" s="1"/>
  <c r="C94" i="37"/>
  <c r="D94" i="37" s="1"/>
  <c r="D40" i="37"/>
  <c r="K5" i="36" l="1"/>
  <c r="I191" i="36" l="1"/>
  <c r="J191" i="36" s="1"/>
  <c r="I190" i="36"/>
  <c r="J190" i="36" s="1"/>
  <c r="I189" i="36"/>
  <c r="J189" i="36" s="1"/>
  <c r="L182" i="36"/>
  <c r="L184" i="36"/>
  <c r="I53" i="36"/>
  <c r="I2" i="36"/>
  <c r="G4" i="36" s="1"/>
  <c r="D184" i="21" l="1"/>
  <c r="D183" i="21"/>
  <c r="A225" i="36"/>
  <c r="G225" i="36" s="1"/>
  <c r="A224" i="36"/>
  <c r="G224" i="36" s="1"/>
  <c r="A223" i="36"/>
  <c r="G223" i="36" s="1"/>
  <c r="N219" i="36"/>
  <c r="M219" i="36"/>
  <c r="L219" i="36"/>
  <c r="K219" i="36"/>
  <c r="N218" i="36"/>
  <c r="N220" i="36" s="1"/>
  <c r="M218" i="36"/>
  <c r="M220" i="36" s="1"/>
  <c r="L218" i="36"/>
  <c r="K218" i="36"/>
  <c r="A216" i="36"/>
  <c r="F214" i="36"/>
  <c r="F219" i="36" s="1"/>
  <c r="F213" i="36"/>
  <c r="F218" i="36" s="1"/>
  <c r="M151" i="36"/>
  <c r="K151" i="36"/>
  <c r="J151" i="36"/>
  <c r="I151" i="36"/>
  <c r="G151" i="36"/>
  <c r="M200" i="36"/>
  <c r="L150" i="36" s="1"/>
  <c r="W151" i="36" s="1"/>
  <c r="W173" i="36" s="1"/>
  <c r="L200" i="36"/>
  <c r="K150" i="36" s="1"/>
  <c r="V151" i="36" s="1"/>
  <c r="V173" i="36" s="1"/>
  <c r="K200" i="36"/>
  <c r="J150" i="36" s="1"/>
  <c r="U151" i="36" s="1"/>
  <c r="U173" i="36" s="1"/>
  <c r="I150" i="36"/>
  <c r="I197" i="36"/>
  <c r="J197" i="36" s="1"/>
  <c r="A214" i="36" s="1"/>
  <c r="A219" i="36" s="1"/>
  <c r="A191" i="36"/>
  <c r="B191" i="36" s="1"/>
  <c r="A190" i="36"/>
  <c r="B190" i="36" s="1"/>
  <c r="A189" i="36"/>
  <c r="B189" i="36" s="1"/>
  <c r="M154" i="36"/>
  <c r="N214" i="36" s="1"/>
  <c r="L154" i="36"/>
  <c r="M214" i="36" s="1"/>
  <c r="K154" i="36"/>
  <c r="L214" i="36" s="1"/>
  <c r="J154" i="36"/>
  <c r="K214" i="36" s="1"/>
  <c r="F184" i="36"/>
  <c r="S173" i="36"/>
  <c r="R173" i="36"/>
  <c r="Q172" i="36"/>
  <c r="O172" i="36"/>
  <c r="K240" i="36"/>
  <c r="J53" i="36" s="1"/>
  <c r="Q168" i="36"/>
  <c r="W190" i="36" s="1"/>
  <c r="Q167" i="36"/>
  <c r="U167" i="36" s="1"/>
  <c r="Q166" i="36"/>
  <c r="Q188" i="36" s="1"/>
  <c r="X188" i="36" s="1"/>
  <c r="M153" i="36"/>
  <c r="N213" i="36" s="1"/>
  <c r="L153" i="36"/>
  <c r="M213" i="36" s="1"/>
  <c r="K153" i="36"/>
  <c r="L213" i="36" s="1"/>
  <c r="J153" i="36"/>
  <c r="A153" i="36"/>
  <c r="X151" i="36"/>
  <c r="X173" i="36" s="1"/>
  <c r="M150" i="36"/>
  <c r="H150" i="36"/>
  <c r="G150" i="36"/>
  <c r="J219" i="36"/>
  <c r="I219" i="36"/>
  <c r="H219" i="36"/>
  <c r="A132" i="36"/>
  <c r="A133" i="36" s="1"/>
  <c r="A134" i="36" s="1"/>
  <c r="A135" i="36" s="1"/>
  <c r="A136" i="36" s="1"/>
  <c r="A137" i="36" s="1"/>
  <c r="L130" i="36"/>
  <c r="K130" i="36"/>
  <c r="J130" i="36"/>
  <c r="I130" i="36"/>
  <c r="H130" i="36"/>
  <c r="F126" i="36"/>
  <c r="F125" i="36"/>
  <c r="F124" i="36"/>
  <c r="J218" i="36"/>
  <c r="I218" i="36"/>
  <c r="H218" i="36"/>
  <c r="A105" i="36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G102" i="36"/>
  <c r="I101" i="36" s="1"/>
  <c r="F98" i="36"/>
  <c r="F97" i="36"/>
  <c r="F96" i="36"/>
  <c r="F45" i="36" s="1"/>
  <c r="H154" i="36"/>
  <c r="I214" i="36" s="1"/>
  <c r="G154" i="36"/>
  <c r="H214" i="36" s="1"/>
  <c r="A58" i="36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P56" i="36"/>
  <c r="P103" i="36" s="1"/>
  <c r="O56" i="36"/>
  <c r="O103" i="36" s="1"/>
  <c r="N56" i="36"/>
  <c r="N103" i="36" s="1"/>
  <c r="F56" i="36"/>
  <c r="F103" i="36" s="1"/>
  <c r="F130" i="36" s="1"/>
  <c r="C56" i="36"/>
  <c r="C103" i="36" s="1"/>
  <c r="B56" i="36"/>
  <c r="B103" i="36" s="1"/>
  <c r="B130" i="36" s="1"/>
  <c r="B53" i="36"/>
  <c r="B148" i="36" s="1"/>
  <c r="A210" i="36" s="1"/>
  <c r="I153" i="36"/>
  <c r="H153" i="36"/>
  <c r="I213" i="36" s="1"/>
  <c r="G153" i="36"/>
  <c r="H213" i="36" s="1"/>
  <c r="B153" i="36"/>
  <c r="B213" i="36" s="1"/>
  <c r="X5" i="36"/>
  <c r="X56" i="36" s="1"/>
  <c r="X103" i="36" s="1"/>
  <c r="X130" i="36" s="1"/>
  <c r="W5" i="36"/>
  <c r="W56" i="36" s="1"/>
  <c r="W103" i="36" s="1"/>
  <c r="W130" i="36" s="1"/>
  <c r="V5" i="36"/>
  <c r="V56" i="36" s="1"/>
  <c r="V103" i="36" s="1"/>
  <c r="V130" i="36" s="1"/>
  <c r="M5" i="36"/>
  <c r="M56" i="36" s="1"/>
  <c r="M103" i="36" s="1"/>
  <c r="M130" i="36" s="1"/>
  <c r="L5" i="36"/>
  <c r="L56" i="36" s="1"/>
  <c r="K56" i="36"/>
  <c r="J5" i="36"/>
  <c r="J56" i="36" s="1"/>
  <c r="I56" i="36"/>
  <c r="H5" i="36"/>
  <c r="H56" i="36" s="1"/>
  <c r="G5" i="36"/>
  <c r="G56" i="36" s="1"/>
  <c r="G103" i="36" s="1"/>
  <c r="G130" i="36" s="1"/>
  <c r="B99" i="36" l="1"/>
  <c r="B127" i="36"/>
  <c r="K220" i="36"/>
  <c r="C130" i="36"/>
  <c r="C131" i="36"/>
  <c r="Y131" i="36" s="1"/>
  <c r="L220" i="36"/>
  <c r="X98" i="36"/>
  <c r="F47" i="36"/>
  <c r="A162" i="36"/>
  <c r="F46" i="36"/>
  <c r="W45" i="36"/>
  <c r="M45" i="36"/>
  <c r="L45" i="36"/>
  <c r="J45" i="36"/>
  <c r="I45" i="36"/>
  <c r="H45" i="36"/>
  <c r="X45" i="36"/>
  <c r="V45" i="36"/>
  <c r="K45" i="36"/>
  <c r="G45" i="36"/>
  <c r="I220" i="36"/>
  <c r="I215" i="36"/>
  <c r="M215" i="36"/>
  <c r="M221" i="36" s="1"/>
  <c r="M226" i="36" s="1"/>
  <c r="C219" i="36"/>
  <c r="L168" i="36"/>
  <c r="S166" i="36"/>
  <c r="L151" i="36"/>
  <c r="L155" i="36" s="1"/>
  <c r="F143" i="36"/>
  <c r="X124" i="36"/>
  <c r="V124" i="36"/>
  <c r="W124" i="36"/>
  <c r="F144" i="36"/>
  <c r="X125" i="36"/>
  <c r="W125" i="36"/>
  <c r="V125" i="36"/>
  <c r="I154" i="36"/>
  <c r="C218" i="36"/>
  <c r="L167" i="36"/>
  <c r="F145" i="36"/>
  <c r="X126" i="36"/>
  <c r="W126" i="36"/>
  <c r="V126" i="36"/>
  <c r="B219" i="36"/>
  <c r="B146" i="36"/>
  <c r="G55" i="36"/>
  <c r="G129" i="36"/>
  <c r="J101" i="36" s="1"/>
  <c r="B218" i="36"/>
  <c r="H151" i="36"/>
  <c r="H155" i="36" s="1"/>
  <c r="G98" i="36"/>
  <c r="I96" i="36"/>
  <c r="W98" i="36"/>
  <c r="M96" i="36"/>
  <c r="H98" i="36"/>
  <c r="V166" i="36"/>
  <c r="I98" i="36"/>
  <c r="H220" i="36"/>
  <c r="L98" i="36"/>
  <c r="M98" i="36"/>
  <c r="V190" i="36"/>
  <c r="W166" i="36"/>
  <c r="T168" i="36"/>
  <c r="K98" i="36"/>
  <c r="G124" i="36"/>
  <c r="R166" i="36"/>
  <c r="X168" i="36"/>
  <c r="K155" i="36"/>
  <c r="K213" i="36"/>
  <c r="K215" i="36" s="1"/>
  <c r="J155" i="36"/>
  <c r="B154" i="36"/>
  <c r="F167" i="36"/>
  <c r="C153" i="36"/>
  <c r="C213" i="36" s="1"/>
  <c r="L2" i="36"/>
  <c r="J213" i="36"/>
  <c r="H96" i="36"/>
  <c r="L96" i="36"/>
  <c r="X96" i="36"/>
  <c r="I97" i="36"/>
  <c r="M97" i="36"/>
  <c r="K126" i="36"/>
  <c r="J126" i="36"/>
  <c r="J98" i="36"/>
  <c r="V98" i="36"/>
  <c r="J220" i="36"/>
  <c r="J124" i="36"/>
  <c r="G125" i="36"/>
  <c r="I126" i="36"/>
  <c r="A161" i="36"/>
  <c r="A163" i="36"/>
  <c r="V167" i="36"/>
  <c r="R167" i="36"/>
  <c r="X167" i="36"/>
  <c r="T167" i="36"/>
  <c r="Q189" i="36"/>
  <c r="W167" i="36"/>
  <c r="S167" i="36"/>
  <c r="T188" i="36"/>
  <c r="J125" i="36"/>
  <c r="M125" i="36"/>
  <c r="I125" i="36"/>
  <c r="J97" i="36"/>
  <c r="V97" i="36"/>
  <c r="K124" i="36"/>
  <c r="H125" i="36"/>
  <c r="L126" i="36"/>
  <c r="G155" i="36"/>
  <c r="N215" i="36"/>
  <c r="N221" i="36" s="1"/>
  <c r="N226" i="36" s="1"/>
  <c r="C221" i="36"/>
  <c r="C155" i="36" s="1"/>
  <c r="J96" i="36"/>
  <c r="V96" i="36"/>
  <c r="G97" i="36"/>
  <c r="K97" i="36"/>
  <c r="W97" i="36"/>
  <c r="H124" i="36"/>
  <c r="L124" i="36"/>
  <c r="K125" i="36"/>
  <c r="M126" i="36"/>
  <c r="C154" i="36"/>
  <c r="C214" i="36" s="1"/>
  <c r="F168" i="36"/>
  <c r="H215" i="36"/>
  <c r="G96" i="36"/>
  <c r="K96" i="36"/>
  <c r="W96" i="36"/>
  <c r="H97" i="36"/>
  <c r="L97" i="36"/>
  <c r="X97" i="36"/>
  <c r="I124" i="36"/>
  <c r="M124" i="36"/>
  <c r="L125" i="36"/>
  <c r="H126" i="36"/>
  <c r="S149" i="36"/>
  <c r="A154" i="36"/>
  <c r="S171" i="36" s="1"/>
  <c r="M155" i="36"/>
  <c r="L215" i="36"/>
  <c r="U188" i="36"/>
  <c r="W188" i="36"/>
  <c r="S188" i="36"/>
  <c r="V188" i="36"/>
  <c r="R188" i="36"/>
  <c r="T166" i="36"/>
  <c r="X166" i="36"/>
  <c r="N223" i="36" s="1"/>
  <c r="R168" i="36"/>
  <c r="V168" i="36"/>
  <c r="X190" i="36"/>
  <c r="A213" i="36"/>
  <c r="A218" i="36" s="1"/>
  <c r="G126" i="36"/>
  <c r="U166" i="36"/>
  <c r="S168" i="36"/>
  <c r="W168" i="36"/>
  <c r="M225" i="36" s="1"/>
  <c r="Q190" i="36"/>
  <c r="U168" i="36"/>
  <c r="L53" i="36" l="1"/>
  <c r="K221" i="36"/>
  <c r="K226" i="36" s="1"/>
  <c r="C132" i="36"/>
  <c r="B228" i="36"/>
  <c r="I221" i="36"/>
  <c r="I226" i="36" s="1"/>
  <c r="X47" i="36"/>
  <c r="V47" i="36"/>
  <c r="M47" i="36"/>
  <c r="J163" i="36" s="1"/>
  <c r="L47" i="36"/>
  <c r="I163" i="36" s="1"/>
  <c r="K47" i="36"/>
  <c r="H163" i="36" s="1"/>
  <c r="J47" i="36"/>
  <c r="G163" i="36" s="1"/>
  <c r="I47" i="36"/>
  <c r="F163" i="36" s="1"/>
  <c r="H47" i="36"/>
  <c r="G47" i="36"/>
  <c r="W47" i="36"/>
  <c r="G46" i="36"/>
  <c r="B162" i="36" s="1"/>
  <c r="H46" i="36"/>
  <c r="C162" i="36" s="1"/>
  <c r="X46" i="36"/>
  <c r="V46" i="36"/>
  <c r="L46" i="36"/>
  <c r="I162" i="36" s="1"/>
  <c r="K46" i="36"/>
  <c r="H162" i="36" s="1"/>
  <c r="J46" i="36"/>
  <c r="G162" i="36" s="1"/>
  <c r="I46" i="36"/>
  <c r="F162" i="36" s="1"/>
  <c r="W46" i="36"/>
  <c r="M46" i="36"/>
  <c r="J162" i="36" s="1"/>
  <c r="C220" i="36"/>
  <c r="L143" i="36"/>
  <c r="H143" i="36"/>
  <c r="L189" i="36" s="1"/>
  <c r="K143" i="36"/>
  <c r="G143" i="36"/>
  <c r="M143" i="36"/>
  <c r="J143" i="36"/>
  <c r="I143" i="36"/>
  <c r="M144" i="36"/>
  <c r="I144" i="36"/>
  <c r="L144" i="36"/>
  <c r="H144" i="36"/>
  <c r="L190" i="36" s="1"/>
  <c r="J144" i="36"/>
  <c r="G144" i="36"/>
  <c r="K144" i="36"/>
  <c r="J214" i="36"/>
  <c r="J215" i="36" s="1"/>
  <c r="J221" i="36" s="1"/>
  <c r="J226" i="36" s="1"/>
  <c r="I155" i="36"/>
  <c r="I161" i="36"/>
  <c r="H161" i="36"/>
  <c r="J161" i="36"/>
  <c r="F161" i="36"/>
  <c r="M223" i="36"/>
  <c r="L225" i="36"/>
  <c r="B220" i="36"/>
  <c r="C215" i="36"/>
  <c r="G145" i="36"/>
  <c r="H145" i="36"/>
  <c r="L191" i="36" s="1"/>
  <c r="M145" i="36"/>
  <c r="J145" i="36"/>
  <c r="I145" i="36"/>
  <c r="L145" i="36"/>
  <c r="L169" i="36"/>
  <c r="L185" i="36" s="1"/>
  <c r="L223" i="36"/>
  <c r="N225" i="36"/>
  <c r="G161" i="36"/>
  <c r="W143" i="36"/>
  <c r="X143" i="36"/>
  <c r="V143" i="36"/>
  <c r="K145" i="36"/>
  <c r="W145" i="36"/>
  <c r="V145" i="36"/>
  <c r="X145" i="36"/>
  <c r="X144" i="36"/>
  <c r="W144" i="36"/>
  <c r="V144" i="36"/>
  <c r="H221" i="36"/>
  <c r="H226" i="36" s="1"/>
  <c r="K223" i="36"/>
  <c r="X189" i="36"/>
  <c r="N224" i="36" s="1"/>
  <c r="T189" i="36"/>
  <c r="V189" i="36"/>
  <c r="L224" i="36" s="1"/>
  <c r="R189" i="36"/>
  <c r="U189" i="36"/>
  <c r="K224" i="36" s="1"/>
  <c r="W189" i="36"/>
  <c r="M224" i="36" s="1"/>
  <c r="S189" i="36"/>
  <c r="B221" i="36"/>
  <c r="B155" i="36" s="1"/>
  <c r="B214" i="36"/>
  <c r="B215" i="36" s="1"/>
  <c r="S190" i="36"/>
  <c r="U190" i="36"/>
  <c r="K225" i="36" s="1"/>
  <c r="T190" i="36"/>
  <c r="R190" i="36"/>
  <c r="L221" i="36"/>
  <c r="L226" i="36" s="1"/>
  <c r="F169" i="36"/>
  <c r="F185" i="36" s="1"/>
  <c r="Y141" i="36" l="1"/>
  <c r="M146" i="36" s="1"/>
  <c r="L101" i="36" s="1"/>
  <c r="G228" i="36" s="1"/>
  <c r="B163" i="36"/>
  <c r="B225" i="36"/>
  <c r="F189" i="36"/>
  <c r="C161" i="36"/>
  <c r="C223" i="36"/>
  <c r="B223" i="36"/>
  <c r="B161" i="36"/>
  <c r="F191" i="36"/>
  <c r="C163" i="36"/>
  <c r="C225" i="36"/>
  <c r="F190" i="36"/>
  <c r="C224" i="36"/>
  <c r="B224" i="36"/>
  <c r="E102" i="21" l="1"/>
  <c r="D124" i="21"/>
  <c r="D147" i="21" s="1"/>
  <c r="H147" i="21" s="1"/>
  <c r="D123" i="21"/>
  <c r="D146" i="21" s="1"/>
  <c r="K146" i="21" s="1"/>
  <c r="D122" i="21"/>
  <c r="D145" i="21" s="1"/>
  <c r="J145" i="21" s="1"/>
  <c r="D121" i="21"/>
  <c r="D144" i="21" s="1"/>
  <c r="E144" i="21" s="1"/>
  <c r="N53" i="21"/>
  <c r="N103" i="21" s="1"/>
  <c r="M53" i="21"/>
  <c r="M103" i="21" s="1"/>
  <c r="L53" i="21"/>
  <c r="L103" i="21" s="1"/>
  <c r="G128" i="21"/>
  <c r="J128" i="21"/>
  <c r="I128" i="21"/>
  <c r="H128" i="21"/>
  <c r="F128" i="21"/>
  <c r="V143" i="21"/>
  <c r="H215" i="21" s="1"/>
  <c r="U143" i="21"/>
  <c r="G215" i="21" s="1"/>
  <c r="T143" i="21"/>
  <c r="F215" i="21" s="1"/>
  <c r="K143" i="21"/>
  <c r="J143" i="21"/>
  <c r="I143" i="21"/>
  <c r="H143" i="21"/>
  <c r="G143" i="21"/>
  <c r="F143" i="21"/>
  <c r="C215" i="21" s="1"/>
  <c r="E143" i="21"/>
  <c r="B215" i="21" s="1"/>
  <c r="A130" i="2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E151" i="21"/>
  <c r="F151" i="21"/>
  <c r="K151" i="21"/>
  <c r="A152" i="21"/>
  <c r="V152" i="21"/>
  <c r="V174" i="21" s="1"/>
  <c r="V120" i="21"/>
  <c r="H214" i="21" s="1"/>
  <c r="U120" i="21"/>
  <c r="G214" i="21" s="1"/>
  <c r="T120" i="21"/>
  <c r="F214" i="21" s="1"/>
  <c r="K120" i="21"/>
  <c r="J120" i="21"/>
  <c r="I120" i="21"/>
  <c r="H120" i="21"/>
  <c r="G120" i="21"/>
  <c r="F120" i="21"/>
  <c r="C214" i="21" s="1"/>
  <c r="E120" i="21"/>
  <c r="B214" i="21" s="1"/>
  <c r="B216" i="21" s="1"/>
  <c r="A105" i="2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D53" i="21"/>
  <c r="D103" i="21" s="1"/>
  <c r="D128" i="21" s="1"/>
  <c r="C53" i="21"/>
  <c r="C103" i="21" s="1"/>
  <c r="C128" i="21" s="1"/>
  <c r="B53" i="21"/>
  <c r="B103" i="21" s="1"/>
  <c r="B128" i="21" s="1"/>
  <c r="G5" i="21"/>
  <c r="G53" i="21" s="1"/>
  <c r="K5" i="21"/>
  <c r="K53" i="21" s="1"/>
  <c r="K103" i="21" s="1"/>
  <c r="K128" i="21" s="1"/>
  <c r="J5" i="21"/>
  <c r="J53" i="21" s="1"/>
  <c r="I5" i="21"/>
  <c r="I53" i="21" s="1"/>
  <c r="H5" i="21"/>
  <c r="H53" i="21" s="1"/>
  <c r="F5" i="21"/>
  <c r="F53" i="21" s="1"/>
  <c r="E5" i="21"/>
  <c r="E53" i="21" s="1"/>
  <c r="E103" i="21" s="1"/>
  <c r="E128" i="21" s="1"/>
  <c r="B50" i="21"/>
  <c r="B149" i="21" s="1"/>
  <c r="A208" i="21" s="1"/>
  <c r="Q174" i="21"/>
  <c r="P174" i="21"/>
  <c r="R173" i="21"/>
  <c r="P173" i="21"/>
  <c r="O173" i="21"/>
  <c r="M173" i="21"/>
  <c r="V187" i="21"/>
  <c r="K155" i="21" s="1"/>
  <c r="L211" i="21" s="1"/>
  <c r="U187" i="21"/>
  <c r="J155" i="21" s="1"/>
  <c r="K211" i="21" s="1"/>
  <c r="T187" i="21"/>
  <c r="I155" i="21" s="1"/>
  <c r="J211" i="21" s="1"/>
  <c r="S187" i="21"/>
  <c r="R187" i="21"/>
  <c r="Q187" i="21"/>
  <c r="P187" i="21"/>
  <c r="O169" i="21"/>
  <c r="U169" i="21" s="1"/>
  <c r="O168" i="21"/>
  <c r="U168" i="21" s="1"/>
  <c r="O167" i="21"/>
  <c r="U167" i="21" s="1"/>
  <c r="O166" i="21"/>
  <c r="U166" i="21" s="1"/>
  <c r="V165" i="21"/>
  <c r="K154" i="21" s="1"/>
  <c r="L210" i="21" s="1"/>
  <c r="U165" i="21"/>
  <c r="J154" i="21" s="1"/>
  <c r="K210" i="21" s="1"/>
  <c r="T165" i="21"/>
  <c r="I154" i="21" s="1"/>
  <c r="J210" i="21" s="1"/>
  <c r="S165" i="21"/>
  <c r="H154" i="21" s="1"/>
  <c r="I210" i="21" s="1"/>
  <c r="R165" i="21"/>
  <c r="Q165" i="21"/>
  <c r="P165" i="21"/>
  <c r="H155" i="21"/>
  <c r="I211" i="21" s="1"/>
  <c r="A154" i="21"/>
  <c r="A155" i="21" s="1"/>
  <c r="Q172" i="21" s="1"/>
  <c r="K152" i="21"/>
  <c r="J152" i="21"/>
  <c r="J156" i="21" s="1"/>
  <c r="I152" i="21"/>
  <c r="I156" i="21" s="1"/>
  <c r="H152" i="21"/>
  <c r="G152" i="21"/>
  <c r="F152" i="21"/>
  <c r="E152" i="21"/>
  <c r="J151" i="21"/>
  <c r="I151" i="21"/>
  <c r="H151" i="21"/>
  <c r="G151" i="21"/>
  <c r="G216" i="21" l="1"/>
  <c r="I212" i="21"/>
  <c r="I217" i="21" s="1"/>
  <c r="F216" i="21"/>
  <c r="J212" i="21"/>
  <c r="J217" i="21" s="1"/>
  <c r="K212" i="21"/>
  <c r="K217" i="21" s="1"/>
  <c r="C216" i="21"/>
  <c r="H216" i="21"/>
  <c r="L212" i="21"/>
  <c r="L217" i="21" s="1"/>
  <c r="R152" i="21"/>
  <c r="R174" i="21" s="1"/>
  <c r="S152" i="21"/>
  <c r="T152" i="21"/>
  <c r="T174" i="21" s="1"/>
  <c r="U152" i="21"/>
  <c r="E121" i="21"/>
  <c r="E147" i="21"/>
  <c r="I144" i="21"/>
  <c r="G145" i="21"/>
  <c r="K145" i="21"/>
  <c r="I147" i="21"/>
  <c r="E145" i="21"/>
  <c r="H146" i="21"/>
  <c r="E122" i="21"/>
  <c r="F144" i="21"/>
  <c r="J144" i="21"/>
  <c r="H145" i="21"/>
  <c r="F147" i="21"/>
  <c r="J147" i="21"/>
  <c r="E146" i="21"/>
  <c r="I146" i="21"/>
  <c r="E123" i="21"/>
  <c r="G144" i="21"/>
  <c r="K144" i="21"/>
  <c r="I145" i="21"/>
  <c r="G147" i="21"/>
  <c r="K147" i="21"/>
  <c r="F146" i="21"/>
  <c r="J146" i="21"/>
  <c r="E124" i="21"/>
  <c r="H144" i="21"/>
  <c r="F145" i="21"/>
  <c r="G146" i="21"/>
  <c r="K156" i="21"/>
  <c r="H156" i="21"/>
  <c r="Q150" i="21"/>
  <c r="R166" i="21"/>
  <c r="T169" i="21"/>
  <c r="O189" i="21"/>
  <c r="S189" i="21" s="1"/>
  <c r="V191" i="21"/>
  <c r="P167" i="21"/>
  <c r="P169" i="21"/>
  <c r="T167" i="21"/>
  <c r="R169" i="21"/>
  <c r="P166" i="21"/>
  <c r="V167" i="21"/>
  <c r="T168" i="21"/>
  <c r="R189" i="21"/>
  <c r="O190" i="21"/>
  <c r="U191" i="21"/>
  <c r="K221" i="21" s="1"/>
  <c r="V168" i="21"/>
  <c r="T189" i="21"/>
  <c r="T166" i="21"/>
  <c r="R167" i="21"/>
  <c r="P168" i="21"/>
  <c r="V169" i="21"/>
  <c r="L221" i="21" s="1"/>
  <c r="O188" i="21"/>
  <c r="P189" i="21"/>
  <c r="U189" i="21"/>
  <c r="K219" i="21" s="1"/>
  <c r="V166" i="21"/>
  <c r="R168" i="21"/>
  <c r="Q189" i="21"/>
  <c r="V189" i="21"/>
  <c r="O191" i="21"/>
  <c r="T191" i="21"/>
  <c r="S166" i="21"/>
  <c r="S167" i="21"/>
  <c r="I219" i="21" s="1"/>
  <c r="S168" i="21"/>
  <c r="S169" i="21"/>
  <c r="Q166" i="21"/>
  <c r="Q167" i="21"/>
  <c r="Q168" i="21"/>
  <c r="Q169" i="21"/>
  <c r="H191" i="21"/>
  <c r="J191" i="21" s="1"/>
  <c r="H190" i="21"/>
  <c r="J190" i="21" s="1"/>
  <c r="D95" i="21"/>
  <c r="D94" i="21"/>
  <c r="D93" i="21"/>
  <c r="D92" i="21"/>
  <c r="V53" i="21"/>
  <c r="V103" i="21" s="1"/>
  <c r="V128" i="21" s="1"/>
  <c r="U5" i="21"/>
  <c r="U53" i="21" s="1"/>
  <c r="U103" i="21" s="1"/>
  <c r="U128" i="21" s="1"/>
  <c r="T5" i="21"/>
  <c r="T53" i="21" s="1"/>
  <c r="T103" i="21" s="1"/>
  <c r="T128" i="21" s="1"/>
  <c r="G195" i="21"/>
  <c r="A210" i="21" s="1"/>
  <c r="A214" i="21" s="1"/>
  <c r="B195" i="21"/>
  <c r="A192" i="21"/>
  <c r="B192" i="21" s="1"/>
  <c r="J192" i="21"/>
  <c r="A191" i="21"/>
  <c r="B191" i="21" s="1"/>
  <c r="A190" i="21"/>
  <c r="B190" i="21" s="1"/>
  <c r="A189" i="21"/>
  <c r="B189" i="21" s="1"/>
  <c r="D185" i="21"/>
  <c r="J172" i="21"/>
  <c r="J219" i="21" l="1"/>
  <c r="L219" i="21"/>
  <c r="J221" i="21"/>
  <c r="K122" i="21"/>
  <c r="G122" i="21"/>
  <c r="J122" i="21"/>
  <c r="F122" i="21"/>
  <c r="I122" i="21"/>
  <c r="H122" i="21"/>
  <c r="I123" i="21"/>
  <c r="H123" i="21"/>
  <c r="K123" i="21"/>
  <c r="G123" i="21"/>
  <c r="J123" i="21"/>
  <c r="F123" i="21"/>
  <c r="I121" i="21"/>
  <c r="T144" i="21"/>
  <c r="H121" i="21"/>
  <c r="K121" i="21"/>
  <c r="G121" i="21"/>
  <c r="J121" i="21"/>
  <c r="F121" i="21"/>
  <c r="K124" i="21"/>
  <c r="G124" i="21"/>
  <c r="J124" i="21"/>
  <c r="F124" i="21"/>
  <c r="I124" i="21"/>
  <c r="H124" i="21"/>
  <c r="E52" i="21"/>
  <c r="E127" i="21"/>
  <c r="H195" i="21"/>
  <c r="A211" i="21" s="1"/>
  <c r="A215" i="21" s="1"/>
  <c r="V144" i="21"/>
  <c r="U144" i="21"/>
  <c r="V147" i="21"/>
  <c r="U147" i="21"/>
  <c r="T147" i="21"/>
  <c r="T145" i="21"/>
  <c r="V145" i="21"/>
  <c r="U145" i="21"/>
  <c r="U146" i="21"/>
  <c r="T146" i="21"/>
  <c r="V146" i="21"/>
  <c r="D44" i="21"/>
  <c r="V121" i="21"/>
  <c r="U121" i="21"/>
  <c r="T121" i="21"/>
  <c r="D45" i="21"/>
  <c r="T122" i="21"/>
  <c r="V122" i="21"/>
  <c r="U122" i="21"/>
  <c r="D46" i="21"/>
  <c r="U123" i="21"/>
  <c r="T123" i="21"/>
  <c r="V123" i="21"/>
  <c r="D47" i="21"/>
  <c r="V124" i="21"/>
  <c r="U124" i="21"/>
  <c r="T124" i="21"/>
  <c r="S191" i="21"/>
  <c r="I221" i="21" s="1"/>
  <c r="R191" i="21"/>
  <c r="Q191" i="21"/>
  <c r="P191" i="21"/>
  <c r="S188" i="21"/>
  <c r="I218" i="21" s="1"/>
  <c r="U188" i="21"/>
  <c r="K218" i="21" s="1"/>
  <c r="P188" i="21"/>
  <c r="T188" i="21"/>
  <c r="J218" i="21" s="1"/>
  <c r="R188" i="21"/>
  <c r="V188" i="21"/>
  <c r="L218" i="21" s="1"/>
  <c r="Q188" i="21"/>
  <c r="S190" i="21"/>
  <c r="I220" i="21" s="1"/>
  <c r="R190" i="21"/>
  <c r="V190" i="21"/>
  <c r="L220" i="21" s="1"/>
  <c r="Q190" i="21"/>
  <c r="U190" i="21"/>
  <c r="K220" i="21" s="1"/>
  <c r="P190" i="21"/>
  <c r="T190" i="21"/>
  <c r="J220" i="21" s="1"/>
  <c r="U174" i="21"/>
  <c r="S174" i="21"/>
  <c r="J222" i="21" l="1"/>
  <c r="K222" i="21"/>
  <c r="L222" i="21"/>
  <c r="I222" i="21"/>
  <c r="A164" i="21"/>
  <c r="A163" i="21"/>
  <c r="A162" i="21"/>
  <c r="A161" i="21"/>
  <c r="F43" i="21" l="1"/>
  <c r="C154" i="21" s="1"/>
  <c r="C210" i="21" s="1"/>
  <c r="E43" i="21"/>
  <c r="V43" i="21"/>
  <c r="G154" i="21" s="1"/>
  <c r="H210" i="21" s="1"/>
  <c r="U43" i="21"/>
  <c r="F154" i="21" s="1"/>
  <c r="G210" i="21" s="1"/>
  <c r="T43" i="21"/>
  <c r="E154" i="21" s="1"/>
  <c r="F210" i="21" s="1"/>
  <c r="K43" i="21"/>
  <c r="J43" i="21"/>
  <c r="I43" i="21"/>
  <c r="H43" i="21"/>
  <c r="G43" i="21"/>
  <c r="A7" i="2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B154" i="21" l="1"/>
  <c r="B210" i="21" s="1"/>
  <c r="D168" i="21"/>
  <c r="B48" i="21"/>
  <c r="K46" i="21"/>
  <c r="T46" i="21"/>
  <c r="V46" i="21"/>
  <c r="U46" i="21"/>
  <c r="H47" i="21"/>
  <c r="U47" i="21"/>
  <c r="T47" i="21"/>
  <c r="V47" i="21"/>
  <c r="E45" i="21"/>
  <c r="V45" i="21"/>
  <c r="U45" i="21"/>
  <c r="T45" i="21"/>
  <c r="I44" i="21"/>
  <c r="T44" i="21"/>
  <c r="V44" i="21"/>
  <c r="U44" i="21"/>
  <c r="F44" i="21"/>
  <c r="J44" i="21"/>
  <c r="G45" i="21"/>
  <c r="K45" i="21"/>
  <c r="I47" i="21"/>
  <c r="E44" i="21"/>
  <c r="H46" i="21"/>
  <c r="G44" i="21"/>
  <c r="K44" i="21"/>
  <c r="H45" i="21"/>
  <c r="F47" i="21"/>
  <c r="J47" i="21"/>
  <c r="E46" i="21"/>
  <c r="I46" i="21"/>
  <c r="H44" i="21"/>
  <c r="E47" i="21"/>
  <c r="I45" i="21"/>
  <c r="G47" i="21"/>
  <c r="K47" i="21"/>
  <c r="F46" i="21"/>
  <c r="J46" i="21"/>
  <c r="F45" i="21"/>
  <c r="J45" i="21"/>
  <c r="G46" i="21"/>
  <c r="A38" i="21"/>
  <c r="A39" i="21" s="1"/>
  <c r="A40" i="21" s="1"/>
  <c r="A41" i="21" s="1"/>
  <c r="A42" i="21" l="1"/>
  <c r="E91" i="21" l="1"/>
  <c r="B155" i="21" s="1"/>
  <c r="F91" i="21"/>
  <c r="C217" i="21" s="1"/>
  <c r="G91" i="21"/>
  <c r="H91" i="21"/>
  <c r="I91" i="21"/>
  <c r="J91" i="21"/>
  <c r="K91" i="21"/>
  <c r="T91" i="21"/>
  <c r="E155" i="21" s="1"/>
  <c r="F211" i="21" s="1"/>
  <c r="F212" i="21" s="1"/>
  <c r="F217" i="21" s="1"/>
  <c r="F222" i="21" s="1"/>
  <c r="U91" i="21"/>
  <c r="F155" i="21" s="1"/>
  <c r="G211" i="21" s="1"/>
  <c r="G212" i="21" s="1"/>
  <c r="G217" i="21" s="1"/>
  <c r="G222" i="21" s="1"/>
  <c r="V91" i="21"/>
  <c r="G155" i="21" s="1"/>
  <c r="H211" i="21" s="1"/>
  <c r="H212" i="21" s="1"/>
  <c r="H217" i="21" s="1"/>
  <c r="H222" i="21" s="1"/>
  <c r="B211" i="21" l="1"/>
  <c r="B212" i="21" s="1"/>
  <c r="B217" i="21"/>
  <c r="B156" i="21"/>
  <c r="F156" i="21"/>
  <c r="E156" i="21"/>
  <c r="G156" i="21"/>
  <c r="C156" i="21"/>
  <c r="C155" i="21"/>
  <c r="C211" i="21" s="1"/>
  <c r="C212" i="21" s="1"/>
  <c r="D169" i="21"/>
  <c r="D170" i="21" s="1"/>
  <c r="D186" i="21" s="1"/>
  <c r="U95" i="21"/>
  <c r="T95" i="21"/>
  <c r="V95" i="21"/>
  <c r="V92" i="21"/>
  <c r="U92" i="21"/>
  <c r="T92" i="21"/>
  <c r="V93" i="21"/>
  <c r="T93" i="21"/>
  <c r="U93" i="21"/>
  <c r="U94" i="21"/>
  <c r="T94" i="21"/>
  <c r="V94" i="21"/>
  <c r="F94" i="21"/>
  <c r="C220" i="21" s="1"/>
  <c r="F93" i="21"/>
  <c r="C219" i="21" s="1"/>
  <c r="I93" i="21"/>
  <c r="F162" i="21" s="1"/>
  <c r="H93" i="21"/>
  <c r="E162" i="21" s="1"/>
  <c r="K93" i="21"/>
  <c r="H162" i="21" s="1"/>
  <c r="G93" i="21"/>
  <c r="D162" i="21" s="1"/>
  <c r="E93" i="21"/>
  <c r="B219" i="21" s="1"/>
  <c r="J93" i="21"/>
  <c r="G162" i="21" s="1"/>
  <c r="J92" i="21"/>
  <c r="G161" i="21" s="1"/>
  <c r="E92" i="21"/>
  <c r="B218" i="21" s="1"/>
  <c r="F92" i="21"/>
  <c r="C218" i="21" s="1"/>
  <c r="I92" i="21"/>
  <c r="F161" i="21" s="1"/>
  <c r="H92" i="21"/>
  <c r="E161" i="21" s="1"/>
  <c r="K92" i="21"/>
  <c r="H161" i="21" s="1"/>
  <c r="G92" i="21"/>
  <c r="D161" i="21" s="1"/>
  <c r="B96" i="21"/>
  <c r="E94" i="21"/>
  <c r="B220" i="21" s="1"/>
  <c r="J94" i="21"/>
  <c r="G163" i="21" s="1"/>
  <c r="H95" i="21"/>
  <c r="E164" i="21" s="1"/>
  <c r="E95" i="21"/>
  <c r="B221" i="21" s="1"/>
  <c r="G94" i="21"/>
  <c r="D163" i="21" s="1"/>
  <c r="K94" i="21"/>
  <c r="H163" i="21" s="1"/>
  <c r="I95" i="21"/>
  <c r="F164" i="21" s="1"/>
  <c r="H94" i="21"/>
  <c r="E163" i="21" s="1"/>
  <c r="F95" i="21"/>
  <c r="C221" i="21" s="1"/>
  <c r="J95" i="21"/>
  <c r="G164" i="21" s="1"/>
  <c r="I94" i="21"/>
  <c r="F163" i="21" s="1"/>
  <c r="G95" i="21"/>
  <c r="D164" i="21" s="1"/>
  <c r="K95" i="21"/>
  <c r="H164" i="21" s="1"/>
  <c r="A55" i="2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C164" i="21" l="1"/>
  <c r="D192" i="21"/>
  <c r="B163" i="21"/>
  <c r="E165" i="21"/>
  <c r="G165" i="21"/>
  <c r="C163" i="21"/>
  <c r="D191" i="21"/>
  <c r="B164" i="21"/>
  <c r="F165" i="21"/>
  <c r="D165" i="21"/>
  <c r="D189" i="21"/>
  <c r="C161" i="21"/>
  <c r="B162" i="21"/>
  <c r="H165" i="21"/>
  <c r="B161" i="21"/>
  <c r="D190" i="21"/>
  <c r="C162" i="21"/>
  <c r="A66" i="2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B165" i="21" l="1"/>
  <c r="C165" i="21"/>
  <c r="A77" i="21"/>
  <c r="A78" i="21" s="1"/>
  <c r="A79" i="21" s="1"/>
  <c r="A80" i="21" s="1"/>
  <c r="A81" i="21" l="1"/>
  <c r="A82" i="21" s="1"/>
  <c r="A83" i="21" s="1"/>
  <c r="A84" i="21" s="1"/>
  <c r="A85" i="21" s="1"/>
  <c r="A86" i="21" s="1"/>
  <c r="A87" i="21" s="1"/>
  <c r="A88" i="21" s="1"/>
  <c r="A89" i="21" s="1"/>
  <c r="A90" i="21" s="1"/>
  <c r="U19" i="19" l="1"/>
  <c r="U18" i="19"/>
  <c r="H34" i="19"/>
  <c r="I34" i="19"/>
  <c r="J34" i="19"/>
  <c r="K34" i="19"/>
  <c r="L34" i="19"/>
  <c r="N34" i="19"/>
  <c r="U16" i="19" s="1"/>
  <c r="V16" i="19" s="1"/>
  <c r="O34" i="19"/>
  <c r="P34" i="19"/>
  <c r="Q34" i="19"/>
  <c r="G34" i="19"/>
  <c r="E34" i="19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F34" i="19" l="1"/>
  <c r="R17" i="19"/>
  <c r="R14" i="19"/>
  <c r="R13" i="19"/>
  <c r="R12" i="19"/>
  <c r="R11" i="19"/>
  <c r="R10" i="19"/>
  <c r="R9" i="19"/>
  <c r="U10" i="19" l="1"/>
  <c r="V10" i="19" s="1"/>
  <c r="U11" i="19"/>
  <c r="V11" i="19" s="1"/>
  <c r="U12" i="19"/>
  <c r="V12" i="19" s="1"/>
  <c r="U13" i="19"/>
  <c r="V13" i="19" s="1"/>
  <c r="U14" i="19"/>
  <c r="V14" i="19" s="1"/>
  <c r="U17" i="19"/>
  <c r="V17" i="19" s="1"/>
  <c r="V18" i="19"/>
  <c r="V19" i="19"/>
  <c r="U9" i="19"/>
  <c r="V9" i="19" s="1"/>
  <c r="T6" i="19"/>
  <c r="AD17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G14" i="18"/>
  <c r="AH14" i="18" s="1"/>
  <c r="AG13" i="18"/>
  <c r="AH13" i="18" s="1"/>
  <c r="AG12" i="18"/>
  <c r="AH12" i="18" s="1"/>
  <c r="AG11" i="18"/>
  <c r="AH11" i="18" s="1"/>
  <c r="AG10" i="18"/>
  <c r="AH10" i="18" s="1"/>
  <c r="AG9" i="18"/>
  <c r="AH9" i="18" s="1"/>
  <c r="U6" i="19"/>
  <c r="AD18" i="18"/>
  <c r="AD13" i="18"/>
  <c r="H35" i="18"/>
  <c r="H37" i="18" s="1"/>
  <c r="H39" i="18" s="1"/>
  <c r="AF7" i="18" s="1"/>
  <c r="F35" i="18"/>
  <c r="F37" i="18" s="1"/>
  <c r="F39" i="18" s="1"/>
  <c r="AD12" i="18"/>
  <c r="AD11" i="18"/>
  <c r="AD10" i="18"/>
  <c r="AD9" i="18"/>
  <c r="AG7" i="18"/>
  <c r="AG6" i="18"/>
  <c r="AH7" i="18" l="1"/>
  <c r="AF6" i="18"/>
  <c r="AH6" i="18" s="1"/>
  <c r="V6" i="19"/>
  <c r="D36" i="19"/>
  <c r="D38" i="19" s="1"/>
  <c r="I188" i="36"/>
  <c r="J188" i="36" s="1"/>
  <c r="Q165" i="36"/>
  <c r="Q187" i="36" s="1"/>
  <c r="F123" i="36"/>
  <c r="F95" i="36"/>
  <c r="G101" i="36" l="1"/>
  <c r="G222" i="36"/>
  <c r="B188" i="36"/>
  <c r="U165" i="36"/>
  <c r="V165" i="36"/>
  <c r="W165" i="36"/>
  <c r="S165" i="36"/>
  <c r="R165" i="36"/>
  <c r="T165" i="36"/>
  <c r="X165" i="36"/>
  <c r="G123" i="36"/>
  <c r="F142" i="36"/>
  <c r="G142" i="36" s="1"/>
  <c r="W123" i="36"/>
  <c r="X123" i="36"/>
  <c r="V123" i="36"/>
  <c r="F44" i="36"/>
  <c r="A160" i="36"/>
  <c r="J123" i="36"/>
  <c r="H95" i="36"/>
  <c r="K123" i="36"/>
  <c r="J95" i="36"/>
  <c r="V95" i="36"/>
  <c r="H123" i="36"/>
  <c r="L123" i="36"/>
  <c r="M95" i="36"/>
  <c r="X95" i="36"/>
  <c r="I95" i="36"/>
  <c r="G95" i="36"/>
  <c r="K95" i="36"/>
  <c r="W95" i="36"/>
  <c r="I123" i="36"/>
  <c r="L95" i="36"/>
  <c r="M123" i="36"/>
  <c r="S187" i="36" l="1"/>
  <c r="W187" i="36"/>
  <c r="M222" i="36" s="1"/>
  <c r="U187" i="36"/>
  <c r="K222" i="36" s="1"/>
  <c r="R187" i="36"/>
  <c r="V187" i="36"/>
  <c r="L222" i="36" s="1"/>
  <c r="T187" i="36"/>
  <c r="X187" i="36"/>
  <c r="N222" i="36" s="1"/>
  <c r="V142" i="36"/>
  <c r="W142" i="36"/>
  <c r="X142" i="36"/>
  <c r="I142" i="36"/>
  <c r="H142" i="36"/>
  <c r="L188" i="36" s="1"/>
  <c r="L142" i="36"/>
  <c r="J142" i="36"/>
  <c r="K142" i="36"/>
  <c r="M142" i="36"/>
  <c r="G44" i="36"/>
  <c r="I44" i="36"/>
  <c r="F160" i="36" s="1"/>
  <c r="F164" i="36" s="1"/>
  <c r="J44" i="36"/>
  <c r="G160" i="36" s="1"/>
  <c r="G164" i="36" s="1"/>
  <c r="L44" i="36"/>
  <c r="I160" i="36" s="1"/>
  <c r="I164" i="36" s="1"/>
  <c r="V44" i="36"/>
  <c r="X44" i="36"/>
  <c r="H44" i="36"/>
  <c r="K44" i="36"/>
  <c r="H160" i="36" s="1"/>
  <c r="H164" i="36" s="1"/>
  <c r="M44" i="36"/>
  <c r="J160" i="36" s="1"/>
  <c r="J164" i="36" s="1"/>
  <c r="W44" i="36"/>
  <c r="C160" i="36" l="1"/>
  <c r="C164" i="36" s="1"/>
  <c r="F188" i="36"/>
  <c r="C222" i="36"/>
  <c r="B222" i="36"/>
  <c r="B160" i="36"/>
  <c r="B164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6" authorId="0" shapeId="0" xr:uid="{8233F709-40D6-4E7E-9C64-F8130FCCBDBF}">
      <text>
        <r>
          <rPr>
            <sz val="9"/>
            <color indexed="81"/>
            <rFont val="Segoe UI"/>
            <family val="2"/>
          </rPr>
          <t>Unesi datum, on se unosi uvijek za npr. 15.06 na načni: 15/6 ili 15-6</t>
        </r>
      </text>
    </comment>
    <comment ref="C6" authorId="0" shapeId="0" xr:uid="{3DDCD36A-0FBB-4D15-BC6A-20522DE1BD4F}">
      <text>
        <r>
          <rPr>
            <sz val="9"/>
            <color indexed="81"/>
            <rFont val="Segoe UI"/>
            <family val="2"/>
          </rPr>
          <t xml:space="preserve">Unesi prvi redni broj fiskalnog računa
</t>
        </r>
      </text>
    </comment>
    <comment ref="B104" authorId="0" shapeId="0" xr:uid="{DCE9F6CF-9416-4E68-98A4-7C492270B3BD}">
      <text>
        <r>
          <rPr>
            <sz val="9"/>
            <color indexed="81"/>
            <rFont val="Segoe UI"/>
            <family val="2"/>
          </rPr>
          <t xml:space="preserve">Unesi datum npr. za 15.06,. na način 15/6 ili 15-6
</t>
        </r>
      </text>
    </comment>
    <comment ref="C104" authorId="0" shapeId="0" xr:uid="{88D8BFB6-2F98-4669-9070-0096D0A0FB65}">
      <text>
        <r>
          <rPr>
            <sz val="9"/>
            <color indexed="81"/>
            <rFont val="Segoe UI"/>
            <family val="2"/>
          </rPr>
          <t xml:space="preserve">Unesi prvi redni broj računa ako ga ima
</t>
        </r>
      </text>
    </comment>
  </commentList>
</comments>
</file>

<file path=xl/sharedStrings.xml><?xml version="1.0" encoding="utf-8"?>
<sst xmlns="http://schemas.openxmlformats.org/spreadsheetml/2006/main" count="726" uniqueCount="345">
  <si>
    <t xml:space="preserve">Hét           </t>
  </si>
  <si>
    <t>Összesen</t>
  </si>
  <si>
    <t>Létszám:</t>
  </si>
  <si>
    <t>Szertődés sz.</t>
  </si>
  <si>
    <t>Előleg</t>
  </si>
  <si>
    <t xml:space="preserve"> -tól</t>
  </si>
  <si>
    <t>Ár</t>
  </si>
  <si>
    <t xml:space="preserve"> -ig</t>
  </si>
  <si>
    <t>Kiadások</t>
  </si>
  <si>
    <t xml:space="preserve">     Átadott áru</t>
  </si>
  <si>
    <t>Típus</t>
  </si>
  <si>
    <t>Nyító</t>
  </si>
  <si>
    <t xml:space="preserve"> +</t>
  </si>
  <si>
    <t xml:space="preserve"> -</t>
  </si>
  <si>
    <t>Záró</t>
  </si>
  <si>
    <t>Áru</t>
  </si>
  <si>
    <t>Forgalom</t>
  </si>
  <si>
    <t>H2O</t>
  </si>
  <si>
    <t>TDA</t>
  </si>
  <si>
    <t>MVES</t>
  </si>
  <si>
    <t>H:</t>
  </si>
  <si>
    <t>K:</t>
  </si>
  <si>
    <t>Sz:</t>
  </si>
  <si>
    <t>Cs:</t>
  </si>
  <si>
    <t>MX</t>
  </si>
  <si>
    <t>HDR2</t>
  </si>
  <si>
    <t>P:</t>
  </si>
  <si>
    <t>TE2</t>
  </si>
  <si>
    <t>HST</t>
  </si>
  <si>
    <t>HF</t>
  </si>
  <si>
    <t>KR</t>
  </si>
  <si>
    <t>T-372</t>
  </si>
  <si>
    <t>T1</t>
  </si>
  <si>
    <t>TF</t>
  </si>
  <si>
    <t>FM</t>
  </si>
  <si>
    <t>TUS</t>
  </si>
  <si>
    <t>34. hét</t>
  </si>
  <si>
    <t>U:</t>
  </si>
  <si>
    <t>S:</t>
  </si>
  <si>
    <t>Poc.stanje</t>
  </si>
  <si>
    <t>promet</t>
  </si>
  <si>
    <t>LMS</t>
  </si>
  <si>
    <t>TEAM</t>
  </si>
  <si>
    <t>HDR</t>
  </si>
  <si>
    <t>KOSMO</t>
  </si>
  <si>
    <t>KES</t>
  </si>
  <si>
    <t xml:space="preserve">TO </t>
  </si>
  <si>
    <t>Szerződés sz./ br. ugovora</t>
  </si>
  <si>
    <t>Ár / Prodajan cijena</t>
  </si>
  <si>
    <t>Számla szám/ br. računa</t>
  </si>
  <si>
    <t>Hét/tjedan :</t>
  </si>
  <si>
    <t>Č:</t>
  </si>
  <si>
    <t>PP</t>
  </si>
  <si>
    <t>HP/ bračni parovi</t>
  </si>
  <si>
    <t>Létszám / gostiju:</t>
  </si>
  <si>
    <t>DRAG</t>
  </si>
  <si>
    <t>THAI</t>
  </si>
  <si>
    <t>DATUM</t>
  </si>
  <si>
    <t>KP/gotovina</t>
  </si>
  <si>
    <t>DATUM:</t>
  </si>
  <si>
    <t>IZNOS</t>
  </si>
  <si>
    <t>Broj ugovora</t>
  </si>
  <si>
    <t>TO</t>
  </si>
  <si>
    <t>Broj računa FISKALNOG</t>
  </si>
  <si>
    <t>PRODAJNA CIJENA</t>
  </si>
  <si>
    <t xml:space="preserve"> UKUPNO :</t>
  </si>
  <si>
    <t>OTPREMNICA / IZDATNICA / UTOVARENO</t>
  </si>
  <si>
    <t>GOTOVINA / KEŠ</t>
  </si>
  <si>
    <t>UTOVARENO</t>
  </si>
  <si>
    <t xml:space="preserve">UKUPNO UTOVARENO U KOMBI : </t>
  </si>
  <si>
    <t xml:space="preserve">OSTALO JE ZA POLOŽITI PAZAR U BANKU : </t>
  </si>
  <si>
    <t xml:space="preserve">KRATKI TJEDAN PAZAR KEŠ : </t>
  </si>
  <si>
    <t xml:space="preserve">DUGI TJEDAN PAZAR KEŠ : </t>
  </si>
  <si>
    <t xml:space="preserve">UKUPNO POLOŽENO U BANKU : </t>
  </si>
  <si>
    <t>Redni broj</t>
  </si>
  <si>
    <t>TABLICA STANJE SKLADIŠTA / KOMBI</t>
  </si>
  <si>
    <t xml:space="preserve">UKUPNO ZA BANKU KEŠ : </t>
  </si>
  <si>
    <t xml:space="preserve">UKUPNO TREBA OSTATI ROBE U KOMBIJU : </t>
  </si>
  <si>
    <t>TABLICA PROMETA KRATKI TJEDAN</t>
  </si>
  <si>
    <t>Vozać</t>
  </si>
  <si>
    <t>Team</t>
  </si>
  <si>
    <t>OSTALO</t>
  </si>
  <si>
    <t>IME PREZIME KUPCA / OPIS / KOMENTAR</t>
  </si>
  <si>
    <t>700500</t>
  </si>
  <si>
    <t>0210234</t>
  </si>
  <si>
    <t xml:space="preserve">07.01.2021. </t>
  </si>
  <si>
    <t>249</t>
  </si>
  <si>
    <t>250</t>
  </si>
  <si>
    <t>700498</t>
  </si>
  <si>
    <t>700416</t>
  </si>
  <si>
    <t>251</t>
  </si>
  <si>
    <t>700453</t>
  </si>
  <si>
    <t>252</t>
  </si>
  <si>
    <t>700428</t>
  </si>
  <si>
    <t>253</t>
  </si>
  <si>
    <t>700422</t>
  </si>
  <si>
    <t>700421</t>
  </si>
  <si>
    <t>krivo izdan račun</t>
  </si>
  <si>
    <t>Prodao</t>
  </si>
  <si>
    <t xml:space="preserve">DATUM </t>
  </si>
  <si>
    <t>BANKA</t>
  </si>
  <si>
    <t>xxx</t>
  </si>
  <si>
    <t>KARAJBIC NIJAZ</t>
  </si>
  <si>
    <t xml:space="preserve">JADRANKA KEVELJ </t>
  </si>
  <si>
    <t xml:space="preserve">BEGIC BEHRIJA </t>
  </si>
  <si>
    <t>RULJIC MIRSAD</t>
  </si>
  <si>
    <t>TUNJIC ANA</t>
  </si>
  <si>
    <t xml:space="preserve">GLIBANOVIC FERID </t>
  </si>
  <si>
    <t>Tim</t>
  </si>
  <si>
    <t>Pon. PP</t>
  </si>
  <si>
    <t>Gostiju</t>
  </si>
  <si>
    <t>Uto PP</t>
  </si>
  <si>
    <t>Srijeda</t>
  </si>
  <si>
    <t>Srijeda PP</t>
  </si>
  <si>
    <t>Čet. PP</t>
  </si>
  <si>
    <t>Pet.PP</t>
  </si>
  <si>
    <t>Subota</t>
  </si>
  <si>
    <t>Ponedeljak</t>
  </si>
  <si>
    <t>Utorak</t>
  </si>
  <si>
    <t>Četvrtak</t>
  </si>
  <si>
    <t>Petak</t>
  </si>
  <si>
    <t>Sub. PP</t>
  </si>
  <si>
    <t>Ukupno :</t>
  </si>
  <si>
    <t>Navedi timovi koji rade</t>
  </si>
  <si>
    <t>Položenu u</t>
  </si>
  <si>
    <t>OSTALO PRIJE PUNJENJA OD PROŠLOG TJEDAN</t>
  </si>
  <si>
    <t>Petar</t>
  </si>
  <si>
    <t>Koviljko</t>
  </si>
  <si>
    <t>Senada</t>
  </si>
  <si>
    <t>Dugi tjedan gosti:</t>
  </si>
  <si>
    <t>Jadranka</t>
  </si>
  <si>
    <t>Unosite samo bijela polja</t>
  </si>
  <si>
    <t>Banke s kojima radimo</t>
  </si>
  <si>
    <t>800498</t>
  </si>
  <si>
    <t>800416</t>
  </si>
  <si>
    <t>800453</t>
  </si>
  <si>
    <t>700528</t>
  </si>
  <si>
    <t>700522</t>
  </si>
  <si>
    <t>700519</t>
  </si>
  <si>
    <t>700514</t>
  </si>
  <si>
    <t>700599</t>
  </si>
  <si>
    <t>700597</t>
  </si>
  <si>
    <t>700399</t>
  </si>
  <si>
    <t>700576</t>
  </si>
  <si>
    <t>Navedi vozače</t>
  </si>
  <si>
    <t xml:space="preserve">NAIDA SELIMOVIC-ADMIR </t>
  </si>
  <si>
    <t>PROMET</t>
  </si>
  <si>
    <t>GOTOVINA</t>
  </si>
  <si>
    <t>Otpis :</t>
  </si>
  <si>
    <t>Dugi tjedan</t>
  </si>
  <si>
    <t>Kratki tjedan</t>
  </si>
  <si>
    <t>TJEDAN</t>
  </si>
  <si>
    <t xml:space="preserve"> POLOŽENO U BANKU : </t>
  </si>
  <si>
    <t>TABLICA POLOZI / PAZAR KEŠ od prošlog tjedna</t>
  </si>
  <si>
    <t>T11</t>
  </si>
  <si>
    <t>T09</t>
  </si>
  <si>
    <t>Zoran</t>
  </si>
  <si>
    <t>Muhamed</t>
  </si>
  <si>
    <t>Zijad</t>
  </si>
  <si>
    <t>Igor</t>
  </si>
  <si>
    <t>T06</t>
  </si>
  <si>
    <t>Albina</t>
  </si>
  <si>
    <t>TIM</t>
  </si>
  <si>
    <t>Položeno</t>
  </si>
  <si>
    <t>Treba položiti</t>
  </si>
  <si>
    <t>RASIM MUŠIĆ (NF 12 rata)</t>
  </si>
  <si>
    <t>KARAJBIC NIJAZ (NF 12 rata)</t>
  </si>
  <si>
    <t>KASUMOVIĆ ZIHNIJA MKD (30rata)320454</t>
  </si>
  <si>
    <t>PRODANO / PODIJELITO PO TJEDNIMA</t>
  </si>
  <si>
    <t>Predavač DONIO</t>
  </si>
  <si>
    <t>Navedi poklon</t>
  </si>
  <si>
    <t>Dijelimo komada</t>
  </si>
  <si>
    <t>Tablica poklona</t>
  </si>
  <si>
    <t>Q10</t>
  </si>
  <si>
    <t>B.parova</t>
  </si>
  <si>
    <t xml:space="preserve">Poklon II : </t>
  </si>
  <si>
    <t xml:space="preserve">Poklon I : </t>
  </si>
  <si>
    <t xml:space="preserve">Poklon III : </t>
  </si>
  <si>
    <t>Kosmo</t>
  </si>
  <si>
    <t>Nož</t>
  </si>
  <si>
    <t>Tim:</t>
  </si>
  <si>
    <t xml:space="preserve">TIM </t>
  </si>
  <si>
    <t>UKUPNO</t>
  </si>
  <si>
    <t>Navedi asistente i proda-vače</t>
  </si>
  <si>
    <t>Po timovima prodano</t>
  </si>
  <si>
    <t>UKUPNO ostalo:</t>
  </si>
  <si>
    <t>Tjedan:</t>
  </si>
  <si>
    <t>TABLICA potrošnje</t>
  </si>
  <si>
    <t xml:space="preserve">Ukupno: </t>
  </si>
  <si>
    <t>Došlo</t>
  </si>
  <si>
    <t>Prezentacije</t>
  </si>
  <si>
    <t>KREMA</t>
  </si>
  <si>
    <t xml:space="preserve">Kratki tjedan gosti : </t>
  </si>
  <si>
    <t xml:space="preserve">Poklon IV : </t>
  </si>
  <si>
    <t>Bubrežnjak</t>
  </si>
  <si>
    <t>Osobama kojima je dijelito komada/setova</t>
  </si>
  <si>
    <t>Žiralno</t>
  </si>
  <si>
    <t>POS KENT kartica</t>
  </si>
  <si>
    <t>POS PBZ kartica</t>
  </si>
  <si>
    <t>Kredit na rate PBZ</t>
  </si>
  <si>
    <t>FINA</t>
  </si>
  <si>
    <t>KENT Bank</t>
  </si>
  <si>
    <t>Žiralno / Ostalo</t>
  </si>
  <si>
    <t>Vrsta Kartice</t>
  </si>
  <si>
    <t>POS OTP</t>
  </si>
  <si>
    <t>Žiralno na rate</t>
  </si>
  <si>
    <t>TABLICA PROMETA DUGII TJEDAN</t>
  </si>
  <si>
    <t>Vozač</t>
  </si>
  <si>
    <t>INTEREUROPA</t>
  </si>
  <si>
    <t>Home plus d.o.o.</t>
  </si>
  <si>
    <t>TABLICA POLOZI/UTROŠKA VITAL GROUP D.O.O.</t>
  </si>
  <si>
    <t>UKUPNO VG:</t>
  </si>
  <si>
    <t xml:space="preserve">UKUPNO HP: </t>
  </si>
  <si>
    <t>UKUPNO VG+HP:</t>
  </si>
  <si>
    <t>UKUPNO HP</t>
  </si>
  <si>
    <t>Tjedan</t>
  </si>
  <si>
    <t>TIM:</t>
  </si>
  <si>
    <t>235/01/1</t>
  </si>
  <si>
    <t>236/01/1</t>
  </si>
  <si>
    <t>237/01/1</t>
  </si>
  <si>
    <t>238/01/1</t>
  </si>
  <si>
    <t>239/01/1</t>
  </si>
  <si>
    <t>240/01/1</t>
  </si>
  <si>
    <t>241/01/1</t>
  </si>
  <si>
    <t>243/01/1</t>
  </si>
  <si>
    <t>245/01/1</t>
  </si>
  <si>
    <t>246/01/1</t>
  </si>
  <si>
    <t>247/01/1</t>
  </si>
  <si>
    <t>244/01/1</t>
  </si>
  <si>
    <t>248/01/1</t>
  </si>
  <si>
    <t>249/01/1</t>
  </si>
  <si>
    <t>250/01/1</t>
  </si>
  <si>
    <t>251/01/1</t>
  </si>
  <si>
    <t>252/01/1</t>
  </si>
  <si>
    <t>storno 241/01/1</t>
  </si>
  <si>
    <t>DELIĆ AZIJADA</t>
  </si>
  <si>
    <t>RASIM MUŠIĆ</t>
  </si>
  <si>
    <t>KASUMOVIĆ ZIHNIJA</t>
  </si>
  <si>
    <t>RULJIC ZIJADA</t>
  </si>
  <si>
    <t>DOMINKO VAREŠIĆ</t>
  </si>
  <si>
    <t>STORNO 247/01/1</t>
  </si>
  <si>
    <t>STORNO 239/01/1</t>
  </si>
  <si>
    <t>TRUMIC DURIJA</t>
  </si>
  <si>
    <t>TEL</t>
  </si>
  <si>
    <t>tjedan</t>
  </si>
  <si>
    <t>VISA</t>
  </si>
  <si>
    <t>MAESTRO</t>
  </si>
  <si>
    <t>MASTERCARD</t>
  </si>
  <si>
    <t>DINERS</t>
  </si>
  <si>
    <t>OTP Bank</t>
  </si>
  <si>
    <t>VISA PREMIU</t>
  </si>
  <si>
    <t>TABLICA PROMETA DUGI TJEDAN</t>
  </si>
  <si>
    <t>IP</t>
  </si>
  <si>
    <t>Gost</t>
  </si>
  <si>
    <t>Podijelito  komada</t>
  </si>
  <si>
    <t>prodajne cijene HR</t>
  </si>
  <si>
    <t>popust</t>
  </si>
  <si>
    <t>maloprodajna cijena</t>
  </si>
  <si>
    <t>artikl / paket</t>
  </si>
  <si>
    <t>neto</t>
  </si>
  <si>
    <t>PDV</t>
  </si>
  <si>
    <t>neto +PDV</t>
  </si>
  <si>
    <t>LMS+TO+IP</t>
  </si>
  <si>
    <t>LMS+TO</t>
  </si>
  <si>
    <t>LMS+TO   gotovina</t>
  </si>
  <si>
    <t>LMS+IP</t>
  </si>
  <si>
    <t>TO+IP</t>
  </si>
  <si>
    <t>LMS+IP gotovina</t>
  </si>
  <si>
    <t>TO+IP gotovina</t>
  </si>
  <si>
    <t>LMS gotovina</t>
  </si>
  <si>
    <t>TO gotovina</t>
  </si>
  <si>
    <t>IP gotovina</t>
  </si>
  <si>
    <t xml:space="preserve">2IP </t>
  </si>
  <si>
    <t>2IP gotovina</t>
  </si>
  <si>
    <t>254</t>
  </si>
  <si>
    <t>JADRANKA KRUŠIĆ (6 rata)</t>
  </si>
  <si>
    <t>JADRANKA KEVELJ (6 rata)</t>
  </si>
  <si>
    <t>BEGIC BEHRIJA (6 rata)</t>
  </si>
  <si>
    <t>KARAJBIC SUAD (NF 12 rata)</t>
  </si>
  <si>
    <t>Učešće na firmu</t>
  </si>
  <si>
    <t>Iznos jedne rate</t>
  </si>
  <si>
    <t>Šifra proizvoda</t>
  </si>
  <si>
    <t>Službeni cjenik</t>
  </si>
  <si>
    <t>U EUR</t>
  </si>
  <si>
    <t>iznos potreban kod popusta za kasu</t>
  </si>
  <si>
    <t>Dio na rate (6 rata)</t>
  </si>
  <si>
    <t>prodajna cijena</t>
  </si>
  <si>
    <t>VISA revolving</t>
  </si>
  <si>
    <t>popust bez PDV (onaj koji kucate)</t>
  </si>
  <si>
    <t>EMS</t>
  </si>
  <si>
    <t>Test</t>
  </si>
  <si>
    <t>MEDEM d.o.o.</t>
  </si>
  <si>
    <t>Medem d.o.o.</t>
  </si>
  <si>
    <t>verzija 7/2026</t>
  </si>
  <si>
    <t>POS TEYA kartica</t>
  </si>
  <si>
    <t>UKUPNO MEDEM:</t>
  </si>
  <si>
    <t>DEFAULT</t>
  </si>
  <si>
    <t>T24</t>
  </si>
  <si>
    <t>/1</t>
  </si>
  <si>
    <t>UKUPNO MEDEM+HP:</t>
  </si>
  <si>
    <t xml:space="preserve">UKUPNO: </t>
  </si>
  <si>
    <t>Žiralno STORNO</t>
  </si>
  <si>
    <t>Žiralno storno</t>
  </si>
  <si>
    <t>/05</t>
  </si>
  <si>
    <t>Cjenik od 1.7.2026</t>
  </si>
  <si>
    <t xml:space="preserve">Šifra proizvoda </t>
  </si>
  <si>
    <t xml:space="preserve">LMS+TO+IP gotovina </t>
  </si>
  <si>
    <t>(fotelja+suđe)</t>
  </si>
  <si>
    <t>(fotelja+suđe+indukcijska ploća za gotovinu)</t>
  </si>
  <si>
    <t>(fotelja+suđe+indukcijska ploća)</t>
  </si>
  <si>
    <t>(fotelja+suđe za gotovinu)</t>
  </si>
  <si>
    <t>(fotelja+indukcijska ploća)</t>
  </si>
  <si>
    <t>(fotelja+indukcijska ploća za gotovinu)</t>
  </si>
  <si>
    <t>(suđe+indukcijska ploća)</t>
  </si>
  <si>
    <t>(suđe+indukcijska ploća za gotovinu)</t>
  </si>
  <si>
    <t>(fotelja)</t>
  </si>
  <si>
    <t>(fotelja za gotovinu)</t>
  </si>
  <si>
    <t>(suđe)</t>
  </si>
  <si>
    <t>(suđe za gotovinu)</t>
  </si>
  <si>
    <t>(indukcijska ploća)</t>
  </si>
  <si>
    <t>(indukcijska ploća za gotovinu)</t>
  </si>
  <si>
    <t>(paket 2 komada indukcijska ploća)</t>
  </si>
  <si>
    <t>(paket 2 komada indukcijska ploća za gotovinu)</t>
  </si>
  <si>
    <t>HOME PLUS d.o.o. na rate</t>
  </si>
  <si>
    <t xml:space="preserve">TIM: </t>
  </si>
  <si>
    <t>Navedi asistente i prodavače</t>
  </si>
  <si>
    <t>T13</t>
  </si>
  <si>
    <t>/T21</t>
  </si>
  <si>
    <t>/T13</t>
  </si>
  <si>
    <t>/6</t>
  </si>
  <si>
    <t>KASA medem xx/XX7xx</t>
  </si>
  <si>
    <t>KASA medem xx/xx/XX</t>
  </si>
  <si>
    <t>KASA HP xx/XX/xx:</t>
  </si>
  <si>
    <t>KASA HP xx/xx/XX:</t>
  </si>
  <si>
    <t>T21</t>
  </si>
  <si>
    <t>Kartice</t>
  </si>
  <si>
    <t xml:space="preserve">OSTALO JE ZA POLOŽITI UTROŠAK: </t>
  </si>
  <si>
    <t>TABLICA POLOZI / UTROŠKA MEDEM D.O.O.</t>
  </si>
  <si>
    <t>TABLICA POLOZI / UTROŠKA HOME PLUS D.O.O.</t>
  </si>
  <si>
    <t>Polože-no u:</t>
  </si>
  <si>
    <t>Položeno u</t>
  </si>
  <si>
    <t>Navedite timove</t>
  </si>
  <si>
    <t>datum se unosi uvijek za npr. 15.06 na načni: 15/6 ili 15-6</t>
  </si>
  <si>
    <t>Provjera licence</t>
  </si>
  <si>
    <t>Licenca vrijedi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</si>
</sst>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* #,##0.00\ &quot;kn&quot;_-;\-* #,##0.00\ &quot;kn&quot;_-;_-* &quot;-&quot;??\ &quot;kn&quot;_-;_-@_-"/>
    <numFmt numFmtId="164" formatCode="#,##0.00\ &quot;€&quot;;[Red]\-#,##0.00\ &quot;€&quot;"/>
    <numFmt numFmtId="165" formatCode="#,##0.00_ ;\-#,##0.00\ "/>
    <numFmt numFmtId="166" formatCode="#,##0.00_ ;[Red]\-#,##0.00\ "/>
    <numFmt numFmtId="167" formatCode="dd/mm/yy/;@"/>
    <numFmt numFmtId="168" formatCode="0.00_ ;[Red]\-0.00\ "/>
    <numFmt numFmtId="169" formatCode="d/m/;@"/>
    <numFmt numFmtId="170" formatCode="_-* #,##0.00\ [$kn-41A]_-;\-* #,##0.00\ [$kn-41A]_-;_-* &quot;-&quot;??\ [$kn-41A]_-;_-@_-"/>
    <numFmt numFmtId="171" formatCode="_-* #,##0.00\ [$€-1]_-;\-* #,##0.00\ [$€-1]_-;_-* &quot;-&quot;??\ [$€-1]_-;_-@_-"/>
    <numFmt numFmtId="172" formatCode="#,##0.00\ [$€-1];[Red]\-#,##0.00\ [$€-1]"/>
    <numFmt numFmtId="173" formatCode="#,##0.00\ &quot;€&quot;"/>
    <numFmt numFmtId="174" formatCode="#,##0.00\ [$€-41A]"/>
  </numFmts>
  <fonts count="48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sz val="8"/>
      <color indexed="63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0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FF0000"/>
      <name val="Arial"/>
      <family val="2"/>
      <charset val="238"/>
    </font>
    <font>
      <sz val="25"/>
      <color theme="1"/>
      <name val="Colonna MT"/>
      <family val="5"/>
    </font>
    <font>
      <b/>
      <sz val="16"/>
      <color rgb="FFFF0000"/>
      <name val="Arial"/>
      <family val="2"/>
      <charset val="238"/>
    </font>
    <font>
      <sz val="10"/>
      <name val="Arial"/>
      <family val="2"/>
      <charset val="238"/>
    </font>
    <font>
      <b/>
      <sz val="20"/>
      <color rgb="FFFF0000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name val="Arial"/>
      <family val="2"/>
      <charset val="238"/>
    </font>
    <font>
      <sz val="16"/>
      <name val="Arial"/>
      <family val="2"/>
      <charset val="238"/>
    </font>
    <font>
      <b/>
      <sz val="16"/>
      <name val="Arial"/>
      <family val="2"/>
      <charset val="238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b/>
      <sz val="7"/>
      <color rgb="FFFF0000"/>
      <name val="Arial"/>
      <family val="2"/>
    </font>
    <font>
      <sz val="7"/>
      <color rgb="FFFF0000"/>
      <name val="Arial"/>
      <family val="2"/>
    </font>
    <font>
      <sz val="7"/>
      <color rgb="FFED0000"/>
      <name val="Arial"/>
      <family val="2"/>
    </font>
    <font>
      <b/>
      <sz val="9"/>
      <color rgb="FFED0000"/>
      <name val="Arial"/>
      <family val="2"/>
    </font>
    <font>
      <sz val="10"/>
      <color rgb="FFED0000"/>
      <name val="Arial"/>
      <family val="2"/>
    </font>
    <font>
      <b/>
      <sz val="11"/>
      <color rgb="FFED0000"/>
      <name val="Arial"/>
      <family val="2"/>
    </font>
    <font>
      <b/>
      <sz val="10"/>
      <color rgb="FFFF0000"/>
      <name val="Arial"/>
      <family val="2"/>
    </font>
    <font>
      <u/>
      <sz val="7"/>
      <name val="Arial"/>
      <family val="2"/>
    </font>
    <font>
      <b/>
      <sz val="22"/>
      <color rgb="FFED0000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1384">
    <xf numFmtId="0" fontId="0" fillId="0" borderId="0" xfId="0"/>
    <xf numFmtId="0" fontId="0" fillId="2" borderId="0" xfId="0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2" fillId="2" borderId="8" xfId="0" applyNumberFormat="1" applyFont="1" applyFill="1" applyBorder="1" applyAlignment="1">
      <alignment horizontal="center" vertical="center" shrinkToFit="1"/>
    </xf>
    <xf numFmtId="3" fontId="5" fillId="2" borderId="9" xfId="0" applyNumberFormat="1" applyFont="1" applyFill="1" applyBorder="1" applyAlignment="1">
      <alignment horizontal="center" vertical="center" shrinkToFit="1"/>
    </xf>
    <xf numFmtId="3" fontId="7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2" fillId="3" borderId="12" xfId="0" applyFont="1" applyFill="1" applyBorder="1" applyAlignment="1">
      <alignment horizontal="center" vertical="center"/>
    </xf>
    <xf numFmtId="3" fontId="1" fillId="3" borderId="12" xfId="0" applyNumberFormat="1" applyFont="1" applyFill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14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2" borderId="9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 applyProtection="1">
      <alignment horizontal="center" vertical="center"/>
      <protection locked="0"/>
    </xf>
    <xf numFmtId="3" fontId="6" fillId="2" borderId="12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3" fontId="1" fillId="2" borderId="13" xfId="0" applyNumberFormat="1" applyFont="1" applyFill="1" applyBorder="1" applyAlignment="1" applyProtection="1">
      <alignment horizontal="center" vertical="center"/>
      <protection locked="0"/>
    </xf>
    <xf numFmtId="3" fontId="1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shrinkToFit="1"/>
    </xf>
    <xf numFmtId="0" fontId="12" fillId="2" borderId="0" xfId="0" applyFont="1" applyFill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/>
      <protection locked="0"/>
    </xf>
    <xf numFmtId="3" fontId="1" fillId="2" borderId="3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3" fontId="0" fillId="0" borderId="0" xfId="0" quotePrefix="1" applyNumberFormat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10" xfId="0" quotePrefix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3" fontId="0" fillId="2" borderId="8" xfId="0" applyNumberFormat="1" applyFill="1" applyBorder="1" applyAlignment="1" applyProtection="1">
      <alignment horizontal="center" vertical="center"/>
      <protection locked="0"/>
    </xf>
    <xf numFmtId="3" fontId="14" fillId="2" borderId="1" xfId="0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0" fillId="2" borderId="7" xfId="0" applyNumberFormat="1" applyFill="1" applyBorder="1" applyAlignment="1" applyProtection="1">
      <alignment horizontal="center" vertical="center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2" xfId="0" applyNumberFormat="1" applyFont="1" applyFill="1" applyBorder="1" applyAlignment="1">
      <alignment horizontal="center" vertical="center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2" fillId="3" borderId="18" xfId="0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1" fontId="1" fillId="2" borderId="8" xfId="0" applyNumberFormat="1" applyFont="1" applyFill="1" applyBorder="1" applyAlignment="1" applyProtection="1">
      <alignment horizontal="center" vertical="center"/>
      <protection locked="0"/>
    </xf>
    <xf numFmtId="1" fontId="1" fillId="2" borderId="10" xfId="0" applyNumberFormat="1" applyFont="1" applyFill="1" applyBorder="1" applyAlignment="1" applyProtection="1">
      <alignment horizontal="center" vertical="center"/>
      <protection locked="0"/>
    </xf>
    <xf numFmtId="1" fontId="1" fillId="2" borderId="23" xfId="0" applyNumberFormat="1" applyFont="1" applyFill="1" applyBorder="1" applyAlignment="1" applyProtection="1">
      <alignment horizontal="center" vertical="center"/>
      <protection locked="0"/>
    </xf>
    <xf numFmtId="1" fontId="1" fillId="2" borderId="17" xfId="0" applyNumberFormat="1" applyFont="1" applyFill="1" applyBorder="1" applyAlignment="1" applyProtection="1">
      <alignment horizontal="center" vertical="center"/>
      <protection locked="0"/>
    </xf>
    <xf numFmtId="1" fontId="0" fillId="2" borderId="17" xfId="0" applyNumberFormat="1" applyFill="1" applyBorder="1" applyAlignment="1" applyProtection="1">
      <alignment horizontal="center" vertical="center"/>
      <protection locked="0"/>
    </xf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15" fillId="2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8" xfId="0" applyNumberFormat="1" applyFont="1" applyFill="1" applyBorder="1" applyAlignment="1" applyProtection="1">
      <alignment horizontal="center" vertical="center"/>
      <protection locked="0"/>
    </xf>
    <xf numFmtId="3" fontId="1" fillId="4" borderId="9" xfId="0" applyNumberFormat="1" applyFont="1" applyFill="1" applyBorder="1" applyAlignment="1">
      <alignment horizontal="center" vertical="center"/>
    </xf>
    <xf numFmtId="3" fontId="11" fillId="2" borderId="3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8" fillId="3" borderId="43" xfId="0" applyNumberFormat="1" applyFont="1" applyFill="1" applyBorder="1" applyAlignment="1">
      <alignment horizontal="center" vertical="center"/>
    </xf>
    <xf numFmtId="3" fontId="6" fillId="2" borderId="4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7" xfId="0" applyNumberFormat="1" applyFont="1" applyFill="1" applyBorder="1" applyAlignment="1">
      <alignment horizontal="center" vertical="center"/>
    </xf>
    <xf numFmtId="3" fontId="11" fillId="2" borderId="12" xfId="0" applyNumberFormat="1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0" fontId="11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2" borderId="10" xfId="0" applyFont="1" applyFill="1" applyBorder="1" applyAlignment="1" applyProtection="1">
      <alignment vertical="center"/>
      <protection locked="0"/>
    </xf>
    <xf numFmtId="0" fontId="16" fillId="2" borderId="0" xfId="0" applyFont="1" applyFill="1" applyAlignment="1">
      <alignment vertical="center"/>
    </xf>
    <xf numFmtId="14" fontId="6" fillId="2" borderId="10" xfId="0" applyNumberFormat="1" applyFont="1" applyFill="1" applyBorder="1" applyAlignment="1" applyProtection="1">
      <alignment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right" vertical="center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1" fontId="1" fillId="4" borderId="10" xfId="0" applyNumberFormat="1" applyFont="1" applyFill="1" applyBorder="1" applyAlignment="1" applyProtection="1">
      <alignment horizontal="center" vertical="center"/>
      <protection locked="0"/>
    </xf>
    <xf numFmtId="1" fontId="1" fillId="4" borderId="17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2" fillId="3" borderId="45" xfId="0" applyFont="1" applyFill="1" applyBorder="1" applyAlignment="1">
      <alignment horizontal="center" vertical="center" wrapText="1"/>
    </xf>
    <xf numFmtId="3" fontId="3" fillId="2" borderId="41" xfId="0" applyNumberFormat="1" applyFont="1" applyFill="1" applyBorder="1" applyAlignment="1">
      <alignment horizontal="center" vertical="center" shrinkToFit="1"/>
    </xf>
    <xf numFmtId="3" fontId="3" fillId="2" borderId="46" xfId="0" applyNumberFormat="1" applyFont="1" applyFill="1" applyBorder="1" applyAlignment="1">
      <alignment horizontal="center" vertical="center" shrinkToFit="1"/>
    </xf>
    <xf numFmtId="3" fontId="12" fillId="2" borderId="3" xfId="0" applyNumberFormat="1" applyFont="1" applyFill="1" applyBorder="1" applyAlignment="1">
      <alignment horizontal="center" vertical="center" shrinkToFit="1"/>
    </xf>
    <xf numFmtId="3" fontId="12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3" fillId="2" borderId="14" xfId="0" applyNumberFormat="1" applyFont="1" applyFill="1" applyBorder="1" applyAlignment="1">
      <alignment horizontal="center" vertical="center" shrinkToFit="1"/>
    </xf>
    <xf numFmtId="3" fontId="6" fillId="2" borderId="0" xfId="0" applyNumberFormat="1" applyFont="1" applyFill="1" applyAlignment="1" applyProtection="1">
      <alignment vertical="center"/>
      <protection locked="0"/>
    </xf>
    <xf numFmtId="0" fontId="0" fillId="2" borderId="0" xfId="0" applyFill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3" fontId="1" fillId="0" borderId="7" xfId="0" applyNumberFormat="1" applyFont="1" applyBorder="1" applyAlignment="1" applyProtection="1">
      <alignment horizontal="center" vertical="center"/>
      <protection locked="0"/>
    </xf>
    <xf numFmtId="3" fontId="1" fillId="0" borderId="8" xfId="0" applyNumberFormat="1" applyFont="1" applyBorder="1" applyAlignment="1" applyProtection="1">
      <alignment horizontal="center" vertical="center"/>
      <protection locked="0"/>
    </xf>
    <xf numFmtId="3" fontId="1" fillId="0" borderId="9" xfId="0" applyNumberFormat="1" applyFont="1" applyBorder="1" applyAlignment="1">
      <alignment horizontal="center" vertical="center"/>
    </xf>
    <xf numFmtId="14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14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4" fontId="0" fillId="2" borderId="9" xfId="0" applyNumberFormat="1" applyFill="1" applyBorder="1" applyAlignment="1" applyProtection="1">
      <alignment horizontal="center" vertical="center" shrinkToFit="1"/>
      <protection locked="0"/>
    </xf>
    <xf numFmtId="4" fontId="1" fillId="2" borderId="11" xfId="0" applyNumberFormat="1" applyFont="1" applyFill="1" applyBorder="1" applyAlignment="1" applyProtection="1">
      <alignment horizontal="center" vertical="center"/>
      <protection locked="0"/>
    </xf>
    <xf numFmtId="4" fontId="0" fillId="2" borderId="32" xfId="0" applyNumberFormat="1" applyFill="1" applyBorder="1" applyAlignment="1" applyProtection="1">
      <alignment horizontal="center" vertical="center" shrinkToFit="1"/>
      <protection locked="0"/>
    </xf>
    <xf numFmtId="4" fontId="1" fillId="2" borderId="19" xfId="0" applyNumberFormat="1" applyFont="1" applyFill="1" applyBorder="1" applyAlignment="1" applyProtection="1">
      <alignment horizontal="center" vertical="center"/>
      <protection locked="0"/>
    </xf>
    <xf numFmtId="4" fontId="1" fillId="2" borderId="32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9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14" xfId="0" applyNumberFormat="1" applyFont="1" applyFill="1" applyBorder="1" applyAlignment="1" applyProtection="1">
      <alignment horizontal="center" vertical="center" shrinkToFit="1"/>
      <protection locked="0"/>
    </xf>
    <xf numFmtId="4" fontId="1" fillId="2" borderId="22" xfId="0" applyNumberFormat="1" applyFont="1" applyFill="1" applyBorder="1" applyAlignment="1" applyProtection="1">
      <alignment horizontal="center" vertical="center"/>
      <protection locked="0"/>
    </xf>
    <xf numFmtId="1" fontId="1" fillId="2" borderId="47" xfId="0" applyNumberFormat="1" applyFont="1" applyFill="1" applyBorder="1" applyAlignment="1" applyProtection="1">
      <alignment horizontal="center" vertical="center"/>
      <protection locked="0"/>
    </xf>
    <xf numFmtId="1" fontId="1" fillId="4" borderId="47" xfId="0" applyNumberFormat="1" applyFont="1" applyFill="1" applyBorder="1" applyAlignment="1" applyProtection="1">
      <alignment horizontal="center" vertical="center"/>
      <protection locked="0"/>
    </xf>
    <xf numFmtId="0" fontId="1" fillId="2" borderId="47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 applyAlignment="1">
      <alignment horizontal="center" vertical="center"/>
    </xf>
    <xf numFmtId="3" fontId="1" fillId="2" borderId="43" xfId="0" applyNumberFormat="1" applyFont="1" applyFill="1" applyBorder="1" applyAlignment="1" applyProtection="1">
      <alignment horizontal="center" vertical="center"/>
      <protection locked="0"/>
    </xf>
    <xf numFmtId="3" fontId="1" fillId="2" borderId="47" xfId="0" applyNumberFormat="1" applyFont="1" applyFill="1" applyBorder="1" applyAlignment="1" applyProtection="1">
      <alignment horizontal="center" vertical="center"/>
      <protection locked="0"/>
    </xf>
    <xf numFmtId="3" fontId="1" fillId="2" borderId="48" xfId="0" applyNumberFormat="1" applyFont="1" applyFill="1" applyBorder="1" applyAlignment="1">
      <alignment horizontal="center" vertical="center"/>
    </xf>
    <xf numFmtId="3" fontId="6" fillId="2" borderId="43" xfId="0" applyNumberFormat="1" applyFont="1" applyFill="1" applyBorder="1" applyAlignment="1">
      <alignment horizontal="center" vertical="center"/>
    </xf>
    <xf numFmtId="49" fontId="0" fillId="2" borderId="10" xfId="0" applyNumberFormat="1" applyFill="1" applyBorder="1" applyAlignment="1" applyProtection="1">
      <alignment horizontal="center" vertical="center" shrinkToFit="1"/>
      <protection locked="0"/>
    </xf>
    <xf numFmtId="49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left" vertical="center"/>
    </xf>
    <xf numFmtId="167" fontId="31" fillId="2" borderId="2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0" borderId="10" xfId="0" applyFont="1" applyBorder="1" applyAlignment="1" applyProtection="1">
      <alignment horizontal="center" vertical="center" shrinkToFit="1"/>
      <protection locked="0"/>
    </xf>
    <xf numFmtId="49" fontId="31" fillId="0" borderId="10" xfId="0" applyNumberFormat="1" applyFont="1" applyBorder="1" applyAlignment="1" applyProtection="1">
      <alignment horizontal="left" vertical="center" shrinkToFit="1"/>
      <protection locked="0"/>
    </xf>
    <xf numFmtId="0" fontId="31" fillId="0" borderId="17" xfId="0" applyFont="1" applyBorder="1" applyAlignment="1" applyProtection="1">
      <alignment horizontal="center" vertical="center" shrinkToFit="1"/>
      <protection locked="0"/>
    </xf>
    <xf numFmtId="0" fontId="31" fillId="2" borderId="17" xfId="0" applyFont="1" applyFill="1" applyBorder="1" applyAlignment="1" applyProtection="1">
      <alignment horizontal="center" vertical="center" shrinkToFit="1"/>
      <protection locked="0"/>
    </xf>
    <xf numFmtId="0" fontId="31" fillId="2" borderId="19" xfId="0" applyFont="1" applyFill="1" applyBorder="1" applyAlignment="1" applyProtection="1">
      <alignment horizontal="center" vertical="center" shrinkToFit="1"/>
      <protection locked="0"/>
    </xf>
    <xf numFmtId="167" fontId="3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10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2" borderId="10" xfId="0" applyFont="1" applyFill="1" applyBorder="1" applyAlignment="1" applyProtection="1">
      <alignment horizontal="center" vertical="center" shrinkToFit="1"/>
      <protection locked="0"/>
    </xf>
    <xf numFmtId="0" fontId="31" fillId="2" borderId="11" xfId="0" applyFont="1" applyFill="1" applyBorder="1" applyAlignment="1" applyProtection="1">
      <alignment horizontal="center" vertical="center" shrinkToFit="1"/>
      <protection locked="0"/>
    </xf>
    <xf numFmtId="166" fontId="31" fillId="0" borderId="10" xfId="0" applyNumberFormat="1" applyFont="1" applyBorder="1" applyAlignment="1" applyProtection="1">
      <alignment vertical="center" shrinkToFit="1"/>
      <protection locked="0"/>
    </xf>
    <xf numFmtId="167" fontId="31" fillId="2" borderId="13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21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21" xfId="0" applyNumberFormat="1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 shrinkToFit="1"/>
      <protection locked="0"/>
    </xf>
    <xf numFmtId="0" fontId="31" fillId="2" borderId="22" xfId="0" applyFont="1" applyFill="1" applyBorder="1" applyAlignment="1" applyProtection="1">
      <alignment horizontal="center" vertical="center" shrinkToFit="1"/>
      <protection locked="0"/>
    </xf>
    <xf numFmtId="49" fontId="31" fillId="0" borderId="17" xfId="0" applyNumberFormat="1" applyFont="1" applyBorder="1" applyAlignment="1" applyProtection="1">
      <alignment horizontal="left" vertical="center" shrinkToFit="1"/>
      <protection locked="0"/>
    </xf>
    <xf numFmtId="167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34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5" xfId="0" applyNumberFormat="1" applyFont="1" applyFill="1" applyBorder="1" applyAlignment="1" applyProtection="1">
      <alignment horizontal="center" vertical="center" shrinkToFit="1"/>
      <protection locked="0"/>
    </xf>
    <xf numFmtId="49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52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52" xfId="0" applyNumberFormat="1" applyFont="1" applyBorder="1" applyAlignment="1" applyProtection="1">
      <alignment horizontal="center" vertical="center" shrinkToFit="1"/>
      <protection locked="0"/>
    </xf>
    <xf numFmtId="0" fontId="31" fillId="0" borderId="52" xfId="0" applyFont="1" applyBorder="1" applyAlignment="1" applyProtection="1">
      <alignment horizontal="center" vertical="center" shrinkToFit="1"/>
      <protection locked="0"/>
    </xf>
    <xf numFmtId="49" fontId="31" fillId="0" borderId="52" xfId="0" applyNumberFormat="1" applyFont="1" applyBorder="1" applyAlignment="1" applyProtection="1">
      <alignment horizontal="left" vertical="center" shrinkToFit="1"/>
      <protection locked="0"/>
    </xf>
    <xf numFmtId="0" fontId="31" fillId="2" borderId="26" xfId="0" applyFont="1" applyFill="1" applyBorder="1" applyAlignment="1" applyProtection="1">
      <alignment horizontal="center" vertical="center" shrinkToFit="1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 shrinkToFit="1"/>
      <protection locked="0"/>
    </xf>
    <xf numFmtId="0" fontId="31" fillId="0" borderId="21" xfId="0" applyFont="1" applyBorder="1" applyAlignment="1" applyProtection="1">
      <alignment horizontal="center" vertical="center"/>
      <protection locked="0"/>
    </xf>
    <xf numFmtId="0" fontId="31" fillId="0" borderId="22" xfId="0" applyFont="1" applyBorder="1" applyAlignment="1" applyProtection="1">
      <alignment horizontal="center" vertical="center" shrinkToFit="1"/>
      <protection locked="0"/>
    </xf>
    <xf numFmtId="0" fontId="31" fillId="0" borderId="44" xfId="0" applyFont="1" applyBorder="1" applyAlignment="1" applyProtection="1">
      <alignment horizontal="center" vertical="center" shrinkToFit="1"/>
      <protection locked="0"/>
    </xf>
    <xf numFmtId="0" fontId="31" fillId="0" borderId="7" xfId="0" applyFont="1" applyBorder="1" applyAlignment="1" applyProtection="1">
      <alignment horizontal="center" vertical="center" shrinkToFit="1"/>
      <protection locked="0"/>
    </xf>
    <xf numFmtId="169" fontId="31" fillId="0" borderId="42" xfId="0" applyNumberFormat="1" applyFont="1" applyBorder="1" applyAlignment="1" applyProtection="1">
      <alignment vertical="center" shrinkToFit="1"/>
      <protection locked="0"/>
    </xf>
    <xf numFmtId="14" fontId="31" fillId="0" borderId="37" xfId="0" applyNumberFormat="1" applyFont="1" applyBorder="1" applyAlignment="1" applyProtection="1">
      <alignment vertical="center" shrinkToFit="1"/>
      <protection locked="0"/>
    </xf>
    <xf numFmtId="169" fontId="31" fillId="0" borderId="18" xfId="0" applyNumberFormat="1" applyFont="1" applyBorder="1" applyAlignment="1" applyProtection="1">
      <alignment vertical="center" shrinkToFit="1"/>
      <protection locked="0"/>
    </xf>
    <xf numFmtId="14" fontId="31" fillId="0" borderId="10" xfId="0" applyNumberFormat="1" applyFont="1" applyBorder="1" applyAlignment="1" applyProtection="1">
      <alignment vertical="center" shrinkToFit="1"/>
      <protection locked="0"/>
    </xf>
    <xf numFmtId="0" fontId="31" fillId="0" borderId="12" xfId="0" applyFont="1" applyBorder="1" applyAlignment="1" applyProtection="1">
      <alignment horizontal="center" vertical="center" shrinkToFit="1"/>
      <protection locked="0"/>
    </xf>
    <xf numFmtId="0" fontId="31" fillId="0" borderId="38" xfId="0" applyFont="1" applyBorder="1" applyAlignment="1" applyProtection="1">
      <alignment horizontal="center" vertical="center" shrinkToFit="1"/>
      <protection locked="0"/>
    </xf>
    <xf numFmtId="169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9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14" fontId="31" fillId="0" borderId="21" xfId="0" applyNumberFormat="1" applyFont="1" applyBorder="1" applyAlignment="1" applyProtection="1">
      <alignment vertical="center" shrinkToFit="1"/>
      <protection locked="0"/>
    </xf>
    <xf numFmtId="0" fontId="31" fillId="0" borderId="22" xfId="0" applyFont="1" applyBorder="1" applyAlignment="1" applyProtection="1">
      <alignment horizontal="center" vertical="center"/>
      <protection locked="0"/>
    </xf>
    <xf numFmtId="0" fontId="32" fillId="5" borderId="65" xfId="0" applyFont="1" applyFill="1" applyBorder="1" applyAlignment="1" applyProtection="1">
      <alignment horizontal="center" vertical="center" shrinkToFit="1"/>
      <protection hidden="1"/>
    </xf>
    <xf numFmtId="0" fontId="31" fillId="10" borderId="44" xfId="0" applyFont="1" applyFill="1" applyBorder="1" applyAlignment="1" applyProtection="1">
      <alignment horizontal="center" vertical="center" shrinkToFit="1"/>
      <protection locked="0"/>
    </xf>
    <xf numFmtId="0" fontId="31" fillId="10" borderId="89" xfId="0" applyFont="1" applyFill="1" applyBorder="1" applyAlignment="1" applyProtection="1">
      <alignment horizontal="center" vertical="center" shrinkToFit="1"/>
      <protection locked="0"/>
    </xf>
    <xf numFmtId="0" fontId="31" fillId="6" borderId="1" xfId="0" applyFont="1" applyFill="1" applyBorder="1" applyAlignment="1" applyProtection="1">
      <alignment horizontal="center" vertical="center" shrinkToFit="1"/>
      <protection hidden="1"/>
    </xf>
    <xf numFmtId="0" fontId="31" fillId="6" borderId="36" xfId="0" applyFont="1" applyFill="1" applyBorder="1" applyAlignment="1" applyProtection="1">
      <alignment horizontal="center" vertical="center"/>
      <protection hidden="1"/>
    </xf>
    <xf numFmtId="167" fontId="31" fillId="6" borderId="36" xfId="0" applyNumberFormat="1" applyFont="1" applyFill="1" applyBorder="1" applyAlignment="1" applyProtection="1">
      <alignment vertical="center"/>
      <protection hidden="1"/>
    </xf>
    <xf numFmtId="0" fontId="31" fillId="6" borderId="32" xfId="0" applyFont="1" applyFill="1" applyBorder="1" applyAlignment="1" applyProtection="1">
      <alignment horizontal="right" vertical="center"/>
      <protection hidden="1"/>
    </xf>
    <xf numFmtId="166" fontId="41" fillId="0" borderId="17" xfId="0" applyNumberFormat="1" applyFont="1" applyBorder="1" applyAlignment="1" applyProtection="1">
      <alignment horizontal="center" vertical="center" shrinkToFit="1"/>
      <protection locked="0"/>
    </xf>
    <xf numFmtId="0" fontId="31" fillId="9" borderId="18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1" xfId="0" applyFont="1" applyFill="1" applyBorder="1" applyAlignment="1" applyProtection="1">
      <alignment horizontal="center" vertical="center" shrinkToFit="1"/>
      <protection hidden="1"/>
    </xf>
    <xf numFmtId="166" fontId="3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80" xfId="0" applyFont="1" applyFill="1" applyBorder="1" applyAlignment="1" applyProtection="1">
      <alignment horizontal="center" vertical="center" shrinkToFit="1"/>
      <protection hidden="1"/>
    </xf>
    <xf numFmtId="0" fontId="31" fillId="9" borderId="79" xfId="0" applyFont="1" applyFill="1" applyBorder="1" applyAlignment="1" applyProtection="1">
      <alignment horizontal="center" vertical="center" shrinkToFit="1"/>
      <protection hidden="1"/>
    </xf>
    <xf numFmtId="0" fontId="31" fillId="9" borderId="0" xfId="0" applyFont="1" applyFill="1" applyAlignment="1" applyProtection="1">
      <alignment horizontal="center" vertical="center" shrinkToFit="1"/>
      <protection hidden="1"/>
    </xf>
    <xf numFmtId="166" fontId="32" fillId="9" borderId="54" xfId="0" applyNumberFormat="1" applyFont="1" applyFill="1" applyBorder="1" applyAlignment="1" applyProtection="1">
      <alignment horizontal="center" vertical="center" shrinkToFit="1"/>
      <protection hidden="1"/>
    </xf>
    <xf numFmtId="0" fontId="32" fillId="9" borderId="54" xfId="0" applyFont="1" applyFill="1" applyBorder="1" applyAlignment="1" applyProtection="1">
      <alignment horizontal="center" vertical="center" shrinkToFit="1"/>
      <protection hidden="1"/>
    </xf>
    <xf numFmtId="0" fontId="32" fillId="9" borderId="57" xfId="0" applyFont="1" applyFill="1" applyBorder="1" applyAlignment="1" applyProtection="1">
      <alignment horizontal="center" vertical="center" shrinkToFit="1"/>
      <protection hidden="1"/>
    </xf>
    <xf numFmtId="0" fontId="31" fillId="11" borderId="18" xfId="0" applyFont="1" applyFill="1" applyBorder="1" applyAlignment="1" applyProtection="1">
      <alignment horizontal="center" vertical="center" shrinkToFit="1"/>
      <protection hidden="1"/>
    </xf>
    <xf numFmtId="166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10" xfId="0" applyFont="1" applyFill="1" applyBorder="1" applyAlignment="1" applyProtection="1">
      <alignment horizontal="center" vertical="center" shrinkToFit="1"/>
      <protection hidden="1"/>
    </xf>
    <xf numFmtId="0" fontId="31" fillId="11" borderId="11" xfId="0" applyFont="1" applyFill="1" applyBorder="1" applyAlignment="1" applyProtection="1">
      <alignment horizontal="center" vertical="center" shrinkToFit="1"/>
      <protection hidden="1"/>
    </xf>
    <xf numFmtId="166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3" fontId="31" fillId="11" borderId="80" xfId="0" applyNumberFormat="1" applyFont="1" applyFill="1" applyBorder="1" applyAlignment="1" applyProtection="1">
      <alignment horizontal="center" vertical="center" shrinkToFit="1"/>
      <protection hidden="1"/>
    </xf>
    <xf numFmtId="0" fontId="31" fillId="11" borderId="80" xfId="0" applyFont="1" applyFill="1" applyBorder="1" applyAlignment="1" applyProtection="1">
      <alignment horizontal="center" vertical="center" shrinkToFit="1"/>
      <protection hidden="1"/>
    </xf>
    <xf numFmtId="0" fontId="31" fillId="11" borderId="79" xfId="0" applyFont="1" applyFill="1" applyBorder="1" applyAlignment="1" applyProtection="1">
      <alignment horizontal="center" vertical="center" shrinkToFit="1"/>
      <protection hidden="1"/>
    </xf>
    <xf numFmtId="0" fontId="32" fillId="11" borderId="77" xfId="0" applyFont="1" applyFill="1" applyBorder="1" applyAlignment="1" applyProtection="1">
      <alignment vertical="center" shrinkToFit="1"/>
      <protection hidden="1"/>
    </xf>
    <xf numFmtId="166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11" borderId="57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73" xfId="0" applyFont="1" applyFill="1" applyBorder="1" applyAlignment="1" applyProtection="1">
      <alignment vertical="center" shrinkToFit="1"/>
      <protection hidden="1"/>
    </xf>
    <xf numFmtId="166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4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5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42" xfId="0" applyFont="1" applyFill="1" applyBorder="1" applyAlignment="1" applyProtection="1">
      <alignment horizontal="center" vertical="center" shrinkToFit="1"/>
      <protection hidden="1"/>
    </xf>
    <xf numFmtId="166" fontId="3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7" xfId="0" applyFont="1" applyFill="1" applyBorder="1" applyAlignment="1" applyProtection="1">
      <alignment horizontal="center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 shrinkToFit="1"/>
      <protection hidden="1"/>
    </xf>
    <xf numFmtId="166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10" xfId="0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 shrinkToFit="1"/>
      <protection hidden="1"/>
    </xf>
    <xf numFmtId="166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1" xfId="0" applyFont="1" applyFill="1" applyBorder="1" applyAlignment="1" applyProtection="1">
      <alignment horizontal="center" vertical="center" shrinkToFit="1"/>
      <protection hidden="1"/>
    </xf>
    <xf numFmtId="0" fontId="31" fillId="7" borderId="38" xfId="0" applyFont="1" applyFill="1" applyBorder="1" applyAlignment="1" applyProtection="1">
      <alignment horizontal="center" vertical="center" shrinkToFit="1"/>
      <protection hidden="1"/>
    </xf>
    <xf numFmtId="0" fontId="31" fillId="7" borderId="11" xfId="0" applyFont="1" applyFill="1" applyBorder="1" applyAlignment="1" applyProtection="1">
      <alignment horizontal="center" vertical="center" shrinkToFit="1"/>
      <protection hidden="1"/>
    </xf>
    <xf numFmtId="0" fontId="31" fillId="7" borderId="22" xfId="0" applyFont="1" applyFill="1" applyBorder="1" applyAlignment="1" applyProtection="1">
      <alignment horizontal="center" vertical="center" shrinkToFit="1"/>
      <protection hidden="1"/>
    </xf>
    <xf numFmtId="3" fontId="32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32" fillId="7" borderId="4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2" xfId="0" applyFont="1" applyFill="1" applyBorder="1" applyAlignment="1" applyProtection="1">
      <alignment horizontal="center" vertical="center"/>
      <protection hidden="1"/>
    </xf>
    <xf numFmtId="0" fontId="31" fillId="9" borderId="16" xfId="0" applyFont="1" applyFill="1" applyBorder="1" applyAlignment="1" applyProtection="1">
      <alignment horizontal="center" vertical="center" shrinkToFit="1"/>
      <protection hidden="1"/>
    </xf>
    <xf numFmtId="166" fontId="31" fillId="9" borderId="1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78" xfId="0" applyFont="1" applyFill="1" applyBorder="1" applyAlignment="1" applyProtection="1">
      <alignment horizontal="center" vertical="center" shrinkToFit="1"/>
      <protection hidden="1"/>
    </xf>
    <xf numFmtId="166" fontId="31" fillId="9" borderId="5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6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39" xfId="0" applyFont="1" applyFill="1" applyBorder="1" applyAlignment="1" applyProtection="1">
      <alignment horizontal="center" vertical="center" shrinkToFit="1"/>
      <protection hidden="1"/>
    </xf>
    <xf numFmtId="168" fontId="31" fillId="9" borderId="40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1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5" xfId="0" applyFont="1" applyFill="1" applyBorder="1" applyAlignment="1" applyProtection="1">
      <alignment horizontal="center" vertical="center" shrinkToFit="1"/>
      <protection hidden="1"/>
    </xf>
    <xf numFmtId="0" fontId="32" fillId="5" borderId="6" xfId="0" applyFont="1" applyFill="1" applyBorder="1" applyAlignment="1" applyProtection="1">
      <alignment horizontal="center"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 shrinkToFit="1"/>
      <protection hidden="1"/>
    </xf>
    <xf numFmtId="0" fontId="31" fillId="7" borderId="41" xfId="0" applyFont="1" applyFill="1" applyBorder="1" applyAlignment="1" applyProtection="1">
      <alignment horizontal="center" vertical="center" shrinkToFit="1"/>
      <protection hidden="1"/>
    </xf>
    <xf numFmtId="0" fontId="31" fillId="7" borderId="71" xfId="0" applyFont="1" applyFill="1" applyBorder="1" applyAlignment="1" applyProtection="1">
      <alignment horizontal="center" vertical="center" shrinkToFit="1"/>
      <protection hidden="1"/>
    </xf>
    <xf numFmtId="0" fontId="31" fillId="7" borderId="65" xfId="0" applyFont="1" applyFill="1" applyBorder="1" applyAlignment="1" applyProtection="1">
      <alignment horizontal="center" vertical="center" shrinkToFit="1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3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2" fillId="7" borderId="39" xfId="0" applyFont="1" applyFill="1" applyBorder="1" applyAlignment="1" applyProtection="1">
      <alignment vertical="center" shrinkToFit="1"/>
      <protection hidden="1"/>
    </xf>
    <xf numFmtId="166" fontId="3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32" fillId="7" borderId="40" xfId="1" applyFont="1" applyFill="1" applyBorder="1" applyAlignment="1" applyProtection="1">
      <alignment horizontal="center" vertical="center" shrinkToFit="1"/>
      <protection hidden="1"/>
    </xf>
    <xf numFmtId="166" fontId="32" fillId="6" borderId="40" xfId="0" applyNumberFormat="1" applyFont="1" applyFill="1" applyBorder="1" applyAlignment="1" applyProtection="1">
      <alignment horizontal="center" vertical="center" shrinkToFit="1"/>
      <protection hidden="1"/>
    </xf>
    <xf numFmtId="49" fontId="31" fillId="6" borderId="46" xfId="0" applyNumberFormat="1" applyFont="1" applyFill="1" applyBorder="1" applyAlignment="1" applyProtection="1">
      <alignment vertical="center" shrinkToFit="1"/>
      <protection hidden="1"/>
    </xf>
    <xf numFmtId="49" fontId="31" fillId="6" borderId="51" xfId="0" applyNumberFormat="1" applyFont="1" applyFill="1" applyBorder="1" applyAlignment="1" applyProtection="1">
      <alignment vertical="center" shrinkToFit="1"/>
      <protection hidden="1"/>
    </xf>
    <xf numFmtId="49" fontId="31" fillId="6" borderId="49" xfId="0" applyNumberFormat="1" applyFont="1" applyFill="1" applyBorder="1" applyAlignment="1" applyProtection="1">
      <alignment vertical="center" shrinkToFit="1"/>
      <protection hidden="1"/>
    </xf>
    <xf numFmtId="14" fontId="31" fillId="2" borderId="0" xfId="0" applyNumberFormat="1" applyFont="1" applyFill="1" applyAlignment="1" applyProtection="1">
      <alignment horizontal="center" vertical="center" shrinkToFit="1"/>
      <protection hidden="1"/>
    </xf>
    <xf numFmtId="14" fontId="31" fillId="2" borderId="0" xfId="0" applyNumberFormat="1" applyFont="1" applyFill="1" applyAlignment="1" applyProtection="1">
      <alignment horizontal="right" vertical="center" shrinkToFit="1"/>
      <protection hidden="1"/>
    </xf>
    <xf numFmtId="49" fontId="31" fillId="2" borderId="0" xfId="0" applyNumberFormat="1" applyFont="1" applyFill="1" applyAlignment="1" applyProtection="1">
      <alignment vertical="center" shrinkToFit="1"/>
      <protection hidden="1"/>
    </xf>
    <xf numFmtId="0" fontId="31" fillId="8" borderId="27" xfId="0" applyFont="1" applyFill="1" applyBorder="1" applyAlignment="1" applyProtection="1">
      <alignment horizontal="center" vertical="center" shrinkToFit="1"/>
      <protection hidden="1"/>
    </xf>
    <xf numFmtId="166" fontId="3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8" xfId="0" applyFont="1" applyFill="1" applyBorder="1" applyAlignment="1" applyProtection="1">
      <alignment horizontal="center" vertical="center" shrinkToFit="1"/>
      <protection hidden="1"/>
    </xf>
    <xf numFmtId="0" fontId="31" fillId="8" borderId="29" xfId="0" applyFont="1" applyFill="1" applyBorder="1" applyAlignment="1" applyProtection="1">
      <alignment horizontal="center" vertical="center" shrinkToFit="1"/>
      <protection hidden="1"/>
    </xf>
    <xf numFmtId="0" fontId="31" fillId="8" borderId="74" xfId="0" applyFont="1" applyFill="1" applyBorder="1" applyAlignment="1" applyProtection="1">
      <alignment horizontal="center" vertical="center" shrinkToFit="1"/>
      <protection hidden="1"/>
    </xf>
    <xf numFmtId="166" fontId="31" fillId="8" borderId="0" xfId="0" applyNumberFormat="1" applyFont="1" applyFill="1" applyAlignment="1" applyProtection="1">
      <alignment horizontal="center" vertical="center" shrinkToFit="1"/>
      <protection hidden="1"/>
    </xf>
    <xf numFmtId="0" fontId="31" fillId="8" borderId="0" xfId="0" applyFont="1" applyFill="1" applyAlignment="1" applyProtection="1">
      <alignment horizontal="center" vertical="center" shrinkToFit="1"/>
      <protection hidden="1"/>
    </xf>
    <xf numFmtId="0" fontId="31" fillId="8" borderId="15" xfId="0" applyFont="1" applyFill="1" applyBorder="1" applyAlignment="1" applyProtection="1">
      <alignment horizontal="center" vertical="center" shrinkToFit="1"/>
      <protection hidden="1"/>
    </xf>
    <xf numFmtId="0" fontId="31" fillId="8" borderId="56" xfId="0" applyFont="1" applyFill="1" applyBorder="1" applyAlignment="1" applyProtection="1">
      <alignment horizontal="center" vertical="center" shrinkToFit="1"/>
      <protection hidden="1"/>
    </xf>
    <xf numFmtId="166" fontId="3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31" fillId="8" borderId="24" xfId="0" applyFont="1" applyFill="1" applyBorder="1" applyAlignment="1" applyProtection="1">
      <alignment horizontal="center" vertical="center" shrinkToFit="1"/>
      <protection hidden="1"/>
    </xf>
    <xf numFmtId="0" fontId="31" fillId="8" borderId="58" xfId="0" applyFont="1" applyFill="1" applyBorder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 shrinkToFit="1"/>
      <protection hidden="1"/>
    </xf>
    <xf numFmtId="0" fontId="31" fillId="10" borderId="0" xfId="0" applyFont="1" applyFill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1" fontId="31" fillId="2" borderId="32" xfId="0" applyNumberFormat="1" applyFont="1" applyFill="1" applyBorder="1" applyAlignment="1" applyProtection="1">
      <alignment horizontal="right" vertical="center" shrinkToFit="1"/>
      <protection locked="0"/>
    </xf>
    <xf numFmtId="0" fontId="31" fillId="6" borderId="36" xfId="0" applyFont="1" applyFill="1" applyBorder="1" applyAlignment="1" applyProtection="1">
      <alignment horizontal="center" vertical="center" shrinkToFit="1"/>
      <protection hidden="1"/>
    </xf>
    <xf numFmtId="167" fontId="31" fillId="6" borderId="36" xfId="0" applyNumberFormat="1" applyFont="1" applyFill="1" applyBorder="1" applyAlignment="1" applyProtection="1">
      <alignment vertical="center" shrinkToFit="1"/>
      <protection hidden="1"/>
    </xf>
    <xf numFmtId="0" fontId="31" fillId="6" borderId="32" xfId="0" applyFont="1" applyFill="1" applyBorder="1" applyAlignment="1" applyProtection="1">
      <alignment horizontal="right" vertical="center" shrinkToFit="1"/>
      <protection hidden="1"/>
    </xf>
    <xf numFmtId="0" fontId="31" fillId="0" borderId="0" xfId="0" applyFont="1" applyAlignment="1" applyProtection="1">
      <alignment horizontal="right"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2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right" vertical="center"/>
      <protection hidden="1"/>
    </xf>
    <xf numFmtId="0" fontId="32" fillId="0" borderId="0" xfId="0" applyFont="1" applyAlignment="1" applyProtection="1">
      <alignment horizontal="left" vertical="center" shrinkToFit="1"/>
      <protection hidden="1"/>
    </xf>
    <xf numFmtId="165" fontId="31" fillId="0" borderId="0" xfId="0" applyNumberFormat="1" applyFont="1" applyAlignment="1" applyProtection="1">
      <alignment horizontal="center" vertical="center" shrinkToFit="1"/>
      <protection hidden="1"/>
    </xf>
    <xf numFmtId="0" fontId="32" fillId="0" borderId="0" xfId="0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center" vertical="center" shrinkToFit="1"/>
      <protection hidden="1"/>
    </xf>
    <xf numFmtId="3" fontId="31" fillId="0" borderId="0" xfId="0" applyNumberFormat="1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vertical="center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64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/>
      <protection hidden="1"/>
    </xf>
    <xf numFmtId="0" fontId="31" fillId="4" borderId="29" xfId="0" applyFont="1" applyFill="1" applyBorder="1" applyAlignment="1" applyProtection="1">
      <alignment vertical="center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0" fontId="32" fillId="5" borderId="40" xfId="0" applyFont="1" applyFill="1" applyBorder="1" applyAlignment="1" applyProtection="1">
      <alignment horizontal="center" vertical="center" wrapText="1"/>
      <protection hidden="1"/>
    </xf>
    <xf numFmtId="0" fontId="32" fillId="5" borderId="41" xfId="0" applyFont="1" applyFill="1" applyBorder="1" applyAlignment="1" applyProtection="1">
      <alignment horizontal="center" vertical="center" wrapText="1"/>
      <protection hidden="1"/>
    </xf>
    <xf numFmtId="0" fontId="32" fillId="8" borderId="7" xfId="0" applyFont="1" applyFill="1" applyBorder="1" applyAlignment="1" applyProtection="1">
      <alignment horizontal="center" vertical="center"/>
      <protection hidden="1"/>
    </xf>
    <xf numFmtId="0" fontId="32" fillId="8" borderId="12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49" fontId="31" fillId="6" borderId="30" xfId="0" applyNumberFormat="1" applyFont="1" applyFill="1" applyBorder="1" applyAlignment="1" applyProtection="1">
      <alignment vertical="center" shrinkToFit="1"/>
      <protection hidden="1"/>
    </xf>
    <xf numFmtId="49" fontId="31" fillId="6" borderId="28" xfId="0" applyNumberFormat="1" applyFont="1" applyFill="1" applyBorder="1" applyAlignment="1" applyProtection="1">
      <alignment vertical="center" shrinkToFit="1"/>
      <protection hidden="1"/>
    </xf>
    <xf numFmtId="49" fontId="31" fillId="6" borderId="31" xfId="0" applyNumberFormat="1" applyFont="1" applyFill="1" applyBorder="1" applyAlignment="1" applyProtection="1">
      <alignment vertical="center" shrinkToFit="1"/>
      <protection hidden="1"/>
    </xf>
    <xf numFmtId="0" fontId="31" fillId="8" borderId="4" xfId="0" applyFont="1" applyFill="1" applyBorder="1" applyAlignment="1" applyProtection="1">
      <alignment horizontal="center" vertical="center" shrinkToFit="1"/>
      <protection hidden="1"/>
    </xf>
    <xf numFmtId="0" fontId="31" fillId="8" borderId="71" xfId="0" applyFont="1" applyFill="1" applyBorder="1" applyAlignment="1" applyProtection="1">
      <alignment horizontal="center" vertical="center" shrinkToFit="1"/>
      <protection hidden="1"/>
    </xf>
    <xf numFmtId="0" fontId="31" fillId="8" borderId="73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center" vertical="center" shrinkToFit="1"/>
      <protection hidden="1"/>
    </xf>
    <xf numFmtId="165" fontId="34" fillId="0" borderId="0" xfId="0" applyNumberFormat="1" applyFont="1" applyAlignment="1" applyProtection="1">
      <alignment horizontal="right" vertical="center" shrinkToFit="1"/>
      <protection hidden="1"/>
    </xf>
    <xf numFmtId="165" fontId="34" fillId="0" borderId="0" xfId="0" applyNumberFormat="1" applyFont="1" applyAlignment="1" applyProtection="1">
      <alignment vertical="center" shrinkToFit="1"/>
      <protection hidden="1"/>
    </xf>
    <xf numFmtId="166" fontId="31" fillId="0" borderId="0" xfId="0" applyNumberFormat="1" applyFont="1" applyAlignment="1" applyProtection="1">
      <alignment horizontal="center" vertical="center" shrinkToFit="1"/>
      <protection hidden="1"/>
    </xf>
    <xf numFmtId="49" fontId="31" fillId="0" borderId="0" xfId="0" applyNumberFormat="1" applyFont="1" applyAlignment="1" applyProtection="1">
      <alignment horizontal="left" vertical="center" shrinkToFit="1"/>
      <protection hidden="1"/>
    </xf>
    <xf numFmtId="49" fontId="31" fillId="0" borderId="0" xfId="0" applyNumberFormat="1" applyFont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left" vertical="center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165" fontId="32" fillId="0" borderId="0" xfId="0" applyNumberFormat="1" applyFont="1" applyAlignment="1" applyProtection="1">
      <alignment horizontal="right" vertical="center" shrinkToFi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1" fillId="3" borderId="39" xfId="0" applyFont="1" applyFill="1" applyBorder="1" applyAlignment="1" applyProtection="1">
      <alignment horizontal="center" vertical="center" wrapText="1"/>
      <protection hidden="1"/>
    </xf>
    <xf numFmtId="0" fontId="31" fillId="4" borderId="75" xfId="0" applyFont="1" applyFill="1" applyBorder="1" applyAlignment="1" applyProtection="1">
      <alignment horizontal="center" vertical="center"/>
      <protection hidden="1"/>
    </xf>
    <xf numFmtId="0" fontId="31" fillId="4" borderId="51" xfId="0" applyFont="1" applyFill="1" applyBorder="1" applyAlignment="1" applyProtection="1">
      <alignment vertical="center"/>
      <protection hidden="1"/>
    </xf>
    <xf numFmtId="0" fontId="31" fillId="4" borderId="50" xfId="0" applyFont="1" applyFill="1" applyBorder="1" applyAlignment="1" applyProtection="1">
      <alignment vertical="center"/>
      <protection hidden="1"/>
    </xf>
    <xf numFmtId="0" fontId="31" fillId="3" borderId="69" xfId="0" applyFont="1" applyFill="1" applyBorder="1" applyAlignment="1" applyProtection="1">
      <alignment horizontal="center" vertical="center" wrapText="1"/>
      <protection hidden="1"/>
    </xf>
    <xf numFmtId="0" fontId="31" fillId="3" borderId="54" xfId="0" applyFont="1" applyFill="1" applyBorder="1" applyAlignment="1" applyProtection="1">
      <alignment horizontal="center" vertical="center" wrapTex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 shrinkToFit="1"/>
      <protection hidden="1"/>
    </xf>
    <xf numFmtId="0" fontId="32" fillId="5" borderId="54" xfId="0" applyFont="1" applyFill="1" applyBorder="1" applyAlignment="1" applyProtection="1">
      <alignment horizontal="center" vertical="center" wrapText="1"/>
      <protection hidden="1"/>
    </xf>
    <xf numFmtId="0" fontId="32" fillId="5" borderId="57" xfId="0" applyFont="1" applyFill="1" applyBorder="1" applyAlignment="1" applyProtection="1">
      <alignment horizontal="center" vertical="center" wrapText="1"/>
      <protection hidden="1"/>
    </xf>
    <xf numFmtId="0" fontId="32" fillId="8" borderId="44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horizontal="center" vertical="center"/>
      <protection hidden="1"/>
    </xf>
    <xf numFmtId="0" fontId="31" fillId="4" borderId="28" xfId="0" applyFont="1" applyFill="1" applyBorder="1" applyAlignment="1" applyProtection="1">
      <alignment vertical="center" shrinkToFit="1"/>
      <protection hidden="1"/>
    </xf>
    <xf numFmtId="0" fontId="31" fillId="4" borderId="29" xfId="0" applyFont="1" applyFill="1" applyBorder="1" applyAlignment="1" applyProtection="1">
      <alignment vertical="center" shrinkToFit="1"/>
      <protection hidden="1"/>
    </xf>
    <xf numFmtId="0" fontId="31" fillId="7" borderId="21" xfId="0" applyFont="1" applyFill="1" applyBorder="1" applyAlignment="1" applyProtection="1">
      <alignment horizontal="left" vertical="center" shrinkToFit="1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5" borderId="4" xfId="0" applyFont="1" applyFill="1" applyBorder="1" applyAlignment="1" applyProtection="1">
      <alignment horizontal="center" vertical="center" shrinkToFit="1"/>
      <protection hidden="1"/>
    </xf>
    <xf numFmtId="0" fontId="31" fillId="5" borderId="5" xfId="0" applyFont="1" applyFill="1" applyBorder="1" applyAlignment="1" applyProtection="1">
      <alignment horizontal="center" vertical="center" shrinkToFit="1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1" fillId="0" borderId="0" xfId="0" applyFont="1" applyAlignment="1" applyProtection="1">
      <alignment horizontal="left" vertical="center"/>
      <protection hidden="1"/>
    </xf>
    <xf numFmtId="0" fontId="31" fillId="0" borderId="0" xfId="0" applyFont="1" applyAlignment="1" applyProtection="1">
      <alignment horizontal="right" vertical="center" shrinkToFit="1"/>
      <protection hidden="1"/>
    </xf>
    <xf numFmtId="0" fontId="32" fillId="5" borderId="72" xfId="0" applyFont="1" applyFill="1" applyBorder="1" applyAlignment="1" applyProtection="1">
      <alignment horizontal="center" vertical="center" shrinkToFit="1"/>
      <protection hidden="1"/>
    </xf>
    <xf numFmtId="0" fontId="31" fillId="0" borderId="0" xfId="0" applyFont="1" applyAlignment="1" applyProtection="1">
      <alignment vertical="center" shrinkToFit="1"/>
      <protection hidden="1"/>
    </xf>
    <xf numFmtId="3" fontId="43" fillId="0" borderId="0" xfId="0" applyNumberFormat="1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shrinkToFit="1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24" fillId="0" borderId="70" xfId="0" applyFont="1" applyBorder="1" applyProtection="1">
      <protection hidden="1"/>
    </xf>
    <xf numFmtId="0" fontId="0" fillId="0" borderId="75" xfId="0" applyBorder="1" applyAlignment="1" applyProtection="1">
      <alignment horizontal="center" vertical="center" wrapText="1" shrinkToFit="1"/>
      <protection hidden="1"/>
    </xf>
    <xf numFmtId="170" fontId="1" fillId="0" borderId="75" xfId="0" applyNumberFormat="1" applyFont="1" applyBorder="1" applyAlignment="1" applyProtection="1">
      <alignment horizontal="center" vertical="center" wrapText="1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170" fontId="0" fillId="0" borderId="42" xfId="0" applyNumberFormat="1" applyBorder="1" applyProtection="1">
      <protection hidden="1"/>
    </xf>
    <xf numFmtId="172" fontId="0" fillId="0" borderId="86" xfId="0" applyNumberFormat="1" applyBorder="1" applyAlignment="1" applyProtection="1">
      <alignment horizont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170" fontId="24" fillId="0" borderId="18" xfId="0" applyNumberFormat="1" applyFont="1" applyBorder="1" applyProtection="1">
      <protection hidden="1"/>
    </xf>
    <xf numFmtId="172" fontId="0" fillId="0" borderId="59" xfId="0" applyNumberFormat="1" applyBorder="1" applyAlignment="1" applyProtection="1">
      <alignment horizontal="center"/>
      <protection hidden="1"/>
    </xf>
    <xf numFmtId="170" fontId="0" fillId="0" borderId="18" xfId="0" applyNumberFormat="1" applyBorder="1" applyProtection="1">
      <protection hidden="1"/>
    </xf>
    <xf numFmtId="0" fontId="0" fillId="0" borderId="77" xfId="0" applyBorder="1" applyAlignment="1" applyProtection="1">
      <alignment horizontal="center" vertical="center"/>
      <protection hidden="1"/>
    </xf>
    <xf numFmtId="170" fontId="1" fillId="0" borderId="20" xfId="0" applyNumberFormat="1" applyFont="1" applyBorder="1" applyProtection="1">
      <protection hidden="1"/>
    </xf>
    <xf numFmtId="172" fontId="0" fillId="0" borderId="76" xfId="0" applyNumberForma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1" xfId="0" applyFont="1" applyBorder="1" applyAlignment="1" applyProtection="1">
      <alignment horizontal="center" vertical="center" wrapText="1" shrinkToFit="1"/>
      <protection hidden="1"/>
    </xf>
    <xf numFmtId="170" fontId="0" fillId="0" borderId="29" xfId="0" applyNumberFormat="1" applyBorder="1" applyAlignment="1" applyProtection="1">
      <alignment horizontal="center" vertical="center" wrapText="1"/>
      <protection hidden="1"/>
    </xf>
    <xf numFmtId="170" fontId="1" fillId="0" borderId="42" xfId="0" applyNumberFormat="1" applyFont="1" applyBorder="1" applyAlignment="1" applyProtection="1">
      <alignment horizontal="center" vertical="center" wrapText="1"/>
      <protection hidden="1"/>
    </xf>
    <xf numFmtId="170" fontId="1" fillId="0" borderId="37" xfId="0" applyNumberFormat="1" applyFont="1" applyBorder="1" applyAlignment="1" applyProtection="1">
      <alignment horizontal="center" vertical="center" wrapText="1"/>
      <protection hidden="1"/>
    </xf>
    <xf numFmtId="170" fontId="1" fillId="4" borderId="3" xfId="0" applyNumberFormat="1" applyFont="1" applyFill="1" applyBorder="1" applyAlignment="1" applyProtection="1">
      <alignment horizontal="center" vertical="center" wrapText="1"/>
      <protection hidden="1"/>
    </xf>
    <xf numFmtId="170" fontId="1" fillId="0" borderId="38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70" fontId="0" fillId="0" borderId="42" xfId="0" applyNumberFormat="1" applyBorder="1" applyAlignment="1" applyProtection="1">
      <alignment horizontal="center" vertical="center" wrapText="1"/>
      <protection hidden="1"/>
    </xf>
    <xf numFmtId="0" fontId="0" fillId="0" borderId="38" xfId="0" applyBorder="1" applyAlignment="1" applyProtection="1">
      <alignment horizontal="center"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170" fontId="0" fillId="0" borderId="1" xfId="0" applyNumberFormat="1" applyBorder="1" applyProtection="1">
      <protection hidden="1"/>
    </xf>
    <xf numFmtId="172" fontId="0" fillId="0" borderId="18" xfId="0" applyNumberFormat="1" applyBorder="1" applyAlignment="1" applyProtection="1">
      <alignment horizontal="center"/>
      <protection hidden="1"/>
    </xf>
    <xf numFmtId="172" fontId="0" fillId="0" borderId="10" xfId="0" applyNumberFormat="1" applyBorder="1" applyAlignment="1" applyProtection="1">
      <alignment horizontal="center"/>
      <protection hidden="1"/>
    </xf>
    <xf numFmtId="172" fontId="0" fillId="4" borderId="9" xfId="0" applyNumberFormat="1" applyFill="1" applyBorder="1" applyAlignment="1" applyProtection="1">
      <alignment horizontal="center"/>
      <protection hidden="1"/>
    </xf>
    <xf numFmtId="172" fontId="0" fillId="0" borderId="11" xfId="0" applyNumberFormat="1" applyBorder="1" applyAlignment="1" applyProtection="1">
      <alignment horizontal="center"/>
      <protection hidden="1"/>
    </xf>
    <xf numFmtId="171" fontId="0" fillId="0" borderId="18" xfId="0" applyNumberFormat="1" applyBorder="1" applyAlignment="1" applyProtection="1">
      <alignment horizontal="center"/>
      <protection hidden="1"/>
    </xf>
    <xf numFmtId="170" fontId="0" fillId="0" borderId="7" xfId="0" applyNumberFormat="1" applyBorder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170" fontId="0" fillId="0" borderId="12" xfId="0" applyNumberFormat="1" applyBorder="1" applyProtection="1">
      <protection hidden="1"/>
    </xf>
    <xf numFmtId="172" fontId="0" fillId="0" borderId="20" xfId="0" applyNumberFormat="1" applyBorder="1" applyAlignment="1" applyProtection="1">
      <alignment horizontal="center"/>
      <protection hidden="1"/>
    </xf>
    <xf numFmtId="172" fontId="0" fillId="0" borderId="21" xfId="0" applyNumberFormat="1" applyBorder="1" applyAlignment="1" applyProtection="1">
      <alignment horizontal="center"/>
      <protection hidden="1"/>
    </xf>
    <xf numFmtId="172" fontId="0" fillId="4" borderId="14" xfId="0" applyNumberFormat="1" applyFill="1" applyBorder="1" applyAlignment="1" applyProtection="1">
      <alignment horizontal="center"/>
      <protection hidden="1"/>
    </xf>
    <xf numFmtId="172" fontId="0" fillId="0" borderId="22" xfId="0" applyNumberFormat="1" applyBorder="1" applyAlignment="1" applyProtection="1">
      <alignment horizontal="center"/>
      <protection hidden="1"/>
    </xf>
    <xf numFmtId="171" fontId="0" fillId="0" borderId="20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1" fillId="0" borderId="60" xfId="0" applyFont="1" applyBorder="1" applyProtection="1">
      <protection hidden="1"/>
    </xf>
    <xf numFmtId="170" fontId="0" fillId="0" borderId="38" xfId="0" applyNumberForma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170" fontId="0" fillId="0" borderId="59" xfId="0" applyNumberFormat="1" applyBorder="1" applyProtection="1">
      <protection hidden="1"/>
    </xf>
    <xf numFmtId="170" fontId="0" fillId="0" borderId="18" xfId="0" applyNumberFormat="1" applyBorder="1" applyAlignment="1" applyProtection="1">
      <alignment horizontal="center"/>
      <protection hidden="1"/>
    </xf>
    <xf numFmtId="170" fontId="0" fillId="0" borderId="10" xfId="0" applyNumberFormat="1" applyBorder="1" applyAlignment="1" applyProtection="1">
      <alignment horizontal="center"/>
      <protection hidden="1"/>
    </xf>
    <xf numFmtId="170" fontId="0" fillId="0" borderId="11" xfId="0" applyNumberFormat="1" applyBorder="1" applyAlignment="1" applyProtection="1">
      <alignment horizontal="center"/>
      <protection hidden="1"/>
    </xf>
    <xf numFmtId="170" fontId="0" fillId="9" borderId="18" xfId="0" applyNumberFormat="1" applyFill="1" applyBorder="1" applyAlignment="1" applyProtection="1">
      <alignment horizontal="center"/>
      <protection hidden="1"/>
    </xf>
    <xf numFmtId="170" fontId="0" fillId="0" borderId="8" xfId="0" applyNumberFormat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171" fontId="0" fillId="0" borderId="18" xfId="0" applyNumberFormat="1" applyBorder="1" applyProtection="1">
      <protection hidden="1"/>
    </xf>
    <xf numFmtId="171" fontId="0" fillId="0" borderId="10" xfId="0" applyNumberFormat="1" applyBorder="1" applyProtection="1">
      <protection hidden="1"/>
    </xf>
    <xf numFmtId="171" fontId="0" fillId="0" borderId="11" xfId="0" applyNumberFormat="1" applyBorder="1" applyProtection="1">
      <protection hidden="1"/>
    </xf>
    <xf numFmtId="171" fontId="0" fillId="9" borderId="18" xfId="0" applyNumberFormat="1" applyFill="1" applyBorder="1" applyProtection="1">
      <protection hidden="1"/>
    </xf>
    <xf numFmtId="171" fontId="0" fillId="0" borderId="8" xfId="0" applyNumberFormat="1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170" fontId="0" fillId="0" borderId="76" xfId="0" applyNumberFormat="1" applyBorder="1" applyProtection="1">
      <protection hidden="1"/>
    </xf>
    <xf numFmtId="171" fontId="0" fillId="0" borderId="20" xfId="0" applyNumberFormat="1" applyBorder="1" applyProtection="1">
      <protection hidden="1"/>
    </xf>
    <xf numFmtId="171" fontId="0" fillId="0" borderId="21" xfId="0" applyNumberFormat="1" applyBorder="1" applyProtection="1">
      <protection hidden="1"/>
    </xf>
    <xf numFmtId="171" fontId="0" fillId="0" borderId="22" xfId="0" applyNumberFormat="1" applyBorder="1" applyProtection="1">
      <protection hidden="1"/>
    </xf>
    <xf numFmtId="171" fontId="0" fillId="9" borderId="20" xfId="0" applyNumberFormat="1" applyFill="1" applyBorder="1" applyProtection="1">
      <protection hidden="1"/>
    </xf>
    <xf numFmtId="171" fontId="0" fillId="0" borderId="13" xfId="0" applyNumberFormat="1" applyBorder="1" applyProtection="1">
      <protection hidden="1"/>
    </xf>
    <xf numFmtId="0" fontId="1" fillId="9" borderId="0" xfId="0" applyFont="1" applyFill="1" applyAlignment="1" applyProtection="1">
      <alignment horizontal="center" wrapText="1"/>
      <protection hidden="1"/>
    </xf>
    <xf numFmtId="0" fontId="0" fillId="0" borderId="0" xfId="0" applyAlignment="1" applyProtection="1">
      <alignment wrapText="1"/>
      <protection hidden="1"/>
    </xf>
    <xf numFmtId="172" fontId="45" fillId="0" borderId="59" xfId="0" applyNumberFormat="1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right" vertical="center"/>
      <protection hidden="1"/>
    </xf>
    <xf numFmtId="165" fontId="3" fillId="0" borderId="0" xfId="0" applyNumberFormat="1" applyFont="1" applyAlignment="1" applyProtection="1">
      <alignment horizontal="center" vertical="center" shrinkToFit="1"/>
      <protection hidden="1"/>
    </xf>
    <xf numFmtId="3" fontId="0" fillId="0" borderId="0" xfId="0" applyNumberFormat="1" applyAlignment="1" applyProtection="1">
      <alignment horizontal="center" vertical="center"/>
      <protection hidden="1"/>
    </xf>
    <xf numFmtId="3" fontId="3" fillId="0" borderId="0" xfId="0" applyNumberFormat="1" applyFont="1" applyAlignment="1" applyProtection="1">
      <alignment horizontal="center" vertical="center" shrinkToFit="1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1" fillId="4" borderId="64" xfId="0" applyFont="1" applyFill="1" applyBorder="1" applyAlignment="1" applyProtection="1">
      <alignment horizontal="center" vertical="center"/>
      <protection hidden="1"/>
    </xf>
    <xf numFmtId="0" fontId="1" fillId="4" borderId="28" xfId="0" applyFont="1" applyFill="1" applyBorder="1" applyAlignment="1" applyProtection="1">
      <alignment vertical="center"/>
      <protection hidden="1"/>
    </xf>
    <xf numFmtId="0" fontId="1" fillId="4" borderId="29" xfId="0" applyFont="1" applyFill="1" applyBorder="1" applyAlignment="1" applyProtection="1">
      <alignment vertical="center"/>
      <protection hidden="1"/>
    </xf>
    <xf numFmtId="0" fontId="2" fillId="3" borderId="39" xfId="0" applyFont="1" applyFill="1" applyBorder="1" applyAlignment="1" applyProtection="1">
      <alignment horizontal="center" vertical="center" wrapText="1"/>
      <protection hidden="1"/>
    </xf>
    <xf numFmtId="0" fontId="2" fillId="3" borderId="40" xfId="0" applyFont="1" applyFill="1" applyBorder="1" applyAlignment="1" applyProtection="1">
      <alignment horizontal="center" vertical="center" wrapText="1"/>
      <protection hidden="1"/>
    </xf>
    <xf numFmtId="3" fontId="1" fillId="5" borderId="40" xfId="0" applyNumberFormat="1" applyFont="1" applyFill="1" applyBorder="1" applyAlignment="1" applyProtection="1">
      <alignment horizontal="center" vertical="center" wrapText="1" shrinkToFit="1"/>
      <protection hidden="1"/>
    </xf>
    <xf numFmtId="0" fontId="6" fillId="5" borderId="40" xfId="0" applyFont="1" applyFill="1" applyBorder="1" applyAlignment="1" applyProtection="1">
      <alignment horizontal="center" vertical="center" wrapText="1"/>
      <protection hidden="1"/>
    </xf>
    <xf numFmtId="0" fontId="6" fillId="5" borderId="41" xfId="0" applyFont="1" applyFill="1" applyBorder="1" applyAlignment="1" applyProtection="1">
      <alignment horizontal="center" vertical="center" wrapText="1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167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7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7" xfId="0" applyNumberFormat="1" applyFont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 shrinkToFit="1"/>
      <protection hidden="1"/>
    </xf>
    <xf numFmtId="49" fontId="1" fillId="0" borderId="10" xfId="0" applyNumberFormat="1" applyFont="1" applyBorder="1" applyAlignment="1" applyProtection="1">
      <alignment horizontal="left" vertical="center" shrinkToFit="1"/>
      <protection hidden="1"/>
    </xf>
    <xf numFmtId="0" fontId="1" fillId="0" borderId="17" xfId="0" applyFont="1" applyBorder="1" applyAlignment="1" applyProtection="1">
      <alignment horizontal="center" vertical="center" shrinkToFit="1"/>
      <protection hidden="1"/>
    </xf>
    <xf numFmtId="0" fontId="1" fillId="2" borderId="17" xfId="0" applyFont="1" applyFill="1" applyBorder="1" applyAlignment="1" applyProtection="1">
      <alignment horizontal="center" vertical="center" shrinkToFit="1"/>
      <protection hidden="1"/>
    </xf>
    <xf numFmtId="0" fontId="1" fillId="2" borderId="19" xfId="0" applyFont="1" applyFill="1" applyBorder="1" applyAlignment="1" applyProtection="1">
      <alignment horizontal="center" vertical="center" shrinkToFit="1"/>
      <protection hidden="1"/>
    </xf>
    <xf numFmtId="167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10" xfId="0" applyNumberFormat="1" applyFont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 shrinkToFit="1"/>
      <protection hidden="1"/>
    </xf>
    <xf numFmtId="0" fontId="1" fillId="2" borderId="10" xfId="0" applyFont="1" applyFill="1" applyBorder="1" applyAlignment="1" applyProtection="1">
      <alignment horizontal="center" vertical="center" shrinkToFit="1"/>
      <protection hidden="1"/>
    </xf>
    <xf numFmtId="0" fontId="1" fillId="2" borderId="11" xfId="0" applyFont="1" applyFill="1" applyBorder="1" applyAlignment="1" applyProtection="1">
      <alignment horizontal="center" vertical="center" shrinkToFit="1"/>
      <protection hidden="1"/>
    </xf>
    <xf numFmtId="166" fontId="2" fillId="0" borderId="10" xfId="0" applyNumberFormat="1" applyFont="1" applyBorder="1" applyAlignment="1" applyProtection="1">
      <alignment vertical="center" shrinkToFit="1"/>
      <protection hidden="1"/>
    </xf>
    <xf numFmtId="166" fontId="1" fillId="0" borderId="10" xfId="0" applyNumberFormat="1" applyFont="1" applyBorder="1" applyAlignment="1" applyProtection="1">
      <alignment vertical="center" shrinkToFit="1"/>
      <protection hidden="1"/>
    </xf>
    <xf numFmtId="167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0" fillId="2" borderId="10" xfId="0" applyNumberFormat="1" applyFill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vertical="center" shrinkToFit="1"/>
      <protection hidden="1"/>
    </xf>
    <xf numFmtId="0" fontId="3" fillId="8" borderId="20" xfId="0" applyFont="1" applyFill="1" applyBorder="1" applyAlignment="1" applyProtection="1">
      <alignment horizontal="center" vertical="center"/>
      <protection hidden="1"/>
    </xf>
    <xf numFmtId="167" fontId="1" fillId="2" borderId="13" xfId="0" applyNumberFormat="1" applyFont="1" applyFill="1" applyBorder="1" applyAlignment="1" applyProtection="1">
      <alignment horizontal="center" vertical="center" shrinkToFit="1"/>
      <protection hidden="1"/>
    </xf>
    <xf numFmtId="49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1" fillId="0" borderId="21" xfId="0" applyNumberFormat="1" applyFont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 shrinkToFit="1"/>
      <protection hidden="1"/>
    </xf>
    <xf numFmtId="0" fontId="1" fillId="0" borderId="21" xfId="0" applyFont="1" applyBorder="1" applyAlignment="1" applyProtection="1">
      <alignment horizontal="center" vertical="center" shrinkToFit="1"/>
      <protection hidden="1"/>
    </xf>
    <xf numFmtId="0" fontId="1" fillId="2" borderId="22" xfId="0" applyFont="1" applyFill="1" applyBorder="1" applyAlignment="1" applyProtection="1">
      <alignment horizontal="center" vertical="center" shrinkToFit="1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6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49" fontId="1" fillId="6" borderId="30" xfId="0" applyNumberFormat="1" applyFont="1" applyFill="1" applyBorder="1" applyAlignment="1" applyProtection="1">
      <alignment vertical="center" shrinkToFit="1"/>
      <protection hidden="1"/>
    </xf>
    <xf numFmtId="49" fontId="1" fillId="6" borderId="28" xfId="0" applyNumberFormat="1" applyFont="1" applyFill="1" applyBorder="1" applyAlignment="1" applyProtection="1">
      <alignment vertical="center" shrinkToFit="1"/>
      <protection hidden="1"/>
    </xf>
    <xf numFmtId="49" fontId="1" fillId="6" borderId="31" xfId="0" applyNumberFormat="1" applyFont="1" applyFill="1" applyBorder="1" applyAlignment="1" applyProtection="1">
      <alignment vertical="center" shrinkToFit="1"/>
      <protection hidden="1"/>
    </xf>
    <xf numFmtId="3" fontId="3" fillId="6" borderId="5" xfId="0" applyNumberFormat="1" applyFont="1" applyFill="1" applyBorder="1" applyAlignment="1" applyProtection="1">
      <alignment horizontal="center" vertical="center" shrinkToFit="1"/>
      <protection hidden="1"/>
    </xf>
    <xf numFmtId="3" fontId="3" fillId="6" borderId="6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0" xfId="0" applyNumberFormat="1" applyFont="1" applyFill="1" applyAlignment="1" applyProtection="1">
      <alignment horizontal="center" vertical="center" shrinkToFit="1"/>
      <protection hidden="1"/>
    </xf>
    <xf numFmtId="49" fontId="1" fillId="2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4" xfId="0" applyFont="1" applyFill="1" applyBorder="1" applyAlignment="1" applyProtection="1">
      <alignment horizontal="center" vertical="center" shrinkToFit="1"/>
      <protection hidden="1"/>
    </xf>
    <xf numFmtId="166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8" xfId="0" applyFill="1" applyBorder="1" applyAlignment="1" applyProtection="1">
      <alignment horizontal="center" vertical="center"/>
      <protection hidden="1"/>
    </xf>
    <xf numFmtId="49" fontId="1" fillId="8" borderId="28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8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8" xfId="0" applyFont="1" applyFill="1" applyBorder="1" applyAlignment="1" applyProtection="1">
      <alignment horizontal="center" vertical="center" shrinkToFit="1"/>
      <protection hidden="1"/>
    </xf>
    <xf numFmtId="0" fontId="1" fillId="8" borderId="29" xfId="0" applyFont="1" applyFill="1" applyBorder="1" applyAlignment="1" applyProtection="1">
      <alignment horizontal="center" vertical="center" shrinkToFit="1"/>
      <protection hidden="1"/>
    </xf>
    <xf numFmtId="0" fontId="1" fillId="8" borderId="71" xfId="0" applyFont="1" applyFill="1" applyBorder="1" applyAlignment="1" applyProtection="1">
      <alignment horizontal="center" vertical="center" shrinkToFit="1"/>
      <protection hidden="1"/>
    </xf>
    <xf numFmtId="166" fontId="1" fillId="8" borderId="0" xfId="0" applyNumberFormat="1" applyFont="1" applyFill="1" applyAlignment="1" applyProtection="1">
      <alignment horizontal="center" vertical="center" shrinkToFi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49" fontId="1" fillId="8" borderId="0" xfId="0" applyNumberFormat="1" applyFont="1" applyFill="1" applyAlignment="1" applyProtection="1">
      <alignment horizontal="left" vertical="center" shrinkToFit="1"/>
      <protection hidden="1"/>
    </xf>
    <xf numFmtId="49" fontId="1" fillId="8" borderId="0" xfId="0" applyNumberFormat="1" applyFont="1" applyFill="1" applyAlignment="1" applyProtection="1">
      <alignment horizontal="center" vertical="center" shrinkToFit="1"/>
      <protection hidden="1"/>
    </xf>
    <xf numFmtId="0" fontId="1" fillId="8" borderId="0" xfId="0" applyFont="1" applyFill="1" applyAlignment="1" applyProtection="1">
      <alignment horizontal="center" vertical="center" shrinkToFit="1"/>
      <protection hidden="1"/>
    </xf>
    <xf numFmtId="0" fontId="1" fillId="8" borderId="15" xfId="0" applyFont="1" applyFill="1" applyBorder="1" applyAlignment="1" applyProtection="1">
      <alignment horizontal="center" vertical="center" shrinkToFit="1"/>
      <protection hidden="1"/>
    </xf>
    <xf numFmtId="0" fontId="1" fillId="8" borderId="73" xfId="0" applyFont="1" applyFill="1" applyBorder="1" applyAlignment="1" applyProtection="1">
      <alignment horizontal="center" vertical="center" shrinkToFit="1"/>
      <protection hidden="1"/>
    </xf>
    <xf numFmtId="166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24" xfId="0" applyFill="1" applyBorder="1" applyAlignment="1" applyProtection="1">
      <alignment horizontal="center" vertical="center"/>
      <protection hidden="1"/>
    </xf>
    <xf numFmtId="49" fontId="1" fillId="8" borderId="24" xfId="0" applyNumberFormat="1" applyFont="1" applyFill="1" applyBorder="1" applyAlignment="1" applyProtection="1">
      <alignment horizontal="left" vertical="center" shrinkToFit="1"/>
      <protection hidden="1"/>
    </xf>
    <xf numFmtId="49" fontId="1" fillId="8" borderId="24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24" xfId="0" applyFont="1" applyFill="1" applyBorder="1" applyAlignment="1" applyProtection="1">
      <alignment horizontal="center" vertical="center" shrinkToFit="1"/>
      <protection hidden="1"/>
    </xf>
    <xf numFmtId="0" fontId="1" fillId="8" borderId="58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66" fontId="1" fillId="0" borderId="0" xfId="0" applyNumberFormat="1" applyFont="1" applyAlignment="1" applyProtection="1">
      <alignment horizontal="center" vertical="center" shrinkToFit="1"/>
      <protection hidden="1"/>
    </xf>
    <xf numFmtId="49" fontId="1" fillId="0" borderId="0" xfId="0" applyNumberFormat="1" applyFont="1" applyAlignment="1" applyProtection="1">
      <alignment horizontal="left" vertical="center" shrinkToFit="1"/>
      <protection hidden="1"/>
    </xf>
    <xf numFmtId="49" fontId="1" fillId="0" borderId="0" xfId="0" applyNumberFormat="1" applyFont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49" fontId="0" fillId="2" borderId="10" xfId="0" applyNumberFormat="1" applyFill="1" applyBorder="1" applyAlignment="1" applyProtection="1">
      <alignment horizontal="center" vertical="center" shrinkToFit="1"/>
      <protection hidden="1"/>
    </xf>
    <xf numFmtId="14" fontId="1" fillId="2" borderId="23" xfId="0" applyNumberFormat="1" applyFont="1" applyFill="1" applyBorder="1" applyAlignment="1" applyProtection="1">
      <alignment horizontal="center" vertical="center" shrinkToFit="1"/>
      <protection hidden="1"/>
    </xf>
    <xf numFmtId="14" fontId="1" fillId="2" borderId="8" xfId="0" applyNumberFormat="1" applyFont="1" applyFill="1" applyBorder="1" applyAlignment="1" applyProtection="1">
      <alignment horizontal="center" vertical="center" shrinkToFit="1"/>
      <protection hidden="1"/>
    </xf>
    <xf numFmtId="14" fontId="0" fillId="2" borderId="8" xfId="0" applyNumberFormat="1" applyFill="1" applyBorder="1" applyAlignment="1" applyProtection="1">
      <alignment horizontal="center" vertical="center" shrinkToFit="1"/>
      <protection hidden="1"/>
    </xf>
    <xf numFmtId="166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30" xfId="0" applyFill="1" applyBorder="1" applyAlignment="1" applyProtection="1">
      <alignment horizontal="center" vertical="center"/>
      <protection hidden="1"/>
    </xf>
    <xf numFmtId="49" fontId="1" fillId="8" borderId="3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" xfId="0" applyFont="1" applyFill="1" applyBorder="1" applyAlignment="1" applyProtection="1">
      <alignment horizontal="center" vertical="center" shrinkToFit="1"/>
      <protection hidden="1"/>
    </xf>
    <xf numFmtId="0" fontId="1" fillId="8" borderId="6" xfId="0" applyFont="1" applyFill="1" applyBorder="1" applyAlignment="1" applyProtection="1">
      <alignment horizontal="center" vertical="center" shrinkToFit="1"/>
      <protection hidden="1"/>
    </xf>
    <xf numFmtId="166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65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6" xfId="0" applyFill="1" applyBorder="1" applyAlignment="1" applyProtection="1">
      <alignment horizontal="center" vertical="center"/>
      <protection hidden="1"/>
    </xf>
    <xf numFmtId="49" fontId="1" fillId="8" borderId="61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65" xfId="0" applyFont="1" applyFill="1" applyBorder="1" applyAlignment="1" applyProtection="1">
      <alignment horizontal="center" vertical="center" shrinkToFit="1"/>
      <protection hidden="1"/>
    </xf>
    <xf numFmtId="0" fontId="1" fillId="8" borderId="72" xfId="0" applyFont="1" applyFill="1" applyBorder="1" applyAlignment="1" applyProtection="1">
      <alignment horizontal="center" vertical="center" shrinkToFit="1"/>
      <protection hidden="1"/>
    </xf>
    <xf numFmtId="166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166" fontId="1" fillId="8" borderId="54" xfId="0" applyNumberFormat="1" applyFont="1" applyFill="1" applyBorder="1" applyAlignment="1" applyProtection="1">
      <alignment horizontal="center" vertical="center" shrinkToFit="1"/>
      <protection hidden="1"/>
    </xf>
    <xf numFmtId="0" fontId="0" fillId="8" borderId="68" xfId="0" applyFill="1" applyBorder="1" applyAlignment="1" applyProtection="1">
      <alignment horizontal="center" vertical="center"/>
      <protection hidden="1"/>
    </xf>
    <xf numFmtId="49" fontId="1" fillId="8" borderId="69" xfId="0" applyNumberFormat="1" applyFont="1" applyFill="1" applyBorder="1" applyAlignment="1" applyProtection="1">
      <alignment horizontal="center" vertical="center" shrinkToFit="1"/>
      <protection hidden="1"/>
    </xf>
    <xf numFmtId="0" fontId="1" fillId="8" borderId="54" xfId="0" applyFont="1" applyFill="1" applyBorder="1" applyAlignment="1" applyProtection="1">
      <alignment horizontal="center" vertical="center" shrinkToFit="1"/>
      <protection hidden="1"/>
    </xf>
    <xf numFmtId="0" fontId="1" fillId="8" borderId="57" xfId="0" applyFont="1" applyFill="1" applyBorder="1" applyAlignment="1" applyProtection="1">
      <alignment horizontal="center" vertical="center" shrinkToFit="1"/>
      <protection hidden="1"/>
    </xf>
    <xf numFmtId="0" fontId="1" fillId="8" borderId="27" xfId="0" applyFont="1" applyFill="1" applyBorder="1" applyAlignment="1" applyProtection="1">
      <alignment horizontal="center" vertical="center" shrinkToFit="1"/>
      <protection hidden="1"/>
    </xf>
    <xf numFmtId="0" fontId="1" fillId="8" borderId="74" xfId="0" applyFont="1" applyFill="1" applyBorder="1" applyAlignment="1" applyProtection="1">
      <alignment horizontal="center" vertical="center" shrinkToFit="1"/>
      <protection hidden="1"/>
    </xf>
    <xf numFmtId="0" fontId="1" fillId="8" borderId="56" xfId="0" applyFont="1" applyFill="1" applyBorder="1" applyAlignment="1" applyProtection="1">
      <alignment horizontal="center" vertical="center" shrinkToFit="1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horizontal="center" vertical="center"/>
      <protection hidden="1"/>
    </xf>
    <xf numFmtId="0" fontId="0" fillId="4" borderId="28" xfId="0" applyFill="1" applyBorder="1" applyAlignment="1" applyProtection="1">
      <alignment vertical="center" shrinkToFit="1"/>
      <protection hidden="1"/>
    </xf>
    <xf numFmtId="0" fontId="0" fillId="4" borderId="29" xfId="0" applyFill="1" applyBorder="1" applyAlignment="1" applyProtection="1">
      <alignment vertical="center" shrinkToFit="1"/>
      <protection hidden="1"/>
    </xf>
    <xf numFmtId="0" fontId="6" fillId="5" borderId="5" xfId="0" applyFont="1" applyFill="1" applyBorder="1" applyAlignment="1" applyProtection="1">
      <alignment horizontal="center" vertical="center" shrinkToFit="1"/>
      <protection hidden="1"/>
    </xf>
    <xf numFmtId="0" fontId="6" fillId="5" borderId="6" xfId="0" applyFont="1" applyFill="1" applyBorder="1" applyAlignment="1" applyProtection="1">
      <alignment horizontal="center" vertical="center" shrinkToFit="1"/>
      <protection hidden="1"/>
    </xf>
    <xf numFmtId="0" fontId="1" fillId="7" borderId="40" xfId="0" applyFont="1" applyFill="1" applyBorder="1" applyAlignment="1" applyProtection="1">
      <alignment horizontal="center" vertical="center" shrinkToFit="1"/>
      <protection hidden="1"/>
    </xf>
    <xf numFmtId="0" fontId="1" fillId="7" borderId="4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center" vertical="center" shrinkToFit="1"/>
      <protection hidden="1"/>
    </xf>
    <xf numFmtId="0" fontId="1" fillId="7" borderId="21" xfId="0" applyFont="1" applyFill="1" applyBorder="1" applyAlignment="1" applyProtection="1">
      <alignment horizontal="left" vertical="center" shrinkToFit="1"/>
      <protection hidden="1"/>
    </xf>
    <xf numFmtId="0" fontId="1" fillId="7" borderId="22" xfId="0" applyFont="1" applyFill="1" applyBorder="1" applyAlignment="1" applyProtection="1">
      <alignment horizontal="center" vertical="center" shrinkToFit="1"/>
      <protection hidden="1"/>
    </xf>
    <xf numFmtId="0" fontId="1" fillId="7" borderId="71" xfId="0" applyFont="1" applyFill="1" applyBorder="1" applyAlignment="1" applyProtection="1">
      <alignment horizontal="center" vertical="center" shrinkToFit="1"/>
      <protection hidden="1"/>
    </xf>
    <xf numFmtId="0" fontId="1" fillId="7" borderId="65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0" fillId="0" borderId="37" xfId="0" applyBorder="1" applyAlignment="1" applyProtection="1">
      <alignment horizontal="center" vertical="center"/>
      <protection hidden="1"/>
    </xf>
    <xf numFmtId="0" fontId="0" fillId="0" borderId="37" xfId="0" applyBorder="1" applyAlignment="1" applyProtection="1">
      <alignment horizontal="center" vertical="center" shrinkToFit="1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1" fillId="7" borderId="18" xfId="0" applyFont="1" applyFill="1" applyBorder="1" applyAlignment="1" applyProtection="1">
      <alignment horizontal="center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0" xfId="0" applyFont="1" applyFill="1" applyBorder="1" applyAlignment="1" applyProtection="1">
      <alignment horizontal="center" vertical="center" shrinkToFit="1"/>
      <protection hidden="1"/>
    </xf>
    <xf numFmtId="3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11" xfId="0" applyFont="1" applyFill="1" applyBorder="1" applyAlignment="1" applyProtection="1">
      <alignment horizontal="center" vertical="center" shrinkToFit="1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" fillId="7" borderId="20" xfId="0" applyFont="1" applyFill="1" applyBorder="1" applyAlignment="1" applyProtection="1">
      <alignment horizontal="center" vertical="center" shrinkToFit="1"/>
      <protection hidden="1"/>
    </xf>
    <xf numFmtId="166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3" fontId="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39" xfId="0" applyFont="1" applyFill="1" applyBorder="1" applyAlignment="1" applyProtection="1">
      <alignment vertical="center" shrinkToFit="1"/>
      <protection hidden="1"/>
    </xf>
    <xf numFmtId="166" fontId="1" fillId="7" borderId="40" xfId="0" applyNumberFormat="1" applyFont="1" applyFill="1" applyBorder="1" applyAlignment="1" applyProtection="1">
      <alignment horizontal="center" vertical="center" shrinkToFit="1"/>
      <protection hidden="1"/>
    </xf>
    <xf numFmtId="44" fontId="6" fillId="7" borderId="40" xfId="1" applyFont="1" applyFill="1" applyBorder="1" applyAlignment="1" applyProtection="1">
      <alignment horizontal="center" vertical="center" shrinkToFit="1"/>
      <protection hidden="1"/>
    </xf>
    <xf numFmtId="3" fontId="6" fillId="7" borderId="40" xfId="0" applyNumberFormat="1" applyFont="1" applyFill="1" applyBorder="1" applyAlignment="1" applyProtection="1">
      <alignment horizontal="center" vertical="center" shrinkToFit="1"/>
      <protection hidden="1"/>
    </xf>
    <xf numFmtId="3" fontId="6" fillId="0" borderId="0" xfId="0" applyNumberFormat="1" applyFont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1" fillId="9" borderId="16" xfId="0" applyFont="1" applyFill="1" applyBorder="1" applyAlignment="1" applyProtection="1">
      <alignment horizontal="center" vertical="center" shrinkToFit="1"/>
      <protection hidden="1"/>
    </xf>
    <xf numFmtId="166" fontId="0" fillId="9" borderId="17" xfId="0" applyNumberFormat="1" applyFill="1" applyBorder="1" applyAlignment="1" applyProtection="1">
      <alignment horizontal="center" vertical="center" shrinkToFit="1"/>
      <protection hidden="1"/>
    </xf>
    <xf numFmtId="166" fontId="0" fillId="9" borderId="19" xfId="0" applyNumberFormat="1" applyFill="1" applyBorder="1" applyAlignment="1" applyProtection="1">
      <alignment horizontal="center" vertical="center" shrinkToFit="1"/>
      <protection hidden="1"/>
    </xf>
    <xf numFmtId="0" fontId="0" fillId="0" borderId="11" xfId="0" applyBorder="1" applyAlignment="1" applyProtection="1">
      <alignment horizontal="center" vertical="center" shrinkToFit="1"/>
      <protection hidden="1"/>
    </xf>
    <xf numFmtId="166" fontId="0" fillId="9" borderId="10" xfId="0" applyNumberFormat="1" applyFill="1" applyBorder="1" applyAlignment="1" applyProtection="1">
      <alignment horizontal="center" vertical="center" shrinkToFit="1"/>
      <protection hidden="1"/>
    </xf>
    <xf numFmtId="166" fontId="0" fillId="9" borderId="11" xfId="0" applyNumberFormat="1" applyFill="1" applyBorder="1" applyAlignment="1" applyProtection="1">
      <alignment horizontal="center" vertical="center" shrinkToFit="1"/>
      <protection hidden="1"/>
    </xf>
    <xf numFmtId="0" fontId="1" fillId="9" borderId="78" xfId="0" applyFont="1" applyFill="1" applyBorder="1" applyAlignment="1" applyProtection="1">
      <alignment horizontal="center" vertical="center" shrinkToFit="1"/>
      <protection hidden="1"/>
    </xf>
    <xf numFmtId="166" fontId="0" fillId="9" borderId="52" xfId="0" applyNumberFormat="1" applyFill="1" applyBorder="1" applyAlignment="1" applyProtection="1">
      <alignment horizontal="center" vertical="center" shrinkToFit="1"/>
      <protection hidden="1"/>
    </xf>
    <xf numFmtId="166" fontId="0" fillId="9" borderId="26" xfId="0" applyNumberFormat="1" applyFill="1" applyBorder="1" applyAlignment="1" applyProtection="1">
      <alignment horizontal="center" vertical="center" shrinkToFit="1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22" xfId="0" applyBorder="1" applyAlignment="1" applyProtection="1">
      <alignment horizontal="center" vertical="center" shrinkToFit="1"/>
      <protection hidden="1"/>
    </xf>
    <xf numFmtId="0" fontId="1" fillId="9" borderId="39" xfId="0" applyFont="1" applyFill="1" applyBorder="1" applyAlignment="1" applyProtection="1">
      <alignment horizontal="center" vertical="center" shrinkToFit="1"/>
      <protection hidden="1"/>
    </xf>
    <xf numFmtId="168" fontId="0" fillId="9" borderId="40" xfId="0" applyNumberFormat="1" applyFill="1" applyBorder="1" applyAlignment="1" applyProtection="1">
      <alignment horizontal="center" vertical="center" shrinkToFit="1"/>
      <protection hidden="1"/>
    </xf>
    <xf numFmtId="168" fontId="0" fillId="9" borderId="41" xfId="0" applyNumberFormat="1" applyFill="1" applyBorder="1" applyAlignment="1" applyProtection="1">
      <alignment horizontal="center" vertical="center" shrinkToFit="1"/>
      <protection hidden="1"/>
    </xf>
    <xf numFmtId="0" fontId="0" fillId="7" borderId="5" xfId="0" applyFill="1" applyBorder="1" applyAlignment="1" applyProtection="1">
      <alignment horizontal="center" vertical="center"/>
      <protection hidden="1"/>
    </xf>
    <xf numFmtId="0" fontId="0" fillId="7" borderId="5" xfId="0" applyFill="1" applyBorder="1" applyAlignment="1" applyProtection="1">
      <alignment horizontal="center" vertical="center" shrinkToFit="1"/>
      <protection hidden="1"/>
    </xf>
    <xf numFmtId="0" fontId="0" fillId="7" borderId="6" xfId="0" applyFill="1" applyBorder="1" applyAlignment="1" applyProtection="1">
      <alignment horizontal="center" vertical="center" shrinkToFit="1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38" xfId="0" applyFill="1" applyBorder="1" applyAlignment="1" applyProtection="1">
      <alignment horizontal="center" vertical="center" shrinkToFit="1"/>
      <protection hidden="1"/>
    </xf>
    <xf numFmtId="0" fontId="0" fillId="7" borderId="18" xfId="0" applyFill="1" applyBorder="1" applyAlignment="1" applyProtection="1">
      <alignment horizontal="center" vertical="center"/>
      <protection hidden="1"/>
    </xf>
    <xf numFmtId="0" fontId="0" fillId="7" borderId="10" xfId="0" applyFill="1" applyBorder="1" applyAlignment="1" applyProtection="1">
      <alignment horizontal="center" vertical="center" shrinkToFit="1"/>
      <protection hidden="1"/>
    </xf>
    <xf numFmtId="0" fontId="0" fillId="7" borderId="11" xfId="0" applyFill="1" applyBorder="1" applyAlignment="1" applyProtection="1">
      <alignment horizontal="center" vertical="center" shrinkToFit="1"/>
      <protection hidden="1"/>
    </xf>
    <xf numFmtId="0" fontId="20" fillId="0" borderId="0" xfId="0" applyFont="1" applyAlignment="1" applyProtection="1">
      <alignment horizontal="left" vertical="center" shrinkToFit="1"/>
      <protection hidden="1"/>
    </xf>
    <xf numFmtId="0" fontId="0" fillId="0" borderId="7" xfId="0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 shrinkToFit="1"/>
      <protection hidden="1"/>
    </xf>
    <xf numFmtId="0" fontId="0" fillId="7" borderId="22" xfId="0" applyFill="1" applyBorder="1" applyAlignment="1" applyProtection="1">
      <alignment horizontal="center" vertical="center" shrinkToFit="1"/>
      <protection hidden="1"/>
    </xf>
    <xf numFmtId="0" fontId="1" fillId="0" borderId="7" xfId="0" applyFont="1" applyBorder="1" applyAlignment="1" applyProtection="1">
      <alignment horizontal="center" vertical="center" shrinkToFit="1"/>
      <protection hidden="1"/>
    </xf>
    <xf numFmtId="0" fontId="1" fillId="5" borderId="39" xfId="0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14" fontId="0" fillId="0" borderId="18" xfId="0" applyNumberFormat="1" applyBorder="1" applyAlignment="1" applyProtection="1">
      <alignment vertical="center" shrinkToFit="1"/>
      <protection hidden="1"/>
    </xf>
    <xf numFmtId="14" fontId="0" fillId="0" borderId="10" xfId="0" applyNumberFormat="1" applyBorder="1" applyAlignment="1" applyProtection="1">
      <alignment vertical="center" shrinkToFit="1"/>
      <protection hidden="1"/>
    </xf>
    <xf numFmtId="0" fontId="0" fillId="9" borderId="12" xfId="0" applyFill="1" applyBorder="1" applyAlignment="1" applyProtection="1">
      <alignment horizontal="center" vertical="center" shrinkToFit="1"/>
      <protection hidden="1"/>
    </xf>
    <xf numFmtId="0" fontId="0" fillId="4" borderId="29" xfId="0" applyFill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0" fillId="0" borderId="12" xfId="0" applyBorder="1" applyAlignment="1" applyProtection="1">
      <alignment horizontal="center" vertical="center" shrinkToFit="1"/>
      <protection hidden="1"/>
    </xf>
    <xf numFmtId="0" fontId="15" fillId="0" borderId="0" xfId="0" applyFont="1" applyAlignment="1" applyProtection="1">
      <alignment vertical="center" shrinkToFit="1"/>
      <protection hidden="1"/>
    </xf>
    <xf numFmtId="0" fontId="0" fillId="0" borderId="38" xfId="0" applyBorder="1" applyAlignment="1" applyProtection="1">
      <alignment horizontal="center" vertical="center" shrinkToFit="1"/>
      <protection hidden="1"/>
    </xf>
    <xf numFmtId="167" fontId="1" fillId="2" borderId="18" xfId="0" applyNumberFormat="1" applyFont="1" applyFill="1" applyBorder="1" applyAlignment="1" applyProtection="1">
      <alignment horizontal="center" vertical="center" shrinkToFit="1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167" fontId="1" fillId="2" borderId="20" xfId="0" applyNumberFormat="1" applyFont="1" applyFill="1" applyBorder="1" applyAlignment="1" applyProtection="1">
      <alignment horizontal="center" vertical="center" shrinkToFit="1"/>
      <protection hidden="1"/>
    </xf>
    <xf numFmtId="14" fontId="0" fillId="0" borderId="21" xfId="0" applyNumberFormat="1" applyBorder="1" applyAlignment="1" applyProtection="1">
      <alignment vertical="center" shrinkToFit="1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1" fillId="5" borderId="53" xfId="0" applyFont="1" applyFill="1" applyBorder="1" applyAlignment="1" applyProtection="1">
      <alignment vertical="center"/>
      <protection hidden="1"/>
    </xf>
    <xf numFmtId="0" fontId="1" fillId="5" borderId="49" xfId="0" applyFont="1" applyFill="1" applyBorder="1" applyAlignment="1" applyProtection="1">
      <alignment vertical="center"/>
      <protection hidden="1"/>
    </xf>
    <xf numFmtId="0" fontId="1" fillId="5" borderId="40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" fillId="5" borderId="42" xfId="0" applyFont="1" applyFill="1" applyBorder="1" applyAlignment="1" applyProtection="1">
      <alignment horizontal="center" vertical="center"/>
      <protection hidden="1"/>
    </xf>
    <xf numFmtId="14" fontId="0" fillId="0" borderId="16" xfId="0" applyNumberFormat="1" applyBorder="1" applyAlignment="1" applyProtection="1">
      <alignment vertical="center" shrinkToFit="1"/>
      <protection hidden="1"/>
    </xf>
    <xf numFmtId="14" fontId="0" fillId="0" borderId="17" xfId="0" applyNumberFormat="1" applyBorder="1" applyAlignment="1" applyProtection="1">
      <alignment vertical="center" shrinkToFit="1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0" fillId="7" borderId="18" xfId="0" applyFill="1" applyBorder="1" applyAlignment="1" applyProtection="1">
      <alignment horizontal="center" vertical="center" shrinkToFit="1"/>
      <protection hidden="1"/>
    </xf>
    <xf numFmtId="0" fontId="0" fillId="7" borderId="20" xfId="0" applyFill="1" applyBorder="1" applyAlignment="1" applyProtection="1">
      <alignment horizontal="center" vertical="center" shrinkToFit="1"/>
      <protection hidden="1"/>
    </xf>
    <xf numFmtId="0" fontId="22" fillId="0" borderId="0" xfId="0" applyFont="1" applyAlignment="1" applyProtection="1">
      <alignment horizontal="center" vertical="center" shrinkToFit="1"/>
      <protection hidden="1"/>
    </xf>
    <xf numFmtId="0" fontId="6" fillId="10" borderId="65" xfId="0" applyFont="1" applyFill="1" applyBorder="1" applyAlignment="1" applyProtection="1">
      <alignment horizontal="center" vertical="center" shrinkToFit="1"/>
      <protection hidden="1"/>
    </xf>
    <xf numFmtId="0" fontId="6" fillId="5" borderId="65" xfId="0" applyFont="1" applyFill="1" applyBorder="1" applyAlignment="1" applyProtection="1">
      <alignment horizontal="center" vertical="center" shrinkToFit="1"/>
      <protection hidden="1"/>
    </xf>
    <xf numFmtId="0" fontId="6" fillId="5" borderId="72" xfId="0" applyFont="1" applyFill="1" applyBorder="1" applyAlignment="1" applyProtection="1">
      <alignment horizontal="center" vertical="center" shrinkToFit="1"/>
      <protection hidden="1"/>
    </xf>
    <xf numFmtId="0" fontId="1" fillId="0" borderId="37" xfId="0" applyFont="1" applyBorder="1" applyAlignment="1" applyProtection="1">
      <alignment horizontal="center" vertical="center" shrinkToFit="1"/>
      <protection hidden="1"/>
    </xf>
    <xf numFmtId="0" fontId="1" fillId="0" borderId="38" xfId="0" applyFont="1" applyBorder="1" applyAlignment="1" applyProtection="1">
      <alignment horizontal="center" vertical="center" shrinkToFit="1"/>
      <protection hidden="1"/>
    </xf>
    <xf numFmtId="0" fontId="1" fillId="0" borderId="11" xfId="0" applyFont="1" applyBorder="1" applyAlignment="1" applyProtection="1">
      <alignment horizontal="center" vertical="center" shrinkToFit="1"/>
      <protection hidden="1"/>
    </xf>
    <xf numFmtId="0" fontId="1" fillId="7" borderId="52" xfId="0" applyFont="1" applyFill="1" applyBorder="1" applyAlignment="1" applyProtection="1">
      <alignment horizontal="center" vertical="center" shrinkToFit="1"/>
      <protection hidden="1"/>
    </xf>
    <xf numFmtId="0" fontId="1" fillId="7" borderId="26" xfId="0" applyFont="1" applyFill="1" applyBorder="1" applyAlignment="1" applyProtection="1">
      <alignment horizontal="center" vertical="center" shrinkToFit="1"/>
      <protection hidden="1"/>
    </xf>
    <xf numFmtId="0" fontId="1" fillId="9" borderId="10" xfId="0" applyFont="1" applyFill="1" applyBorder="1" applyAlignment="1" applyProtection="1">
      <alignment horizontal="center" vertical="center" shrinkToFit="1"/>
      <protection hidden="1"/>
    </xf>
    <xf numFmtId="166" fontId="1" fillId="9" borderId="10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11" xfId="0" applyFont="1" applyFill="1" applyBorder="1" applyAlignment="1" applyProtection="1">
      <alignment horizontal="center" vertical="center" shrinkToFit="1"/>
      <protection hidden="1"/>
    </xf>
    <xf numFmtId="0" fontId="1" fillId="9" borderId="81" xfId="0" applyFont="1" applyFill="1" applyBorder="1" applyAlignment="1" applyProtection="1">
      <alignment horizontal="center" vertical="center" shrinkToFit="1"/>
      <protection hidden="1"/>
    </xf>
    <xf numFmtId="166" fontId="1" fillId="9" borderId="80" xfId="0" applyNumberFormat="1" applyFont="1" applyFill="1" applyBorder="1" applyAlignment="1" applyProtection="1">
      <alignment horizontal="center" vertical="center" shrinkToFit="1"/>
      <protection hidden="1"/>
    </xf>
    <xf numFmtId="0" fontId="1" fillId="9" borderId="80" xfId="0" applyFont="1" applyFill="1" applyBorder="1" applyAlignment="1" applyProtection="1">
      <alignment horizontal="center" vertical="center" shrinkToFit="1"/>
      <protection hidden="1"/>
    </xf>
    <xf numFmtId="0" fontId="1" fillId="9" borderId="79" xfId="0" applyFont="1" applyFill="1" applyBorder="1" applyAlignment="1" applyProtection="1">
      <alignment horizontal="center" vertical="center" shrinkToFit="1"/>
      <protection hidden="1"/>
    </xf>
    <xf numFmtId="0" fontId="6" fillId="9" borderId="56" xfId="0" applyFont="1" applyFill="1" applyBorder="1" applyAlignment="1" applyProtection="1">
      <alignment vertical="center" shrinkToFit="1"/>
      <protection hidden="1"/>
    </xf>
    <xf numFmtId="166" fontId="6" fillId="9" borderId="54" xfId="0" applyNumberFormat="1" applyFont="1" applyFill="1" applyBorder="1" applyAlignment="1" applyProtection="1">
      <alignment vertical="center" shrinkToFit="1"/>
      <protection hidden="1"/>
    </xf>
    <xf numFmtId="0" fontId="6" fillId="9" borderId="54" xfId="0" applyFont="1" applyFill="1" applyBorder="1" applyAlignment="1" applyProtection="1">
      <alignment horizontal="center" vertical="center" shrinkToFit="1"/>
      <protection hidden="1"/>
    </xf>
    <xf numFmtId="0" fontId="0" fillId="11" borderId="18" xfId="0" applyFill="1" applyBorder="1" applyAlignment="1" applyProtection="1">
      <alignment horizontal="center" vertical="center"/>
      <protection hidden="1"/>
    </xf>
    <xf numFmtId="166" fontId="0" fillId="11" borderId="10" xfId="0" applyNumberFormat="1" applyFill="1" applyBorder="1" applyAlignment="1" applyProtection="1">
      <alignment horizontal="center" vertical="center"/>
      <protection hidden="1"/>
    </xf>
    <xf numFmtId="3" fontId="0" fillId="11" borderId="10" xfId="0" applyNumberFormat="1" applyFill="1" applyBorder="1" applyAlignment="1" applyProtection="1">
      <alignment horizontal="center" vertical="center"/>
      <protection hidden="1"/>
    </xf>
    <xf numFmtId="0" fontId="0" fillId="11" borderId="10" xfId="0" applyFill="1" applyBorder="1" applyAlignment="1" applyProtection="1">
      <alignment horizontal="center" vertical="center"/>
      <protection hidden="1"/>
    </xf>
    <xf numFmtId="166" fontId="0" fillId="11" borderId="80" xfId="0" applyNumberFormat="1" applyFill="1" applyBorder="1" applyAlignment="1" applyProtection="1">
      <alignment horizontal="center" vertical="center"/>
      <protection hidden="1"/>
    </xf>
    <xf numFmtId="3" fontId="0" fillId="11" borderId="80" xfId="0" applyNumberFormat="1" applyFill="1" applyBorder="1" applyAlignment="1" applyProtection="1">
      <alignment horizontal="center" vertical="center"/>
      <protection hidden="1"/>
    </xf>
    <xf numFmtId="0" fontId="0" fillId="11" borderId="80" xfId="0" applyFill="1" applyBorder="1" applyAlignment="1" applyProtection="1">
      <alignment horizontal="center" vertical="center"/>
      <protection hidden="1"/>
    </xf>
    <xf numFmtId="0" fontId="6" fillId="11" borderId="77" xfId="0" applyFont="1" applyFill="1" applyBorder="1" applyAlignment="1" applyProtection="1">
      <alignment vertical="center" shrinkToFit="1"/>
      <protection hidden="1"/>
    </xf>
    <xf numFmtId="166" fontId="6" fillId="11" borderId="54" xfId="0" applyNumberFormat="1" applyFont="1" applyFill="1" applyBorder="1" applyAlignment="1" applyProtection="1">
      <alignment vertical="center" shrinkToFit="1"/>
      <protection hidden="1"/>
    </xf>
    <xf numFmtId="3" fontId="6" fillId="11" borderId="54" xfId="0" applyNumberFormat="1" applyFont="1" applyFill="1" applyBorder="1" applyAlignment="1" applyProtection="1">
      <alignment horizontal="center" vertical="center" shrinkToFit="1"/>
      <protection hidden="1"/>
    </xf>
    <xf numFmtId="0" fontId="6" fillId="7" borderId="71" xfId="0" applyFont="1" applyFill="1" applyBorder="1" applyAlignment="1" applyProtection="1">
      <alignment vertical="center" shrinkToFit="1"/>
      <protection hidden="1"/>
    </xf>
    <xf numFmtId="166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5" xfId="0" applyNumberFormat="1" applyFont="1" applyFill="1" applyBorder="1" applyAlignment="1" applyProtection="1">
      <alignment horizontal="center" vertical="center" shrinkToFit="1"/>
      <protection hidden="1"/>
    </xf>
    <xf numFmtId="3" fontId="6" fillId="7" borderId="65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42" xfId="0" applyFont="1" applyFill="1" applyBorder="1" applyAlignment="1" applyProtection="1">
      <alignment horizontal="center" vertical="center" shrinkToFit="1"/>
      <protection hidden="1"/>
    </xf>
    <xf numFmtId="166" fontId="1" fillId="7" borderId="37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7" xfId="0" applyFont="1" applyFill="1" applyBorder="1" applyAlignment="1" applyProtection="1">
      <alignment horizontal="center" vertical="center" shrinkToFit="1"/>
      <protection hidden="1"/>
    </xf>
    <xf numFmtId="0" fontId="1" fillId="7" borderId="38" xfId="0" applyFont="1" applyFill="1" applyBorder="1" applyAlignment="1" applyProtection="1">
      <alignment horizontal="center" vertical="center" shrinkToFit="1"/>
      <protection hidden="1"/>
    </xf>
    <xf numFmtId="165" fontId="37" fillId="10" borderId="0" xfId="0" applyNumberFormat="1" applyFont="1" applyFill="1" applyAlignment="1" applyProtection="1">
      <alignment vertical="center" shrinkToFit="1"/>
      <protection hidden="1"/>
    </xf>
    <xf numFmtId="0" fontId="31" fillId="7" borderId="40" xfId="0" applyFont="1" applyFill="1" applyBorder="1" applyAlignment="1" applyProtection="1">
      <alignment horizontal="center" vertical="center"/>
      <protection hidden="1"/>
    </xf>
    <xf numFmtId="0" fontId="31" fillId="7" borderId="41" xfId="0" applyFont="1" applyFill="1" applyBorder="1" applyAlignment="1" applyProtection="1">
      <alignment horizontal="center" vertical="center"/>
      <protection hidden="1"/>
    </xf>
    <xf numFmtId="0" fontId="32" fillId="6" borderId="40" xfId="0" applyFont="1" applyFill="1" applyBorder="1" applyAlignment="1" applyProtection="1">
      <alignment horizontal="center" vertical="center" shrinkToFit="1"/>
      <protection hidden="1"/>
    </xf>
    <xf numFmtId="0" fontId="32" fillId="6" borderId="41" xfId="0" applyFont="1" applyFill="1" applyBorder="1" applyAlignment="1" applyProtection="1">
      <alignment horizontal="center" vertical="center" shrinkToFit="1"/>
      <protection hidden="1"/>
    </xf>
    <xf numFmtId="167" fontId="31" fillId="2" borderId="42" xfId="0" applyNumberFormat="1" applyFont="1" applyFill="1" applyBorder="1" applyAlignment="1" applyProtection="1">
      <alignment horizontal="center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/>
      <protection hidden="1"/>
    </xf>
    <xf numFmtId="167" fontId="31" fillId="6" borderId="55" xfId="0" applyNumberFormat="1" applyFont="1" applyFill="1" applyBorder="1" applyAlignment="1" applyProtection="1">
      <alignment vertical="center"/>
      <protection hidden="1"/>
    </xf>
    <xf numFmtId="49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2" borderId="37" xfId="0" applyNumberFormat="1" applyFont="1" applyFill="1" applyBorder="1" applyAlignment="1" applyProtection="1">
      <alignment horizontal="center" vertical="center" shrinkToFit="1"/>
      <protection locked="0"/>
    </xf>
    <xf numFmtId="166" fontId="31" fillId="0" borderId="37" xfId="0" applyNumberFormat="1" applyFont="1" applyBorder="1" applyAlignment="1" applyProtection="1">
      <alignment horizontal="center" vertical="center" shrinkToFit="1"/>
      <protection locked="0"/>
    </xf>
    <xf numFmtId="49" fontId="31" fillId="0" borderId="37" xfId="0" applyNumberFormat="1" applyFont="1" applyBorder="1" applyAlignment="1" applyProtection="1">
      <alignment horizontal="left" vertical="center" shrinkToFit="1"/>
      <protection locked="0"/>
    </xf>
    <xf numFmtId="0" fontId="31" fillId="2" borderId="37" xfId="0" applyFont="1" applyFill="1" applyBorder="1" applyAlignment="1" applyProtection="1">
      <alignment horizontal="center" vertical="center" shrinkToFit="1"/>
      <protection locked="0"/>
    </xf>
    <xf numFmtId="0" fontId="31" fillId="2" borderId="38" xfId="0" applyFont="1" applyFill="1" applyBorder="1" applyAlignment="1" applyProtection="1">
      <alignment horizontal="center" vertical="center" shrinkToFit="1"/>
      <protection locked="0"/>
    </xf>
    <xf numFmtId="167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6" xfId="0" applyNumberFormat="1" applyFont="1" applyFill="1" applyBorder="1" applyAlignment="1" applyProtection="1">
      <alignment horizontal="center" vertical="center" shrinkToFit="1"/>
      <protection locked="0"/>
    </xf>
    <xf numFmtId="14" fontId="31" fillId="2" borderId="18" xfId="0" applyNumberFormat="1" applyFont="1" applyFill="1" applyBorder="1" applyAlignment="1" applyProtection="1">
      <alignment horizontal="center" vertical="center" shrinkToFit="1"/>
      <protection locked="0"/>
    </xf>
    <xf numFmtId="167" fontId="31" fillId="2" borderId="20" xfId="0" applyNumberFormat="1" applyFont="1" applyFill="1" applyBorder="1" applyAlignment="1" applyProtection="1">
      <alignment horizontal="center" vertical="center" shrinkToFit="1"/>
      <protection locked="0"/>
    </xf>
    <xf numFmtId="0" fontId="32" fillId="8" borderId="1" xfId="0" applyFont="1" applyFill="1" applyBorder="1" applyAlignment="1" applyProtection="1">
      <alignment horizontal="center" vertical="center"/>
      <protection hidden="1"/>
    </xf>
    <xf numFmtId="0" fontId="31" fillId="6" borderId="3" xfId="0" applyFont="1" applyFill="1" applyBorder="1" applyAlignment="1" applyProtection="1">
      <alignment horizontal="right" vertical="center"/>
      <protection hidden="1"/>
    </xf>
    <xf numFmtId="0" fontId="31" fillId="2" borderId="3" xfId="0" applyFont="1" applyFill="1" applyBorder="1" applyAlignment="1" applyProtection="1">
      <alignment horizontal="right" vertical="center" shrinkToFit="1"/>
      <protection locked="0"/>
    </xf>
    <xf numFmtId="0" fontId="31" fillId="6" borderId="55" xfId="0" applyFont="1" applyFill="1" applyBorder="1" applyAlignment="1" applyProtection="1">
      <alignment horizontal="center" vertical="center" shrinkToFit="1"/>
      <protection hidden="1"/>
    </xf>
    <xf numFmtId="167" fontId="31" fillId="6" borderId="55" xfId="0" applyNumberFormat="1" applyFont="1" applyFill="1" applyBorder="1" applyAlignment="1" applyProtection="1">
      <alignment vertical="center" shrinkToFit="1"/>
      <protection hidden="1"/>
    </xf>
    <xf numFmtId="1" fontId="31" fillId="6" borderId="32" xfId="0" applyNumberFormat="1" applyFont="1" applyFill="1" applyBorder="1" applyAlignment="1" applyProtection="1">
      <alignment horizontal="right" vertical="center" shrinkToFit="1"/>
      <protection hidden="1"/>
    </xf>
    <xf numFmtId="0" fontId="35" fillId="10" borderId="0" xfId="0" applyFont="1" applyFill="1" applyAlignment="1" applyProtection="1">
      <alignment horizontal="left" vertical="center"/>
      <protection hidden="1"/>
    </xf>
    <xf numFmtId="0" fontId="35" fillId="10" borderId="0" xfId="0" applyFont="1" applyFill="1" applyAlignment="1" applyProtection="1">
      <alignment horizontal="right" vertical="center"/>
      <protection hidden="1"/>
    </xf>
    <xf numFmtId="0" fontId="35" fillId="10" borderId="0" xfId="0" applyFont="1" applyFill="1" applyAlignment="1" applyProtection="1">
      <alignment horizontal="center" vertical="center"/>
      <protection hidden="1"/>
    </xf>
    <xf numFmtId="0" fontId="31" fillId="10" borderId="0" xfId="0" applyFont="1" applyFill="1" applyAlignment="1" applyProtection="1">
      <alignment vertical="center"/>
      <protection hidden="1"/>
    </xf>
    <xf numFmtId="0" fontId="31" fillId="10" borderId="0" xfId="0" applyFont="1" applyFill="1" applyAlignment="1" applyProtection="1">
      <alignment horizontal="right" vertical="center"/>
      <protection hidden="1"/>
    </xf>
    <xf numFmtId="3" fontId="32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right" vertical="center"/>
      <protection hidden="1"/>
    </xf>
    <xf numFmtId="0" fontId="43" fillId="10" borderId="0" xfId="0" applyFont="1" applyFill="1" applyAlignment="1" applyProtection="1">
      <alignment vertical="center"/>
      <protection hidden="1"/>
    </xf>
    <xf numFmtId="0" fontId="43" fillId="10" borderId="0" xfId="0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left" vertical="center"/>
      <protection hidden="1"/>
    </xf>
    <xf numFmtId="14" fontId="45" fillId="10" borderId="0" xfId="0" applyNumberFormat="1" applyFont="1" applyFill="1" applyAlignment="1" applyProtection="1">
      <alignment vertical="center"/>
      <protection hidden="1"/>
    </xf>
    <xf numFmtId="14" fontId="43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center" vertical="center"/>
      <protection hidden="1"/>
    </xf>
    <xf numFmtId="14" fontId="45" fillId="10" borderId="0" xfId="0" applyNumberFormat="1" applyFont="1" applyFill="1" applyAlignment="1" applyProtection="1">
      <alignment horizontal="right" vertical="center"/>
      <protection hidden="1"/>
    </xf>
    <xf numFmtId="14" fontId="45" fillId="10" borderId="0" xfId="0" applyNumberFormat="1" applyFont="1" applyFill="1" applyAlignment="1" applyProtection="1">
      <alignment horizontal="left" vertical="center"/>
      <protection hidden="1"/>
    </xf>
    <xf numFmtId="165" fontId="28" fillId="0" borderId="0" xfId="0" applyNumberFormat="1" applyFont="1" applyAlignment="1" applyProtection="1">
      <alignment horizontal="center" vertical="center" shrinkToFit="1"/>
      <protection hidden="1"/>
    </xf>
    <xf numFmtId="0" fontId="31" fillId="0" borderId="27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31" fillId="0" borderId="58" xfId="0" applyFont="1" applyBorder="1" applyAlignment="1" applyProtection="1">
      <alignment horizontal="center" vertical="center"/>
      <protection locked="0"/>
    </xf>
    <xf numFmtId="0" fontId="31" fillId="10" borderId="0" xfId="0" applyFont="1" applyFill="1" applyAlignment="1" applyProtection="1">
      <alignment horizontal="center" vertical="center"/>
      <protection hidden="1"/>
    </xf>
    <xf numFmtId="0" fontId="29" fillId="4" borderId="64" xfId="0" applyFont="1" applyFill="1" applyBorder="1" applyAlignment="1" applyProtection="1">
      <alignment horizontal="center" vertical="center" wrapText="1"/>
      <protection hidden="1"/>
    </xf>
    <xf numFmtId="0" fontId="29" fillId="4" borderId="70" xfId="0" applyFont="1" applyFill="1" applyBorder="1" applyAlignment="1" applyProtection="1">
      <alignment horizontal="center" vertical="center" wrapText="1"/>
      <protection hidden="1"/>
    </xf>
    <xf numFmtId="0" fontId="29" fillId="4" borderId="89" xfId="0" applyFont="1" applyFill="1" applyBorder="1" applyAlignment="1" applyProtection="1">
      <alignment horizontal="center" vertical="center" wrapText="1"/>
      <protection hidden="1"/>
    </xf>
    <xf numFmtId="165" fontId="37" fillId="10" borderId="0" xfId="0" applyNumberFormat="1" applyFont="1" applyFill="1" applyAlignment="1" applyProtection="1">
      <alignment horizontal="center" vertical="center" shrinkToFit="1"/>
      <protection hidden="1"/>
    </xf>
    <xf numFmtId="16" fontId="46" fillId="10" borderId="0" xfId="0" applyNumberFormat="1" applyFont="1" applyFill="1" applyAlignment="1" applyProtection="1">
      <alignment horizontal="center" vertical="center"/>
      <protection hidden="1"/>
    </xf>
    <xf numFmtId="14" fontId="45" fillId="10" borderId="0" xfId="0" applyNumberFormat="1" applyFont="1" applyFill="1" applyAlignment="1" applyProtection="1">
      <alignment horizontal="center" vertical="center"/>
      <protection hidden="1"/>
    </xf>
    <xf numFmtId="0" fontId="43" fillId="10" borderId="0" xfId="0" applyFont="1" applyFill="1" applyAlignment="1" applyProtection="1">
      <alignment horizontal="center" vertical="center" shrinkToFit="1"/>
      <protection hidden="1"/>
    </xf>
    <xf numFmtId="49" fontId="31" fillId="0" borderId="9" xfId="0" applyNumberFormat="1" applyFont="1" applyBorder="1" applyAlignment="1" applyProtection="1">
      <alignment horizontal="center" vertical="center" shrinkToFit="1"/>
      <protection locked="0"/>
    </xf>
    <xf numFmtId="49" fontId="31" fillId="0" borderId="34" xfId="0" applyNumberFormat="1" applyFont="1" applyBorder="1" applyAlignment="1" applyProtection="1">
      <alignment horizontal="center" vertical="center" shrinkToFit="1"/>
      <protection locked="0"/>
    </xf>
    <xf numFmtId="49" fontId="31" fillId="0" borderId="8" xfId="0" applyNumberFormat="1" applyFont="1" applyBorder="1" applyAlignment="1" applyProtection="1">
      <alignment horizontal="center" vertical="center" shrinkToFit="1"/>
      <protection locked="0"/>
    </xf>
    <xf numFmtId="0" fontId="32" fillId="5" borderId="1" xfId="0" applyFont="1" applyFill="1" applyBorder="1" applyAlignment="1" applyProtection="1">
      <alignment horizontal="center" vertical="center" wrapText="1" shrinkToFit="1"/>
      <protection hidden="1"/>
    </xf>
    <xf numFmtId="0" fontId="32" fillId="5" borderId="7" xfId="0" applyFont="1" applyFill="1" applyBorder="1" applyAlignment="1" applyProtection="1">
      <alignment horizontal="center" vertical="center" wrapText="1" shrinkToFit="1"/>
      <protection hidden="1"/>
    </xf>
    <xf numFmtId="0" fontId="31" fillId="4" borderId="28" xfId="0" applyFont="1" applyFill="1" applyBorder="1" applyAlignment="1" applyProtection="1">
      <alignment horizontal="right" vertical="center"/>
      <protection hidden="1"/>
    </xf>
    <xf numFmtId="0" fontId="31" fillId="4" borderId="29" xfId="0" applyFont="1" applyFill="1" applyBorder="1" applyAlignment="1" applyProtection="1">
      <alignment horizontal="right" vertical="center"/>
      <protection hidden="1"/>
    </xf>
    <xf numFmtId="3" fontId="3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31" fillId="5" borderId="49" xfId="0" applyNumberFormat="1" applyFont="1" applyFill="1" applyBorder="1" applyAlignment="1" applyProtection="1">
      <alignment horizontal="center" vertical="center" wrapText="1"/>
      <protection hidden="1"/>
    </xf>
    <xf numFmtId="49" fontId="31" fillId="0" borderId="3" xfId="0" applyNumberFormat="1" applyFont="1" applyBorder="1" applyAlignment="1" applyProtection="1">
      <alignment horizontal="center" vertical="center" shrinkToFit="1"/>
      <protection locked="0"/>
    </xf>
    <xf numFmtId="49" fontId="31" fillId="0" borderId="55" xfId="0" applyNumberFormat="1" applyFont="1" applyBorder="1" applyAlignment="1" applyProtection="1">
      <alignment horizontal="center" vertical="center" shrinkToFit="1"/>
      <protection locked="0"/>
    </xf>
    <xf numFmtId="49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1" fillId="3" borderId="46" xfId="0" applyFont="1" applyFill="1" applyBorder="1" applyAlignment="1" applyProtection="1">
      <alignment horizontal="center" vertical="center" wrapText="1"/>
      <protection hidden="1"/>
    </xf>
    <xf numFmtId="0" fontId="31" fillId="3" borderId="51" xfId="0" applyFont="1" applyFill="1" applyBorder="1" applyAlignment="1" applyProtection="1">
      <alignment horizontal="center" vertical="center" wrapText="1"/>
      <protection hidden="1"/>
    </xf>
    <xf numFmtId="0" fontId="31" fillId="3" borderId="49" xfId="0" applyFont="1" applyFill="1" applyBorder="1" applyAlignment="1" applyProtection="1">
      <alignment horizontal="center" vertical="center" wrapText="1"/>
      <protection hidden="1"/>
    </xf>
    <xf numFmtId="49" fontId="31" fillId="0" borderId="14" xfId="0" applyNumberFormat="1" applyFont="1" applyBorder="1" applyAlignment="1" applyProtection="1">
      <alignment horizontal="center" vertical="center" shrinkToFit="1"/>
      <protection locked="0"/>
    </xf>
    <xf numFmtId="49" fontId="31" fillId="0" borderId="67" xfId="0" applyNumberFormat="1" applyFont="1" applyBorder="1" applyAlignment="1" applyProtection="1">
      <alignment horizontal="center" vertical="center" shrinkToFit="1"/>
      <protection locked="0"/>
    </xf>
    <xf numFmtId="49" fontId="31" fillId="0" borderId="13" xfId="0" applyNumberFormat="1" applyFont="1" applyBorder="1" applyAlignment="1" applyProtection="1">
      <alignment horizontal="center" vertical="center" shrinkToFit="1"/>
      <protection locked="0"/>
    </xf>
    <xf numFmtId="0" fontId="33" fillId="6" borderId="53" xfId="0" applyFont="1" applyFill="1" applyBorder="1" applyAlignment="1" applyProtection="1">
      <alignment horizontal="center" vertical="center" shrinkToFit="1"/>
      <protection hidden="1"/>
    </xf>
    <xf numFmtId="0" fontId="33" fillId="6" borderId="51" xfId="0" applyFont="1" applyFill="1" applyBorder="1" applyAlignment="1" applyProtection="1">
      <alignment horizontal="center" vertical="center" shrinkToFit="1"/>
      <protection hidden="1"/>
    </xf>
    <xf numFmtId="0" fontId="33" fillId="6" borderId="49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right" vertical="center"/>
      <protection hidden="1"/>
    </xf>
    <xf numFmtId="0" fontId="31" fillId="4" borderId="50" xfId="0" applyFont="1" applyFill="1" applyBorder="1" applyAlignment="1" applyProtection="1">
      <alignment horizontal="right" vertical="center"/>
      <protection hidden="1"/>
    </xf>
    <xf numFmtId="49" fontId="31" fillId="0" borderId="32" xfId="0" applyNumberFormat="1" applyFont="1" applyBorder="1" applyAlignment="1" applyProtection="1">
      <alignment horizontal="center" vertical="center" shrinkToFit="1"/>
      <protection locked="0"/>
    </xf>
    <xf numFmtId="49" fontId="31" fillId="0" borderId="36" xfId="0" applyNumberFormat="1" applyFont="1" applyBorder="1" applyAlignment="1" applyProtection="1">
      <alignment horizontal="center" vertical="center" shrinkToFit="1"/>
      <protection locked="0"/>
    </xf>
    <xf numFmtId="49" fontId="31" fillId="0" borderId="23" xfId="0" applyNumberFormat="1" applyFont="1" applyBorder="1" applyAlignment="1" applyProtection="1">
      <alignment horizontal="center" vertical="center" shrinkToFit="1"/>
      <protection locked="0"/>
    </xf>
    <xf numFmtId="0" fontId="32" fillId="5" borderId="45" xfId="0" applyFont="1" applyFill="1" applyBorder="1" applyAlignment="1" applyProtection="1">
      <alignment horizontal="center" vertical="center" wrapText="1" shrinkToFit="1"/>
      <protection hidden="1"/>
    </xf>
    <xf numFmtId="0" fontId="32" fillId="5" borderId="77" xfId="0" applyFont="1" applyFill="1" applyBorder="1" applyAlignment="1" applyProtection="1">
      <alignment horizontal="center" vertical="center" wrapText="1" shrinkToFit="1"/>
      <protection hidden="1"/>
    </xf>
    <xf numFmtId="0" fontId="31" fillId="4" borderId="27" xfId="0" applyFont="1" applyFill="1" applyBorder="1" applyAlignment="1" applyProtection="1">
      <alignment horizontal="right" vertical="center"/>
      <protection hidden="1"/>
    </xf>
    <xf numFmtId="3" fontId="31" fillId="5" borderId="40" xfId="0" applyNumberFormat="1" applyFont="1" applyFill="1" applyBorder="1" applyAlignment="1" applyProtection="1">
      <alignment horizontal="center" vertical="center" wrapText="1"/>
      <protection hidden="1"/>
    </xf>
    <xf numFmtId="49" fontId="31" fillId="0" borderId="48" xfId="0" applyNumberFormat="1" applyFont="1" applyBorder="1" applyAlignment="1" applyProtection="1">
      <alignment horizontal="center" vertical="center" shrinkToFit="1"/>
      <protection locked="0"/>
    </xf>
    <xf numFmtId="49" fontId="31" fillId="0" borderId="25" xfId="0" applyNumberFormat="1" applyFont="1" applyBorder="1" applyAlignment="1" applyProtection="1">
      <alignment horizontal="center" vertical="center" shrinkToFit="1"/>
      <protection locked="0"/>
    </xf>
    <xf numFmtId="49" fontId="31" fillId="0" borderId="47" xfId="0" applyNumberFormat="1" applyFont="1" applyBorder="1" applyAlignment="1" applyProtection="1">
      <alignment horizontal="center" vertical="center" shrinkToFit="1"/>
      <protection locked="0"/>
    </xf>
    <xf numFmtId="0" fontId="31" fillId="3" borderId="40" xfId="0" applyFont="1" applyFill="1" applyBorder="1" applyAlignment="1" applyProtection="1">
      <alignment horizontal="center" vertical="center" wrapText="1"/>
      <protection hidden="1"/>
    </xf>
    <xf numFmtId="0" fontId="32" fillId="5" borderId="12" xfId="0" applyFont="1" applyFill="1" applyBorder="1" applyAlignment="1" applyProtection="1">
      <alignment horizontal="center" vertical="center" wrapText="1" shrinkToFit="1"/>
      <protection hidden="1"/>
    </xf>
    <xf numFmtId="3" fontId="31" fillId="5" borderId="54" xfId="0" applyNumberFormat="1" applyFont="1" applyFill="1" applyBorder="1" applyAlignment="1" applyProtection="1">
      <alignment horizontal="center" vertical="center" wrapText="1"/>
      <protection hidden="1"/>
    </xf>
    <xf numFmtId="14" fontId="31" fillId="7" borderId="53" xfId="0" applyNumberFormat="1" applyFont="1" applyFill="1" applyBorder="1" applyAlignment="1" applyProtection="1">
      <alignment horizontal="center" vertical="center"/>
      <protection hidden="1"/>
    </xf>
    <xf numFmtId="14" fontId="31" fillId="7" borderId="50" xfId="0" applyNumberFormat="1" applyFont="1" applyFill="1" applyBorder="1" applyAlignment="1" applyProtection="1">
      <alignment horizontal="center" vertical="center"/>
      <protection hidden="1"/>
    </xf>
    <xf numFmtId="0" fontId="31" fillId="7" borderId="66" xfId="0" applyFont="1" applyFill="1" applyBorder="1" applyAlignment="1" applyProtection="1">
      <alignment horizontal="center" vertical="center" shrinkToFit="1"/>
      <protection hidden="1"/>
    </xf>
    <xf numFmtId="0" fontId="31" fillId="7" borderId="0" xfId="0" applyFont="1" applyFill="1" applyAlignment="1" applyProtection="1">
      <alignment horizontal="center" vertical="center" shrinkToFit="1"/>
      <protection hidden="1"/>
    </xf>
    <xf numFmtId="0" fontId="31" fillId="7" borderId="15" xfId="0" applyFont="1" applyFill="1" applyBorder="1" applyAlignment="1" applyProtection="1">
      <alignment horizontal="center" vertical="center" shrinkToFit="1"/>
      <protection hidden="1"/>
    </xf>
    <xf numFmtId="0" fontId="31" fillId="7" borderId="35" xfId="0" applyFont="1" applyFill="1" applyBorder="1" applyAlignment="1" applyProtection="1">
      <alignment horizontal="left" vertical="center"/>
      <protection hidden="1"/>
    </xf>
    <xf numFmtId="0" fontId="31" fillId="7" borderId="36" xfId="0" applyFont="1" applyFill="1" applyBorder="1" applyAlignment="1" applyProtection="1">
      <alignment horizontal="left" vertical="center"/>
      <protection hidden="1"/>
    </xf>
    <xf numFmtId="0" fontId="31" fillId="7" borderId="18" xfId="0" applyFont="1" applyFill="1" applyBorder="1" applyAlignment="1" applyProtection="1">
      <alignment horizontal="center" vertical="center"/>
      <protection hidden="1"/>
    </xf>
    <xf numFmtId="0" fontId="31" fillId="7" borderId="9" xfId="0" applyFont="1" applyFill="1" applyBorder="1" applyAlignment="1" applyProtection="1">
      <alignment horizontal="center" vertical="center"/>
      <protection hidden="1"/>
    </xf>
    <xf numFmtId="0" fontId="31" fillId="7" borderId="33" xfId="0" applyFont="1" applyFill="1" applyBorder="1" applyAlignment="1" applyProtection="1">
      <alignment horizontal="left" vertical="center"/>
      <protection hidden="1"/>
    </xf>
    <xf numFmtId="0" fontId="31" fillId="7" borderId="34" xfId="0" applyFont="1" applyFill="1" applyBorder="1" applyAlignment="1" applyProtection="1">
      <alignment horizontal="left" vertical="center"/>
      <protection hidden="1"/>
    </xf>
    <xf numFmtId="0" fontId="31" fillId="4" borderId="53" xfId="0" applyFont="1" applyFill="1" applyBorder="1" applyAlignment="1" applyProtection="1">
      <alignment horizontal="center" vertical="center" shrinkToFit="1"/>
      <protection hidden="1"/>
    </xf>
    <xf numFmtId="0" fontId="31" fillId="4" borderId="51" xfId="0" applyFont="1" applyFill="1" applyBorder="1" applyAlignment="1" applyProtection="1">
      <alignment horizontal="center" vertical="center" shrinkToFit="1"/>
      <protection hidden="1"/>
    </xf>
    <xf numFmtId="0" fontId="31" fillId="4" borderId="50" xfId="0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center" vertical="center" shrinkToFit="1"/>
      <protection hidden="1"/>
    </xf>
    <xf numFmtId="0" fontId="31" fillId="5" borderId="49" xfId="0" applyFont="1" applyFill="1" applyBorder="1" applyAlignment="1" applyProtection="1">
      <alignment horizontal="center" vertical="center" shrinkToFit="1"/>
      <protection hidden="1"/>
    </xf>
    <xf numFmtId="0" fontId="31" fillId="7" borderId="27" xfId="0" applyFont="1" applyFill="1" applyBorder="1" applyAlignment="1" applyProtection="1">
      <alignment horizontal="center" vertical="center"/>
      <protection hidden="1"/>
    </xf>
    <xf numFmtId="0" fontId="31" fillId="7" borderId="31" xfId="0" applyFont="1" applyFill="1" applyBorder="1" applyAlignment="1" applyProtection="1">
      <alignment horizontal="center" vertical="center"/>
      <protection hidden="1"/>
    </xf>
    <xf numFmtId="0" fontId="31" fillId="7" borderId="56" xfId="0" applyFont="1" applyFill="1" applyBorder="1" applyAlignment="1" applyProtection="1">
      <alignment horizontal="center" vertical="center"/>
      <protection hidden="1"/>
    </xf>
    <xf numFmtId="0" fontId="31" fillId="7" borderId="69" xfId="0" applyFont="1" applyFill="1" applyBorder="1" applyAlignment="1" applyProtection="1">
      <alignment horizontal="center" vertical="center"/>
      <protection hidden="1"/>
    </xf>
    <xf numFmtId="0" fontId="31" fillId="7" borderId="5" xfId="0" applyFont="1" applyFill="1" applyBorder="1" applyAlignment="1" applyProtection="1">
      <alignment horizontal="center" vertical="center" shrinkToFit="1"/>
      <protection hidden="1"/>
    </xf>
    <xf numFmtId="0" fontId="31" fillId="7" borderId="54" xfId="0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/>
      <protection hidden="1"/>
    </xf>
    <xf numFmtId="0" fontId="31" fillId="7" borderId="55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/>
      <protection hidden="1"/>
    </xf>
    <xf numFmtId="0" fontId="31" fillId="7" borderId="60" xfId="0" applyFont="1" applyFill="1" applyBorder="1" applyAlignment="1" applyProtection="1">
      <alignment horizontal="center" vertical="center"/>
      <protection hidden="1"/>
    </xf>
    <xf numFmtId="165" fontId="37" fillId="0" borderId="0" xfId="0" applyNumberFormat="1" applyFont="1" applyAlignment="1" applyProtection="1">
      <alignment horizontal="center" vertical="center" shrinkToFit="1"/>
      <protection hidden="1"/>
    </xf>
    <xf numFmtId="0" fontId="31" fillId="9" borderId="37" xfId="0" applyFont="1" applyFill="1" applyBorder="1" applyAlignment="1" applyProtection="1">
      <alignment horizontal="center" vertical="center" wrapText="1"/>
      <protection hidden="1"/>
    </xf>
    <xf numFmtId="0" fontId="31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8" xfId="0" applyFont="1" applyFill="1" applyBorder="1" applyAlignment="1" applyProtection="1">
      <alignment horizontal="center" vertical="center" wrapText="1"/>
      <protection hidden="1"/>
    </xf>
    <xf numFmtId="0" fontId="31" fillId="9" borderId="22" xfId="0" applyFont="1" applyFill="1" applyBorder="1" applyAlignment="1" applyProtection="1">
      <alignment horizontal="center" vertical="center" wrapText="1"/>
      <protection hidden="1"/>
    </xf>
    <xf numFmtId="0" fontId="31" fillId="4" borderId="4" xfId="0" applyFont="1" applyFill="1" applyBorder="1" applyAlignment="1" applyProtection="1">
      <alignment horizontal="center" vertical="center" shrinkToFit="1"/>
      <protection hidden="1"/>
    </xf>
    <xf numFmtId="0" fontId="31" fillId="4" borderId="5" xfId="0" applyFont="1" applyFill="1" applyBorder="1" applyAlignment="1" applyProtection="1">
      <alignment horizontal="center" vertical="center" shrinkToFit="1"/>
      <protection hidden="1"/>
    </xf>
    <xf numFmtId="0" fontId="31" fillId="4" borderId="6" xfId="0" applyFont="1" applyFill="1" applyBorder="1" applyAlignment="1" applyProtection="1">
      <alignment horizontal="center" vertical="center" shrinkToFit="1"/>
      <protection hidden="1"/>
    </xf>
    <xf numFmtId="0" fontId="31" fillId="9" borderId="42" xfId="0" applyFont="1" applyFill="1" applyBorder="1" applyAlignment="1" applyProtection="1">
      <alignment horizontal="center" vertical="center" shrinkToFit="1"/>
      <protection hidden="1"/>
    </xf>
    <xf numFmtId="0" fontId="31" fillId="9" borderId="20" xfId="0" applyFont="1" applyFill="1" applyBorder="1" applyAlignment="1" applyProtection="1">
      <alignment horizontal="center" vertical="center" shrinkToFit="1"/>
      <protection hidden="1"/>
    </xf>
    <xf numFmtId="0" fontId="29" fillId="9" borderId="37" xfId="0" applyFont="1" applyFill="1" applyBorder="1" applyAlignment="1" applyProtection="1">
      <alignment horizontal="center" vertical="center" wrapText="1"/>
      <protection hidden="1"/>
    </xf>
    <xf numFmtId="0" fontId="29" fillId="9" borderId="21" xfId="0" applyFont="1" applyFill="1" applyBorder="1" applyAlignment="1" applyProtection="1">
      <alignment horizontal="center" vertical="center" wrapText="1"/>
      <protection hidden="1"/>
    </xf>
    <xf numFmtId="0" fontId="31" fillId="9" borderId="30" xfId="0" applyFont="1" applyFill="1" applyBorder="1" applyAlignment="1" applyProtection="1">
      <alignment horizontal="center" vertical="center" wrapText="1"/>
      <protection hidden="1"/>
    </xf>
    <xf numFmtId="0" fontId="31" fillId="9" borderId="28" xfId="0" applyFont="1" applyFill="1" applyBorder="1" applyAlignment="1" applyProtection="1">
      <alignment horizontal="center" vertical="center" wrapText="1"/>
      <protection hidden="1"/>
    </xf>
    <xf numFmtId="0" fontId="31" fillId="9" borderId="31" xfId="0" applyFont="1" applyFill="1" applyBorder="1" applyAlignment="1" applyProtection="1">
      <alignment horizontal="center" vertical="center" wrapText="1"/>
      <protection hidden="1"/>
    </xf>
    <xf numFmtId="0" fontId="31" fillId="9" borderId="68" xfId="0" applyFont="1" applyFill="1" applyBorder="1" applyAlignment="1" applyProtection="1">
      <alignment horizontal="center" vertical="center" wrapText="1"/>
      <protection hidden="1"/>
    </xf>
    <xf numFmtId="0" fontId="31" fillId="9" borderId="24" xfId="0" applyFont="1" applyFill="1" applyBorder="1" applyAlignment="1" applyProtection="1">
      <alignment horizontal="center" vertical="center" wrapText="1"/>
      <protection hidden="1"/>
    </xf>
    <xf numFmtId="0" fontId="31" fillId="9" borderId="69" xfId="0" applyFont="1" applyFill="1" applyBorder="1" applyAlignment="1" applyProtection="1">
      <alignment horizontal="center" vertical="center" wrapText="1"/>
      <protection hidden="1"/>
    </xf>
    <xf numFmtId="166" fontId="31" fillId="9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3" xfId="0" applyFont="1" applyFill="1" applyBorder="1" applyAlignment="1" applyProtection="1">
      <alignment horizontal="right" vertical="center" shrinkToFit="1"/>
      <protection hidden="1"/>
    </xf>
    <xf numFmtId="0" fontId="31" fillId="5" borderId="34" xfId="0" applyFont="1" applyFill="1" applyBorder="1" applyAlignment="1" applyProtection="1">
      <alignment horizontal="right" vertical="center" shrinkToFit="1"/>
      <protection hidden="1"/>
    </xf>
    <xf numFmtId="0" fontId="31" fillId="5" borderId="8" xfId="0" applyFont="1" applyFill="1" applyBorder="1" applyAlignment="1" applyProtection="1">
      <alignment horizontal="right" vertical="center" shrinkToFit="1"/>
      <protection hidden="1"/>
    </xf>
    <xf numFmtId="16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62" xfId="0" applyFont="1" applyFill="1" applyBorder="1" applyAlignment="1" applyProtection="1">
      <alignment horizontal="right" vertical="center" shrinkToFit="1"/>
      <protection hidden="1"/>
    </xf>
    <xf numFmtId="0" fontId="31" fillId="5" borderId="25" xfId="0" applyFont="1" applyFill="1" applyBorder="1" applyAlignment="1" applyProtection="1">
      <alignment horizontal="right" vertical="center" shrinkToFit="1"/>
      <protection hidden="1"/>
    </xf>
    <xf numFmtId="0" fontId="31" fillId="5" borderId="47" xfId="0" applyFont="1" applyFill="1" applyBorder="1" applyAlignment="1" applyProtection="1">
      <alignment horizontal="right" vertical="center" shrinkToFit="1"/>
      <protection hidden="1"/>
    </xf>
    <xf numFmtId="164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64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20" xfId="0" applyFont="1" applyFill="1" applyBorder="1" applyAlignment="1" applyProtection="1">
      <alignment horizontal="center" vertical="center"/>
      <protection hidden="1"/>
    </xf>
    <xf numFmtId="0" fontId="31" fillId="7" borderId="14" xfId="0" applyFont="1" applyFill="1" applyBorder="1" applyAlignment="1" applyProtection="1">
      <alignment horizontal="center" vertical="center"/>
      <protection hidden="1"/>
    </xf>
    <xf numFmtId="0" fontId="31" fillId="7" borderId="53" xfId="0" applyFont="1" applyFill="1" applyBorder="1" applyAlignment="1" applyProtection="1">
      <alignment horizontal="right" vertical="center"/>
      <protection hidden="1"/>
    </xf>
    <xf numFmtId="0" fontId="31" fillId="7" borderId="51" xfId="0" applyFont="1" applyFill="1" applyBorder="1" applyAlignment="1" applyProtection="1">
      <alignment horizontal="right" vertical="center"/>
      <protection hidden="1"/>
    </xf>
    <xf numFmtId="0" fontId="31" fillId="7" borderId="49" xfId="0" applyFont="1" applyFill="1" applyBorder="1" applyAlignment="1" applyProtection="1">
      <alignment horizontal="right" vertical="center"/>
      <protection hidden="1"/>
    </xf>
    <xf numFmtId="0" fontId="31" fillId="5" borderId="45" xfId="0" applyFont="1" applyFill="1" applyBorder="1" applyAlignment="1" applyProtection="1">
      <alignment horizontal="right" vertical="center" shrinkToFit="1"/>
      <protection hidden="1"/>
    </xf>
    <xf numFmtId="0" fontId="31" fillId="5" borderId="55" xfId="0" applyFont="1" applyFill="1" applyBorder="1" applyAlignment="1" applyProtection="1">
      <alignment horizontal="right" vertical="center" shrinkToFit="1"/>
      <protection hidden="1"/>
    </xf>
    <xf numFmtId="0" fontId="31" fillId="5" borderId="2" xfId="0" applyFont="1" applyFill="1" applyBorder="1" applyAlignment="1" applyProtection="1">
      <alignment horizontal="right" vertical="center" shrinkToFit="1"/>
      <protection hidden="1"/>
    </xf>
    <xf numFmtId="164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13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6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51" xfId="0" applyNumberFormat="1" applyFont="1" applyFill="1" applyBorder="1" applyAlignment="1" applyProtection="1">
      <alignment horizontal="center" vertical="center" shrinkToFit="1"/>
      <protection hidden="1"/>
    </xf>
    <xf numFmtId="168" fontId="31" fillId="9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46" xfId="0" applyFont="1" applyFill="1" applyBorder="1" applyAlignment="1" applyProtection="1">
      <alignment horizontal="center" vertical="center" shrinkToFit="1"/>
      <protection hidden="1"/>
    </xf>
    <xf numFmtId="0" fontId="31" fillId="5" borderId="51" xfId="0" applyFont="1" applyFill="1" applyBorder="1" applyAlignment="1" applyProtection="1">
      <alignment horizontal="center" vertical="center" shrinkToFit="1"/>
      <protection hidden="1"/>
    </xf>
    <xf numFmtId="0" fontId="31" fillId="0" borderId="9" xfId="0" applyFont="1" applyBorder="1" applyAlignment="1" applyProtection="1">
      <alignment horizontal="center" vertical="center" shrinkToFit="1"/>
      <protection locked="0"/>
    </xf>
    <xf numFmtId="0" fontId="31" fillId="0" borderId="34" xfId="0" applyFont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44" fontId="31" fillId="4" borderId="5" xfId="1" applyFont="1" applyFill="1" applyBorder="1" applyAlignment="1" applyProtection="1">
      <alignment horizontal="center" vertical="center" wrapText="1"/>
      <protection hidden="1"/>
    </xf>
    <xf numFmtId="44" fontId="31" fillId="4" borderId="65" xfId="1" applyFont="1" applyFill="1" applyBorder="1" applyAlignment="1" applyProtection="1">
      <alignment horizontal="center" vertical="center" wrapText="1"/>
      <protection hidden="1"/>
    </xf>
    <xf numFmtId="44" fontId="31" fillId="4" borderId="17" xfId="1" applyFont="1" applyFill="1" applyBorder="1" applyAlignment="1" applyProtection="1">
      <alignment horizontal="center" vertical="center" wrapText="1"/>
      <protection hidden="1"/>
    </xf>
    <xf numFmtId="0" fontId="31" fillId="4" borderId="6" xfId="0" applyFont="1" applyFill="1" applyBorder="1" applyAlignment="1" applyProtection="1">
      <alignment horizontal="center" vertical="center" wrapText="1"/>
      <protection hidden="1"/>
    </xf>
    <xf numFmtId="0" fontId="31" fillId="4" borderId="72" xfId="0" applyFont="1" applyFill="1" applyBorder="1" applyAlignment="1" applyProtection="1">
      <alignment horizontal="center" vertical="center" wrapText="1"/>
      <protection hidden="1"/>
    </xf>
    <xf numFmtId="0" fontId="31" fillId="4" borderId="19" xfId="0" applyFont="1" applyFill="1" applyBorder="1" applyAlignment="1" applyProtection="1">
      <alignment horizontal="center" vertical="center" wrapText="1"/>
      <protection hidden="1"/>
    </xf>
    <xf numFmtId="174" fontId="31" fillId="0" borderId="9" xfId="1" applyNumberFormat="1" applyFont="1" applyBorder="1" applyAlignment="1" applyProtection="1">
      <alignment horizontal="center" vertical="center" shrinkToFit="1"/>
      <protection locked="0"/>
    </xf>
    <xf numFmtId="174" fontId="31" fillId="0" borderId="59" xfId="1" applyNumberFormat="1" applyFont="1" applyBorder="1" applyAlignment="1" applyProtection="1">
      <alignment horizontal="center" vertical="center" shrinkToFit="1"/>
      <protection locked="0"/>
    </xf>
    <xf numFmtId="174" fontId="31" fillId="0" borderId="37" xfId="1" applyNumberFormat="1" applyFont="1" applyBorder="1" applyAlignment="1" applyProtection="1">
      <alignment horizontal="center" vertical="center" shrinkToFit="1"/>
      <protection locked="0"/>
    </xf>
    <xf numFmtId="174" fontId="31" fillId="0" borderId="38" xfId="1" applyNumberFormat="1" applyFont="1" applyBorder="1" applyAlignment="1" applyProtection="1">
      <alignment horizontal="center" vertical="center" shrinkToFit="1"/>
      <protection locked="0"/>
    </xf>
    <xf numFmtId="0" fontId="31" fillId="7" borderId="42" xfId="0" applyFont="1" applyFill="1" applyBorder="1" applyAlignment="1" applyProtection="1">
      <alignment horizontal="center" vertical="center"/>
      <protection hidden="1"/>
    </xf>
    <xf numFmtId="0" fontId="31" fillId="7" borderId="37" xfId="0" applyFont="1" applyFill="1" applyBorder="1" applyAlignment="1" applyProtection="1">
      <alignment horizontal="center" vertical="center"/>
      <protection hidden="1"/>
    </xf>
    <xf numFmtId="0" fontId="31" fillId="7" borderId="21" xfId="0" applyFont="1" applyFill="1" applyBorder="1" applyAlignment="1" applyProtection="1">
      <alignment horizontal="center" vertical="center"/>
      <protection hidden="1"/>
    </xf>
    <xf numFmtId="0" fontId="31" fillId="7" borderId="2" xfId="0" applyFont="1" applyFill="1" applyBorder="1" applyAlignment="1" applyProtection="1">
      <alignment horizontal="center" vertical="center" shrinkToFit="1"/>
      <protection hidden="1"/>
    </xf>
    <xf numFmtId="0" fontId="31" fillId="7" borderId="13" xfId="0" applyFont="1" applyFill="1" applyBorder="1" applyAlignment="1" applyProtection="1">
      <alignment horizontal="center" vertical="center" shrinkToFit="1"/>
      <protection hidden="1"/>
    </xf>
    <xf numFmtId="0" fontId="31" fillId="4" borderId="20" xfId="0" applyFont="1" applyFill="1" applyBorder="1" applyAlignment="1" applyProtection="1">
      <alignment horizontal="right" vertical="center"/>
      <protection hidden="1"/>
    </xf>
    <xf numFmtId="0" fontId="31" fillId="4" borderId="21" xfId="0" applyFont="1" applyFill="1" applyBorder="1" applyAlignment="1" applyProtection="1">
      <alignment horizontal="right" vertical="center"/>
      <protection hidden="1"/>
    </xf>
    <xf numFmtId="174" fontId="31" fillId="0" borderId="10" xfId="1" applyNumberFormat="1" applyFont="1" applyBorder="1" applyAlignment="1" applyProtection="1">
      <alignment horizontal="center" vertical="center" shrinkToFit="1"/>
      <protection locked="0"/>
    </xf>
    <xf numFmtId="174" fontId="31" fillId="0" borderId="11" xfId="1" applyNumberFormat="1" applyFont="1" applyBorder="1" applyAlignment="1" applyProtection="1">
      <alignment horizontal="center" vertical="center" shrinkToFit="1"/>
      <protection locked="0"/>
    </xf>
    <xf numFmtId="174" fontId="31" fillId="0" borderId="21" xfId="1" applyNumberFormat="1" applyFont="1" applyBorder="1" applyAlignment="1" applyProtection="1">
      <alignment horizontal="center" vertical="center" shrinkToFit="1"/>
      <protection locked="0"/>
    </xf>
    <xf numFmtId="174" fontId="31" fillId="0" borderId="22" xfId="1" applyNumberFormat="1" applyFont="1" applyBorder="1" applyAlignment="1" applyProtection="1">
      <alignment horizontal="center" vertical="center" shrinkToFit="1"/>
      <protection locked="0"/>
    </xf>
    <xf numFmtId="0" fontId="31" fillId="4" borderId="18" xfId="0" applyFont="1" applyFill="1" applyBorder="1" applyAlignment="1" applyProtection="1">
      <alignment horizontal="right" vertical="center"/>
      <protection hidden="1"/>
    </xf>
    <xf numFmtId="0" fontId="31" fillId="4" borderId="10" xfId="0" applyFont="1" applyFill="1" applyBorder="1" applyAlignment="1" applyProtection="1">
      <alignment horizontal="right" vertical="center"/>
      <protection hidden="1"/>
    </xf>
    <xf numFmtId="0" fontId="31" fillId="4" borderId="27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0" fontId="31" fillId="4" borderId="74" xfId="0" applyFont="1" applyFill="1" applyBorder="1" applyAlignment="1" applyProtection="1">
      <alignment horizontal="center" vertical="center"/>
      <protection hidden="1"/>
    </xf>
    <xf numFmtId="0" fontId="31" fillId="4" borderId="61" xfId="0" applyFont="1" applyFill="1" applyBorder="1" applyAlignment="1" applyProtection="1">
      <alignment horizontal="center" vertical="center"/>
      <protection hidden="1"/>
    </xf>
    <xf numFmtId="0" fontId="31" fillId="4" borderId="35" xfId="0" applyFont="1" applyFill="1" applyBorder="1" applyAlignment="1" applyProtection="1">
      <alignment horizontal="center" vertical="center"/>
      <protection hidden="1"/>
    </xf>
    <xf numFmtId="0" fontId="31" fillId="4" borderId="23" xfId="0" applyFont="1" applyFill="1" applyBorder="1" applyAlignment="1" applyProtection="1">
      <alignment horizontal="center" vertical="center"/>
      <protection hidden="1"/>
    </xf>
    <xf numFmtId="0" fontId="32" fillId="5" borderId="42" xfId="0" applyFont="1" applyFill="1" applyBorder="1" applyAlignment="1" applyProtection="1">
      <alignment horizontal="center" vertical="center" wrapText="1"/>
      <protection hidden="1"/>
    </xf>
    <xf numFmtId="0" fontId="32" fillId="5" borderId="37" xfId="0" applyFont="1" applyFill="1" applyBorder="1" applyAlignment="1" applyProtection="1">
      <alignment horizontal="center" vertical="center" wrapText="1"/>
      <protection hidden="1"/>
    </xf>
    <xf numFmtId="0" fontId="32" fillId="5" borderId="20" xfId="0" applyFont="1" applyFill="1" applyBorder="1" applyAlignment="1" applyProtection="1">
      <alignment horizontal="center" vertical="center" wrapText="1"/>
      <protection hidden="1"/>
    </xf>
    <xf numFmtId="0" fontId="32" fillId="5" borderId="21" xfId="0" applyFont="1" applyFill="1" applyBorder="1" applyAlignment="1" applyProtection="1">
      <alignment horizontal="center" vertical="center" wrapText="1"/>
      <protection hidden="1"/>
    </xf>
    <xf numFmtId="164" fontId="39" fillId="7" borderId="37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38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9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29" fillId="7" borderId="71" xfId="0" applyNumberFormat="1" applyFont="1" applyFill="1" applyBorder="1" applyAlignment="1" applyProtection="1">
      <alignment horizontal="center" vertical="center" wrapText="1" shrinkToFit="1"/>
      <protection hidden="1"/>
    </xf>
    <xf numFmtId="14" fontId="29" fillId="7" borderId="73" xfId="0" applyNumberFormat="1" applyFont="1" applyFill="1" applyBorder="1" applyAlignment="1" applyProtection="1">
      <alignment horizontal="center" vertical="center" wrapText="1" shrinkToFit="1"/>
      <protection hidden="1"/>
    </xf>
    <xf numFmtId="0" fontId="31" fillId="7" borderId="32" xfId="0" applyFont="1" applyFill="1" applyBorder="1" applyAlignment="1" applyProtection="1">
      <alignment horizontal="center" vertical="center" shrinkToFit="1"/>
      <protection hidden="1"/>
    </xf>
    <xf numFmtId="0" fontId="31" fillId="7" borderId="36" xfId="0" applyFont="1" applyFill="1" applyBorder="1" applyAlignment="1" applyProtection="1">
      <alignment horizontal="center" vertical="center" shrinkToFit="1"/>
      <protection hidden="1"/>
    </xf>
    <xf numFmtId="0" fontId="31" fillId="7" borderId="23" xfId="0" applyFont="1" applyFill="1" applyBorder="1" applyAlignment="1" applyProtection="1">
      <alignment horizontal="center" vertical="center" shrinkToFit="1"/>
      <protection hidden="1"/>
    </xf>
    <xf numFmtId="164" fontId="31" fillId="7" borderId="17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19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68" xfId="0" applyFont="1" applyFill="1" applyBorder="1" applyAlignment="1" applyProtection="1">
      <alignment horizontal="center" vertical="center" shrinkToFit="1"/>
      <protection hidden="1"/>
    </xf>
    <xf numFmtId="0" fontId="31" fillId="7" borderId="24" xfId="0" applyFont="1" applyFill="1" applyBorder="1" applyAlignment="1" applyProtection="1">
      <alignment horizontal="center" vertical="center" shrinkToFit="1"/>
      <protection hidden="1"/>
    </xf>
    <xf numFmtId="0" fontId="31" fillId="7" borderId="69" xfId="0" applyFont="1" applyFill="1" applyBorder="1" applyAlignment="1" applyProtection="1">
      <alignment horizontal="center" vertical="center" shrinkToFit="1"/>
      <protection hidden="1"/>
    </xf>
    <xf numFmtId="16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164" fontId="31" fillId="7" borderId="22" xfId="0" applyNumberFormat="1" applyFont="1" applyFill="1" applyBorder="1" applyAlignment="1" applyProtection="1">
      <alignment horizontal="center" vertical="center" shrinkToFit="1"/>
      <protection hidden="1"/>
    </xf>
    <xf numFmtId="14" fontId="31" fillId="0" borderId="9" xfId="0" applyNumberFormat="1" applyFont="1" applyBorder="1" applyAlignment="1" applyProtection="1">
      <alignment horizontal="center" vertical="center" shrinkToFit="1"/>
      <protection locked="0"/>
    </xf>
    <xf numFmtId="14" fontId="31" fillId="0" borderId="34" xfId="0" applyNumberFormat="1" applyFont="1" applyBorder="1" applyAlignment="1" applyProtection="1">
      <alignment horizontal="center" vertical="center" shrinkToFit="1"/>
      <protection locked="0"/>
    </xf>
    <xf numFmtId="14" fontId="31" fillId="0" borderId="8" xfId="0" applyNumberFormat="1" applyFont="1" applyBorder="1" applyAlignment="1" applyProtection="1">
      <alignment horizontal="center" vertical="center" shrinkToFit="1"/>
      <protection locked="0"/>
    </xf>
    <xf numFmtId="4" fontId="31" fillId="7" borderId="21" xfId="0" applyNumberFormat="1" applyFont="1" applyFill="1" applyBorder="1" applyAlignment="1" applyProtection="1">
      <alignment horizontal="center" vertical="center" shrinkToFit="1"/>
      <protection hidden="1"/>
    </xf>
    <xf numFmtId="0" fontId="31" fillId="4" borderId="39" xfId="0" applyFont="1" applyFill="1" applyBorder="1" applyAlignment="1" applyProtection="1">
      <alignment horizontal="center" vertical="center" shrinkToFit="1"/>
      <protection hidden="1"/>
    </xf>
    <xf numFmtId="0" fontId="31" fillId="4" borderId="40" xfId="0" applyFont="1" applyFill="1" applyBorder="1" applyAlignment="1" applyProtection="1">
      <alignment horizontal="center" vertical="center" shrinkToFit="1"/>
      <protection hidden="1"/>
    </xf>
    <xf numFmtId="0" fontId="31" fillId="4" borderId="41" xfId="0" applyFont="1" applyFill="1" applyBorder="1" applyAlignment="1" applyProtection="1">
      <alignment horizontal="center" vertical="center" shrinkToFit="1"/>
      <protection hidden="1"/>
    </xf>
    <xf numFmtId="4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4" fontId="31" fillId="0" borderId="33" xfId="0" applyNumberFormat="1" applyFont="1" applyBorder="1" applyAlignment="1" applyProtection="1">
      <alignment horizontal="center" vertical="center" shrinkToFit="1"/>
      <protection locked="0"/>
    </xf>
    <xf numFmtId="0" fontId="33" fillId="7" borderId="3" xfId="0" applyFont="1" applyFill="1" applyBorder="1" applyAlignment="1" applyProtection="1">
      <alignment horizontal="center" vertical="center" shrinkToFit="1"/>
      <protection hidden="1"/>
    </xf>
    <xf numFmtId="0" fontId="33" fillId="7" borderId="55" xfId="0" applyFont="1" applyFill="1" applyBorder="1" applyAlignment="1" applyProtection="1">
      <alignment horizontal="center" vertical="center" shrinkToFit="1"/>
      <protection hidden="1"/>
    </xf>
    <xf numFmtId="0" fontId="33" fillId="7" borderId="2" xfId="0" applyFont="1" applyFill="1" applyBorder="1" applyAlignment="1" applyProtection="1">
      <alignment horizontal="center" vertical="center" shrinkToFit="1"/>
      <protection hidden="1"/>
    </xf>
    <xf numFmtId="0" fontId="31" fillId="7" borderId="9" xfId="0" applyFont="1" applyFill="1" applyBorder="1" applyAlignment="1" applyProtection="1">
      <alignment horizontal="center" vertical="center" shrinkToFit="1"/>
      <protection hidden="1"/>
    </xf>
    <xf numFmtId="0" fontId="31" fillId="7" borderId="34" xfId="0" applyFont="1" applyFill="1" applyBorder="1" applyAlignment="1" applyProtection="1">
      <alignment horizontal="center" vertical="center" shrinkToFit="1"/>
      <protection hidden="1"/>
    </xf>
    <xf numFmtId="0" fontId="31" fillId="7" borderId="8" xfId="0" applyFont="1" applyFill="1" applyBorder="1" applyAlignment="1" applyProtection="1">
      <alignment horizontal="center" vertical="center" shrinkToFit="1"/>
      <protection hidden="1"/>
    </xf>
    <xf numFmtId="173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6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0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11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48" xfId="0" applyNumberFormat="1" applyFont="1" applyFill="1" applyBorder="1" applyAlignment="1" applyProtection="1">
      <alignment horizontal="center" vertical="center" shrinkToFit="1"/>
      <protection hidden="1"/>
    </xf>
    <xf numFmtId="173" fontId="32" fillId="7" borderId="6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37" xfId="0" applyNumberFormat="1" applyFont="1" applyBorder="1" applyAlignment="1" applyProtection="1">
      <alignment horizontal="center" vertical="center" shrinkToFit="1"/>
      <protection locked="0"/>
    </xf>
    <xf numFmtId="174" fontId="31" fillId="0" borderId="38" xfId="0" applyNumberFormat="1" applyFont="1" applyBorder="1" applyAlignment="1" applyProtection="1">
      <alignment horizontal="center" vertical="center" shrinkToFit="1"/>
      <protection locked="0"/>
    </xf>
    <xf numFmtId="174" fontId="31" fillId="0" borderId="10" xfId="0" applyNumberFormat="1" applyFont="1" applyBorder="1" applyAlignment="1" applyProtection="1">
      <alignment horizontal="center" vertical="center" shrinkToFit="1"/>
      <protection locked="0"/>
    </xf>
    <xf numFmtId="174" fontId="31" fillId="0" borderId="11" xfId="0" applyNumberFormat="1" applyFont="1" applyBorder="1" applyAlignment="1" applyProtection="1">
      <alignment horizontal="center" vertical="center" shrinkToFit="1"/>
      <protection locked="0"/>
    </xf>
    <xf numFmtId="0" fontId="32" fillId="9" borderId="90" xfId="0" applyFont="1" applyFill="1" applyBorder="1" applyAlignment="1" applyProtection="1">
      <alignment horizontal="center" vertical="center" shrinkToFit="1"/>
      <protection hidden="1"/>
    </xf>
    <xf numFmtId="0" fontId="32" fillId="9" borderId="85" xfId="0" applyFont="1" applyFill="1" applyBorder="1" applyAlignment="1" applyProtection="1">
      <alignment horizontal="center" vertical="center" shrinkToFit="1"/>
      <protection hidden="1"/>
    </xf>
    <xf numFmtId="166" fontId="31" fillId="11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3" xfId="0" applyNumberFormat="1" applyFont="1" applyFill="1" applyBorder="1" applyAlignment="1" applyProtection="1">
      <alignment horizontal="center" vertical="center" shrinkToFit="1"/>
      <protection hidden="1"/>
    </xf>
    <xf numFmtId="0" fontId="32" fillId="11" borderId="84" xfId="0" applyFont="1" applyFill="1" applyBorder="1" applyAlignment="1" applyProtection="1">
      <alignment horizontal="center" vertical="center" shrinkToFit="1"/>
      <protection hidden="1"/>
    </xf>
    <xf numFmtId="0" fontId="32" fillId="11" borderId="85" xfId="0" applyFont="1" applyFill="1" applyBorder="1" applyAlignment="1" applyProtection="1">
      <alignment horizontal="center" vertical="center" shrinkToFit="1"/>
      <protection hidden="1"/>
    </xf>
    <xf numFmtId="44" fontId="32" fillId="7" borderId="54" xfId="1" applyFont="1" applyFill="1" applyBorder="1" applyAlignment="1" applyProtection="1">
      <alignment horizontal="center" vertical="center" shrinkToFit="1"/>
      <protection hidden="1"/>
    </xf>
    <xf numFmtId="0" fontId="31" fillId="7" borderId="77" xfId="0" applyFont="1" applyFill="1" applyBorder="1" applyAlignment="1" applyProtection="1">
      <alignment horizontal="center" vertical="center" shrinkToFit="1"/>
      <protection hidden="1"/>
    </xf>
    <xf numFmtId="0" fontId="31" fillId="7" borderId="67" xfId="0" applyFont="1" applyFill="1" applyBorder="1" applyAlignment="1" applyProtection="1">
      <alignment horizontal="center" vertical="center" shrinkToFit="1"/>
      <protection hidden="1"/>
    </xf>
    <xf numFmtId="0" fontId="31" fillId="9" borderId="10" xfId="0" applyFont="1" applyFill="1" applyBorder="1" applyAlignment="1" applyProtection="1">
      <alignment horizontal="center" vertical="center" shrinkToFit="1"/>
      <protection hidden="1"/>
    </xf>
    <xf numFmtId="0" fontId="31" fillId="9" borderId="11" xfId="0" applyFont="1" applyFill="1" applyBorder="1" applyAlignment="1" applyProtection="1">
      <alignment horizontal="center" vertical="center" shrinkToFit="1"/>
      <protection hidden="1"/>
    </xf>
    <xf numFmtId="166" fontId="3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31" fillId="9" borderId="83" xfId="0" applyNumberFormat="1" applyFont="1" applyFill="1" applyBorder="1" applyAlignment="1" applyProtection="1">
      <alignment horizontal="center" vertical="center" shrinkToFit="1"/>
      <protection hidden="1"/>
    </xf>
    <xf numFmtId="14" fontId="31" fillId="0" borderId="18" xfId="0" applyNumberFormat="1" applyFont="1" applyBorder="1" applyAlignment="1" applyProtection="1">
      <alignment horizontal="center" vertical="center" shrinkToFit="1"/>
      <protection locked="0"/>
    </xf>
    <xf numFmtId="14" fontId="31" fillId="0" borderId="10" xfId="0" applyNumberFormat="1" applyFont="1" applyBorder="1" applyAlignment="1" applyProtection="1">
      <alignment horizontal="center" vertical="center" shrinkToFit="1"/>
      <protection locked="0"/>
    </xf>
    <xf numFmtId="0" fontId="31" fillId="5" borderId="71" xfId="0" applyFont="1" applyFill="1" applyBorder="1" applyAlignment="1" applyProtection="1">
      <alignment horizontal="center" vertical="center" shrinkToFit="1"/>
      <protection hidden="1"/>
    </xf>
    <xf numFmtId="0" fontId="31" fillId="5" borderId="65" xfId="0" applyFont="1" applyFill="1" applyBorder="1" applyAlignment="1" applyProtection="1">
      <alignment horizontal="center" vertical="center" shrinkToFit="1"/>
      <protection hidden="1"/>
    </xf>
    <xf numFmtId="14" fontId="31" fillId="0" borderId="45" xfId="0" applyNumberFormat="1" applyFont="1" applyBorder="1" applyAlignment="1" applyProtection="1">
      <alignment horizontal="center" vertical="center" shrinkToFit="1"/>
      <protection locked="0"/>
    </xf>
    <xf numFmtId="14" fontId="31" fillId="0" borderId="2" xfId="0" applyNumberFormat="1" applyFont="1" applyBorder="1" applyAlignment="1" applyProtection="1">
      <alignment horizontal="center" vertical="center" shrinkToFit="1"/>
      <protection locked="0"/>
    </xf>
    <xf numFmtId="0" fontId="32" fillId="9" borderId="27" xfId="0" applyFont="1" applyFill="1" applyBorder="1" applyAlignment="1" applyProtection="1">
      <alignment horizontal="center" vertical="center" shrinkToFit="1"/>
      <protection hidden="1"/>
    </xf>
    <xf numFmtId="0" fontId="32" fillId="9" borderId="28" xfId="0" applyFont="1" applyFill="1" applyBorder="1" applyAlignment="1" applyProtection="1">
      <alignment horizontal="center" vertical="center" shrinkToFit="1"/>
      <protection hidden="1"/>
    </xf>
    <xf numFmtId="0" fontId="32" fillId="9" borderId="29" xfId="0" applyFont="1" applyFill="1" applyBorder="1" applyAlignment="1" applyProtection="1">
      <alignment horizontal="center" vertical="center" shrinkToFit="1"/>
      <protection hidden="1"/>
    </xf>
    <xf numFmtId="0" fontId="32" fillId="9" borderId="35" xfId="0" applyFont="1" applyFill="1" applyBorder="1" applyAlignment="1" applyProtection="1">
      <alignment horizontal="center" vertical="center" shrinkToFit="1"/>
      <protection hidden="1"/>
    </xf>
    <xf numFmtId="0" fontId="32" fillId="9" borderId="36" xfId="0" applyFont="1" applyFill="1" applyBorder="1" applyAlignment="1" applyProtection="1">
      <alignment horizontal="center" vertical="center" shrinkToFit="1"/>
      <protection hidden="1"/>
    </xf>
    <xf numFmtId="0" fontId="32" fillId="9" borderId="86" xfId="0" applyFont="1" applyFill="1" applyBorder="1" applyAlignment="1" applyProtection="1">
      <alignment horizontal="center" vertical="center" shrinkToFit="1"/>
      <protection hidden="1"/>
    </xf>
    <xf numFmtId="165" fontId="32" fillId="11" borderId="27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8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29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5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36" xfId="0" applyNumberFormat="1" applyFont="1" applyFill="1" applyBorder="1" applyAlignment="1" applyProtection="1">
      <alignment horizontal="center" vertical="center" shrinkToFit="1"/>
      <protection hidden="1"/>
    </xf>
    <xf numFmtId="165" fontId="32" fillId="11" borderId="86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59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53" xfId="0" applyFont="1" applyFill="1" applyBorder="1" applyAlignment="1" applyProtection="1">
      <alignment horizontal="right" vertical="center" shrinkToFit="1"/>
      <protection hidden="1"/>
    </xf>
    <xf numFmtId="0" fontId="31" fillId="5" borderId="51" xfId="0" applyFont="1" applyFill="1" applyBorder="1" applyAlignment="1" applyProtection="1">
      <alignment horizontal="right" vertical="center" shrinkToFit="1"/>
      <protection hidden="1"/>
    </xf>
    <xf numFmtId="0" fontId="31" fillId="5" borderId="49" xfId="0" applyFont="1" applyFill="1" applyBorder="1" applyAlignment="1" applyProtection="1">
      <alignment horizontal="right" vertical="center" shrinkToFit="1"/>
      <protection hidden="1"/>
    </xf>
    <xf numFmtId="173" fontId="31" fillId="5" borderId="46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50" xfId="0" applyNumberFormat="1" applyFont="1" applyFill="1" applyBorder="1" applyAlignment="1" applyProtection="1">
      <alignment horizontal="center" vertical="center" shrinkToFit="1"/>
      <protection hidden="1"/>
    </xf>
    <xf numFmtId="0" fontId="32" fillId="5" borderId="27" xfId="0" applyFont="1" applyFill="1" applyBorder="1" applyAlignment="1" applyProtection="1">
      <alignment horizontal="center" vertical="center" wrapText="1"/>
      <protection hidden="1"/>
    </xf>
    <xf numFmtId="0" fontId="32" fillId="5" borderId="28" xfId="0" applyFont="1" applyFill="1" applyBorder="1" applyAlignment="1" applyProtection="1">
      <alignment horizontal="center" vertical="center" wrapText="1"/>
      <protection hidden="1"/>
    </xf>
    <xf numFmtId="0" fontId="32" fillId="5" borderId="31" xfId="0" applyFont="1" applyFill="1" applyBorder="1" applyAlignment="1" applyProtection="1">
      <alignment horizontal="center" vertical="center" wrapText="1"/>
      <protection hidden="1"/>
    </xf>
    <xf numFmtId="0" fontId="32" fillId="5" borderId="56" xfId="0" applyFont="1" applyFill="1" applyBorder="1" applyAlignment="1" applyProtection="1">
      <alignment horizontal="center" vertical="center" wrapText="1"/>
      <protection hidden="1"/>
    </xf>
    <xf numFmtId="0" fontId="32" fillId="5" borderId="24" xfId="0" applyFont="1" applyFill="1" applyBorder="1" applyAlignment="1" applyProtection="1">
      <alignment horizontal="center" vertical="center" wrapText="1"/>
      <protection hidden="1"/>
    </xf>
    <xf numFmtId="0" fontId="32" fillId="5" borderId="69" xfId="0" applyFont="1" applyFill="1" applyBorder="1" applyAlignment="1" applyProtection="1">
      <alignment horizontal="center" vertical="center" wrapText="1"/>
      <protection hidden="1"/>
    </xf>
    <xf numFmtId="173" fontId="40" fillId="7" borderId="30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29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68" xfId="0" applyNumberFormat="1" applyFont="1" applyFill="1" applyBorder="1" applyAlignment="1" applyProtection="1">
      <alignment horizontal="center" vertical="center" shrinkToFit="1"/>
      <protection hidden="1"/>
    </xf>
    <xf numFmtId="173" fontId="40" fillId="7" borderId="5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" xfId="0" applyFont="1" applyFill="1" applyBorder="1" applyAlignment="1" applyProtection="1">
      <alignment horizontal="center" vertical="center"/>
      <protection hidden="1"/>
    </xf>
    <xf numFmtId="0" fontId="31" fillId="5" borderId="2" xfId="0" applyFont="1" applyFill="1" applyBorder="1" applyAlignment="1" applyProtection="1">
      <alignment horizontal="center" vertical="center"/>
      <protection hidden="1"/>
    </xf>
    <xf numFmtId="173" fontId="31" fillId="5" borderId="3" xfId="0" applyNumberFormat="1" applyFont="1" applyFill="1" applyBorder="1" applyAlignment="1" applyProtection="1">
      <alignment horizontal="center" vertical="center" shrinkToFit="1"/>
      <protection hidden="1"/>
    </xf>
    <xf numFmtId="173" fontId="31" fillId="5" borderId="60" xfId="0" applyNumberFormat="1" applyFont="1" applyFill="1" applyBorder="1" applyAlignment="1" applyProtection="1">
      <alignment horizontal="center" vertical="center" shrinkToFit="1"/>
      <protection hidden="1"/>
    </xf>
    <xf numFmtId="174" fontId="31" fillId="0" borderId="9" xfId="0" applyNumberFormat="1" applyFont="1" applyBorder="1" applyAlignment="1" applyProtection="1">
      <alignment horizontal="center" vertical="center" shrinkToFit="1"/>
      <protection locked="0"/>
    </xf>
    <xf numFmtId="174" fontId="31" fillId="0" borderId="59" xfId="0" applyNumberFormat="1" applyFont="1" applyBorder="1" applyAlignment="1" applyProtection="1">
      <alignment horizontal="center" vertical="center" shrinkToFit="1"/>
      <protection locked="0"/>
    </xf>
    <xf numFmtId="174" fontId="31" fillId="0" borderId="14" xfId="0" applyNumberFormat="1" applyFont="1" applyBorder="1" applyAlignment="1" applyProtection="1">
      <alignment horizontal="center" vertical="center" shrinkToFit="1"/>
      <protection locked="0"/>
    </xf>
    <xf numFmtId="174" fontId="31" fillId="0" borderId="76" xfId="0" applyNumberFormat="1" applyFont="1" applyBorder="1" applyAlignment="1" applyProtection="1">
      <alignment horizontal="center" vertical="center" shrinkToFit="1"/>
      <protection locked="0"/>
    </xf>
    <xf numFmtId="14" fontId="31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31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3" xfId="0" applyFont="1" applyFill="1" applyBorder="1" applyAlignment="1" applyProtection="1">
      <alignment horizontal="center" vertical="center" shrinkToFit="1"/>
      <protection hidden="1"/>
    </xf>
    <xf numFmtId="0" fontId="31" fillId="7" borderId="14" xfId="0" applyFont="1" applyFill="1" applyBorder="1" applyAlignment="1" applyProtection="1">
      <alignment horizontal="center" vertical="center" shrinkToFit="1"/>
      <protection hidden="1"/>
    </xf>
    <xf numFmtId="173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73" fontId="31" fillId="7" borderId="76" xfId="0" applyNumberFormat="1" applyFont="1" applyFill="1" applyBorder="1" applyAlignment="1" applyProtection="1">
      <alignment horizontal="center" vertical="center" shrinkToFit="1"/>
      <protection hidden="1"/>
    </xf>
    <xf numFmtId="0" fontId="31" fillId="0" borderId="14" xfId="0" applyFont="1" applyBorder="1" applyAlignment="1" applyProtection="1">
      <alignment horizontal="center" vertical="center" shrinkToFit="1"/>
      <protection locked="0"/>
    </xf>
    <xf numFmtId="0" fontId="31" fillId="0" borderId="67" xfId="0" applyFont="1" applyBorder="1" applyAlignment="1" applyProtection="1">
      <alignment horizontal="center" vertical="center" shrinkToFit="1"/>
      <protection locked="0"/>
    </xf>
    <xf numFmtId="0" fontId="31" fillId="0" borderId="13" xfId="0" applyFont="1" applyBorder="1" applyAlignment="1" applyProtection="1">
      <alignment horizontal="center" vertical="center" shrinkToFit="1"/>
      <protection locked="0"/>
    </xf>
    <xf numFmtId="4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4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37" xfId="0" applyFont="1" applyFill="1" applyBorder="1" applyAlignment="1" applyProtection="1">
      <alignment horizontal="center" vertical="center"/>
      <protection hidden="1"/>
    </xf>
    <xf numFmtId="164" fontId="31" fillId="5" borderId="37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38" xfId="0" applyNumberFormat="1" applyFont="1" applyFill="1" applyBorder="1" applyAlignment="1" applyProtection="1">
      <alignment horizontal="center" vertical="center" shrinkToFit="1"/>
      <protection hidden="1"/>
    </xf>
    <xf numFmtId="0" fontId="31" fillId="5" borderId="71" xfId="0" applyFont="1" applyFill="1" applyBorder="1" applyAlignment="1" applyProtection="1">
      <alignment horizontal="right" vertical="center" shrinkToFit="1"/>
      <protection hidden="1"/>
    </xf>
    <xf numFmtId="0" fontId="31" fillId="5" borderId="65" xfId="0" applyFont="1" applyFill="1" applyBorder="1" applyAlignment="1" applyProtection="1">
      <alignment horizontal="right" vertical="center" shrinkToFit="1"/>
      <protection hidden="1"/>
    </xf>
    <xf numFmtId="164" fontId="31" fillId="5" borderId="65" xfId="0" applyNumberFormat="1" applyFont="1" applyFill="1" applyBorder="1" applyAlignment="1" applyProtection="1">
      <alignment horizontal="center" vertical="center" shrinkToFit="1"/>
      <protection hidden="1"/>
    </xf>
    <xf numFmtId="164" fontId="31" fillId="5" borderId="72" xfId="0" applyNumberFormat="1" applyFont="1" applyFill="1" applyBorder="1" applyAlignment="1" applyProtection="1">
      <alignment horizontal="center" vertical="center" shrinkToFi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32" fillId="0" borderId="0" xfId="0" applyNumberFormat="1" applyFont="1" applyAlignment="1" applyProtection="1">
      <alignment horizontal="center" vertical="center" shrinkToFit="1"/>
      <protection hidden="1"/>
    </xf>
    <xf numFmtId="166" fontId="36" fillId="0" borderId="28" xfId="0" applyNumberFormat="1" applyFont="1" applyBorder="1" applyAlignment="1" applyProtection="1">
      <alignment horizontal="left" vertical="center" shrinkToFit="1"/>
      <protection hidden="1"/>
    </xf>
    <xf numFmtId="166" fontId="36" fillId="0" borderId="0" xfId="0" applyNumberFormat="1" applyFont="1" applyAlignment="1" applyProtection="1">
      <alignment horizontal="left" vertical="center" shrinkToFit="1"/>
      <protection hidden="1"/>
    </xf>
    <xf numFmtId="165" fontId="40" fillId="0" borderId="0" xfId="0" applyNumberFormat="1" applyFont="1" applyAlignment="1" applyProtection="1">
      <alignment horizontal="center" vertical="center" shrinkToFit="1"/>
      <protection hidden="1"/>
    </xf>
    <xf numFmtId="166" fontId="31" fillId="7" borderId="9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8" xfId="0" applyNumberFormat="1" applyFont="1" applyFill="1" applyBorder="1" applyAlignment="1" applyProtection="1">
      <alignment horizontal="center" vertical="center" shrinkToFit="1"/>
      <protection hidden="1"/>
    </xf>
    <xf numFmtId="0" fontId="31" fillId="7" borderId="53" xfId="0" applyFont="1" applyFill="1" applyBorder="1" applyAlignment="1" applyProtection="1">
      <alignment horizontal="center" vertical="center" shrinkToFit="1"/>
      <protection hidden="1"/>
    </xf>
    <xf numFmtId="0" fontId="31" fillId="7" borderId="51" xfId="0" applyFont="1" applyFill="1" applyBorder="1" applyAlignment="1" applyProtection="1">
      <alignment horizontal="center" vertical="center" shrinkToFit="1"/>
      <protection hidden="1"/>
    </xf>
    <xf numFmtId="0" fontId="31" fillId="7" borderId="49" xfId="0" applyFont="1" applyFill="1" applyBorder="1" applyAlignment="1" applyProtection="1">
      <alignment horizontal="center" vertical="center" shrinkToFit="1"/>
      <protection hidden="1"/>
    </xf>
    <xf numFmtId="0" fontId="31" fillId="7" borderId="55" xfId="0" applyFont="1" applyFill="1" applyBorder="1" applyAlignment="1" applyProtection="1">
      <alignment horizontal="center" vertical="center" shrinkToFit="1"/>
      <protection hidden="1"/>
    </xf>
    <xf numFmtId="166" fontId="31" fillId="7" borderId="14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67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1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6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1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49" xfId="0" applyNumberFormat="1" applyFont="1" applyFill="1" applyBorder="1" applyAlignment="1" applyProtection="1">
      <alignment horizontal="center" vertical="center" shrinkToFit="1"/>
      <protection hidden="1"/>
    </xf>
    <xf numFmtId="0" fontId="31" fillId="9" borderId="9" xfId="0" applyFont="1" applyFill="1" applyBorder="1" applyAlignment="1" applyProtection="1">
      <alignment horizontal="center" vertical="center" shrinkToFit="1"/>
      <protection hidden="1"/>
    </xf>
    <xf numFmtId="0" fontId="31" fillId="9" borderId="34" xfId="0" applyFont="1" applyFill="1" applyBorder="1" applyAlignment="1" applyProtection="1">
      <alignment horizontal="center" vertical="center" shrinkToFit="1"/>
      <protection hidden="1"/>
    </xf>
    <xf numFmtId="0" fontId="31" fillId="9" borderId="8" xfId="0" applyFont="1" applyFill="1" applyBorder="1" applyAlignment="1" applyProtection="1">
      <alignment horizontal="center" vertical="center" shrinkToFit="1"/>
      <protection hidden="1"/>
    </xf>
    <xf numFmtId="166" fontId="31" fillId="9" borderId="87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9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34" xfId="0" applyNumberFormat="1" applyFont="1" applyFill="1" applyBorder="1" applyAlignment="1" applyProtection="1">
      <alignment horizontal="center" vertical="center" shrinkToFit="1"/>
      <protection hidden="1"/>
    </xf>
    <xf numFmtId="166" fontId="31" fillId="11" borderId="87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4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8" xfId="0" applyNumberFormat="1" applyFont="1" applyFill="1" applyBorder="1" applyAlignment="1" applyProtection="1">
      <alignment horizontal="center" vertical="center" shrinkToFit="1"/>
      <protection hidden="1"/>
    </xf>
    <xf numFmtId="166" fontId="32" fillId="11" borderId="8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55" xfId="0" applyNumberFormat="1" applyFont="1" applyFill="1" applyBorder="1" applyAlignment="1" applyProtection="1">
      <alignment horizontal="center" vertical="center" shrinkToFit="1"/>
      <protection hidden="1"/>
    </xf>
    <xf numFmtId="166" fontId="31" fillId="7" borderId="2" xfId="0" applyNumberFormat="1" applyFont="1" applyFill="1" applyBorder="1" applyAlignment="1" applyProtection="1">
      <alignment horizontal="center" vertical="center" shrinkToFit="1"/>
      <protection hidden="1"/>
    </xf>
    <xf numFmtId="0" fontId="42" fillId="10" borderId="0" xfId="0" applyFont="1" applyFill="1" applyAlignment="1" applyProtection="1">
      <alignment horizontal="center" vertical="center"/>
      <protection hidden="1"/>
    </xf>
    <xf numFmtId="0" fontId="38" fillId="10" borderId="28" xfId="0" applyFont="1" applyFill="1" applyBorder="1" applyAlignment="1" applyProtection="1">
      <alignment horizontal="center" vertical="center"/>
      <protection hidden="1"/>
    </xf>
    <xf numFmtId="0" fontId="38" fillId="10" borderId="0" xfId="0" applyFont="1" applyFill="1" applyAlignment="1" applyProtection="1">
      <alignment horizontal="center" vertical="center"/>
      <protection hidden="1"/>
    </xf>
    <xf numFmtId="3" fontId="44" fillId="10" borderId="0" xfId="0" applyNumberFormat="1" applyFont="1" applyFill="1" applyAlignment="1" applyProtection="1">
      <alignment horizontal="center" vertical="center" shrinkToFit="1"/>
      <protection hidden="1"/>
    </xf>
    <xf numFmtId="166" fontId="36" fillId="10" borderId="28" xfId="0" applyNumberFormat="1" applyFont="1" applyFill="1" applyBorder="1" applyAlignment="1" applyProtection="1">
      <alignment horizontal="center" vertical="center" shrinkToFit="1"/>
      <protection hidden="1"/>
    </xf>
    <xf numFmtId="166" fontId="36" fillId="10" borderId="0" xfId="0" applyNumberFormat="1" applyFont="1" applyFill="1" applyAlignment="1" applyProtection="1">
      <alignment horizontal="center" vertical="center" shrinkToFit="1"/>
      <protection hidden="1"/>
    </xf>
    <xf numFmtId="0" fontId="43" fillId="10" borderId="0" xfId="0" applyFont="1" applyFill="1" applyAlignment="1" applyProtection="1">
      <alignment horizontal="center" vertical="center" wrapText="1" shrinkToFit="1"/>
      <protection hidden="1"/>
    </xf>
    <xf numFmtId="0" fontId="29" fillId="4" borderId="64" xfId="0" applyFont="1" applyFill="1" applyBorder="1" applyAlignment="1" applyProtection="1">
      <alignment horizontal="center" vertical="center" wrapText="1" shrinkToFit="1"/>
      <protection hidden="1"/>
    </xf>
    <xf numFmtId="0" fontId="29" fillId="4" borderId="70" xfId="0" applyFont="1" applyFill="1" applyBorder="1" applyAlignment="1" applyProtection="1">
      <alignment horizontal="center" vertical="center" wrapText="1" shrinkToFit="1"/>
      <protection hidden="1"/>
    </xf>
    <xf numFmtId="0" fontId="29" fillId="4" borderId="89" xfId="0" applyFont="1" applyFill="1" applyBorder="1" applyAlignment="1" applyProtection="1">
      <alignment horizontal="center" vertical="center" wrapText="1" shrinkToFit="1"/>
      <protection hidden="1"/>
    </xf>
    <xf numFmtId="166" fontId="36" fillId="10" borderId="28" xfId="0" applyNumberFormat="1" applyFont="1" applyFill="1" applyBorder="1" applyAlignment="1" applyProtection="1">
      <alignment horizontal="left" vertical="center" shrinkToFit="1"/>
      <protection hidden="1"/>
    </xf>
    <xf numFmtId="166" fontId="36" fillId="10" borderId="0" xfId="0" applyNumberFormat="1" applyFont="1" applyFill="1" applyAlignment="1" applyProtection="1">
      <alignment horizontal="left" vertical="center" shrinkToFit="1"/>
      <protection hidden="1"/>
    </xf>
    <xf numFmtId="165" fontId="30" fillId="0" borderId="0" xfId="0" applyNumberFormat="1" applyFont="1" applyAlignment="1" applyProtection="1">
      <alignment horizontal="center" vertical="center" shrinkToFit="1"/>
      <protection hidden="1"/>
    </xf>
    <xf numFmtId="165" fontId="30" fillId="0" borderId="24" xfId="0" applyNumberFormat="1" applyFont="1" applyBorder="1" applyAlignment="1" applyProtection="1">
      <alignment horizontal="center" vertical="center" shrinkToFit="1"/>
      <protection hidden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3" fontId="3" fillId="2" borderId="21" xfId="0" applyNumberFormat="1" applyFont="1" applyFill="1" applyBorder="1" applyAlignment="1">
      <alignment horizontal="center" vertical="center" shrinkToFit="1"/>
    </xf>
    <xf numFmtId="3" fontId="3" fillId="2" borderId="21" xfId="0" applyNumberFormat="1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3" fontId="12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5" fillId="2" borderId="10" xfId="0" applyNumberFormat="1" applyFont="1" applyFill="1" applyBorder="1" applyAlignment="1" applyProtection="1">
      <alignment horizontal="center" vertical="center"/>
      <protection locked="0"/>
    </xf>
    <xf numFmtId="3" fontId="12" fillId="2" borderId="11" xfId="0" applyNumberFormat="1" applyFont="1" applyFill="1" applyBorder="1" applyAlignment="1" applyProtection="1">
      <alignment horizontal="center" vertical="center"/>
      <protection locked="0"/>
    </xf>
    <xf numFmtId="0" fontId="9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3" fontId="3" fillId="2" borderId="40" xfId="0" applyNumberFormat="1" applyFont="1" applyFill="1" applyBorder="1" applyAlignment="1">
      <alignment horizontal="center" vertical="center" shrinkToFit="1"/>
    </xf>
    <xf numFmtId="3" fontId="3" fillId="2" borderId="40" xfId="0" applyNumberFormat="1" applyFont="1" applyFill="1" applyBorder="1" applyAlignment="1">
      <alignment horizontal="center" vertical="center"/>
    </xf>
    <xf numFmtId="3" fontId="3" fillId="2" borderId="41" xfId="0" applyNumberFormat="1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3" fontId="12" fillId="2" borderId="37" xfId="0" applyNumberFormat="1" applyFont="1" applyFill="1" applyBorder="1" applyAlignment="1">
      <alignment horizontal="center" vertical="center"/>
    </xf>
    <xf numFmtId="3" fontId="12" fillId="2" borderId="3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49" fontId="1" fillId="2" borderId="20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21" xfId="0" applyNumberFormat="1" applyFont="1" applyFill="1" applyBorder="1" applyAlignment="1" applyProtection="1">
      <alignment horizontal="center" vertical="center"/>
      <protection locked="0"/>
    </xf>
    <xf numFmtId="3" fontId="1" fillId="2" borderId="22" xfId="0" applyNumberFormat="1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49" fontId="0" fillId="2" borderId="18" xfId="0" applyNumberFormat="1" applyFill="1" applyBorder="1" applyAlignment="1" applyProtection="1">
      <alignment horizontal="center" vertical="center" shrinkToFit="1"/>
      <protection locked="0"/>
    </xf>
    <xf numFmtId="49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0" xfId="0" applyNumberFormat="1" applyFont="1" applyFill="1" applyBorder="1" applyAlignment="1" applyProtection="1">
      <alignment horizontal="center" vertical="center"/>
      <protection locked="0"/>
    </xf>
    <xf numFmtId="3" fontId="1" fillId="2" borderId="11" xfId="0" applyNumberFormat="1" applyFon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 shrinkToFit="1"/>
      <protection locked="0"/>
    </xf>
    <xf numFmtId="49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17" xfId="0" applyNumberFormat="1" applyFont="1" applyFill="1" applyBorder="1" applyAlignment="1" applyProtection="1">
      <alignment horizontal="center" vertical="center"/>
      <protection locked="0"/>
    </xf>
    <xf numFmtId="3" fontId="1" fillId="2" borderId="19" xfId="0" applyNumberFormat="1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49" fontId="0" fillId="2" borderId="33" xfId="0" applyNumberFormat="1" applyFill="1" applyBorder="1" applyAlignment="1" applyProtection="1">
      <alignment horizontal="center" vertical="center" shrinkToFit="1"/>
      <protection locked="0"/>
    </xf>
    <xf numFmtId="49" fontId="1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35" xfId="0" applyNumberFormat="1" applyFill="1" applyBorder="1" applyAlignment="1" applyProtection="1">
      <alignment horizontal="center" vertical="center" shrinkToFit="1"/>
      <protection locked="0"/>
    </xf>
    <xf numFmtId="49" fontId="1" fillId="2" borderId="36" xfId="0" applyNumberFormat="1" applyFont="1" applyFill="1" applyBorder="1" applyAlignment="1" applyProtection="1">
      <alignment horizontal="center" vertical="center" shrinkToFit="1"/>
      <protection locked="0"/>
    </xf>
    <xf numFmtId="49" fontId="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 shrinkToFit="1"/>
      <protection locked="0"/>
    </xf>
    <xf numFmtId="3" fontId="0" fillId="2" borderId="10" xfId="0" applyNumberFormat="1" applyFill="1" applyBorder="1" applyAlignment="1" applyProtection="1">
      <alignment horizontal="center" vertical="center"/>
      <protection locked="0"/>
    </xf>
    <xf numFmtId="49" fontId="11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49" fontId="11" fillId="2" borderId="35" xfId="0" applyNumberFormat="1" applyFont="1" applyFill="1" applyBorder="1" applyAlignment="1" applyProtection="1">
      <alignment horizontal="center" vertical="center" shrinkToFit="1"/>
      <protection locked="0"/>
    </xf>
    <xf numFmtId="49" fontId="0" fillId="2" borderId="23" xfId="0" applyNumberFormat="1" applyFill="1" applyBorder="1" applyAlignment="1" applyProtection="1">
      <alignment horizontal="center" vertical="center" shrinkToFit="1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49" fontId="11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8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23" xfId="0" applyNumberFormat="1" applyFont="1" applyFill="1" applyBorder="1" applyAlignment="1" applyProtection="1">
      <alignment horizontal="center" vertical="center" shrinkToFit="1"/>
      <protection locked="0"/>
    </xf>
    <xf numFmtId="3" fontId="1" fillId="2" borderId="32" xfId="0" applyNumberFormat="1" applyFont="1" applyFill="1" applyBorder="1" applyAlignment="1" applyProtection="1">
      <alignment horizontal="center" vertical="center"/>
      <protection locked="0"/>
    </xf>
    <xf numFmtId="49" fontId="11" fillId="2" borderId="16" xfId="0" applyNumberFormat="1" applyFont="1" applyFill="1" applyBorder="1" applyAlignment="1" applyProtection="1">
      <alignment horizontal="center" vertical="center" shrinkToFit="1"/>
      <protection locked="0"/>
    </xf>
    <xf numFmtId="0" fontId="1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30" xfId="0" applyFont="1" applyFill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/>
      <protection locked="0"/>
    </xf>
    <xf numFmtId="3" fontId="6" fillId="2" borderId="0" xfId="0" applyNumberFormat="1" applyFont="1" applyFill="1" applyAlignment="1" applyProtection="1">
      <alignment horizontal="center" vertical="center"/>
      <protection locked="0"/>
    </xf>
    <xf numFmtId="49" fontId="11" fillId="2" borderId="18" xfId="0" quotePrefix="1" applyNumberFormat="1" applyFon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 shrinkToFit="1"/>
      <protection locked="0"/>
    </xf>
    <xf numFmtId="3" fontId="0" fillId="2" borderId="10" xfId="0" quotePrefix="1" applyNumberFormat="1" applyFill="1" applyBorder="1" applyAlignment="1" applyProtection="1">
      <alignment horizontal="center" vertical="center"/>
      <protection locked="0"/>
    </xf>
    <xf numFmtId="3" fontId="0" fillId="2" borderId="17" xfId="0" applyNumberFormat="1" applyFill="1" applyBorder="1" applyAlignment="1" applyProtection="1">
      <alignment horizontal="center" vertical="center" shrinkToFit="1"/>
      <protection locked="0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7" borderId="77" xfId="0" applyFont="1" applyFill="1" applyBorder="1" applyAlignment="1" applyProtection="1">
      <alignment horizontal="center" vertical="center" shrinkToFit="1"/>
      <protection hidden="1"/>
    </xf>
    <xf numFmtId="0" fontId="1" fillId="7" borderId="67" xfId="0" applyFont="1" applyFill="1" applyBorder="1" applyAlignment="1" applyProtection="1">
      <alignment horizontal="center" vertical="center" shrinkToFit="1"/>
      <protection hidden="1"/>
    </xf>
    <xf numFmtId="0" fontId="1" fillId="7" borderId="13" xfId="0" applyFont="1" applyFill="1" applyBorder="1" applyAlignment="1" applyProtection="1">
      <alignment horizontal="center" vertical="center" shrinkToFit="1"/>
      <protection hidden="1"/>
    </xf>
    <xf numFmtId="0" fontId="1" fillId="9" borderId="9" xfId="0" applyFont="1" applyFill="1" applyBorder="1" applyAlignment="1" applyProtection="1">
      <alignment horizontal="center" vertical="center" shrinkToFit="1"/>
      <protection hidden="1"/>
    </xf>
    <xf numFmtId="0" fontId="1" fillId="9" borderId="8" xfId="0" applyFont="1" applyFill="1" applyBorder="1" applyAlignment="1" applyProtection="1">
      <alignment horizontal="center" vertical="center" shrinkToFit="1"/>
      <protection hidden="1"/>
    </xf>
    <xf numFmtId="0" fontId="1" fillId="9" borderId="34" xfId="0" applyFont="1" applyFill="1" applyBorder="1" applyAlignment="1" applyProtection="1">
      <alignment horizontal="center" vertical="center" shrinkToFit="1"/>
      <protection hidden="1"/>
    </xf>
    <xf numFmtId="0" fontId="1" fillId="9" borderId="59" xfId="0" applyFont="1" applyFill="1" applyBorder="1" applyAlignment="1" applyProtection="1">
      <alignment horizontal="center" vertical="center" shrinkToFit="1"/>
      <protection hidden="1"/>
    </xf>
    <xf numFmtId="0" fontId="1" fillId="4" borderId="53" xfId="0" applyFont="1" applyFill="1" applyBorder="1" applyAlignment="1" applyProtection="1">
      <alignment horizontal="center" vertical="center" shrinkToFit="1"/>
      <protection hidden="1"/>
    </xf>
    <xf numFmtId="0" fontId="1" fillId="4" borderId="51" xfId="0" applyFont="1" applyFill="1" applyBorder="1" applyAlignment="1" applyProtection="1">
      <alignment horizontal="center" vertical="center" shrinkToFit="1"/>
      <protection hidden="1"/>
    </xf>
    <xf numFmtId="0" fontId="1" fillId="4" borderId="50" xfId="0" applyFont="1" applyFill="1" applyBorder="1" applyAlignment="1" applyProtection="1">
      <alignment horizontal="center" vertical="center" shrinkToFit="1"/>
      <protection hidden="1"/>
    </xf>
    <xf numFmtId="0" fontId="1" fillId="7" borderId="27" xfId="0" applyFont="1" applyFill="1" applyBorder="1" applyAlignment="1" applyProtection="1">
      <alignment horizontal="center" vertical="center"/>
      <protection hidden="1"/>
    </xf>
    <xf numFmtId="0" fontId="1" fillId="7" borderId="31" xfId="0" applyFont="1" applyFill="1" applyBorder="1" applyAlignment="1" applyProtection="1">
      <alignment horizontal="center" vertical="center"/>
      <protection hidden="1"/>
    </xf>
    <xf numFmtId="0" fontId="1" fillId="7" borderId="56" xfId="0" applyFont="1" applyFill="1" applyBorder="1" applyAlignment="1" applyProtection="1">
      <alignment horizontal="center" vertical="center"/>
      <protection hidden="1"/>
    </xf>
    <xf numFmtId="0" fontId="1" fillId="7" borderId="69" xfId="0" applyFont="1" applyFill="1" applyBorder="1" applyAlignment="1" applyProtection="1">
      <alignment horizontal="center" vertical="center"/>
      <protection hidden="1"/>
    </xf>
    <xf numFmtId="166" fontId="0" fillId="7" borderId="37" xfId="0" applyNumberFormat="1" applyFill="1" applyBorder="1" applyAlignment="1" applyProtection="1">
      <alignment horizontal="center" vertical="center" shrinkToFit="1"/>
      <protection hidden="1"/>
    </xf>
    <xf numFmtId="166" fontId="0" fillId="7" borderId="38" xfId="0" applyNumberFormat="1" applyFill="1" applyBorder="1" applyAlignment="1" applyProtection="1">
      <alignment horizontal="center" vertical="center" shrinkToFit="1"/>
      <protection hidden="1"/>
    </xf>
    <xf numFmtId="0" fontId="1" fillId="4" borderId="18" xfId="0" applyFont="1" applyFill="1" applyBorder="1" applyAlignment="1" applyProtection="1">
      <alignment horizontal="right" vertical="center"/>
      <protection hidden="1"/>
    </xf>
    <xf numFmtId="0" fontId="1" fillId="4" borderId="10" xfId="0" applyFont="1" applyFill="1" applyBorder="1" applyAlignment="1" applyProtection="1">
      <alignment horizontal="right" vertical="center"/>
      <protection hidden="1"/>
    </xf>
    <xf numFmtId="0" fontId="1" fillId="7" borderId="33" xfId="0" applyFont="1" applyFill="1" applyBorder="1" applyAlignment="1" applyProtection="1">
      <alignment horizontal="left" vertical="center"/>
      <protection hidden="1"/>
    </xf>
    <xf numFmtId="0" fontId="1" fillId="7" borderId="34" xfId="0" applyFont="1" applyFill="1" applyBorder="1" applyAlignment="1" applyProtection="1">
      <alignment horizontal="left" vertical="center"/>
      <protection hidden="1"/>
    </xf>
    <xf numFmtId="0" fontId="1" fillId="7" borderId="68" xfId="0" applyFont="1" applyFill="1" applyBorder="1" applyAlignment="1" applyProtection="1">
      <alignment horizontal="center" vertical="center" shrinkToFit="1"/>
      <protection hidden="1"/>
    </xf>
    <xf numFmtId="0" fontId="1" fillId="7" borderId="69" xfId="0" applyFont="1" applyFill="1" applyBorder="1" applyAlignment="1" applyProtection="1">
      <alignment horizontal="center" vertical="center" shrinkToFit="1"/>
      <protection hidden="1"/>
    </xf>
    <xf numFmtId="166" fontId="0" fillId="7" borderId="21" xfId="0" applyNumberFormat="1" applyFill="1" applyBorder="1" applyAlignment="1" applyProtection="1">
      <alignment horizontal="center" vertical="center" shrinkToFit="1"/>
      <protection hidden="1"/>
    </xf>
    <xf numFmtId="166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1" fillId="7" borderId="18" xfId="0" applyFont="1" applyFill="1" applyBorder="1" applyAlignment="1" applyProtection="1">
      <alignment horizontal="center" vertical="center"/>
      <protection hidden="1"/>
    </xf>
    <xf numFmtId="0" fontId="1" fillId="7" borderId="9" xfId="0" applyFont="1" applyFill="1" applyBorder="1" applyAlignment="1" applyProtection="1">
      <alignment horizontal="center" vertical="center"/>
      <protection hidden="1"/>
    </xf>
    <xf numFmtId="166" fontId="0" fillId="0" borderId="21" xfId="0" applyNumberFormat="1" applyBorder="1" applyAlignment="1" applyProtection="1">
      <alignment horizontal="center" vertical="center" shrinkToFit="1"/>
      <protection hidden="1"/>
    </xf>
    <xf numFmtId="166" fontId="0" fillId="0" borderId="22" xfId="0" applyNumberFormat="1" applyBorder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18" xfId="0" applyFont="1" applyFill="1" applyBorder="1" applyAlignment="1" applyProtection="1">
      <alignment horizontal="center" vertical="center"/>
      <protection hidden="1"/>
    </xf>
    <xf numFmtId="0" fontId="1" fillId="4" borderId="10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 wrapText="1"/>
      <protection hidden="1"/>
    </xf>
    <xf numFmtId="0" fontId="1" fillId="4" borderId="10" xfId="0" applyFont="1" applyFill="1" applyBorder="1" applyAlignment="1" applyProtection="1">
      <alignment horizontal="center" vertical="center" wrapText="1"/>
      <protection hidden="1"/>
    </xf>
    <xf numFmtId="0" fontId="1" fillId="4" borderId="38" xfId="0" applyFont="1" applyFill="1" applyBorder="1" applyAlignment="1" applyProtection="1">
      <alignment horizontal="center" vertical="center" wrapText="1"/>
      <protection hidden="1"/>
    </xf>
    <xf numFmtId="0" fontId="1" fillId="4" borderId="11" xfId="0" applyFont="1" applyFill="1" applyBorder="1" applyAlignment="1" applyProtection="1">
      <alignment horizontal="center" vertical="center" wrapText="1"/>
      <protection hidden="1"/>
    </xf>
    <xf numFmtId="166" fontId="0" fillId="0" borderId="9" xfId="0" applyNumberFormat="1" applyBorder="1" applyAlignment="1" applyProtection="1">
      <alignment horizontal="center" vertical="center" shrinkToFit="1"/>
      <protection hidden="1"/>
    </xf>
    <xf numFmtId="166" fontId="0" fillId="0" borderId="59" xfId="0" applyNumberFormat="1" applyBorder="1" applyAlignment="1" applyProtection="1">
      <alignment horizontal="center" vertical="center" shrinkToFit="1"/>
      <protection hidden="1"/>
    </xf>
    <xf numFmtId="166" fontId="0" fillId="0" borderId="10" xfId="0" applyNumberFormat="1" applyBorder="1" applyAlignment="1" applyProtection="1">
      <alignment horizontal="center" vertical="center" shrinkToFit="1"/>
      <protection hidden="1"/>
    </xf>
    <xf numFmtId="166" fontId="0" fillId="0" borderId="11" xfId="0" applyNumberFormat="1" applyBorder="1" applyAlignment="1" applyProtection="1">
      <alignment horizontal="center" vertical="center" shrinkToFit="1"/>
      <protection hidden="1"/>
    </xf>
    <xf numFmtId="14" fontId="0" fillId="7" borderId="53" xfId="0" applyNumberFormat="1" applyFill="1" applyBorder="1" applyAlignment="1" applyProtection="1">
      <alignment horizontal="center" vertical="center"/>
      <protection hidden="1"/>
    </xf>
    <xf numFmtId="14" fontId="0" fillId="7" borderId="50" xfId="0" applyNumberFormat="1" applyFill="1" applyBorder="1" applyAlignment="1" applyProtection="1">
      <alignment horizontal="center" vertical="center"/>
      <protection hidden="1"/>
    </xf>
    <xf numFmtId="0" fontId="1" fillId="7" borderId="53" xfId="0" applyFont="1" applyFill="1" applyBorder="1" applyAlignment="1" applyProtection="1">
      <alignment horizontal="center" vertical="center" shrinkToFit="1"/>
      <protection hidden="1"/>
    </xf>
    <xf numFmtId="0" fontId="1" fillId="7" borderId="49" xfId="0" applyFont="1" applyFill="1" applyBorder="1" applyAlignment="1" applyProtection="1">
      <alignment horizontal="center" vertical="center" shrinkToFit="1"/>
      <protection hidden="1"/>
    </xf>
    <xf numFmtId="0" fontId="1" fillId="7" borderId="66" xfId="0" applyFont="1" applyFill="1" applyBorder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 shrinkToFit="1"/>
      <protection hidden="1"/>
    </xf>
    <xf numFmtId="0" fontId="1" fillId="7" borderId="15" xfId="0" applyFont="1" applyFill="1" applyBorder="1" applyAlignment="1" applyProtection="1">
      <alignment horizontal="center" vertical="center" shrinkToFit="1"/>
      <protection hidden="1"/>
    </xf>
    <xf numFmtId="0" fontId="1" fillId="7" borderId="35" xfId="0" applyFont="1" applyFill="1" applyBorder="1" applyAlignment="1" applyProtection="1">
      <alignment horizontal="left" vertical="center"/>
      <protection hidden="1"/>
    </xf>
    <xf numFmtId="0" fontId="1" fillId="7" borderId="36" xfId="0" applyFont="1" applyFill="1" applyBorder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5" borderId="42" xfId="0" applyFont="1" applyFill="1" applyBorder="1" applyAlignment="1" applyProtection="1">
      <alignment horizontal="center" vertical="center" wrapText="1"/>
      <protection hidden="1"/>
    </xf>
    <xf numFmtId="0" fontId="3" fillId="5" borderId="37" xfId="0" applyFont="1" applyFill="1" applyBorder="1" applyAlignment="1" applyProtection="1">
      <alignment horizontal="center" vertical="center" wrapText="1"/>
      <protection hidden="1"/>
    </xf>
    <xf numFmtId="0" fontId="3" fillId="5" borderId="20" xfId="0" applyFont="1" applyFill="1" applyBorder="1" applyAlignment="1" applyProtection="1">
      <alignment horizontal="center" vertical="center" wrapText="1"/>
      <protection hidden="1"/>
    </xf>
    <xf numFmtId="0" fontId="3" fillId="5" borderId="21" xfId="0" applyFont="1" applyFill="1" applyBorder="1" applyAlignment="1" applyProtection="1">
      <alignment horizontal="center" vertical="center" wrapText="1"/>
      <protection hidden="1"/>
    </xf>
    <xf numFmtId="166" fontId="19" fillId="7" borderId="37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38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1" xfId="0" applyNumberFormat="1" applyFont="1" applyFill="1" applyBorder="1" applyAlignment="1" applyProtection="1">
      <alignment horizontal="center" vertical="center" shrinkToFit="1"/>
      <protection hidden="1"/>
    </xf>
    <xf numFmtId="166" fontId="19" fillId="7" borderId="22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40" xfId="0" applyFont="1" applyFill="1" applyBorder="1" applyAlignment="1" applyProtection="1">
      <alignment horizontal="center" vertical="center" shrinkToFit="1"/>
      <protection hidden="1"/>
    </xf>
    <xf numFmtId="0" fontId="1" fillId="5" borderId="41" xfId="0" applyFont="1" applyFill="1" applyBorder="1" applyAlignment="1" applyProtection="1">
      <alignment horizontal="center" vertical="center" shrinkToFit="1"/>
      <protection hidden="1"/>
    </xf>
    <xf numFmtId="0" fontId="1" fillId="7" borderId="20" xfId="0" applyFont="1" applyFill="1" applyBorder="1" applyAlignment="1" applyProtection="1">
      <alignment horizontal="center" vertical="center"/>
      <protection hidden="1"/>
    </xf>
    <xf numFmtId="0" fontId="1" fillId="7" borderId="14" xfId="0" applyFont="1" applyFill="1" applyBorder="1" applyAlignment="1" applyProtection="1">
      <alignment horizontal="center" vertical="center"/>
      <protection hidden="1"/>
    </xf>
    <xf numFmtId="166" fontId="0" fillId="0" borderId="17" xfId="0" applyNumberFormat="1" applyBorder="1" applyAlignment="1" applyProtection="1">
      <alignment horizontal="center" vertical="center" shrinkToFit="1"/>
      <protection hidden="1"/>
    </xf>
    <xf numFmtId="166" fontId="0" fillId="0" borderId="19" xfId="0" applyNumberFormat="1" applyBorder="1" applyAlignment="1" applyProtection="1">
      <alignment horizontal="center" vertical="center" shrinkToFit="1"/>
      <protection hidden="1"/>
    </xf>
    <xf numFmtId="0" fontId="1" fillId="7" borderId="53" xfId="0" applyFont="1" applyFill="1" applyBorder="1" applyAlignment="1" applyProtection="1">
      <alignment horizontal="right" vertical="center"/>
      <protection hidden="1"/>
    </xf>
    <xf numFmtId="0" fontId="1" fillId="7" borderId="51" xfId="0" applyFont="1" applyFill="1" applyBorder="1" applyAlignment="1" applyProtection="1">
      <alignment horizontal="right" vertical="center"/>
      <protection hidden="1"/>
    </xf>
    <xf numFmtId="0" fontId="1" fillId="7" borderId="31" xfId="0" applyFont="1" applyFill="1" applyBorder="1" applyAlignment="1" applyProtection="1">
      <alignment horizontal="right" vertical="center"/>
      <protection hidden="1"/>
    </xf>
    <xf numFmtId="0" fontId="1" fillId="5" borderId="37" xfId="0" applyFont="1" applyFill="1" applyBorder="1" applyAlignment="1" applyProtection="1">
      <alignment horizontal="center" vertical="center"/>
      <protection hidden="1"/>
    </xf>
    <xf numFmtId="0" fontId="1" fillId="5" borderId="38" xfId="0" applyFont="1" applyFill="1" applyBorder="1" applyAlignment="1" applyProtection="1">
      <alignment horizontal="center" vertical="center"/>
      <protection hidden="1"/>
    </xf>
    <xf numFmtId="14" fontId="0" fillId="7" borderId="37" xfId="0" applyNumberFormat="1" applyFill="1" applyBorder="1" applyAlignment="1" applyProtection="1">
      <alignment horizontal="center" vertical="center" shrinkToFit="1"/>
      <protection hidden="1"/>
    </xf>
    <xf numFmtId="4" fontId="0" fillId="7" borderId="10" xfId="0" applyNumberFormat="1" applyFill="1" applyBorder="1" applyAlignment="1" applyProtection="1">
      <alignment horizontal="center" vertical="center" shrinkToFit="1"/>
      <protection hidden="1"/>
    </xf>
    <xf numFmtId="4" fontId="0" fillId="7" borderId="11" xfId="0" applyNumberFormat="1" applyFill="1" applyBorder="1" applyAlignment="1" applyProtection="1">
      <alignment horizontal="center" vertical="center" shrinkToFit="1"/>
      <protection hidden="1"/>
    </xf>
    <xf numFmtId="14" fontId="0" fillId="7" borderId="21" xfId="0" applyNumberFormat="1" applyFill="1" applyBorder="1" applyAlignment="1" applyProtection="1">
      <alignment horizontal="center" vertical="center" shrinkToFit="1"/>
      <protection hidden="1"/>
    </xf>
    <xf numFmtId="14" fontId="2" fillId="7" borderId="4" xfId="0" applyNumberFormat="1" applyFont="1" applyFill="1" applyBorder="1" applyAlignment="1" applyProtection="1">
      <alignment horizontal="center" vertical="center" shrinkToFit="1"/>
      <protection hidden="1"/>
    </xf>
    <xf numFmtId="14" fontId="2" fillId="7" borderId="73" xfId="0" applyNumberFormat="1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 shrinkToFit="1"/>
      <protection hidden="1"/>
    </xf>
    <xf numFmtId="0" fontId="1" fillId="7" borderId="2" xfId="0" applyFont="1" applyFill="1" applyBorder="1" applyAlignment="1" applyProtection="1">
      <alignment horizontal="center" vertical="center" shrinkToFit="1"/>
      <protection hidden="1"/>
    </xf>
    <xf numFmtId="0" fontId="1" fillId="5" borderId="71" xfId="0" applyFont="1" applyFill="1" applyBorder="1" applyAlignment="1" applyProtection="1">
      <alignment horizontal="right" vertical="center" shrinkToFit="1"/>
      <protection hidden="1"/>
    </xf>
    <xf numFmtId="0" fontId="1" fillId="5" borderId="65" xfId="0" applyFont="1" applyFill="1" applyBorder="1" applyAlignment="1" applyProtection="1">
      <alignment horizontal="right" vertical="center" shrinkToFit="1"/>
      <protection hidden="1"/>
    </xf>
    <xf numFmtId="166" fontId="0" fillId="5" borderId="65" xfId="0" applyNumberFormat="1" applyFill="1" applyBorder="1" applyAlignment="1" applyProtection="1">
      <alignment horizontal="center" vertical="center" shrinkToFit="1"/>
      <protection hidden="1"/>
    </xf>
    <xf numFmtId="166" fontId="0" fillId="5" borderId="72" xfId="0" applyNumberFormat="1" applyFill="1" applyBorder="1" applyAlignment="1" applyProtection="1">
      <alignment horizontal="center" vertical="center" shrinkToFit="1"/>
      <protection hidden="1"/>
    </xf>
    <xf numFmtId="0" fontId="1" fillId="5" borderId="53" xfId="0" applyFont="1" applyFill="1" applyBorder="1" applyAlignment="1" applyProtection="1">
      <alignment horizontal="center" vertical="center" shrinkToFit="1"/>
      <protection hidden="1"/>
    </xf>
    <xf numFmtId="0" fontId="1" fillId="5" borderId="51" xfId="0" applyFont="1" applyFill="1" applyBorder="1" applyAlignment="1" applyProtection="1">
      <alignment horizontal="center" vertical="center" shrinkToFit="1"/>
      <protection hidden="1"/>
    </xf>
    <xf numFmtId="0" fontId="1" fillId="5" borderId="49" xfId="0" applyFont="1" applyFill="1" applyBorder="1" applyAlignment="1" applyProtection="1">
      <alignment horizontal="center" vertical="center" shrinkToFit="1"/>
      <protection hidden="1"/>
    </xf>
    <xf numFmtId="0" fontId="5" fillId="5" borderId="53" xfId="0" applyFont="1" applyFill="1" applyBorder="1" applyAlignment="1" applyProtection="1">
      <alignment horizontal="center" vertical="center" shrinkToFit="1"/>
      <protection hidden="1"/>
    </xf>
    <xf numFmtId="0" fontId="5" fillId="5" borderId="49" xfId="0" applyFont="1" applyFill="1" applyBorder="1" applyAlignment="1" applyProtection="1">
      <alignment horizontal="center" vertical="center" shrinkToFit="1"/>
      <protection hidden="1"/>
    </xf>
    <xf numFmtId="0" fontId="2" fillId="5" borderId="46" xfId="0" applyFont="1" applyFill="1" applyBorder="1" applyAlignment="1" applyProtection="1">
      <alignment horizontal="center" vertical="center" shrinkToFit="1"/>
      <protection hidden="1"/>
    </xf>
    <xf numFmtId="0" fontId="2" fillId="5" borderId="49" xfId="0" applyFont="1" applyFill="1" applyBorder="1" applyAlignment="1" applyProtection="1">
      <alignment horizontal="center" vertical="center" shrinkToFit="1"/>
      <protection hidden="1"/>
    </xf>
    <xf numFmtId="14" fontId="0" fillId="0" borderId="45" xfId="0" applyNumberFormat="1" applyBorder="1" applyAlignment="1" applyProtection="1">
      <alignment horizontal="center" vertical="center" shrinkToFit="1"/>
      <protection hidden="1"/>
    </xf>
    <xf numFmtId="14" fontId="0" fillId="0" borderId="2" xfId="0" applyNumberFormat="1" applyBorder="1" applyAlignment="1" applyProtection="1">
      <alignment horizontal="center" vertical="center" shrinkToFit="1"/>
      <protection hidden="1"/>
    </xf>
    <xf numFmtId="0" fontId="9" fillId="7" borderId="3" xfId="0" applyFont="1" applyFill="1" applyBorder="1" applyAlignment="1" applyProtection="1">
      <alignment horizontal="center" vertical="center" shrinkToFit="1"/>
      <protection hidden="1"/>
    </xf>
    <xf numFmtId="0" fontId="9" fillId="7" borderId="55" xfId="0" applyFont="1" applyFill="1" applyBorder="1" applyAlignment="1" applyProtection="1">
      <alignment horizontal="center" vertical="center" shrinkToFit="1"/>
      <protection hidden="1"/>
    </xf>
    <xf numFmtId="0" fontId="9" fillId="7" borderId="2" xfId="0" applyFont="1" applyFill="1" applyBorder="1" applyAlignment="1" applyProtection="1">
      <alignment horizontal="center" vertical="center" shrinkToFit="1"/>
      <protection hidden="1"/>
    </xf>
    <xf numFmtId="0" fontId="1" fillId="5" borderId="73" xfId="0" applyFont="1" applyFill="1" applyBorder="1" applyAlignment="1" applyProtection="1">
      <alignment horizontal="right" vertical="center"/>
      <protection hidden="1"/>
    </xf>
    <xf numFmtId="0" fontId="1" fillId="5" borderId="54" xfId="0" applyFont="1" applyFill="1" applyBorder="1" applyAlignment="1" applyProtection="1">
      <alignment horizontal="right" vertical="center"/>
      <protection hidden="1"/>
    </xf>
    <xf numFmtId="166" fontId="0" fillId="5" borderId="54" xfId="0" applyNumberFormat="1" applyFill="1" applyBorder="1" applyAlignment="1" applyProtection="1">
      <alignment horizontal="center" vertical="center" shrinkToFit="1"/>
      <protection hidden="1"/>
    </xf>
    <xf numFmtId="166" fontId="0" fillId="5" borderId="57" xfId="0" applyNumberFormat="1" applyFill="1" applyBorder="1" applyAlignment="1" applyProtection="1">
      <alignment horizontal="center" vertical="center" shrinkToFit="1"/>
      <protection hidden="1"/>
    </xf>
    <xf numFmtId="4" fontId="0" fillId="7" borderId="21" xfId="0" applyNumberFormat="1" applyFill="1" applyBorder="1" applyAlignment="1" applyProtection="1">
      <alignment horizontal="center" vertical="center" shrinkToFit="1"/>
      <protection hidden="1"/>
    </xf>
    <xf numFmtId="4" fontId="0" fillId="7" borderId="22" xfId="0" applyNumberFormat="1" applyFill="1" applyBorder="1" applyAlignment="1" applyProtection="1">
      <alignment horizontal="center" vertical="center" shrinkToFit="1"/>
      <protection hidden="1"/>
    </xf>
    <xf numFmtId="0" fontId="2" fillId="5" borderId="51" xfId="0" applyFont="1" applyFill="1" applyBorder="1" applyAlignment="1" applyProtection="1">
      <alignment horizontal="center" vertical="center" shrinkToFit="1"/>
      <protection hidden="1"/>
    </xf>
    <xf numFmtId="14" fontId="1" fillId="7" borderId="42" xfId="0" applyNumberFormat="1" applyFont="1" applyFill="1" applyBorder="1" applyAlignment="1" applyProtection="1">
      <alignment horizontal="center" vertical="center" shrinkToFit="1"/>
      <protection hidden="1"/>
    </xf>
    <xf numFmtId="14" fontId="0" fillId="7" borderId="20" xfId="0" applyNumberFormat="1" applyFill="1" applyBorder="1" applyAlignment="1" applyProtection="1">
      <alignment horizontal="center" vertical="center" shrinkToFit="1"/>
      <protection hidden="1"/>
    </xf>
    <xf numFmtId="0" fontId="0" fillId="7" borderId="3" xfId="0" applyFill="1" applyBorder="1" applyAlignment="1" applyProtection="1">
      <alignment horizontal="center" vertical="center"/>
      <protection hidden="1"/>
    </xf>
    <xf numFmtId="0" fontId="0" fillId="7" borderId="55" xfId="0" applyFill="1" applyBorder="1" applyAlignment="1" applyProtection="1">
      <alignment horizontal="center" vertical="center"/>
      <protection hidden="1"/>
    </xf>
    <xf numFmtId="0" fontId="0" fillId="7" borderId="60" xfId="0" applyFill="1" applyBorder="1" applyAlignment="1" applyProtection="1">
      <alignment horizontal="center" vertical="center"/>
      <protection hidden="1"/>
    </xf>
    <xf numFmtId="0" fontId="1" fillId="5" borderId="62" xfId="0" applyFont="1" applyFill="1" applyBorder="1" applyAlignment="1" applyProtection="1">
      <alignment horizontal="right" vertical="center" shrinkToFit="1"/>
      <protection hidden="1"/>
    </xf>
    <xf numFmtId="0" fontId="1" fillId="5" borderId="25" xfId="0" applyFont="1" applyFill="1" applyBorder="1" applyAlignment="1" applyProtection="1">
      <alignment horizontal="right" vertical="center" shrinkToFit="1"/>
      <protection hidden="1"/>
    </xf>
    <xf numFmtId="0" fontId="1" fillId="5" borderId="47" xfId="0" applyFont="1" applyFill="1" applyBorder="1" applyAlignment="1" applyProtection="1">
      <alignment horizontal="right" vertical="center" shrinkToFit="1"/>
      <protection hidden="1"/>
    </xf>
    <xf numFmtId="166" fontId="21" fillId="7" borderId="48" xfId="0" applyNumberFormat="1" applyFont="1" applyFill="1" applyBorder="1" applyAlignment="1" applyProtection="1">
      <alignment horizontal="center" vertical="center" shrinkToFit="1"/>
      <protection hidden="1"/>
    </xf>
    <xf numFmtId="166" fontId="21" fillId="7" borderId="63" xfId="0" applyNumberFormat="1" applyFont="1" applyFill="1" applyBorder="1" applyAlignment="1" applyProtection="1">
      <alignment horizontal="center" vertical="center" shrinkToFit="1"/>
      <protection hidden="1"/>
    </xf>
    <xf numFmtId="0" fontId="1" fillId="4" borderId="43" xfId="0" applyFont="1" applyFill="1" applyBorder="1" applyAlignment="1" applyProtection="1">
      <alignment horizontal="center" vertical="center" wrapText="1" shrinkToFit="1"/>
      <protection hidden="1"/>
    </xf>
    <xf numFmtId="0" fontId="1" fillId="4" borderId="44" xfId="0" applyFont="1" applyFill="1" applyBorder="1" applyAlignment="1" applyProtection="1">
      <alignment horizontal="center" vertical="center" wrapText="1" shrinkToFit="1"/>
      <protection hidden="1"/>
    </xf>
    <xf numFmtId="166" fontId="0" fillId="0" borderId="3" xfId="0" applyNumberFormat="1" applyBorder="1" applyAlignment="1" applyProtection="1">
      <alignment horizontal="center" vertical="center" shrinkToFit="1"/>
      <protection hidden="1"/>
    </xf>
    <xf numFmtId="166" fontId="0" fillId="0" borderId="60" xfId="0" applyNumberFormat="1" applyBorder="1" applyAlignment="1" applyProtection="1">
      <alignment horizontal="center" vertical="center" shrinkToFit="1"/>
      <protection hidden="1"/>
    </xf>
    <xf numFmtId="0" fontId="1" fillId="4" borderId="27" xfId="0" applyFont="1" applyFill="1" applyBorder="1" applyAlignment="1" applyProtection="1">
      <alignment horizontal="right" vertical="center"/>
      <protection hidden="1"/>
    </xf>
    <xf numFmtId="0" fontId="1" fillId="4" borderId="28" xfId="0" applyFont="1" applyFill="1" applyBorder="1" applyAlignment="1" applyProtection="1">
      <alignment horizontal="right" vertical="center"/>
      <protection hidden="1"/>
    </xf>
    <xf numFmtId="0" fontId="0" fillId="7" borderId="42" xfId="0" applyFill="1" applyBorder="1" applyAlignment="1" applyProtection="1">
      <alignment horizontal="center" vertical="center"/>
      <protection hidden="1"/>
    </xf>
    <xf numFmtId="0" fontId="0" fillId="7" borderId="37" xfId="0" applyFill="1" applyBorder="1" applyAlignment="1" applyProtection="1">
      <alignment horizontal="center" vertical="center"/>
      <protection hidden="1"/>
    </xf>
    <xf numFmtId="0" fontId="0" fillId="7" borderId="20" xfId="0" applyFill="1" applyBorder="1" applyAlignment="1" applyProtection="1">
      <alignment horizontal="center" vertical="center"/>
      <protection hidden="1"/>
    </xf>
    <xf numFmtId="0" fontId="0" fillId="7" borderId="21" xfId="0" applyFill="1" applyBorder="1" applyAlignment="1" applyProtection="1">
      <alignment horizontal="center" vertical="center"/>
      <protection hidden="1"/>
    </xf>
    <xf numFmtId="0" fontId="1" fillId="7" borderId="55" xfId="0" applyFont="1" applyFill="1" applyBorder="1" applyAlignment="1" applyProtection="1">
      <alignment horizontal="center" vertical="center"/>
      <protection hidden="1"/>
    </xf>
    <xf numFmtId="0" fontId="1" fillId="7" borderId="2" xfId="0" applyFont="1" applyFill="1" applyBorder="1" applyAlignment="1" applyProtection="1">
      <alignment horizontal="center" vertical="center"/>
      <protection hidden="1"/>
    </xf>
    <xf numFmtId="0" fontId="2" fillId="4" borderId="64" xfId="0" applyFont="1" applyFill="1" applyBorder="1" applyAlignment="1" applyProtection="1">
      <alignment horizontal="center" vertical="center" wrapText="1" shrinkToFit="1"/>
      <protection hidden="1"/>
    </xf>
    <xf numFmtId="0" fontId="2" fillId="4" borderId="70" xfId="0" applyFont="1" applyFill="1" applyBorder="1" applyAlignment="1" applyProtection="1">
      <alignment horizontal="center" vertical="center" wrapText="1" shrinkToFit="1"/>
      <protection hidden="1"/>
    </xf>
    <xf numFmtId="0" fontId="2" fillId="4" borderId="44" xfId="0" applyFont="1" applyFill="1" applyBorder="1" applyAlignment="1" applyProtection="1">
      <alignment horizontal="center" vertical="center" wrapText="1" shrinkToFit="1"/>
      <protection hidden="1"/>
    </xf>
    <xf numFmtId="0" fontId="1" fillId="4" borderId="64" xfId="0" applyFont="1" applyFill="1" applyBorder="1" applyAlignment="1" applyProtection="1">
      <alignment horizontal="center" vertical="center" wrapText="1"/>
      <protection hidden="1"/>
    </xf>
    <xf numFmtId="0" fontId="1" fillId="4" borderId="70" xfId="0" applyFont="1" applyFill="1" applyBorder="1" applyAlignment="1" applyProtection="1">
      <alignment horizontal="center" vertical="center" wrapText="1"/>
      <protection hidden="1"/>
    </xf>
    <xf numFmtId="0" fontId="1" fillId="4" borderId="44" xfId="0" applyFont="1" applyFill="1" applyBorder="1" applyAlignment="1" applyProtection="1">
      <alignment horizontal="center" vertical="center" wrapText="1"/>
      <protection hidden="1"/>
    </xf>
    <xf numFmtId="0" fontId="2" fillId="4" borderId="64" xfId="0" applyFont="1" applyFill="1" applyBorder="1" applyAlignment="1" applyProtection="1">
      <alignment horizontal="center" vertical="center" wrapText="1"/>
      <protection hidden="1"/>
    </xf>
    <xf numFmtId="0" fontId="2" fillId="4" borderId="70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1" fillId="4" borderId="64" xfId="0" applyFont="1" applyFill="1" applyBorder="1" applyAlignment="1" applyProtection="1">
      <alignment horizontal="center" vertical="center" wrapText="1" shrinkToFit="1"/>
      <protection hidden="1"/>
    </xf>
    <xf numFmtId="0" fontId="1" fillId="5" borderId="45" xfId="0" applyFont="1" applyFill="1" applyBorder="1" applyAlignment="1" applyProtection="1">
      <alignment horizontal="right" vertical="center" shrinkToFit="1"/>
      <protection hidden="1"/>
    </xf>
    <xf numFmtId="0" fontId="1" fillId="5" borderId="55" xfId="0" applyFont="1" applyFill="1" applyBorder="1" applyAlignment="1" applyProtection="1">
      <alignment horizontal="right" vertical="center" shrinkToFit="1"/>
      <protection hidden="1"/>
    </xf>
    <xf numFmtId="0" fontId="1" fillId="5" borderId="2" xfId="0" applyFont="1" applyFill="1" applyBorder="1" applyAlignment="1" applyProtection="1">
      <alignment horizontal="right" vertical="center" shrinkToFit="1"/>
      <protection hidden="1"/>
    </xf>
    <xf numFmtId="166" fontId="1" fillId="7" borderId="3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60" xfId="0" applyNumberFormat="1" applyFont="1" applyFill="1" applyBorder="1" applyAlignment="1" applyProtection="1">
      <alignment horizontal="center" vertical="center" shrinkToFit="1"/>
      <protection hidden="1"/>
    </xf>
    <xf numFmtId="0" fontId="1" fillId="5" borderId="33" xfId="0" applyFont="1" applyFill="1" applyBorder="1" applyAlignment="1" applyProtection="1">
      <alignment horizontal="right" vertical="center" shrinkToFit="1"/>
      <protection hidden="1"/>
    </xf>
    <xf numFmtId="0" fontId="1" fillId="5" borderId="34" xfId="0" applyFont="1" applyFill="1" applyBorder="1" applyAlignment="1" applyProtection="1">
      <alignment horizontal="right" vertical="center" shrinkToFit="1"/>
      <protection hidden="1"/>
    </xf>
    <xf numFmtId="0" fontId="1" fillId="5" borderId="8" xfId="0" applyFont="1" applyFill="1" applyBorder="1" applyAlignment="1" applyProtection="1">
      <alignment horizontal="right" vertical="center" shrinkToFit="1"/>
      <protection hidden="1"/>
    </xf>
    <xf numFmtId="166" fontId="1" fillId="7" borderId="10" xfId="0" applyNumberFormat="1" applyFont="1" applyFill="1" applyBorder="1" applyAlignment="1" applyProtection="1">
      <alignment horizontal="center" vertical="center" shrinkToFit="1"/>
      <protection hidden="1"/>
    </xf>
    <xf numFmtId="166" fontId="1" fillId="7" borderId="11" xfId="0" applyNumberFormat="1" applyFont="1" applyFill="1" applyBorder="1" applyAlignment="1" applyProtection="1">
      <alignment horizontal="center" vertical="center" shrinkToFit="1"/>
      <protection hidden="1"/>
    </xf>
    <xf numFmtId="0" fontId="2" fillId="9" borderId="10" xfId="0" applyFont="1" applyFill="1" applyBorder="1" applyAlignment="1" applyProtection="1">
      <alignment horizontal="center" vertical="center" wrapText="1"/>
      <protection hidden="1"/>
    </xf>
    <xf numFmtId="0" fontId="2" fillId="9" borderId="21" xfId="0" applyFont="1" applyFill="1" applyBorder="1" applyAlignment="1" applyProtection="1">
      <alignment horizontal="center" vertical="center" wrapText="1"/>
      <protection hidden="1"/>
    </xf>
    <xf numFmtId="49" fontId="1" fillId="0" borderId="9" xfId="0" applyNumberFormat="1" applyFont="1" applyBorder="1" applyAlignment="1" applyProtection="1">
      <alignment horizontal="center" vertical="center" shrinkToFit="1"/>
      <protection hidden="1"/>
    </xf>
    <xf numFmtId="49" fontId="1" fillId="0" borderId="34" xfId="0" applyNumberFormat="1" applyFont="1" applyBorder="1" applyAlignment="1" applyProtection="1">
      <alignment horizontal="center" vertical="center" shrinkToFit="1"/>
      <protection hidden="1"/>
    </xf>
    <xf numFmtId="49" fontId="1" fillId="0" borderId="8" xfId="0" applyNumberFormat="1" applyFont="1" applyBorder="1" applyAlignment="1" applyProtection="1">
      <alignment horizontal="center" vertical="center" shrinkToFit="1"/>
      <protection hidden="1"/>
    </xf>
    <xf numFmtId="0" fontId="1" fillId="7" borderId="5" xfId="0" applyFont="1" applyFill="1" applyBorder="1" applyAlignment="1" applyProtection="1">
      <alignment horizontal="center" vertical="center" shrinkToFit="1"/>
      <protection hidden="1"/>
    </xf>
    <xf numFmtId="0" fontId="1" fillId="7" borderId="54" xfId="0" applyFont="1" applyFill="1" applyBorder="1" applyAlignment="1" applyProtection="1">
      <alignment horizontal="center" vertical="center" shrinkToFit="1"/>
      <protection hidden="1"/>
    </xf>
    <xf numFmtId="0" fontId="1" fillId="7" borderId="3" xfId="0" applyFont="1" applyFill="1" applyBorder="1" applyAlignment="1" applyProtection="1">
      <alignment horizontal="center" vertical="center"/>
      <protection hidden="1"/>
    </xf>
    <xf numFmtId="0" fontId="1" fillId="7" borderId="60" xfId="0" applyFont="1" applyFill="1" applyBorder="1" applyAlignment="1" applyProtection="1">
      <alignment horizontal="center" vertical="center"/>
      <protection hidden="1"/>
    </xf>
    <xf numFmtId="49" fontId="1" fillId="0" borderId="14" xfId="0" applyNumberFormat="1" applyFont="1" applyBorder="1" applyAlignment="1" applyProtection="1">
      <alignment horizontal="center" vertical="center" shrinkToFit="1"/>
      <protection hidden="1"/>
    </xf>
    <xf numFmtId="49" fontId="1" fillId="0" borderId="67" xfId="0" applyNumberFormat="1" applyFont="1" applyBorder="1" applyAlignment="1" applyProtection="1">
      <alignment horizontal="center" vertical="center" shrinkToFit="1"/>
      <protection hidden="1"/>
    </xf>
    <xf numFmtId="49" fontId="1" fillId="0" borderId="13" xfId="0" applyNumberFormat="1" applyFont="1" applyBorder="1" applyAlignment="1" applyProtection="1">
      <alignment horizontal="center" vertical="center" shrinkToFit="1"/>
      <protection hidden="1"/>
    </xf>
    <xf numFmtId="0" fontId="7" fillId="5" borderId="42" xfId="0" applyFont="1" applyFill="1" applyBorder="1" applyAlignment="1" applyProtection="1">
      <alignment horizontal="center" vertical="center" wrapText="1" shrinkToFit="1"/>
      <protection hidden="1"/>
    </xf>
    <xf numFmtId="0" fontId="7" fillId="5" borderId="33" xfId="0" applyFont="1" applyFill="1" applyBorder="1" applyAlignment="1" applyProtection="1">
      <alignment horizontal="center" vertical="center" wrapText="1" shrinkToFit="1"/>
      <protection hidden="1"/>
    </xf>
    <xf numFmtId="0" fontId="9" fillId="6" borderId="53" xfId="0" applyFont="1" applyFill="1" applyBorder="1" applyAlignment="1" applyProtection="1">
      <alignment horizontal="center" vertical="center" shrinkToFit="1"/>
      <protection hidden="1"/>
    </xf>
    <xf numFmtId="0" fontId="9" fillId="6" borderId="51" xfId="0" applyFont="1" applyFill="1" applyBorder="1" applyAlignment="1" applyProtection="1">
      <alignment horizontal="center" vertical="center" shrinkToFit="1"/>
      <protection hidden="1"/>
    </xf>
    <xf numFmtId="0" fontId="9" fillId="6" borderId="31" xfId="0" applyFont="1" applyFill="1" applyBorder="1" applyAlignment="1" applyProtection="1">
      <alignment horizontal="center" vertical="center" shrinkToFit="1"/>
      <protection hidden="1"/>
    </xf>
    <xf numFmtId="165" fontId="17" fillId="0" borderId="0" xfId="0" applyNumberFormat="1" applyFont="1" applyAlignment="1" applyProtection="1">
      <alignment horizontal="center" vertical="center" shrinkToFit="1"/>
      <protection hidden="1"/>
    </xf>
    <xf numFmtId="14" fontId="0" fillId="0" borderId="33" xfId="0" applyNumberFormat="1" applyBorder="1" applyAlignment="1" applyProtection="1">
      <alignment horizontal="center" vertical="center" shrinkToFit="1"/>
      <protection hidden="1"/>
    </xf>
    <xf numFmtId="14" fontId="0" fillId="0" borderId="8" xfId="0" applyNumberFormat="1" applyBorder="1" applyAlignment="1" applyProtection="1">
      <alignment horizontal="center" vertical="center" shrinkToFit="1"/>
      <protection hidden="1"/>
    </xf>
    <xf numFmtId="0" fontId="1" fillId="4" borderId="30" xfId="0" applyFont="1" applyFill="1" applyBorder="1" applyAlignment="1" applyProtection="1">
      <alignment horizontal="right" vertical="center"/>
      <protection hidden="1"/>
    </xf>
    <xf numFmtId="0" fontId="1" fillId="4" borderId="29" xfId="0" applyFont="1" applyFill="1" applyBorder="1" applyAlignment="1" applyProtection="1">
      <alignment horizontal="right" vertical="center"/>
      <protection hidden="1"/>
    </xf>
    <xf numFmtId="44" fontId="6" fillId="7" borderId="46" xfId="1" applyFont="1" applyFill="1" applyBorder="1" applyAlignment="1" applyProtection="1">
      <alignment horizontal="center" vertical="center" shrinkToFit="1"/>
      <protection hidden="1"/>
    </xf>
    <xf numFmtId="44" fontId="6" fillId="7" borderId="49" xfId="1" applyFont="1" applyFill="1" applyBorder="1" applyAlignment="1" applyProtection="1">
      <alignment horizontal="center" vertical="center" shrinkToFit="1"/>
      <protection hidden="1"/>
    </xf>
    <xf numFmtId="0" fontId="1" fillId="7" borderId="9" xfId="0" applyFont="1" applyFill="1" applyBorder="1" applyAlignment="1" applyProtection="1">
      <alignment horizontal="center" vertical="center" shrinkToFit="1"/>
      <protection hidden="1"/>
    </xf>
    <xf numFmtId="0" fontId="1" fillId="7" borderId="34" xfId="0" applyFont="1" applyFill="1" applyBorder="1" applyAlignment="1" applyProtection="1">
      <alignment horizontal="center" vertical="center" shrinkToFit="1"/>
      <protection hidden="1"/>
    </xf>
    <xf numFmtId="0" fontId="1" fillId="7" borderId="8" xfId="0" applyFont="1" applyFill="1" applyBorder="1" applyAlignment="1" applyProtection="1">
      <alignment horizontal="center" vertical="center" shrinkToFit="1"/>
      <protection hidden="1"/>
    </xf>
    <xf numFmtId="0" fontId="23" fillId="9" borderId="45" xfId="0" applyFont="1" applyFill="1" applyBorder="1" applyAlignment="1" applyProtection="1">
      <alignment horizontal="center" vertical="center" shrinkToFit="1"/>
      <protection hidden="1"/>
    </xf>
    <xf numFmtId="0" fontId="23" fillId="9" borderId="55" xfId="0" applyFont="1" applyFill="1" applyBorder="1" applyAlignment="1" applyProtection="1">
      <alignment horizontal="center" vertical="center" shrinkToFit="1"/>
      <protection hidden="1"/>
    </xf>
    <xf numFmtId="0" fontId="23" fillId="9" borderId="60" xfId="0" applyFont="1" applyFill="1" applyBorder="1" applyAlignment="1" applyProtection="1">
      <alignment horizontal="center" vertical="center" shrinkToFit="1"/>
      <protection hidden="1"/>
    </xf>
    <xf numFmtId="165" fontId="23" fillId="11" borderId="4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55" xfId="0" applyNumberFormat="1" applyFont="1" applyFill="1" applyBorder="1" applyAlignment="1" applyProtection="1">
      <alignment horizontal="center" vertical="center" shrinkToFit="1"/>
      <protection hidden="1"/>
    </xf>
    <xf numFmtId="165" fontId="23" fillId="11" borderId="60" xfId="0" applyNumberFormat="1" applyFont="1" applyFill="1" applyBorder="1" applyAlignment="1" applyProtection="1">
      <alignment horizontal="center" vertical="center" shrinkToFit="1"/>
      <protection hidden="1"/>
    </xf>
    <xf numFmtId="165" fontId="23" fillId="0" borderId="0" xfId="0" applyNumberFormat="1" applyFont="1" applyAlignment="1" applyProtection="1">
      <alignment horizontal="center" vertical="center" shrinkToFit="1"/>
      <protection hidden="1"/>
    </xf>
    <xf numFmtId="0" fontId="1" fillId="4" borderId="42" xfId="0" applyFont="1" applyFill="1" applyBorder="1" applyAlignment="1" applyProtection="1">
      <alignment horizontal="center" vertical="center" shrinkToFit="1"/>
      <protection hidden="1"/>
    </xf>
    <xf numFmtId="0" fontId="1" fillId="4" borderId="37" xfId="0" applyFont="1" applyFill="1" applyBorder="1" applyAlignment="1" applyProtection="1">
      <alignment horizontal="center" vertical="center" shrinkToFit="1"/>
      <protection hidden="1"/>
    </xf>
    <xf numFmtId="0" fontId="1" fillId="4" borderId="38" xfId="0" applyFont="1" applyFill="1" applyBorder="1" applyAlignment="1" applyProtection="1">
      <alignment horizontal="center" vertical="center" shrinkToFit="1"/>
      <protection hidden="1"/>
    </xf>
    <xf numFmtId="0" fontId="1" fillId="9" borderId="18" xfId="0" applyFont="1" applyFill="1" applyBorder="1" applyAlignment="1" applyProtection="1">
      <alignment horizontal="center" vertical="center" shrinkToFit="1"/>
      <protection hidden="1"/>
    </xf>
    <xf numFmtId="0" fontId="1" fillId="9" borderId="20" xfId="0" applyFont="1" applyFill="1" applyBorder="1" applyAlignment="1" applyProtection="1">
      <alignment horizontal="center" vertical="center" shrinkToFit="1"/>
      <protection hidden="1"/>
    </xf>
    <xf numFmtId="3" fontId="1" fillId="5" borderId="46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51" xfId="0" applyNumberFormat="1" applyFont="1" applyFill="1" applyBorder="1" applyAlignment="1" applyProtection="1">
      <alignment horizontal="center" vertical="center" wrapText="1"/>
      <protection hidden="1"/>
    </xf>
    <xf numFmtId="3" fontId="1" fillId="5" borderId="49" xfId="0" applyNumberFormat="1" applyFont="1" applyFill="1" applyBorder="1" applyAlignment="1" applyProtection="1">
      <alignment horizontal="center" vertical="center" wrapText="1"/>
      <protection hidden="1"/>
    </xf>
    <xf numFmtId="49" fontId="1" fillId="0" borderId="32" xfId="0" applyNumberFormat="1" applyFont="1" applyBorder="1" applyAlignment="1" applyProtection="1">
      <alignment horizontal="center" vertical="center" shrinkToFit="1"/>
      <protection hidden="1"/>
    </xf>
    <xf numFmtId="49" fontId="1" fillId="0" borderId="36" xfId="0" applyNumberFormat="1" applyFont="1" applyBorder="1" applyAlignment="1" applyProtection="1">
      <alignment horizontal="center" vertical="center" shrinkToFit="1"/>
      <protection hidden="1"/>
    </xf>
    <xf numFmtId="49" fontId="1" fillId="0" borderId="23" xfId="0" applyNumberFormat="1" applyFont="1" applyBorder="1" applyAlignment="1" applyProtection="1">
      <alignment horizontal="center" vertical="center" shrinkToFit="1"/>
      <protection hidden="1"/>
    </xf>
    <xf numFmtId="166" fontId="1" fillId="9" borderId="9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2" xfId="0" applyNumberFormat="1" applyFont="1" applyFill="1" applyBorder="1" applyAlignment="1" applyProtection="1">
      <alignment horizontal="center" vertical="center" shrinkToFit="1"/>
      <protection hidden="1"/>
    </xf>
    <xf numFmtId="166" fontId="1" fillId="9" borderId="83" xfId="0" applyNumberFormat="1" applyFont="1" applyFill="1" applyBorder="1" applyAlignment="1" applyProtection="1">
      <alignment horizontal="center" vertical="center" shrinkToFit="1"/>
      <protection hidden="1"/>
    </xf>
    <xf numFmtId="0" fontId="6" fillId="9" borderId="84" xfId="0" applyFont="1" applyFill="1" applyBorder="1" applyAlignment="1" applyProtection="1">
      <alignment horizontal="center" vertical="center" shrinkToFit="1"/>
      <protection hidden="1"/>
    </xf>
    <xf numFmtId="0" fontId="6" fillId="9" borderId="85" xfId="0" applyFont="1" applyFill="1" applyBorder="1" applyAlignment="1" applyProtection="1">
      <alignment horizontal="center" vertical="center" shrinkToFit="1"/>
      <protection hidden="1"/>
    </xf>
    <xf numFmtId="0" fontId="6" fillId="11" borderId="84" xfId="0" applyFont="1" applyFill="1" applyBorder="1" applyAlignment="1" applyProtection="1">
      <alignment horizontal="center" vertical="center" shrinkToFit="1"/>
      <protection hidden="1"/>
    </xf>
    <xf numFmtId="0" fontId="6" fillId="11" borderId="85" xfId="0" applyFont="1" applyFill="1" applyBorder="1" applyAlignment="1" applyProtection="1">
      <alignment horizontal="center" vertical="center" shrinkToFit="1"/>
      <protection hidden="1"/>
    </xf>
    <xf numFmtId="166" fontId="0" fillId="11" borderId="9" xfId="0" applyNumberFormat="1" applyFill="1" applyBorder="1" applyAlignment="1" applyProtection="1">
      <alignment horizontal="center" vertical="center"/>
      <protection hidden="1"/>
    </xf>
    <xf numFmtId="166" fontId="0" fillId="11" borderId="8" xfId="0" applyNumberFormat="1" applyFill="1" applyBorder="1" applyAlignment="1" applyProtection="1">
      <alignment horizontal="center" vertical="center"/>
      <protection hidden="1"/>
    </xf>
    <xf numFmtId="166" fontId="0" fillId="11" borderId="82" xfId="0" applyNumberFormat="1" applyFill="1" applyBorder="1" applyAlignment="1" applyProtection="1">
      <alignment horizontal="center" vertical="center"/>
      <protection hidden="1"/>
    </xf>
    <xf numFmtId="166" fontId="0" fillId="11" borderId="83" xfId="0" applyNumberFormat="1" applyFill="1" applyBorder="1" applyAlignment="1" applyProtection="1">
      <alignment horizontal="center" vertical="center"/>
      <protection hidden="1"/>
    </xf>
    <xf numFmtId="0" fontId="1" fillId="4" borderId="20" xfId="0" applyFont="1" applyFill="1" applyBorder="1" applyAlignment="1" applyProtection="1">
      <alignment horizontal="right" vertical="center"/>
      <protection hidden="1"/>
    </xf>
    <xf numFmtId="0" fontId="1" fillId="4" borderId="21" xfId="0" applyFont="1" applyFill="1" applyBorder="1" applyAlignment="1" applyProtection="1">
      <alignment horizontal="right" vertical="center"/>
      <protection hidden="1"/>
    </xf>
    <xf numFmtId="49" fontId="0" fillId="0" borderId="9" xfId="0" applyNumberFormat="1" applyBorder="1" applyAlignment="1" applyProtection="1">
      <alignment horizontal="center" vertical="center" shrinkToFit="1"/>
      <protection hidden="1"/>
    </xf>
    <xf numFmtId="49" fontId="0" fillId="0" borderId="34" xfId="0" applyNumberFormat="1" applyBorder="1" applyAlignment="1" applyProtection="1">
      <alignment horizontal="center" vertical="center" shrinkToFit="1"/>
      <protection hidden="1"/>
    </xf>
    <xf numFmtId="49" fontId="0" fillId="0" borderId="8" xfId="0" applyNumberFormat="1" applyBorder="1" applyAlignment="1" applyProtection="1">
      <alignment horizontal="center" vertical="center" shrinkToFit="1"/>
      <protection hidden="1"/>
    </xf>
    <xf numFmtId="0" fontId="0" fillId="0" borderId="64" xfId="0" applyBorder="1" applyAlignment="1" applyProtection="1">
      <alignment horizontal="center" wrapText="1" shrinkToFit="1"/>
      <protection hidden="1"/>
    </xf>
    <xf numFmtId="0" fontId="0" fillId="0" borderId="44" xfId="0" applyBorder="1" applyAlignment="1" applyProtection="1">
      <alignment horizontal="center" wrapText="1" shrinkToFit="1"/>
      <protection hidden="1"/>
    </xf>
    <xf numFmtId="170" fontId="0" fillId="0" borderId="45" xfId="0" applyNumberFormat="1" applyBorder="1" applyAlignment="1" applyProtection="1">
      <alignment horizontal="center"/>
      <protection hidden="1"/>
    </xf>
    <xf numFmtId="170" fontId="0" fillId="0" borderId="2" xfId="0" applyNumberFormat="1" applyBorder="1" applyAlignment="1" applyProtection="1">
      <alignment horizontal="center"/>
      <protection hidden="1"/>
    </xf>
    <xf numFmtId="170" fontId="1" fillId="0" borderId="45" xfId="0" applyNumberFormat="1" applyFont="1" applyBorder="1" applyAlignment="1" applyProtection="1">
      <alignment horizontal="center"/>
      <protection hidden="1"/>
    </xf>
    <xf numFmtId="170" fontId="1" fillId="0" borderId="55" xfId="0" applyNumberFormat="1" applyFont="1" applyBorder="1" applyAlignment="1" applyProtection="1">
      <alignment horizontal="center"/>
      <protection hidden="1"/>
    </xf>
    <xf numFmtId="170" fontId="1" fillId="0" borderId="60" xfId="0" applyNumberFormat="1" applyFont="1" applyBorder="1" applyAlignment="1" applyProtection="1">
      <alignment horizontal="center"/>
      <protection hidden="1"/>
    </xf>
    <xf numFmtId="170" fontId="0" fillId="0" borderId="27" xfId="0" applyNumberFormat="1" applyBorder="1" applyAlignment="1" applyProtection="1">
      <alignment horizontal="center" vertical="center"/>
      <protection hidden="1"/>
    </xf>
    <xf numFmtId="170" fontId="0" fillId="0" borderId="28" xfId="0" applyNumberFormat="1" applyBorder="1" applyAlignment="1" applyProtection="1">
      <alignment horizontal="center" vertical="center"/>
      <protection hidden="1"/>
    </xf>
    <xf numFmtId="170" fontId="0" fillId="0" borderId="29" xfId="0" applyNumberFormat="1" applyBorder="1" applyAlignment="1" applyProtection="1">
      <alignment horizontal="center" vertical="center"/>
      <protection hidden="1"/>
    </xf>
    <xf numFmtId="0" fontId="24" fillId="0" borderId="37" xfId="0" applyFont="1" applyBorder="1" applyProtection="1">
      <protection hidden="1"/>
    </xf>
    <xf numFmtId="0" fontId="0" fillId="0" borderId="37" xfId="0" applyBorder="1" applyProtection="1">
      <protection hidden="1"/>
    </xf>
    <xf numFmtId="0" fontId="0" fillId="0" borderId="38" xfId="0" applyBorder="1" applyProtection="1">
      <protection hidden="1"/>
    </xf>
    <xf numFmtId="0" fontId="24" fillId="0" borderId="10" xfId="0" applyFont="1" applyBorder="1" applyProtection="1">
      <protection hidden="1"/>
    </xf>
    <xf numFmtId="0" fontId="24" fillId="0" borderId="11" xfId="0" applyFont="1" applyBorder="1" applyProtection="1">
      <protection hidden="1"/>
    </xf>
    <xf numFmtId="0" fontId="24" fillId="0" borderId="10" xfId="0" applyFont="1" applyBorder="1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24" fillId="0" borderId="21" xfId="0" applyFont="1" applyBorder="1" applyAlignment="1" applyProtection="1">
      <alignment horizontal="left"/>
      <protection hidden="1"/>
    </xf>
    <xf numFmtId="0" fontId="0" fillId="0" borderId="21" xfId="0" applyBorder="1" applyAlignment="1" applyProtection="1">
      <alignment horizontal="left"/>
      <protection hidden="1"/>
    </xf>
    <xf numFmtId="0" fontId="0" fillId="0" borderId="22" xfId="0" applyBorder="1" applyAlignment="1" applyProtection="1">
      <alignment horizontal="left"/>
      <protection hidden="1"/>
    </xf>
  </cellXfs>
  <cellStyles count="2">
    <cellStyle name="Normal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1"/>
  <sheetViews>
    <sheetView topLeftCell="A22" workbookViewId="0">
      <selection activeCell="X20" sqref="X20"/>
    </sheetView>
  </sheetViews>
  <sheetFormatPr defaultColWidth="9.140625" defaultRowHeight="12.75" x14ac:dyDescent="0.2"/>
  <cols>
    <col min="1" max="1" width="2.8554687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1.85546875" style="34" customWidth="1"/>
    <col min="6" max="6" width="13" style="34" customWidth="1"/>
    <col min="7" max="16" width="6.7109375" style="34" customWidth="1"/>
    <col min="17" max="17" width="8.5703125" style="34" customWidth="1"/>
    <col min="18" max="18" width="7.7109375" style="34" customWidth="1"/>
    <col min="19" max="19" width="7.85546875" style="34" customWidth="1"/>
    <col min="20" max="21" width="6.42578125" style="34" customWidth="1"/>
    <col min="22" max="22" width="7.7109375" style="34" customWidth="1"/>
    <col min="23" max="23" width="6.5703125" style="3" bestFit="1" customWidth="1"/>
    <col min="24" max="24" width="5.28515625" style="34" customWidth="1"/>
    <col min="25" max="25" width="14.28515625" style="34" bestFit="1" customWidth="1"/>
    <col min="26" max="16384" width="9.140625" style="34"/>
  </cols>
  <sheetData>
    <row r="1" spans="1:23" s="3" customFormat="1" ht="15" customHeight="1" x14ac:dyDescent="0.2">
      <c r="A1" s="1"/>
      <c r="C1" s="144"/>
      <c r="F1" s="1"/>
      <c r="G1" s="1"/>
      <c r="H1" s="2" t="s">
        <v>52</v>
      </c>
      <c r="I1" s="1"/>
      <c r="J1" s="1"/>
      <c r="K1" s="2" t="s">
        <v>52</v>
      </c>
      <c r="L1" s="1"/>
      <c r="M1" s="1"/>
      <c r="N1" s="2" t="s">
        <v>52</v>
      </c>
      <c r="O1" s="1"/>
      <c r="P1" s="1"/>
      <c r="Q1" s="2" t="s">
        <v>52</v>
      </c>
      <c r="R1" s="116"/>
      <c r="S1" s="116"/>
      <c r="T1" s="2" t="s">
        <v>52</v>
      </c>
      <c r="V1" s="1"/>
    </row>
    <row r="2" spans="1:23" s="3" customFormat="1" ht="15" customHeight="1" x14ac:dyDescent="0.2">
      <c r="A2" s="52" t="s">
        <v>42</v>
      </c>
      <c r="C2" s="117"/>
      <c r="E2" s="121" t="s">
        <v>54</v>
      </c>
      <c r="F2" s="145" t="s">
        <v>26</v>
      </c>
      <c r="G2" s="60">
        <v>15</v>
      </c>
      <c r="H2" s="60"/>
      <c r="I2" s="145" t="s">
        <v>37</v>
      </c>
      <c r="J2" s="60">
        <v>25</v>
      </c>
      <c r="K2" s="60"/>
      <c r="L2" s="145" t="s">
        <v>38</v>
      </c>
      <c r="M2" s="60">
        <v>6</v>
      </c>
      <c r="N2" s="60"/>
      <c r="O2" s="121" t="s">
        <v>51</v>
      </c>
      <c r="P2" s="60">
        <v>9</v>
      </c>
      <c r="Q2" s="60"/>
      <c r="R2" s="145" t="s">
        <v>26</v>
      </c>
      <c r="S2" s="60">
        <v>15</v>
      </c>
      <c r="T2" s="60"/>
      <c r="U2" s="145" t="s">
        <v>38</v>
      </c>
      <c r="V2" s="60">
        <v>3</v>
      </c>
    </row>
    <row r="3" spans="1:23" s="3" customFormat="1" ht="15" customHeight="1" x14ac:dyDescent="0.2">
      <c r="A3" s="1"/>
      <c r="B3" s="1"/>
      <c r="C3" s="1"/>
      <c r="E3" s="2" t="s">
        <v>53</v>
      </c>
      <c r="F3" s="1"/>
      <c r="G3" s="60">
        <v>2</v>
      </c>
      <c r="H3" s="60"/>
      <c r="I3" s="1"/>
      <c r="J3" s="60">
        <v>3</v>
      </c>
      <c r="K3" s="60"/>
      <c r="L3" s="1"/>
      <c r="M3" s="60">
        <v>1</v>
      </c>
      <c r="N3" s="60"/>
      <c r="O3" s="1"/>
      <c r="P3" s="60">
        <v>1</v>
      </c>
      <c r="Q3" s="60"/>
      <c r="R3" s="1"/>
      <c r="S3" s="60">
        <v>2</v>
      </c>
      <c r="T3" s="60"/>
      <c r="U3" s="1"/>
      <c r="V3" s="60">
        <v>1</v>
      </c>
    </row>
    <row r="4" spans="1:23" s="3" customFormat="1" ht="13.5" thickBot="1" x14ac:dyDescent="0.25">
      <c r="A4" s="5"/>
      <c r="B4" s="113" t="s">
        <v>50</v>
      </c>
      <c r="C4" s="115"/>
      <c r="D4" s="114"/>
      <c r="E4" s="114"/>
      <c r="F4" s="6"/>
      <c r="G4" s="1"/>
      <c r="H4" s="1"/>
      <c r="I4" s="1"/>
      <c r="J4" s="1"/>
      <c r="K4" s="1"/>
      <c r="L4" s="1"/>
      <c r="M4" s="1"/>
      <c r="N4" s="1"/>
      <c r="O4" s="1"/>
      <c r="P4" s="68"/>
      <c r="Q4" s="1"/>
      <c r="R4" s="1078"/>
      <c r="S4" s="1078"/>
      <c r="T4" s="1078"/>
      <c r="U4" s="1078"/>
      <c r="V4" s="1078"/>
    </row>
    <row r="5" spans="1:23" s="3" customFormat="1" ht="13.5" thickBot="1" x14ac:dyDescent="0.25">
      <c r="A5" s="1079"/>
      <c r="B5" s="1079"/>
      <c r="C5" s="1079"/>
      <c r="D5" s="1079"/>
      <c r="E5" s="1079"/>
      <c r="F5" s="1079"/>
      <c r="G5" s="74" t="s">
        <v>9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" t="s">
        <v>10</v>
      </c>
      <c r="S5" s="7" t="s">
        <v>39</v>
      </c>
      <c r="T5" s="8" t="s">
        <v>12</v>
      </c>
      <c r="U5" s="9" t="s">
        <v>13</v>
      </c>
      <c r="V5" s="7" t="s">
        <v>14</v>
      </c>
    </row>
    <row r="6" spans="1:23" s="3" customFormat="1" ht="37.5" customHeight="1" x14ac:dyDescent="0.2">
      <c r="A6" s="10"/>
      <c r="B6" s="138" t="s">
        <v>49</v>
      </c>
      <c r="C6" s="111" t="s">
        <v>57</v>
      </c>
      <c r="D6" s="111" t="s">
        <v>47</v>
      </c>
      <c r="E6" s="111" t="s">
        <v>58</v>
      </c>
      <c r="F6" s="111" t="s">
        <v>48</v>
      </c>
      <c r="G6" s="135" t="s">
        <v>41</v>
      </c>
      <c r="H6" s="97" t="s">
        <v>46</v>
      </c>
      <c r="I6" s="97" t="s">
        <v>24</v>
      </c>
      <c r="J6" s="97" t="s">
        <v>43</v>
      </c>
      <c r="K6" s="97" t="s">
        <v>28</v>
      </c>
      <c r="L6" s="97"/>
      <c r="M6" s="98"/>
      <c r="N6" s="97" t="s">
        <v>55</v>
      </c>
      <c r="O6" s="97" t="s">
        <v>56</v>
      </c>
      <c r="P6" s="97"/>
      <c r="Q6" s="97"/>
      <c r="R6" s="15" t="s">
        <v>4</v>
      </c>
      <c r="S6" s="16"/>
      <c r="T6" s="17">
        <f>D34</f>
        <v>0</v>
      </c>
      <c r="U6" s="18">
        <f>D37</f>
        <v>0</v>
      </c>
      <c r="V6" s="19">
        <f>S6+T6-U6</f>
        <v>0</v>
      </c>
    </row>
    <row r="7" spans="1:23" s="3" customFormat="1" x14ac:dyDescent="0.2">
      <c r="A7" s="10">
        <v>1</v>
      </c>
      <c r="B7" s="122"/>
      <c r="C7" s="151"/>
      <c r="D7" s="169"/>
      <c r="E7" s="153"/>
      <c r="F7" s="154"/>
      <c r="G7" s="90"/>
      <c r="H7" s="91"/>
      <c r="I7" s="91"/>
      <c r="J7" s="95"/>
      <c r="K7" s="91"/>
      <c r="L7" s="91"/>
      <c r="M7" s="133"/>
      <c r="N7" s="91"/>
      <c r="O7" s="21"/>
      <c r="P7" s="21"/>
      <c r="Q7" s="21"/>
      <c r="R7" s="15" t="s">
        <v>40</v>
      </c>
      <c r="S7" s="16"/>
      <c r="T7" s="17"/>
      <c r="U7" s="18"/>
      <c r="V7" s="19"/>
    </row>
    <row r="8" spans="1:23" s="3" customFormat="1" ht="13.5" thickBot="1" x14ac:dyDescent="0.25">
      <c r="A8" s="10">
        <f>A7+1</f>
        <v>2</v>
      </c>
      <c r="B8" s="124"/>
      <c r="C8" s="150"/>
      <c r="D8" s="170"/>
      <c r="E8" s="155"/>
      <c r="F8" s="156"/>
      <c r="G8" s="92"/>
      <c r="H8" s="93"/>
      <c r="I8" s="93"/>
      <c r="J8" s="93"/>
      <c r="K8" s="93"/>
      <c r="L8" s="93"/>
      <c r="M8" s="134"/>
      <c r="N8" s="93"/>
      <c r="O8" s="36"/>
      <c r="P8" s="36"/>
      <c r="Q8" s="36"/>
      <c r="R8" s="23" t="s">
        <v>15</v>
      </c>
      <c r="S8" s="24"/>
      <c r="T8" s="25"/>
      <c r="U8" s="26"/>
      <c r="V8" s="105"/>
      <c r="W8" s="63"/>
    </row>
    <row r="9" spans="1:23" s="3" customFormat="1" x14ac:dyDescent="0.2">
      <c r="A9" s="10">
        <f t="shared" ref="A9:A33" si="0">A8+1</f>
        <v>3</v>
      </c>
      <c r="B9" s="122"/>
      <c r="C9" s="151"/>
      <c r="D9" s="169"/>
      <c r="E9" s="153"/>
      <c r="F9" s="154"/>
      <c r="G9" s="90"/>
      <c r="H9" s="91"/>
      <c r="I9" s="91"/>
      <c r="J9" s="91"/>
      <c r="K9" s="91"/>
      <c r="L9" s="91"/>
      <c r="M9" s="133"/>
      <c r="N9" s="91"/>
      <c r="O9" s="21"/>
      <c r="P9" s="21"/>
      <c r="Q9" s="21"/>
      <c r="R9" s="54" t="str">
        <f>G6</f>
        <v>LMS</v>
      </c>
      <c r="S9" s="55">
        <v>15</v>
      </c>
      <c r="T9" s="56"/>
      <c r="U9" s="103">
        <f>G34</f>
        <v>0</v>
      </c>
      <c r="V9" s="107">
        <f>S9+T9-U9</f>
        <v>15</v>
      </c>
    </row>
    <row r="10" spans="1:23" s="3" customFormat="1" x14ac:dyDescent="0.2">
      <c r="A10" s="10">
        <f t="shared" si="0"/>
        <v>4</v>
      </c>
      <c r="B10" s="122"/>
      <c r="C10" s="151"/>
      <c r="D10" s="169"/>
      <c r="E10" s="153"/>
      <c r="F10" s="154"/>
      <c r="G10" s="90"/>
      <c r="H10" s="91"/>
      <c r="I10" s="91"/>
      <c r="J10" s="91"/>
      <c r="K10" s="91"/>
      <c r="L10" s="91"/>
      <c r="M10" s="133"/>
      <c r="N10" s="91"/>
      <c r="O10" s="21"/>
      <c r="P10" s="21"/>
      <c r="Q10" s="21"/>
      <c r="R10" s="29" t="str">
        <f>H6</f>
        <v xml:space="preserve">TO </v>
      </c>
      <c r="S10" s="28">
        <v>15</v>
      </c>
      <c r="T10" s="30"/>
      <c r="U10" s="104">
        <f>H34</f>
        <v>0</v>
      </c>
      <c r="V10" s="108">
        <f t="shared" ref="V10:V19" si="1">S10+T10-U10</f>
        <v>15</v>
      </c>
    </row>
    <row r="11" spans="1:23" s="3" customFormat="1" x14ac:dyDescent="0.2">
      <c r="A11" s="10">
        <f t="shared" si="0"/>
        <v>5</v>
      </c>
      <c r="B11" s="126"/>
      <c r="C11" s="150"/>
      <c r="D11" s="170"/>
      <c r="E11" s="155"/>
      <c r="F11" s="156"/>
      <c r="G11" s="92"/>
      <c r="H11" s="93"/>
      <c r="I11" s="93"/>
      <c r="J11" s="96"/>
      <c r="K11" s="96"/>
      <c r="L11" s="93"/>
      <c r="M11" s="134"/>
      <c r="N11" s="93"/>
      <c r="O11" s="36"/>
      <c r="P11" s="36"/>
      <c r="Q11" s="36"/>
      <c r="R11" s="29" t="str">
        <f>I6</f>
        <v>MX</v>
      </c>
      <c r="S11" s="28">
        <v>2</v>
      </c>
      <c r="T11" s="30"/>
      <c r="U11" s="31">
        <f>I34</f>
        <v>0</v>
      </c>
      <c r="V11" s="108">
        <f t="shared" si="1"/>
        <v>2</v>
      </c>
    </row>
    <row r="12" spans="1:23" s="3" customFormat="1" x14ac:dyDescent="0.2">
      <c r="A12" s="10">
        <f t="shared" si="0"/>
        <v>6</v>
      </c>
      <c r="B12" s="124"/>
      <c r="C12" s="150"/>
      <c r="D12" s="170"/>
      <c r="E12" s="155"/>
      <c r="F12" s="156"/>
      <c r="G12" s="92"/>
      <c r="H12" s="93"/>
      <c r="I12" s="93"/>
      <c r="J12" s="93"/>
      <c r="K12" s="93"/>
      <c r="L12" s="93"/>
      <c r="M12" s="134"/>
      <c r="N12" s="93"/>
      <c r="O12" s="21"/>
      <c r="P12" s="21"/>
      <c r="Q12" s="21"/>
      <c r="R12" s="29" t="str">
        <f>J6</f>
        <v>HDR</v>
      </c>
      <c r="S12" s="28">
        <v>2</v>
      </c>
      <c r="T12" s="70"/>
      <c r="U12" s="31">
        <f>J34</f>
        <v>0</v>
      </c>
      <c r="V12" s="108">
        <f t="shared" si="1"/>
        <v>2</v>
      </c>
    </row>
    <row r="13" spans="1:23" s="3" customFormat="1" x14ac:dyDescent="0.2">
      <c r="A13" s="10">
        <f t="shared" si="0"/>
        <v>7</v>
      </c>
      <c r="B13" s="124"/>
      <c r="C13" s="150"/>
      <c r="D13" s="170"/>
      <c r="E13" s="155"/>
      <c r="F13" s="156"/>
      <c r="G13" s="92"/>
      <c r="H13" s="93"/>
      <c r="I13" s="93"/>
      <c r="J13" s="93"/>
      <c r="K13" s="93"/>
      <c r="L13" s="93"/>
      <c r="M13" s="134"/>
      <c r="N13" s="93"/>
      <c r="O13" s="36"/>
      <c r="P13" s="36"/>
      <c r="Q13" s="36"/>
      <c r="R13" s="29" t="str">
        <f>K6</f>
        <v>HST</v>
      </c>
      <c r="S13" s="28">
        <v>2</v>
      </c>
      <c r="T13" s="30"/>
      <c r="U13" s="31">
        <f>K34</f>
        <v>0</v>
      </c>
      <c r="V13" s="108">
        <f t="shared" si="1"/>
        <v>2</v>
      </c>
    </row>
    <row r="14" spans="1:23" s="3" customFormat="1" x14ac:dyDescent="0.2">
      <c r="A14" s="10">
        <f t="shared" si="0"/>
        <v>8</v>
      </c>
      <c r="B14" s="127"/>
      <c r="C14" s="151"/>
      <c r="D14" s="169"/>
      <c r="E14" s="153"/>
      <c r="F14" s="154"/>
      <c r="G14" s="90"/>
      <c r="H14" s="91"/>
      <c r="I14" s="91"/>
      <c r="J14" s="91"/>
      <c r="K14" s="91"/>
      <c r="L14" s="91"/>
      <c r="M14" s="133"/>
      <c r="N14" s="91"/>
      <c r="O14" s="21"/>
      <c r="P14" s="21"/>
      <c r="Q14" s="21"/>
      <c r="R14" s="29">
        <f>L6</f>
        <v>0</v>
      </c>
      <c r="S14" s="73"/>
      <c r="T14" s="30"/>
      <c r="U14" s="31">
        <f>L34</f>
        <v>0</v>
      </c>
      <c r="V14" s="108">
        <f t="shared" si="1"/>
        <v>0</v>
      </c>
    </row>
    <row r="15" spans="1:23" s="3" customFormat="1" x14ac:dyDescent="0.2">
      <c r="A15" s="10">
        <f t="shared" si="0"/>
        <v>9</v>
      </c>
      <c r="B15" s="127"/>
      <c r="C15" s="151"/>
      <c r="D15" s="169"/>
      <c r="E15" s="153"/>
      <c r="F15" s="154"/>
      <c r="G15" s="90"/>
      <c r="H15" s="91"/>
      <c r="I15" s="91"/>
      <c r="J15" s="91"/>
      <c r="K15" s="91"/>
      <c r="L15" s="91"/>
      <c r="M15" s="133"/>
      <c r="N15" s="91"/>
      <c r="O15" s="21"/>
      <c r="P15" s="21"/>
      <c r="Q15" s="21"/>
      <c r="R15" s="99"/>
      <c r="S15" s="100"/>
      <c r="T15" s="101"/>
      <c r="U15" s="102"/>
      <c r="V15" s="110"/>
    </row>
    <row r="16" spans="1:23" x14ac:dyDescent="0.2">
      <c r="A16" s="10">
        <f t="shared" si="0"/>
        <v>10</v>
      </c>
      <c r="B16" s="124"/>
      <c r="C16" s="150"/>
      <c r="D16" s="170"/>
      <c r="E16" s="155"/>
      <c r="F16" s="156"/>
      <c r="G16" s="92"/>
      <c r="H16" s="93"/>
      <c r="I16" s="93"/>
      <c r="J16" s="93"/>
      <c r="K16" s="93"/>
      <c r="L16" s="93"/>
      <c r="M16" s="134"/>
      <c r="N16" s="93"/>
      <c r="O16" s="36"/>
      <c r="P16" s="36"/>
      <c r="Q16" s="36"/>
      <c r="R16" s="146" t="s">
        <v>55</v>
      </c>
      <c r="S16" s="147">
        <v>25</v>
      </c>
      <c r="T16" s="148"/>
      <c r="U16" s="149">
        <f>N34</f>
        <v>0</v>
      </c>
      <c r="V16" s="108">
        <f t="shared" si="1"/>
        <v>25</v>
      </c>
    </row>
    <row r="17" spans="1:22" x14ac:dyDescent="0.2">
      <c r="A17" s="10">
        <f t="shared" si="0"/>
        <v>11</v>
      </c>
      <c r="B17" s="126"/>
      <c r="C17" s="150"/>
      <c r="D17" s="170"/>
      <c r="E17" s="155"/>
      <c r="F17" s="156"/>
      <c r="G17" s="136"/>
      <c r="H17" s="93"/>
      <c r="I17" s="93"/>
      <c r="J17" s="93"/>
      <c r="K17" s="93"/>
      <c r="L17" s="94"/>
      <c r="M17" s="134"/>
      <c r="N17" s="93"/>
      <c r="O17" s="36"/>
      <c r="P17" s="36"/>
      <c r="Q17" s="36"/>
      <c r="R17" s="29" t="str">
        <f>O6</f>
        <v>THAI</v>
      </c>
      <c r="S17" s="28">
        <v>32</v>
      </c>
      <c r="T17" s="30"/>
      <c r="U17" s="31">
        <f>O34</f>
        <v>0</v>
      </c>
      <c r="V17" s="108">
        <f t="shared" si="1"/>
        <v>32</v>
      </c>
    </row>
    <row r="18" spans="1:22" x14ac:dyDescent="0.2">
      <c r="A18" s="10">
        <f t="shared" si="0"/>
        <v>12</v>
      </c>
      <c r="B18" s="122"/>
      <c r="C18" s="151"/>
      <c r="D18" s="169"/>
      <c r="E18" s="153"/>
      <c r="F18" s="154"/>
      <c r="G18" s="90"/>
      <c r="H18" s="91"/>
      <c r="I18" s="91"/>
      <c r="J18" s="91"/>
      <c r="K18" s="91"/>
      <c r="L18" s="95"/>
      <c r="M18" s="133"/>
      <c r="N18" s="91"/>
      <c r="O18" s="21"/>
      <c r="P18" s="21"/>
      <c r="Q18" s="21"/>
      <c r="R18" s="29" t="s">
        <v>45</v>
      </c>
      <c r="S18" s="28">
        <v>125</v>
      </c>
      <c r="T18" s="30"/>
      <c r="U18" s="31">
        <f>G2+H2+J2+K2+M2+N2+P2+Q2+S2+T2+V2</f>
        <v>73</v>
      </c>
      <c r="V18" s="108">
        <f t="shared" si="1"/>
        <v>52</v>
      </c>
    </row>
    <row r="19" spans="1:22" ht="13.5" thickBot="1" x14ac:dyDescent="0.25">
      <c r="A19" s="10">
        <f t="shared" si="0"/>
        <v>13</v>
      </c>
      <c r="B19" s="128"/>
      <c r="C19" s="151"/>
      <c r="D19" s="169"/>
      <c r="E19" s="153"/>
      <c r="F19" s="154"/>
      <c r="G19" s="90"/>
      <c r="H19" s="91"/>
      <c r="I19" s="91"/>
      <c r="J19" s="91"/>
      <c r="K19" s="91"/>
      <c r="L19" s="91"/>
      <c r="M19" s="133"/>
      <c r="N19" s="91"/>
      <c r="O19" s="21"/>
      <c r="P19" s="21"/>
      <c r="Q19" s="21"/>
      <c r="R19" s="29" t="s">
        <v>44</v>
      </c>
      <c r="S19" s="28">
        <v>15</v>
      </c>
      <c r="T19" s="30"/>
      <c r="U19" s="31">
        <f>G3+H3+J3+K3+M3+N3+P3+Q3+S3+T3+V3</f>
        <v>10</v>
      </c>
      <c r="V19" s="109">
        <f t="shared" si="1"/>
        <v>5</v>
      </c>
    </row>
    <row r="20" spans="1:22" x14ac:dyDescent="0.2">
      <c r="A20" s="10">
        <f t="shared" si="0"/>
        <v>14</v>
      </c>
      <c r="B20" s="129"/>
      <c r="C20" s="151"/>
      <c r="D20" s="170"/>
      <c r="E20" s="155"/>
      <c r="F20" s="156"/>
      <c r="G20" s="92"/>
      <c r="H20" s="93"/>
      <c r="I20" s="93"/>
      <c r="J20" s="91"/>
      <c r="K20" s="91"/>
      <c r="L20" s="91"/>
      <c r="M20" s="133"/>
      <c r="N20" s="91"/>
      <c r="O20" s="21"/>
      <c r="P20" s="21"/>
      <c r="Q20" s="21"/>
      <c r="R20" s="29"/>
      <c r="S20" s="28"/>
      <c r="T20" s="30"/>
      <c r="U20" s="31"/>
      <c r="V20" s="106"/>
    </row>
    <row r="21" spans="1:22" x14ac:dyDescent="0.2">
      <c r="A21" s="10">
        <f t="shared" si="0"/>
        <v>15</v>
      </c>
      <c r="B21" s="112"/>
      <c r="C21" s="151"/>
      <c r="D21" s="169"/>
      <c r="E21" s="153"/>
      <c r="F21" s="154"/>
      <c r="G21" s="90"/>
      <c r="H21" s="91"/>
      <c r="I21" s="91"/>
      <c r="J21" s="91"/>
      <c r="K21" s="91"/>
      <c r="L21" s="91"/>
      <c r="M21" s="133"/>
      <c r="N21" s="91"/>
      <c r="O21" s="21"/>
      <c r="P21" s="21"/>
      <c r="Q21" s="21"/>
      <c r="R21" s="29"/>
      <c r="S21" s="28"/>
      <c r="T21" s="30"/>
      <c r="U21" s="31"/>
      <c r="V21" s="32"/>
    </row>
    <row r="22" spans="1:22" x14ac:dyDescent="0.2">
      <c r="A22" s="10">
        <f t="shared" si="0"/>
        <v>16</v>
      </c>
      <c r="B22" s="130"/>
      <c r="C22" s="151"/>
      <c r="D22" s="125"/>
      <c r="E22" s="157"/>
      <c r="F22" s="156"/>
      <c r="G22" s="92"/>
      <c r="H22" s="93"/>
      <c r="I22" s="93"/>
      <c r="J22" s="91"/>
      <c r="K22" s="91"/>
      <c r="L22" s="91"/>
      <c r="M22" s="133"/>
      <c r="N22" s="91"/>
      <c r="O22" s="21"/>
      <c r="P22" s="21"/>
      <c r="Q22" s="21"/>
      <c r="R22" s="29"/>
      <c r="S22" s="28"/>
      <c r="T22" s="30"/>
      <c r="U22" s="31"/>
      <c r="V22" s="32"/>
    </row>
    <row r="23" spans="1:22" x14ac:dyDescent="0.2">
      <c r="A23" s="10">
        <f t="shared" si="0"/>
        <v>17</v>
      </c>
      <c r="B23" s="112"/>
      <c r="C23" s="151"/>
      <c r="D23" s="169"/>
      <c r="E23" s="153"/>
      <c r="F23" s="154"/>
      <c r="G23" s="90"/>
      <c r="H23" s="91"/>
      <c r="I23" s="91"/>
      <c r="J23" s="91"/>
      <c r="K23" s="91"/>
      <c r="L23" s="91"/>
      <c r="M23" s="133"/>
      <c r="N23" s="91"/>
      <c r="O23" s="21"/>
      <c r="P23" s="21"/>
      <c r="Q23" s="21"/>
      <c r="R23" s="29"/>
      <c r="S23" s="28"/>
      <c r="T23" s="30"/>
      <c r="U23" s="31"/>
      <c r="V23" s="32"/>
    </row>
    <row r="24" spans="1:22" x14ac:dyDescent="0.2">
      <c r="A24" s="10">
        <f t="shared" si="0"/>
        <v>18</v>
      </c>
      <c r="B24" s="130"/>
      <c r="C24" s="151"/>
      <c r="D24" s="170"/>
      <c r="E24" s="155"/>
      <c r="F24" s="156"/>
      <c r="G24" s="92"/>
      <c r="H24" s="93"/>
      <c r="I24" s="93"/>
      <c r="J24" s="91"/>
      <c r="K24" s="91"/>
      <c r="L24" s="91"/>
      <c r="M24" s="133"/>
      <c r="N24" s="91"/>
      <c r="O24" s="21"/>
      <c r="P24" s="21"/>
      <c r="Q24" s="21"/>
      <c r="R24" s="29"/>
      <c r="S24" s="28"/>
      <c r="T24" s="30"/>
      <c r="U24" s="31"/>
      <c r="V24" s="32"/>
    </row>
    <row r="25" spans="1:22" x14ac:dyDescent="0.2">
      <c r="A25" s="10">
        <f t="shared" si="0"/>
        <v>19</v>
      </c>
      <c r="B25" s="112"/>
      <c r="C25" s="151"/>
      <c r="D25" s="123"/>
      <c r="E25" s="158"/>
      <c r="F25" s="154"/>
      <c r="G25" s="90"/>
      <c r="H25" s="91"/>
      <c r="I25" s="91"/>
      <c r="J25" s="91"/>
      <c r="K25" s="91"/>
      <c r="L25" s="91"/>
      <c r="M25" s="133"/>
      <c r="N25" s="91"/>
      <c r="O25" s="21"/>
      <c r="P25" s="21"/>
      <c r="Q25" s="21"/>
      <c r="R25" s="29"/>
      <c r="S25" s="28"/>
      <c r="T25" s="30"/>
      <c r="U25" s="31"/>
      <c r="V25" s="32"/>
    </row>
    <row r="26" spans="1:22" x14ac:dyDescent="0.2">
      <c r="A26" s="10">
        <f t="shared" si="0"/>
        <v>20</v>
      </c>
      <c r="B26" s="130"/>
      <c r="C26" s="151"/>
      <c r="D26" s="125"/>
      <c r="E26" s="157"/>
      <c r="F26" s="156"/>
      <c r="G26" s="92"/>
      <c r="H26" s="93"/>
      <c r="I26" s="93"/>
      <c r="J26" s="91"/>
      <c r="K26" s="91"/>
      <c r="L26" s="91"/>
      <c r="M26" s="133"/>
      <c r="N26" s="91"/>
      <c r="O26" s="21"/>
      <c r="P26" s="21"/>
      <c r="Q26" s="21"/>
      <c r="R26" s="29"/>
      <c r="S26" s="28"/>
      <c r="T26" s="30"/>
      <c r="U26" s="31"/>
      <c r="V26" s="32"/>
    </row>
    <row r="27" spans="1:22" x14ac:dyDescent="0.2">
      <c r="A27" s="10">
        <f t="shared" si="0"/>
        <v>21</v>
      </c>
      <c r="B27" s="130"/>
      <c r="C27" s="151"/>
      <c r="D27" s="125"/>
      <c r="E27" s="157"/>
      <c r="F27" s="156"/>
      <c r="G27" s="92"/>
      <c r="H27" s="93"/>
      <c r="I27" s="93"/>
      <c r="J27" s="91"/>
      <c r="K27" s="91"/>
      <c r="L27" s="91"/>
      <c r="M27" s="133"/>
      <c r="N27" s="91"/>
      <c r="O27" s="21"/>
      <c r="P27" s="21"/>
      <c r="Q27" s="21"/>
      <c r="R27" s="29"/>
      <c r="S27" s="28"/>
      <c r="T27" s="30"/>
      <c r="U27" s="31"/>
      <c r="V27" s="32"/>
    </row>
    <row r="28" spans="1:22" x14ac:dyDescent="0.2">
      <c r="A28" s="10">
        <f t="shared" si="0"/>
        <v>22</v>
      </c>
      <c r="B28" s="112"/>
      <c r="C28" s="151"/>
      <c r="D28" s="123"/>
      <c r="E28" s="158"/>
      <c r="F28" s="154"/>
      <c r="G28" s="90"/>
      <c r="H28" s="91"/>
      <c r="I28" s="91"/>
      <c r="J28" s="91"/>
      <c r="K28" s="91"/>
      <c r="L28" s="91"/>
      <c r="M28" s="133"/>
      <c r="N28" s="91"/>
      <c r="O28" s="21"/>
      <c r="P28" s="21"/>
      <c r="Q28" s="21"/>
      <c r="R28" s="29"/>
      <c r="S28" s="28"/>
      <c r="T28" s="30"/>
      <c r="U28" s="31"/>
      <c r="V28" s="32"/>
    </row>
    <row r="29" spans="1:22" x14ac:dyDescent="0.2">
      <c r="A29" s="10">
        <f t="shared" si="0"/>
        <v>23</v>
      </c>
      <c r="B29" s="112"/>
      <c r="C29" s="151"/>
      <c r="D29" s="123"/>
      <c r="E29" s="158"/>
      <c r="F29" s="154"/>
      <c r="G29" s="90"/>
      <c r="H29" s="91"/>
      <c r="I29" s="91"/>
      <c r="J29" s="91"/>
      <c r="K29" s="91"/>
      <c r="L29" s="91"/>
      <c r="M29" s="133"/>
      <c r="N29" s="91"/>
      <c r="O29" s="21"/>
      <c r="P29" s="21"/>
      <c r="Q29" s="21"/>
      <c r="R29" s="29"/>
      <c r="S29" s="28"/>
      <c r="T29" s="30"/>
      <c r="U29" s="31"/>
      <c r="V29" s="32"/>
    </row>
    <row r="30" spans="1:22" x14ac:dyDescent="0.2">
      <c r="A30" s="10">
        <f t="shared" si="0"/>
        <v>24</v>
      </c>
      <c r="B30" s="130"/>
      <c r="C30" s="151"/>
      <c r="D30" s="125"/>
      <c r="E30" s="157"/>
      <c r="F30" s="156"/>
      <c r="G30" s="92"/>
      <c r="H30" s="93"/>
      <c r="I30" s="93"/>
      <c r="J30" s="91"/>
      <c r="K30" s="91"/>
      <c r="L30" s="91"/>
      <c r="M30" s="133"/>
      <c r="N30" s="91"/>
      <c r="O30" s="21"/>
      <c r="P30" s="21"/>
      <c r="Q30" s="21"/>
      <c r="R30" s="29"/>
      <c r="S30" s="28"/>
      <c r="T30" s="30"/>
      <c r="U30" s="31"/>
      <c r="V30" s="32"/>
    </row>
    <row r="31" spans="1:22" x14ac:dyDescent="0.2">
      <c r="A31" s="10">
        <f t="shared" si="0"/>
        <v>25</v>
      </c>
      <c r="B31" s="127"/>
      <c r="C31" s="151"/>
      <c r="D31" s="123"/>
      <c r="E31" s="158"/>
      <c r="F31" s="154"/>
      <c r="G31" s="90"/>
      <c r="H31" s="91"/>
      <c r="I31" s="91"/>
      <c r="J31" s="91"/>
      <c r="K31" s="91"/>
      <c r="L31" s="91"/>
      <c r="M31" s="133"/>
      <c r="N31" s="91"/>
      <c r="O31" s="21"/>
      <c r="P31" s="21"/>
      <c r="Q31" s="21"/>
      <c r="R31" s="164"/>
      <c r="S31" s="165"/>
      <c r="T31" s="166"/>
      <c r="U31" s="167"/>
      <c r="V31" s="168"/>
    </row>
    <row r="32" spans="1:22" x14ac:dyDescent="0.2">
      <c r="A32" s="10">
        <f t="shared" si="0"/>
        <v>26</v>
      </c>
      <c r="B32" s="127"/>
      <c r="C32" s="151"/>
      <c r="D32" s="123"/>
      <c r="E32" s="158"/>
      <c r="F32" s="154"/>
      <c r="G32" s="90"/>
      <c r="H32" s="91"/>
      <c r="I32" s="91"/>
      <c r="J32" s="91"/>
      <c r="K32" s="91"/>
      <c r="L32" s="91"/>
      <c r="M32" s="133"/>
      <c r="N32" s="91"/>
      <c r="O32" s="21"/>
      <c r="P32" s="21"/>
      <c r="Q32" s="21"/>
      <c r="R32" s="164"/>
      <c r="S32" s="165"/>
      <c r="T32" s="166"/>
      <c r="U32" s="167"/>
      <c r="V32" s="168"/>
    </row>
    <row r="33" spans="1:22" ht="13.5" thickBot="1" x14ac:dyDescent="0.25">
      <c r="A33" s="10">
        <f t="shared" si="0"/>
        <v>27</v>
      </c>
      <c r="B33" s="131"/>
      <c r="C33" s="152"/>
      <c r="D33" s="132"/>
      <c r="E33" s="159"/>
      <c r="F33" s="160"/>
      <c r="G33" s="161"/>
      <c r="H33" s="161"/>
      <c r="I33" s="161"/>
      <c r="J33" s="161"/>
      <c r="K33" s="161"/>
      <c r="L33" s="161"/>
      <c r="M33" s="162"/>
      <c r="N33" s="161"/>
      <c r="O33" s="163"/>
      <c r="P33" s="163"/>
      <c r="Q33" s="163"/>
      <c r="R33" s="164"/>
      <c r="S33" s="165"/>
      <c r="T33" s="166"/>
      <c r="U33" s="167"/>
      <c r="V33" s="168"/>
    </row>
    <row r="34" spans="1:22" ht="13.5" thickBot="1" x14ac:dyDescent="0.25">
      <c r="A34" s="1"/>
      <c r="B34" s="118" t="s">
        <v>1</v>
      </c>
      <c r="C34" s="119"/>
      <c r="D34" s="120"/>
      <c r="E34" s="140">
        <f>SUM(E7:E33)</f>
        <v>0</v>
      </c>
      <c r="F34" s="139">
        <f>SUM(F7:F33)</f>
        <v>0</v>
      </c>
      <c r="G34" s="137">
        <f>SUM(G7:G33)</f>
        <v>0</v>
      </c>
      <c r="H34" s="137">
        <f t="shared" ref="H34:Q34" si="2">SUM(H7:H33)</f>
        <v>0</v>
      </c>
      <c r="I34" s="137">
        <f t="shared" si="2"/>
        <v>0</v>
      </c>
      <c r="J34" s="137">
        <f t="shared" si="2"/>
        <v>0</v>
      </c>
      <c r="K34" s="137">
        <f t="shared" si="2"/>
        <v>0</v>
      </c>
      <c r="L34" s="137">
        <f t="shared" si="2"/>
        <v>0</v>
      </c>
      <c r="M34" s="137"/>
      <c r="N34" s="137">
        <f t="shared" si="2"/>
        <v>0</v>
      </c>
      <c r="O34" s="137">
        <f t="shared" si="2"/>
        <v>0</v>
      </c>
      <c r="P34" s="137">
        <f t="shared" si="2"/>
        <v>0</v>
      </c>
      <c r="Q34" s="137">
        <f t="shared" si="2"/>
        <v>0</v>
      </c>
      <c r="R34" s="39"/>
      <c r="S34" s="40"/>
      <c r="T34" s="45"/>
      <c r="U34" s="50"/>
      <c r="V34" s="41"/>
    </row>
    <row r="35" spans="1:22" ht="13.5" thickBot="1" x14ac:dyDescent="0.25">
      <c r="A35" s="1"/>
      <c r="B35" s="14"/>
      <c r="C35" s="14"/>
      <c r="D35" s="48"/>
      <c r="E35" s="48"/>
      <c r="F35" s="49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46"/>
      <c r="T35" s="46"/>
      <c r="U35" s="46"/>
      <c r="V35" s="47"/>
    </row>
    <row r="36" spans="1:22" x14ac:dyDescent="0.2">
      <c r="A36" s="1"/>
      <c r="B36" s="86" t="s">
        <v>1</v>
      </c>
      <c r="C36" s="76"/>
      <c r="D36" s="87">
        <f>D34</f>
        <v>0</v>
      </c>
      <c r="E36" s="141"/>
      <c r="F36" s="89"/>
      <c r="G36" s="14"/>
      <c r="H36" s="14"/>
      <c r="I36" s="14"/>
      <c r="J36" s="14"/>
      <c r="K36" s="53"/>
      <c r="L36" s="53"/>
      <c r="M36" s="53"/>
      <c r="N36" s="53"/>
      <c r="O36" s="53"/>
      <c r="P36" s="53"/>
      <c r="Q36" s="53"/>
      <c r="R36" s="14"/>
      <c r="S36" s="14"/>
      <c r="T36" s="14"/>
      <c r="U36" s="14"/>
      <c r="V36" s="1"/>
    </row>
    <row r="37" spans="1:22" x14ac:dyDescent="0.2">
      <c r="A37" s="1"/>
      <c r="B37" s="88" t="s">
        <v>8</v>
      </c>
      <c r="C37" s="78"/>
      <c r="D37" s="84"/>
      <c r="E37" s="142"/>
      <c r="F37" s="85"/>
      <c r="G37" s="14"/>
      <c r="H37" s="14"/>
      <c r="I37" s="14"/>
      <c r="J37" s="14"/>
      <c r="K37" s="77"/>
      <c r="L37" s="77"/>
      <c r="M37" s="77"/>
      <c r="N37" s="77"/>
      <c r="O37" s="77"/>
      <c r="P37" s="77"/>
      <c r="Q37" s="77"/>
      <c r="R37" s="14"/>
      <c r="S37" s="14"/>
      <c r="T37" s="14"/>
      <c r="U37" s="14"/>
      <c r="V37" s="1"/>
    </row>
    <row r="38" spans="1:22" ht="13.5" thickBot="1" x14ac:dyDescent="0.25">
      <c r="A38" s="1"/>
      <c r="B38" s="81" t="s">
        <v>1</v>
      </c>
      <c r="C38" s="79"/>
      <c r="D38" s="82">
        <f>D36-D37</f>
        <v>0</v>
      </c>
      <c r="E38" s="143"/>
      <c r="F38" s="83"/>
      <c r="G38" s="14"/>
      <c r="H38" s="14"/>
      <c r="I38" s="14"/>
      <c r="J38" s="14"/>
      <c r="K38" s="80"/>
      <c r="L38" s="80"/>
      <c r="M38" s="80"/>
      <c r="N38" s="80"/>
      <c r="O38" s="59"/>
      <c r="P38" s="59"/>
      <c r="Q38" s="59"/>
      <c r="R38" s="14"/>
      <c r="S38" s="14"/>
      <c r="T38" s="14"/>
      <c r="U38" s="14"/>
      <c r="V38" s="1"/>
    </row>
    <row r="39" spans="1:2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80"/>
      <c r="L39" s="80"/>
      <c r="M39" s="80"/>
      <c r="N39" s="80"/>
      <c r="O39" s="59"/>
      <c r="P39" s="59"/>
      <c r="Q39" s="59"/>
      <c r="R39" s="1"/>
      <c r="S39" s="1"/>
      <c r="T39" s="1"/>
      <c r="U39" s="1"/>
      <c r="V39" s="1"/>
    </row>
    <row r="40" spans="1:2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R40" s="1"/>
      <c r="S40" s="1"/>
      <c r="T40" s="1"/>
      <c r="U40" s="1"/>
      <c r="V40" s="1"/>
    </row>
    <row r="41" spans="1:22" x14ac:dyDescent="0.2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</sheetData>
  <mergeCells count="2">
    <mergeCell ref="R4:V4"/>
    <mergeCell ref="A5:F5"/>
  </mergeCells>
  <pageMargins left="0.25" right="0.25" top="0.75" bottom="0.75" header="0.3" footer="0.3"/>
  <pageSetup paperSize="9" scale="84" fitToHeight="0" orientation="landscape" r:id="rId1"/>
  <ignoredErrors>
    <ignoredError sqref="G34:Q3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1"/>
  <sheetViews>
    <sheetView view="pageBreakPreview" zoomScaleSheetLayoutView="100" workbookViewId="0">
      <selection activeCell="AH8" sqref="AH8"/>
    </sheetView>
  </sheetViews>
  <sheetFormatPr defaultColWidth="9.140625" defaultRowHeight="12.75" x14ac:dyDescent="0.2"/>
  <cols>
    <col min="1" max="1" width="2.85546875" style="34" customWidth="1"/>
    <col min="2" max="2" width="3.7109375" style="34" customWidth="1"/>
    <col min="3" max="3" width="2.7109375" style="34" customWidth="1"/>
    <col min="4" max="5" width="1.7109375" style="34" customWidth="1"/>
    <col min="6" max="6" width="5.140625" style="34" customWidth="1"/>
    <col min="7" max="8" width="1.7109375" style="34" customWidth="1"/>
    <col min="9" max="9" width="10.7109375" style="34" customWidth="1"/>
    <col min="10" max="10" width="4.140625" style="34" customWidth="1"/>
    <col min="11" max="11" width="4.5703125" style="34" customWidth="1"/>
    <col min="12" max="12" width="5.28515625" style="34" customWidth="1"/>
    <col min="13" max="13" width="2.85546875" style="34" bestFit="1" customWidth="1"/>
    <col min="14" max="14" width="3.28515625" style="34" customWidth="1"/>
    <col min="15" max="15" width="4.7109375" style="34" bestFit="1" customWidth="1"/>
    <col min="16" max="16" width="3.85546875" style="34" bestFit="1" customWidth="1"/>
    <col min="17" max="17" width="3.7109375" style="34" customWidth="1"/>
    <col min="18" max="18" width="4.140625" style="34" customWidth="1"/>
    <col min="19" max="19" width="3" style="34" customWidth="1"/>
    <col min="20" max="20" width="2.7109375" style="34" customWidth="1"/>
    <col min="21" max="21" width="4.140625" style="34" customWidth="1"/>
    <col min="22" max="22" width="2.7109375" style="34" customWidth="1"/>
    <col min="23" max="23" width="2.85546875" style="34" customWidth="1"/>
    <col min="24" max="24" width="6" style="34" bestFit="1" customWidth="1"/>
    <col min="25" max="25" width="1.28515625" style="34" customWidth="1"/>
    <col min="26" max="26" width="4.28515625" style="34" customWidth="1"/>
    <col min="27" max="28" width="4.140625" style="34" customWidth="1"/>
    <col min="29" max="29" width="0.42578125" style="34" customWidth="1"/>
    <col min="30" max="31" width="7.7109375" style="34" customWidth="1"/>
    <col min="32" max="33" width="6.42578125" style="34" customWidth="1"/>
    <col min="34" max="34" width="7.7109375" style="34" customWidth="1"/>
    <col min="35" max="35" width="6.5703125" style="3" bestFit="1" customWidth="1"/>
    <col min="36" max="36" width="6.5703125" style="3" customWidth="1"/>
    <col min="37" max="37" width="5.28515625" style="34" customWidth="1"/>
    <col min="38" max="38" width="14.28515625" style="34" bestFit="1" customWidth="1"/>
    <col min="39" max="16384" width="9.140625" style="34"/>
  </cols>
  <sheetData>
    <row r="1" spans="1:36" s="3" customFormat="1" ht="15" customHeight="1" x14ac:dyDescent="0.2">
      <c r="A1" s="1"/>
      <c r="C1" s="1"/>
      <c r="D1" s="1"/>
      <c r="E1" s="1147"/>
      <c r="F1" s="1147"/>
      <c r="G1" s="2"/>
      <c r="H1" s="2"/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142"/>
      <c r="AF1" s="1142"/>
      <c r="AG1" s="1142"/>
      <c r="AH1" s="1"/>
    </row>
    <row r="2" spans="1:36" s="3" customFormat="1" ht="15" customHeight="1" x14ac:dyDescent="0.2">
      <c r="A2" s="1"/>
      <c r="B2" s="1"/>
      <c r="C2" s="1"/>
      <c r="D2" s="1143" t="s">
        <v>36</v>
      </c>
      <c r="E2" s="1143"/>
      <c r="F2" s="1143"/>
      <c r="G2" s="1143"/>
      <c r="H2" s="1143"/>
      <c r="I2" s="4"/>
      <c r="J2" s="1" t="s">
        <v>20</v>
      </c>
      <c r="K2" s="66"/>
      <c r="L2" s="1"/>
      <c r="M2" s="1" t="s">
        <v>21</v>
      </c>
      <c r="N2" s="60"/>
      <c r="O2" s="1"/>
      <c r="P2" s="1" t="s">
        <v>22</v>
      </c>
      <c r="Q2" s="66"/>
      <c r="R2" s="1"/>
      <c r="S2" s="1" t="s">
        <v>23</v>
      </c>
      <c r="T2" s="66"/>
      <c r="U2" s="1"/>
      <c r="V2" s="1" t="s">
        <v>26</v>
      </c>
      <c r="W2" s="66"/>
      <c r="X2" s="1"/>
      <c r="Y2" s="1"/>
      <c r="Z2" s="1"/>
      <c r="AA2" s="1"/>
      <c r="AB2" s="1"/>
      <c r="AC2" s="1"/>
      <c r="AD2" s="1"/>
      <c r="AE2" s="1142"/>
      <c r="AF2" s="1142"/>
      <c r="AG2" s="1142"/>
      <c r="AH2" s="1"/>
    </row>
    <row r="3" spans="1:36" s="3" customFormat="1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67"/>
      <c r="X3" s="1"/>
      <c r="Y3" s="1"/>
      <c r="Z3" s="1"/>
      <c r="AA3" s="1"/>
      <c r="AB3" s="1"/>
      <c r="AC3" s="1"/>
      <c r="AD3" s="1"/>
      <c r="AE3" s="1142"/>
      <c r="AF3" s="1142"/>
      <c r="AG3" s="1142"/>
      <c r="AH3" s="1"/>
    </row>
    <row r="4" spans="1:36" s="3" customFormat="1" ht="13.5" thickBot="1" x14ac:dyDescent="0.25">
      <c r="A4" s="5"/>
      <c r="B4" s="52" t="s">
        <v>0</v>
      </c>
      <c r="C4" s="1143"/>
      <c r="D4" s="1144"/>
      <c r="E4" s="1144"/>
      <c r="F4" s="1144"/>
      <c r="G4" s="1079" t="s">
        <v>5</v>
      </c>
      <c r="H4" s="1079"/>
      <c r="I4" s="6"/>
      <c r="J4" s="1" t="s">
        <v>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68"/>
      <c r="X4" s="1"/>
      <c r="Y4" s="1"/>
      <c r="Z4" s="1"/>
      <c r="AA4" s="1"/>
      <c r="AB4" s="1"/>
      <c r="AC4" s="1"/>
      <c r="AD4" s="1078"/>
      <c r="AE4" s="1078"/>
      <c r="AF4" s="1078"/>
      <c r="AG4" s="1078"/>
      <c r="AH4" s="1078"/>
    </row>
    <row r="5" spans="1:36" s="3" customFormat="1" ht="13.5" thickBot="1" x14ac:dyDescent="0.25">
      <c r="A5" s="1079"/>
      <c r="B5" s="1079"/>
      <c r="C5" s="1079"/>
      <c r="D5" s="1079"/>
      <c r="E5" s="1079"/>
      <c r="F5" s="1079"/>
      <c r="G5" s="1079"/>
      <c r="H5" s="1079"/>
      <c r="I5" s="1079"/>
      <c r="J5" s="1152" t="s">
        <v>9</v>
      </c>
      <c r="K5" s="1153"/>
      <c r="L5" s="1153"/>
      <c r="M5" s="1153"/>
      <c r="N5" s="1153"/>
      <c r="O5" s="1153"/>
      <c r="P5" s="1153"/>
      <c r="Q5" s="1153"/>
      <c r="R5" s="1153"/>
      <c r="S5" s="1153"/>
      <c r="T5" s="1153"/>
      <c r="U5" s="1153"/>
      <c r="V5" s="1153"/>
      <c r="W5" s="1153"/>
      <c r="X5" s="1153"/>
      <c r="Y5" s="1153"/>
      <c r="Z5" s="1153"/>
      <c r="AA5" s="1153"/>
      <c r="AB5" s="1154"/>
      <c r="AC5" s="1"/>
      <c r="AD5" s="7" t="s">
        <v>10</v>
      </c>
      <c r="AE5" s="7" t="s">
        <v>11</v>
      </c>
      <c r="AF5" s="8" t="s">
        <v>12</v>
      </c>
      <c r="AG5" s="9" t="s">
        <v>13</v>
      </c>
      <c r="AH5" s="7" t="s">
        <v>14</v>
      </c>
    </row>
    <row r="6" spans="1:36" s="3" customFormat="1" x14ac:dyDescent="0.2">
      <c r="A6" s="10"/>
      <c r="B6" s="1155" t="s">
        <v>3</v>
      </c>
      <c r="C6" s="1156"/>
      <c r="D6" s="1156"/>
      <c r="E6" s="1156"/>
      <c r="F6" s="1156" t="s">
        <v>4</v>
      </c>
      <c r="G6" s="1156"/>
      <c r="H6" s="1157" t="s">
        <v>6</v>
      </c>
      <c r="I6" s="1158"/>
      <c r="J6" s="11" t="s">
        <v>24</v>
      </c>
      <c r="K6" s="12" t="s">
        <v>17</v>
      </c>
      <c r="L6" s="12" t="s">
        <v>28</v>
      </c>
      <c r="M6" s="1145" t="s">
        <v>25</v>
      </c>
      <c r="N6" s="1146"/>
      <c r="O6" s="12" t="s">
        <v>18</v>
      </c>
      <c r="P6" s="1145" t="s">
        <v>27</v>
      </c>
      <c r="Q6" s="1146"/>
      <c r="R6" s="12"/>
      <c r="S6" s="1145" t="s">
        <v>30</v>
      </c>
      <c r="T6" s="1146"/>
      <c r="U6" s="12" t="s">
        <v>34</v>
      </c>
      <c r="V6" s="1145" t="s">
        <v>29</v>
      </c>
      <c r="W6" s="1146"/>
      <c r="X6" s="12" t="s">
        <v>33</v>
      </c>
      <c r="Y6" s="1145" t="s">
        <v>19</v>
      </c>
      <c r="Z6" s="1146"/>
      <c r="AA6" s="12"/>
      <c r="AB6" s="13"/>
      <c r="AC6" s="14"/>
      <c r="AD6" s="15" t="s">
        <v>4</v>
      </c>
      <c r="AE6" s="16"/>
      <c r="AF6" s="17">
        <f>F35</f>
        <v>0</v>
      </c>
      <c r="AG6" s="18">
        <f>F38</f>
        <v>0</v>
      </c>
      <c r="AH6" s="19">
        <f>AE6+AF6-AG6</f>
        <v>0</v>
      </c>
    </row>
    <row r="7" spans="1:36" s="3" customFormat="1" x14ac:dyDescent="0.2">
      <c r="A7" s="10">
        <v>1</v>
      </c>
      <c r="B7" s="1138"/>
      <c r="C7" s="1113"/>
      <c r="D7" s="1113"/>
      <c r="E7" s="1113"/>
      <c r="F7" s="1130"/>
      <c r="G7" s="1114"/>
      <c r="H7" s="1131"/>
      <c r="I7" s="1116"/>
      <c r="J7" s="20"/>
      <c r="K7" s="21"/>
      <c r="L7" s="21"/>
      <c r="M7" s="1133"/>
      <c r="N7" s="1133"/>
      <c r="O7" s="21"/>
      <c r="P7" s="1133"/>
      <c r="Q7" s="1133"/>
      <c r="R7" s="21"/>
      <c r="S7" s="1133"/>
      <c r="T7" s="1133"/>
      <c r="U7" s="21"/>
      <c r="V7" s="1133"/>
      <c r="W7" s="1133"/>
      <c r="X7" s="21"/>
      <c r="Y7" s="1133"/>
      <c r="Z7" s="1133"/>
      <c r="AA7" s="21"/>
      <c r="AB7" s="22"/>
      <c r="AC7" s="14"/>
      <c r="AD7" s="15" t="s">
        <v>16</v>
      </c>
      <c r="AE7" s="16"/>
      <c r="AF7" s="17">
        <f>H39</f>
        <v>0</v>
      </c>
      <c r="AG7" s="18">
        <f>H38</f>
        <v>0</v>
      </c>
      <c r="AH7" s="19">
        <f>AE7+AF7-AG7</f>
        <v>0</v>
      </c>
    </row>
    <row r="8" spans="1:36" s="3" customFormat="1" ht="13.5" thickBot="1" x14ac:dyDescent="0.25">
      <c r="A8" s="10">
        <v>2</v>
      </c>
      <c r="B8" s="1138"/>
      <c r="C8" s="1113"/>
      <c r="D8" s="1113"/>
      <c r="E8" s="1113"/>
      <c r="F8" s="1114"/>
      <c r="G8" s="1114"/>
      <c r="H8" s="1115"/>
      <c r="I8" s="1116"/>
      <c r="J8" s="20"/>
      <c r="K8" s="21"/>
      <c r="L8" s="21"/>
      <c r="M8" s="1133"/>
      <c r="N8" s="1133"/>
      <c r="O8" s="21"/>
      <c r="P8" s="1133"/>
      <c r="Q8" s="1133"/>
      <c r="R8" s="21"/>
      <c r="S8" s="1133"/>
      <c r="T8" s="1133"/>
      <c r="U8" s="21"/>
      <c r="V8" s="1133"/>
      <c r="W8" s="1133"/>
      <c r="X8" s="21"/>
      <c r="Y8" s="1133"/>
      <c r="Z8" s="1133"/>
      <c r="AA8" s="21"/>
      <c r="AB8" s="22"/>
      <c r="AC8" s="14"/>
      <c r="AD8" s="23" t="s">
        <v>15</v>
      </c>
      <c r="AE8" s="24"/>
      <c r="AF8" s="25"/>
      <c r="AG8" s="26"/>
      <c r="AH8" s="27"/>
      <c r="AI8" s="63" t="s">
        <v>32</v>
      </c>
      <c r="AJ8" s="63"/>
    </row>
    <row r="9" spans="1:36" s="3" customFormat="1" ht="13.5" thickBot="1" x14ac:dyDescent="0.25">
      <c r="A9" s="10">
        <v>3</v>
      </c>
      <c r="B9" s="1148"/>
      <c r="C9" s="1113"/>
      <c r="D9" s="1113"/>
      <c r="E9" s="1113"/>
      <c r="F9" s="1149"/>
      <c r="G9" s="1114"/>
      <c r="H9" s="1150"/>
      <c r="I9" s="1116"/>
      <c r="J9" s="20"/>
      <c r="K9" s="21"/>
      <c r="L9" s="21"/>
      <c r="M9" s="1133"/>
      <c r="N9" s="1133"/>
      <c r="O9" s="21"/>
      <c r="P9" s="1133"/>
      <c r="Q9" s="1133"/>
      <c r="R9" s="21"/>
      <c r="S9" s="1133"/>
      <c r="T9" s="1133"/>
      <c r="U9" s="21"/>
      <c r="V9" s="1133"/>
      <c r="W9" s="1133"/>
      <c r="X9" s="21"/>
      <c r="Y9" s="1133"/>
      <c r="Z9" s="1133"/>
      <c r="AA9" s="21"/>
      <c r="AB9" s="22"/>
      <c r="AC9" s="14"/>
      <c r="AD9" s="54" t="str">
        <f>J6</f>
        <v>MX</v>
      </c>
      <c r="AE9" s="55"/>
      <c r="AF9" s="56"/>
      <c r="AG9" s="57">
        <f>SUM(J7:J34)</f>
        <v>0</v>
      </c>
      <c r="AH9" s="58">
        <f t="shared" ref="AH9:AH14" si="0">AE9+AF9-AG9+AI9+AJ9</f>
        <v>0</v>
      </c>
    </row>
    <row r="10" spans="1:36" s="3" customFormat="1" ht="13.5" thickBot="1" x14ac:dyDescent="0.25">
      <c r="A10" s="10">
        <v>4</v>
      </c>
      <c r="B10" s="1141"/>
      <c r="C10" s="1118"/>
      <c r="D10" s="1118"/>
      <c r="E10" s="1118"/>
      <c r="F10" s="1151"/>
      <c r="G10" s="1119"/>
      <c r="H10" s="1120"/>
      <c r="I10" s="1121"/>
      <c r="J10" s="61"/>
      <c r="K10" s="36"/>
      <c r="L10" s="36"/>
      <c r="M10" s="1136"/>
      <c r="N10" s="1136"/>
      <c r="O10" s="36"/>
      <c r="P10" s="1136"/>
      <c r="Q10" s="1136"/>
      <c r="R10" s="36"/>
      <c r="S10" s="1136"/>
      <c r="T10" s="1136"/>
      <c r="U10" s="36"/>
      <c r="V10" s="1136"/>
      <c r="W10" s="1136"/>
      <c r="X10" s="36"/>
      <c r="Y10" s="1136"/>
      <c r="Z10" s="1136"/>
      <c r="AA10" s="36"/>
      <c r="AB10" s="38"/>
      <c r="AC10" s="64"/>
      <c r="AD10" s="29" t="str">
        <f>K6</f>
        <v>H2O</v>
      </c>
      <c r="AE10" s="28"/>
      <c r="AF10" s="30"/>
      <c r="AG10" s="31">
        <f>SUM(K7:K34)</f>
        <v>0</v>
      </c>
      <c r="AH10" s="58">
        <f t="shared" si="0"/>
        <v>0</v>
      </c>
    </row>
    <row r="11" spans="1:36" s="3" customFormat="1" ht="13.5" thickBot="1" x14ac:dyDescent="0.25">
      <c r="A11" s="10">
        <v>5</v>
      </c>
      <c r="B11" s="1117"/>
      <c r="C11" s="1118"/>
      <c r="D11" s="1118"/>
      <c r="E11" s="1118"/>
      <c r="F11" s="1119"/>
      <c r="G11" s="1119"/>
      <c r="H11" s="1120"/>
      <c r="I11" s="1121"/>
      <c r="J11" s="61"/>
      <c r="K11" s="36"/>
      <c r="L11" s="36"/>
      <c r="M11" s="1136"/>
      <c r="N11" s="1136"/>
      <c r="O11" s="36"/>
      <c r="P11" s="1136"/>
      <c r="Q11" s="1136"/>
      <c r="R11" s="36"/>
      <c r="S11" s="1136"/>
      <c r="T11" s="1136"/>
      <c r="U11" s="36"/>
      <c r="V11" s="1136"/>
      <c r="W11" s="1136"/>
      <c r="X11" s="36"/>
      <c r="Y11" s="1136"/>
      <c r="Z11" s="1136"/>
      <c r="AA11" s="36"/>
      <c r="AB11" s="38"/>
      <c r="AC11" s="14"/>
      <c r="AD11" s="29" t="str">
        <f>L6</f>
        <v>HST</v>
      </c>
      <c r="AE11" s="28"/>
      <c r="AF11" s="30"/>
      <c r="AG11" s="31">
        <f>SUM(L7:L34)</f>
        <v>0</v>
      </c>
      <c r="AH11" s="58">
        <f t="shared" si="0"/>
        <v>0</v>
      </c>
    </row>
    <row r="12" spans="1:36" s="3" customFormat="1" ht="13.5" thickBot="1" x14ac:dyDescent="0.25">
      <c r="A12" s="10">
        <v>6</v>
      </c>
      <c r="B12" s="1138"/>
      <c r="C12" s="1113"/>
      <c r="D12" s="1113"/>
      <c r="E12" s="1113"/>
      <c r="F12" s="1114"/>
      <c r="G12" s="1114"/>
      <c r="H12" s="1115"/>
      <c r="I12" s="1116"/>
      <c r="J12" s="20"/>
      <c r="K12" s="21"/>
      <c r="L12" s="21"/>
      <c r="M12" s="1133"/>
      <c r="N12" s="1133"/>
      <c r="O12" s="21"/>
      <c r="P12" s="1133"/>
      <c r="Q12" s="1133"/>
      <c r="R12" s="21"/>
      <c r="S12" s="1133"/>
      <c r="T12" s="1133"/>
      <c r="U12" s="21"/>
      <c r="V12" s="1133"/>
      <c r="W12" s="1133"/>
      <c r="X12" s="21"/>
      <c r="Y12" s="1133"/>
      <c r="Z12" s="1133"/>
      <c r="AA12" s="21"/>
      <c r="AB12" s="22"/>
      <c r="AC12" s="14"/>
      <c r="AD12" s="29" t="str">
        <f>M6</f>
        <v>HDR2</v>
      </c>
      <c r="AE12" s="28"/>
      <c r="AF12" s="70"/>
      <c r="AG12" s="31">
        <f>SUM(M7:N34)</f>
        <v>0</v>
      </c>
      <c r="AH12" s="71">
        <f t="shared" si="0"/>
        <v>0</v>
      </c>
      <c r="AI12" s="72"/>
    </row>
    <row r="13" spans="1:36" s="3" customFormat="1" ht="13.5" thickBot="1" x14ac:dyDescent="0.25">
      <c r="A13" s="10">
        <v>7</v>
      </c>
      <c r="B13" s="1141"/>
      <c r="C13" s="1118"/>
      <c r="D13" s="1118"/>
      <c r="E13" s="1118"/>
      <c r="F13" s="1119"/>
      <c r="G13" s="1119"/>
      <c r="H13" s="1120"/>
      <c r="I13" s="1121"/>
      <c r="J13" s="61"/>
      <c r="K13" s="36"/>
      <c r="L13" s="36"/>
      <c r="M13" s="1136"/>
      <c r="N13" s="1136"/>
      <c r="O13" s="36"/>
      <c r="P13" s="1136"/>
      <c r="Q13" s="1136"/>
      <c r="R13" s="36"/>
      <c r="S13" s="1136"/>
      <c r="T13" s="1136"/>
      <c r="U13" s="36"/>
      <c r="V13" s="1136"/>
      <c r="W13" s="1136"/>
      <c r="X13" s="36"/>
      <c r="Y13" s="1136"/>
      <c r="Z13" s="1136"/>
      <c r="AA13" s="36"/>
      <c r="AB13" s="38"/>
      <c r="AC13" s="14"/>
      <c r="AD13" s="29" t="str">
        <f>O6</f>
        <v>TDA</v>
      </c>
      <c r="AE13" s="28"/>
      <c r="AF13" s="30"/>
      <c r="AG13" s="31">
        <f>SUM(O7:O34)</f>
        <v>0</v>
      </c>
      <c r="AH13" s="58">
        <f t="shared" si="0"/>
        <v>0</v>
      </c>
    </row>
    <row r="14" spans="1:36" s="3" customFormat="1" ht="13.5" thickBot="1" x14ac:dyDescent="0.25">
      <c r="A14" s="10">
        <v>8</v>
      </c>
      <c r="B14" s="1112"/>
      <c r="C14" s="1113"/>
      <c r="D14" s="1113"/>
      <c r="E14" s="1113"/>
      <c r="F14" s="1114"/>
      <c r="G14" s="1114"/>
      <c r="H14" s="1115"/>
      <c r="I14" s="1116"/>
      <c r="J14" s="20"/>
      <c r="K14" s="21"/>
      <c r="L14" s="21"/>
      <c r="M14" s="1133"/>
      <c r="N14" s="1133"/>
      <c r="O14" s="36"/>
      <c r="P14" s="1136"/>
      <c r="Q14" s="1136"/>
      <c r="R14" s="36"/>
      <c r="S14" s="1133"/>
      <c r="T14" s="1133"/>
      <c r="U14" s="21"/>
      <c r="V14" s="1133"/>
      <c r="W14" s="1133"/>
      <c r="X14" s="21"/>
      <c r="Y14" s="1133"/>
      <c r="Z14" s="1133"/>
      <c r="AA14" s="21"/>
      <c r="AB14" s="22"/>
      <c r="AC14" s="14"/>
      <c r="AD14" s="29" t="s">
        <v>27</v>
      </c>
      <c r="AE14" s="28"/>
      <c r="AF14" s="30"/>
      <c r="AG14" s="31">
        <f>SUM(P7:Q34)</f>
        <v>0</v>
      </c>
      <c r="AH14" s="58">
        <f t="shared" si="0"/>
        <v>0</v>
      </c>
    </row>
    <row r="15" spans="1:36" s="3" customFormat="1" x14ac:dyDescent="0.2">
      <c r="A15" s="10">
        <v>9</v>
      </c>
      <c r="B15" s="1138"/>
      <c r="C15" s="1113"/>
      <c r="D15" s="1113"/>
      <c r="E15" s="1113"/>
      <c r="F15" s="1114"/>
      <c r="G15" s="1114"/>
      <c r="H15" s="1115"/>
      <c r="I15" s="1116"/>
      <c r="J15" s="20"/>
      <c r="K15" s="21"/>
      <c r="L15" s="21"/>
      <c r="M15" s="1133"/>
      <c r="N15" s="1133"/>
      <c r="O15" s="21"/>
      <c r="P15" s="1133"/>
      <c r="Q15" s="1133"/>
      <c r="R15" s="21"/>
      <c r="S15" s="1133"/>
      <c r="T15" s="1133"/>
      <c r="U15" s="21"/>
      <c r="V15" s="1133"/>
      <c r="W15" s="1133"/>
      <c r="X15" s="21"/>
      <c r="Y15" s="1133"/>
      <c r="Z15" s="1133"/>
      <c r="AA15" s="21"/>
      <c r="AB15" s="22"/>
      <c r="AC15" s="14"/>
      <c r="AD15" s="29">
        <v>0</v>
      </c>
      <c r="AE15" s="28"/>
      <c r="AF15" s="30"/>
      <c r="AG15" s="31">
        <f>SUM(R34:AE977)</f>
        <v>0</v>
      </c>
      <c r="AH15" s="58">
        <f>AE15+AF15-AG15+AI15</f>
        <v>0</v>
      </c>
    </row>
    <row r="16" spans="1:36" s="3" customFormat="1" x14ac:dyDescent="0.2">
      <c r="A16" s="10">
        <v>10</v>
      </c>
      <c r="B16" s="1138"/>
      <c r="C16" s="1113"/>
      <c r="D16" s="1113"/>
      <c r="E16" s="1113"/>
      <c r="F16" s="1114"/>
      <c r="G16" s="1114"/>
      <c r="H16" s="1115"/>
      <c r="I16" s="1116"/>
      <c r="J16" s="21"/>
      <c r="K16" s="21"/>
      <c r="L16" s="21"/>
      <c r="M16" s="1133"/>
      <c r="N16" s="1133"/>
      <c r="O16" s="21"/>
      <c r="P16" s="1133"/>
      <c r="Q16" s="1133"/>
      <c r="R16" s="21"/>
      <c r="S16" s="1133"/>
      <c r="T16" s="1133"/>
      <c r="U16" s="21"/>
      <c r="V16" s="1133"/>
      <c r="W16" s="1133"/>
      <c r="X16" s="21"/>
      <c r="Y16" s="1133"/>
      <c r="Z16" s="1133"/>
      <c r="AA16" s="21"/>
      <c r="AB16" s="22"/>
      <c r="AC16" s="14"/>
      <c r="AD16" s="29" t="s">
        <v>30</v>
      </c>
      <c r="AE16" s="28"/>
      <c r="AF16" s="30"/>
      <c r="AG16" s="31">
        <f>SUM(S7:T34)</f>
        <v>0</v>
      </c>
      <c r="AH16" s="32">
        <f t="shared" ref="AH16:AH21" si="1">AE16+AF16-AG16</f>
        <v>0</v>
      </c>
    </row>
    <row r="17" spans="1:34" x14ac:dyDescent="0.2">
      <c r="A17" s="33">
        <v>11</v>
      </c>
      <c r="B17" s="1139"/>
      <c r="C17" s="1118"/>
      <c r="D17" s="1118"/>
      <c r="E17" s="1118"/>
      <c r="F17" s="1119"/>
      <c r="G17" s="1119"/>
      <c r="H17" s="1120"/>
      <c r="I17" s="1140"/>
      <c r="J17" s="35"/>
      <c r="K17" s="36"/>
      <c r="L17" s="36"/>
      <c r="M17" s="1136"/>
      <c r="N17" s="1136"/>
      <c r="O17" s="36"/>
      <c r="P17" s="1136"/>
      <c r="Q17" s="1136"/>
      <c r="R17" s="36"/>
      <c r="S17" s="1136"/>
      <c r="T17" s="1136"/>
      <c r="U17" s="36"/>
      <c r="V17" s="1136"/>
      <c r="W17" s="1136"/>
      <c r="X17" s="36"/>
      <c r="Y17" s="1136"/>
      <c r="Z17" s="1136"/>
      <c r="AA17" s="36"/>
      <c r="AB17" s="38"/>
      <c r="AC17" s="14"/>
      <c r="AD17" s="29" t="str">
        <f>U6</f>
        <v>FM</v>
      </c>
      <c r="AE17" s="28"/>
      <c r="AF17" s="30"/>
      <c r="AG17" s="31">
        <f>SUM(U7:U34)</f>
        <v>0</v>
      </c>
      <c r="AH17" s="32">
        <f t="shared" si="1"/>
        <v>0</v>
      </c>
    </row>
    <row r="18" spans="1:34" x14ac:dyDescent="0.2">
      <c r="A18" s="33">
        <v>12</v>
      </c>
      <c r="B18" s="1135"/>
      <c r="C18" s="1118"/>
      <c r="D18" s="1118"/>
      <c r="E18" s="1118"/>
      <c r="F18" s="1119"/>
      <c r="G18" s="1119"/>
      <c r="H18" s="1120"/>
      <c r="I18" s="1121"/>
      <c r="J18" s="62"/>
      <c r="K18" s="36"/>
      <c r="L18" s="36"/>
      <c r="M18" s="1136"/>
      <c r="N18" s="1136"/>
      <c r="O18" s="62"/>
      <c r="P18" s="1136"/>
      <c r="Q18" s="1136"/>
      <c r="R18" s="36"/>
      <c r="S18" s="1136"/>
      <c r="T18" s="1136"/>
      <c r="U18" s="36"/>
      <c r="V18" s="1136"/>
      <c r="W18" s="1136"/>
      <c r="X18" s="36"/>
      <c r="Y18" s="1136"/>
      <c r="Z18" s="1136"/>
      <c r="AA18" s="36"/>
      <c r="AB18" s="38"/>
      <c r="AC18" s="14"/>
      <c r="AD18" s="29" t="str">
        <f>V6</f>
        <v>HF</v>
      </c>
      <c r="AE18" s="28"/>
      <c r="AF18" s="30"/>
      <c r="AG18" s="31">
        <f>SUM(V7:W34)</f>
        <v>0</v>
      </c>
      <c r="AH18" s="32">
        <f t="shared" si="1"/>
        <v>0</v>
      </c>
    </row>
    <row r="19" spans="1:34" x14ac:dyDescent="0.2">
      <c r="A19" s="33">
        <v>13</v>
      </c>
      <c r="B19" s="1137"/>
      <c r="C19" s="1113"/>
      <c r="D19" s="1113"/>
      <c r="E19" s="1113"/>
      <c r="F19" s="1114"/>
      <c r="G19" s="1114"/>
      <c r="H19" s="1115"/>
      <c r="I19" s="1116"/>
      <c r="J19" s="21"/>
      <c r="K19" s="21"/>
      <c r="L19" s="21"/>
      <c r="M19" s="1133"/>
      <c r="N19" s="1133"/>
      <c r="O19" s="65"/>
      <c r="P19" s="1133"/>
      <c r="Q19" s="1133"/>
      <c r="R19" s="21"/>
      <c r="S19" s="1133"/>
      <c r="T19" s="1133"/>
      <c r="U19" s="21"/>
      <c r="V19" s="1133"/>
      <c r="W19" s="1133"/>
      <c r="X19" s="21"/>
      <c r="Y19" s="1133"/>
      <c r="Z19" s="1133"/>
      <c r="AA19" s="21"/>
      <c r="AB19" s="22"/>
      <c r="AC19" s="14"/>
      <c r="AD19" s="29" t="s">
        <v>35</v>
      </c>
      <c r="AE19" s="28"/>
      <c r="AF19" s="30"/>
      <c r="AG19" s="31">
        <f>SUM(X7:X34)</f>
        <v>0</v>
      </c>
      <c r="AH19" s="32">
        <f t="shared" si="1"/>
        <v>0</v>
      </c>
    </row>
    <row r="20" spans="1:34" x14ac:dyDescent="0.2">
      <c r="A20" s="10">
        <v>14</v>
      </c>
      <c r="B20" s="1132"/>
      <c r="C20" s="1125"/>
      <c r="D20" s="1125"/>
      <c r="E20" s="1126"/>
      <c r="F20" s="1114"/>
      <c r="G20" s="1114"/>
      <c r="H20" s="1115"/>
      <c r="I20" s="1116"/>
      <c r="J20" s="37"/>
      <c r="K20" s="21"/>
      <c r="L20" s="21"/>
      <c r="M20" s="1103"/>
      <c r="N20" s="1104"/>
      <c r="O20" s="21"/>
      <c r="P20" s="1103"/>
      <c r="Q20" s="1104"/>
      <c r="R20" s="21"/>
      <c r="S20" s="1133"/>
      <c r="T20" s="1133"/>
      <c r="U20" s="21"/>
      <c r="V20" s="1133"/>
      <c r="W20" s="1133"/>
      <c r="X20" s="21"/>
      <c r="Y20" s="1103"/>
      <c r="Z20" s="1104"/>
      <c r="AA20" s="21"/>
      <c r="AB20" s="22"/>
      <c r="AC20" s="14"/>
      <c r="AD20" s="29" t="s">
        <v>19</v>
      </c>
      <c r="AE20" s="28"/>
      <c r="AF20" s="30"/>
      <c r="AG20" s="31">
        <f>SUM(Y7:Z34)</f>
        <v>0</v>
      </c>
      <c r="AH20" s="32">
        <f t="shared" si="1"/>
        <v>0</v>
      </c>
    </row>
    <row r="21" spans="1:34" x14ac:dyDescent="0.2">
      <c r="A21" s="10">
        <v>15</v>
      </c>
      <c r="B21" s="1134"/>
      <c r="C21" s="1128"/>
      <c r="D21" s="1128"/>
      <c r="E21" s="1129"/>
      <c r="F21" s="1119"/>
      <c r="G21" s="1119"/>
      <c r="H21" s="1120"/>
      <c r="I21" s="1121"/>
      <c r="J21" s="35"/>
      <c r="K21" s="36"/>
      <c r="L21" s="36"/>
      <c r="M21" s="1122"/>
      <c r="N21" s="1123"/>
      <c r="O21" s="36"/>
      <c r="P21" s="1122"/>
      <c r="Q21" s="1123"/>
      <c r="R21" s="36"/>
      <c r="S21" s="1122"/>
      <c r="T21" s="1123"/>
      <c r="U21" s="36"/>
      <c r="V21" s="1122"/>
      <c r="W21" s="1123"/>
      <c r="X21" s="36"/>
      <c r="Y21" s="1122"/>
      <c r="Z21" s="1123"/>
      <c r="AA21" s="36"/>
      <c r="AB21" s="38"/>
      <c r="AC21" s="14"/>
      <c r="AD21" s="29"/>
      <c r="AE21" s="28"/>
      <c r="AF21" s="30"/>
      <c r="AG21" s="31">
        <f>SUM(AA7:AA34)</f>
        <v>0</v>
      </c>
      <c r="AH21" s="32">
        <f t="shared" si="1"/>
        <v>0</v>
      </c>
    </row>
    <row r="22" spans="1:34" x14ac:dyDescent="0.2">
      <c r="A22" s="10">
        <v>16</v>
      </c>
      <c r="B22" s="1124"/>
      <c r="C22" s="1125"/>
      <c r="D22" s="1125"/>
      <c r="E22" s="1126"/>
      <c r="F22" s="1114"/>
      <c r="G22" s="1114"/>
      <c r="H22" s="1115"/>
      <c r="I22" s="1116"/>
      <c r="J22" s="37"/>
      <c r="K22" s="21"/>
      <c r="L22" s="21"/>
      <c r="M22" s="1103"/>
      <c r="N22" s="1104"/>
      <c r="O22" s="21"/>
      <c r="P22" s="1103"/>
      <c r="Q22" s="1104"/>
      <c r="R22" s="21"/>
      <c r="S22" s="1103"/>
      <c r="T22" s="1104"/>
      <c r="U22" s="21"/>
      <c r="V22" s="1103"/>
      <c r="W22" s="1104"/>
      <c r="X22" s="21"/>
      <c r="Y22" s="1103"/>
      <c r="Z22" s="1104"/>
      <c r="AA22" s="21"/>
      <c r="AB22" s="22"/>
      <c r="AC22" s="14"/>
      <c r="AD22" s="29"/>
      <c r="AE22" s="28"/>
      <c r="AF22" s="30"/>
      <c r="AG22" s="31">
        <f>SUM(AB7:AB34)</f>
        <v>0</v>
      </c>
      <c r="AH22" s="32">
        <f>AE22+AF22-AG22</f>
        <v>0</v>
      </c>
    </row>
    <row r="23" spans="1:34" x14ac:dyDescent="0.2">
      <c r="A23" s="10">
        <v>19</v>
      </c>
      <c r="B23" s="1124"/>
      <c r="C23" s="1125"/>
      <c r="D23" s="1125"/>
      <c r="E23" s="1126"/>
      <c r="F23" s="1130"/>
      <c r="G23" s="1114"/>
      <c r="H23" s="1131"/>
      <c r="I23" s="1116"/>
      <c r="J23" s="37"/>
      <c r="K23" s="21"/>
      <c r="L23" s="21"/>
      <c r="M23" s="1103"/>
      <c r="N23" s="1104"/>
      <c r="O23" s="21"/>
      <c r="P23" s="1103"/>
      <c r="Q23" s="1104"/>
      <c r="R23" s="21"/>
      <c r="S23" s="1103"/>
      <c r="T23" s="1104"/>
      <c r="U23" s="21"/>
      <c r="V23" s="1103"/>
      <c r="W23" s="1104"/>
      <c r="X23" s="21"/>
      <c r="Y23" s="1103"/>
      <c r="Z23" s="1104"/>
      <c r="AA23" s="21"/>
      <c r="AB23" s="69"/>
      <c r="AC23" s="14"/>
      <c r="AD23" s="29"/>
      <c r="AE23" s="28"/>
      <c r="AF23" s="30"/>
      <c r="AG23" s="31"/>
      <c r="AH23" s="32"/>
    </row>
    <row r="24" spans="1:34" x14ac:dyDescent="0.2">
      <c r="A24" s="10">
        <v>20</v>
      </c>
      <c r="B24" s="1127"/>
      <c r="C24" s="1128"/>
      <c r="D24" s="1128"/>
      <c r="E24" s="1129"/>
      <c r="F24" s="1119"/>
      <c r="G24" s="1119"/>
      <c r="H24" s="1120"/>
      <c r="I24" s="1121"/>
      <c r="J24" s="35"/>
      <c r="K24" s="36"/>
      <c r="L24" s="36"/>
      <c r="M24" s="1122"/>
      <c r="N24" s="1123"/>
      <c r="O24" s="36"/>
      <c r="P24" s="1122"/>
      <c r="Q24" s="1123"/>
      <c r="R24" s="36"/>
      <c r="S24" s="1122"/>
      <c r="T24" s="1123"/>
      <c r="U24" s="36"/>
      <c r="V24" s="1122"/>
      <c r="W24" s="1123"/>
      <c r="X24" s="36"/>
      <c r="Y24" s="1122"/>
      <c r="Z24" s="1123"/>
      <c r="AA24" s="36"/>
      <c r="AB24" s="22"/>
      <c r="AC24" s="14"/>
      <c r="AD24" s="29"/>
      <c r="AE24" s="28"/>
      <c r="AF24" s="30"/>
      <c r="AG24" s="31"/>
      <c r="AH24" s="32"/>
    </row>
    <row r="25" spans="1:34" x14ac:dyDescent="0.2">
      <c r="A25" s="10">
        <v>21</v>
      </c>
      <c r="B25" s="1127"/>
      <c r="C25" s="1128"/>
      <c r="D25" s="1128"/>
      <c r="E25" s="1129"/>
      <c r="F25" s="1119"/>
      <c r="G25" s="1119"/>
      <c r="H25" s="1120"/>
      <c r="I25" s="1121"/>
      <c r="J25" s="35"/>
      <c r="K25" s="36"/>
      <c r="L25" s="36"/>
      <c r="M25" s="1122"/>
      <c r="N25" s="1123"/>
      <c r="O25" s="36"/>
      <c r="P25" s="1122"/>
      <c r="Q25" s="1123"/>
      <c r="R25" s="36"/>
      <c r="S25" s="1122"/>
      <c r="T25" s="1123"/>
      <c r="U25" s="36"/>
      <c r="V25" s="1122"/>
      <c r="W25" s="1123"/>
      <c r="X25" s="36"/>
      <c r="Y25" s="1122"/>
      <c r="Z25" s="1123"/>
      <c r="AA25" s="36"/>
      <c r="AB25" s="38"/>
      <c r="AC25" s="14"/>
      <c r="AD25" s="29"/>
      <c r="AE25" s="28"/>
      <c r="AF25" s="30"/>
      <c r="AG25" s="31"/>
      <c r="AH25" s="32"/>
    </row>
    <row r="26" spans="1:34" x14ac:dyDescent="0.2">
      <c r="A26" s="10">
        <v>22</v>
      </c>
      <c r="B26" s="1124"/>
      <c r="C26" s="1125"/>
      <c r="D26" s="1125"/>
      <c r="E26" s="1126"/>
      <c r="F26" s="1114"/>
      <c r="G26" s="1114"/>
      <c r="H26" s="1115"/>
      <c r="I26" s="1116"/>
      <c r="J26" s="37"/>
      <c r="K26" s="21"/>
      <c r="L26" s="21"/>
      <c r="M26" s="1103"/>
      <c r="N26" s="1104"/>
      <c r="O26" s="21"/>
      <c r="P26" s="1103"/>
      <c r="Q26" s="1104"/>
      <c r="R26" s="21"/>
      <c r="S26" s="1103"/>
      <c r="T26" s="1104"/>
      <c r="U26" s="21"/>
      <c r="V26" s="1103"/>
      <c r="W26" s="1104"/>
      <c r="X26" s="21"/>
      <c r="Y26" s="1103"/>
      <c r="Z26" s="1104"/>
      <c r="AA26" s="21"/>
      <c r="AB26" s="22"/>
      <c r="AC26" s="14"/>
      <c r="AD26" s="29"/>
      <c r="AE26" s="28"/>
      <c r="AF26" s="30"/>
      <c r="AG26" s="31"/>
      <c r="AH26" s="32"/>
    </row>
    <row r="27" spans="1:34" x14ac:dyDescent="0.2">
      <c r="A27" s="10">
        <v>23</v>
      </c>
      <c r="B27" s="1127"/>
      <c r="C27" s="1128"/>
      <c r="D27" s="1128"/>
      <c r="E27" s="1129"/>
      <c r="F27" s="1119"/>
      <c r="G27" s="1119"/>
      <c r="H27" s="1120"/>
      <c r="I27" s="1121"/>
      <c r="J27" s="35"/>
      <c r="K27" s="36"/>
      <c r="L27" s="36"/>
      <c r="M27" s="1122"/>
      <c r="N27" s="1123"/>
      <c r="O27" s="36"/>
      <c r="P27" s="1122"/>
      <c r="Q27" s="1123"/>
      <c r="R27" s="36"/>
      <c r="S27" s="1122"/>
      <c r="T27" s="1123"/>
      <c r="U27" s="36"/>
      <c r="V27" s="1122"/>
      <c r="W27" s="1123"/>
      <c r="X27" s="36"/>
      <c r="Y27" s="1122"/>
      <c r="Z27" s="1123"/>
      <c r="AA27" s="36"/>
      <c r="AB27" s="38"/>
      <c r="AC27" s="14"/>
      <c r="AD27" s="29"/>
      <c r="AE27" s="28"/>
      <c r="AF27" s="30"/>
      <c r="AG27" s="31"/>
      <c r="AH27" s="32"/>
    </row>
    <row r="28" spans="1:34" x14ac:dyDescent="0.2">
      <c r="A28" s="10">
        <v>24</v>
      </c>
      <c r="B28" s="1117"/>
      <c r="C28" s="1118"/>
      <c r="D28" s="1118"/>
      <c r="E28" s="1118"/>
      <c r="F28" s="1119"/>
      <c r="G28" s="1119"/>
      <c r="H28" s="1120"/>
      <c r="I28" s="1121"/>
      <c r="J28" s="35"/>
      <c r="K28" s="36"/>
      <c r="L28" s="36"/>
      <c r="M28" s="1122"/>
      <c r="N28" s="1123"/>
      <c r="O28" s="36"/>
      <c r="P28" s="1122"/>
      <c r="Q28" s="1123"/>
      <c r="R28" s="36"/>
      <c r="S28" s="1122"/>
      <c r="T28" s="1123"/>
      <c r="U28" s="36"/>
      <c r="V28" s="1122"/>
      <c r="W28" s="1123"/>
      <c r="X28" s="36"/>
      <c r="Y28" s="1122"/>
      <c r="Z28" s="1123"/>
      <c r="AA28" s="36"/>
      <c r="AB28" s="38"/>
      <c r="AC28" s="14"/>
      <c r="AD28" s="29"/>
      <c r="AE28" s="28"/>
      <c r="AF28" s="30"/>
      <c r="AG28" s="31"/>
      <c r="AH28" s="32"/>
    </row>
    <row r="29" spans="1:34" x14ac:dyDescent="0.2">
      <c r="A29" s="10">
        <v>25</v>
      </c>
      <c r="B29" s="1112"/>
      <c r="C29" s="1113"/>
      <c r="D29" s="1113"/>
      <c r="E29" s="1113"/>
      <c r="F29" s="1114"/>
      <c r="G29" s="1114"/>
      <c r="H29" s="1115"/>
      <c r="I29" s="1116"/>
      <c r="J29" s="37"/>
      <c r="K29" s="21"/>
      <c r="L29" s="21"/>
      <c r="M29" s="1103"/>
      <c r="N29" s="1104"/>
      <c r="O29" s="21"/>
      <c r="P29" s="1103"/>
      <c r="Q29" s="1104"/>
      <c r="R29" s="21"/>
      <c r="S29" s="1103"/>
      <c r="T29" s="1104"/>
      <c r="U29" s="21"/>
      <c r="V29" s="1103"/>
      <c r="W29" s="1104"/>
      <c r="X29" s="21"/>
      <c r="Y29" s="1103"/>
      <c r="Z29" s="1104"/>
      <c r="AA29" s="21"/>
      <c r="AB29" s="22"/>
      <c r="AC29" s="14"/>
      <c r="AD29" s="29"/>
      <c r="AE29" s="28"/>
      <c r="AF29" s="30"/>
      <c r="AG29" s="31"/>
      <c r="AH29" s="32"/>
    </row>
    <row r="30" spans="1:34" x14ac:dyDescent="0.2">
      <c r="A30" s="10">
        <v>26</v>
      </c>
      <c r="B30" s="1112"/>
      <c r="C30" s="1113"/>
      <c r="D30" s="1113"/>
      <c r="E30" s="1113"/>
      <c r="F30" s="1114"/>
      <c r="G30" s="1114"/>
      <c r="H30" s="1115"/>
      <c r="I30" s="1116"/>
      <c r="J30" s="37"/>
      <c r="K30" s="21"/>
      <c r="L30" s="21"/>
      <c r="M30" s="1103"/>
      <c r="N30" s="1104"/>
      <c r="O30" s="21"/>
      <c r="P30" s="1103"/>
      <c r="Q30" s="1104"/>
      <c r="R30" s="21"/>
      <c r="S30" s="1103"/>
      <c r="T30" s="1104"/>
      <c r="U30" s="21"/>
      <c r="V30" s="1103"/>
      <c r="W30" s="1104"/>
      <c r="X30" s="21"/>
      <c r="Y30" s="1103"/>
      <c r="Z30" s="1104"/>
      <c r="AA30" s="21"/>
      <c r="AB30" s="22"/>
      <c r="AC30" s="14"/>
      <c r="AD30" s="29"/>
      <c r="AE30" s="28"/>
      <c r="AF30" s="30"/>
      <c r="AG30" s="31"/>
      <c r="AH30" s="32"/>
    </row>
    <row r="31" spans="1:34" ht="13.5" thickBot="1" x14ac:dyDescent="0.25">
      <c r="A31" s="10">
        <v>27</v>
      </c>
      <c r="B31" s="1117"/>
      <c r="C31" s="1118"/>
      <c r="D31" s="1118"/>
      <c r="E31" s="1118"/>
      <c r="F31" s="1119"/>
      <c r="G31" s="1119"/>
      <c r="H31" s="1120"/>
      <c r="I31" s="1121"/>
      <c r="J31" s="35"/>
      <c r="K31" s="36"/>
      <c r="L31" s="36"/>
      <c r="M31" s="1122"/>
      <c r="N31" s="1123"/>
      <c r="O31" s="36"/>
      <c r="P31" s="1122"/>
      <c r="Q31" s="1123"/>
      <c r="R31" s="36"/>
      <c r="S31" s="1122"/>
      <c r="T31" s="1123"/>
      <c r="U31" s="36"/>
      <c r="V31" s="1122"/>
      <c r="W31" s="1123"/>
      <c r="X31" s="36"/>
      <c r="Y31" s="1122"/>
      <c r="Z31" s="1123"/>
      <c r="AA31" s="36"/>
      <c r="AB31" s="38"/>
      <c r="AC31" s="14"/>
      <c r="AD31" s="39"/>
      <c r="AE31" s="40"/>
      <c r="AF31" s="45"/>
      <c r="AG31" s="50"/>
      <c r="AH31" s="41"/>
    </row>
    <row r="32" spans="1:34" x14ac:dyDescent="0.2">
      <c r="A32" s="10">
        <v>28</v>
      </c>
      <c r="B32" s="1112"/>
      <c r="C32" s="1113"/>
      <c r="D32" s="1113"/>
      <c r="E32" s="1113"/>
      <c r="F32" s="1114"/>
      <c r="G32" s="1114"/>
      <c r="H32" s="1115"/>
      <c r="I32" s="1116"/>
      <c r="J32" s="37"/>
      <c r="K32" s="21"/>
      <c r="L32" s="21"/>
      <c r="M32" s="1103"/>
      <c r="N32" s="1104"/>
      <c r="O32" s="21"/>
      <c r="P32" s="1103"/>
      <c r="Q32" s="1104"/>
      <c r="R32" s="21"/>
      <c r="S32" s="1103"/>
      <c r="T32" s="1104"/>
      <c r="U32" s="21"/>
      <c r="V32" s="1103"/>
      <c r="W32" s="1104"/>
      <c r="X32" s="21"/>
      <c r="Y32" s="1103"/>
      <c r="Z32" s="1104"/>
      <c r="AA32" s="21"/>
      <c r="AB32" s="22"/>
      <c r="AC32" s="14"/>
      <c r="AD32" s="14"/>
      <c r="AE32" s="46"/>
      <c r="AF32" s="46"/>
      <c r="AG32" s="46"/>
      <c r="AH32" s="47"/>
    </row>
    <row r="33" spans="1:34" x14ac:dyDescent="0.2">
      <c r="A33" s="10">
        <v>29</v>
      </c>
      <c r="B33" s="1112"/>
      <c r="C33" s="1113"/>
      <c r="D33" s="1113"/>
      <c r="E33" s="1113"/>
      <c r="F33" s="1114"/>
      <c r="G33" s="1114"/>
      <c r="H33" s="1115"/>
      <c r="I33" s="1116"/>
      <c r="J33" s="37"/>
      <c r="K33" s="21"/>
      <c r="L33" s="21"/>
      <c r="M33" s="1103"/>
      <c r="N33" s="1104"/>
      <c r="O33" s="21"/>
      <c r="P33" s="1103"/>
      <c r="Q33" s="1104"/>
      <c r="R33" s="21"/>
      <c r="S33" s="1103"/>
      <c r="T33" s="1104"/>
      <c r="U33" s="21"/>
      <c r="V33" s="1103"/>
      <c r="W33" s="1104"/>
      <c r="X33" s="21"/>
      <c r="Y33" s="1103"/>
      <c r="Z33" s="1104"/>
      <c r="AA33" s="21"/>
      <c r="AB33" s="22"/>
      <c r="AC33" s="14"/>
      <c r="AD33" s="14"/>
      <c r="AE33" s="14"/>
      <c r="AF33" s="14"/>
      <c r="AG33" s="14"/>
      <c r="AH33" s="1"/>
    </row>
    <row r="34" spans="1:34" ht="13.5" thickBot="1" x14ac:dyDescent="0.25">
      <c r="A34" s="10">
        <v>30</v>
      </c>
      <c r="B34" s="1105"/>
      <c r="C34" s="1106"/>
      <c r="D34" s="1106"/>
      <c r="E34" s="1106"/>
      <c r="F34" s="1107"/>
      <c r="G34" s="1107"/>
      <c r="H34" s="1108"/>
      <c r="I34" s="1109"/>
      <c r="J34" s="42"/>
      <c r="K34" s="43"/>
      <c r="L34" s="43"/>
      <c r="M34" s="1110"/>
      <c r="N34" s="1111"/>
      <c r="O34" s="43"/>
      <c r="P34" s="1110"/>
      <c r="Q34" s="1111"/>
      <c r="R34" s="43"/>
      <c r="S34" s="1110"/>
      <c r="T34" s="1111"/>
      <c r="U34" s="43"/>
      <c r="V34" s="1110"/>
      <c r="W34" s="1111"/>
      <c r="X34" s="43"/>
      <c r="Y34" s="1110"/>
      <c r="Z34" s="1111"/>
      <c r="AA34" s="43"/>
      <c r="AB34" s="44"/>
      <c r="AC34" s="14"/>
      <c r="AD34" s="14"/>
      <c r="AE34" s="14" t="s">
        <v>31</v>
      </c>
      <c r="AF34" s="14"/>
      <c r="AG34" s="14"/>
      <c r="AH34" s="1"/>
    </row>
    <row r="35" spans="1:34" ht="13.5" thickBot="1" x14ac:dyDescent="0.25">
      <c r="A35" s="1"/>
      <c r="B35" s="1090" t="s">
        <v>1</v>
      </c>
      <c r="C35" s="1091"/>
      <c r="D35" s="1091"/>
      <c r="E35" s="1091"/>
      <c r="F35" s="1092">
        <f>SUM(F7:G34)</f>
        <v>0</v>
      </c>
      <c r="G35" s="1092"/>
      <c r="H35" s="1093">
        <f>SUM(H7:I34)</f>
        <v>0</v>
      </c>
      <c r="I35" s="109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"/>
    </row>
    <row r="36" spans="1:34" ht="13.5" thickBot="1" x14ac:dyDescent="0.25">
      <c r="A36" s="1"/>
      <c r="B36" s="14"/>
      <c r="C36" s="14"/>
      <c r="D36" s="14"/>
      <c r="E36" s="14"/>
      <c r="F36" s="48"/>
      <c r="G36" s="48"/>
      <c r="H36" s="49"/>
      <c r="I36" s="49"/>
      <c r="J36" s="14"/>
      <c r="K36" s="14"/>
      <c r="L36" s="14"/>
      <c r="M36" s="14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1"/>
      <c r="AB36" s="14"/>
      <c r="AC36" s="14"/>
      <c r="AD36" s="1"/>
      <c r="AE36" s="1"/>
      <c r="AF36" s="1"/>
      <c r="AG36" s="1"/>
      <c r="AH36" s="1"/>
    </row>
    <row r="37" spans="1:34" x14ac:dyDescent="0.2">
      <c r="A37" s="1"/>
      <c r="B37" s="1095" t="s">
        <v>1</v>
      </c>
      <c r="C37" s="1096"/>
      <c r="D37" s="1096"/>
      <c r="E37" s="1096"/>
      <c r="F37" s="1097">
        <f>F35</f>
        <v>0</v>
      </c>
      <c r="G37" s="1097"/>
      <c r="H37" s="1101">
        <f>H35</f>
        <v>0</v>
      </c>
      <c r="I37" s="1102"/>
      <c r="J37" s="14"/>
      <c r="K37" s="14"/>
      <c r="L37" s="14"/>
      <c r="M37" s="14"/>
      <c r="N37" s="1098"/>
      <c r="O37" s="1098"/>
      <c r="P37" s="1098"/>
      <c r="Q37" s="1098"/>
      <c r="R37" s="1098"/>
      <c r="S37" s="1098"/>
      <c r="T37" s="1098"/>
      <c r="U37" s="1098"/>
      <c r="V37" s="1098"/>
      <c r="W37" s="1098"/>
      <c r="X37" s="1098"/>
      <c r="Y37" s="1098"/>
      <c r="Z37" s="1098"/>
      <c r="AA37" s="14"/>
      <c r="AB37" s="14"/>
      <c r="AC37" s="14"/>
      <c r="AD37" s="1"/>
      <c r="AE37" s="1"/>
      <c r="AF37" s="1"/>
      <c r="AG37" s="1"/>
      <c r="AH37" s="1"/>
    </row>
    <row r="38" spans="1:34" x14ac:dyDescent="0.2">
      <c r="A38" s="1"/>
      <c r="B38" s="1099" t="s">
        <v>8</v>
      </c>
      <c r="C38" s="1100"/>
      <c r="D38" s="1100"/>
      <c r="E38" s="1100"/>
      <c r="F38" s="1087"/>
      <c r="G38" s="1087"/>
      <c r="H38" s="1088"/>
      <c r="I38" s="1089"/>
      <c r="J38" s="14"/>
      <c r="K38" s="14"/>
      <c r="L38" s="14"/>
      <c r="M38" s="14"/>
      <c r="N38" s="1086"/>
      <c r="O38" s="1086"/>
      <c r="P38" s="1086"/>
      <c r="Q38" s="1086"/>
      <c r="R38" s="1086"/>
      <c r="S38" s="1086"/>
      <c r="T38" s="1080"/>
      <c r="U38" s="1080"/>
      <c r="V38" s="1080"/>
      <c r="W38" s="1080"/>
      <c r="X38" s="1080"/>
      <c r="Y38" s="1080"/>
      <c r="Z38" s="59"/>
      <c r="AA38" s="14"/>
      <c r="AB38" s="14"/>
      <c r="AC38" s="14"/>
      <c r="AD38" s="1"/>
      <c r="AE38" s="1"/>
      <c r="AF38" s="1"/>
      <c r="AG38" s="1"/>
      <c r="AH38" s="1"/>
    </row>
    <row r="39" spans="1:34" ht="13.5" thickBot="1" x14ac:dyDescent="0.25">
      <c r="A39" s="1"/>
      <c r="B39" s="1081" t="s">
        <v>1</v>
      </c>
      <c r="C39" s="1082"/>
      <c r="D39" s="1082"/>
      <c r="E39" s="1082"/>
      <c r="F39" s="1083">
        <f>F37-F38</f>
        <v>0</v>
      </c>
      <c r="G39" s="1083"/>
      <c r="H39" s="1084">
        <f>H37-H38</f>
        <v>0</v>
      </c>
      <c r="I39" s="1085"/>
      <c r="J39" s="1"/>
      <c r="K39" s="1"/>
      <c r="L39" s="1"/>
      <c r="M39" s="1"/>
      <c r="N39" s="1086"/>
      <c r="O39" s="1086"/>
      <c r="P39" s="1086"/>
      <c r="Q39" s="1086"/>
      <c r="R39" s="1086"/>
      <c r="S39" s="1086"/>
      <c r="T39" s="1080"/>
      <c r="U39" s="1080"/>
      <c r="V39" s="1080"/>
      <c r="W39" s="1080"/>
      <c r="X39" s="1080"/>
      <c r="Y39" s="1080"/>
      <c r="Z39" s="59"/>
      <c r="AA39" s="1"/>
      <c r="AB39" s="1"/>
      <c r="AC39" s="1"/>
    </row>
    <row r="40" spans="1:3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AA40" s="1"/>
      <c r="AB40" s="1"/>
      <c r="AC40" s="1"/>
    </row>
    <row r="41" spans="1:3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</sheetData>
  <mergeCells count="261">
    <mergeCell ref="Y15:Z15"/>
    <mergeCell ref="A5:I5"/>
    <mergeCell ref="J5:AB5"/>
    <mergeCell ref="B6:E6"/>
    <mergeCell ref="V7:W7"/>
    <mergeCell ref="Y7:Z7"/>
    <mergeCell ref="F6:G6"/>
    <mergeCell ref="B8:E8"/>
    <mergeCell ref="P6:Q6"/>
    <mergeCell ref="S6:T6"/>
    <mergeCell ref="F7:G7"/>
    <mergeCell ref="H7:I7"/>
    <mergeCell ref="M7:N7"/>
    <mergeCell ref="P7:Q7"/>
    <mergeCell ref="S7:T7"/>
    <mergeCell ref="H6:I6"/>
    <mergeCell ref="M6:N6"/>
    <mergeCell ref="S15:T15"/>
    <mergeCell ref="V15:W15"/>
    <mergeCell ref="H8:I8"/>
    <mergeCell ref="M8:N8"/>
    <mergeCell ref="P8:Q8"/>
    <mergeCell ref="S8:T8"/>
    <mergeCell ref="V8:W8"/>
    <mergeCell ref="V9:W9"/>
    <mergeCell ref="V11:W11"/>
    <mergeCell ref="M14:N14"/>
    <mergeCell ref="AE1:AG3"/>
    <mergeCell ref="D2:H2"/>
    <mergeCell ref="C4:F4"/>
    <mergeCell ref="G4:H4"/>
    <mergeCell ref="AD4:AH4"/>
    <mergeCell ref="Y8:Z8"/>
    <mergeCell ref="V6:W6"/>
    <mergeCell ref="E1:F1"/>
    <mergeCell ref="Y6:Z6"/>
    <mergeCell ref="B7:E7"/>
    <mergeCell ref="B9:E9"/>
    <mergeCell ref="F9:G9"/>
    <mergeCell ref="H9:I9"/>
    <mergeCell ref="M9:N9"/>
    <mergeCell ref="P9:Q9"/>
    <mergeCell ref="S9:T9"/>
    <mergeCell ref="Y9:Z9"/>
    <mergeCell ref="F8:G8"/>
    <mergeCell ref="B10:E10"/>
    <mergeCell ref="F10:G10"/>
    <mergeCell ref="H10:I10"/>
    <mergeCell ref="M10:N10"/>
    <mergeCell ref="P10:Q10"/>
    <mergeCell ref="S10:T10"/>
    <mergeCell ref="V10:W10"/>
    <mergeCell ref="Y10:Z10"/>
    <mergeCell ref="B11:E11"/>
    <mergeCell ref="F11:G11"/>
    <mergeCell ref="H11:I11"/>
    <mergeCell ref="M11:N11"/>
    <mergeCell ref="P11:Q11"/>
    <mergeCell ref="S11:T11"/>
    <mergeCell ref="Y11:Z11"/>
    <mergeCell ref="S14:T14"/>
    <mergeCell ref="V12:W12"/>
    <mergeCell ref="Y12:Z12"/>
    <mergeCell ref="B13:E13"/>
    <mergeCell ref="F13:G13"/>
    <mergeCell ref="H13:I13"/>
    <mergeCell ref="M13:N13"/>
    <mergeCell ref="P13:Q13"/>
    <mergeCell ref="V14:W14"/>
    <mergeCell ref="Y14:Z14"/>
    <mergeCell ref="S13:T13"/>
    <mergeCell ref="V13:W13"/>
    <mergeCell ref="Y13:Z13"/>
    <mergeCell ref="B12:E12"/>
    <mergeCell ref="F12:G12"/>
    <mergeCell ref="H12:I12"/>
    <mergeCell ref="M12:N12"/>
    <mergeCell ref="P12:Q12"/>
    <mergeCell ref="S12:T12"/>
    <mergeCell ref="B15:E15"/>
    <mergeCell ref="F15:G15"/>
    <mergeCell ref="H15:I15"/>
    <mergeCell ref="M15:N15"/>
    <mergeCell ref="P15:Q15"/>
    <mergeCell ref="B14:E14"/>
    <mergeCell ref="F14:G14"/>
    <mergeCell ref="H14:I14"/>
    <mergeCell ref="P14:Q14"/>
    <mergeCell ref="B16:E16"/>
    <mergeCell ref="F16:G16"/>
    <mergeCell ref="H16:I16"/>
    <mergeCell ref="M16:N16"/>
    <mergeCell ref="P16:Q16"/>
    <mergeCell ref="S16:T16"/>
    <mergeCell ref="V16:W16"/>
    <mergeCell ref="Y16:Z16"/>
    <mergeCell ref="B17:E17"/>
    <mergeCell ref="F17:G17"/>
    <mergeCell ref="H17:I17"/>
    <mergeCell ref="M17:N17"/>
    <mergeCell ref="P17:Q17"/>
    <mergeCell ref="S17:T17"/>
    <mergeCell ref="V17:W17"/>
    <mergeCell ref="Y17:Z17"/>
    <mergeCell ref="B18:E18"/>
    <mergeCell ref="F18:G18"/>
    <mergeCell ref="H18:I18"/>
    <mergeCell ref="M18:N18"/>
    <mergeCell ref="P18:Q18"/>
    <mergeCell ref="S18:T18"/>
    <mergeCell ref="V18:W18"/>
    <mergeCell ref="Y18:Z18"/>
    <mergeCell ref="B19:E19"/>
    <mergeCell ref="F19:G19"/>
    <mergeCell ref="H19:I19"/>
    <mergeCell ref="M19:N19"/>
    <mergeCell ref="P19:Q19"/>
    <mergeCell ref="S19:T19"/>
    <mergeCell ref="V19:W19"/>
    <mergeCell ref="Y19:Z19"/>
    <mergeCell ref="B20:E20"/>
    <mergeCell ref="F20:G20"/>
    <mergeCell ref="H20:I20"/>
    <mergeCell ref="M20:N20"/>
    <mergeCell ref="P20:Q20"/>
    <mergeCell ref="Y20:Z20"/>
    <mergeCell ref="S20:T20"/>
    <mergeCell ref="V20:W20"/>
    <mergeCell ref="B21:E21"/>
    <mergeCell ref="F21:G21"/>
    <mergeCell ref="H21:I21"/>
    <mergeCell ref="M21:N21"/>
    <mergeCell ref="P21:Q21"/>
    <mergeCell ref="S21:T21"/>
    <mergeCell ref="V21:W21"/>
    <mergeCell ref="Y21:Z21"/>
    <mergeCell ref="B22:E22"/>
    <mergeCell ref="F22:G22"/>
    <mergeCell ref="H22:I22"/>
    <mergeCell ref="M22:N22"/>
    <mergeCell ref="P22:Q22"/>
    <mergeCell ref="S22:T22"/>
    <mergeCell ref="V22:W22"/>
    <mergeCell ref="Y22:Z22"/>
    <mergeCell ref="B23:E23"/>
    <mergeCell ref="F23:G23"/>
    <mergeCell ref="H23:I23"/>
    <mergeCell ref="M23:N23"/>
    <mergeCell ref="P23:Q23"/>
    <mergeCell ref="S23:T23"/>
    <mergeCell ref="V23:W23"/>
    <mergeCell ref="Y23:Z23"/>
    <mergeCell ref="B24:E24"/>
    <mergeCell ref="F24:G24"/>
    <mergeCell ref="H24:I24"/>
    <mergeCell ref="M24:N24"/>
    <mergeCell ref="P24:Q24"/>
    <mergeCell ref="S24:T24"/>
    <mergeCell ref="V24:W24"/>
    <mergeCell ref="Y24:Z24"/>
    <mergeCell ref="B25:E25"/>
    <mergeCell ref="F25:G25"/>
    <mergeCell ref="H25:I25"/>
    <mergeCell ref="M25:N25"/>
    <mergeCell ref="P25:Q25"/>
    <mergeCell ref="S25:T25"/>
    <mergeCell ref="V25:W25"/>
    <mergeCell ref="Y25:Z25"/>
    <mergeCell ref="B26:E26"/>
    <mergeCell ref="F26:G26"/>
    <mergeCell ref="H26:I26"/>
    <mergeCell ref="M26:N26"/>
    <mergeCell ref="P26:Q26"/>
    <mergeCell ref="S26:T26"/>
    <mergeCell ref="V26:W26"/>
    <mergeCell ref="Y26:Z26"/>
    <mergeCell ref="B27:E27"/>
    <mergeCell ref="F27:G27"/>
    <mergeCell ref="H27:I27"/>
    <mergeCell ref="M27:N27"/>
    <mergeCell ref="P27:Q27"/>
    <mergeCell ref="S27:T27"/>
    <mergeCell ref="V27:W27"/>
    <mergeCell ref="Y27:Z27"/>
    <mergeCell ref="B28:E28"/>
    <mergeCell ref="F28:G28"/>
    <mergeCell ref="H28:I28"/>
    <mergeCell ref="M28:N28"/>
    <mergeCell ref="P28:Q28"/>
    <mergeCell ref="S28:T28"/>
    <mergeCell ref="V28:W28"/>
    <mergeCell ref="Y28:Z28"/>
    <mergeCell ref="B29:E29"/>
    <mergeCell ref="F29:G29"/>
    <mergeCell ref="H29:I29"/>
    <mergeCell ref="M29:N29"/>
    <mergeCell ref="P29:Q29"/>
    <mergeCell ref="S29:T29"/>
    <mergeCell ref="V29:W29"/>
    <mergeCell ref="Y29:Z29"/>
    <mergeCell ref="B30:E30"/>
    <mergeCell ref="F30:G30"/>
    <mergeCell ref="H30:I30"/>
    <mergeCell ref="M30:N30"/>
    <mergeCell ref="P30:Q30"/>
    <mergeCell ref="S30:T30"/>
    <mergeCell ref="V30:W30"/>
    <mergeCell ref="Y30:Z30"/>
    <mergeCell ref="B31:E31"/>
    <mergeCell ref="F31:G31"/>
    <mergeCell ref="H31:I31"/>
    <mergeCell ref="M31:N31"/>
    <mergeCell ref="P31:Q31"/>
    <mergeCell ref="S31:T31"/>
    <mergeCell ref="V31:W31"/>
    <mergeCell ref="Y31:Z31"/>
    <mergeCell ref="B32:E32"/>
    <mergeCell ref="F32:G32"/>
    <mergeCell ref="H32:I32"/>
    <mergeCell ref="M32:N32"/>
    <mergeCell ref="P32:Q32"/>
    <mergeCell ref="S32:T32"/>
    <mergeCell ref="V32:W32"/>
    <mergeCell ref="Y32:Z32"/>
    <mergeCell ref="Y34:Z34"/>
    <mergeCell ref="B33:E33"/>
    <mergeCell ref="F33:G33"/>
    <mergeCell ref="H33:I33"/>
    <mergeCell ref="M33:N33"/>
    <mergeCell ref="P33:Q33"/>
    <mergeCell ref="S33:T33"/>
    <mergeCell ref="B35:E35"/>
    <mergeCell ref="F35:G35"/>
    <mergeCell ref="H35:I35"/>
    <mergeCell ref="B37:E37"/>
    <mergeCell ref="F37:G37"/>
    <mergeCell ref="N37:Z37"/>
    <mergeCell ref="B38:E38"/>
    <mergeCell ref="H37:I37"/>
    <mergeCell ref="V33:W33"/>
    <mergeCell ref="Y33:Z33"/>
    <mergeCell ref="B34:E34"/>
    <mergeCell ref="F34:G34"/>
    <mergeCell ref="H34:I34"/>
    <mergeCell ref="M34:N34"/>
    <mergeCell ref="P34:Q34"/>
    <mergeCell ref="S34:T34"/>
    <mergeCell ref="V34:W34"/>
    <mergeCell ref="W39:Y39"/>
    <mergeCell ref="B39:E39"/>
    <mergeCell ref="F39:G39"/>
    <mergeCell ref="H39:I39"/>
    <mergeCell ref="N39:P39"/>
    <mergeCell ref="Q39:S39"/>
    <mergeCell ref="T39:V39"/>
    <mergeCell ref="F38:G38"/>
    <mergeCell ref="H38:I38"/>
    <mergeCell ref="N38:P38"/>
    <mergeCell ref="Q38:S38"/>
    <mergeCell ref="T38:V38"/>
    <mergeCell ref="W38:Y38"/>
  </mergeCells>
  <printOptions horizontalCentered="1" verticalCentered="1"/>
  <pageMargins left="0.19685039370078741" right="0.19685039370078741" top="0.19685039370078741" bottom="0.19685039370078741" header="0" footer="0"/>
  <pageSetup paperSize="9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3"/>
  <sheetViews>
    <sheetView tabSelected="1" zoomScale="140" zoomScaleNormal="140" workbookViewId="0">
      <selection activeCell="H106" sqref="H106"/>
    </sheetView>
  </sheetViews>
  <sheetFormatPr defaultColWidth="9.140625" defaultRowHeight="9.75" x14ac:dyDescent="0.2"/>
  <cols>
    <col min="1" max="1" width="4.42578125" style="320" customWidth="1"/>
    <col min="2" max="2" width="6.5703125" style="320" customWidth="1"/>
    <col min="3" max="3" width="3" style="325" customWidth="1"/>
    <col min="4" max="4" width="3.28515625" style="320" customWidth="1"/>
    <col min="5" max="5" width="2.7109375" style="326" customWidth="1"/>
    <col min="6" max="8" width="7.85546875" style="320" customWidth="1"/>
    <col min="9" max="9" width="6.85546875" style="320" customWidth="1"/>
    <col min="10" max="10" width="7.28515625" style="320" customWidth="1"/>
    <col min="11" max="11" width="7.140625" style="320" customWidth="1"/>
    <col min="12" max="12" width="6.85546875" style="320" customWidth="1"/>
    <col min="13" max="13" width="6.7109375" style="320" customWidth="1"/>
    <col min="14" max="15" width="5.140625" style="320" customWidth="1"/>
    <col min="16" max="16" width="5.42578125" style="320" customWidth="1"/>
    <col min="17" max="18" width="4.85546875" style="320" customWidth="1"/>
    <col min="19" max="19" width="5.28515625" style="320" customWidth="1"/>
    <col min="20" max="21" width="5.140625" style="320" customWidth="1"/>
    <col min="22" max="22" width="3.5703125" style="320" customWidth="1"/>
    <col min="23" max="23" width="3" style="320" customWidth="1"/>
    <col min="24" max="24" width="3.140625" style="320" customWidth="1"/>
    <col min="25" max="26" width="2.28515625" style="320" customWidth="1"/>
    <col min="27" max="16384" width="9.140625" style="320"/>
  </cols>
  <sheetData>
    <row r="1" spans="1:26" x14ac:dyDescent="0.2">
      <c r="U1" s="327"/>
    </row>
    <row r="2" spans="1:26" ht="12.75" customHeight="1" x14ac:dyDescent="0.2">
      <c r="A2" s="1031" t="s">
        <v>292</v>
      </c>
      <c r="B2" s="1031"/>
      <c r="C2" s="1031"/>
      <c r="D2" s="1031"/>
      <c r="E2" s="1031"/>
      <c r="F2" s="328" t="s">
        <v>324</v>
      </c>
      <c r="G2" s="329" t="str">
        <f>G53</f>
        <v>T13</v>
      </c>
      <c r="H2" s="330" t="s">
        <v>244</v>
      </c>
      <c r="I2" s="331">
        <f>K237</f>
        <v>0</v>
      </c>
      <c r="J2" s="332"/>
      <c r="K2" s="332"/>
      <c r="L2" s="820" t="str">
        <f ca="1">IF(OR(M48&lt;&gt;"",M49&lt;&gt;"",B48&lt;&gt;""),"!!! NEISPRAVNA / NEDOVRŠENA TABLICA","")</f>
        <v/>
      </c>
      <c r="M2" s="820"/>
      <c r="N2" s="820"/>
      <c r="O2" s="820"/>
      <c r="P2" s="820"/>
      <c r="Q2" s="820"/>
      <c r="R2" s="820"/>
      <c r="S2" s="820"/>
      <c r="T2" s="333"/>
      <c r="U2" s="333"/>
      <c r="V2" s="320" t="s">
        <v>293</v>
      </c>
      <c r="W2" s="334"/>
      <c r="X2" s="334"/>
    </row>
    <row r="3" spans="1:26" s="333" customFormat="1" ht="10.5" thickBot="1" x14ac:dyDescent="0.25">
      <c r="A3" s="320"/>
      <c r="B3" s="328"/>
      <c r="C3" s="328"/>
      <c r="D3" s="335"/>
      <c r="E3" s="336"/>
      <c r="F3" s="328"/>
      <c r="G3" s="332"/>
      <c r="H3" s="332"/>
      <c r="I3" s="332"/>
      <c r="J3" s="332"/>
      <c r="K3" s="332"/>
      <c r="L3" s="332"/>
      <c r="V3" s="334"/>
      <c r="W3" s="334"/>
      <c r="X3" s="334"/>
    </row>
    <row r="4" spans="1:26" s="333" customFormat="1" ht="10.5" thickBot="1" x14ac:dyDescent="0.25">
      <c r="A4" s="760" t="s">
        <v>74</v>
      </c>
      <c r="B4" s="762" t="s">
        <v>78</v>
      </c>
      <c r="C4" s="762"/>
      <c r="D4" s="762"/>
      <c r="E4" s="762"/>
      <c r="F4" s="763"/>
      <c r="G4" s="338">
        <f>I2</f>
        <v>0</v>
      </c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40"/>
    </row>
    <row r="5" spans="1:26" s="333" customFormat="1" ht="28.5" customHeight="1" thickBot="1" x14ac:dyDescent="0.25">
      <c r="A5" s="761"/>
      <c r="B5" s="341" t="s">
        <v>57</v>
      </c>
      <c r="C5" s="770" t="s">
        <v>63</v>
      </c>
      <c r="D5" s="771"/>
      <c r="E5" s="772"/>
      <c r="F5" s="342" t="s">
        <v>61</v>
      </c>
      <c r="G5" s="342" t="str">
        <f>B158</f>
        <v>PRODAJNA CIJENA</v>
      </c>
      <c r="H5" s="342" t="str">
        <f>C158</f>
        <v>GOTOVINA / KEŠ</v>
      </c>
      <c r="I5" s="342" t="str">
        <f>F158</f>
        <v>POS TEYA kartica</v>
      </c>
      <c r="J5" s="342" t="str">
        <f t="shared" ref="J5:M5" si="0">G158</f>
        <v>POS PBZ kartica</v>
      </c>
      <c r="K5" s="342" t="str">
        <f t="shared" si="0"/>
        <v>Žiralno STORNO</v>
      </c>
      <c r="L5" s="342" t="str">
        <f t="shared" si="0"/>
        <v>Žiralno / Ostalo</v>
      </c>
      <c r="M5" s="342" t="str">
        <f t="shared" si="0"/>
        <v>Vrsta Kartice</v>
      </c>
      <c r="N5" s="343" t="s">
        <v>80</v>
      </c>
      <c r="O5" s="343" t="s">
        <v>207</v>
      </c>
      <c r="P5" s="343" t="s">
        <v>98</v>
      </c>
      <c r="Q5" s="764" t="s">
        <v>82</v>
      </c>
      <c r="R5" s="765"/>
      <c r="S5" s="765"/>
      <c r="T5" s="765"/>
      <c r="U5" s="766"/>
      <c r="V5" s="344" t="str">
        <f>H200</f>
        <v>LMS</v>
      </c>
      <c r="W5" s="344" t="str">
        <f t="shared" ref="W5:X5" si="1">I200</f>
        <v>TO</v>
      </c>
      <c r="X5" s="345" t="str">
        <f t="shared" si="1"/>
        <v>IP</v>
      </c>
    </row>
    <row r="6" spans="1:26" s="333" customFormat="1" ht="9" customHeight="1" x14ac:dyDescent="0.2">
      <c r="A6" s="346">
        <v>1</v>
      </c>
      <c r="B6" s="172"/>
      <c r="C6" s="321"/>
      <c r="D6" s="322" t="str">
        <f t="shared" ref="D6:D42" si="2">IF(B6&lt;&gt;"",$F$236,"")</f>
        <v/>
      </c>
      <c r="E6" s="323" t="str">
        <f t="shared" ref="E6:E42" si="3">IF(B6&lt;&gt;"",$F$237,"")</f>
        <v/>
      </c>
      <c r="F6" s="173"/>
      <c r="G6" s="174"/>
      <c r="H6" s="174"/>
      <c r="I6" s="175"/>
      <c r="J6" s="232"/>
      <c r="K6" s="175"/>
      <c r="L6" s="175"/>
      <c r="M6" s="175"/>
      <c r="N6" s="176"/>
      <c r="O6" s="177"/>
      <c r="P6" s="177"/>
      <c r="Q6" s="767"/>
      <c r="R6" s="768"/>
      <c r="S6" s="768"/>
      <c r="T6" s="768"/>
      <c r="U6" s="769"/>
      <c r="V6" s="178"/>
      <c r="W6" s="179"/>
      <c r="X6" s="180"/>
      <c r="Y6" s="394">
        <f>IF(AND(B6="",G6="",F6=""),0,IF(AND(C6&lt;&gt;"",F6&lt;&gt;"",G6&lt;&gt;"",N6&lt;&gt;"",O6&lt;&gt;"",P6&lt;&gt;"",Q6&lt;&gt;""),0,1))</f>
        <v>0</v>
      </c>
      <c r="Z6" s="394">
        <f>IF(G6=SUM(H6:L6),0,1)</f>
        <v>0</v>
      </c>
    </row>
    <row r="7" spans="1:26" s="333" customFormat="1" ht="9" customHeight="1" x14ac:dyDescent="0.2">
      <c r="A7" s="346">
        <f>A6+1</f>
        <v>2</v>
      </c>
      <c r="B7" s="181"/>
      <c r="C7" s="324" t="str">
        <f>IF(B7&lt;&gt;"",C6+1,"")</f>
        <v/>
      </c>
      <c r="D7" s="322" t="str">
        <f t="shared" si="2"/>
        <v/>
      </c>
      <c r="E7" s="323" t="str">
        <f t="shared" si="3"/>
        <v/>
      </c>
      <c r="F7" s="182"/>
      <c r="G7" s="183"/>
      <c r="H7" s="183"/>
      <c r="I7" s="184"/>
      <c r="J7" s="184"/>
      <c r="K7" s="184"/>
      <c r="L7" s="184"/>
      <c r="M7" s="175"/>
      <c r="N7" s="176"/>
      <c r="O7" s="177"/>
      <c r="P7" s="177"/>
      <c r="Q7" s="757"/>
      <c r="R7" s="758"/>
      <c r="S7" s="758"/>
      <c r="T7" s="758"/>
      <c r="U7" s="759"/>
      <c r="V7" s="176"/>
      <c r="W7" s="185"/>
      <c r="X7" s="186"/>
      <c r="Y7" s="394">
        <f t="shared" ref="Y7:Y42" si="4">IF(AND(B7="",G7="",F7=""),0,IF(AND(C7&lt;&gt;"",F7&lt;&gt;"",G7&lt;&gt;"",N7&lt;&gt;"",O7&lt;&gt;"",P7&lt;&gt;"",Q7&lt;&gt;""),0,1))</f>
        <v>0</v>
      </c>
      <c r="Z7" s="394">
        <f t="shared" ref="Z7:Z42" si="5">IF(G7=SUM(H7:L7),0,1)</f>
        <v>0</v>
      </c>
    </row>
    <row r="8" spans="1:26" s="333" customFormat="1" ht="9" customHeight="1" x14ac:dyDescent="0.2">
      <c r="A8" s="346">
        <f t="shared" ref="A8:A42" si="6">A7+1</f>
        <v>3</v>
      </c>
      <c r="B8" s="181"/>
      <c r="C8" s="324" t="str">
        <f t="shared" ref="C8:C42" si="7">IF(B8&lt;&gt;"",C7+1,"")</f>
        <v/>
      </c>
      <c r="D8" s="322" t="str">
        <f t="shared" si="2"/>
        <v/>
      </c>
      <c r="E8" s="323" t="str">
        <f t="shared" si="3"/>
        <v/>
      </c>
      <c r="F8" s="182"/>
      <c r="G8" s="183"/>
      <c r="H8" s="183"/>
      <c r="I8" s="187"/>
      <c r="J8" s="187"/>
      <c r="K8" s="187"/>
      <c r="L8" s="187"/>
      <c r="M8" s="175"/>
      <c r="N8" s="176"/>
      <c r="O8" s="177"/>
      <c r="P8" s="177"/>
      <c r="Q8" s="757"/>
      <c r="R8" s="758"/>
      <c r="S8" s="758"/>
      <c r="T8" s="758"/>
      <c r="U8" s="759"/>
      <c r="V8" s="176"/>
      <c r="W8" s="185"/>
      <c r="X8" s="186"/>
      <c r="Y8" s="394">
        <f t="shared" si="4"/>
        <v>0</v>
      </c>
      <c r="Z8" s="394">
        <f t="shared" si="5"/>
        <v>0</v>
      </c>
    </row>
    <row r="9" spans="1:26" s="333" customFormat="1" ht="9" customHeight="1" x14ac:dyDescent="0.2">
      <c r="A9" s="346">
        <f t="shared" si="6"/>
        <v>4</v>
      </c>
      <c r="B9" s="181"/>
      <c r="C9" s="324" t="str">
        <f t="shared" si="7"/>
        <v/>
      </c>
      <c r="D9" s="322" t="str">
        <f t="shared" si="2"/>
        <v/>
      </c>
      <c r="E9" s="323" t="str">
        <f t="shared" si="3"/>
        <v/>
      </c>
      <c r="F9" s="182"/>
      <c r="G9" s="183"/>
      <c r="H9" s="183"/>
      <c r="I9" s="187"/>
      <c r="J9" s="187"/>
      <c r="K9" s="187"/>
      <c r="L9" s="187"/>
      <c r="M9" s="175"/>
      <c r="N9" s="176"/>
      <c r="O9" s="177"/>
      <c r="P9" s="177"/>
      <c r="Q9" s="757"/>
      <c r="R9" s="758"/>
      <c r="S9" s="758"/>
      <c r="T9" s="758"/>
      <c r="U9" s="759"/>
      <c r="V9" s="176"/>
      <c r="W9" s="185"/>
      <c r="X9" s="186"/>
      <c r="Y9" s="394">
        <f t="shared" si="4"/>
        <v>0</v>
      </c>
      <c r="Z9" s="394">
        <f t="shared" si="5"/>
        <v>0</v>
      </c>
    </row>
    <row r="10" spans="1:26" s="333" customFormat="1" ht="9" customHeight="1" x14ac:dyDescent="0.2">
      <c r="A10" s="346">
        <f t="shared" si="6"/>
        <v>5</v>
      </c>
      <c r="B10" s="181"/>
      <c r="C10" s="324" t="str">
        <f t="shared" si="7"/>
        <v/>
      </c>
      <c r="D10" s="322" t="str">
        <f t="shared" si="2"/>
        <v/>
      </c>
      <c r="E10" s="323" t="str">
        <f t="shared" si="3"/>
        <v/>
      </c>
      <c r="F10" s="182"/>
      <c r="G10" s="183"/>
      <c r="H10" s="183"/>
      <c r="I10" s="184"/>
      <c r="J10" s="184"/>
      <c r="K10" s="184"/>
      <c r="L10" s="184"/>
      <c r="M10" s="175"/>
      <c r="N10" s="176"/>
      <c r="O10" s="177"/>
      <c r="P10" s="177"/>
      <c r="Q10" s="757"/>
      <c r="R10" s="758"/>
      <c r="S10" s="758"/>
      <c r="T10" s="758"/>
      <c r="U10" s="759"/>
      <c r="V10" s="176"/>
      <c r="W10" s="185"/>
      <c r="X10" s="186"/>
      <c r="Y10" s="394">
        <f t="shared" si="4"/>
        <v>0</v>
      </c>
      <c r="Z10" s="394">
        <f t="shared" si="5"/>
        <v>0</v>
      </c>
    </row>
    <row r="11" spans="1:26" s="333" customFormat="1" ht="9" customHeight="1" x14ac:dyDescent="0.2">
      <c r="A11" s="346">
        <f t="shared" si="6"/>
        <v>6</v>
      </c>
      <c r="B11" s="181"/>
      <c r="C11" s="324" t="str">
        <f t="shared" si="7"/>
        <v/>
      </c>
      <c r="D11" s="322" t="str">
        <f t="shared" si="2"/>
        <v/>
      </c>
      <c r="E11" s="323" t="str">
        <f t="shared" si="3"/>
        <v/>
      </c>
      <c r="F11" s="182"/>
      <c r="G11" s="183"/>
      <c r="H11" s="183"/>
      <c r="I11" s="184"/>
      <c r="J11" s="184"/>
      <c r="K11" s="184"/>
      <c r="L11" s="184"/>
      <c r="M11" s="175"/>
      <c r="N11" s="176"/>
      <c r="O11" s="177"/>
      <c r="P11" s="177"/>
      <c r="Q11" s="757"/>
      <c r="R11" s="758"/>
      <c r="S11" s="758"/>
      <c r="T11" s="758"/>
      <c r="U11" s="759"/>
      <c r="V11" s="176"/>
      <c r="W11" s="185"/>
      <c r="X11" s="186"/>
      <c r="Y11" s="394">
        <f t="shared" si="4"/>
        <v>0</v>
      </c>
      <c r="Z11" s="394">
        <f t="shared" si="5"/>
        <v>0</v>
      </c>
    </row>
    <row r="12" spans="1:26" s="333" customFormat="1" ht="9" customHeight="1" x14ac:dyDescent="0.2">
      <c r="A12" s="346">
        <f t="shared" si="6"/>
        <v>7</v>
      </c>
      <c r="B12" s="181"/>
      <c r="C12" s="324" t="str">
        <f t="shared" si="7"/>
        <v/>
      </c>
      <c r="D12" s="322" t="str">
        <f t="shared" si="2"/>
        <v/>
      </c>
      <c r="E12" s="323" t="str">
        <f t="shared" si="3"/>
        <v/>
      </c>
      <c r="F12" s="182"/>
      <c r="G12" s="183"/>
      <c r="H12" s="183"/>
      <c r="I12" s="184"/>
      <c r="J12" s="184"/>
      <c r="K12" s="184"/>
      <c r="L12" s="184"/>
      <c r="M12" s="175"/>
      <c r="N12" s="176"/>
      <c r="O12" s="177"/>
      <c r="P12" s="177"/>
      <c r="Q12" s="757"/>
      <c r="R12" s="758"/>
      <c r="S12" s="758"/>
      <c r="T12" s="758"/>
      <c r="U12" s="759"/>
      <c r="V12" s="176"/>
      <c r="W12" s="185"/>
      <c r="X12" s="186"/>
      <c r="Y12" s="394">
        <f t="shared" si="4"/>
        <v>0</v>
      </c>
      <c r="Z12" s="394">
        <f t="shared" si="5"/>
        <v>0</v>
      </c>
    </row>
    <row r="13" spans="1:26" s="333" customFormat="1" ht="9" customHeight="1" x14ac:dyDescent="0.2">
      <c r="A13" s="346">
        <f t="shared" si="6"/>
        <v>8</v>
      </c>
      <c r="B13" s="181"/>
      <c r="C13" s="324" t="str">
        <f t="shared" si="7"/>
        <v/>
      </c>
      <c r="D13" s="322" t="str">
        <f t="shared" si="2"/>
        <v/>
      </c>
      <c r="E13" s="323" t="str">
        <f t="shared" si="3"/>
        <v/>
      </c>
      <c r="F13" s="182"/>
      <c r="G13" s="183"/>
      <c r="H13" s="183"/>
      <c r="I13" s="184"/>
      <c r="J13" s="184"/>
      <c r="K13" s="184"/>
      <c r="L13" s="184"/>
      <c r="M13" s="175"/>
      <c r="N13" s="176"/>
      <c r="O13" s="177"/>
      <c r="P13" s="177"/>
      <c r="Q13" s="757"/>
      <c r="R13" s="758"/>
      <c r="S13" s="758"/>
      <c r="T13" s="758"/>
      <c r="U13" s="759"/>
      <c r="V13" s="176"/>
      <c r="W13" s="185"/>
      <c r="X13" s="186"/>
      <c r="Y13" s="394">
        <f t="shared" si="4"/>
        <v>0</v>
      </c>
      <c r="Z13" s="394">
        <f t="shared" si="5"/>
        <v>0</v>
      </c>
    </row>
    <row r="14" spans="1:26" ht="9" customHeight="1" x14ac:dyDescent="0.2">
      <c r="A14" s="346">
        <f t="shared" si="6"/>
        <v>9</v>
      </c>
      <c r="B14" s="181"/>
      <c r="C14" s="324" t="str">
        <f t="shared" si="7"/>
        <v/>
      </c>
      <c r="D14" s="322" t="str">
        <f t="shared" si="2"/>
        <v/>
      </c>
      <c r="E14" s="323" t="str">
        <f t="shared" si="3"/>
        <v/>
      </c>
      <c r="F14" s="182"/>
      <c r="G14" s="183"/>
      <c r="H14" s="183"/>
      <c r="I14" s="184"/>
      <c r="J14" s="184"/>
      <c r="K14" s="184"/>
      <c r="L14" s="184"/>
      <c r="M14" s="175"/>
      <c r="N14" s="176"/>
      <c r="O14" s="177"/>
      <c r="P14" s="177"/>
      <c r="Q14" s="757"/>
      <c r="R14" s="758"/>
      <c r="S14" s="758"/>
      <c r="T14" s="758"/>
      <c r="U14" s="759"/>
      <c r="V14" s="176"/>
      <c r="W14" s="185"/>
      <c r="X14" s="186"/>
      <c r="Y14" s="394">
        <f t="shared" si="4"/>
        <v>0</v>
      </c>
      <c r="Z14" s="394">
        <f t="shared" si="5"/>
        <v>0</v>
      </c>
    </row>
    <row r="15" spans="1:26" ht="9" customHeight="1" x14ac:dyDescent="0.2">
      <c r="A15" s="346">
        <f t="shared" si="6"/>
        <v>10</v>
      </c>
      <c r="B15" s="181"/>
      <c r="C15" s="324" t="str">
        <f t="shared" si="7"/>
        <v/>
      </c>
      <c r="D15" s="322" t="str">
        <f t="shared" si="2"/>
        <v/>
      </c>
      <c r="E15" s="323" t="str">
        <f t="shared" si="3"/>
        <v/>
      </c>
      <c r="F15" s="182"/>
      <c r="G15" s="183"/>
      <c r="H15" s="183"/>
      <c r="I15" s="184"/>
      <c r="J15" s="184"/>
      <c r="K15" s="184"/>
      <c r="L15" s="184"/>
      <c r="M15" s="175"/>
      <c r="N15" s="176"/>
      <c r="O15" s="177"/>
      <c r="P15" s="177"/>
      <c r="Q15" s="757"/>
      <c r="R15" s="758"/>
      <c r="S15" s="758"/>
      <c r="T15" s="758"/>
      <c r="U15" s="759"/>
      <c r="V15" s="176"/>
      <c r="W15" s="185"/>
      <c r="X15" s="186"/>
      <c r="Y15" s="394">
        <f t="shared" si="4"/>
        <v>0</v>
      </c>
      <c r="Z15" s="394">
        <f t="shared" si="5"/>
        <v>0</v>
      </c>
    </row>
    <row r="16" spans="1:26" ht="9" customHeight="1" x14ac:dyDescent="0.2">
      <c r="A16" s="346">
        <f t="shared" si="6"/>
        <v>11</v>
      </c>
      <c r="B16" s="181"/>
      <c r="C16" s="324" t="str">
        <f t="shared" si="7"/>
        <v/>
      </c>
      <c r="D16" s="322" t="str">
        <f t="shared" si="2"/>
        <v/>
      </c>
      <c r="E16" s="323" t="str">
        <f t="shared" si="3"/>
        <v/>
      </c>
      <c r="F16" s="182"/>
      <c r="G16" s="183"/>
      <c r="H16" s="183"/>
      <c r="I16" s="184"/>
      <c r="J16" s="184"/>
      <c r="K16" s="184"/>
      <c r="L16" s="184"/>
      <c r="M16" s="175"/>
      <c r="N16" s="176"/>
      <c r="O16" s="177"/>
      <c r="P16" s="177"/>
      <c r="Q16" s="757"/>
      <c r="R16" s="758"/>
      <c r="S16" s="758"/>
      <c r="T16" s="758"/>
      <c r="U16" s="759"/>
      <c r="V16" s="176"/>
      <c r="W16" s="185"/>
      <c r="X16" s="186"/>
      <c r="Y16" s="394">
        <f t="shared" si="4"/>
        <v>0</v>
      </c>
      <c r="Z16" s="394">
        <f t="shared" si="5"/>
        <v>0</v>
      </c>
    </row>
    <row r="17" spans="1:26" ht="9" customHeight="1" x14ac:dyDescent="0.2">
      <c r="A17" s="346">
        <f t="shared" si="6"/>
        <v>12</v>
      </c>
      <c r="B17" s="181"/>
      <c r="C17" s="324" t="str">
        <f t="shared" si="7"/>
        <v/>
      </c>
      <c r="D17" s="322" t="str">
        <f t="shared" si="2"/>
        <v/>
      </c>
      <c r="E17" s="323" t="str">
        <f t="shared" si="3"/>
        <v/>
      </c>
      <c r="F17" s="173"/>
      <c r="G17" s="174"/>
      <c r="H17" s="174"/>
      <c r="I17" s="175"/>
      <c r="J17" s="175"/>
      <c r="K17" s="175"/>
      <c r="L17" s="175"/>
      <c r="M17" s="175"/>
      <c r="N17" s="176"/>
      <c r="O17" s="177"/>
      <c r="P17" s="177"/>
      <c r="Q17" s="757"/>
      <c r="R17" s="758"/>
      <c r="S17" s="758"/>
      <c r="T17" s="758"/>
      <c r="U17" s="759"/>
      <c r="V17" s="178"/>
      <c r="W17" s="179"/>
      <c r="X17" s="186"/>
      <c r="Y17" s="394">
        <f t="shared" si="4"/>
        <v>0</v>
      </c>
      <c r="Z17" s="394">
        <f t="shared" si="5"/>
        <v>0</v>
      </c>
    </row>
    <row r="18" spans="1:26" ht="9" customHeight="1" x14ac:dyDescent="0.2">
      <c r="A18" s="346">
        <f t="shared" si="6"/>
        <v>13</v>
      </c>
      <c r="B18" s="181"/>
      <c r="C18" s="324" t="str">
        <f t="shared" si="7"/>
        <v/>
      </c>
      <c r="D18" s="322" t="str">
        <f t="shared" si="2"/>
        <v/>
      </c>
      <c r="E18" s="323" t="str">
        <f t="shared" si="3"/>
        <v/>
      </c>
      <c r="F18" s="182"/>
      <c r="G18" s="183"/>
      <c r="H18" s="183"/>
      <c r="I18" s="184"/>
      <c r="J18" s="184"/>
      <c r="K18" s="184"/>
      <c r="L18" s="184"/>
      <c r="M18" s="175"/>
      <c r="N18" s="176"/>
      <c r="O18" s="177"/>
      <c r="P18" s="177"/>
      <c r="Q18" s="757"/>
      <c r="R18" s="758"/>
      <c r="S18" s="758"/>
      <c r="T18" s="758"/>
      <c r="U18" s="759"/>
      <c r="V18" s="176"/>
      <c r="W18" s="185"/>
      <c r="X18" s="186"/>
      <c r="Y18" s="394">
        <f t="shared" si="4"/>
        <v>0</v>
      </c>
      <c r="Z18" s="394">
        <f t="shared" si="5"/>
        <v>0</v>
      </c>
    </row>
    <row r="19" spans="1:26" ht="9" customHeight="1" x14ac:dyDescent="0.2">
      <c r="A19" s="346">
        <f t="shared" si="6"/>
        <v>14</v>
      </c>
      <c r="B19" s="181"/>
      <c r="C19" s="324" t="str">
        <f t="shared" si="7"/>
        <v/>
      </c>
      <c r="D19" s="322" t="str">
        <f t="shared" si="2"/>
        <v/>
      </c>
      <c r="E19" s="323" t="str">
        <f t="shared" si="3"/>
        <v/>
      </c>
      <c r="F19" s="182"/>
      <c r="G19" s="183"/>
      <c r="H19" s="183"/>
      <c r="I19" s="187"/>
      <c r="J19" s="187"/>
      <c r="K19" s="187"/>
      <c r="L19" s="187"/>
      <c r="M19" s="175"/>
      <c r="N19" s="176"/>
      <c r="O19" s="177"/>
      <c r="P19" s="177"/>
      <c r="Q19" s="757"/>
      <c r="R19" s="758"/>
      <c r="S19" s="758"/>
      <c r="T19" s="758"/>
      <c r="U19" s="759"/>
      <c r="V19" s="176"/>
      <c r="W19" s="185"/>
      <c r="X19" s="186"/>
      <c r="Y19" s="394">
        <f t="shared" si="4"/>
        <v>0</v>
      </c>
      <c r="Z19" s="394">
        <f t="shared" si="5"/>
        <v>0</v>
      </c>
    </row>
    <row r="20" spans="1:26" ht="9" customHeight="1" x14ac:dyDescent="0.2">
      <c r="A20" s="346">
        <f t="shared" si="6"/>
        <v>15</v>
      </c>
      <c r="B20" s="181"/>
      <c r="C20" s="324" t="str">
        <f t="shared" si="7"/>
        <v/>
      </c>
      <c r="D20" s="322" t="str">
        <f t="shared" si="2"/>
        <v/>
      </c>
      <c r="E20" s="323" t="str">
        <f t="shared" si="3"/>
        <v/>
      </c>
      <c r="F20" s="182"/>
      <c r="G20" s="183"/>
      <c r="H20" s="183"/>
      <c r="I20" s="187"/>
      <c r="J20" s="187"/>
      <c r="K20" s="187"/>
      <c r="L20" s="187"/>
      <c r="M20" s="175"/>
      <c r="N20" s="176"/>
      <c r="O20" s="177"/>
      <c r="P20" s="177"/>
      <c r="Q20" s="757"/>
      <c r="R20" s="758"/>
      <c r="S20" s="758"/>
      <c r="T20" s="758"/>
      <c r="U20" s="759"/>
      <c r="V20" s="176"/>
      <c r="W20" s="185"/>
      <c r="X20" s="186"/>
      <c r="Y20" s="394">
        <f t="shared" si="4"/>
        <v>0</v>
      </c>
      <c r="Z20" s="394">
        <f t="shared" si="5"/>
        <v>0</v>
      </c>
    </row>
    <row r="21" spans="1:26" ht="9" customHeight="1" x14ac:dyDescent="0.2">
      <c r="A21" s="346">
        <f t="shared" si="6"/>
        <v>16</v>
      </c>
      <c r="B21" s="181"/>
      <c r="C21" s="324" t="str">
        <f t="shared" si="7"/>
        <v/>
      </c>
      <c r="D21" s="322" t="str">
        <f t="shared" si="2"/>
        <v/>
      </c>
      <c r="E21" s="323" t="str">
        <f t="shared" si="3"/>
        <v/>
      </c>
      <c r="F21" s="182"/>
      <c r="G21" s="183"/>
      <c r="H21" s="183"/>
      <c r="I21" s="184"/>
      <c r="J21" s="184"/>
      <c r="K21" s="184"/>
      <c r="L21" s="184"/>
      <c r="M21" s="175"/>
      <c r="N21" s="176"/>
      <c r="O21" s="177"/>
      <c r="P21" s="177"/>
      <c r="Q21" s="757"/>
      <c r="R21" s="758"/>
      <c r="S21" s="758"/>
      <c r="T21" s="758"/>
      <c r="U21" s="759"/>
      <c r="V21" s="176"/>
      <c r="W21" s="185"/>
      <c r="X21" s="186"/>
      <c r="Y21" s="394">
        <f t="shared" si="4"/>
        <v>0</v>
      </c>
      <c r="Z21" s="394">
        <f t="shared" si="5"/>
        <v>0</v>
      </c>
    </row>
    <row r="22" spans="1:26" ht="9" customHeight="1" x14ac:dyDescent="0.2">
      <c r="A22" s="346">
        <f t="shared" si="6"/>
        <v>17</v>
      </c>
      <c r="B22" s="181"/>
      <c r="C22" s="324" t="str">
        <f t="shared" si="7"/>
        <v/>
      </c>
      <c r="D22" s="322" t="str">
        <f t="shared" si="2"/>
        <v/>
      </c>
      <c r="E22" s="323" t="str">
        <f t="shared" si="3"/>
        <v/>
      </c>
      <c r="F22" s="182"/>
      <c r="G22" s="183"/>
      <c r="H22" s="183"/>
      <c r="I22" s="184"/>
      <c r="J22" s="184"/>
      <c r="K22" s="184"/>
      <c r="L22" s="184"/>
      <c r="M22" s="175"/>
      <c r="N22" s="176"/>
      <c r="O22" s="177"/>
      <c r="P22" s="177"/>
      <c r="Q22" s="757"/>
      <c r="R22" s="758"/>
      <c r="S22" s="758"/>
      <c r="T22" s="758"/>
      <c r="U22" s="759"/>
      <c r="V22" s="176"/>
      <c r="W22" s="185"/>
      <c r="X22" s="186"/>
      <c r="Y22" s="394">
        <f t="shared" si="4"/>
        <v>0</v>
      </c>
      <c r="Z22" s="394">
        <f t="shared" si="5"/>
        <v>0</v>
      </c>
    </row>
    <row r="23" spans="1:26" ht="9" customHeight="1" x14ac:dyDescent="0.2">
      <c r="A23" s="346">
        <f t="shared" si="6"/>
        <v>18</v>
      </c>
      <c r="B23" s="181"/>
      <c r="C23" s="324" t="str">
        <f t="shared" si="7"/>
        <v/>
      </c>
      <c r="D23" s="322" t="str">
        <f t="shared" si="2"/>
        <v/>
      </c>
      <c r="E23" s="323" t="str">
        <f t="shared" si="3"/>
        <v/>
      </c>
      <c r="F23" s="182"/>
      <c r="G23" s="183"/>
      <c r="H23" s="183"/>
      <c r="I23" s="184"/>
      <c r="J23" s="184"/>
      <c r="K23" s="184"/>
      <c r="L23" s="184"/>
      <c r="M23" s="175"/>
      <c r="N23" s="176"/>
      <c r="O23" s="177"/>
      <c r="P23" s="177"/>
      <c r="Q23" s="757"/>
      <c r="R23" s="758"/>
      <c r="S23" s="758"/>
      <c r="T23" s="758"/>
      <c r="U23" s="759"/>
      <c r="V23" s="176"/>
      <c r="W23" s="185"/>
      <c r="X23" s="186"/>
      <c r="Y23" s="394">
        <f t="shared" si="4"/>
        <v>0</v>
      </c>
      <c r="Z23" s="394">
        <f t="shared" si="5"/>
        <v>0</v>
      </c>
    </row>
    <row r="24" spans="1:26" ht="9" customHeight="1" x14ac:dyDescent="0.2">
      <c r="A24" s="346">
        <f t="shared" si="6"/>
        <v>19</v>
      </c>
      <c r="B24" s="181"/>
      <c r="C24" s="324" t="str">
        <f t="shared" si="7"/>
        <v/>
      </c>
      <c r="D24" s="322" t="str">
        <f t="shared" si="2"/>
        <v/>
      </c>
      <c r="E24" s="323" t="str">
        <f t="shared" si="3"/>
        <v/>
      </c>
      <c r="F24" s="182"/>
      <c r="G24" s="183"/>
      <c r="H24" s="183"/>
      <c r="I24" s="184"/>
      <c r="J24" s="184"/>
      <c r="K24" s="184"/>
      <c r="L24" s="184"/>
      <c r="M24" s="175"/>
      <c r="N24" s="176"/>
      <c r="O24" s="177"/>
      <c r="P24" s="177"/>
      <c r="Q24" s="757"/>
      <c r="R24" s="758"/>
      <c r="S24" s="758"/>
      <c r="T24" s="758"/>
      <c r="U24" s="759"/>
      <c r="V24" s="176"/>
      <c r="W24" s="185"/>
      <c r="X24" s="186"/>
      <c r="Y24" s="394">
        <f t="shared" si="4"/>
        <v>0</v>
      </c>
      <c r="Z24" s="394">
        <f t="shared" si="5"/>
        <v>0</v>
      </c>
    </row>
    <row r="25" spans="1:26" ht="9" customHeight="1" x14ac:dyDescent="0.2">
      <c r="A25" s="346">
        <f t="shared" si="6"/>
        <v>20</v>
      </c>
      <c r="B25" s="181"/>
      <c r="C25" s="324" t="str">
        <f t="shared" si="7"/>
        <v/>
      </c>
      <c r="D25" s="322" t="str">
        <f t="shared" si="2"/>
        <v/>
      </c>
      <c r="E25" s="323" t="str">
        <f t="shared" si="3"/>
        <v/>
      </c>
      <c r="F25" s="182"/>
      <c r="G25" s="183"/>
      <c r="H25" s="183"/>
      <c r="I25" s="184"/>
      <c r="J25" s="184"/>
      <c r="K25" s="184"/>
      <c r="L25" s="184"/>
      <c r="M25" s="175"/>
      <c r="N25" s="176"/>
      <c r="O25" s="177"/>
      <c r="P25" s="177"/>
      <c r="Q25" s="757"/>
      <c r="R25" s="758"/>
      <c r="S25" s="758"/>
      <c r="T25" s="758"/>
      <c r="U25" s="759"/>
      <c r="V25" s="176"/>
      <c r="W25" s="185"/>
      <c r="X25" s="186"/>
      <c r="Y25" s="394">
        <f t="shared" si="4"/>
        <v>0</v>
      </c>
      <c r="Z25" s="394">
        <f t="shared" si="5"/>
        <v>0</v>
      </c>
    </row>
    <row r="26" spans="1:26" ht="9" customHeight="1" x14ac:dyDescent="0.2">
      <c r="A26" s="346">
        <f t="shared" si="6"/>
        <v>21</v>
      </c>
      <c r="B26" s="181"/>
      <c r="C26" s="324" t="str">
        <f t="shared" si="7"/>
        <v/>
      </c>
      <c r="D26" s="322" t="str">
        <f t="shared" si="2"/>
        <v/>
      </c>
      <c r="E26" s="323" t="str">
        <f t="shared" si="3"/>
        <v/>
      </c>
      <c r="F26" s="182"/>
      <c r="G26" s="183"/>
      <c r="H26" s="183"/>
      <c r="I26" s="184"/>
      <c r="J26" s="184"/>
      <c r="K26" s="184"/>
      <c r="L26" s="184"/>
      <c r="M26" s="175"/>
      <c r="N26" s="176"/>
      <c r="O26" s="177"/>
      <c r="P26" s="177"/>
      <c r="Q26" s="757"/>
      <c r="R26" s="758"/>
      <c r="S26" s="758"/>
      <c r="T26" s="758"/>
      <c r="U26" s="759"/>
      <c r="V26" s="176"/>
      <c r="W26" s="185"/>
      <c r="X26" s="186"/>
      <c r="Y26" s="394">
        <f t="shared" si="4"/>
        <v>0</v>
      </c>
      <c r="Z26" s="394">
        <f t="shared" si="5"/>
        <v>0</v>
      </c>
    </row>
    <row r="27" spans="1:26" ht="9" customHeight="1" x14ac:dyDescent="0.2">
      <c r="A27" s="346">
        <f t="shared" si="6"/>
        <v>22</v>
      </c>
      <c r="B27" s="181"/>
      <c r="C27" s="324" t="str">
        <f t="shared" si="7"/>
        <v/>
      </c>
      <c r="D27" s="322" t="str">
        <f t="shared" si="2"/>
        <v/>
      </c>
      <c r="E27" s="323" t="str">
        <f t="shared" si="3"/>
        <v/>
      </c>
      <c r="F27" s="182"/>
      <c r="G27" s="183"/>
      <c r="H27" s="183"/>
      <c r="I27" s="184"/>
      <c r="J27" s="184"/>
      <c r="K27" s="184"/>
      <c r="L27" s="184"/>
      <c r="M27" s="175"/>
      <c r="N27" s="176"/>
      <c r="O27" s="177"/>
      <c r="P27" s="177"/>
      <c r="Q27" s="757"/>
      <c r="R27" s="758"/>
      <c r="S27" s="758"/>
      <c r="T27" s="758"/>
      <c r="U27" s="759"/>
      <c r="V27" s="176"/>
      <c r="W27" s="185"/>
      <c r="X27" s="186"/>
      <c r="Y27" s="394">
        <f t="shared" si="4"/>
        <v>0</v>
      </c>
      <c r="Z27" s="394">
        <f t="shared" si="5"/>
        <v>0</v>
      </c>
    </row>
    <row r="28" spans="1:26" ht="9" customHeight="1" x14ac:dyDescent="0.2">
      <c r="A28" s="346">
        <f t="shared" si="6"/>
        <v>23</v>
      </c>
      <c r="B28" s="181"/>
      <c r="C28" s="324" t="str">
        <f t="shared" si="7"/>
        <v/>
      </c>
      <c r="D28" s="322" t="str">
        <f t="shared" si="2"/>
        <v/>
      </c>
      <c r="E28" s="323" t="str">
        <f t="shared" si="3"/>
        <v/>
      </c>
      <c r="F28" s="182"/>
      <c r="G28" s="183"/>
      <c r="H28" s="183"/>
      <c r="I28" s="184"/>
      <c r="J28" s="184"/>
      <c r="K28" s="184"/>
      <c r="L28" s="184"/>
      <c r="M28" s="175"/>
      <c r="N28" s="176"/>
      <c r="O28" s="177"/>
      <c r="P28" s="177"/>
      <c r="Q28" s="757"/>
      <c r="R28" s="758"/>
      <c r="S28" s="758"/>
      <c r="T28" s="758"/>
      <c r="U28" s="759"/>
      <c r="V28" s="176"/>
      <c r="W28" s="185"/>
      <c r="X28" s="186"/>
      <c r="Y28" s="394">
        <f t="shared" si="4"/>
        <v>0</v>
      </c>
      <c r="Z28" s="394">
        <f t="shared" si="5"/>
        <v>0</v>
      </c>
    </row>
    <row r="29" spans="1:26" ht="9" customHeight="1" x14ac:dyDescent="0.2">
      <c r="A29" s="346">
        <f t="shared" si="6"/>
        <v>24</v>
      </c>
      <c r="B29" s="181"/>
      <c r="C29" s="324" t="str">
        <f t="shared" si="7"/>
        <v/>
      </c>
      <c r="D29" s="322" t="str">
        <f t="shared" si="2"/>
        <v/>
      </c>
      <c r="E29" s="323" t="str">
        <f t="shared" si="3"/>
        <v/>
      </c>
      <c r="F29" s="182"/>
      <c r="G29" s="183"/>
      <c r="H29" s="183"/>
      <c r="I29" s="184"/>
      <c r="J29" s="184"/>
      <c r="K29" s="184"/>
      <c r="L29" s="184"/>
      <c r="M29" s="175"/>
      <c r="N29" s="176"/>
      <c r="O29" s="177"/>
      <c r="P29" s="177"/>
      <c r="Q29" s="757"/>
      <c r="R29" s="758"/>
      <c r="S29" s="758"/>
      <c r="T29" s="758"/>
      <c r="U29" s="759"/>
      <c r="V29" s="176"/>
      <c r="W29" s="185"/>
      <c r="X29" s="186"/>
      <c r="Y29" s="394">
        <f t="shared" si="4"/>
        <v>0</v>
      </c>
      <c r="Z29" s="394">
        <f t="shared" si="5"/>
        <v>0</v>
      </c>
    </row>
    <row r="30" spans="1:26" ht="9" customHeight="1" x14ac:dyDescent="0.2">
      <c r="A30" s="346">
        <f t="shared" si="6"/>
        <v>25</v>
      </c>
      <c r="B30" s="181"/>
      <c r="C30" s="324" t="str">
        <f t="shared" si="7"/>
        <v/>
      </c>
      <c r="D30" s="322" t="str">
        <f t="shared" si="2"/>
        <v/>
      </c>
      <c r="E30" s="323" t="str">
        <f t="shared" si="3"/>
        <v/>
      </c>
      <c r="F30" s="182"/>
      <c r="G30" s="183"/>
      <c r="H30" s="183"/>
      <c r="I30" s="184"/>
      <c r="J30" s="184"/>
      <c r="K30" s="184"/>
      <c r="L30" s="184"/>
      <c r="M30" s="175"/>
      <c r="N30" s="176"/>
      <c r="O30" s="177"/>
      <c r="P30" s="177"/>
      <c r="Q30" s="757"/>
      <c r="R30" s="758"/>
      <c r="S30" s="758"/>
      <c r="T30" s="758"/>
      <c r="U30" s="759"/>
      <c r="V30" s="176"/>
      <c r="W30" s="185"/>
      <c r="X30" s="186"/>
      <c r="Y30" s="394">
        <f t="shared" si="4"/>
        <v>0</v>
      </c>
      <c r="Z30" s="394">
        <f t="shared" si="5"/>
        <v>0</v>
      </c>
    </row>
    <row r="31" spans="1:26" ht="9" customHeight="1" x14ac:dyDescent="0.2">
      <c r="A31" s="346">
        <f t="shared" si="6"/>
        <v>26</v>
      </c>
      <c r="B31" s="181"/>
      <c r="C31" s="324" t="str">
        <f t="shared" si="7"/>
        <v/>
      </c>
      <c r="D31" s="322" t="str">
        <f t="shared" si="2"/>
        <v/>
      </c>
      <c r="E31" s="323" t="str">
        <f t="shared" si="3"/>
        <v/>
      </c>
      <c r="F31" s="182"/>
      <c r="G31" s="183"/>
      <c r="H31" s="183"/>
      <c r="I31" s="184"/>
      <c r="J31" s="184"/>
      <c r="K31" s="184"/>
      <c r="L31" s="184"/>
      <c r="M31" s="175"/>
      <c r="N31" s="176"/>
      <c r="O31" s="177"/>
      <c r="P31" s="177"/>
      <c r="Q31" s="757"/>
      <c r="R31" s="758"/>
      <c r="S31" s="758"/>
      <c r="T31" s="758"/>
      <c r="U31" s="759"/>
      <c r="V31" s="176"/>
      <c r="W31" s="185"/>
      <c r="X31" s="186"/>
      <c r="Y31" s="394">
        <f t="shared" si="4"/>
        <v>0</v>
      </c>
      <c r="Z31" s="394">
        <f t="shared" si="5"/>
        <v>0</v>
      </c>
    </row>
    <row r="32" spans="1:26" ht="9" customHeight="1" x14ac:dyDescent="0.2">
      <c r="A32" s="346">
        <f t="shared" si="6"/>
        <v>27</v>
      </c>
      <c r="B32" s="181"/>
      <c r="C32" s="324" t="str">
        <f t="shared" si="7"/>
        <v/>
      </c>
      <c r="D32" s="322" t="str">
        <f t="shared" si="2"/>
        <v/>
      </c>
      <c r="E32" s="323" t="str">
        <f t="shared" si="3"/>
        <v/>
      </c>
      <c r="F32" s="182"/>
      <c r="G32" s="183"/>
      <c r="H32" s="183"/>
      <c r="I32" s="184"/>
      <c r="J32" s="184"/>
      <c r="K32" s="184"/>
      <c r="L32" s="184"/>
      <c r="M32" s="175"/>
      <c r="N32" s="176"/>
      <c r="O32" s="177"/>
      <c r="P32" s="177"/>
      <c r="Q32" s="757"/>
      <c r="R32" s="758"/>
      <c r="S32" s="758"/>
      <c r="T32" s="758"/>
      <c r="U32" s="759"/>
      <c r="V32" s="176"/>
      <c r="W32" s="185"/>
      <c r="X32" s="186"/>
      <c r="Y32" s="394">
        <f t="shared" si="4"/>
        <v>0</v>
      </c>
      <c r="Z32" s="394">
        <f t="shared" si="5"/>
        <v>0</v>
      </c>
    </row>
    <row r="33" spans="1:26" ht="9" customHeight="1" x14ac:dyDescent="0.2">
      <c r="A33" s="346">
        <f t="shared" si="6"/>
        <v>28</v>
      </c>
      <c r="B33" s="181"/>
      <c r="C33" s="324" t="str">
        <f t="shared" si="7"/>
        <v/>
      </c>
      <c r="D33" s="322" t="str">
        <f t="shared" si="2"/>
        <v/>
      </c>
      <c r="E33" s="323" t="str">
        <f t="shared" si="3"/>
        <v/>
      </c>
      <c r="F33" s="182"/>
      <c r="G33" s="183"/>
      <c r="H33" s="183"/>
      <c r="I33" s="184"/>
      <c r="J33" s="184"/>
      <c r="K33" s="184"/>
      <c r="L33" s="184"/>
      <c r="M33" s="175"/>
      <c r="N33" s="176"/>
      <c r="O33" s="177"/>
      <c r="P33" s="177"/>
      <c r="Q33" s="757"/>
      <c r="R33" s="758"/>
      <c r="S33" s="758"/>
      <c r="T33" s="758"/>
      <c r="U33" s="759"/>
      <c r="V33" s="176"/>
      <c r="W33" s="185"/>
      <c r="X33" s="186"/>
      <c r="Y33" s="394">
        <f t="shared" si="4"/>
        <v>0</v>
      </c>
      <c r="Z33" s="394">
        <f t="shared" si="5"/>
        <v>0</v>
      </c>
    </row>
    <row r="34" spans="1:26" ht="9" customHeight="1" x14ac:dyDescent="0.2">
      <c r="A34" s="346">
        <f t="shared" si="6"/>
        <v>29</v>
      </c>
      <c r="B34" s="181"/>
      <c r="C34" s="324" t="str">
        <f t="shared" si="7"/>
        <v/>
      </c>
      <c r="D34" s="322" t="str">
        <f t="shared" si="2"/>
        <v/>
      </c>
      <c r="E34" s="323" t="str">
        <f t="shared" si="3"/>
        <v/>
      </c>
      <c r="F34" s="182"/>
      <c r="G34" s="183"/>
      <c r="H34" s="183"/>
      <c r="I34" s="184"/>
      <c r="J34" s="184"/>
      <c r="K34" s="184"/>
      <c r="L34" s="184"/>
      <c r="M34" s="175"/>
      <c r="N34" s="176"/>
      <c r="O34" s="177"/>
      <c r="P34" s="177"/>
      <c r="Q34" s="757"/>
      <c r="R34" s="758"/>
      <c r="S34" s="758"/>
      <c r="T34" s="758"/>
      <c r="U34" s="759"/>
      <c r="V34" s="176"/>
      <c r="W34" s="185"/>
      <c r="X34" s="186"/>
      <c r="Y34" s="394">
        <f t="shared" si="4"/>
        <v>0</v>
      </c>
      <c r="Z34" s="394">
        <f t="shared" si="5"/>
        <v>0</v>
      </c>
    </row>
    <row r="35" spans="1:26" ht="9" customHeight="1" x14ac:dyDescent="0.2">
      <c r="A35" s="346">
        <f t="shared" si="6"/>
        <v>30</v>
      </c>
      <c r="B35" s="181"/>
      <c r="C35" s="324" t="str">
        <f t="shared" si="7"/>
        <v/>
      </c>
      <c r="D35" s="322" t="str">
        <f t="shared" si="2"/>
        <v/>
      </c>
      <c r="E35" s="323" t="str">
        <f t="shared" si="3"/>
        <v/>
      </c>
      <c r="F35" s="182"/>
      <c r="G35" s="183"/>
      <c r="H35" s="183"/>
      <c r="I35" s="184"/>
      <c r="J35" s="184"/>
      <c r="K35" s="184"/>
      <c r="L35" s="184"/>
      <c r="M35" s="175"/>
      <c r="N35" s="176"/>
      <c r="O35" s="177"/>
      <c r="P35" s="177"/>
      <c r="Q35" s="757"/>
      <c r="R35" s="758"/>
      <c r="S35" s="758"/>
      <c r="T35" s="758"/>
      <c r="U35" s="759"/>
      <c r="V35" s="176"/>
      <c r="W35" s="185"/>
      <c r="X35" s="186"/>
      <c r="Y35" s="394">
        <f t="shared" si="4"/>
        <v>0</v>
      </c>
      <c r="Z35" s="394">
        <f t="shared" si="5"/>
        <v>0</v>
      </c>
    </row>
    <row r="36" spans="1:26" ht="9" customHeight="1" x14ac:dyDescent="0.2">
      <c r="A36" s="346">
        <f t="shared" si="6"/>
        <v>31</v>
      </c>
      <c r="B36" s="181"/>
      <c r="C36" s="324" t="str">
        <f t="shared" si="7"/>
        <v/>
      </c>
      <c r="D36" s="322" t="str">
        <f t="shared" si="2"/>
        <v/>
      </c>
      <c r="E36" s="323" t="str">
        <f t="shared" si="3"/>
        <v/>
      </c>
      <c r="F36" s="182"/>
      <c r="G36" s="183"/>
      <c r="H36" s="183"/>
      <c r="I36" s="184"/>
      <c r="J36" s="184"/>
      <c r="K36" s="184"/>
      <c r="L36" s="184"/>
      <c r="M36" s="175"/>
      <c r="N36" s="176"/>
      <c r="O36" s="177"/>
      <c r="P36" s="177"/>
      <c r="Q36" s="757"/>
      <c r="R36" s="758"/>
      <c r="S36" s="758"/>
      <c r="T36" s="758"/>
      <c r="U36" s="759"/>
      <c r="V36" s="176"/>
      <c r="W36" s="185"/>
      <c r="X36" s="186"/>
      <c r="Y36" s="394">
        <f t="shared" si="4"/>
        <v>0</v>
      </c>
      <c r="Z36" s="394">
        <f t="shared" si="5"/>
        <v>0</v>
      </c>
    </row>
    <row r="37" spans="1:26" ht="9" customHeight="1" x14ac:dyDescent="0.2">
      <c r="A37" s="346">
        <f t="shared" si="6"/>
        <v>32</v>
      </c>
      <c r="B37" s="181"/>
      <c r="C37" s="324" t="str">
        <f t="shared" si="7"/>
        <v/>
      </c>
      <c r="D37" s="322" t="str">
        <f t="shared" si="2"/>
        <v/>
      </c>
      <c r="E37" s="323" t="str">
        <f t="shared" si="3"/>
        <v/>
      </c>
      <c r="F37" s="182"/>
      <c r="G37" s="183"/>
      <c r="H37" s="183"/>
      <c r="I37" s="184"/>
      <c r="J37" s="184"/>
      <c r="K37" s="184"/>
      <c r="L37" s="184"/>
      <c r="M37" s="175"/>
      <c r="N37" s="176"/>
      <c r="O37" s="177"/>
      <c r="P37" s="177"/>
      <c r="Q37" s="757"/>
      <c r="R37" s="758"/>
      <c r="S37" s="758"/>
      <c r="T37" s="758"/>
      <c r="U37" s="759"/>
      <c r="V37" s="176"/>
      <c r="W37" s="185"/>
      <c r="X37" s="186"/>
      <c r="Y37" s="394">
        <f t="shared" si="4"/>
        <v>0</v>
      </c>
      <c r="Z37" s="394">
        <f t="shared" si="5"/>
        <v>0</v>
      </c>
    </row>
    <row r="38" spans="1:26" ht="9" customHeight="1" x14ac:dyDescent="0.2">
      <c r="A38" s="346">
        <f t="shared" si="6"/>
        <v>33</v>
      </c>
      <c r="B38" s="181"/>
      <c r="C38" s="324" t="str">
        <f t="shared" si="7"/>
        <v/>
      </c>
      <c r="D38" s="322" t="str">
        <f t="shared" si="2"/>
        <v/>
      </c>
      <c r="E38" s="323" t="str">
        <f t="shared" si="3"/>
        <v/>
      </c>
      <c r="F38" s="182"/>
      <c r="G38" s="183"/>
      <c r="H38" s="183"/>
      <c r="I38" s="184"/>
      <c r="J38" s="184"/>
      <c r="K38" s="184"/>
      <c r="L38" s="184"/>
      <c r="M38" s="175"/>
      <c r="N38" s="176"/>
      <c r="O38" s="177"/>
      <c r="P38" s="177"/>
      <c r="Q38" s="757"/>
      <c r="R38" s="758"/>
      <c r="S38" s="758"/>
      <c r="T38" s="758"/>
      <c r="U38" s="759"/>
      <c r="V38" s="176"/>
      <c r="W38" s="185"/>
      <c r="X38" s="186"/>
      <c r="Y38" s="394">
        <f t="shared" si="4"/>
        <v>0</v>
      </c>
      <c r="Z38" s="394">
        <f t="shared" si="5"/>
        <v>0</v>
      </c>
    </row>
    <row r="39" spans="1:26" ht="9" customHeight="1" x14ac:dyDescent="0.2">
      <c r="A39" s="346">
        <f t="shared" si="6"/>
        <v>34</v>
      </c>
      <c r="B39" s="181"/>
      <c r="C39" s="324" t="str">
        <f t="shared" si="7"/>
        <v/>
      </c>
      <c r="D39" s="322" t="str">
        <f t="shared" si="2"/>
        <v/>
      </c>
      <c r="E39" s="323" t="str">
        <f t="shared" si="3"/>
        <v/>
      </c>
      <c r="F39" s="182"/>
      <c r="G39" s="183"/>
      <c r="H39" s="183"/>
      <c r="I39" s="184"/>
      <c r="J39" s="184"/>
      <c r="K39" s="184"/>
      <c r="L39" s="184"/>
      <c r="M39" s="175"/>
      <c r="N39" s="176"/>
      <c r="O39" s="177"/>
      <c r="P39" s="177"/>
      <c r="Q39" s="757"/>
      <c r="R39" s="758"/>
      <c r="S39" s="758"/>
      <c r="T39" s="758"/>
      <c r="U39" s="759"/>
      <c r="V39" s="176"/>
      <c r="W39" s="185"/>
      <c r="X39" s="186"/>
      <c r="Y39" s="394">
        <f t="shared" si="4"/>
        <v>0</v>
      </c>
      <c r="Z39" s="394">
        <f t="shared" si="5"/>
        <v>0</v>
      </c>
    </row>
    <row r="40" spans="1:26" ht="9" customHeight="1" x14ac:dyDescent="0.2">
      <c r="A40" s="346">
        <f t="shared" si="6"/>
        <v>35</v>
      </c>
      <c r="B40" s="181"/>
      <c r="C40" s="324" t="str">
        <f t="shared" si="7"/>
        <v/>
      </c>
      <c r="D40" s="322" t="str">
        <f t="shared" si="2"/>
        <v/>
      </c>
      <c r="E40" s="323" t="str">
        <f t="shared" si="3"/>
        <v/>
      </c>
      <c r="F40" s="182"/>
      <c r="G40" s="183"/>
      <c r="H40" s="183"/>
      <c r="I40" s="184"/>
      <c r="J40" s="184"/>
      <c r="K40" s="184"/>
      <c r="L40" s="184"/>
      <c r="M40" s="175"/>
      <c r="N40" s="176"/>
      <c r="O40" s="177"/>
      <c r="P40" s="177"/>
      <c r="Q40" s="757"/>
      <c r="R40" s="758"/>
      <c r="S40" s="758"/>
      <c r="T40" s="758"/>
      <c r="U40" s="759"/>
      <c r="V40" s="176"/>
      <c r="W40" s="185"/>
      <c r="X40" s="186"/>
      <c r="Y40" s="394">
        <f t="shared" si="4"/>
        <v>0</v>
      </c>
      <c r="Z40" s="394">
        <f t="shared" si="5"/>
        <v>0</v>
      </c>
    </row>
    <row r="41" spans="1:26" ht="9" customHeight="1" x14ac:dyDescent="0.2">
      <c r="A41" s="346">
        <f t="shared" si="6"/>
        <v>36</v>
      </c>
      <c r="B41" s="181"/>
      <c r="C41" s="324" t="str">
        <f t="shared" si="7"/>
        <v/>
      </c>
      <c r="D41" s="322" t="str">
        <f t="shared" si="2"/>
        <v/>
      </c>
      <c r="E41" s="323" t="str">
        <f t="shared" si="3"/>
        <v/>
      </c>
      <c r="F41" s="182"/>
      <c r="G41" s="183"/>
      <c r="H41" s="183"/>
      <c r="I41" s="184"/>
      <c r="J41" s="184"/>
      <c r="K41" s="184"/>
      <c r="L41" s="184"/>
      <c r="M41" s="175"/>
      <c r="N41" s="176"/>
      <c r="O41" s="177"/>
      <c r="P41" s="177"/>
      <c r="Q41" s="757"/>
      <c r="R41" s="758"/>
      <c r="S41" s="758"/>
      <c r="T41" s="758"/>
      <c r="U41" s="759"/>
      <c r="V41" s="176"/>
      <c r="W41" s="185"/>
      <c r="X41" s="186"/>
      <c r="Y41" s="394">
        <f t="shared" si="4"/>
        <v>0</v>
      </c>
      <c r="Z41" s="394">
        <f t="shared" si="5"/>
        <v>0</v>
      </c>
    </row>
    <row r="42" spans="1:26" ht="9" customHeight="1" thickBot="1" x14ac:dyDescent="0.25">
      <c r="A42" s="347">
        <f t="shared" si="6"/>
        <v>37</v>
      </c>
      <c r="B42" s="188"/>
      <c r="C42" s="324" t="str">
        <f t="shared" si="7"/>
        <v/>
      </c>
      <c r="D42" s="322" t="str">
        <f t="shared" si="2"/>
        <v/>
      </c>
      <c r="E42" s="323" t="str">
        <f t="shared" si="3"/>
        <v/>
      </c>
      <c r="F42" s="189"/>
      <c r="G42" s="190"/>
      <c r="H42" s="190"/>
      <c r="I42" s="191"/>
      <c r="J42" s="191"/>
      <c r="K42" s="191"/>
      <c r="L42" s="191"/>
      <c r="M42" s="175"/>
      <c r="N42" s="176"/>
      <c r="O42" s="177"/>
      <c r="P42" s="177"/>
      <c r="Q42" s="773"/>
      <c r="R42" s="774"/>
      <c r="S42" s="774"/>
      <c r="T42" s="774"/>
      <c r="U42" s="775"/>
      <c r="V42" s="192"/>
      <c r="W42" s="192"/>
      <c r="X42" s="193"/>
      <c r="Y42" s="394">
        <f t="shared" si="4"/>
        <v>0</v>
      </c>
      <c r="Z42" s="394">
        <f t="shared" si="5"/>
        <v>0</v>
      </c>
    </row>
    <row r="43" spans="1:26" ht="9" customHeight="1" thickBot="1" x14ac:dyDescent="0.25">
      <c r="A43" s="348"/>
      <c r="B43" s="776" t="s">
        <v>65</v>
      </c>
      <c r="C43" s="777"/>
      <c r="D43" s="777"/>
      <c r="E43" s="777"/>
      <c r="F43" s="778"/>
      <c r="G43" s="299">
        <f t="shared" ref="G43:M43" ca="1" si="8">IF($N$236="",SUM(G6:G42),"")</f>
        <v>0</v>
      </c>
      <c r="H43" s="299">
        <f t="shared" ca="1" si="8"/>
        <v>0</v>
      </c>
      <c r="I43" s="299">
        <f t="shared" ca="1" si="8"/>
        <v>0</v>
      </c>
      <c r="J43" s="299">
        <f t="shared" ca="1" si="8"/>
        <v>0</v>
      </c>
      <c r="K43" s="299">
        <f t="shared" ca="1" si="8"/>
        <v>0</v>
      </c>
      <c r="L43" s="299">
        <f t="shared" ca="1" si="8"/>
        <v>0</v>
      </c>
      <c r="M43" s="299">
        <f t="shared" ca="1" si="8"/>
        <v>0</v>
      </c>
      <c r="N43" s="300"/>
      <c r="O43" s="301"/>
      <c r="P43" s="301"/>
      <c r="Q43" s="301"/>
      <c r="R43" s="301"/>
      <c r="S43" s="301"/>
      <c r="T43" s="301"/>
      <c r="U43" s="302"/>
      <c r="V43" s="702">
        <f ca="1">IF($N$236="",SUM(V6:V42),"")</f>
        <v>0</v>
      </c>
      <c r="W43" s="702">
        <f ca="1">IF($N$236="",SUM(W6:W42),"")</f>
        <v>0</v>
      </c>
      <c r="X43" s="703">
        <f ca="1">IF($N$236="",SUM(X6:X42),"")</f>
        <v>0</v>
      </c>
      <c r="Y43" s="394">
        <f>SUM(Y6:Y42)</f>
        <v>0</v>
      </c>
      <c r="Z43" s="394">
        <f>SUM(Z6:Z42)</f>
        <v>0</v>
      </c>
    </row>
    <row r="44" spans="1:26" ht="9" customHeight="1" x14ac:dyDescent="0.2">
      <c r="A44" s="348"/>
      <c r="B44" s="303"/>
      <c r="C44" s="304"/>
      <c r="D44" s="303"/>
      <c r="E44" s="305"/>
      <c r="F44" s="352" t="str">
        <f>F95</f>
        <v>T13</v>
      </c>
      <c r="G44" s="307">
        <f t="shared" ref="G44:M44" si="9">SUMIF($N$6:$N$42,$F$44,G$6:G$42)</f>
        <v>0</v>
      </c>
      <c r="H44" s="307">
        <f t="shared" si="9"/>
        <v>0</v>
      </c>
      <c r="I44" s="307">
        <f t="shared" si="9"/>
        <v>0</v>
      </c>
      <c r="J44" s="307">
        <f t="shared" si="9"/>
        <v>0</v>
      </c>
      <c r="K44" s="307">
        <f t="shared" si="9"/>
        <v>0</v>
      </c>
      <c r="L44" s="307">
        <f t="shared" si="9"/>
        <v>0</v>
      </c>
      <c r="M44" s="307">
        <f t="shared" si="9"/>
        <v>0</v>
      </c>
      <c r="N44" s="740"/>
      <c r="O44" s="741"/>
      <c r="P44" s="741"/>
      <c r="Q44" s="741"/>
      <c r="R44" s="741"/>
      <c r="S44" s="741"/>
      <c r="T44" s="741"/>
      <c r="U44" s="742"/>
      <c r="V44" s="308">
        <f>SUMIF($N$6:$N$42,$F$44,V$6:V$42)</f>
        <v>0</v>
      </c>
      <c r="W44" s="308">
        <f>SUMIF($N$6:$N$42,$F$44,W$6:W$42)</f>
        <v>0</v>
      </c>
      <c r="X44" s="309">
        <f>SUMIF($N$6:$N$42,$F$44,X$6:X$42)</f>
        <v>0</v>
      </c>
    </row>
    <row r="45" spans="1:26" ht="9" customHeight="1" x14ac:dyDescent="0.2">
      <c r="A45" s="348"/>
      <c r="B45" s="303"/>
      <c r="C45" s="304"/>
      <c r="D45" s="303"/>
      <c r="E45" s="305"/>
      <c r="F45" s="353">
        <f t="shared" ref="F45:F47" si="10">F96</f>
        <v>0</v>
      </c>
      <c r="G45" s="311">
        <f t="shared" ref="G45:M45" si="11">SUMIF($N$6:$N$42,$F$45,G$6:G$42)</f>
        <v>0</v>
      </c>
      <c r="H45" s="311">
        <f t="shared" si="11"/>
        <v>0</v>
      </c>
      <c r="I45" s="311">
        <f t="shared" si="11"/>
        <v>0</v>
      </c>
      <c r="J45" s="311">
        <f t="shared" si="11"/>
        <v>0</v>
      </c>
      <c r="K45" s="311">
        <f t="shared" si="11"/>
        <v>0</v>
      </c>
      <c r="L45" s="311">
        <f t="shared" si="11"/>
        <v>0</v>
      </c>
      <c r="M45" s="311">
        <f t="shared" si="11"/>
        <v>0</v>
      </c>
      <c r="N45" s="743"/>
      <c r="O45" s="744"/>
      <c r="P45" s="744"/>
      <c r="Q45" s="744"/>
      <c r="R45" s="744"/>
      <c r="S45" s="744"/>
      <c r="T45" s="744"/>
      <c r="U45" s="745"/>
      <c r="V45" s="312">
        <f>SUMIF($N$6:$N$42,$F$45,V$6:V$42)</f>
        <v>0</v>
      </c>
      <c r="W45" s="312">
        <f>SUMIF($N$6:$N$42,$F$45,W$6:W$42)</f>
        <v>0</v>
      </c>
      <c r="X45" s="313">
        <f>SUMIF($N$6:$N$42,$F$45,X$6:X$42)</f>
        <v>0</v>
      </c>
    </row>
    <row r="46" spans="1:26" ht="9" customHeight="1" x14ac:dyDescent="0.2">
      <c r="A46" s="348"/>
      <c r="B46" s="303"/>
      <c r="C46" s="304"/>
      <c r="D46" s="303"/>
      <c r="E46" s="305"/>
      <c r="F46" s="353">
        <f t="shared" si="10"/>
        <v>0</v>
      </c>
      <c r="G46" s="311">
        <f t="shared" ref="G46:M46" si="12">SUMIF($N$6:$N$42,$F$46,G$6:G$42)</f>
        <v>0</v>
      </c>
      <c r="H46" s="311">
        <f t="shared" si="12"/>
        <v>0</v>
      </c>
      <c r="I46" s="311">
        <f t="shared" si="12"/>
        <v>0</v>
      </c>
      <c r="J46" s="311">
        <f t="shared" si="12"/>
        <v>0</v>
      </c>
      <c r="K46" s="311">
        <f t="shared" si="12"/>
        <v>0</v>
      </c>
      <c r="L46" s="311">
        <f t="shared" si="12"/>
        <v>0</v>
      </c>
      <c r="M46" s="311">
        <f t="shared" si="12"/>
        <v>0</v>
      </c>
      <c r="N46" s="743"/>
      <c r="O46" s="744"/>
      <c r="P46" s="744"/>
      <c r="Q46" s="744"/>
      <c r="R46" s="744"/>
      <c r="S46" s="744"/>
      <c r="T46" s="744"/>
      <c r="U46" s="745"/>
      <c r="V46" s="312">
        <f>SUMIF($N$6:$N$42,$F$46,V$6:V$42)</f>
        <v>0</v>
      </c>
      <c r="W46" s="312">
        <f>SUMIF($N$6:$N$42,$F$46,W$6:W$42)</f>
        <v>0</v>
      </c>
      <c r="X46" s="313">
        <f>SUMIF($N$6:$N$42,$F$46,X$6:X$42)</f>
        <v>0</v>
      </c>
    </row>
    <row r="47" spans="1:26" ht="9" customHeight="1" thickBot="1" x14ac:dyDescent="0.25">
      <c r="A47" s="348"/>
      <c r="B47" s="303"/>
      <c r="C47" s="304"/>
      <c r="D47" s="303"/>
      <c r="E47" s="305"/>
      <c r="F47" s="354">
        <f t="shared" si="10"/>
        <v>0</v>
      </c>
      <c r="G47" s="315">
        <f t="shared" ref="G47:M47" si="13">SUMIF($N$6:$N$42,$F$47,G$6:G$42)</f>
        <v>0</v>
      </c>
      <c r="H47" s="315">
        <f t="shared" si="13"/>
        <v>0</v>
      </c>
      <c r="I47" s="315">
        <f t="shared" si="13"/>
        <v>0</v>
      </c>
      <c r="J47" s="315">
        <f t="shared" si="13"/>
        <v>0</v>
      </c>
      <c r="K47" s="315">
        <f t="shared" si="13"/>
        <v>0</v>
      </c>
      <c r="L47" s="315">
        <f t="shared" si="13"/>
        <v>0</v>
      </c>
      <c r="M47" s="315">
        <f t="shared" si="13"/>
        <v>0</v>
      </c>
      <c r="N47" s="746"/>
      <c r="O47" s="747"/>
      <c r="P47" s="747"/>
      <c r="Q47" s="747"/>
      <c r="R47" s="747"/>
      <c r="S47" s="747"/>
      <c r="T47" s="747"/>
      <c r="U47" s="748"/>
      <c r="V47" s="316">
        <f>SUMIF($N$6:$N$42,$F$47,V$6:V$42)</f>
        <v>0</v>
      </c>
      <c r="W47" s="316">
        <f>SUMIF($N$6:$N$42,$F$47,W$6:W$42)</f>
        <v>0</v>
      </c>
      <c r="X47" s="317">
        <f>SUMIF($N$6:$N$42,$F$47,X$6:X$42)</f>
        <v>0</v>
      </c>
    </row>
    <row r="48" spans="1:26" ht="12" customHeight="1" x14ac:dyDescent="0.2">
      <c r="A48" s="348"/>
      <c r="B48" s="1035" t="str">
        <f ca="1">IF(G43&lt;&gt;SUM(H43:M43),"NEISPRAVAN UNOS, POSTOJI RAZLIKA!!!","")</f>
        <v/>
      </c>
      <c r="C48" s="1035"/>
      <c r="D48" s="1035"/>
      <c r="E48" s="1035"/>
      <c r="F48" s="1035"/>
      <c r="G48" s="1035"/>
      <c r="H48" s="1035"/>
      <c r="I48" s="1035"/>
      <c r="J48" s="1035"/>
      <c r="K48" s="1035"/>
      <c r="L48" s="1035"/>
      <c r="M48" s="1033" t="str">
        <f>IF(Y43&gt;0,"Nepotpun unos podataka pod rednim brojem "&amp;MATCH(MAX(Y6:Y42),Y6:Y42,0),"")</f>
        <v/>
      </c>
      <c r="N48" s="1033"/>
      <c r="O48" s="1033"/>
      <c r="P48" s="1033"/>
      <c r="Q48" s="1033"/>
      <c r="R48" s="1033"/>
      <c r="S48" s="1033"/>
      <c r="T48" s="1033"/>
      <c r="U48" s="1033"/>
      <c r="V48" s="355"/>
      <c r="W48" s="355"/>
      <c r="X48" s="355"/>
    </row>
    <row r="49" spans="1:26" ht="12.75" customHeight="1" x14ac:dyDescent="0.2">
      <c r="A49" s="348"/>
      <c r="B49" s="1035"/>
      <c r="C49" s="1035"/>
      <c r="D49" s="1035"/>
      <c r="E49" s="1035"/>
      <c r="F49" s="1035"/>
      <c r="G49" s="1035"/>
      <c r="H49" s="1035"/>
      <c r="I49" s="1035"/>
      <c r="J49" s="1035"/>
      <c r="K49" s="1035"/>
      <c r="L49" s="1035"/>
      <c r="M49" s="1034" t="str">
        <f>IF(Z43&gt;0,"Neispravni iznosi u € ili zbroj pod rednim brojem "&amp;MATCH(MAX(Z6:Z42),Z6:Z42,0),"")</f>
        <v/>
      </c>
      <c r="N49" s="1034"/>
      <c r="O49" s="1034"/>
      <c r="P49" s="1034"/>
      <c r="Q49" s="1034"/>
      <c r="R49" s="1034"/>
      <c r="S49" s="1034"/>
      <c r="T49" s="1034"/>
      <c r="U49" s="1034"/>
      <c r="V49" s="355"/>
      <c r="W49" s="355"/>
      <c r="X49" s="355"/>
    </row>
    <row r="50" spans="1:26" ht="12.75" customHeight="1" x14ac:dyDescent="0.2">
      <c r="A50" s="348"/>
      <c r="B50" s="356"/>
      <c r="C50" s="357"/>
      <c r="D50" s="356"/>
      <c r="E50" s="358"/>
      <c r="F50" s="739" t="str">
        <f>IF(B6&lt;(46211+365+180),"obavezan unos datuma u polje B6 ako ima prometa","")</f>
        <v>obavezan unos datuma u polje B6 ako ima prometa</v>
      </c>
      <c r="G50" s="739"/>
      <c r="H50" s="739"/>
      <c r="I50" s="739"/>
      <c r="J50" s="739"/>
      <c r="K50" s="356"/>
      <c r="L50" s="356"/>
      <c r="M50" s="359"/>
      <c r="O50" s="360"/>
      <c r="P50" s="360"/>
      <c r="Q50" s="361"/>
      <c r="R50" s="361"/>
      <c r="S50" s="361"/>
      <c r="T50" s="361"/>
      <c r="U50" s="361"/>
      <c r="V50" s="355"/>
      <c r="W50" s="355"/>
      <c r="X50" s="355"/>
    </row>
    <row r="51" spans="1:26" ht="12.75" customHeight="1" x14ac:dyDescent="0.2">
      <c r="A51" s="348"/>
      <c r="B51" s="356"/>
      <c r="C51" s="357"/>
      <c r="D51" s="356"/>
      <c r="E51" s="358"/>
      <c r="F51" s="356"/>
      <c r="G51" s="356"/>
      <c r="H51" s="356"/>
      <c r="I51" s="356"/>
      <c r="J51" s="356"/>
      <c r="K51" s="356"/>
      <c r="L51" s="356"/>
      <c r="M51" s="359"/>
      <c r="O51" s="360"/>
      <c r="P51" s="360"/>
      <c r="Q51" s="361"/>
      <c r="R51" s="361"/>
      <c r="S51" s="361"/>
      <c r="T51" s="361"/>
      <c r="U51" s="361"/>
      <c r="V51" s="355"/>
      <c r="W51" s="355"/>
      <c r="X51" s="355"/>
    </row>
    <row r="52" spans="1:26" ht="9" customHeight="1" x14ac:dyDescent="0.2">
      <c r="A52" s="348"/>
      <c r="B52" s="356"/>
      <c r="C52" s="357"/>
      <c r="D52" s="356"/>
      <c r="E52" s="358"/>
      <c r="F52" s="356"/>
      <c r="G52" s="356"/>
      <c r="H52" s="356"/>
      <c r="I52" s="356"/>
      <c r="J52" s="356"/>
      <c r="K52" s="356"/>
      <c r="L52" s="356"/>
      <c r="M52" s="359"/>
      <c r="O52" s="360"/>
      <c r="P52" s="360"/>
      <c r="Q52" s="361"/>
      <c r="R52" s="361"/>
      <c r="S52" s="361"/>
      <c r="T52" s="361"/>
      <c r="U52" s="361"/>
      <c r="V52" s="355"/>
      <c r="W52" s="355"/>
      <c r="X52" s="355"/>
    </row>
    <row r="53" spans="1:26" ht="12.75" customHeight="1" x14ac:dyDescent="0.2">
      <c r="B53" s="362" t="str">
        <f>A2</f>
        <v>Medem d.o.o.</v>
      </c>
      <c r="F53" s="328" t="s">
        <v>216</v>
      </c>
      <c r="G53" s="331" t="str">
        <f>U202</f>
        <v>T13</v>
      </c>
      <c r="H53" s="332"/>
      <c r="I53" s="330" t="str">
        <f>H2</f>
        <v>tjedan</v>
      </c>
      <c r="J53" s="331">
        <f>K240</f>
        <v>1</v>
      </c>
      <c r="K53" s="332"/>
      <c r="L53" s="820" t="str">
        <f ca="1">IF(OR(M99&lt;&gt;"",M100&lt;&gt;"",B99&lt;&gt;""),"!!! NEISPRAVNA / NEDOVRŠENA TABLICA","")</f>
        <v/>
      </c>
      <c r="M53" s="820"/>
      <c r="N53" s="820"/>
      <c r="O53" s="820"/>
      <c r="P53" s="820"/>
      <c r="Q53" s="820"/>
      <c r="R53" s="820"/>
      <c r="S53" s="820"/>
      <c r="T53" s="333"/>
      <c r="U53" s="1032" t="str">
        <f>V2</f>
        <v>verzija 7/2026</v>
      </c>
      <c r="V53" s="1032"/>
      <c r="W53" s="1032"/>
      <c r="X53" s="334"/>
    </row>
    <row r="54" spans="1:26" ht="10.5" thickBot="1" x14ac:dyDescent="0.25">
      <c r="B54" s="328"/>
      <c r="C54" s="328"/>
      <c r="D54" s="335"/>
      <c r="E54" s="336"/>
      <c r="F54" s="328"/>
      <c r="G54" s="332"/>
      <c r="H54" s="332"/>
      <c r="I54" s="332"/>
      <c r="J54" s="332"/>
      <c r="K54" s="332"/>
      <c r="L54" s="332"/>
      <c r="M54" s="333"/>
      <c r="N54" s="333"/>
      <c r="O54" s="333"/>
      <c r="P54" s="333"/>
      <c r="Q54" s="333"/>
      <c r="R54" s="333"/>
      <c r="S54" s="333"/>
      <c r="T54" s="333"/>
      <c r="U54" s="333"/>
      <c r="V54" s="334"/>
      <c r="W54" s="334"/>
      <c r="X54" s="334"/>
    </row>
    <row r="55" spans="1:26" ht="10.5" thickBot="1" x14ac:dyDescent="0.25">
      <c r="A55" s="760" t="s">
        <v>74</v>
      </c>
      <c r="B55" s="779" t="s">
        <v>78</v>
      </c>
      <c r="C55" s="779"/>
      <c r="D55" s="779"/>
      <c r="E55" s="779"/>
      <c r="F55" s="780"/>
      <c r="G55" s="338">
        <f>K240</f>
        <v>1</v>
      </c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40"/>
    </row>
    <row r="56" spans="1:26" ht="28.5" customHeight="1" thickBot="1" x14ac:dyDescent="0.25">
      <c r="A56" s="761"/>
      <c r="B56" s="341" t="str">
        <f>B5</f>
        <v>DATUM</v>
      </c>
      <c r="C56" s="770" t="str">
        <f>C5</f>
        <v>Broj računa FISKALNOG</v>
      </c>
      <c r="D56" s="771"/>
      <c r="E56" s="772"/>
      <c r="F56" s="342" t="str">
        <f t="shared" ref="F56:P56" si="14">F5</f>
        <v>Broj ugovora</v>
      </c>
      <c r="G56" s="342" t="str">
        <f t="shared" si="14"/>
        <v>PRODAJNA CIJENA</v>
      </c>
      <c r="H56" s="342" t="str">
        <f t="shared" si="14"/>
        <v>GOTOVINA / KEŠ</v>
      </c>
      <c r="I56" s="342" t="str">
        <f t="shared" si="14"/>
        <v>POS TEYA kartica</v>
      </c>
      <c r="J56" s="342" t="str">
        <f t="shared" si="14"/>
        <v>POS PBZ kartica</v>
      </c>
      <c r="K56" s="342" t="str">
        <f t="shared" si="14"/>
        <v>Žiralno STORNO</v>
      </c>
      <c r="L56" s="342" t="str">
        <f t="shared" si="14"/>
        <v>Žiralno / Ostalo</v>
      </c>
      <c r="M56" s="342" t="str">
        <f t="shared" si="14"/>
        <v>Vrsta Kartice</v>
      </c>
      <c r="N56" s="342" t="str">
        <f t="shared" si="14"/>
        <v>Team</v>
      </c>
      <c r="O56" s="342" t="str">
        <f t="shared" si="14"/>
        <v>Vozač</v>
      </c>
      <c r="P56" s="342" t="str">
        <f t="shared" si="14"/>
        <v>Prodao</v>
      </c>
      <c r="Q56" s="764" t="s">
        <v>82</v>
      </c>
      <c r="R56" s="765"/>
      <c r="S56" s="765"/>
      <c r="T56" s="765"/>
      <c r="U56" s="766"/>
      <c r="V56" s="344" t="str">
        <f>V5</f>
        <v>LMS</v>
      </c>
      <c r="W56" s="344" t="str">
        <f>W5</f>
        <v>TO</v>
      </c>
      <c r="X56" s="345" t="str">
        <f>X5</f>
        <v>IP</v>
      </c>
    </row>
    <row r="57" spans="1:26" x14ac:dyDescent="0.2">
      <c r="A57" s="346">
        <v>1</v>
      </c>
      <c r="B57" s="172"/>
      <c r="C57" s="722" t="str">
        <f>IF(B57&lt;&gt;"",MAX(C6:C42)+1,"")</f>
        <v/>
      </c>
      <c r="D57" s="322" t="str">
        <f t="shared" ref="D57:D93" si="15">IF(B57&lt;&gt;"",$F$236,"")</f>
        <v/>
      </c>
      <c r="E57" s="323" t="str">
        <f t="shared" ref="E57:E93" si="16">IF(B57&lt;&gt;"",$F$237,"")</f>
        <v/>
      </c>
      <c r="F57" s="173"/>
      <c r="G57" s="174"/>
      <c r="H57" s="174"/>
      <c r="I57" s="175"/>
      <c r="J57" s="175"/>
      <c r="K57" s="175"/>
      <c r="L57" s="175"/>
      <c r="M57" s="175"/>
      <c r="N57" s="178" t="s">
        <v>326</v>
      </c>
      <c r="O57" s="194"/>
      <c r="P57" s="194"/>
      <c r="Q57" s="781"/>
      <c r="R57" s="782"/>
      <c r="S57" s="782"/>
      <c r="T57" s="782"/>
      <c r="U57" s="783"/>
      <c r="V57" s="178"/>
      <c r="W57" s="179"/>
      <c r="X57" s="180"/>
      <c r="Y57" s="394">
        <f t="shared" ref="Y57:Y93" si="17">IF(AND(B57="",G57="",F57=""),0,IF(AND(C57&lt;&gt;"",F57&lt;&gt;"",G57&lt;&gt;"",N57&lt;&gt;"",O57&lt;&gt;"",P57&lt;&gt;"",Q57&lt;&gt;""),0,1))</f>
        <v>0</v>
      </c>
      <c r="Z57" s="394">
        <f>IF(G57=SUM(H57:L57),0,1)</f>
        <v>0</v>
      </c>
    </row>
    <row r="58" spans="1:26" x14ac:dyDescent="0.2">
      <c r="A58" s="346">
        <f>A57+1</f>
        <v>2</v>
      </c>
      <c r="B58" s="181"/>
      <c r="C58" s="324" t="str">
        <f>IF(B58&lt;&gt;"",C57+1,"")</f>
        <v/>
      </c>
      <c r="D58" s="322" t="str">
        <f t="shared" si="15"/>
        <v/>
      </c>
      <c r="E58" s="323" t="str">
        <f t="shared" si="16"/>
        <v/>
      </c>
      <c r="F58" s="182"/>
      <c r="G58" s="183"/>
      <c r="H58" s="183"/>
      <c r="I58" s="184"/>
      <c r="J58" s="184"/>
      <c r="K58" s="184"/>
      <c r="L58" s="184"/>
      <c r="M58" s="175"/>
      <c r="N58" s="176"/>
      <c r="O58" s="177"/>
      <c r="P58" s="177"/>
      <c r="Q58" s="757"/>
      <c r="R58" s="758"/>
      <c r="S58" s="758"/>
      <c r="T58" s="758"/>
      <c r="U58" s="759"/>
      <c r="V58" s="176"/>
      <c r="W58" s="185"/>
      <c r="X58" s="186"/>
      <c r="Y58" s="394">
        <f t="shared" si="17"/>
        <v>0</v>
      </c>
      <c r="Z58" s="394">
        <f t="shared" ref="Z58:Z93" si="18">IF(G58=SUM(H58:L58),0,1)</f>
        <v>0</v>
      </c>
    </row>
    <row r="59" spans="1:26" x14ac:dyDescent="0.2">
      <c r="A59" s="346">
        <f t="shared" ref="A59:A93" si="19">A58+1</f>
        <v>3</v>
      </c>
      <c r="B59" s="195"/>
      <c r="C59" s="324" t="str">
        <f t="shared" ref="C59:C93" si="20">IF(B59&lt;&gt;"",C58+1,"")</f>
        <v/>
      </c>
      <c r="D59" s="322" t="str">
        <f t="shared" si="15"/>
        <v/>
      </c>
      <c r="E59" s="323" t="str">
        <f t="shared" si="16"/>
        <v/>
      </c>
      <c r="F59" s="182"/>
      <c r="G59" s="183"/>
      <c r="H59" s="183"/>
      <c r="I59" s="187"/>
      <c r="J59" s="187"/>
      <c r="K59" s="187"/>
      <c r="L59" s="187"/>
      <c r="M59" s="175"/>
      <c r="N59" s="176"/>
      <c r="O59" s="177"/>
      <c r="P59" s="177"/>
      <c r="Q59" s="757"/>
      <c r="R59" s="758"/>
      <c r="S59" s="758"/>
      <c r="T59" s="758"/>
      <c r="U59" s="759"/>
      <c r="V59" s="176"/>
      <c r="W59" s="185"/>
      <c r="X59" s="186"/>
      <c r="Y59" s="394">
        <f t="shared" si="17"/>
        <v>0</v>
      </c>
      <c r="Z59" s="394">
        <f t="shared" si="18"/>
        <v>0</v>
      </c>
    </row>
    <row r="60" spans="1:26" x14ac:dyDescent="0.2">
      <c r="A60" s="346">
        <f t="shared" si="19"/>
        <v>4</v>
      </c>
      <c r="B60" s="195"/>
      <c r="C60" s="324" t="str">
        <f t="shared" si="20"/>
        <v/>
      </c>
      <c r="D60" s="322" t="str">
        <f t="shared" si="15"/>
        <v/>
      </c>
      <c r="E60" s="323" t="str">
        <f t="shared" si="16"/>
        <v/>
      </c>
      <c r="F60" s="182"/>
      <c r="G60" s="183"/>
      <c r="H60" s="183"/>
      <c r="I60" s="187"/>
      <c r="J60" s="187"/>
      <c r="K60" s="187"/>
      <c r="L60" s="187"/>
      <c r="M60" s="175"/>
      <c r="N60" s="176"/>
      <c r="O60" s="177"/>
      <c r="P60" s="177"/>
      <c r="Q60" s="757"/>
      <c r="R60" s="758"/>
      <c r="S60" s="758"/>
      <c r="T60" s="758"/>
      <c r="U60" s="759"/>
      <c r="V60" s="176"/>
      <c r="W60" s="185"/>
      <c r="X60" s="186"/>
      <c r="Y60" s="394">
        <f t="shared" si="17"/>
        <v>0</v>
      </c>
      <c r="Z60" s="394">
        <f t="shared" si="18"/>
        <v>0</v>
      </c>
    </row>
    <row r="61" spans="1:26" x14ac:dyDescent="0.2">
      <c r="A61" s="346">
        <f t="shared" si="19"/>
        <v>5</v>
      </c>
      <c r="B61" s="195"/>
      <c r="C61" s="324" t="str">
        <f t="shared" si="20"/>
        <v/>
      </c>
      <c r="D61" s="322" t="str">
        <f t="shared" si="15"/>
        <v/>
      </c>
      <c r="E61" s="323" t="str">
        <f t="shared" si="16"/>
        <v/>
      </c>
      <c r="F61" s="182"/>
      <c r="G61" s="183"/>
      <c r="H61" s="183"/>
      <c r="I61" s="184"/>
      <c r="J61" s="184"/>
      <c r="K61" s="184"/>
      <c r="L61" s="184"/>
      <c r="M61" s="175"/>
      <c r="N61" s="176"/>
      <c r="O61" s="177"/>
      <c r="P61" s="177"/>
      <c r="Q61" s="757"/>
      <c r="R61" s="758"/>
      <c r="S61" s="758"/>
      <c r="T61" s="758"/>
      <c r="U61" s="759"/>
      <c r="V61" s="176"/>
      <c r="W61" s="185"/>
      <c r="X61" s="186"/>
      <c r="Y61" s="394">
        <f t="shared" si="17"/>
        <v>0</v>
      </c>
      <c r="Z61" s="394">
        <f t="shared" si="18"/>
        <v>0</v>
      </c>
    </row>
    <row r="62" spans="1:26" x14ac:dyDescent="0.2">
      <c r="A62" s="346">
        <f t="shared" si="19"/>
        <v>6</v>
      </c>
      <c r="B62" s="195"/>
      <c r="C62" s="324" t="str">
        <f t="shared" si="20"/>
        <v/>
      </c>
      <c r="D62" s="322" t="str">
        <f t="shared" si="15"/>
        <v/>
      </c>
      <c r="E62" s="323" t="str">
        <f t="shared" si="16"/>
        <v/>
      </c>
      <c r="F62" s="182"/>
      <c r="G62" s="183"/>
      <c r="H62" s="183"/>
      <c r="I62" s="184"/>
      <c r="J62" s="184"/>
      <c r="K62" s="184"/>
      <c r="L62" s="184"/>
      <c r="M62" s="175"/>
      <c r="N62" s="176"/>
      <c r="O62" s="177"/>
      <c r="P62" s="177"/>
      <c r="Q62" s="757"/>
      <c r="R62" s="758"/>
      <c r="S62" s="758"/>
      <c r="T62" s="758"/>
      <c r="U62" s="759"/>
      <c r="V62" s="176"/>
      <c r="W62" s="185"/>
      <c r="X62" s="186"/>
      <c r="Y62" s="394">
        <f t="shared" si="17"/>
        <v>0</v>
      </c>
      <c r="Z62" s="394">
        <f t="shared" si="18"/>
        <v>0</v>
      </c>
    </row>
    <row r="63" spans="1:26" x14ac:dyDescent="0.2">
      <c r="A63" s="346">
        <f t="shared" si="19"/>
        <v>7</v>
      </c>
      <c r="B63" s="195"/>
      <c r="C63" s="324" t="str">
        <f t="shared" si="20"/>
        <v/>
      </c>
      <c r="D63" s="322" t="str">
        <f t="shared" si="15"/>
        <v/>
      </c>
      <c r="E63" s="323" t="str">
        <f t="shared" si="16"/>
        <v/>
      </c>
      <c r="F63" s="182"/>
      <c r="G63" s="183"/>
      <c r="H63" s="183"/>
      <c r="I63" s="184"/>
      <c r="J63" s="184"/>
      <c r="K63" s="184"/>
      <c r="L63" s="184"/>
      <c r="M63" s="175"/>
      <c r="N63" s="176"/>
      <c r="O63" s="177"/>
      <c r="P63" s="177"/>
      <c r="Q63" s="757"/>
      <c r="R63" s="758"/>
      <c r="S63" s="758"/>
      <c r="T63" s="758"/>
      <c r="U63" s="759"/>
      <c r="V63" s="176"/>
      <c r="W63" s="185"/>
      <c r="X63" s="186"/>
      <c r="Y63" s="394">
        <f t="shared" si="17"/>
        <v>0</v>
      </c>
      <c r="Z63" s="394">
        <f t="shared" si="18"/>
        <v>0</v>
      </c>
    </row>
    <row r="64" spans="1:26" x14ac:dyDescent="0.2">
      <c r="A64" s="346">
        <f t="shared" si="19"/>
        <v>8</v>
      </c>
      <c r="B64" s="195"/>
      <c r="C64" s="324" t="str">
        <f t="shared" si="20"/>
        <v/>
      </c>
      <c r="D64" s="322" t="str">
        <f t="shared" si="15"/>
        <v/>
      </c>
      <c r="E64" s="323" t="str">
        <f t="shared" si="16"/>
        <v/>
      </c>
      <c r="F64" s="182"/>
      <c r="G64" s="183"/>
      <c r="H64" s="183"/>
      <c r="I64" s="184"/>
      <c r="J64" s="184"/>
      <c r="K64" s="184"/>
      <c r="L64" s="184"/>
      <c r="M64" s="175"/>
      <c r="N64" s="176"/>
      <c r="O64" s="177"/>
      <c r="P64" s="177"/>
      <c r="Q64" s="757"/>
      <c r="R64" s="758"/>
      <c r="S64" s="758"/>
      <c r="T64" s="758"/>
      <c r="U64" s="759"/>
      <c r="V64" s="176"/>
      <c r="W64" s="185"/>
      <c r="X64" s="186"/>
      <c r="Y64" s="394">
        <f t="shared" si="17"/>
        <v>0</v>
      </c>
      <c r="Z64" s="394">
        <f t="shared" si="18"/>
        <v>0</v>
      </c>
    </row>
    <row r="65" spans="1:26" x14ac:dyDescent="0.2">
      <c r="A65" s="346">
        <f t="shared" si="19"/>
        <v>9</v>
      </c>
      <c r="B65" s="195"/>
      <c r="C65" s="324" t="str">
        <f t="shared" si="20"/>
        <v/>
      </c>
      <c r="D65" s="322" t="str">
        <f t="shared" si="15"/>
        <v/>
      </c>
      <c r="E65" s="323" t="str">
        <f t="shared" si="16"/>
        <v/>
      </c>
      <c r="F65" s="182"/>
      <c r="G65" s="183"/>
      <c r="H65" s="183"/>
      <c r="I65" s="184"/>
      <c r="J65" s="184"/>
      <c r="K65" s="184"/>
      <c r="L65" s="184"/>
      <c r="M65" s="175"/>
      <c r="N65" s="176"/>
      <c r="O65" s="177"/>
      <c r="P65" s="177"/>
      <c r="Q65" s="757"/>
      <c r="R65" s="758"/>
      <c r="S65" s="758"/>
      <c r="T65" s="758"/>
      <c r="U65" s="759"/>
      <c r="V65" s="176"/>
      <c r="W65" s="185"/>
      <c r="X65" s="186"/>
      <c r="Y65" s="394">
        <f t="shared" si="17"/>
        <v>0</v>
      </c>
      <c r="Z65" s="394">
        <f t="shared" si="18"/>
        <v>0</v>
      </c>
    </row>
    <row r="66" spans="1:26" x14ac:dyDescent="0.2">
      <c r="A66" s="346">
        <f t="shared" si="19"/>
        <v>10</v>
      </c>
      <c r="B66" s="195"/>
      <c r="C66" s="324" t="str">
        <f t="shared" si="20"/>
        <v/>
      </c>
      <c r="D66" s="322" t="str">
        <f t="shared" si="15"/>
        <v/>
      </c>
      <c r="E66" s="323" t="str">
        <f t="shared" si="16"/>
        <v/>
      </c>
      <c r="F66" s="182"/>
      <c r="G66" s="183"/>
      <c r="H66" s="183"/>
      <c r="I66" s="184"/>
      <c r="J66" s="184"/>
      <c r="K66" s="184"/>
      <c r="L66" s="184"/>
      <c r="M66" s="175"/>
      <c r="N66" s="176"/>
      <c r="O66" s="177"/>
      <c r="P66" s="177"/>
      <c r="Q66" s="757"/>
      <c r="R66" s="758"/>
      <c r="S66" s="758"/>
      <c r="T66" s="758"/>
      <c r="U66" s="759"/>
      <c r="V66" s="176"/>
      <c r="W66" s="185"/>
      <c r="X66" s="186"/>
      <c r="Y66" s="394">
        <f t="shared" si="17"/>
        <v>0</v>
      </c>
      <c r="Z66" s="394">
        <f t="shared" si="18"/>
        <v>0</v>
      </c>
    </row>
    <row r="67" spans="1:26" x14ac:dyDescent="0.2">
      <c r="A67" s="346">
        <f t="shared" si="19"/>
        <v>11</v>
      </c>
      <c r="B67" s="195"/>
      <c r="C67" s="324" t="str">
        <f t="shared" si="20"/>
        <v/>
      </c>
      <c r="D67" s="322" t="str">
        <f t="shared" si="15"/>
        <v/>
      </c>
      <c r="E67" s="323" t="str">
        <f t="shared" si="16"/>
        <v/>
      </c>
      <c r="F67" s="182"/>
      <c r="G67" s="183"/>
      <c r="H67" s="183"/>
      <c r="I67" s="184"/>
      <c r="J67" s="184"/>
      <c r="K67" s="184"/>
      <c r="L67" s="184"/>
      <c r="M67" s="175"/>
      <c r="N67" s="176"/>
      <c r="O67" s="177"/>
      <c r="P67" s="177"/>
      <c r="Q67" s="757"/>
      <c r="R67" s="758"/>
      <c r="S67" s="758"/>
      <c r="T67" s="758"/>
      <c r="U67" s="759"/>
      <c r="V67" s="176"/>
      <c r="W67" s="185"/>
      <c r="X67" s="186"/>
      <c r="Y67" s="394">
        <f t="shared" si="17"/>
        <v>0</v>
      </c>
      <c r="Z67" s="394">
        <f t="shared" si="18"/>
        <v>0</v>
      </c>
    </row>
    <row r="68" spans="1:26" x14ac:dyDescent="0.2">
      <c r="A68" s="346">
        <f t="shared" si="19"/>
        <v>12</v>
      </c>
      <c r="B68" s="196"/>
      <c r="C68" s="324" t="str">
        <f t="shared" si="20"/>
        <v/>
      </c>
      <c r="D68" s="322" t="str">
        <f t="shared" si="15"/>
        <v/>
      </c>
      <c r="E68" s="323" t="str">
        <f t="shared" si="16"/>
        <v/>
      </c>
      <c r="F68" s="173"/>
      <c r="G68" s="174"/>
      <c r="H68" s="174"/>
      <c r="I68" s="175"/>
      <c r="J68" s="175"/>
      <c r="K68" s="175"/>
      <c r="L68" s="175"/>
      <c r="M68" s="175"/>
      <c r="N68" s="176"/>
      <c r="O68" s="177"/>
      <c r="P68" s="177"/>
      <c r="Q68" s="781"/>
      <c r="R68" s="782"/>
      <c r="S68" s="782"/>
      <c r="T68" s="782"/>
      <c r="U68" s="783"/>
      <c r="V68" s="178"/>
      <c r="W68" s="179"/>
      <c r="X68" s="186"/>
      <c r="Y68" s="394">
        <f t="shared" si="17"/>
        <v>0</v>
      </c>
      <c r="Z68" s="394">
        <f t="shared" si="18"/>
        <v>0</v>
      </c>
    </row>
    <row r="69" spans="1:26" x14ac:dyDescent="0.2">
      <c r="A69" s="346">
        <f t="shared" si="19"/>
        <v>13</v>
      </c>
      <c r="B69" s="197"/>
      <c r="C69" s="324" t="str">
        <f t="shared" si="20"/>
        <v/>
      </c>
      <c r="D69" s="322" t="str">
        <f t="shared" si="15"/>
        <v/>
      </c>
      <c r="E69" s="323" t="str">
        <f t="shared" si="16"/>
        <v/>
      </c>
      <c r="F69" s="182"/>
      <c r="G69" s="183"/>
      <c r="H69" s="183"/>
      <c r="I69" s="184"/>
      <c r="J69" s="184"/>
      <c r="K69" s="184"/>
      <c r="L69" s="184"/>
      <c r="M69" s="175"/>
      <c r="N69" s="176"/>
      <c r="O69" s="177"/>
      <c r="P69" s="177"/>
      <c r="Q69" s="757"/>
      <c r="R69" s="758"/>
      <c r="S69" s="758"/>
      <c r="T69" s="758"/>
      <c r="U69" s="759"/>
      <c r="V69" s="176"/>
      <c r="W69" s="185"/>
      <c r="X69" s="186"/>
      <c r="Y69" s="394">
        <f t="shared" si="17"/>
        <v>0</v>
      </c>
      <c r="Z69" s="394">
        <f t="shared" si="18"/>
        <v>0</v>
      </c>
    </row>
    <row r="70" spans="1:26" x14ac:dyDescent="0.2">
      <c r="A70" s="346">
        <f t="shared" si="19"/>
        <v>14</v>
      </c>
      <c r="B70" s="197"/>
      <c r="C70" s="324" t="str">
        <f t="shared" si="20"/>
        <v/>
      </c>
      <c r="D70" s="322" t="str">
        <f t="shared" si="15"/>
        <v/>
      </c>
      <c r="E70" s="323" t="str">
        <f t="shared" si="16"/>
        <v/>
      </c>
      <c r="F70" s="182"/>
      <c r="G70" s="183"/>
      <c r="H70" s="183"/>
      <c r="I70" s="187"/>
      <c r="J70" s="187"/>
      <c r="K70" s="187"/>
      <c r="L70" s="187"/>
      <c r="M70" s="175"/>
      <c r="N70" s="176"/>
      <c r="O70" s="177"/>
      <c r="P70" s="177"/>
      <c r="Q70" s="757"/>
      <c r="R70" s="758"/>
      <c r="S70" s="758"/>
      <c r="T70" s="758"/>
      <c r="U70" s="759"/>
      <c r="V70" s="176"/>
      <c r="W70" s="185"/>
      <c r="X70" s="186"/>
      <c r="Y70" s="394">
        <f t="shared" si="17"/>
        <v>0</v>
      </c>
      <c r="Z70" s="394">
        <f t="shared" si="18"/>
        <v>0</v>
      </c>
    </row>
    <row r="71" spans="1:26" x14ac:dyDescent="0.2">
      <c r="A71" s="346">
        <f t="shared" si="19"/>
        <v>15</v>
      </c>
      <c r="B71" s="197"/>
      <c r="C71" s="324" t="str">
        <f t="shared" si="20"/>
        <v/>
      </c>
      <c r="D71" s="322" t="str">
        <f t="shared" si="15"/>
        <v/>
      </c>
      <c r="E71" s="323" t="str">
        <f t="shared" si="16"/>
        <v/>
      </c>
      <c r="F71" s="182"/>
      <c r="G71" s="183"/>
      <c r="H71" s="183"/>
      <c r="I71" s="187"/>
      <c r="J71" s="187"/>
      <c r="K71" s="187"/>
      <c r="L71" s="187"/>
      <c r="M71" s="175"/>
      <c r="N71" s="176"/>
      <c r="O71" s="177"/>
      <c r="P71" s="177"/>
      <c r="Q71" s="757"/>
      <c r="R71" s="758"/>
      <c r="S71" s="758"/>
      <c r="T71" s="758"/>
      <c r="U71" s="759"/>
      <c r="V71" s="176"/>
      <c r="W71" s="185"/>
      <c r="X71" s="186"/>
      <c r="Y71" s="394">
        <f t="shared" si="17"/>
        <v>0</v>
      </c>
      <c r="Z71" s="394">
        <f t="shared" si="18"/>
        <v>0</v>
      </c>
    </row>
    <row r="72" spans="1:26" x14ac:dyDescent="0.2">
      <c r="A72" s="346">
        <f t="shared" si="19"/>
        <v>16</v>
      </c>
      <c r="B72" s="197"/>
      <c r="C72" s="324" t="str">
        <f t="shared" si="20"/>
        <v/>
      </c>
      <c r="D72" s="322" t="str">
        <f t="shared" si="15"/>
        <v/>
      </c>
      <c r="E72" s="323" t="str">
        <f t="shared" si="16"/>
        <v/>
      </c>
      <c r="F72" s="182"/>
      <c r="G72" s="183"/>
      <c r="H72" s="183"/>
      <c r="I72" s="184"/>
      <c r="J72" s="184"/>
      <c r="K72" s="184"/>
      <c r="L72" s="184"/>
      <c r="M72" s="175"/>
      <c r="N72" s="176"/>
      <c r="O72" s="177"/>
      <c r="P72" s="177"/>
      <c r="Q72" s="757"/>
      <c r="R72" s="758"/>
      <c r="S72" s="758"/>
      <c r="T72" s="758"/>
      <c r="U72" s="759"/>
      <c r="V72" s="176"/>
      <c r="W72" s="185"/>
      <c r="X72" s="186"/>
      <c r="Y72" s="394">
        <f t="shared" si="17"/>
        <v>0</v>
      </c>
      <c r="Z72" s="394">
        <f t="shared" si="18"/>
        <v>0</v>
      </c>
    </row>
    <row r="73" spans="1:26" x14ac:dyDescent="0.2">
      <c r="A73" s="346">
        <f t="shared" si="19"/>
        <v>17</v>
      </c>
      <c r="B73" s="197"/>
      <c r="C73" s="324" t="str">
        <f t="shared" si="20"/>
        <v/>
      </c>
      <c r="D73" s="322" t="str">
        <f t="shared" si="15"/>
        <v/>
      </c>
      <c r="E73" s="323" t="str">
        <f t="shared" si="16"/>
        <v/>
      </c>
      <c r="F73" s="182"/>
      <c r="G73" s="183"/>
      <c r="H73" s="183"/>
      <c r="I73" s="184"/>
      <c r="J73" s="184"/>
      <c r="K73" s="184"/>
      <c r="L73" s="184"/>
      <c r="M73" s="175"/>
      <c r="N73" s="176"/>
      <c r="O73" s="177"/>
      <c r="P73" s="177"/>
      <c r="Q73" s="757"/>
      <c r="R73" s="758"/>
      <c r="S73" s="758"/>
      <c r="T73" s="758"/>
      <c r="U73" s="759"/>
      <c r="V73" s="176"/>
      <c r="W73" s="185"/>
      <c r="X73" s="186"/>
      <c r="Y73" s="394">
        <f t="shared" si="17"/>
        <v>0</v>
      </c>
      <c r="Z73" s="394">
        <f t="shared" si="18"/>
        <v>0</v>
      </c>
    </row>
    <row r="74" spans="1:26" x14ac:dyDescent="0.2">
      <c r="A74" s="346">
        <f t="shared" si="19"/>
        <v>18</v>
      </c>
      <c r="B74" s="197"/>
      <c r="C74" s="324" t="str">
        <f t="shared" si="20"/>
        <v/>
      </c>
      <c r="D74" s="322" t="str">
        <f t="shared" si="15"/>
        <v/>
      </c>
      <c r="E74" s="323" t="str">
        <f t="shared" si="16"/>
        <v/>
      </c>
      <c r="F74" s="182"/>
      <c r="G74" s="183"/>
      <c r="H74" s="183"/>
      <c r="I74" s="184"/>
      <c r="J74" s="184"/>
      <c r="K74" s="184"/>
      <c r="L74" s="184"/>
      <c r="M74" s="175"/>
      <c r="N74" s="176"/>
      <c r="O74" s="177"/>
      <c r="P74" s="177"/>
      <c r="Q74" s="757"/>
      <c r="R74" s="758"/>
      <c r="S74" s="758"/>
      <c r="T74" s="758"/>
      <c r="U74" s="759"/>
      <c r="V74" s="176"/>
      <c r="W74" s="185"/>
      <c r="X74" s="186"/>
      <c r="Y74" s="394">
        <f t="shared" si="17"/>
        <v>0</v>
      </c>
      <c r="Z74" s="394">
        <f t="shared" si="18"/>
        <v>0</v>
      </c>
    </row>
    <row r="75" spans="1:26" x14ac:dyDescent="0.2">
      <c r="A75" s="346">
        <f t="shared" si="19"/>
        <v>19</v>
      </c>
      <c r="B75" s="197"/>
      <c r="C75" s="324" t="str">
        <f t="shared" si="20"/>
        <v/>
      </c>
      <c r="D75" s="322" t="str">
        <f t="shared" si="15"/>
        <v/>
      </c>
      <c r="E75" s="323" t="str">
        <f t="shared" si="16"/>
        <v/>
      </c>
      <c r="F75" s="182"/>
      <c r="G75" s="183"/>
      <c r="H75" s="183"/>
      <c r="I75" s="184"/>
      <c r="J75" s="184"/>
      <c r="K75" s="184"/>
      <c r="L75" s="184"/>
      <c r="M75" s="175"/>
      <c r="N75" s="176"/>
      <c r="O75" s="177"/>
      <c r="P75" s="177"/>
      <c r="Q75" s="757"/>
      <c r="R75" s="758"/>
      <c r="S75" s="758"/>
      <c r="T75" s="758"/>
      <c r="U75" s="759"/>
      <c r="V75" s="176"/>
      <c r="W75" s="185"/>
      <c r="X75" s="186"/>
      <c r="Y75" s="394">
        <f t="shared" si="17"/>
        <v>0</v>
      </c>
      <c r="Z75" s="394">
        <f t="shared" si="18"/>
        <v>0</v>
      </c>
    </row>
    <row r="76" spans="1:26" x14ac:dyDescent="0.2">
      <c r="A76" s="346">
        <f t="shared" si="19"/>
        <v>20</v>
      </c>
      <c r="B76" s="195"/>
      <c r="C76" s="324" t="str">
        <f t="shared" si="20"/>
        <v/>
      </c>
      <c r="D76" s="322" t="str">
        <f t="shared" si="15"/>
        <v/>
      </c>
      <c r="E76" s="323" t="str">
        <f t="shared" si="16"/>
        <v/>
      </c>
      <c r="F76" s="182"/>
      <c r="G76" s="183"/>
      <c r="H76" s="183"/>
      <c r="I76" s="184"/>
      <c r="J76" s="184"/>
      <c r="K76" s="184"/>
      <c r="L76" s="184"/>
      <c r="M76" s="175"/>
      <c r="N76" s="176"/>
      <c r="O76" s="177"/>
      <c r="P76" s="177"/>
      <c r="Q76" s="757"/>
      <c r="R76" s="758"/>
      <c r="S76" s="758"/>
      <c r="T76" s="758"/>
      <c r="U76" s="759"/>
      <c r="V76" s="176"/>
      <c r="W76" s="185"/>
      <c r="X76" s="186"/>
      <c r="Y76" s="394">
        <f t="shared" si="17"/>
        <v>0</v>
      </c>
      <c r="Z76" s="394">
        <f t="shared" si="18"/>
        <v>0</v>
      </c>
    </row>
    <row r="77" spans="1:26" x14ac:dyDescent="0.2">
      <c r="A77" s="346">
        <f t="shared" si="19"/>
        <v>21</v>
      </c>
      <c r="B77" s="195"/>
      <c r="C77" s="324" t="str">
        <f t="shared" si="20"/>
        <v/>
      </c>
      <c r="D77" s="322" t="str">
        <f t="shared" si="15"/>
        <v/>
      </c>
      <c r="E77" s="323" t="str">
        <f t="shared" si="16"/>
        <v/>
      </c>
      <c r="F77" s="182"/>
      <c r="G77" s="183"/>
      <c r="H77" s="183"/>
      <c r="I77" s="184"/>
      <c r="J77" s="184"/>
      <c r="K77" s="184"/>
      <c r="L77" s="184"/>
      <c r="M77" s="175"/>
      <c r="N77" s="176"/>
      <c r="O77" s="177"/>
      <c r="P77" s="177"/>
      <c r="Q77" s="757"/>
      <c r="R77" s="758"/>
      <c r="S77" s="758"/>
      <c r="T77" s="758"/>
      <c r="U77" s="759"/>
      <c r="V77" s="176"/>
      <c r="W77" s="185"/>
      <c r="X77" s="186"/>
      <c r="Y77" s="394">
        <f t="shared" si="17"/>
        <v>0</v>
      </c>
      <c r="Z77" s="394">
        <f t="shared" si="18"/>
        <v>0</v>
      </c>
    </row>
    <row r="78" spans="1:26" x14ac:dyDescent="0.2">
      <c r="A78" s="346">
        <f t="shared" si="19"/>
        <v>22</v>
      </c>
      <c r="B78" s="195"/>
      <c r="C78" s="324" t="str">
        <f t="shared" si="20"/>
        <v/>
      </c>
      <c r="D78" s="322" t="str">
        <f t="shared" si="15"/>
        <v/>
      </c>
      <c r="E78" s="323" t="str">
        <f t="shared" si="16"/>
        <v/>
      </c>
      <c r="F78" s="182"/>
      <c r="G78" s="183"/>
      <c r="H78" s="183"/>
      <c r="I78" s="184"/>
      <c r="J78" s="184"/>
      <c r="K78" s="184"/>
      <c r="L78" s="184"/>
      <c r="M78" s="175"/>
      <c r="N78" s="176"/>
      <c r="O78" s="177"/>
      <c r="P78" s="177"/>
      <c r="Q78" s="757"/>
      <c r="R78" s="758"/>
      <c r="S78" s="758"/>
      <c r="T78" s="758"/>
      <c r="U78" s="759"/>
      <c r="V78" s="176"/>
      <c r="W78" s="185"/>
      <c r="X78" s="186"/>
      <c r="Y78" s="394">
        <f t="shared" si="17"/>
        <v>0</v>
      </c>
      <c r="Z78" s="394">
        <f t="shared" si="18"/>
        <v>0</v>
      </c>
    </row>
    <row r="79" spans="1:26" x14ac:dyDescent="0.2">
      <c r="A79" s="346">
        <f t="shared" si="19"/>
        <v>23</v>
      </c>
      <c r="B79" s="195"/>
      <c r="C79" s="324" t="str">
        <f t="shared" si="20"/>
        <v/>
      </c>
      <c r="D79" s="322" t="str">
        <f t="shared" si="15"/>
        <v/>
      </c>
      <c r="E79" s="323" t="str">
        <f t="shared" si="16"/>
        <v/>
      </c>
      <c r="F79" s="182"/>
      <c r="G79" s="183"/>
      <c r="H79" s="183"/>
      <c r="I79" s="184"/>
      <c r="J79" s="184"/>
      <c r="K79" s="184"/>
      <c r="L79" s="184"/>
      <c r="M79" s="175"/>
      <c r="N79" s="176"/>
      <c r="O79" s="177"/>
      <c r="P79" s="177"/>
      <c r="Q79" s="757"/>
      <c r="R79" s="758"/>
      <c r="S79" s="758"/>
      <c r="T79" s="758"/>
      <c r="U79" s="759"/>
      <c r="V79" s="176"/>
      <c r="W79" s="185"/>
      <c r="X79" s="186"/>
      <c r="Y79" s="394">
        <f t="shared" si="17"/>
        <v>0</v>
      </c>
      <c r="Z79" s="394">
        <f t="shared" si="18"/>
        <v>0</v>
      </c>
    </row>
    <row r="80" spans="1:26" x14ac:dyDescent="0.2">
      <c r="A80" s="346">
        <f t="shared" si="19"/>
        <v>24</v>
      </c>
      <c r="B80" s="195"/>
      <c r="C80" s="324" t="str">
        <f t="shared" si="20"/>
        <v/>
      </c>
      <c r="D80" s="322" t="str">
        <f t="shared" si="15"/>
        <v/>
      </c>
      <c r="E80" s="323" t="str">
        <f t="shared" si="16"/>
        <v/>
      </c>
      <c r="F80" s="182"/>
      <c r="G80" s="183"/>
      <c r="H80" s="183"/>
      <c r="I80" s="184"/>
      <c r="J80" s="184"/>
      <c r="K80" s="184"/>
      <c r="L80" s="184"/>
      <c r="M80" s="175"/>
      <c r="N80" s="176"/>
      <c r="O80" s="177"/>
      <c r="P80" s="177"/>
      <c r="Q80" s="757"/>
      <c r="R80" s="758"/>
      <c r="S80" s="758"/>
      <c r="T80" s="758"/>
      <c r="U80" s="759"/>
      <c r="V80" s="176"/>
      <c r="W80" s="185"/>
      <c r="X80" s="186"/>
      <c r="Y80" s="394">
        <f t="shared" si="17"/>
        <v>0</v>
      </c>
      <c r="Z80" s="394">
        <f t="shared" si="18"/>
        <v>0</v>
      </c>
    </row>
    <row r="81" spans="1:26" x14ac:dyDescent="0.2">
      <c r="A81" s="346">
        <f t="shared" si="19"/>
        <v>25</v>
      </c>
      <c r="B81" s="195"/>
      <c r="C81" s="324" t="str">
        <f t="shared" si="20"/>
        <v/>
      </c>
      <c r="D81" s="322" t="str">
        <f t="shared" si="15"/>
        <v/>
      </c>
      <c r="E81" s="323" t="str">
        <f t="shared" si="16"/>
        <v/>
      </c>
      <c r="F81" s="182"/>
      <c r="G81" s="183"/>
      <c r="H81" s="183"/>
      <c r="I81" s="184"/>
      <c r="J81" s="184"/>
      <c r="K81" s="184"/>
      <c r="L81" s="184"/>
      <c r="M81" s="175"/>
      <c r="N81" s="176"/>
      <c r="O81" s="177"/>
      <c r="P81" s="177"/>
      <c r="Q81" s="757"/>
      <c r="R81" s="758"/>
      <c r="S81" s="758"/>
      <c r="T81" s="758"/>
      <c r="U81" s="759"/>
      <c r="V81" s="176"/>
      <c r="W81" s="185"/>
      <c r="X81" s="186"/>
      <c r="Y81" s="394">
        <f t="shared" si="17"/>
        <v>0</v>
      </c>
      <c r="Z81" s="394">
        <f t="shared" si="18"/>
        <v>0</v>
      </c>
    </row>
    <row r="82" spans="1:26" x14ac:dyDescent="0.2">
      <c r="A82" s="346">
        <f t="shared" si="19"/>
        <v>26</v>
      </c>
      <c r="B82" s="195"/>
      <c r="C82" s="324" t="str">
        <f t="shared" si="20"/>
        <v/>
      </c>
      <c r="D82" s="322" t="str">
        <f t="shared" si="15"/>
        <v/>
      </c>
      <c r="E82" s="323" t="str">
        <f t="shared" si="16"/>
        <v/>
      </c>
      <c r="F82" s="182"/>
      <c r="G82" s="183"/>
      <c r="H82" s="183"/>
      <c r="I82" s="184"/>
      <c r="J82" s="184"/>
      <c r="K82" s="184"/>
      <c r="L82" s="184"/>
      <c r="M82" s="175"/>
      <c r="N82" s="176"/>
      <c r="O82" s="177"/>
      <c r="P82" s="177"/>
      <c r="Q82" s="757"/>
      <c r="R82" s="758"/>
      <c r="S82" s="758"/>
      <c r="T82" s="758"/>
      <c r="U82" s="759"/>
      <c r="V82" s="176"/>
      <c r="W82" s="185"/>
      <c r="X82" s="186"/>
      <c r="Y82" s="394">
        <f t="shared" si="17"/>
        <v>0</v>
      </c>
      <c r="Z82" s="394">
        <f t="shared" si="18"/>
        <v>0</v>
      </c>
    </row>
    <row r="83" spans="1:26" x14ac:dyDescent="0.2">
      <c r="A83" s="346">
        <f t="shared" si="19"/>
        <v>27</v>
      </c>
      <c r="B83" s="195"/>
      <c r="C83" s="324" t="str">
        <f t="shared" si="20"/>
        <v/>
      </c>
      <c r="D83" s="322" t="str">
        <f t="shared" si="15"/>
        <v/>
      </c>
      <c r="E83" s="323" t="str">
        <f t="shared" si="16"/>
        <v/>
      </c>
      <c r="F83" s="182"/>
      <c r="G83" s="183"/>
      <c r="H83" s="183"/>
      <c r="I83" s="184"/>
      <c r="J83" s="184"/>
      <c r="K83" s="184"/>
      <c r="L83" s="184"/>
      <c r="M83" s="175"/>
      <c r="N83" s="176"/>
      <c r="O83" s="177"/>
      <c r="P83" s="177"/>
      <c r="Q83" s="757"/>
      <c r="R83" s="758"/>
      <c r="S83" s="758"/>
      <c r="T83" s="758"/>
      <c r="U83" s="759"/>
      <c r="V83" s="176"/>
      <c r="W83" s="185"/>
      <c r="X83" s="186"/>
      <c r="Y83" s="394">
        <f t="shared" si="17"/>
        <v>0</v>
      </c>
      <c r="Z83" s="394">
        <f t="shared" si="18"/>
        <v>0</v>
      </c>
    </row>
    <row r="84" spans="1:26" x14ac:dyDescent="0.2">
      <c r="A84" s="346">
        <f t="shared" si="19"/>
        <v>28</v>
      </c>
      <c r="B84" s="195"/>
      <c r="C84" s="324" t="str">
        <f t="shared" si="20"/>
        <v/>
      </c>
      <c r="D84" s="322" t="str">
        <f t="shared" si="15"/>
        <v/>
      </c>
      <c r="E84" s="323" t="str">
        <f t="shared" si="16"/>
        <v/>
      </c>
      <c r="F84" s="182"/>
      <c r="G84" s="183"/>
      <c r="H84" s="183"/>
      <c r="I84" s="184"/>
      <c r="J84" s="184"/>
      <c r="K84" s="184"/>
      <c r="L84" s="184"/>
      <c r="M84" s="175"/>
      <c r="N84" s="176"/>
      <c r="O84" s="177"/>
      <c r="P84" s="177"/>
      <c r="Q84" s="757"/>
      <c r="R84" s="758"/>
      <c r="S84" s="758"/>
      <c r="T84" s="758"/>
      <c r="U84" s="759"/>
      <c r="V84" s="176"/>
      <c r="W84" s="185"/>
      <c r="X84" s="186"/>
      <c r="Y84" s="394">
        <f t="shared" si="17"/>
        <v>0</v>
      </c>
      <c r="Z84" s="394">
        <f t="shared" si="18"/>
        <v>0</v>
      </c>
    </row>
    <row r="85" spans="1:26" x14ac:dyDescent="0.2">
      <c r="A85" s="346">
        <f t="shared" si="19"/>
        <v>29</v>
      </c>
      <c r="B85" s="195"/>
      <c r="C85" s="324" t="str">
        <f t="shared" si="20"/>
        <v/>
      </c>
      <c r="D85" s="322" t="str">
        <f t="shared" si="15"/>
        <v/>
      </c>
      <c r="E85" s="323" t="str">
        <f t="shared" si="16"/>
        <v/>
      </c>
      <c r="F85" s="182"/>
      <c r="G85" s="183"/>
      <c r="H85" s="183"/>
      <c r="I85" s="184"/>
      <c r="J85" s="184"/>
      <c r="K85" s="184"/>
      <c r="L85" s="184"/>
      <c r="M85" s="175"/>
      <c r="N85" s="176"/>
      <c r="O85" s="177"/>
      <c r="P85" s="177"/>
      <c r="Q85" s="757"/>
      <c r="R85" s="758"/>
      <c r="S85" s="758"/>
      <c r="T85" s="758"/>
      <c r="U85" s="759"/>
      <c r="V85" s="176"/>
      <c r="W85" s="185"/>
      <c r="X85" s="186"/>
      <c r="Y85" s="394">
        <f t="shared" si="17"/>
        <v>0</v>
      </c>
      <c r="Z85" s="394">
        <f t="shared" si="18"/>
        <v>0</v>
      </c>
    </row>
    <row r="86" spans="1:26" x14ac:dyDescent="0.2">
      <c r="A86" s="346">
        <f t="shared" si="19"/>
        <v>30</v>
      </c>
      <c r="B86" s="195"/>
      <c r="C86" s="324" t="str">
        <f t="shared" si="20"/>
        <v/>
      </c>
      <c r="D86" s="322" t="str">
        <f t="shared" si="15"/>
        <v/>
      </c>
      <c r="E86" s="323" t="str">
        <f t="shared" si="16"/>
        <v/>
      </c>
      <c r="F86" s="182"/>
      <c r="G86" s="183"/>
      <c r="H86" s="183"/>
      <c r="I86" s="184"/>
      <c r="J86" s="184"/>
      <c r="K86" s="184"/>
      <c r="L86" s="184"/>
      <c r="M86" s="175"/>
      <c r="N86" s="176"/>
      <c r="O86" s="177"/>
      <c r="P86" s="177"/>
      <c r="Q86" s="757"/>
      <c r="R86" s="758"/>
      <c r="S86" s="758"/>
      <c r="T86" s="758"/>
      <c r="U86" s="759"/>
      <c r="V86" s="176"/>
      <c r="W86" s="185"/>
      <c r="X86" s="186"/>
      <c r="Y86" s="394">
        <f t="shared" si="17"/>
        <v>0</v>
      </c>
      <c r="Z86" s="394">
        <f t="shared" si="18"/>
        <v>0</v>
      </c>
    </row>
    <row r="87" spans="1:26" x14ac:dyDescent="0.2">
      <c r="A87" s="346">
        <f t="shared" si="19"/>
        <v>31</v>
      </c>
      <c r="B87" s="195"/>
      <c r="C87" s="324" t="str">
        <f t="shared" si="20"/>
        <v/>
      </c>
      <c r="D87" s="322" t="str">
        <f t="shared" si="15"/>
        <v/>
      </c>
      <c r="E87" s="323" t="str">
        <f t="shared" si="16"/>
        <v/>
      </c>
      <c r="F87" s="182"/>
      <c r="G87" s="183"/>
      <c r="H87" s="183"/>
      <c r="I87" s="184"/>
      <c r="J87" s="184"/>
      <c r="K87" s="184"/>
      <c r="L87" s="184"/>
      <c r="M87" s="175"/>
      <c r="N87" s="176"/>
      <c r="O87" s="177"/>
      <c r="P87" s="177"/>
      <c r="Q87" s="757"/>
      <c r="R87" s="758"/>
      <c r="S87" s="758"/>
      <c r="T87" s="758"/>
      <c r="U87" s="759"/>
      <c r="V87" s="176"/>
      <c r="W87" s="185"/>
      <c r="X87" s="186"/>
      <c r="Y87" s="394">
        <f t="shared" si="17"/>
        <v>0</v>
      </c>
      <c r="Z87" s="394">
        <f t="shared" si="18"/>
        <v>0</v>
      </c>
    </row>
    <row r="88" spans="1:26" x14ac:dyDescent="0.2">
      <c r="A88" s="346">
        <f t="shared" si="19"/>
        <v>32</v>
      </c>
      <c r="B88" s="195"/>
      <c r="C88" s="324" t="str">
        <f t="shared" si="20"/>
        <v/>
      </c>
      <c r="D88" s="322" t="str">
        <f t="shared" si="15"/>
        <v/>
      </c>
      <c r="E88" s="323" t="str">
        <f t="shared" si="16"/>
        <v/>
      </c>
      <c r="F88" s="182"/>
      <c r="G88" s="183"/>
      <c r="H88" s="183"/>
      <c r="I88" s="184"/>
      <c r="J88" s="184"/>
      <c r="K88" s="184"/>
      <c r="L88" s="184"/>
      <c r="M88" s="175"/>
      <c r="N88" s="176"/>
      <c r="O88" s="177"/>
      <c r="P88" s="177"/>
      <c r="Q88" s="757"/>
      <c r="R88" s="758"/>
      <c r="S88" s="758"/>
      <c r="T88" s="758"/>
      <c r="U88" s="759"/>
      <c r="V88" s="176"/>
      <c r="W88" s="185"/>
      <c r="X88" s="186"/>
      <c r="Y88" s="394">
        <f t="shared" si="17"/>
        <v>0</v>
      </c>
      <c r="Z88" s="394">
        <f t="shared" si="18"/>
        <v>0</v>
      </c>
    </row>
    <row r="89" spans="1:26" x14ac:dyDescent="0.2">
      <c r="A89" s="346">
        <f t="shared" si="19"/>
        <v>33</v>
      </c>
      <c r="B89" s="195"/>
      <c r="C89" s="324" t="str">
        <f t="shared" si="20"/>
        <v/>
      </c>
      <c r="D89" s="322" t="str">
        <f t="shared" si="15"/>
        <v/>
      </c>
      <c r="E89" s="323" t="str">
        <f t="shared" si="16"/>
        <v/>
      </c>
      <c r="F89" s="182"/>
      <c r="G89" s="183"/>
      <c r="H89" s="183"/>
      <c r="I89" s="184"/>
      <c r="J89" s="184"/>
      <c r="K89" s="184"/>
      <c r="L89" s="184"/>
      <c r="M89" s="175"/>
      <c r="N89" s="176"/>
      <c r="O89" s="177"/>
      <c r="P89" s="177"/>
      <c r="Q89" s="757"/>
      <c r="R89" s="758"/>
      <c r="S89" s="758"/>
      <c r="T89" s="758"/>
      <c r="U89" s="759"/>
      <c r="V89" s="176"/>
      <c r="W89" s="185"/>
      <c r="X89" s="186"/>
      <c r="Y89" s="394">
        <f t="shared" si="17"/>
        <v>0</v>
      </c>
      <c r="Z89" s="394">
        <f t="shared" si="18"/>
        <v>0</v>
      </c>
    </row>
    <row r="90" spans="1:26" x14ac:dyDescent="0.2">
      <c r="A90" s="346">
        <f t="shared" si="19"/>
        <v>34</v>
      </c>
      <c r="B90" s="195"/>
      <c r="C90" s="324" t="str">
        <f t="shared" si="20"/>
        <v/>
      </c>
      <c r="D90" s="322" t="str">
        <f t="shared" si="15"/>
        <v/>
      </c>
      <c r="E90" s="323" t="str">
        <f t="shared" si="16"/>
        <v/>
      </c>
      <c r="F90" s="182"/>
      <c r="G90" s="183"/>
      <c r="H90" s="183"/>
      <c r="I90" s="184"/>
      <c r="J90" s="184"/>
      <c r="K90" s="184"/>
      <c r="L90" s="184"/>
      <c r="M90" s="175"/>
      <c r="N90" s="176"/>
      <c r="O90" s="177"/>
      <c r="P90" s="177"/>
      <c r="Q90" s="757"/>
      <c r="R90" s="758"/>
      <c r="S90" s="758"/>
      <c r="T90" s="758"/>
      <c r="U90" s="759"/>
      <c r="V90" s="176"/>
      <c r="W90" s="185"/>
      <c r="X90" s="186"/>
      <c r="Y90" s="394">
        <f t="shared" si="17"/>
        <v>0</v>
      </c>
      <c r="Z90" s="394">
        <f t="shared" si="18"/>
        <v>0</v>
      </c>
    </row>
    <row r="91" spans="1:26" x14ac:dyDescent="0.2">
      <c r="A91" s="346">
        <f t="shared" si="19"/>
        <v>35</v>
      </c>
      <c r="B91" s="195"/>
      <c r="C91" s="324" t="str">
        <f t="shared" si="20"/>
        <v/>
      </c>
      <c r="D91" s="322" t="str">
        <f t="shared" si="15"/>
        <v/>
      </c>
      <c r="E91" s="323" t="str">
        <f t="shared" si="16"/>
        <v/>
      </c>
      <c r="F91" s="182"/>
      <c r="G91" s="183"/>
      <c r="H91" s="183"/>
      <c r="I91" s="184"/>
      <c r="J91" s="184"/>
      <c r="K91" s="184"/>
      <c r="L91" s="184"/>
      <c r="M91" s="175"/>
      <c r="N91" s="176"/>
      <c r="O91" s="177"/>
      <c r="P91" s="177"/>
      <c r="Q91" s="757"/>
      <c r="R91" s="758"/>
      <c r="S91" s="758"/>
      <c r="T91" s="758"/>
      <c r="U91" s="759"/>
      <c r="V91" s="176"/>
      <c r="W91" s="185"/>
      <c r="X91" s="186"/>
      <c r="Y91" s="394">
        <f t="shared" si="17"/>
        <v>0</v>
      </c>
      <c r="Z91" s="394">
        <f t="shared" si="18"/>
        <v>0</v>
      </c>
    </row>
    <row r="92" spans="1:26" x14ac:dyDescent="0.2">
      <c r="A92" s="346">
        <f t="shared" si="19"/>
        <v>36</v>
      </c>
      <c r="B92" s="195"/>
      <c r="C92" s="324" t="str">
        <f t="shared" si="20"/>
        <v/>
      </c>
      <c r="D92" s="322" t="str">
        <f t="shared" si="15"/>
        <v/>
      </c>
      <c r="E92" s="323" t="str">
        <f t="shared" si="16"/>
        <v/>
      </c>
      <c r="F92" s="182"/>
      <c r="G92" s="183"/>
      <c r="H92" s="183"/>
      <c r="I92" s="184"/>
      <c r="J92" s="184"/>
      <c r="K92" s="184"/>
      <c r="L92" s="184"/>
      <c r="M92" s="175"/>
      <c r="N92" s="176"/>
      <c r="O92" s="177"/>
      <c r="P92" s="177"/>
      <c r="Q92" s="757"/>
      <c r="R92" s="758"/>
      <c r="S92" s="758"/>
      <c r="T92" s="758"/>
      <c r="U92" s="759"/>
      <c r="V92" s="176"/>
      <c r="W92" s="185"/>
      <c r="X92" s="186"/>
      <c r="Y92" s="394">
        <f t="shared" si="17"/>
        <v>0</v>
      </c>
      <c r="Z92" s="394">
        <f t="shared" si="18"/>
        <v>0</v>
      </c>
    </row>
    <row r="93" spans="1:26" ht="10.5" thickBot="1" x14ac:dyDescent="0.25">
      <c r="A93" s="347">
        <f t="shared" si="19"/>
        <v>37</v>
      </c>
      <c r="B93" s="198"/>
      <c r="C93" s="324" t="str">
        <f t="shared" si="20"/>
        <v/>
      </c>
      <c r="D93" s="322" t="str">
        <f t="shared" si="15"/>
        <v/>
      </c>
      <c r="E93" s="323" t="str">
        <f t="shared" si="16"/>
        <v/>
      </c>
      <c r="F93" s="199"/>
      <c r="G93" s="200"/>
      <c r="H93" s="200"/>
      <c r="I93" s="201"/>
      <c r="J93" s="201"/>
      <c r="K93" s="201"/>
      <c r="L93" s="201"/>
      <c r="M93" s="175"/>
      <c r="N93" s="202"/>
      <c r="O93" s="203"/>
      <c r="P93" s="203"/>
      <c r="Q93" s="788"/>
      <c r="R93" s="789"/>
      <c r="S93" s="789"/>
      <c r="T93" s="789"/>
      <c r="U93" s="790"/>
      <c r="V93" s="202"/>
      <c r="W93" s="202"/>
      <c r="X93" s="204"/>
      <c r="Y93" s="394">
        <f t="shared" si="17"/>
        <v>0</v>
      </c>
      <c r="Z93" s="394">
        <f t="shared" si="18"/>
        <v>0</v>
      </c>
    </row>
    <row r="94" spans="1:26" ht="10.5" thickBot="1" x14ac:dyDescent="0.25">
      <c r="A94" s="348"/>
      <c r="B94" s="776" t="s">
        <v>65</v>
      </c>
      <c r="C94" s="777"/>
      <c r="D94" s="777"/>
      <c r="E94" s="777"/>
      <c r="F94" s="778"/>
      <c r="G94" s="299">
        <f t="shared" ref="G94:M94" ca="1" si="21">IF($N$236="",SUM(G57:G93),"")</f>
        <v>0</v>
      </c>
      <c r="H94" s="299">
        <f t="shared" ca="1" si="21"/>
        <v>0</v>
      </c>
      <c r="I94" s="299">
        <f t="shared" ca="1" si="21"/>
        <v>0</v>
      </c>
      <c r="J94" s="299">
        <f t="shared" ca="1" si="21"/>
        <v>0</v>
      </c>
      <c r="K94" s="299">
        <f t="shared" ca="1" si="21"/>
        <v>0</v>
      </c>
      <c r="L94" s="299">
        <f t="shared" ca="1" si="21"/>
        <v>0</v>
      </c>
      <c r="M94" s="299">
        <f t="shared" ca="1" si="21"/>
        <v>0</v>
      </c>
      <c r="N94" s="300"/>
      <c r="O94" s="301"/>
      <c r="P94" s="301"/>
      <c r="Q94" s="301"/>
      <c r="R94" s="301"/>
      <c r="S94" s="301"/>
      <c r="T94" s="301"/>
      <c r="U94" s="302"/>
      <c r="V94" s="702">
        <f ca="1">IF($N$236="",SUM(V57:V93),"")</f>
        <v>0</v>
      </c>
      <c r="W94" s="702">
        <f ca="1">IF($N$236="",SUM(W57:W93),"")</f>
        <v>0</v>
      </c>
      <c r="X94" s="703">
        <f ca="1">IF($N$236="",SUM(X57:X93),"")</f>
        <v>0</v>
      </c>
      <c r="Y94" s="394">
        <f>SUM(Y57:Y93)</f>
        <v>0</v>
      </c>
      <c r="Z94" s="394">
        <f>SUM(Z57:Z93)</f>
        <v>0</v>
      </c>
    </row>
    <row r="95" spans="1:26" x14ac:dyDescent="0.2">
      <c r="A95" s="348"/>
      <c r="B95" s="303"/>
      <c r="C95" s="304"/>
      <c r="D95" s="303"/>
      <c r="E95" s="305"/>
      <c r="F95" s="310" t="str">
        <f>U202</f>
        <v>T13</v>
      </c>
      <c r="G95" s="311">
        <f t="shared" ref="G95:M95" si="22">SUMIF($N$57:$N$93,$F$95,G$57:G$93)</f>
        <v>0</v>
      </c>
      <c r="H95" s="311">
        <f t="shared" si="22"/>
        <v>0</v>
      </c>
      <c r="I95" s="311">
        <f t="shared" si="22"/>
        <v>0</v>
      </c>
      <c r="J95" s="311">
        <f t="shared" si="22"/>
        <v>0</v>
      </c>
      <c r="K95" s="311">
        <f t="shared" si="22"/>
        <v>0</v>
      </c>
      <c r="L95" s="311">
        <f t="shared" si="22"/>
        <v>0</v>
      </c>
      <c r="M95" s="311">
        <f t="shared" si="22"/>
        <v>0</v>
      </c>
      <c r="N95" s="740"/>
      <c r="O95" s="741"/>
      <c r="P95" s="741"/>
      <c r="Q95" s="741"/>
      <c r="R95" s="741"/>
      <c r="S95" s="741"/>
      <c r="T95" s="741"/>
      <c r="U95" s="742"/>
      <c r="V95" s="312">
        <f>SUMIF($N$57:$N$93,$F$95,V$57:V$93)</f>
        <v>0</v>
      </c>
      <c r="W95" s="312">
        <f>SUMIF($N$57:$N$93,$F$95,W$57:W$93)</f>
        <v>0</v>
      </c>
      <c r="X95" s="313">
        <f>SUMIF($N$57:$N$93,$F$95,X$57:X$93)</f>
        <v>0</v>
      </c>
    </row>
    <row r="96" spans="1:26" x14ac:dyDescent="0.2">
      <c r="A96" s="348"/>
      <c r="B96" s="303"/>
      <c r="C96" s="304"/>
      <c r="D96" s="303"/>
      <c r="E96" s="305"/>
      <c r="F96" s="310">
        <f>U203</f>
        <v>0</v>
      </c>
      <c r="G96" s="311">
        <f t="shared" ref="G96:M96" si="23">SUMIF($N$57:$N$93,$F$96,G$57:G$93)</f>
        <v>0</v>
      </c>
      <c r="H96" s="311">
        <f t="shared" si="23"/>
        <v>0</v>
      </c>
      <c r="I96" s="311">
        <f t="shared" si="23"/>
        <v>0</v>
      </c>
      <c r="J96" s="311">
        <f t="shared" si="23"/>
        <v>0</v>
      </c>
      <c r="K96" s="311">
        <f t="shared" si="23"/>
        <v>0</v>
      </c>
      <c r="L96" s="311">
        <f t="shared" si="23"/>
        <v>0</v>
      </c>
      <c r="M96" s="311">
        <f t="shared" si="23"/>
        <v>0</v>
      </c>
      <c r="N96" s="743"/>
      <c r="O96" s="744"/>
      <c r="P96" s="744"/>
      <c r="Q96" s="744"/>
      <c r="R96" s="744"/>
      <c r="S96" s="744"/>
      <c r="T96" s="744"/>
      <c r="U96" s="745"/>
      <c r="V96" s="312">
        <f>SUMIF($N$57:$N$93,$F$96,V$57:V$93)</f>
        <v>0</v>
      </c>
      <c r="W96" s="312">
        <f>SUMIF($N$57:$N$93,$F$96,W$57:W$93)</f>
        <v>0</v>
      </c>
      <c r="X96" s="313">
        <f>SUMIF($N$57:$N$93,$F$96,X$57:X$93)</f>
        <v>0</v>
      </c>
    </row>
    <row r="97" spans="1:26" x14ac:dyDescent="0.2">
      <c r="A97" s="348"/>
      <c r="B97" s="303"/>
      <c r="C97" s="304"/>
      <c r="D97" s="303"/>
      <c r="E97" s="305"/>
      <c r="F97" s="310">
        <f>U204</f>
        <v>0</v>
      </c>
      <c r="G97" s="311">
        <f t="shared" ref="G97:M97" si="24">SUMIF($N$57:$N$93,$F$97,G$57:G$93)</f>
        <v>0</v>
      </c>
      <c r="H97" s="311">
        <f t="shared" si="24"/>
        <v>0</v>
      </c>
      <c r="I97" s="311">
        <f t="shared" si="24"/>
        <v>0</v>
      </c>
      <c r="J97" s="311">
        <f t="shared" si="24"/>
        <v>0</v>
      </c>
      <c r="K97" s="311">
        <f t="shared" si="24"/>
        <v>0</v>
      </c>
      <c r="L97" s="311">
        <f t="shared" si="24"/>
        <v>0</v>
      </c>
      <c r="M97" s="311">
        <f t="shared" si="24"/>
        <v>0</v>
      </c>
      <c r="N97" s="743"/>
      <c r="O97" s="744"/>
      <c r="P97" s="744"/>
      <c r="Q97" s="744"/>
      <c r="R97" s="744"/>
      <c r="S97" s="744"/>
      <c r="T97" s="744"/>
      <c r="U97" s="745"/>
      <c r="V97" s="312">
        <f>SUMIF($N$57:$N$93,$F$97,V$57:V$93)</f>
        <v>0</v>
      </c>
      <c r="W97" s="312">
        <f>SUMIF($N$57:$N$93,$F$97,W$57:W$93)</f>
        <v>0</v>
      </c>
      <c r="X97" s="313">
        <f>SUMIF($N$57:$N$93,$F$97,X$57:X$93)</f>
        <v>0</v>
      </c>
    </row>
    <row r="98" spans="1:26" ht="10.5" thickBot="1" x14ac:dyDescent="0.25">
      <c r="A98" s="348"/>
      <c r="B98" s="303"/>
      <c r="C98" s="304"/>
      <c r="D98" s="303"/>
      <c r="E98" s="305"/>
      <c r="F98" s="314">
        <f>U205</f>
        <v>0</v>
      </c>
      <c r="G98" s="315">
        <f t="shared" ref="G98:M98" si="25">SUMIF($N$57:$N$93,$F$98,G$57:G$93)</f>
        <v>0</v>
      </c>
      <c r="H98" s="315">
        <f t="shared" si="25"/>
        <v>0</v>
      </c>
      <c r="I98" s="315">
        <f t="shared" si="25"/>
        <v>0</v>
      </c>
      <c r="J98" s="315">
        <f t="shared" si="25"/>
        <v>0</v>
      </c>
      <c r="K98" s="315">
        <f t="shared" si="25"/>
        <v>0</v>
      </c>
      <c r="L98" s="315">
        <f t="shared" si="25"/>
        <v>0</v>
      </c>
      <c r="M98" s="315">
        <f t="shared" si="25"/>
        <v>0</v>
      </c>
      <c r="N98" s="746"/>
      <c r="O98" s="747"/>
      <c r="P98" s="747"/>
      <c r="Q98" s="747"/>
      <c r="R98" s="747"/>
      <c r="S98" s="747"/>
      <c r="T98" s="747"/>
      <c r="U98" s="748"/>
      <c r="V98" s="316">
        <f>SUMIF($N$57:$N$93,$F$98,V$57:V$93)</f>
        <v>0</v>
      </c>
      <c r="W98" s="316">
        <f>SUMIF($N$57:$N$93,$F$98,W$57:W$93)</f>
        <v>0</v>
      </c>
      <c r="X98" s="317">
        <f>SUMIF($N$57:$N$93,$F$98,X$57:X$93)</f>
        <v>0</v>
      </c>
    </row>
    <row r="99" spans="1:26" ht="12" customHeight="1" x14ac:dyDescent="0.2">
      <c r="A99" s="348"/>
      <c r="B99" s="1035" t="str">
        <f ca="1">IF(G94&lt;&gt;SUM(H94:M94),"NEISPRAVAN UNOS, POSTOJI RAZLIKA!!!","")</f>
        <v/>
      </c>
      <c r="C99" s="1035"/>
      <c r="D99" s="1035"/>
      <c r="E99" s="1035"/>
      <c r="F99" s="1035"/>
      <c r="G99" s="1035"/>
      <c r="H99" s="1035"/>
      <c r="I99" s="1035"/>
      <c r="J99" s="1035"/>
      <c r="K99" s="1035"/>
      <c r="L99" s="1035"/>
      <c r="M99" s="1068" t="str">
        <f>IF(Y94&gt;0,"Nepotpun unos podataka pod rednim brojem "&amp;MATCH(MAX(Y57:Y93),Y57:Y93,0),"")</f>
        <v/>
      </c>
      <c r="N99" s="1068"/>
      <c r="O99" s="1068"/>
      <c r="P99" s="1068"/>
      <c r="Q99" s="1068"/>
      <c r="R99" s="1068"/>
      <c r="S99" s="1068"/>
      <c r="T99" s="1068"/>
      <c r="U99" s="1068"/>
      <c r="V99" s="318"/>
      <c r="W99" s="318"/>
      <c r="X99" s="318"/>
    </row>
    <row r="100" spans="1:26" x14ac:dyDescent="0.2">
      <c r="A100" s="348"/>
      <c r="B100" s="1035"/>
      <c r="C100" s="1035"/>
      <c r="D100" s="1035"/>
      <c r="E100" s="1035"/>
      <c r="F100" s="1035"/>
      <c r="G100" s="1035"/>
      <c r="H100" s="1035"/>
      <c r="I100" s="1035"/>
      <c r="J100" s="1035"/>
      <c r="K100" s="1035"/>
      <c r="L100" s="1035"/>
      <c r="M100" s="1069" t="str">
        <f>IF(Z94&gt;0,"Neispravni iznosi u € ili zbroj pod rednim brojem "&amp;MATCH(MAX(Z57:Z93),Z57:Z93,0),"")</f>
        <v/>
      </c>
      <c r="N100" s="1069"/>
      <c r="O100" s="1069"/>
      <c r="P100" s="1069"/>
      <c r="Q100" s="1069"/>
      <c r="R100" s="1069"/>
      <c r="S100" s="1069"/>
      <c r="T100" s="1069"/>
      <c r="U100" s="1069"/>
      <c r="V100" s="318"/>
      <c r="W100" s="318"/>
      <c r="X100" s="318"/>
    </row>
    <row r="101" spans="1:26" ht="9.75" customHeight="1" thickBot="1" x14ac:dyDescent="0.25">
      <c r="B101" s="739" t="s">
        <v>209</v>
      </c>
      <c r="C101" s="739"/>
      <c r="D101" s="739"/>
      <c r="E101" s="739"/>
      <c r="F101" s="364" t="s">
        <v>216</v>
      </c>
      <c r="G101" s="329" t="str">
        <f>U202</f>
        <v>T13</v>
      </c>
      <c r="H101" s="363" t="s">
        <v>215</v>
      </c>
      <c r="I101" s="365">
        <f>G102</f>
        <v>0</v>
      </c>
      <c r="J101" s="365">
        <f>G129</f>
        <v>1</v>
      </c>
      <c r="K101" s="356"/>
      <c r="L101" s="820" t="str">
        <f ca="1">IF(OR(M127&lt;&gt;"",M128&lt;&gt;"",B127&lt;&gt;"",M146&lt;&gt;"",M147&lt;&gt;"",B146&lt;&gt;""),"!!! NEISPRAVNA / NEDOVRŠENA TABLICA","")</f>
        <v/>
      </c>
      <c r="M101" s="820"/>
      <c r="N101" s="820"/>
      <c r="O101" s="820"/>
      <c r="P101" s="820"/>
      <c r="Q101" s="820"/>
      <c r="R101" s="820"/>
      <c r="S101" s="820"/>
      <c r="V101" s="333" t="str">
        <f>U53</f>
        <v>verzija 7/2026</v>
      </c>
    </row>
    <row r="102" spans="1:26" ht="10.5" thickBot="1" x14ac:dyDescent="0.25">
      <c r="A102" s="784" t="s">
        <v>74</v>
      </c>
      <c r="B102" s="786" t="s">
        <v>251</v>
      </c>
      <c r="C102" s="762"/>
      <c r="D102" s="762"/>
      <c r="E102" s="762"/>
      <c r="F102" s="763"/>
      <c r="G102" s="338">
        <f>K237</f>
        <v>0</v>
      </c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40"/>
    </row>
    <row r="103" spans="1:26" ht="24" customHeight="1" thickBot="1" x14ac:dyDescent="0.25">
      <c r="A103" s="785"/>
      <c r="B103" s="366" t="str">
        <f>B56</f>
        <v>DATUM</v>
      </c>
      <c r="C103" s="791" t="str">
        <f>C56</f>
        <v>Broj računa FISKALNOG</v>
      </c>
      <c r="D103" s="791"/>
      <c r="E103" s="791"/>
      <c r="F103" s="342" t="str">
        <f>F56</f>
        <v>Broj ugovora</v>
      </c>
      <c r="G103" s="342" t="str">
        <f>G56</f>
        <v>PRODAJNA CIJENA</v>
      </c>
      <c r="H103" s="342" t="s">
        <v>147</v>
      </c>
      <c r="I103" s="342" t="s">
        <v>204</v>
      </c>
      <c r="J103" s="342" t="s">
        <v>205</v>
      </c>
      <c r="K103" s="342" t="s">
        <v>302</v>
      </c>
      <c r="L103" s="342" t="s">
        <v>81</v>
      </c>
      <c r="M103" s="342" t="str">
        <f>M56</f>
        <v>Vrsta Kartice</v>
      </c>
      <c r="N103" s="343" t="str">
        <f>N56</f>
        <v>Team</v>
      </c>
      <c r="O103" s="343" t="str">
        <f>O56</f>
        <v>Vozač</v>
      </c>
      <c r="P103" s="343" t="str">
        <f>P56</f>
        <v>Prodao</v>
      </c>
      <c r="Q103" s="787" t="s">
        <v>82</v>
      </c>
      <c r="R103" s="787"/>
      <c r="S103" s="787"/>
      <c r="T103" s="787"/>
      <c r="U103" s="787"/>
      <c r="V103" s="344" t="str">
        <f>V56</f>
        <v>LMS</v>
      </c>
      <c r="W103" s="344" t="str">
        <f>W56</f>
        <v>TO</v>
      </c>
      <c r="X103" s="345" t="str">
        <f>X56</f>
        <v>IP</v>
      </c>
    </row>
    <row r="104" spans="1:26" x14ac:dyDescent="0.2">
      <c r="A104" s="717">
        <v>1</v>
      </c>
      <c r="B104" s="704"/>
      <c r="C104" s="719"/>
      <c r="D104" s="720" t="str">
        <f t="shared" ref="D104:D121" si="26">IF(B104&lt;&gt;"",$F$238,"")</f>
        <v/>
      </c>
      <c r="E104" s="721" t="str">
        <f t="shared" ref="E104:E121" si="27">IF(B104&lt;&gt;"",$F$239,"")</f>
        <v/>
      </c>
      <c r="F104" s="707"/>
      <c r="G104" s="708"/>
      <c r="H104" s="708"/>
      <c r="I104" s="709"/>
      <c r="J104" s="709"/>
      <c r="K104" s="709"/>
      <c r="L104" s="709"/>
      <c r="M104" s="709"/>
      <c r="N104" s="206"/>
      <c r="O104" s="710"/>
      <c r="P104" s="710"/>
      <c r="Q104" s="767"/>
      <c r="R104" s="768"/>
      <c r="S104" s="768"/>
      <c r="T104" s="768"/>
      <c r="U104" s="769"/>
      <c r="V104" s="206"/>
      <c r="W104" s="711"/>
      <c r="X104" s="712"/>
      <c r="Y104" s="394">
        <f t="shared" ref="Y104:Y121" si="28">IF(AND(B104="",G104="",F104=""),0,IF(AND(C104&lt;&gt;"",F104&lt;&gt;"",G104&lt;&gt;"",N104&lt;&gt;"",O104&lt;&gt;"",P104&lt;&gt;"",Q104&lt;&gt;""),0,1))</f>
        <v>0</v>
      </c>
      <c r="Z104" s="394">
        <f t="shared" ref="Z104:Z121" si="29">IF(G104=SUM(H104:L104),0,1)</f>
        <v>0</v>
      </c>
    </row>
    <row r="105" spans="1:26" x14ac:dyDescent="0.2">
      <c r="A105" s="346">
        <f>A104+1</f>
        <v>2</v>
      </c>
      <c r="B105" s="713"/>
      <c r="C105" s="324" t="str">
        <f>IF(B105&lt;&gt;"",C104+1,"")</f>
        <v/>
      </c>
      <c r="D105" s="322" t="str">
        <f t="shared" si="26"/>
        <v/>
      </c>
      <c r="E105" s="323" t="str">
        <f t="shared" si="27"/>
        <v/>
      </c>
      <c r="F105" s="182"/>
      <c r="G105" s="183"/>
      <c r="H105" s="183"/>
      <c r="I105" s="184"/>
      <c r="J105" s="184"/>
      <c r="K105" s="184"/>
      <c r="L105" s="184"/>
      <c r="M105" s="175"/>
      <c r="N105" s="176"/>
      <c r="O105" s="177"/>
      <c r="P105" s="177"/>
      <c r="Q105" s="757"/>
      <c r="R105" s="758"/>
      <c r="S105" s="758"/>
      <c r="T105" s="758"/>
      <c r="U105" s="759"/>
      <c r="V105" s="176"/>
      <c r="W105" s="185"/>
      <c r="X105" s="186"/>
      <c r="Y105" s="394">
        <f t="shared" si="28"/>
        <v>0</v>
      </c>
      <c r="Z105" s="394">
        <f t="shared" si="29"/>
        <v>0</v>
      </c>
    </row>
    <row r="106" spans="1:26" x14ac:dyDescent="0.2">
      <c r="A106" s="346">
        <f t="shared" ref="A106:A115" si="30">A105+1</f>
        <v>3</v>
      </c>
      <c r="B106" s="713"/>
      <c r="C106" s="324" t="str">
        <f t="shared" ref="C106:C121" si="31">IF(B106&lt;&gt;"",C105+1,"")</f>
        <v/>
      </c>
      <c r="D106" s="322" t="str">
        <f t="shared" si="26"/>
        <v/>
      </c>
      <c r="E106" s="323" t="str">
        <f t="shared" si="27"/>
        <v/>
      </c>
      <c r="F106" s="182"/>
      <c r="G106" s="183"/>
      <c r="H106" s="183"/>
      <c r="I106" s="187"/>
      <c r="J106" s="187"/>
      <c r="K106" s="187"/>
      <c r="L106" s="187"/>
      <c r="M106" s="175"/>
      <c r="N106" s="176"/>
      <c r="O106" s="177"/>
      <c r="P106" s="177"/>
      <c r="Q106" s="757"/>
      <c r="R106" s="758"/>
      <c r="S106" s="758"/>
      <c r="T106" s="758"/>
      <c r="U106" s="759"/>
      <c r="V106" s="176"/>
      <c r="W106" s="185"/>
      <c r="X106" s="186"/>
      <c r="Y106" s="394">
        <f t="shared" si="28"/>
        <v>0</v>
      </c>
      <c r="Z106" s="394">
        <f t="shared" si="29"/>
        <v>0</v>
      </c>
    </row>
    <row r="107" spans="1:26" x14ac:dyDescent="0.2">
      <c r="A107" s="346">
        <f t="shared" si="30"/>
        <v>4</v>
      </c>
      <c r="B107" s="713"/>
      <c r="C107" s="324" t="str">
        <f t="shared" si="31"/>
        <v/>
      </c>
      <c r="D107" s="322" t="str">
        <f t="shared" si="26"/>
        <v/>
      </c>
      <c r="E107" s="323" t="str">
        <f t="shared" si="27"/>
        <v/>
      </c>
      <c r="F107" s="182"/>
      <c r="G107" s="183"/>
      <c r="H107" s="183"/>
      <c r="I107" s="187"/>
      <c r="J107" s="187"/>
      <c r="K107" s="187"/>
      <c r="L107" s="187"/>
      <c r="M107" s="175"/>
      <c r="N107" s="176"/>
      <c r="O107" s="177"/>
      <c r="P107" s="177"/>
      <c r="Q107" s="757"/>
      <c r="R107" s="758"/>
      <c r="S107" s="758"/>
      <c r="T107" s="758"/>
      <c r="U107" s="759"/>
      <c r="V107" s="176"/>
      <c r="W107" s="185"/>
      <c r="X107" s="186"/>
      <c r="Y107" s="394">
        <f t="shared" si="28"/>
        <v>0</v>
      </c>
      <c r="Z107" s="394">
        <f t="shared" si="29"/>
        <v>0</v>
      </c>
    </row>
    <row r="108" spans="1:26" x14ac:dyDescent="0.2">
      <c r="A108" s="346">
        <f t="shared" si="30"/>
        <v>5</v>
      </c>
      <c r="B108" s="713"/>
      <c r="C108" s="324" t="str">
        <f t="shared" si="31"/>
        <v/>
      </c>
      <c r="D108" s="322" t="str">
        <f t="shared" si="26"/>
        <v/>
      </c>
      <c r="E108" s="323" t="str">
        <f t="shared" si="27"/>
        <v/>
      </c>
      <c r="F108" s="182"/>
      <c r="G108" s="183"/>
      <c r="H108" s="183"/>
      <c r="I108" s="184"/>
      <c r="J108" s="184"/>
      <c r="K108" s="184"/>
      <c r="L108" s="184"/>
      <c r="M108" s="175"/>
      <c r="N108" s="176"/>
      <c r="O108" s="177"/>
      <c r="P108" s="177"/>
      <c r="Q108" s="757"/>
      <c r="R108" s="758"/>
      <c r="S108" s="758"/>
      <c r="T108" s="758"/>
      <c r="U108" s="759"/>
      <c r="V108" s="176"/>
      <c r="W108" s="185"/>
      <c r="X108" s="186"/>
      <c r="Y108" s="394">
        <f t="shared" si="28"/>
        <v>0</v>
      </c>
      <c r="Z108" s="394">
        <f t="shared" si="29"/>
        <v>0</v>
      </c>
    </row>
    <row r="109" spans="1:26" x14ac:dyDescent="0.2">
      <c r="A109" s="346">
        <f t="shared" si="30"/>
        <v>6</v>
      </c>
      <c r="B109" s="713"/>
      <c r="C109" s="324" t="str">
        <f t="shared" si="31"/>
        <v/>
      </c>
      <c r="D109" s="322" t="str">
        <f t="shared" si="26"/>
        <v/>
      </c>
      <c r="E109" s="323" t="str">
        <f t="shared" si="27"/>
        <v/>
      </c>
      <c r="F109" s="182"/>
      <c r="G109" s="183"/>
      <c r="H109" s="183"/>
      <c r="I109" s="184"/>
      <c r="J109" s="184"/>
      <c r="K109" s="184"/>
      <c r="L109" s="184"/>
      <c r="M109" s="175"/>
      <c r="N109" s="176"/>
      <c r="O109" s="177"/>
      <c r="P109" s="177"/>
      <c r="Q109" s="757"/>
      <c r="R109" s="758"/>
      <c r="S109" s="758"/>
      <c r="T109" s="758"/>
      <c r="U109" s="759"/>
      <c r="V109" s="176"/>
      <c r="W109" s="185"/>
      <c r="X109" s="186"/>
      <c r="Y109" s="394">
        <f t="shared" si="28"/>
        <v>0</v>
      </c>
      <c r="Z109" s="394">
        <f t="shared" si="29"/>
        <v>0</v>
      </c>
    </row>
    <row r="110" spans="1:26" x14ac:dyDescent="0.2">
      <c r="A110" s="346">
        <f t="shared" si="30"/>
        <v>7</v>
      </c>
      <c r="B110" s="713"/>
      <c r="C110" s="324" t="str">
        <f t="shared" si="31"/>
        <v/>
      </c>
      <c r="D110" s="322" t="str">
        <f t="shared" si="26"/>
        <v/>
      </c>
      <c r="E110" s="323" t="str">
        <f t="shared" si="27"/>
        <v/>
      </c>
      <c r="F110" s="182"/>
      <c r="G110" s="183"/>
      <c r="H110" s="183"/>
      <c r="I110" s="184"/>
      <c r="J110" s="184"/>
      <c r="K110" s="184"/>
      <c r="L110" s="184"/>
      <c r="M110" s="175"/>
      <c r="N110" s="176"/>
      <c r="O110" s="177"/>
      <c r="P110" s="177"/>
      <c r="Q110" s="757"/>
      <c r="R110" s="758"/>
      <c r="S110" s="758"/>
      <c r="T110" s="758"/>
      <c r="U110" s="759"/>
      <c r="V110" s="176"/>
      <c r="W110" s="185"/>
      <c r="X110" s="186"/>
      <c r="Y110" s="394">
        <f t="shared" si="28"/>
        <v>0</v>
      </c>
      <c r="Z110" s="394">
        <f t="shared" si="29"/>
        <v>0</v>
      </c>
    </row>
    <row r="111" spans="1:26" x14ac:dyDescent="0.2">
      <c r="A111" s="346">
        <f t="shared" si="30"/>
        <v>8</v>
      </c>
      <c r="B111" s="713"/>
      <c r="C111" s="324" t="str">
        <f t="shared" si="31"/>
        <v/>
      </c>
      <c r="D111" s="322" t="str">
        <f t="shared" si="26"/>
        <v/>
      </c>
      <c r="E111" s="323" t="str">
        <f t="shared" si="27"/>
        <v/>
      </c>
      <c r="F111" s="182"/>
      <c r="G111" s="183"/>
      <c r="H111" s="183"/>
      <c r="I111" s="184"/>
      <c r="J111" s="184"/>
      <c r="K111" s="184"/>
      <c r="L111" s="184"/>
      <c r="M111" s="175"/>
      <c r="N111" s="176"/>
      <c r="O111" s="177"/>
      <c r="P111" s="177"/>
      <c r="Q111" s="757"/>
      <c r="R111" s="758"/>
      <c r="S111" s="758"/>
      <c r="T111" s="758"/>
      <c r="U111" s="759"/>
      <c r="V111" s="176"/>
      <c r="W111" s="185"/>
      <c r="X111" s="186"/>
      <c r="Y111" s="394">
        <f t="shared" si="28"/>
        <v>0</v>
      </c>
      <c r="Z111" s="394">
        <f t="shared" si="29"/>
        <v>0</v>
      </c>
    </row>
    <row r="112" spans="1:26" x14ac:dyDescent="0.2">
      <c r="A112" s="346">
        <f t="shared" si="30"/>
        <v>9</v>
      </c>
      <c r="B112" s="713"/>
      <c r="C112" s="324" t="str">
        <f t="shared" si="31"/>
        <v/>
      </c>
      <c r="D112" s="322" t="str">
        <f t="shared" si="26"/>
        <v/>
      </c>
      <c r="E112" s="323" t="str">
        <f t="shared" si="27"/>
        <v/>
      </c>
      <c r="F112" s="182"/>
      <c r="G112" s="183"/>
      <c r="H112" s="183"/>
      <c r="I112" s="184"/>
      <c r="J112" s="184"/>
      <c r="K112" s="184"/>
      <c r="L112" s="184"/>
      <c r="M112" s="175"/>
      <c r="N112" s="176"/>
      <c r="O112" s="177"/>
      <c r="P112" s="177"/>
      <c r="Q112" s="757"/>
      <c r="R112" s="758"/>
      <c r="S112" s="758"/>
      <c r="T112" s="758"/>
      <c r="U112" s="759"/>
      <c r="V112" s="176"/>
      <c r="W112" s="185"/>
      <c r="X112" s="186"/>
      <c r="Y112" s="394">
        <f t="shared" si="28"/>
        <v>0</v>
      </c>
      <c r="Z112" s="394">
        <f t="shared" si="29"/>
        <v>0</v>
      </c>
    </row>
    <row r="113" spans="1:26" x14ac:dyDescent="0.2">
      <c r="A113" s="346">
        <f t="shared" si="30"/>
        <v>10</v>
      </c>
      <c r="B113" s="713"/>
      <c r="C113" s="324" t="str">
        <f t="shared" si="31"/>
        <v/>
      </c>
      <c r="D113" s="322" t="str">
        <f t="shared" si="26"/>
        <v/>
      </c>
      <c r="E113" s="323" t="str">
        <f t="shared" si="27"/>
        <v/>
      </c>
      <c r="F113" s="182"/>
      <c r="G113" s="183"/>
      <c r="H113" s="183"/>
      <c r="I113" s="184"/>
      <c r="J113" s="184"/>
      <c r="K113" s="184"/>
      <c r="L113" s="184"/>
      <c r="M113" s="175"/>
      <c r="N113" s="176"/>
      <c r="O113" s="177"/>
      <c r="P113" s="177"/>
      <c r="Q113" s="757"/>
      <c r="R113" s="758"/>
      <c r="S113" s="758"/>
      <c r="T113" s="758"/>
      <c r="U113" s="759"/>
      <c r="V113" s="176"/>
      <c r="W113" s="185"/>
      <c r="X113" s="186"/>
      <c r="Y113" s="394">
        <f t="shared" si="28"/>
        <v>0</v>
      </c>
      <c r="Z113" s="394">
        <f t="shared" si="29"/>
        <v>0</v>
      </c>
    </row>
    <row r="114" spans="1:26" x14ac:dyDescent="0.2">
      <c r="A114" s="346">
        <f t="shared" si="30"/>
        <v>11</v>
      </c>
      <c r="B114" s="713"/>
      <c r="C114" s="324" t="str">
        <f t="shared" si="31"/>
        <v/>
      </c>
      <c r="D114" s="322" t="str">
        <f t="shared" si="26"/>
        <v/>
      </c>
      <c r="E114" s="323" t="str">
        <f t="shared" si="27"/>
        <v/>
      </c>
      <c r="F114" s="182"/>
      <c r="G114" s="183"/>
      <c r="H114" s="183"/>
      <c r="I114" s="184"/>
      <c r="J114" s="184"/>
      <c r="K114" s="184"/>
      <c r="L114" s="184"/>
      <c r="M114" s="175"/>
      <c r="N114" s="176"/>
      <c r="O114" s="177"/>
      <c r="P114" s="177"/>
      <c r="Q114" s="757"/>
      <c r="R114" s="758"/>
      <c r="S114" s="758"/>
      <c r="T114" s="758"/>
      <c r="U114" s="759"/>
      <c r="V114" s="176"/>
      <c r="W114" s="185"/>
      <c r="X114" s="186"/>
      <c r="Y114" s="394">
        <f t="shared" si="28"/>
        <v>0</v>
      </c>
      <c r="Z114" s="394">
        <f t="shared" si="29"/>
        <v>0</v>
      </c>
    </row>
    <row r="115" spans="1:26" x14ac:dyDescent="0.2">
      <c r="A115" s="346">
        <f t="shared" si="30"/>
        <v>12</v>
      </c>
      <c r="B115" s="714"/>
      <c r="C115" s="324" t="str">
        <f t="shared" si="31"/>
        <v/>
      </c>
      <c r="D115" s="322" t="str">
        <f t="shared" si="26"/>
        <v/>
      </c>
      <c r="E115" s="323" t="str">
        <f t="shared" si="27"/>
        <v/>
      </c>
      <c r="F115" s="173"/>
      <c r="G115" s="174"/>
      <c r="H115" s="174"/>
      <c r="I115" s="175"/>
      <c r="J115" s="175"/>
      <c r="K115" s="175"/>
      <c r="L115" s="175"/>
      <c r="M115" s="175"/>
      <c r="N115" s="176"/>
      <c r="O115" s="177"/>
      <c r="P115" s="177"/>
      <c r="Q115" s="781"/>
      <c r="R115" s="782"/>
      <c r="S115" s="782"/>
      <c r="T115" s="782"/>
      <c r="U115" s="783"/>
      <c r="V115" s="178"/>
      <c r="W115" s="179"/>
      <c r="X115" s="186"/>
      <c r="Y115" s="394">
        <f t="shared" si="28"/>
        <v>0</v>
      </c>
      <c r="Z115" s="394">
        <f t="shared" si="29"/>
        <v>0</v>
      </c>
    </row>
    <row r="116" spans="1:26" x14ac:dyDescent="0.2">
      <c r="A116" s="346">
        <v>13</v>
      </c>
      <c r="B116" s="714"/>
      <c r="C116" s="324" t="str">
        <f t="shared" si="31"/>
        <v/>
      </c>
      <c r="D116" s="322" t="str">
        <f t="shared" si="26"/>
        <v/>
      </c>
      <c r="E116" s="323" t="str">
        <f t="shared" si="27"/>
        <v/>
      </c>
      <c r="F116" s="173"/>
      <c r="G116" s="174"/>
      <c r="H116" s="174"/>
      <c r="I116" s="175"/>
      <c r="J116" s="175"/>
      <c r="K116" s="175"/>
      <c r="L116" s="175"/>
      <c r="M116" s="175"/>
      <c r="N116" s="176"/>
      <c r="O116" s="177"/>
      <c r="P116" s="177"/>
      <c r="Q116" s="757"/>
      <c r="R116" s="758"/>
      <c r="S116" s="758"/>
      <c r="T116" s="758"/>
      <c r="U116" s="759"/>
      <c r="V116" s="178"/>
      <c r="W116" s="179"/>
      <c r="X116" s="186"/>
      <c r="Y116" s="394">
        <f t="shared" si="28"/>
        <v>0</v>
      </c>
      <c r="Z116" s="394">
        <f t="shared" si="29"/>
        <v>0</v>
      </c>
    </row>
    <row r="117" spans="1:26" x14ac:dyDescent="0.2">
      <c r="A117" s="346">
        <v>14</v>
      </c>
      <c r="B117" s="714"/>
      <c r="C117" s="324" t="str">
        <f t="shared" si="31"/>
        <v/>
      </c>
      <c r="D117" s="322" t="str">
        <f t="shared" si="26"/>
        <v/>
      </c>
      <c r="E117" s="323" t="str">
        <f t="shared" si="27"/>
        <v/>
      </c>
      <c r="F117" s="173"/>
      <c r="G117" s="174"/>
      <c r="H117" s="174"/>
      <c r="I117" s="175"/>
      <c r="J117" s="175"/>
      <c r="K117" s="175"/>
      <c r="L117" s="175"/>
      <c r="M117" s="175"/>
      <c r="N117" s="176"/>
      <c r="O117" s="177"/>
      <c r="P117" s="177"/>
      <c r="Q117" s="757"/>
      <c r="R117" s="758"/>
      <c r="S117" s="758"/>
      <c r="T117" s="758"/>
      <c r="U117" s="759"/>
      <c r="V117" s="178"/>
      <c r="W117" s="179"/>
      <c r="X117" s="186"/>
      <c r="Y117" s="394">
        <f t="shared" si="28"/>
        <v>0</v>
      </c>
      <c r="Z117" s="394">
        <f t="shared" si="29"/>
        <v>0</v>
      </c>
    </row>
    <row r="118" spans="1:26" x14ac:dyDescent="0.2">
      <c r="A118" s="346">
        <v>15</v>
      </c>
      <c r="B118" s="715"/>
      <c r="C118" s="324" t="str">
        <f t="shared" si="31"/>
        <v/>
      </c>
      <c r="D118" s="322" t="str">
        <f t="shared" si="26"/>
        <v/>
      </c>
      <c r="E118" s="323" t="str">
        <f t="shared" si="27"/>
        <v/>
      </c>
      <c r="F118" s="182"/>
      <c r="G118" s="183"/>
      <c r="H118" s="183"/>
      <c r="I118" s="184"/>
      <c r="J118" s="184"/>
      <c r="K118" s="184"/>
      <c r="L118" s="184"/>
      <c r="M118" s="175"/>
      <c r="N118" s="176"/>
      <c r="O118" s="177"/>
      <c r="P118" s="177"/>
      <c r="Q118" s="757"/>
      <c r="R118" s="758"/>
      <c r="S118" s="758"/>
      <c r="T118" s="758"/>
      <c r="U118" s="759"/>
      <c r="V118" s="176"/>
      <c r="W118" s="185"/>
      <c r="X118" s="186"/>
      <c r="Y118" s="394">
        <f t="shared" si="28"/>
        <v>0</v>
      </c>
      <c r="Z118" s="394">
        <f t="shared" si="29"/>
        <v>0</v>
      </c>
    </row>
    <row r="119" spans="1:26" x14ac:dyDescent="0.2">
      <c r="A119" s="346">
        <v>16</v>
      </c>
      <c r="B119" s="715"/>
      <c r="C119" s="324" t="str">
        <f t="shared" si="31"/>
        <v/>
      </c>
      <c r="D119" s="322" t="str">
        <f t="shared" si="26"/>
        <v/>
      </c>
      <c r="E119" s="323" t="str">
        <f t="shared" si="27"/>
        <v/>
      </c>
      <c r="F119" s="182"/>
      <c r="G119" s="183"/>
      <c r="H119" s="183"/>
      <c r="I119" s="187"/>
      <c r="J119" s="187"/>
      <c r="K119" s="187"/>
      <c r="L119" s="187"/>
      <c r="M119" s="175"/>
      <c r="N119" s="176"/>
      <c r="O119" s="177"/>
      <c r="P119" s="177"/>
      <c r="Q119" s="757"/>
      <c r="R119" s="758"/>
      <c r="S119" s="758"/>
      <c r="T119" s="758"/>
      <c r="U119" s="759"/>
      <c r="V119" s="176"/>
      <c r="W119" s="185"/>
      <c r="X119" s="186"/>
      <c r="Y119" s="394">
        <f t="shared" si="28"/>
        <v>0</v>
      </c>
      <c r="Z119" s="394">
        <f t="shared" si="29"/>
        <v>0</v>
      </c>
    </row>
    <row r="120" spans="1:26" x14ac:dyDescent="0.2">
      <c r="A120" s="346">
        <v>17</v>
      </c>
      <c r="B120" s="713"/>
      <c r="C120" s="324" t="str">
        <f t="shared" si="31"/>
        <v/>
      </c>
      <c r="D120" s="322" t="str">
        <f t="shared" si="26"/>
        <v/>
      </c>
      <c r="E120" s="323" t="str">
        <f t="shared" si="27"/>
        <v/>
      </c>
      <c r="F120" s="182"/>
      <c r="G120" s="183"/>
      <c r="H120" s="183"/>
      <c r="I120" s="184"/>
      <c r="J120" s="184"/>
      <c r="K120" s="184"/>
      <c r="L120" s="184"/>
      <c r="M120" s="175"/>
      <c r="N120" s="176"/>
      <c r="O120" s="177"/>
      <c r="P120" s="177"/>
      <c r="Q120" s="757"/>
      <c r="R120" s="758"/>
      <c r="S120" s="758"/>
      <c r="T120" s="758"/>
      <c r="U120" s="759"/>
      <c r="V120" s="176"/>
      <c r="W120" s="185"/>
      <c r="X120" s="186"/>
      <c r="Y120" s="394">
        <f t="shared" si="28"/>
        <v>0</v>
      </c>
      <c r="Z120" s="394">
        <f t="shared" si="29"/>
        <v>0</v>
      </c>
    </row>
    <row r="121" spans="1:26" ht="10.5" thickBot="1" x14ac:dyDescent="0.25">
      <c r="A121" s="347">
        <v>18</v>
      </c>
      <c r="B121" s="716"/>
      <c r="C121" s="324" t="str">
        <f t="shared" si="31"/>
        <v/>
      </c>
      <c r="D121" s="322" t="str">
        <f t="shared" si="26"/>
        <v/>
      </c>
      <c r="E121" s="323" t="str">
        <f t="shared" si="27"/>
        <v/>
      </c>
      <c r="F121" s="189"/>
      <c r="G121" s="190"/>
      <c r="H121" s="190"/>
      <c r="I121" s="191"/>
      <c r="J121" s="191"/>
      <c r="K121" s="191"/>
      <c r="L121" s="191"/>
      <c r="M121" s="175"/>
      <c r="N121" s="176"/>
      <c r="O121" s="177"/>
      <c r="P121" s="177"/>
      <c r="Q121" s="773"/>
      <c r="R121" s="774"/>
      <c r="S121" s="774"/>
      <c r="T121" s="774"/>
      <c r="U121" s="775"/>
      <c r="V121" s="192"/>
      <c r="W121" s="192"/>
      <c r="X121" s="193"/>
      <c r="Y121" s="394">
        <f t="shared" si="28"/>
        <v>0</v>
      </c>
      <c r="Z121" s="394">
        <f t="shared" si="29"/>
        <v>0</v>
      </c>
    </row>
    <row r="122" spans="1:26" ht="10.5" thickBot="1" x14ac:dyDescent="0.25">
      <c r="A122" s="348"/>
      <c r="B122" s="776" t="s">
        <v>65</v>
      </c>
      <c r="C122" s="777"/>
      <c r="D122" s="777"/>
      <c r="E122" s="777"/>
      <c r="F122" s="778"/>
      <c r="G122" s="299">
        <f t="shared" ref="G122:M122" ca="1" si="32">IF($N$236="",SUM(G104:G121),"")</f>
        <v>0</v>
      </c>
      <c r="H122" s="299">
        <f t="shared" ca="1" si="32"/>
        <v>0</v>
      </c>
      <c r="I122" s="299">
        <f t="shared" ca="1" si="32"/>
        <v>0</v>
      </c>
      <c r="J122" s="299">
        <f t="shared" ca="1" si="32"/>
        <v>0</v>
      </c>
      <c r="K122" s="299">
        <f t="shared" ca="1" si="32"/>
        <v>0</v>
      </c>
      <c r="L122" s="299">
        <f t="shared" ca="1" si="32"/>
        <v>0</v>
      </c>
      <c r="M122" s="299">
        <f t="shared" ca="1" si="32"/>
        <v>0</v>
      </c>
      <c r="N122" s="300"/>
      <c r="O122" s="301"/>
      <c r="P122" s="301"/>
      <c r="Q122" s="301"/>
      <c r="R122" s="301"/>
      <c r="S122" s="301"/>
      <c r="T122" s="301"/>
      <c r="U122" s="302"/>
      <c r="V122" s="702">
        <f ca="1">IF($N$236="",SUM(V104:V121),"")</f>
        <v>0</v>
      </c>
      <c r="W122" s="702">
        <f ca="1">IF($N$236="",SUM(W104:W121),"")</f>
        <v>0</v>
      </c>
      <c r="X122" s="703">
        <f ca="1">IF($N$236="",SUM(X104:X121),"")</f>
        <v>0</v>
      </c>
      <c r="Y122" s="394">
        <f>SUM(Y104:Y121)</f>
        <v>0</v>
      </c>
      <c r="Z122" s="394">
        <f>SUM(Z104:Z121)</f>
        <v>0</v>
      </c>
    </row>
    <row r="123" spans="1:26" x14ac:dyDescent="0.2">
      <c r="A123" s="348"/>
      <c r="B123" s="303"/>
      <c r="C123" s="304"/>
      <c r="D123" s="303"/>
      <c r="E123" s="305"/>
      <c r="F123" s="306" t="str">
        <f>U202</f>
        <v>T13</v>
      </c>
      <c r="G123" s="307">
        <f>SUMIF($N$104:$N$121,$F$123,G$104:G$121)</f>
        <v>0</v>
      </c>
      <c r="H123" s="307">
        <f t="shared" ref="H123:M123" si="33">SUMIF($N$104:$N$121,$F$95,H$104:H$121)</f>
        <v>0</v>
      </c>
      <c r="I123" s="307">
        <f t="shared" si="33"/>
        <v>0</v>
      </c>
      <c r="J123" s="307">
        <f t="shared" si="33"/>
        <v>0</v>
      </c>
      <c r="K123" s="307">
        <f t="shared" si="33"/>
        <v>0</v>
      </c>
      <c r="L123" s="307">
        <f t="shared" si="33"/>
        <v>0</v>
      </c>
      <c r="M123" s="307">
        <f t="shared" si="33"/>
        <v>0</v>
      </c>
      <c r="N123" s="740"/>
      <c r="O123" s="741"/>
      <c r="P123" s="741"/>
      <c r="Q123" s="741"/>
      <c r="R123" s="741"/>
      <c r="S123" s="741"/>
      <c r="T123" s="741"/>
      <c r="U123" s="742"/>
      <c r="V123" s="308">
        <f>SUMIF($N$104:$N$121,$F$123,V$104:V$121)</f>
        <v>0</v>
      </c>
      <c r="W123" s="308">
        <f t="shared" ref="W123:X123" si="34">SUMIF($N$104:$N$121,$F$123,W$104:W$121)</f>
        <v>0</v>
      </c>
      <c r="X123" s="309">
        <f t="shared" si="34"/>
        <v>0</v>
      </c>
    </row>
    <row r="124" spans="1:26" x14ac:dyDescent="0.2">
      <c r="A124" s="348"/>
      <c r="B124" s="303"/>
      <c r="C124" s="304"/>
      <c r="D124" s="303"/>
      <c r="E124" s="305"/>
      <c r="F124" s="310">
        <f>U203</f>
        <v>0</v>
      </c>
      <c r="G124" s="311">
        <f>SUMIF($N$104:$N$121,$F$124,G$104:G$121)</f>
        <v>0</v>
      </c>
      <c r="H124" s="311">
        <f t="shared" ref="H124:M124" si="35">SUMIF($N$104:$N$121,$F$96,H$104:H$121)</f>
        <v>0</v>
      </c>
      <c r="I124" s="311">
        <f t="shared" si="35"/>
        <v>0</v>
      </c>
      <c r="J124" s="311">
        <f t="shared" si="35"/>
        <v>0</v>
      </c>
      <c r="K124" s="311">
        <f t="shared" si="35"/>
        <v>0</v>
      </c>
      <c r="L124" s="311">
        <f t="shared" si="35"/>
        <v>0</v>
      </c>
      <c r="M124" s="311">
        <f t="shared" si="35"/>
        <v>0</v>
      </c>
      <c r="N124" s="743"/>
      <c r="O124" s="744"/>
      <c r="P124" s="744"/>
      <c r="Q124" s="744"/>
      <c r="R124" s="744"/>
      <c r="S124" s="744"/>
      <c r="T124" s="744"/>
      <c r="U124" s="745"/>
      <c r="V124" s="312">
        <f>SUMIF($N$104:$N$121,$F$124,V$104:V$121)</f>
        <v>0</v>
      </c>
      <c r="W124" s="312">
        <f t="shared" ref="W124:X124" si="36">SUMIF($N$104:$N$121,$F$124,W$104:W$121)</f>
        <v>0</v>
      </c>
      <c r="X124" s="313">
        <f t="shared" si="36"/>
        <v>0</v>
      </c>
    </row>
    <row r="125" spans="1:26" x14ac:dyDescent="0.2">
      <c r="A125" s="348"/>
      <c r="B125" s="303"/>
      <c r="C125" s="304"/>
      <c r="D125" s="303"/>
      <c r="E125" s="305"/>
      <c r="F125" s="310">
        <f>U204</f>
        <v>0</v>
      </c>
      <c r="G125" s="311">
        <f>SUMIF($N$104:$N$121,$F$125,G$104:G$121)</f>
        <v>0</v>
      </c>
      <c r="H125" s="311">
        <f t="shared" ref="H125:M125" si="37">SUMIF($N$104:$N$121,$F$97,H$104:H$121)</f>
        <v>0</v>
      </c>
      <c r="I125" s="311">
        <f t="shared" si="37"/>
        <v>0</v>
      </c>
      <c r="J125" s="311">
        <f t="shared" si="37"/>
        <v>0</v>
      </c>
      <c r="K125" s="311">
        <f t="shared" si="37"/>
        <v>0</v>
      </c>
      <c r="L125" s="311">
        <f t="shared" si="37"/>
        <v>0</v>
      </c>
      <c r="M125" s="311">
        <f t="shared" si="37"/>
        <v>0</v>
      </c>
      <c r="N125" s="743"/>
      <c r="O125" s="744"/>
      <c r="P125" s="744"/>
      <c r="Q125" s="744"/>
      <c r="R125" s="744"/>
      <c r="S125" s="744"/>
      <c r="T125" s="744"/>
      <c r="U125" s="745"/>
      <c r="V125" s="312">
        <f>SUMIF($N$104:$N$121,$F$125,V$104:V$121)</f>
        <v>0</v>
      </c>
      <c r="W125" s="312">
        <f t="shared" ref="W125:X125" si="38">SUMIF($N$104:$N$121,$F$125,W$104:W$121)</f>
        <v>0</v>
      </c>
      <c r="X125" s="313">
        <f t="shared" si="38"/>
        <v>0</v>
      </c>
    </row>
    <row r="126" spans="1:26" ht="10.5" thickBot="1" x14ac:dyDescent="0.25">
      <c r="A126" s="348"/>
      <c r="B126" s="303"/>
      <c r="C126" s="304"/>
      <c r="D126" s="303"/>
      <c r="E126" s="305"/>
      <c r="F126" s="314">
        <f>U205</f>
        <v>0</v>
      </c>
      <c r="G126" s="315">
        <f>SUMIF($N$104:$N$121,$F$126,G$104:G$121)</f>
        <v>0</v>
      </c>
      <c r="H126" s="315">
        <f t="shared" ref="H126:M126" si="39">SUMIF($N$104:$N$121,$F$98,H$104:H$121)</f>
        <v>0</v>
      </c>
      <c r="I126" s="315">
        <f t="shared" si="39"/>
        <v>0</v>
      </c>
      <c r="J126" s="315">
        <f t="shared" si="39"/>
        <v>0</v>
      </c>
      <c r="K126" s="315">
        <f t="shared" si="39"/>
        <v>0</v>
      </c>
      <c r="L126" s="315">
        <f t="shared" si="39"/>
        <v>0</v>
      </c>
      <c r="M126" s="315">
        <f t="shared" si="39"/>
        <v>0</v>
      </c>
      <c r="N126" s="746"/>
      <c r="O126" s="747"/>
      <c r="P126" s="747"/>
      <c r="Q126" s="747"/>
      <c r="R126" s="747"/>
      <c r="S126" s="747"/>
      <c r="T126" s="747"/>
      <c r="U126" s="748"/>
      <c r="V126" s="316">
        <f>SUMIF($N$104:$N$121,$F$126,V$104:V$121)</f>
        <v>0</v>
      </c>
      <c r="W126" s="316">
        <f t="shared" ref="W126:X126" si="40">SUMIF($N$104:$N$121,$F$126,W$104:W$121)</f>
        <v>0</v>
      </c>
      <c r="X126" s="317">
        <f t="shared" si="40"/>
        <v>0</v>
      </c>
    </row>
    <row r="127" spans="1:26" ht="12.75" customHeight="1" x14ac:dyDescent="0.2">
      <c r="A127" s="348"/>
      <c r="B127" s="1076" t="str">
        <f ca="1">IF(G122&lt;&gt;SUM(H122:M122),"NEISPRAVAN UNOS U €, POSTOJI RAZLIKA","")</f>
        <v/>
      </c>
      <c r="C127" s="1076"/>
      <c r="D127" s="1076"/>
      <c r="E127" s="1076"/>
      <c r="F127" s="1076"/>
      <c r="G127" s="1076"/>
      <c r="H127" s="1076"/>
      <c r="I127" s="1076"/>
      <c r="J127" s="1076"/>
      <c r="K127" s="1076"/>
      <c r="L127" s="1076"/>
      <c r="M127" s="1074" t="str">
        <f>IF(Y122&gt;0,"Nepotpun unos podataka pod rednim brojem "&amp;MATCH(MAX(Y104:Y121),Y104:Y121,0),"")</f>
        <v/>
      </c>
      <c r="N127" s="1074"/>
      <c r="O127" s="1074"/>
      <c r="P127" s="1074"/>
      <c r="Q127" s="1074"/>
      <c r="R127" s="1074"/>
      <c r="S127" s="1074"/>
      <c r="T127" s="1074"/>
      <c r="U127" s="1074"/>
      <c r="V127" s="318"/>
      <c r="W127" s="318"/>
      <c r="X127" s="318"/>
    </row>
    <row r="128" spans="1:26" ht="9.75" customHeight="1" thickBot="1" x14ac:dyDescent="0.25">
      <c r="B128" s="1077"/>
      <c r="C128" s="1077"/>
      <c r="D128" s="1077"/>
      <c r="E128" s="1077"/>
      <c r="F128" s="1077"/>
      <c r="G128" s="1077"/>
      <c r="H128" s="1077"/>
      <c r="I128" s="1077"/>
      <c r="J128" s="1077"/>
      <c r="K128" s="1077"/>
      <c r="L128" s="1077"/>
      <c r="M128" s="1075" t="str">
        <f>IF(Z122&gt;0,"Neispravni iznosi u € ili zbroj pod rednim brojem "&amp;MATCH(MAX(Z104:Z121),Z104:Z121,0),"")</f>
        <v/>
      </c>
      <c r="N128" s="1075"/>
      <c r="O128" s="1075"/>
      <c r="P128" s="1075"/>
      <c r="Q128" s="1075"/>
      <c r="R128" s="1075"/>
      <c r="S128" s="1075"/>
      <c r="T128" s="1075"/>
      <c r="U128" s="1075"/>
    </row>
    <row r="129" spans="1:26" ht="10.5" thickBot="1" x14ac:dyDescent="0.25">
      <c r="A129" s="760" t="s">
        <v>74</v>
      </c>
      <c r="B129" s="779" t="s">
        <v>78</v>
      </c>
      <c r="C129" s="779"/>
      <c r="D129" s="779"/>
      <c r="E129" s="779"/>
      <c r="F129" s="780"/>
      <c r="G129" s="367">
        <f>K240</f>
        <v>1</v>
      </c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9"/>
    </row>
    <row r="130" spans="1:26" ht="21.75" customHeight="1" thickBot="1" x14ac:dyDescent="0.25">
      <c r="A130" s="792"/>
      <c r="B130" s="370" t="str">
        <f t="shared" ref="B130:M130" si="41">B103</f>
        <v>DATUM</v>
      </c>
      <c r="C130" s="770" t="str">
        <f>C103</f>
        <v>Broj računa FISKALNOG</v>
      </c>
      <c r="D130" s="771"/>
      <c r="E130" s="772"/>
      <c r="F130" s="371" t="str">
        <f t="shared" si="41"/>
        <v>Broj ugovora</v>
      </c>
      <c r="G130" s="371" t="str">
        <f t="shared" si="41"/>
        <v>PRODAJNA CIJENA</v>
      </c>
      <c r="H130" s="371" t="str">
        <f t="shared" si="41"/>
        <v>GOTOVINA</v>
      </c>
      <c r="I130" s="371" t="str">
        <f t="shared" si="41"/>
        <v>POS OTP</v>
      </c>
      <c r="J130" s="371" t="str">
        <f t="shared" si="41"/>
        <v>Žiralno na rate</v>
      </c>
      <c r="K130" s="371" t="str">
        <f t="shared" si="41"/>
        <v>Žiralno storno</v>
      </c>
      <c r="L130" s="371" t="str">
        <f t="shared" si="41"/>
        <v>OSTALO</v>
      </c>
      <c r="M130" s="371" t="str">
        <f t="shared" si="41"/>
        <v>Vrsta Kartice</v>
      </c>
      <c r="N130" s="372" t="s">
        <v>80</v>
      </c>
      <c r="O130" s="372" t="s">
        <v>79</v>
      </c>
      <c r="P130" s="372" t="s">
        <v>98</v>
      </c>
      <c r="Q130" s="793" t="s">
        <v>82</v>
      </c>
      <c r="R130" s="793"/>
      <c r="S130" s="793"/>
      <c r="T130" s="793"/>
      <c r="U130" s="793"/>
      <c r="V130" s="373" t="str">
        <f>V103</f>
        <v>LMS</v>
      </c>
      <c r="W130" s="373" t="str">
        <f>W103</f>
        <v>TO</v>
      </c>
      <c r="X130" s="374" t="str">
        <f>X103</f>
        <v>IP</v>
      </c>
    </row>
    <row r="131" spans="1:26" x14ac:dyDescent="0.2">
      <c r="A131" s="375">
        <v>1</v>
      </c>
      <c r="B131" s="704"/>
      <c r="C131" s="718" t="str">
        <f>IF(B131&lt;&gt;"",MAX(C80:C115)+1,"")</f>
        <v/>
      </c>
      <c r="D131" s="705" t="str">
        <f t="shared" ref="D131:D140" si="42">IF(B131&lt;&gt;"",$F$238,"")</f>
        <v/>
      </c>
      <c r="E131" s="706" t="str">
        <f t="shared" ref="E131:E140" si="43">IF(B131&lt;&gt;"",$F$239,"")</f>
        <v/>
      </c>
      <c r="F131" s="707"/>
      <c r="G131" s="708"/>
      <c r="H131" s="708"/>
      <c r="I131" s="709"/>
      <c r="J131" s="709"/>
      <c r="K131" s="709"/>
      <c r="L131" s="709"/>
      <c r="M131" s="709"/>
      <c r="N131" s="206"/>
      <c r="O131" s="710"/>
      <c r="P131" s="710"/>
      <c r="Q131" s="767"/>
      <c r="R131" s="768"/>
      <c r="S131" s="768"/>
      <c r="T131" s="768"/>
      <c r="U131" s="769"/>
      <c r="V131" s="206"/>
      <c r="W131" s="711"/>
      <c r="X131" s="712"/>
      <c r="Y131" s="394">
        <f t="shared" ref="Y131:Y140" si="44">IF(AND(B131="",G131="",F131=""),0,IF(AND(C131&lt;&gt;"",F131&lt;&gt;"",G131&lt;&gt;"",N131&lt;&gt;"",O131&lt;&gt;"",P131&lt;&gt;"",Q131&lt;&gt;""),0,1))</f>
        <v>0</v>
      </c>
      <c r="Z131" s="394">
        <f t="shared" ref="Z131:Z140" si="45">IF(G131=SUM(H131:L131),0,1)</f>
        <v>0</v>
      </c>
    </row>
    <row r="132" spans="1:26" x14ac:dyDescent="0.2">
      <c r="A132" s="346">
        <f>A131+1</f>
        <v>2</v>
      </c>
      <c r="B132" s="713"/>
      <c r="C132" s="231" t="str">
        <f>IF(B132&lt;&gt;"",C131+1,"")</f>
        <v/>
      </c>
      <c r="D132" s="229" t="str">
        <f t="shared" si="42"/>
        <v/>
      </c>
      <c r="E132" s="230" t="str">
        <f t="shared" si="43"/>
        <v/>
      </c>
      <c r="F132" s="182"/>
      <c r="G132" s="183"/>
      <c r="H132" s="183"/>
      <c r="I132" s="184"/>
      <c r="J132" s="184"/>
      <c r="K132" s="184"/>
      <c r="L132" s="184"/>
      <c r="M132" s="175"/>
      <c r="N132" s="176"/>
      <c r="O132" s="177"/>
      <c r="P132" s="177"/>
      <c r="Q132" s="757"/>
      <c r="R132" s="758"/>
      <c r="S132" s="758"/>
      <c r="T132" s="758"/>
      <c r="U132" s="759"/>
      <c r="V132" s="176"/>
      <c r="W132" s="185"/>
      <c r="X132" s="186"/>
      <c r="Y132" s="394">
        <f t="shared" si="44"/>
        <v>0</v>
      </c>
      <c r="Z132" s="394">
        <f t="shared" si="45"/>
        <v>0</v>
      </c>
    </row>
    <row r="133" spans="1:26" x14ac:dyDescent="0.2">
      <c r="A133" s="346">
        <f t="shared" ref="A133:A137" si="46">A132+1</f>
        <v>3</v>
      </c>
      <c r="B133" s="713"/>
      <c r="C133" s="231" t="str">
        <f t="shared" ref="C133:C140" si="47">IF(B133&lt;&gt;"",C132+1,"")</f>
        <v/>
      </c>
      <c r="D133" s="229" t="str">
        <f t="shared" si="42"/>
        <v/>
      </c>
      <c r="E133" s="230" t="str">
        <f t="shared" si="43"/>
        <v/>
      </c>
      <c r="F133" s="182"/>
      <c r="G133" s="183"/>
      <c r="H133" s="183"/>
      <c r="I133" s="187"/>
      <c r="J133" s="187"/>
      <c r="K133" s="187"/>
      <c r="L133" s="187"/>
      <c r="M133" s="175"/>
      <c r="N133" s="176"/>
      <c r="O133" s="177"/>
      <c r="P133" s="177"/>
      <c r="Q133" s="757"/>
      <c r="R133" s="758"/>
      <c r="S133" s="758"/>
      <c r="T133" s="758"/>
      <c r="U133" s="759"/>
      <c r="V133" s="176"/>
      <c r="W133" s="185"/>
      <c r="X133" s="186"/>
      <c r="Y133" s="394">
        <f t="shared" si="44"/>
        <v>0</v>
      </c>
      <c r="Z133" s="394">
        <f t="shared" si="45"/>
        <v>0</v>
      </c>
    </row>
    <row r="134" spans="1:26" x14ac:dyDescent="0.2">
      <c r="A134" s="346">
        <f t="shared" si="46"/>
        <v>4</v>
      </c>
      <c r="B134" s="713"/>
      <c r="C134" s="231" t="str">
        <f t="shared" si="47"/>
        <v/>
      </c>
      <c r="D134" s="229" t="str">
        <f t="shared" si="42"/>
        <v/>
      </c>
      <c r="E134" s="230" t="str">
        <f t="shared" si="43"/>
        <v/>
      </c>
      <c r="F134" s="182"/>
      <c r="G134" s="183"/>
      <c r="H134" s="183"/>
      <c r="I134" s="187"/>
      <c r="J134" s="187"/>
      <c r="K134" s="187"/>
      <c r="L134" s="187"/>
      <c r="M134" s="175"/>
      <c r="N134" s="176"/>
      <c r="O134" s="177"/>
      <c r="P134" s="177"/>
      <c r="Q134" s="757"/>
      <c r="R134" s="758"/>
      <c r="S134" s="758"/>
      <c r="T134" s="758"/>
      <c r="U134" s="759"/>
      <c r="V134" s="176"/>
      <c r="W134" s="185"/>
      <c r="X134" s="186"/>
      <c r="Y134" s="394">
        <f t="shared" si="44"/>
        <v>0</v>
      </c>
      <c r="Z134" s="394">
        <f t="shared" si="45"/>
        <v>0</v>
      </c>
    </row>
    <row r="135" spans="1:26" x14ac:dyDescent="0.2">
      <c r="A135" s="346">
        <f t="shared" si="46"/>
        <v>5</v>
      </c>
      <c r="B135" s="713"/>
      <c r="C135" s="231" t="str">
        <f t="shared" si="47"/>
        <v/>
      </c>
      <c r="D135" s="229" t="str">
        <f t="shared" si="42"/>
        <v/>
      </c>
      <c r="E135" s="230" t="str">
        <f t="shared" si="43"/>
        <v/>
      </c>
      <c r="F135" s="182"/>
      <c r="G135" s="183"/>
      <c r="H135" s="183"/>
      <c r="I135" s="184"/>
      <c r="J135" s="184"/>
      <c r="K135" s="184"/>
      <c r="L135" s="184"/>
      <c r="M135" s="175"/>
      <c r="N135" s="176"/>
      <c r="O135" s="177"/>
      <c r="P135" s="177"/>
      <c r="Q135" s="757"/>
      <c r="R135" s="758"/>
      <c r="S135" s="758"/>
      <c r="T135" s="758"/>
      <c r="U135" s="759"/>
      <c r="V135" s="176"/>
      <c r="W135" s="185"/>
      <c r="X135" s="186"/>
      <c r="Y135" s="394">
        <f t="shared" si="44"/>
        <v>0</v>
      </c>
      <c r="Z135" s="394">
        <f t="shared" si="45"/>
        <v>0</v>
      </c>
    </row>
    <row r="136" spans="1:26" x14ac:dyDescent="0.2">
      <c r="A136" s="346">
        <f t="shared" si="46"/>
        <v>6</v>
      </c>
      <c r="B136" s="713"/>
      <c r="C136" s="231" t="str">
        <f t="shared" si="47"/>
        <v/>
      </c>
      <c r="D136" s="229" t="str">
        <f t="shared" si="42"/>
        <v/>
      </c>
      <c r="E136" s="230" t="str">
        <f t="shared" si="43"/>
        <v/>
      </c>
      <c r="F136" s="182"/>
      <c r="G136" s="183"/>
      <c r="H136" s="183"/>
      <c r="I136" s="184"/>
      <c r="J136" s="184"/>
      <c r="K136" s="184"/>
      <c r="L136" s="184"/>
      <c r="M136" s="175"/>
      <c r="N136" s="176"/>
      <c r="O136" s="177"/>
      <c r="P136" s="177"/>
      <c r="Q136" s="757"/>
      <c r="R136" s="758"/>
      <c r="S136" s="758"/>
      <c r="T136" s="758"/>
      <c r="U136" s="759"/>
      <c r="V136" s="176"/>
      <c r="W136" s="185"/>
      <c r="X136" s="186"/>
      <c r="Y136" s="394">
        <f t="shared" si="44"/>
        <v>0</v>
      </c>
      <c r="Z136" s="394">
        <f t="shared" si="45"/>
        <v>0</v>
      </c>
    </row>
    <row r="137" spans="1:26" x14ac:dyDescent="0.2">
      <c r="A137" s="346">
        <f t="shared" si="46"/>
        <v>7</v>
      </c>
      <c r="B137" s="713"/>
      <c r="C137" s="231" t="str">
        <f t="shared" si="47"/>
        <v/>
      </c>
      <c r="D137" s="229" t="str">
        <f t="shared" si="42"/>
        <v/>
      </c>
      <c r="E137" s="230" t="str">
        <f t="shared" si="43"/>
        <v/>
      </c>
      <c r="F137" s="182"/>
      <c r="G137" s="183"/>
      <c r="H137" s="183"/>
      <c r="I137" s="184"/>
      <c r="J137" s="184"/>
      <c r="K137" s="184"/>
      <c r="L137" s="184"/>
      <c r="M137" s="175"/>
      <c r="N137" s="176"/>
      <c r="O137" s="177"/>
      <c r="P137" s="177"/>
      <c r="Q137" s="757"/>
      <c r="R137" s="758"/>
      <c r="S137" s="758"/>
      <c r="T137" s="758"/>
      <c r="U137" s="759"/>
      <c r="V137" s="176"/>
      <c r="W137" s="185"/>
      <c r="X137" s="186"/>
      <c r="Y137" s="394">
        <f t="shared" si="44"/>
        <v>0</v>
      </c>
      <c r="Z137" s="394">
        <f t="shared" si="45"/>
        <v>0</v>
      </c>
    </row>
    <row r="138" spans="1:26" x14ac:dyDescent="0.2">
      <c r="A138" s="346">
        <v>8</v>
      </c>
      <c r="B138" s="713"/>
      <c r="C138" s="231" t="str">
        <f>IF(B138&lt;&gt;"",#REF!+1,"")</f>
        <v/>
      </c>
      <c r="D138" s="229" t="str">
        <f t="shared" si="42"/>
        <v/>
      </c>
      <c r="E138" s="230" t="str">
        <f t="shared" si="43"/>
        <v/>
      </c>
      <c r="F138" s="182"/>
      <c r="G138" s="183"/>
      <c r="H138" s="183"/>
      <c r="I138" s="184"/>
      <c r="J138" s="184"/>
      <c r="K138" s="184"/>
      <c r="L138" s="184"/>
      <c r="M138" s="175"/>
      <c r="N138" s="176"/>
      <c r="O138" s="177"/>
      <c r="P138" s="177"/>
      <c r="Q138" s="757"/>
      <c r="R138" s="758"/>
      <c r="S138" s="758"/>
      <c r="T138" s="758"/>
      <c r="U138" s="759"/>
      <c r="V138" s="176"/>
      <c r="W138" s="185"/>
      <c r="X138" s="186"/>
      <c r="Y138" s="394">
        <f t="shared" si="44"/>
        <v>0</v>
      </c>
      <c r="Z138" s="394">
        <f t="shared" si="45"/>
        <v>0</v>
      </c>
    </row>
    <row r="139" spans="1:26" x14ac:dyDescent="0.2">
      <c r="A139" s="346">
        <v>9</v>
      </c>
      <c r="B139" s="715"/>
      <c r="C139" s="231" t="str">
        <f t="shared" si="47"/>
        <v/>
      </c>
      <c r="D139" s="229" t="str">
        <f t="shared" si="42"/>
        <v/>
      </c>
      <c r="E139" s="230" t="str">
        <f t="shared" si="43"/>
        <v/>
      </c>
      <c r="F139" s="182"/>
      <c r="G139" s="183"/>
      <c r="H139" s="183"/>
      <c r="I139" s="184"/>
      <c r="J139" s="184"/>
      <c r="K139" s="184"/>
      <c r="L139" s="184"/>
      <c r="M139" s="175"/>
      <c r="N139" s="176"/>
      <c r="O139" s="177"/>
      <c r="P139" s="177"/>
      <c r="Q139" s="757"/>
      <c r="R139" s="758"/>
      <c r="S139" s="758"/>
      <c r="T139" s="758"/>
      <c r="U139" s="759"/>
      <c r="V139" s="176"/>
      <c r="W139" s="185"/>
      <c r="X139" s="186"/>
      <c r="Y139" s="394">
        <f t="shared" si="44"/>
        <v>0</v>
      </c>
      <c r="Z139" s="394">
        <f t="shared" si="45"/>
        <v>0</v>
      </c>
    </row>
    <row r="140" spans="1:26" ht="10.5" thickBot="1" x14ac:dyDescent="0.25">
      <c r="A140" s="347">
        <v>10</v>
      </c>
      <c r="B140" s="716"/>
      <c r="C140" s="231" t="str">
        <f t="shared" si="47"/>
        <v/>
      </c>
      <c r="D140" s="229" t="str">
        <f t="shared" si="42"/>
        <v/>
      </c>
      <c r="E140" s="230" t="str">
        <f t="shared" si="43"/>
        <v/>
      </c>
      <c r="F140" s="189"/>
      <c r="G140" s="190"/>
      <c r="H140" s="190"/>
      <c r="I140" s="191"/>
      <c r="J140" s="191"/>
      <c r="K140" s="191"/>
      <c r="L140" s="191"/>
      <c r="M140" s="175"/>
      <c r="N140" s="176"/>
      <c r="O140" s="177"/>
      <c r="P140" s="177"/>
      <c r="Q140" s="773"/>
      <c r="R140" s="774"/>
      <c r="S140" s="774"/>
      <c r="T140" s="774"/>
      <c r="U140" s="775"/>
      <c r="V140" s="192"/>
      <c r="W140" s="192"/>
      <c r="X140" s="193"/>
      <c r="Y140" s="394">
        <f t="shared" si="44"/>
        <v>0</v>
      </c>
      <c r="Z140" s="394">
        <f t="shared" si="45"/>
        <v>0</v>
      </c>
    </row>
    <row r="141" spans="1:26" ht="10.5" thickBot="1" x14ac:dyDescent="0.25">
      <c r="A141" s="348"/>
      <c r="B141" s="776" t="s">
        <v>65</v>
      </c>
      <c r="C141" s="777"/>
      <c r="D141" s="777"/>
      <c r="E141" s="777"/>
      <c r="F141" s="778"/>
      <c r="G141" s="299">
        <f t="shared" ref="G141:M141" ca="1" si="48">IF($N$236="",SUM(G131:G140),"")</f>
        <v>0</v>
      </c>
      <c r="H141" s="299">
        <f t="shared" ca="1" si="48"/>
        <v>0</v>
      </c>
      <c r="I141" s="299">
        <f t="shared" ca="1" si="48"/>
        <v>0</v>
      </c>
      <c r="J141" s="299">
        <f t="shared" ca="1" si="48"/>
        <v>0</v>
      </c>
      <c r="K141" s="299">
        <f t="shared" ca="1" si="48"/>
        <v>0</v>
      </c>
      <c r="L141" s="299">
        <f t="shared" ca="1" si="48"/>
        <v>0</v>
      </c>
      <c r="M141" s="299">
        <f t="shared" ca="1" si="48"/>
        <v>0</v>
      </c>
      <c r="N141" s="349"/>
      <c r="O141" s="350"/>
      <c r="P141" s="350"/>
      <c r="Q141" s="350"/>
      <c r="R141" s="350"/>
      <c r="S141" s="350"/>
      <c r="T141" s="350"/>
      <c r="U141" s="351"/>
      <c r="V141" s="702">
        <f ca="1">IF($N$236="",SUM(V131:V140),"")</f>
        <v>0</v>
      </c>
      <c r="W141" s="702">
        <f ca="1">IF($N$236="",SUM(W131:W140),"")</f>
        <v>0</v>
      </c>
      <c r="X141" s="703">
        <f ca="1">IF($N$236="",SUM(X131:X140),"")</f>
        <v>0</v>
      </c>
      <c r="Y141" s="394">
        <f>SUM(Y124:Y140)</f>
        <v>0</v>
      </c>
      <c r="Z141" s="394">
        <f>SUM(Z124:Z140)</f>
        <v>0</v>
      </c>
    </row>
    <row r="142" spans="1:26" ht="12.75" customHeight="1" x14ac:dyDescent="0.2">
      <c r="A142" s="348"/>
      <c r="B142" s="303"/>
      <c r="C142" s="304"/>
      <c r="D142" s="303"/>
      <c r="E142" s="305"/>
      <c r="F142" s="306" t="str">
        <f>F123</f>
        <v>T13</v>
      </c>
      <c r="G142" s="307">
        <f>SUMIF($N$131:$N$140,$F$142,G$131:G$140)</f>
        <v>0</v>
      </c>
      <c r="H142" s="307">
        <f t="shared" ref="H142:M142" si="49">SUMIF($N$131:$N$140,$F$142,H$131:H$140)</f>
        <v>0</v>
      </c>
      <c r="I142" s="307">
        <f t="shared" si="49"/>
        <v>0</v>
      </c>
      <c r="J142" s="307">
        <f t="shared" si="49"/>
        <v>0</v>
      </c>
      <c r="K142" s="307">
        <f t="shared" si="49"/>
        <v>0</v>
      </c>
      <c r="L142" s="307">
        <f t="shared" si="49"/>
        <v>0</v>
      </c>
      <c r="M142" s="307">
        <f t="shared" si="49"/>
        <v>0</v>
      </c>
      <c r="N142" s="740"/>
      <c r="O142" s="741"/>
      <c r="P142" s="741"/>
      <c r="Q142" s="741"/>
      <c r="R142" s="741"/>
      <c r="S142" s="741"/>
      <c r="T142" s="741"/>
      <c r="U142" s="742"/>
      <c r="V142" s="308">
        <f>SUMIF($N$131:$N$140,$F$142,V$131:V$140)</f>
        <v>0</v>
      </c>
      <c r="W142" s="308">
        <f>SUMIF($N$131:$N$140,$F$142,W$131:W$140)</f>
        <v>0</v>
      </c>
      <c r="X142" s="309">
        <f>SUMIF($N$131:$N$140,$F$142,X$131:X$140)</f>
        <v>0</v>
      </c>
    </row>
    <row r="143" spans="1:26" ht="12.75" customHeight="1" x14ac:dyDescent="0.2">
      <c r="A143" s="348"/>
      <c r="B143" s="303"/>
      <c r="C143" s="304"/>
      <c r="D143" s="303"/>
      <c r="E143" s="305"/>
      <c r="F143" s="310">
        <f>F124</f>
        <v>0</v>
      </c>
      <c r="G143" s="311">
        <f t="shared" ref="G143:M143" si="50">SUMIF($N$131:$N$140,$F$143,G$131:G$140)</f>
        <v>0</v>
      </c>
      <c r="H143" s="311">
        <f t="shared" si="50"/>
        <v>0</v>
      </c>
      <c r="I143" s="311">
        <f t="shared" si="50"/>
        <v>0</v>
      </c>
      <c r="J143" s="311">
        <f t="shared" si="50"/>
        <v>0</v>
      </c>
      <c r="K143" s="311">
        <f t="shared" si="50"/>
        <v>0</v>
      </c>
      <c r="L143" s="311">
        <f t="shared" si="50"/>
        <v>0</v>
      </c>
      <c r="M143" s="311">
        <f t="shared" si="50"/>
        <v>0</v>
      </c>
      <c r="N143" s="743"/>
      <c r="O143" s="744"/>
      <c r="P143" s="744"/>
      <c r="Q143" s="744"/>
      <c r="R143" s="744"/>
      <c r="S143" s="744"/>
      <c r="T143" s="744"/>
      <c r="U143" s="745"/>
      <c r="V143" s="312">
        <f>SUMIF($N$131:$N$140,$F$143,V$131:V$140)</f>
        <v>0</v>
      </c>
      <c r="W143" s="312">
        <f>SUMIF($N$131:$N$140,$F$143,W$131:W$140)</f>
        <v>0</v>
      </c>
      <c r="X143" s="313">
        <f>SUMIF($N$131:$N$140,$F$143,X$131:X$140)</f>
        <v>0</v>
      </c>
    </row>
    <row r="144" spans="1:26" ht="12.75" customHeight="1" x14ac:dyDescent="0.2">
      <c r="A144" s="348"/>
      <c r="B144" s="303"/>
      <c r="C144" s="304"/>
      <c r="D144" s="303"/>
      <c r="E144" s="305"/>
      <c r="F144" s="310">
        <f>F125</f>
        <v>0</v>
      </c>
      <c r="G144" s="311">
        <f t="shared" ref="G144:M144" si="51">SUMIF($N$131:$N$140,$F$144,G$131:G$140)</f>
        <v>0</v>
      </c>
      <c r="H144" s="311">
        <f t="shared" si="51"/>
        <v>0</v>
      </c>
      <c r="I144" s="311">
        <f t="shared" si="51"/>
        <v>0</v>
      </c>
      <c r="J144" s="311">
        <f t="shared" si="51"/>
        <v>0</v>
      </c>
      <c r="K144" s="311">
        <f t="shared" si="51"/>
        <v>0</v>
      </c>
      <c r="L144" s="311">
        <f t="shared" si="51"/>
        <v>0</v>
      </c>
      <c r="M144" s="311">
        <f t="shared" si="51"/>
        <v>0</v>
      </c>
      <c r="N144" s="743"/>
      <c r="O144" s="744"/>
      <c r="P144" s="744"/>
      <c r="Q144" s="744"/>
      <c r="R144" s="744"/>
      <c r="S144" s="744"/>
      <c r="T144" s="744"/>
      <c r="U144" s="745"/>
      <c r="V144" s="312">
        <f>SUMIF($N$131:$N$140,$F$144,V$131:V$140)</f>
        <v>0</v>
      </c>
      <c r="W144" s="312">
        <f>SUMIF($N$131:$N$140,$F$144,W$131:W$140)</f>
        <v>0</v>
      </c>
      <c r="X144" s="313">
        <f>SUMIF($N$131:$N$140,$F$144,X$131:X$140)</f>
        <v>0</v>
      </c>
    </row>
    <row r="145" spans="1:24" ht="13.5" customHeight="1" thickBot="1" x14ac:dyDescent="0.25">
      <c r="A145" s="348"/>
      <c r="B145" s="303"/>
      <c r="C145" s="304"/>
      <c r="D145" s="303"/>
      <c r="E145" s="305"/>
      <c r="F145" s="314">
        <f>F126</f>
        <v>0</v>
      </c>
      <c r="G145" s="315">
        <f t="shared" ref="G145:M145" si="52">SUMIF($N$131:$N$140,$F$145,G$131:G$140)</f>
        <v>0</v>
      </c>
      <c r="H145" s="315">
        <f t="shared" si="52"/>
        <v>0</v>
      </c>
      <c r="I145" s="315">
        <f t="shared" si="52"/>
        <v>0</v>
      </c>
      <c r="J145" s="315">
        <f t="shared" si="52"/>
        <v>0</v>
      </c>
      <c r="K145" s="315">
        <f t="shared" si="52"/>
        <v>0</v>
      </c>
      <c r="L145" s="315">
        <f t="shared" si="52"/>
        <v>0</v>
      </c>
      <c r="M145" s="315">
        <f t="shared" si="52"/>
        <v>0</v>
      </c>
      <c r="N145" s="746"/>
      <c r="O145" s="747"/>
      <c r="P145" s="747"/>
      <c r="Q145" s="747"/>
      <c r="R145" s="747"/>
      <c r="S145" s="747"/>
      <c r="T145" s="747"/>
      <c r="U145" s="748"/>
      <c r="V145" s="316">
        <f>SUMIF($N$131:$N$140,$F$145,V$131:V$140)</f>
        <v>0</v>
      </c>
      <c r="W145" s="316">
        <f>SUMIF($N$131:$N$140,$F$145,W$131:W$140)</f>
        <v>0</v>
      </c>
      <c r="X145" s="317">
        <f>SUMIF($N$131:$N$140,$F$145,X$131:X$140)</f>
        <v>0</v>
      </c>
    </row>
    <row r="146" spans="1:24" ht="9.75" customHeight="1" x14ac:dyDescent="0.2">
      <c r="A146" s="348"/>
      <c r="B146" s="753" t="str">
        <f ca="1">IF(G141&lt;&gt;SUM(H141:M141),"NEISPRAVAN UNOS, POSTOJI RAZLIKA","")</f>
        <v/>
      </c>
      <c r="C146" s="753"/>
      <c r="D146" s="753"/>
      <c r="E146" s="753"/>
      <c r="F146" s="753"/>
      <c r="G146" s="753"/>
      <c r="H146" s="753"/>
      <c r="I146" s="753"/>
      <c r="J146" s="753"/>
      <c r="K146" s="753"/>
      <c r="L146" s="753"/>
      <c r="M146" s="1068" t="str">
        <f>IF(Y141&gt;0,"Nepotpun unos podataka pod rednim brojem "&amp;MATCH(MAX(Y131:Y140),Y131:Y140,0),"")</f>
        <v/>
      </c>
      <c r="N146" s="1069"/>
      <c r="O146" s="1069"/>
      <c r="P146" s="1069"/>
      <c r="Q146" s="1069"/>
      <c r="R146" s="1069"/>
      <c r="S146" s="1069"/>
      <c r="T146" s="1069"/>
      <c r="U146" s="1069"/>
      <c r="V146" s="318"/>
      <c r="W146" s="318"/>
      <c r="X146" s="318"/>
    </row>
    <row r="147" spans="1:24" ht="10.5" customHeight="1" x14ac:dyDescent="0.2">
      <c r="B147" s="699"/>
      <c r="C147" s="739" t="str">
        <f>IF(B104&lt;(46211+365+180),"obavezan unos datuma u polje B104 ako ima prometa","")</f>
        <v>obavezan unos datuma u polje B104 ako ima prometa</v>
      </c>
      <c r="D147" s="739"/>
      <c r="E147" s="739"/>
      <c r="F147" s="739"/>
      <c r="G147" s="739"/>
      <c r="H147" s="739"/>
      <c r="I147" s="739"/>
      <c r="J147" s="699"/>
      <c r="K147" s="699"/>
      <c r="L147" s="699"/>
      <c r="M147" s="1069" t="str">
        <f>IF(Z141&gt;0,"Neispravni iznosi u € ili zbroj pod rednim brojem "&amp;MATCH(MAX(Z131:Z140),Z131:Z140,0),"")</f>
        <v/>
      </c>
      <c r="N147" s="1069"/>
      <c r="O147" s="1069"/>
      <c r="P147" s="1069"/>
      <c r="Q147" s="1069"/>
      <c r="R147" s="1069"/>
      <c r="S147" s="1069"/>
      <c r="T147" s="1069"/>
      <c r="U147" s="1069"/>
      <c r="V147" s="319"/>
      <c r="W147" s="319"/>
      <c r="X147" s="319"/>
    </row>
    <row r="148" spans="1:24" ht="12.75" thickBot="1" x14ac:dyDescent="0.25">
      <c r="B148" s="376" t="str">
        <f>B53</f>
        <v>Medem d.o.o.</v>
      </c>
      <c r="L148" s="820" t="str">
        <f>IF(OR(B192&lt;&gt;"",H192&lt;&gt;""),"!!! NEISPRAVNA / NEDOVRŠENA TABLICA","")</f>
        <v/>
      </c>
      <c r="M148" s="820"/>
      <c r="N148" s="820"/>
      <c r="O148" s="820"/>
      <c r="P148" s="820"/>
      <c r="Q148" s="820"/>
      <c r="R148" s="820"/>
      <c r="S148" s="820"/>
      <c r="V148" s="333" t="str">
        <f>V101</f>
        <v>verzija 7/2026</v>
      </c>
    </row>
    <row r="149" spans="1:24" ht="10.5" thickBot="1" x14ac:dyDescent="0.25">
      <c r="A149" s="805" t="s">
        <v>187</v>
      </c>
      <c r="B149" s="806"/>
      <c r="C149" s="806"/>
      <c r="D149" s="806"/>
      <c r="E149" s="806"/>
      <c r="F149" s="806"/>
      <c r="G149" s="806"/>
      <c r="H149" s="806"/>
      <c r="I149" s="806"/>
      <c r="J149" s="806"/>
      <c r="K149" s="806"/>
      <c r="L149" s="806"/>
      <c r="M149" s="807"/>
      <c r="O149" s="377"/>
      <c r="P149" s="378"/>
      <c r="Q149" s="378"/>
      <c r="R149" s="337" t="s">
        <v>129</v>
      </c>
      <c r="S149" s="378">
        <f>A153</f>
        <v>0</v>
      </c>
      <c r="T149" s="378"/>
      <c r="U149" s="378"/>
      <c r="V149" s="379"/>
      <c r="W149" s="379"/>
      <c r="X149" s="380"/>
    </row>
    <row r="150" spans="1:24" ht="10.5" thickBot="1" x14ac:dyDescent="0.25">
      <c r="A150" s="808" t="s">
        <v>59</v>
      </c>
      <c r="B150" s="809"/>
      <c r="C150" s="872" t="s">
        <v>66</v>
      </c>
      <c r="D150" s="873"/>
      <c r="E150" s="873"/>
      <c r="F150" s="809"/>
      <c r="G150" s="287" t="str">
        <f t="shared" ref="G150:M150" si="53">H200</f>
        <v>LMS</v>
      </c>
      <c r="H150" s="287" t="str">
        <f t="shared" si="53"/>
        <v>TO</v>
      </c>
      <c r="I150" s="287" t="str">
        <f t="shared" si="53"/>
        <v>IP</v>
      </c>
      <c r="J150" s="287" t="str">
        <f t="shared" si="53"/>
        <v>Test</v>
      </c>
      <c r="K150" s="287" t="str">
        <f t="shared" si="53"/>
        <v>EMS</v>
      </c>
      <c r="L150" s="287" t="str">
        <f t="shared" si="53"/>
        <v>TEL</v>
      </c>
      <c r="M150" s="288" t="str">
        <f t="shared" si="53"/>
        <v>KREMA</v>
      </c>
      <c r="O150" s="810" t="s">
        <v>190</v>
      </c>
      <c r="P150" s="811"/>
      <c r="Q150" s="814" t="s">
        <v>108</v>
      </c>
      <c r="R150" s="816" t="s">
        <v>189</v>
      </c>
      <c r="S150" s="817"/>
      <c r="T150" s="818"/>
      <c r="U150" s="817" t="s">
        <v>254</v>
      </c>
      <c r="V150" s="817"/>
      <c r="W150" s="817"/>
      <c r="X150" s="819"/>
    </row>
    <row r="151" spans="1:24" ht="10.5" thickBot="1" x14ac:dyDescent="0.25">
      <c r="A151" s="794">
        <f>A202</f>
        <v>46204</v>
      </c>
      <c r="B151" s="795"/>
      <c r="C151" s="1039" t="s">
        <v>69</v>
      </c>
      <c r="D151" s="1040"/>
      <c r="E151" s="1040"/>
      <c r="F151" s="1041"/>
      <c r="G151" s="289">
        <f t="shared" ref="G151:M151" ca="1" si="54">H209</f>
        <v>0</v>
      </c>
      <c r="H151" s="289">
        <f t="shared" ca="1" si="54"/>
        <v>0</v>
      </c>
      <c r="I151" s="289">
        <f t="shared" ca="1" si="54"/>
        <v>0</v>
      </c>
      <c r="J151" s="289">
        <f t="shared" ca="1" si="54"/>
        <v>0</v>
      </c>
      <c r="K151" s="289">
        <f t="shared" ca="1" si="54"/>
        <v>0</v>
      </c>
      <c r="L151" s="289">
        <f t="shared" ca="1" si="54"/>
        <v>0</v>
      </c>
      <c r="M151" s="290">
        <f t="shared" ca="1" si="54"/>
        <v>0</v>
      </c>
      <c r="O151" s="812"/>
      <c r="P151" s="813"/>
      <c r="Q151" s="815"/>
      <c r="R151" s="270" t="s">
        <v>110</v>
      </c>
      <c r="S151" s="381" t="s">
        <v>174</v>
      </c>
      <c r="T151" s="270" t="s">
        <v>253</v>
      </c>
      <c r="U151" s="270" t="str">
        <f t="shared" ref="U151:W151" si="55">J150</f>
        <v>Test</v>
      </c>
      <c r="V151" s="270" t="str">
        <f t="shared" si="55"/>
        <v>EMS</v>
      </c>
      <c r="W151" s="270" t="str">
        <f t="shared" si="55"/>
        <v>TEL</v>
      </c>
      <c r="X151" s="273" t="str">
        <f>N200</f>
        <v>KREMA</v>
      </c>
    </row>
    <row r="152" spans="1:24" x14ac:dyDescent="0.2">
      <c r="A152" s="291" t="s">
        <v>151</v>
      </c>
      <c r="B152" s="292" t="s">
        <v>146</v>
      </c>
      <c r="C152" s="1015" t="s">
        <v>147</v>
      </c>
      <c r="D152" s="1042"/>
      <c r="E152" s="890"/>
      <c r="F152" s="293" t="s">
        <v>151</v>
      </c>
      <c r="G152" s="796" t="s">
        <v>168</v>
      </c>
      <c r="H152" s="797"/>
      <c r="I152" s="797"/>
      <c r="J152" s="797"/>
      <c r="K152" s="797"/>
      <c r="L152" s="797"/>
      <c r="M152" s="798"/>
      <c r="O152" s="799" t="s">
        <v>117</v>
      </c>
      <c r="P152" s="800"/>
      <c r="Q152" s="176"/>
      <c r="R152" s="205"/>
      <c r="S152" s="205"/>
      <c r="T152" s="205"/>
      <c r="U152" s="205"/>
      <c r="V152" s="206"/>
      <c r="W152" s="206"/>
      <c r="X152" s="207"/>
    </row>
    <row r="153" spans="1:24" x14ac:dyDescent="0.2">
      <c r="A153" s="265">
        <f>G4</f>
        <v>0</v>
      </c>
      <c r="B153" s="266">
        <f ca="1">G43</f>
        <v>0</v>
      </c>
      <c r="C153" s="1036">
        <f ca="1">H43</f>
        <v>0</v>
      </c>
      <c r="D153" s="1037"/>
      <c r="E153" s="1038"/>
      <c r="F153" s="267" t="s">
        <v>149</v>
      </c>
      <c r="G153" s="294">
        <f ca="1">V43</f>
        <v>0</v>
      </c>
      <c r="H153" s="294">
        <f ca="1">W43</f>
        <v>0</v>
      </c>
      <c r="I153" s="294">
        <f ca="1">X43</f>
        <v>0</v>
      </c>
      <c r="J153" s="294">
        <f ca="1">U164*T214</f>
        <v>0</v>
      </c>
      <c r="K153" s="294">
        <f ca="1">V164*T215</f>
        <v>0</v>
      </c>
      <c r="L153" s="294">
        <f ca="1">W164*T216</f>
        <v>0</v>
      </c>
      <c r="M153" s="272">
        <f ca="1">X164</f>
        <v>0</v>
      </c>
      <c r="O153" s="801" t="s">
        <v>109</v>
      </c>
      <c r="P153" s="802"/>
      <c r="Q153" s="176"/>
      <c r="R153" s="208"/>
      <c r="S153" s="208"/>
      <c r="T153" s="208"/>
      <c r="U153" s="208"/>
      <c r="V153" s="176"/>
      <c r="W153" s="176"/>
      <c r="X153" s="209"/>
    </row>
    <row r="154" spans="1:24" ht="10.5" thickBot="1" x14ac:dyDescent="0.25">
      <c r="A154" s="268">
        <f>A153+1</f>
        <v>1</v>
      </c>
      <c r="B154" s="269">
        <f ca="1">G94</f>
        <v>0</v>
      </c>
      <c r="C154" s="1043">
        <f ca="1">H94</f>
        <v>0</v>
      </c>
      <c r="D154" s="1044"/>
      <c r="E154" s="1045"/>
      <c r="F154" s="270" t="s">
        <v>150</v>
      </c>
      <c r="G154" s="295">
        <f ca="1">V94</f>
        <v>0</v>
      </c>
      <c r="H154" s="295">
        <f ca="1">W94</f>
        <v>0</v>
      </c>
      <c r="I154" s="295">
        <f ca="1">X94</f>
        <v>0</v>
      </c>
      <c r="J154" s="294">
        <f ca="1">U186*T214</f>
        <v>0</v>
      </c>
      <c r="K154" s="294">
        <f ca="1">V186*T215</f>
        <v>0</v>
      </c>
      <c r="L154" s="294">
        <f ca="1">W186*T216</f>
        <v>0</v>
      </c>
      <c r="M154" s="273">
        <f ca="1">X186</f>
        <v>0</v>
      </c>
      <c r="O154" s="803" t="s">
        <v>118</v>
      </c>
      <c r="P154" s="804"/>
      <c r="Q154" s="176"/>
      <c r="R154" s="208"/>
      <c r="S154" s="208"/>
      <c r="T154" s="208"/>
      <c r="U154" s="208"/>
      <c r="V154" s="176"/>
      <c r="W154" s="176"/>
      <c r="X154" s="209"/>
    </row>
    <row r="155" spans="1:24" ht="10.5" thickBot="1" x14ac:dyDescent="0.25">
      <c r="A155" s="296" t="s">
        <v>188</v>
      </c>
      <c r="B155" s="297">
        <f ca="1">B221</f>
        <v>0</v>
      </c>
      <c r="C155" s="1046">
        <f ca="1">C221</f>
        <v>0</v>
      </c>
      <c r="D155" s="1047"/>
      <c r="E155" s="1048"/>
      <c r="F155" s="298" t="s">
        <v>185</v>
      </c>
      <c r="G155" s="274">
        <f ca="1">G151-G153-G154</f>
        <v>0</v>
      </c>
      <c r="H155" s="274">
        <f t="shared" ref="H155:M155" ca="1" si="56">H151-H153-H154</f>
        <v>0</v>
      </c>
      <c r="I155" s="274">
        <f t="shared" ca="1" si="56"/>
        <v>0</v>
      </c>
      <c r="J155" s="274">
        <f t="shared" ca="1" si="56"/>
        <v>0</v>
      </c>
      <c r="K155" s="274">
        <f t="shared" ca="1" si="56"/>
        <v>0</v>
      </c>
      <c r="L155" s="274">
        <f t="shared" ca="1" si="56"/>
        <v>0</v>
      </c>
      <c r="M155" s="274">
        <f t="shared" ca="1" si="56"/>
        <v>0</v>
      </c>
      <c r="O155" s="801" t="s">
        <v>111</v>
      </c>
      <c r="P155" s="802"/>
      <c r="Q155" s="176"/>
      <c r="R155" s="208"/>
      <c r="S155" s="208"/>
      <c r="T155" s="208"/>
      <c r="U155" s="208"/>
      <c r="V155" s="176"/>
      <c r="W155" s="176"/>
      <c r="X155" s="209"/>
    </row>
    <row r="156" spans="1:24" ht="10.5" thickBot="1" x14ac:dyDescent="0.25">
      <c r="O156" s="803" t="s">
        <v>112</v>
      </c>
      <c r="P156" s="804"/>
      <c r="Q156" s="176"/>
      <c r="R156" s="208"/>
      <c r="S156" s="208"/>
      <c r="T156" s="208"/>
      <c r="U156" s="208"/>
      <c r="V156" s="176"/>
      <c r="W156" s="176"/>
      <c r="X156" s="209"/>
    </row>
    <row r="157" spans="1:24" ht="10.5" thickBot="1" x14ac:dyDescent="0.25">
      <c r="A157" s="825" t="s">
        <v>184</v>
      </c>
      <c r="B157" s="826"/>
      <c r="C157" s="826"/>
      <c r="D157" s="826"/>
      <c r="E157" s="826"/>
      <c r="F157" s="826"/>
      <c r="G157" s="826"/>
      <c r="H157" s="826"/>
      <c r="I157" s="826"/>
      <c r="J157" s="827"/>
      <c r="K157" s="334"/>
      <c r="N157" s="334"/>
      <c r="O157" s="801" t="s">
        <v>113</v>
      </c>
      <c r="P157" s="802"/>
      <c r="Q157" s="176"/>
      <c r="R157" s="208"/>
      <c r="S157" s="208"/>
      <c r="T157" s="208"/>
      <c r="U157" s="208"/>
      <c r="V157" s="176"/>
      <c r="W157" s="176"/>
      <c r="X157" s="209"/>
    </row>
    <row r="158" spans="1:24" ht="12.75" customHeight="1" x14ac:dyDescent="0.2">
      <c r="A158" s="828" t="s">
        <v>181</v>
      </c>
      <c r="B158" s="830" t="s">
        <v>64</v>
      </c>
      <c r="C158" s="832" t="s">
        <v>67</v>
      </c>
      <c r="D158" s="833"/>
      <c r="E158" s="834"/>
      <c r="F158" s="821" t="s">
        <v>294</v>
      </c>
      <c r="G158" s="821" t="s">
        <v>198</v>
      </c>
      <c r="H158" s="821" t="s">
        <v>301</v>
      </c>
      <c r="I158" s="821" t="s">
        <v>202</v>
      </c>
      <c r="J158" s="823" t="s">
        <v>203</v>
      </c>
      <c r="N158" s="355"/>
      <c r="O158" s="803" t="s">
        <v>119</v>
      </c>
      <c r="P158" s="804"/>
      <c r="Q158" s="176"/>
      <c r="R158" s="208"/>
      <c r="S158" s="208"/>
      <c r="T158" s="208"/>
      <c r="U158" s="208"/>
      <c r="V158" s="176"/>
      <c r="W158" s="176"/>
      <c r="X158" s="209"/>
    </row>
    <row r="159" spans="1:24" ht="10.5" thickBot="1" x14ac:dyDescent="0.25">
      <c r="A159" s="829"/>
      <c r="B159" s="831"/>
      <c r="C159" s="835"/>
      <c r="D159" s="836"/>
      <c r="E159" s="837"/>
      <c r="F159" s="822"/>
      <c r="G159" s="822"/>
      <c r="H159" s="822"/>
      <c r="I159" s="822"/>
      <c r="J159" s="824"/>
      <c r="O159" s="801" t="s">
        <v>114</v>
      </c>
      <c r="P159" s="802"/>
      <c r="Q159" s="176"/>
      <c r="R159" s="208"/>
      <c r="S159" s="208"/>
      <c r="T159" s="208"/>
      <c r="U159" s="208"/>
      <c r="V159" s="176"/>
      <c r="W159" s="176"/>
      <c r="X159" s="209"/>
    </row>
    <row r="160" spans="1:24" x14ac:dyDescent="0.2">
      <c r="A160" s="277" t="str">
        <f>F95</f>
        <v>T13</v>
      </c>
      <c r="B160" s="278">
        <f t="shared" ref="B160:C163" si="57">G44+G95</f>
        <v>0</v>
      </c>
      <c r="C160" s="838">
        <f t="shared" si="57"/>
        <v>0</v>
      </c>
      <c r="D160" s="839"/>
      <c r="E160" s="840"/>
      <c r="F160" s="278">
        <f t="shared" ref="F160:J163" si="58">I44+I95</f>
        <v>0</v>
      </c>
      <c r="G160" s="278">
        <f t="shared" si="58"/>
        <v>0</v>
      </c>
      <c r="H160" s="278">
        <f t="shared" si="58"/>
        <v>0</v>
      </c>
      <c r="I160" s="278">
        <f t="shared" si="58"/>
        <v>0</v>
      </c>
      <c r="J160" s="279">
        <f t="shared" si="58"/>
        <v>0</v>
      </c>
      <c r="O160" s="803" t="s">
        <v>120</v>
      </c>
      <c r="P160" s="804"/>
      <c r="Q160" s="176"/>
      <c r="R160" s="208"/>
      <c r="S160" s="208"/>
      <c r="T160" s="208"/>
      <c r="U160" s="208"/>
      <c r="V160" s="176"/>
      <c r="W160" s="176"/>
      <c r="X160" s="210"/>
    </row>
    <row r="161" spans="1:24" x14ac:dyDescent="0.2">
      <c r="A161" s="233">
        <f>F96</f>
        <v>0</v>
      </c>
      <c r="B161" s="236">
        <f t="shared" si="57"/>
        <v>0</v>
      </c>
      <c r="C161" s="841">
        <f t="shared" si="57"/>
        <v>0</v>
      </c>
      <c r="D161" s="842"/>
      <c r="E161" s="843"/>
      <c r="F161" s="236">
        <f t="shared" si="58"/>
        <v>0</v>
      </c>
      <c r="G161" s="236">
        <f t="shared" si="58"/>
        <v>0</v>
      </c>
      <c r="H161" s="236">
        <f t="shared" si="58"/>
        <v>0</v>
      </c>
      <c r="I161" s="236">
        <f t="shared" si="58"/>
        <v>0</v>
      </c>
      <c r="J161" s="280">
        <f t="shared" si="58"/>
        <v>0</v>
      </c>
      <c r="O161" s="801" t="s">
        <v>115</v>
      </c>
      <c r="P161" s="802"/>
      <c r="Q161" s="176"/>
      <c r="R161" s="208"/>
      <c r="S161" s="208"/>
      <c r="T161" s="208"/>
      <c r="U161" s="208"/>
      <c r="V161" s="176"/>
      <c r="W161" s="176"/>
      <c r="X161" s="210"/>
    </row>
    <row r="162" spans="1:24" x14ac:dyDescent="0.2">
      <c r="A162" s="233">
        <f>F97</f>
        <v>0</v>
      </c>
      <c r="B162" s="236">
        <f t="shared" si="57"/>
        <v>0</v>
      </c>
      <c r="C162" s="841">
        <f t="shared" si="57"/>
        <v>0</v>
      </c>
      <c r="D162" s="842"/>
      <c r="E162" s="843"/>
      <c r="F162" s="236">
        <f t="shared" si="58"/>
        <v>0</v>
      </c>
      <c r="G162" s="236">
        <f t="shared" si="58"/>
        <v>0</v>
      </c>
      <c r="H162" s="236">
        <f t="shared" si="58"/>
        <v>0</v>
      </c>
      <c r="I162" s="236">
        <f t="shared" si="58"/>
        <v>0</v>
      </c>
      <c r="J162" s="280">
        <f t="shared" si="58"/>
        <v>0</v>
      </c>
      <c r="O162" s="803" t="s">
        <v>116</v>
      </c>
      <c r="P162" s="804"/>
      <c r="Q162" s="176"/>
      <c r="R162" s="208"/>
      <c r="S162" s="208"/>
      <c r="T162" s="208"/>
      <c r="U162" s="208"/>
      <c r="V162" s="176"/>
      <c r="W162" s="176"/>
      <c r="X162" s="210"/>
    </row>
    <row r="163" spans="1:24" ht="10.5" thickBot="1" x14ac:dyDescent="0.25">
      <c r="A163" s="281">
        <f>F98</f>
        <v>0</v>
      </c>
      <c r="B163" s="282">
        <f t="shared" si="57"/>
        <v>0</v>
      </c>
      <c r="C163" s="866">
        <f t="shared" si="57"/>
        <v>0</v>
      </c>
      <c r="D163" s="867"/>
      <c r="E163" s="868"/>
      <c r="F163" s="282">
        <f t="shared" si="58"/>
        <v>0</v>
      </c>
      <c r="G163" s="282">
        <f t="shared" si="58"/>
        <v>0</v>
      </c>
      <c r="H163" s="282">
        <f t="shared" si="58"/>
        <v>0</v>
      </c>
      <c r="I163" s="282">
        <f t="shared" si="58"/>
        <v>0</v>
      </c>
      <c r="J163" s="283">
        <f t="shared" si="58"/>
        <v>0</v>
      </c>
      <c r="O163" s="856" t="s">
        <v>121</v>
      </c>
      <c r="P163" s="857"/>
      <c r="Q163" s="192"/>
      <c r="R163" s="211"/>
      <c r="S163" s="211"/>
      <c r="T163" s="211"/>
      <c r="U163" s="211"/>
      <c r="V163" s="192"/>
      <c r="W163" s="192"/>
      <c r="X163" s="212"/>
    </row>
    <row r="164" spans="1:24" ht="10.5" thickBot="1" x14ac:dyDescent="0.25">
      <c r="A164" s="284" t="s">
        <v>182</v>
      </c>
      <c r="B164" s="285">
        <f>SUM(B160:B163)</f>
        <v>0</v>
      </c>
      <c r="C164" s="869">
        <f>SUM(C160:C163)</f>
        <v>0</v>
      </c>
      <c r="D164" s="870"/>
      <c r="E164" s="871"/>
      <c r="F164" s="285">
        <f t="shared" ref="F164:J164" si="59">SUM(F160:F163)</f>
        <v>0</v>
      </c>
      <c r="G164" s="285">
        <f t="shared" si="59"/>
        <v>0</v>
      </c>
      <c r="H164" s="285">
        <f t="shared" si="59"/>
        <v>0</v>
      </c>
      <c r="I164" s="285">
        <f t="shared" si="59"/>
        <v>0</v>
      </c>
      <c r="J164" s="286">
        <f t="shared" si="59"/>
        <v>0</v>
      </c>
      <c r="N164" s="355"/>
      <c r="O164" s="858" t="s">
        <v>122</v>
      </c>
      <c r="P164" s="859"/>
      <c r="Q164" s="860"/>
      <c r="R164" s="700">
        <f t="shared" ref="R164:X164" ca="1" si="60">IF($N$236="",SUM(R152:R163),"")</f>
        <v>0</v>
      </c>
      <c r="S164" s="700">
        <f t="shared" ca="1" si="60"/>
        <v>0</v>
      </c>
      <c r="T164" s="700">
        <f t="shared" ca="1" si="60"/>
        <v>0</v>
      </c>
      <c r="U164" s="700">
        <f t="shared" ca="1" si="60"/>
        <v>0</v>
      </c>
      <c r="V164" s="700">
        <f t="shared" ca="1" si="60"/>
        <v>0</v>
      </c>
      <c r="W164" s="700">
        <f t="shared" ca="1" si="60"/>
        <v>0</v>
      </c>
      <c r="X164" s="701">
        <f t="shared" ca="1" si="60"/>
        <v>0</v>
      </c>
    </row>
    <row r="165" spans="1:24" ht="10.5" thickBot="1" x14ac:dyDescent="0.25">
      <c r="Q165" s="384" t="str">
        <f>U202</f>
        <v>T13</v>
      </c>
      <c r="R165" s="264">
        <f t="shared" ref="R165:X168" si="61">SUMIF($Q$152:$Q$163,$Q165,R$152:R$163)</f>
        <v>0</v>
      </c>
      <c r="S165" s="264">
        <f t="shared" si="61"/>
        <v>0</v>
      </c>
      <c r="T165" s="264">
        <f t="shared" si="61"/>
        <v>0</v>
      </c>
      <c r="U165" s="264">
        <f t="shared" si="61"/>
        <v>0</v>
      </c>
      <c r="V165" s="264">
        <f t="shared" si="61"/>
        <v>0</v>
      </c>
      <c r="W165" s="264">
        <f t="shared" si="61"/>
        <v>0</v>
      </c>
      <c r="X165" s="271">
        <f t="shared" si="61"/>
        <v>0</v>
      </c>
    </row>
    <row r="166" spans="1:24" ht="10.5" customHeight="1" thickBot="1" x14ac:dyDescent="0.25">
      <c r="A166" s="805" t="s">
        <v>337</v>
      </c>
      <c r="B166" s="806"/>
      <c r="C166" s="806"/>
      <c r="D166" s="806"/>
      <c r="E166" s="806"/>
      <c r="F166" s="806"/>
      <c r="G166" s="807"/>
      <c r="H166" s="355"/>
      <c r="I166" s="805" t="s">
        <v>338</v>
      </c>
      <c r="J166" s="806"/>
      <c r="K166" s="806"/>
      <c r="L166" s="806"/>
      <c r="M166" s="807"/>
      <c r="Q166" s="382">
        <f>U203</f>
        <v>0</v>
      </c>
      <c r="R166" s="267">
        <f t="shared" si="61"/>
        <v>0</v>
      </c>
      <c r="S166" s="267">
        <f t="shared" si="61"/>
        <v>0</v>
      </c>
      <c r="T166" s="267">
        <f t="shared" si="61"/>
        <v>0</v>
      </c>
      <c r="U166" s="267">
        <f t="shared" si="61"/>
        <v>0</v>
      </c>
      <c r="V166" s="267">
        <f t="shared" si="61"/>
        <v>0</v>
      </c>
      <c r="W166" s="267">
        <f t="shared" si="61"/>
        <v>0</v>
      </c>
      <c r="X166" s="272">
        <f t="shared" si="61"/>
        <v>0</v>
      </c>
    </row>
    <row r="167" spans="1:24" x14ac:dyDescent="0.2">
      <c r="A167" s="861" t="s">
        <v>72</v>
      </c>
      <c r="B167" s="862"/>
      <c r="C167" s="862"/>
      <c r="D167" s="862"/>
      <c r="E167" s="863"/>
      <c r="F167" s="864">
        <f ca="1">H43</f>
        <v>0</v>
      </c>
      <c r="G167" s="865"/>
      <c r="I167" s="861" t="s">
        <v>72</v>
      </c>
      <c r="J167" s="862"/>
      <c r="K167" s="863"/>
      <c r="L167" s="941">
        <f ca="1">H122</f>
        <v>0</v>
      </c>
      <c r="M167" s="942"/>
      <c r="Q167" s="382">
        <f>U204</f>
        <v>0</v>
      </c>
      <c r="R167" s="267">
        <f t="shared" si="61"/>
        <v>0</v>
      </c>
      <c r="S167" s="267">
        <f t="shared" si="61"/>
        <v>0</v>
      </c>
      <c r="T167" s="267">
        <f t="shared" si="61"/>
        <v>0</v>
      </c>
      <c r="U167" s="267">
        <f t="shared" si="61"/>
        <v>0</v>
      </c>
      <c r="V167" s="267">
        <f t="shared" si="61"/>
        <v>0</v>
      </c>
      <c r="W167" s="267">
        <f t="shared" si="61"/>
        <v>0</v>
      </c>
      <c r="X167" s="272">
        <f t="shared" si="61"/>
        <v>0</v>
      </c>
    </row>
    <row r="168" spans="1:24" ht="10.5" thickBot="1" x14ac:dyDescent="0.25">
      <c r="A168" s="844" t="s">
        <v>71</v>
      </c>
      <c r="B168" s="845"/>
      <c r="C168" s="845"/>
      <c r="D168" s="845"/>
      <c r="E168" s="846"/>
      <c r="F168" s="847">
        <f ca="1">H94</f>
        <v>0</v>
      </c>
      <c r="G168" s="848"/>
      <c r="I168" s="844" t="s">
        <v>71</v>
      </c>
      <c r="J168" s="845"/>
      <c r="K168" s="846"/>
      <c r="L168" s="943">
        <f ca="1">H141</f>
        <v>0</v>
      </c>
      <c r="M168" s="944"/>
      <c r="Q168" s="383">
        <f>U205</f>
        <v>0</v>
      </c>
      <c r="R168" s="270">
        <f t="shared" si="61"/>
        <v>0</v>
      </c>
      <c r="S168" s="270">
        <f t="shared" si="61"/>
        <v>0</v>
      </c>
      <c r="T168" s="270">
        <f t="shared" si="61"/>
        <v>0</v>
      </c>
      <c r="U168" s="270">
        <f t="shared" si="61"/>
        <v>0</v>
      </c>
      <c r="V168" s="270">
        <f t="shared" si="61"/>
        <v>0</v>
      </c>
      <c r="W168" s="270">
        <f t="shared" si="61"/>
        <v>0</v>
      </c>
      <c r="X168" s="273">
        <f t="shared" si="61"/>
        <v>0</v>
      </c>
    </row>
    <row r="169" spans="1:24" ht="10.5" thickBot="1" x14ac:dyDescent="0.25">
      <c r="A169" s="849" t="s">
        <v>76</v>
      </c>
      <c r="B169" s="850"/>
      <c r="C169" s="850"/>
      <c r="D169" s="850"/>
      <c r="E169" s="851"/>
      <c r="F169" s="852">
        <f ca="1">SUM(F167:G168)</f>
        <v>0</v>
      </c>
      <c r="G169" s="853"/>
      <c r="I169" s="849" t="s">
        <v>76</v>
      </c>
      <c r="J169" s="850"/>
      <c r="K169" s="851"/>
      <c r="L169" s="945">
        <f ca="1">SUM(L167:M168)</f>
        <v>0</v>
      </c>
      <c r="M169" s="946"/>
    </row>
    <row r="170" spans="1:24" ht="10.5" thickBot="1" x14ac:dyDescent="0.25">
      <c r="A170" s="385" t="s">
        <v>99</v>
      </c>
      <c r="B170" s="386" t="s">
        <v>100</v>
      </c>
      <c r="C170" s="872" t="s">
        <v>42</v>
      </c>
      <c r="D170" s="873"/>
      <c r="E170" s="809"/>
      <c r="F170" s="854" t="s">
        <v>60</v>
      </c>
      <c r="G170" s="855"/>
      <c r="I170" s="385" t="s">
        <v>99</v>
      </c>
      <c r="J170" s="386" t="s">
        <v>100</v>
      </c>
      <c r="K170" s="386" t="s">
        <v>42</v>
      </c>
      <c r="L170" s="947" t="s">
        <v>60</v>
      </c>
      <c r="M170" s="948"/>
    </row>
    <row r="171" spans="1:24" ht="10.5" thickBot="1" x14ac:dyDescent="0.25">
      <c r="A171" s="215"/>
      <c r="B171" s="216"/>
      <c r="C171" s="874"/>
      <c r="D171" s="875"/>
      <c r="E171" s="876"/>
      <c r="F171" s="885"/>
      <c r="G171" s="886"/>
      <c r="H171" s="396">
        <f>IF(AND(A171&lt;&gt;"",B171&lt;&gt;"",C171&lt;&gt;"",F171&lt;&gt;""),0,IF(OR(A171&lt;&gt;"",B171&lt;&gt;"",C171&lt;&gt;"",F171&lt;&gt;""),1,0))</f>
        <v>0</v>
      </c>
      <c r="I171" s="215"/>
      <c r="J171" s="216"/>
      <c r="K171" s="206"/>
      <c r="L171" s="949"/>
      <c r="M171" s="950"/>
      <c r="N171" s="396">
        <f>IF(AND(I171&lt;&gt;"",J171&lt;&gt;"",K171&lt;&gt;"",L171&lt;&gt;""),0,IF(OR(I171&lt;&gt;"",J171&lt;&gt;"",K171&lt;&gt;"",L171&lt;&gt;""),1,0))</f>
        <v>0</v>
      </c>
      <c r="O171" s="786" t="s">
        <v>192</v>
      </c>
      <c r="P171" s="762"/>
      <c r="Q171" s="762"/>
      <c r="R171" s="762"/>
      <c r="S171" s="378">
        <f>A154</f>
        <v>1</v>
      </c>
      <c r="T171" s="378"/>
      <c r="U171" s="378"/>
      <c r="V171" s="378"/>
      <c r="W171" s="378"/>
      <c r="X171" s="387"/>
    </row>
    <row r="172" spans="1:24" x14ac:dyDescent="0.2">
      <c r="A172" s="217"/>
      <c r="B172" s="218"/>
      <c r="C172" s="874"/>
      <c r="D172" s="875"/>
      <c r="E172" s="876"/>
      <c r="F172" s="883"/>
      <c r="G172" s="884"/>
      <c r="H172" s="396">
        <f t="shared" ref="H172:H181" si="62">IF(AND(A172&lt;&gt;"",B172&lt;&gt;"",C172&lt;&gt;"",F172&lt;&gt;""),0,IF(OR(A172&lt;&gt;"",B172&lt;&gt;"",C172&lt;&gt;"",F172&lt;&gt;""),1,0))</f>
        <v>0</v>
      </c>
      <c r="I172" s="217"/>
      <c r="J172" s="218"/>
      <c r="K172" s="176"/>
      <c r="L172" s="951"/>
      <c r="M172" s="952"/>
      <c r="N172" s="396">
        <f t="shared" ref="N172:N181" si="63">IF(AND(I172&lt;&gt;"",J172&lt;&gt;"",K172&lt;&gt;"",L172&lt;&gt;""),0,IF(OR(I172&lt;&gt;"",J172&lt;&gt;"",K172&lt;&gt;"",L172&lt;&gt;""),1,0))</f>
        <v>0</v>
      </c>
      <c r="O172" s="887" t="str">
        <f>O150</f>
        <v>Prezentacije</v>
      </c>
      <c r="P172" s="888"/>
      <c r="Q172" s="890" t="str">
        <f>Q150</f>
        <v>Tim</v>
      </c>
      <c r="R172" s="816" t="s">
        <v>189</v>
      </c>
      <c r="S172" s="817"/>
      <c r="T172" s="818"/>
      <c r="U172" s="817" t="s">
        <v>254</v>
      </c>
      <c r="V172" s="817"/>
      <c r="W172" s="817"/>
      <c r="X172" s="819"/>
    </row>
    <row r="173" spans="1:24" ht="10.5" thickBot="1" x14ac:dyDescent="0.25">
      <c r="A173" s="217"/>
      <c r="B173" s="218"/>
      <c r="C173" s="874"/>
      <c r="D173" s="875"/>
      <c r="E173" s="876"/>
      <c r="F173" s="883"/>
      <c r="G173" s="884"/>
      <c r="H173" s="396">
        <f t="shared" si="62"/>
        <v>0</v>
      </c>
      <c r="I173" s="217"/>
      <c r="J173" s="218"/>
      <c r="K173" s="176"/>
      <c r="L173" s="951"/>
      <c r="M173" s="952"/>
      <c r="N173" s="396">
        <f t="shared" si="63"/>
        <v>0</v>
      </c>
      <c r="O173" s="856"/>
      <c r="P173" s="889"/>
      <c r="Q173" s="891"/>
      <c r="R173" s="388" t="str">
        <f>R151</f>
        <v>Gostiju</v>
      </c>
      <c r="S173" s="270" t="str">
        <f>S151</f>
        <v>B.parova</v>
      </c>
      <c r="T173" s="270" t="s">
        <v>253</v>
      </c>
      <c r="U173" s="270" t="str">
        <f t="shared" ref="U173:W173" si="64">U151</f>
        <v>Test</v>
      </c>
      <c r="V173" s="270" t="str">
        <f t="shared" si="64"/>
        <v>EMS</v>
      </c>
      <c r="W173" s="270" t="str">
        <f t="shared" si="64"/>
        <v>TEL</v>
      </c>
      <c r="X173" s="273" t="str">
        <f>X151</f>
        <v>KREMA</v>
      </c>
    </row>
    <row r="174" spans="1:24" x14ac:dyDescent="0.2">
      <c r="A174" s="217"/>
      <c r="B174" s="218"/>
      <c r="C174" s="874"/>
      <c r="D174" s="875"/>
      <c r="E174" s="876"/>
      <c r="F174" s="883"/>
      <c r="G174" s="884"/>
      <c r="H174" s="396">
        <f t="shared" si="62"/>
        <v>0</v>
      </c>
      <c r="I174" s="217"/>
      <c r="J174" s="218"/>
      <c r="K174" s="176"/>
      <c r="L174" s="951"/>
      <c r="M174" s="952"/>
      <c r="N174" s="396">
        <f t="shared" si="63"/>
        <v>0</v>
      </c>
      <c r="O174" s="799" t="s">
        <v>117</v>
      </c>
      <c r="P174" s="800"/>
      <c r="Q174" s="176"/>
      <c r="R174" s="205"/>
      <c r="S174" s="205"/>
      <c r="T174" s="205"/>
      <c r="U174" s="206"/>
      <c r="V174" s="206"/>
      <c r="W174" s="206"/>
      <c r="X174" s="220"/>
    </row>
    <row r="175" spans="1:24" x14ac:dyDescent="0.2">
      <c r="A175" s="217"/>
      <c r="B175" s="218"/>
      <c r="C175" s="874"/>
      <c r="D175" s="875"/>
      <c r="E175" s="876"/>
      <c r="F175" s="883"/>
      <c r="G175" s="884"/>
      <c r="H175" s="396">
        <f t="shared" si="62"/>
        <v>0</v>
      </c>
      <c r="I175" s="217"/>
      <c r="J175" s="218"/>
      <c r="K175" s="176"/>
      <c r="L175" s="951"/>
      <c r="M175" s="952"/>
      <c r="N175" s="396">
        <f t="shared" si="63"/>
        <v>0</v>
      </c>
      <c r="O175" s="801" t="s">
        <v>109</v>
      </c>
      <c r="P175" s="802"/>
      <c r="Q175" s="176"/>
      <c r="R175" s="208"/>
      <c r="S175" s="208"/>
      <c r="T175" s="208"/>
      <c r="U175" s="176"/>
      <c r="V175" s="176"/>
      <c r="W175" s="176"/>
      <c r="X175" s="210"/>
    </row>
    <row r="176" spans="1:24" x14ac:dyDescent="0.2">
      <c r="A176" s="221"/>
      <c r="B176" s="218"/>
      <c r="C176" s="874"/>
      <c r="D176" s="875"/>
      <c r="E176" s="876"/>
      <c r="F176" s="883"/>
      <c r="G176" s="884"/>
      <c r="H176" s="396">
        <f t="shared" si="62"/>
        <v>0</v>
      </c>
      <c r="I176" s="221"/>
      <c r="J176" s="218"/>
      <c r="K176" s="176"/>
      <c r="L176" s="951"/>
      <c r="M176" s="952"/>
      <c r="N176" s="396">
        <f t="shared" si="63"/>
        <v>0</v>
      </c>
      <c r="O176" s="803" t="s">
        <v>118</v>
      </c>
      <c r="P176" s="804"/>
      <c r="Q176" s="176"/>
      <c r="R176" s="208"/>
      <c r="S176" s="208"/>
      <c r="T176" s="208"/>
      <c r="U176" s="176"/>
      <c r="V176" s="176"/>
      <c r="W176" s="176"/>
      <c r="X176" s="210"/>
    </row>
    <row r="177" spans="1:24" x14ac:dyDescent="0.2">
      <c r="A177" s="221"/>
      <c r="B177" s="218"/>
      <c r="C177" s="874"/>
      <c r="D177" s="875"/>
      <c r="E177" s="876"/>
      <c r="F177" s="894"/>
      <c r="G177" s="895"/>
      <c r="H177" s="396">
        <f t="shared" si="62"/>
        <v>0</v>
      </c>
      <c r="I177" s="221"/>
      <c r="J177" s="218"/>
      <c r="K177" s="176"/>
      <c r="L177" s="951"/>
      <c r="M177" s="952"/>
      <c r="N177" s="396">
        <f t="shared" si="63"/>
        <v>0</v>
      </c>
      <c r="O177" s="801" t="s">
        <v>111</v>
      </c>
      <c r="P177" s="802"/>
      <c r="Q177" s="176"/>
      <c r="R177" s="208"/>
      <c r="S177" s="208"/>
      <c r="T177" s="208"/>
      <c r="U177" s="176"/>
      <c r="V177" s="176"/>
      <c r="W177" s="176"/>
      <c r="X177" s="210"/>
    </row>
    <row r="178" spans="1:24" ht="9.75" customHeight="1" x14ac:dyDescent="0.2">
      <c r="A178" s="221"/>
      <c r="B178" s="218"/>
      <c r="C178" s="874"/>
      <c r="D178" s="875"/>
      <c r="E178" s="876"/>
      <c r="F178" s="894"/>
      <c r="G178" s="895"/>
      <c r="H178" s="396">
        <f t="shared" si="62"/>
        <v>0</v>
      </c>
      <c r="I178" s="221"/>
      <c r="J178" s="218"/>
      <c r="K178" s="176"/>
      <c r="L178" s="951"/>
      <c r="M178" s="952"/>
      <c r="N178" s="396">
        <f t="shared" si="63"/>
        <v>0</v>
      </c>
      <c r="O178" s="803" t="s">
        <v>112</v>
      </c>
      <c r="P178" s="804"/>
      <c r="Q178" s="176"/>
      <c r="R178" s="208"/>
      <c r="S178" s="208"/>
      <c r="T178" s="208"/>
      <c r="U178" s="208"/>
      <c r="V178" s="176"/>
      <c r="W178" s="176"/>
      <c r="X178" s="210"/>
    </row>
    <row r="179" spans="1:24" x14ac:dyDescent="0.2">
      <c r="A179" s="221"/>
      <c r="B179" s="218"/>
      <c r="C179" s="874"/>
      <c r="D179" s="875"/>
      <c r="E179" s="876"/>
      <c r="F179" s="894"/>
      <c r="G179" s="895"/>
      <c r="H179" s="396">
        <f t="shared" si="62"/>
        <v>0</v>
      </c>
      <c r="I179" s="221"/>
      <c r="J179" s="218"/>
      <c r="K179" s="176"/>
      <c r="L179" s="1009"/>
      <c r="M179" s="1010"/>
      <c r="N179" s="396">
        <f t="shared" si="63"/>
        <v>0</v>
      </c>
      <c r="O179" s="801" t="s">
        <v>113</v>
      </c>
      <c r="P179" s="802"/>
      <c r="Q179" s="176"/>
      <c r="R179" s="208"/>
      <c r="S179" s="208"/>
      <c r="T179" s="208"/>
      <c r="U179" s="208"/>
      <c r="V179" s="176"/>
      <c r="W179" s="176"/>
      <c r="X179" s="210"/>
    </row>
    <row r="180" spans="1:24" x14ac:dyDescent="0.2">
      <c r="A180" s="221"/>
      <c r="B180" s="218"/>
      <c r="C180" s="874"/>
      <c r="D180" s="875"/>
      <c r="E180" s="876"/>
      <c r="F180" s="894"/>
      <c r="G180" s="895"/>
      <c r="H180" s="396">
        <f t="shared" si="62"/>
        <v>0</v>
      </c>
      <c r="I180" s="221"/>
      <c r="J180" s="218"/>
      <c r="K180" s="176"/>
      <c r="L180" s="1009"/>
      <c r="M180" s="1010"/>
      <c r="N180" s="396">
        <f t="shared" si="63"/>
        <v>0</v>
      </c>
      <c r="O180" s="803" t="s">
        <v>119</v>
      </c>
      <c r="P180" s="804"/>
      <c r="Q180" s="176"/>
      <c r="R180" s="208"/>
      <c r="S180" s="208"/>
      <c r="T180" s="208"/>
      <c r="U180" s="208"/>
      <c r="V180" s="176"/>
      <c r="W180" s="176"/>
      <c r="X180" s="210"/>
    </row>
    <row r="181" spans="1:24" ht="10.5" thickBot="1" x14ac:dyDescent="0.25">
      <c r="A181" s="222"/>
      <c r="B181" s="223"/>
      <c r="C181" s="1019"/>
      <c r="D181" s="1020"/>
      <c r="E181" s="1021"/>
      <c r="F181" s="896"/>
      <c r="G181" s="897"/>
      <c r="H181" s="396">
        <f t="shared" si="62"/>
        <v>0</v>
      </c>
      <c r="I181" s="222"/>
      <c r="J181" s="223"/>
      <c r="K181" s="192"/>
      <c r="L181" s="1011"/>
      <c r="M181" s="1012"/>
      <c r="N181" s="396">
        <f t="shared" si="63"/>
        <v>0</v>
      </c>
      <c r="O181" s="801" t="s">
        <v>114</v>
      </c>
      <c r="P181" s="802"/>
      <c r="Q181" s="176"/>
      <c r="R181" s="208"/>
      <c r="S181" s="208"/>
      <c r="T181" s="208"/>
      <c r="U181" s="208"/>
      <c r="V181" s="176"/>
      <c r="W181" s="176"/>
      <c r="X181" s="210"/>
    </row>
    <row r="182" spans="1:24" x14ac:dyDescent="0.2">
      <c r="A182" s="914" t="s">
        <v>339</v>
      </c>
      <c r="B182" s="916" t="s">
        <v>200</v>
      </c>
      <c r="C182" s="917"/>
      <c r="D182" s="917"/>
      <c r="E182" s="918"/>
      <c r="F182" s="919">
        <f>SUMIF(B171:B181,B182,F171:G181)</f>
        <v>0</v>
      </c>
      <c r="G182" s="920"/>
      <c r="H182" s="396">
        <f>SUM(H171:H181)</f>
        <v>0</v>
      </c>
      <c r="I182" s="1013" t="s">
        <v>340</v>
      </c>
      <c r="J182" s="1015" t="s">
        <v>200</v>
      </c>
      <c r="K182" s="890"/>
      <c r="L182" s="941">
        <f>SUMIF(J171:J181,J182,L171:M181)</f>
        <v>0</v>
      </c>
      <c r="M182" s="942"/>
      <c r="N182" s="396">
        <f>SUM(N171:N181)</f>
        <v>0</v>
      </c>
      <c r="O182" s="803" t="s">
        <v>120</v>
      </c>
      <c r="P182" s="804"/>
      <c r="Q182" s="176"/>
      <c r="R182" s="208"/>
      <c r="S182" s="208"/>
      <c r="T182" s="208"/>
      <c r="U182" s="208"/>
      <c r="V182" s="176"/>
      <c r="W182" s="176"/>
      <c r="X182" s="210"/>
    </row>
    <row r="183" spans="1:24" ht="10.5" thickBot="1" x14ac:dyDescent="0.25">
      <c r="A183" s="915"/>
      <c r="B183" s="921" t="s">
        <v>249</v>
      </c>
      <c r="C183" s="922"/>
      <c r="D183" s="922"/>
      <c r="E183" s="923"/>
      <c r="F183" s="924">
        <f>SUMIF(B171:B181,B183,F171:G181)</f>
        <v>0</v>
      </c>
      <c r="G183" s="925"/>
      <c r="I183" s="1014"/>
      <c r="J183" s="1016" t="s">
        <v>249</v>
      </c>
      <c r="K183" s="891"/>
      <c r="L183" s="1017">
        <f>SUMIF(J171:J181,J183,L171:M181)</f>
        <v>0</v>
      </c>
      <c r="M183" s="1018"/>
      <c r="O183" s="801" t="s">
        <v>115</v>
      </c>
      <c r="P183" s="802"/>
      <c r="Q183" s="176"/>
      <c r="R183" s="208"/>
      <c r="S183" s="208"/>
      <c r="T183" s="208"/>
      <c r="U183" s="208"/>
      <c r="V183" s="176"/>
      <c r="W183" s="176"/>
      <c r="X183" s="210"/>
    </row>
    <row r="184" spans="1:24" ht="10.5" thickBot="1" x14ac:dyDescent="0.25">
      <c r="A184" s="1027" t="s">
        <v>73</v>
      </c>
      <c r="B184" s="1028"/>
      <c r="C184" s="1028"/>
      <c r="D184" s="1028"/>
      <c r="E184" s="1028"/>
      <c r="F184" s="1029">
        <f>SUM(F171:G181)</f>
        <v>0</v>
      </c>
      <c r="G184" s="1030"/>
      <c r="I184" s="990" t="s">
        <v>73</v>
      </c>
      <c r="J184" s="991"/>
      <c r="K184" s="992"/>
      <c r="L184" s="993">
        <f>SUM(L171:M181)</f>
        <v>0</v>
      </c>
      <c r="M184" s="994"/>
      <c r="O184" s="803" t="s">
        <v>116</v>
      </c>
      <c r="P184" s="804"/>
      <c r="Q184" s="176"/>
      <c r="R184" s="208"/>
      <c r="S184" s="208"/>
      <c r="T184" s="208"/>
      <c r="U184" s="208"/>
      <c r="V184" s="176"/>
      <c r="W184" s="176"/>
      <c r="X184" s="210"/>
    </row>
    <row r="185" spans="1:24" ht="10.5" thickBot="1" x14ac:dyDescent="0.25">
      <c r="A185" s="906" t="s">
        <v>336</v>
      </c>
      <c r="B185" s="907"/>
      <c r="C185" s="907"/>
      <c r="D185" s="907"/>
      <c r="E185" s="907"/>
      <c r="F185" s="910">
        <f ca="1">F169-F184</f>
        <v>0</v>
      </c>
      <c r="G185" s="911"/>
      <c r="I185" s="995" t="s">
        <v>336</v>
      </c>
      <c r="J185" s="996"/>
      <c r="K185" s="997"/>
      <c r="L185" s="1001">
        <f ca="1">L169-L184</f>
        <v>0</v>
      </c>
      <c r="M185" s="1002"/>
      <c r="O185" s="856" t="s">
        <v>121</v>
      </c>
      <c r="P185" s="857"/>
      <c r="Q185" s="176"/>
      <c r="R185" s="211"/>
      <c r="S185" s="211"/>
      <c r="T185" s="211"/>
      <c r="U185" s="211"/>
      <c r="V185" s="192"/>
      <c r="W185" s="192"/>
      <c r="X185" s="212"/>
    </row>
    <row r="186" spans="1:24" ht="10.5" thickBot="1" x14ac:dyDescent="0.25">
      <c r="A186" s="908"/>
      <c r="B186" s="909"/>
      <c r="C186" s="909"/>
      <c r="D186" s="909"/>
      <c r="E186" s="909"/>
      <c r="F186" s="912"/>
      <c r="G186" s="913"/>
      <c r="I186" s="998"/>
      <c r="J186" s="999"/>
      <c r="K186" s="1000"/>
      <c r="L186" s="1003"/>
      <c r="M186" s="1004"/>
      <c r="O186" s="858" t="s">
        <v>122</v>
      </c>
      <c r="P186" s="859"/>
      <c r="Q186" s="860"/>
      <c r="R186" s="700">
        <f t="shared" ref="R186:X186" ca="1" si="65">IF($N$236="",SUM(R174:R185),"")</f>
        <v>0</v>
      </c>
      <c r="S186" s="700">
        <f t="shared" ca="1" si="65"/>
        <v>0</v>
      </c>
      <c r="T186" s="700">
        <f t="shared" ca="1" si="65"/>
        <v>0</v>
      </c>
      <c r="U186" s="700">
        <f t="shared" ca="1" si="65"/>
        <v>0</v>
      </c>
      <c r="V186" s="700">
        <f t="shared" ca="1" si="65"/>
        <v>0</v>
      </c>
      <c r="W186" s="700">
        <f t="shared" ca="1" si="65"/>
        <v>0</v>
      </c>
      <c r="X186" s="701">
        <f t="shared" ca="1" si="65"/>
        <v>0</v>
      </c>
    </row>
    <row r="187" spans="1:24" x14ac:dyDescent="0.2">
      <c r="A187" s="276" t="s">
        <v>162</v>
      </c>
      <c r="B187" s="1024" t="s">
        <v>163</v>
      </c>
      <c r="C187" s="1024"/>
      <c r="D187" s="1024"/>
      <c r="E187" s="1024"/>
      <c r="F187" s="1025" t="s">
        <v>164</v>
      </c>
      <c r="G187" s="1026"/>
      <c r="I187" s="276" t="s">
        <v>162</v>
      </c>
      <c r="J187" s="1005" t="s">
        <v>163</v>
      </c>
      <c r="K187" s="1006"/>
      <c r="L187" s="1007" t="s">
        <v>164</v>
      </c>
      <c r="M187" s="1008"/>
      <c r="Q187" s="384" t="str">
        <f>Q165</f>
        <v>T13</v>
      </c>
      <c r="R187" s="264">
        <f t="shared" ref="R187:X189" si="66">SUMIF($Q$174:$Q$185,$Q187,R$174:R$185)</f>
        <v>0</v>
      </c>
      <c r="S187" s="264">
        <f t="shared" si="66"/>
        <v>0</v>
      </c>
      <c r="T187" s="264">
        <f t="shared" si="66"/>
        <v>0</v>
      </c>
      <c r="U187" s="264">
        <f t="shared" si="66"/>
        <v>0</v>
      </c>
      <c r="V187" s="264">
        <f t="shared" si="66"/>
        <v>0</v>
      </c>
      <c r="W187" s="264">
        <f t="shared" si="66"/>
        <v>0</v>
      </c>
      <c r="X187" s="271">
        <f t="shared" si="66"/>
        <v>0</v>
      </c>
    </row>
    <row r="188" spans="1:24" x14ac:dyDescent="0.2">
      <c r="A188" s="265" t="str">
        <f>U202</f>
        <v>T13</v>
      </c>
      <c r="B188" s="933">
        <f>SUMIF($E$171:$E$181,A188,$F$171:$G$181)</f>
        <v>0</v>
      </c>
      <c r="C188" s="933"/>
      <c r="D188" s="933"/>
      <c r="E188" s="933"/>
      <c r="F188" s="847">
        <f>H95+H44-B188</f>
        <v>0</v>
      </c>
      <c r="G188" s="848"/>
      <c r="I188" s="265" t="str">
        <f>U202</f>
        <v>T13</v>
      </c>
      <c r="J188" s="986">
        <f>SUMIF($J$171:$J$181,I188,$L$171:$L$181)</f>
        <v>0</v>
      </c>
      <c r="K188" s="987"/>
      <c r="L188" s="988">
        <f>H123+H142-J188</f>
        <v>0</v>
      </c>
      <c r="M188" s="989"/>
      <c r="Q188" s="382">
        <f>Q166</f>
        <v>0</v>
      </c>
      <c r="R188" s="267">
        <f t="shared" si="66"/>
        <v>0</v>
      </c>
      <c r="S188" s="267">
        <f t="shared" si="66"/>
        <v>0</v>
      </c>
      <c r="T188" s="267">
        <f t="shared" si="66"/>
        <v>0</v>
      </c>
      <c r="U188" s="267">
        <f t="shared" si="66"/>
        <v>0</v>
      </c>
      <c r="V188" s="267">
        <f t="shared" si="66"/>
        <v>0</v>
      </c>
      <c r="W188" s="267">
        <f t="shared" si="66"/>
        <v>0</v>
      </c>
      <c r="X188" s="272">
        <f t="shared" si="66"/>
        <v>0</v>
      </c>
    </row>
    <row r="189" spans="1:24" x14ac:dyDescent="0.2">
      <c r="A189" s="265">
        <f>U203</f>
        <v>0</v>
      </c>
      <c r="B189" s="933">
        <f>SUMIF($E$171:$E$181,A189,$F$171:$G$181)</f>
        <v>0</v>
      </c>
      <c r="C189" s="933"/>
      <c r="D189" s="933"/>
      <c r="E189" s="933"/>
      <c r="F189" s="847">
        <f>H96+H45-B189</f>
        <v>0</v>
      </c>
      <c r="G189" s="848"/>
      <c r="I189" s="265">
        <f>U203</f>
        <v>0</v>
      </c>
      <c r="J189" s="986">
        <f>SUMIF($J$171:$J$181,I189,$L$171:$L$181)</f>
        <v>0</v>
      </c>
      <c r="K189" s="987"/>
      <c r="L189" s="988">
        <f>H124+H143-J189</f>
        <v>0</v>
      </c>
      <c r="M189" s="989"/>
      <c r="Q189" s="382">
        <f>Q167</f>
        <v>0</v>
      </c>
      <c r="R189" s="267">
        <f t="shared" si="66"/>
        <v>0</v>
      </c>
      <c r="S189" s="267">
        <f t="shared" si="66"/>
        <v>0</v>
      </c>
      <c r="T189" s="267">
        <f t="shared" si="66"/>
        <v>0</v>
      </c>
      <c r="U189" s="267">
        <f t="shared" si="66"/>
        <v>0</v>
      </c>
      <c r="V189" s="267">
        <f t="shared" si="66"/>
        <v>0</v>
      </c>
      <c r="W189" s="267">
        <f t="shared" si="66"/>
        <v>0</v>
      </c>
      <c r="X189" s="272">
        <f t="shared" si="66"/>
        <v>0</v>
      </c>
    </row>
    <row r="190" spans="1:24" ht="10.5" thickBot="1" x14ac:dyDescent="0.25">
      <c r="A190" s="265">
        <f>U204</f>
        <v>0</v>
      </c>
      <c r="B190" s="933">
        <f>SUMIF($E$171:$E$181,A190,$F$171:$G$181)</f>
        <v>0</v>
      </c>
      <c r="C190" s="933"/>
      <c r="D190" s="933"/>
      <c r="E190" s="933"/>
      <c r="F190" s="847">
        <f>H97+H46-B190</f>
        <v>0</v>
      </c>
      <c r="G190" s="848"/>
      <c r="I190" s="265">
        <f>U204</f>
        <v>0</v>
      </c>
      <c r="J190" s="986">
        <f>SUMIF($J$171:$J$181,I190,$L$171:$L$181)</f>
        <v>0</v>
      </c>
      <c r="K190" s="987"/>
      <c r="L190" s="988">
        <f>H125+H144-J190</f>
        <v>0</v>
      </c>
      <c r="M190" s="989"/>
      <c r="Q190" s="383">
        <f>Q168</f>
        <v>0</v>
      </c>
      <c r="R190" s="270">
        <f>SUMIF($Q$174:$Q$185,$Q190,R$174:R$185)</f>
        <v>0</v>
      </c>
      <c r="S190" s="270">
        <f>SUMIF($Q$174:$Q$185,$Q190,S$174:S$185)</f>
        <v>0</v>
      </c>
      <c r="T190" s="270">
        <f>SUMIF($Q$174:$Q$185,$Q190,T$174:T$185)</f>
        <v>0</v>
      </c>
      <c r="U190" s="270">
        <f>SUMIF($Q$174:$Q$185,$Q190,U$174:U$185)</f>
        <v>0</v>
      </c>
      <c r="V190" s="270">
        <f>SUMIF($Q$152:$Q$163,$Q168,V$174:V$185)</f>
        <v>0</v>
      </c>
      <c r="W190" s="270">
        <f>SUMIF($Q$152:$Q$163,$Q168,W$174:W$185)</f>
        <v>0</v>
      </c>
      <c r="X190" s="273">
        <f>SUMIF($Q$152:$Q$163,$Q168,X$174:X$185)</f>
        <v>0</v>
      </c>
    </row>
    <row r="191" spans="1:24" ht="10.5" thickBot="1" x14ac:dyDescent="0.25">
      <c r="A191" s="268">
        <f>U205</f>
        <v>0</v>
      </c>
      <c r="B191" s="929">
        <f>SUMIF($E$171:$E$181,A191,$F$171:$G$181)</f>
        <v>0</v>
      </c>
      <c r="C191" s="929"/>
      <c r="D191" s="929"/>
      <c r="E191" s="929"/>
      <c r="F191" s="924">
        <f>H98+H47-B191</f>
        <v>0</v>
      </c>
      <c r="G191" s="925"/>
      <c r="I191" s="268">
        <f>U205</f>
        <v>0</v>
      </c>
      <c r="J191" s="1022">
        <f>SUMIF($J$171:$J$181,I191,$L$171:$L$181)</f>
        <v>0</v>
      </c>
      <c r="K191" s="1023"/>
      <c r="L191" s="1017">
        <f>H126+H145-J191</f>
        <v>0</v>
      </c>
      <c r="M191" s="1018"/>
      <c r="O191" s="393"/>
      <c r="P191" s="393"/>
      <c r="Q191" s="393"/>
    </row>
    <row r="192" spans="1:24" ht="12" customHeight="1" x14ac:dyDescent="0.2">
      <c r="B192" s="1065" t="str">
        <f>IF(H182&gt;0,"Nepotpuni podaci u redu "&amp;MATCH(MAX(H171:H181),H171:H181,0),"")</f>
        <v/>
      </c>
      <c r="C192" s="1065"/>
      <c r="D192" s="1065"/>
      <c r="E192" s="1065"/>
      <c r="F192" s="1065"/>
      <c r="G192" s="1065"/>
      <c r="H192" s="319"/>
      <c r="I192" s="1065" t="str">
        <f>IF(N182&gt;0,"Nepotpuni podaci u redu "&amp;MATCH(MAX(N171:N181),N171:N181,0),"")</f>
        <v/>
      </c>
      <c r="J192" s="1065"/>
      <c r="K192" s="1065"/>
      <c r="L192" s="1065"/>
      <c r="M192" s="1065"/>
    </row>
    <row r="193" spans="1:22" ht="9.75" customHeight="1" x14ac:dyDescent="0.2">
      <c r="B193" s="1066"/>
      <c r="C193" s="1066"/>
      <c r="D193" s="1066"/>
      <c r="E193" s="1066"/>
      <c r="F193" s="1066"/>
      <c r="G193" s="1066"/>
      <c r="H193" s="319"/>
      <c r="I193" s="1066"/>
      <c r="J193" s="1066"/>
      <c r="K193" s="1066"/>
      <c r="L193" s="1066"/>
      <c r="M193" s="1066"/>
    </row>
    <row r="194" spans="1:22" ht="9.75" customHeight="1" x14ac:dyDescent="0.2">
      <c r="B194" s="389"/>
      <c r="C194" s="389"/>
      <c r="D194" s="389"/>
      <c r="E194" s="389"/>
      <c r="F194" s="389"/>
      <c r="G194" s="389"/>
      <c r="I194" s="390"/>
      <c r="J194" s="390" t="s">
        <v>342</v>
      </c>
    </row>
    <row r="195" spans="1:22" ht="9.75" customHeight="1" x14ac:dyDescent="0.2">
      <c r="B195" s="389"/>
      <c r="C195" s="389"/>
      <c r="D195" s="389"/>
      <c r="E195" s="389"/>
      <c r="F195" s="389"/>
      <c r="G195" s="389"/>
    </row>
    <row r="196" spans="1:22" ht="9.75" customHeight="1" x14ac:dyDescent="0.2"/>
    <row r="197" spans="1:22" ht="12" x14ac:dyDescent="0.2">
      <c r="A197" s="395" t="s">
        <v>180</v>
      </c>
      <c r="B197" s="395" t="str">
        <f>U202</f>
        <v>T13</v>
      </c>
      <c r="C197" s="391"/>
      <c r="D197" s="355"/>
      <c r="H197" s="355" t="s">
        <v>186</v>
      </c>
      <c r="I197" s="355">
        <f>K237</f>
        <v>0</v>
      </c>
      <c r="J197" s="355">
        <f>I197+1</f>
        <v>1</v>
      </c>
      <c r="V197" s="320" t="str">
        <f>V148</f>
        <v>verzija 7/2026</v>
      </c>
    </row>
    <row r="198" spans="1:22" ht="10.5" thickBot="1" x14ac:dyDescent="0.25"/>
    <row r="199" spans="1:22" ht="10.5" thickBot="1" x14ac:dyDescent="0.25">
      <c r="A199" s="930" t="s">
        <v>75</v>
      </c>
      <c r="B199" s="931"/>
      <c r="C199" s="931"/>
      <c r="D199" s="931"/>
      <c r="E199" s="931"/>
      <c r="F199" s="931"/>
      <c r="G199" s="931"/>
      <c r="H199" s="931"/>
      <c r="I199" s="931"/>
      <c r="J199" s="931"/>
      <c r="K199" s="931"/>
      <c r="L199" s="931"/>
      <c r="M199" s="931"/>
      <c r="N199" s="932"/>
      <c r="S199" s="1071" t="s">
        <v>325</v>
      </c>
      <c r="T199" s="750" t="s">
        <v>144</v>
      </c>
      <c r="U199" s="750" t="s">
        <v>341</v>
      </c>
    </row>
    <row r="200" spans="1:22" ht="13.5" customHeight="1" thickBot="1" x14ac:dyDescent="0.25">
      <c r="A200" s="970" t="s">
        <v>59</v>
      </c>
      <c r="B200" s="971"/>
      <c r="C200" s="872" t="s">
        <v>66</v>
      </c>
      <c r="D200" s="873"/>
      <c r="E200" s="873"/>
      <c r="F200" s="873"/>
      <c r="G200" s="809"/>
      <c r="H200" s="225" t="s">
        <v>41</v>
      </c>
      <c r="I200" s="225" t="s">
        <v>62</v>
      </c>
      <c r="J200" s="225" t="s">
        <v>252</v>
      </c>
      <c r="K200" s="225" t="str">
        <f>S214</f>
        <v>Test</v>
      </c>
      <c r="L200" s="225" t="str">
        <f>S215</f>
        <v>EMS</v>
      </c>
      <c r="M200" s="225" t="str">
        <f>S216</f>
        <v>TEL</v>
      </c>
      <c r="N200" s="392" t="s">
        <v>191</v>
      </c>
      <c r="S200" s="1072"/>
      <c r="T200" s="751"/>
      <c r="U200" s="751"/>
    </row>
    <row r="201" spans="1:22" ht="13.5" customHeight="1" thickBot="1" x14ac:dyDescent="0.25">
      <c r="A201" s="972">
        <v>46188</v>
      </c>
      <c r="B201" s="973"/>
      <c r="C201" s="935" t="s">
        <v>125</v>
      </c>
      <c r="D201" s="936"/>
      <c r="E201" s="936"/>
      <c r="F201" s="936"/>
      <c r="G201" s="937"/>
      <c r="H201" s="206"/>
      <c r="I201" s="206"/>
      <c r="J201" s="206"/>
      <c r="K201" s="206"/>
      <c r="L201" s="206"/>
      <c r="M201" s="206"/>
      <c r="N201" s="220"/>
      <c r="S201" s="1073"/>
      <c r="T201" s="752"/>
      <c r="U201" s="752"/>
    </row>
    <row r="202" spans="1:22" x14ac:dyDescent="0.2">
      <c r="A202" s="934">
        <v>46204</v>
      </c>
      <c r="B202" s="928"/>
      <c r="C202" s="938" t="s">
        <v>68</v>
      </c>
      <c r="D202" s="939"/>
      <c r="E202" s="939"/>
      <c r="F202" s="939"/>
      <c r="G202" s="940"/>
      <c r="H202" s="176"/>
      <c r="I202" s="176"/>
      <c r="J202" s="176"/>
      <c r="K202" s="176"/>
      <c r="L202" s="176"/>
      <c r="M202" s="176"/>
      <c r="N202" s="210"/>
      <c r="S202" s="213"/>
      <c r="T202" s="213"/>
      <c r="U202" s="228" t="s">
        <v>326</v>
      </c>
    </row>
    <row r="203" spans="1:22" x14ac:dyDescent="0.2">
      <c r="A203" s="968"/>
      <c r="B203" s="969"/>
      <c r="C203" s="926"/>
      <c r="D203" s="927"/>
      <c r="E203" s="927"/>
      <c r="F203" s="927"/>
      <c r="G203" s="928"/>
      <c r="H203" s="176"/>
      <c r="I203" s="176"/>
      <c r="J203" s="176"/>
      <c r="K203" s="176"/>
      <c r="L203" s="176"/>
      <c r="M203" s="176"/>
      <c r="N203" s="210"/>
      <c r="S203" s="214"/>
      <c r="T203" s="214"/>
      <c r="U203" s="226"/>
    </row>
    <row r="204" spans="1:22" x14ac:dyDescent="0.2">
      <c r="A204" s="968"/>
      <c r="B204" s="969"/>
      <c r="C204" s="926"/>
      <c r="D204" s="927"/>
      <c r="E204" s="927"/>
      <c r="F204" s="927"/>
      <c r="G204" s="928"/>
      <c r="H204" s="176"/>
      <c r="I204" s="176"/>
      <c r="J204" s="176"/>
      <c r="K204" s="176"/>
      <c r="L204" s="176"/>
      <c r="M204" s="176"/>
      <c r="N204" s="210"/>
      <c r="S204" s="214"/>
      <c r="T204" s="214"/>
      <c r="U204" s="226"/>
    </row>
    <row r="205" spans="1:22" ht="10.5" thickBot="1" x14ac:dyDescent="0.25">
      <c r="A205" s="968"/>
      <c r="B205" s="969"/>
      <c r="C205" s="926"/>
      <c r="D205" s="927"/>
      <c r="E205" s="927"/>
      <c r="F205" s="927"/>
      <c r="G205" s="928"/>
      <c r="H205" s="176"/>
      <c r="I205" s="176"/>
      <c r="J205" s="176"/>
      <c r="K205" s="176"/>
      <c r="L205" s="176"/>
      <c r="M205" s="176"/>
      <c r="N205" s="210"/>
      <c r="S205" s="214"/>
      <c r="T205" s="214"/>
      <c r="U205" s="227"/>
    </row>
    <row r="206" spans="1:22" x14ac:dyDescent="0.2">
      <c r="A206" s="968"/>
      <c r="B206" s="969"/>
      <c r="C206" s="926"/>
      <c r="D206" s="927"/>
      <c r="E206" s="927"/>
      <c r="F206" s="927"/>
      <c r="G206" s="928"/>
      <c r="H206" s="176"/>
      <c r="I206" s="176"/>
      <c r="J206" s="176"/>
      <c r="K206" s="176"/>
      <c r="L206" s="176"/>
      <c r="M206" s="176"/>
      <c r="N206" s="210"/>
      <c r="S206" s="214"/>
      <c r="T206" s="214"/>
    </row>
    <row r="207" spans="1:22" ht="10.5" thickBot="1" x14ac:dyDescent="0.25">
      <c r="A207" s="968"/>
      <c r="B207" s="969"/>
      <c r="C207" s="926"/>
      <c r="D207" s="927"/>
      <c r="E207" s="927"/>
      <c r="F207" s="927"/>
      <c r="G207" s="928"/>
      <c r="H207" s="176"/>
      <c r="I207" s="176"/>
      <c r="J207" s="176"/>
      <c r="K207" s="176"/>
      <c r="L207" s="176"/>
      <c r="M207" s="176"/>
      <c r="N207" s="210"/>
      <c r="S207" s="214"/>
      <c r="T207" s="219"/>
    </row>
    <row r="208" spans="1:22" x14ac:dyDescent="0.2">
      <c r="A208" s="968"/>
      <c r="B208" s="969"/>
      <c r="C208" s="926"/>
      <c r="D208" s="927"/>
      <c r="E208" s="927"/>
      <c r="F208" s="927"/>
      <c r="G208" s="928"/>
      <c r="H208" s="176"/>
      <c r="I208" s="176"/>
      <c r="J208" s="176"/>
      <c r="K208" s="176"/>
      <c r="L208" s="176"/>
      <c r="M208" s="176"/>
      <c r="N208" s="210"/>
      <c r="S208" s="214"/>
      <c r="T208" s="355"/>
      <c r="U208" s="355"/>
    </row>
    <row r="209" spans="1:21" ht="10.5" thickBot="1" x14ac:dyDescent="0.25">
      <c r="A209" s="962" t="s">
        <v>69</v>
      </c>
      <c r="B209" s="963"/>
      <c r="C209" s="963"/>
      <c r="D209" s="963"/>
      <c r="E209" s="963"/>
      <c r="F209" s="963"/>
      <c r="G209" s="891"/>
      <c r="H209" s="270">
        <f t="shared" ref="H209:N209" ca="1" si="67">IF($N$236="",SUM(H201:H208),"")</f>
        <v>0</v>
      </c>
      <c r="I209" s="270">
        <f t="shared" ca="1" si="67"/>
        <v>0</v>
      </c>
      <c r="J209" s="270">
        <f t="shared" ca="1" si="67"/>
        <v>0</v>
      </c>
      <c r="K209" s="270">
        <f t="shared" ca="1" si="67"/>
        <v>0</v>
      </c>
      <c r="L209" s="270">
        <f t="shared" ca="1" si="67"/>
        <v>0</v>
      </c>
      <c r="M209" s="270">
        <f t="shared" ca="1" si="67"/>
        <v>0</v>
      </c>
      <c r="N209" s="273">
        <f t="shared" ca="1" si="67"/>
        <v>0</v>
      </c>
      <c r="S209" s="219"/>
      <c r="T209" s="355"/>
      <c r="U209" s="355"/>
    </row>
    <row r="210" spans="1:21" ht="10.5" thickBot="1" x14ac:dyDescent="0.25">
      <c r="A210" s="974" t="str">
        <f>B148</f>
        <v>Medem d.o.o.</v>
      </c>
      <c r="B210" s="975"/>
      <c r="C210" s="975"/>
      <c r="D210" s="975"/>
      <c r="E210" s="975"/>
      <c r="F210" s="975"/>
      <c r="G210" s="975"/>
      <c r="H210" s="975"/>
      <c r="I210" s="975"/>
      <c r="J210" s="975"/>
      <c r="K210" s="975"/>
      <c r="L210" s="975"/>
      <c r="M210" s="975"/>
      <c r="N210" s="976"/>
    </row>
    <row r="211" spans="1:21" x14ac:dyDescent="0.2">
      <c r="A211" s="977"/>
      <c r="B211" s="978"/>
      <c r="C211" s="978"/>
      <c r="D211" s="978"/>
      <c r="E211" s="978"/>
      <c r="F211" s="978"/>
      <c r="G211" s="978"/>
      <c r="H211" s="978"/>
      <c r="I211" s="978"/>
      <c r="J211" s="978"/>
      <c r="K211" s="978"/>
      <c r="L211" s="978"/>
      <c r="M211" s="978"/>
      <c r="N211" s="979"/>
      <c r="Q211" s="900" t="s">
        <v>172</v>
      </c>
      <c r="R211" s="901"/>
      <c r="S211" s="877" t="s">
        <v>170</v>
      </c>
      <c r="T211" s="880" t="s">
        <v>171</v>
      </c>
    </row>
    <row r="212" spans="1:21" x14ac:dyDescent="0.2">
      <c r="A212" s="233" t="s">
        <v>151</v>
      </c>
      <c r="B212" s="234" t="s">
        <v>146</v>
      </c>
      <c r="C212" s="1049" t="s">
        <v>147</v>
      </c>
      <c r="D212" s="1050"/>
      <c r="E212" s="1051"/>
      <c r="F212" s="964" t="s">
        <v>151</v>
      </c>
      <c r="G212" s="964"/>
      <c r="H212" s="964" t="s">
        <v>168</v>
      </c>
      <c r="I212" s="964"/>
      <c r="J212" s="964"/>
      <c r="K212" s="964"/>
      <c r="L212" s="964"/>
      <c r="M212" s="964"/>
      <c r="N212" s="965"/>
      <c r="Q212" s="902"/>
      <c r="R212" s="903"/>
      <c r="S212" s="878"/>
      <c r="T212" s="881"/>
    </row>
    <row r="213" spans="1:21" x14ac:dyDescent="0.2">
      <c r="A213" s="233">
        <f>I197</f>
        <v>0</v>
      </c>
      <c r="B213" s="236">
        <f ca="1">B153</f>
        <v>0</v>
      </c>
      <c r="C213" s="841">
        <f ca="1">C153</f>
        <v>0</v>
      </c>
      <c r="D213" s="842"/>
      <c r="E213" s="843"/>
      <c r="F213" s="841" t="str">
        <f>F153</f>
        <v>Dugi tjedan</v>
      </c>
      <c r="G213" s="843"/>
      <c r="H213" s="234">
        <f t="shared" ref="H213:N214" ca="1" si="68">G153</f>
        <v>0</v>
      </c>
      <c r="I213" s="234">
        <f t="shared" ca="1" si="68"/>
        <v>0</v>
      </c>
      <c r="J213" s="234">
        <f t="shared" ca="1" si="68"/>
        <v>0</v>
      </c>
      <c r="K213" s="234">
        <f t="shared" ca="1" si="68"/>
        <v>0</v>
      </c>
      <c r="L213" s="234">
        <f t="shared" ca="1" si="68"/>
        <v>0</v>
      </c>
      <c r="M213" s="234">
        <f t="shared" ca="1" si="68"/>
        <v>0</v>
      </c>
      <c r="N213" s="235">
        <f t="shared" ca="1" si="68"/>
        <v>0</v>
      </c>
      <c r="Q213" s="904"/>
      <c r="R213" s="905"/>
      <c r="S213" s="879"/>
      <c r="T213" s="882"/>
    </row>
    <row r="214" spans="1:21" ht="10.5" thickBot="1" x14ac:dyDescent="0.25">
      <c r="A214" s="237">
        <f>J197</f>
        <v>1</v>
      </c>
      <c r="B214" s="238">
        <f ca="1">B154</f>
        <v>0</v>
      </c>
      <c r="C214" s="966">
        <f ca="1">C154</f>
        <v>0</v>
      </c>
      <c r="D214" s="1052"/>
      <c r="E214" s="967"/>
      <c r="F214" s="966" t="str">
        <f>F154</f>
        <v>Kratki tjedan</v>
      </c>
      <c r="G214" s="967"/>
      <c r="H214" s="239">
        <f t="shared" ca="1" si="68"/>
        <v>0</v>
      </c>
      <c r="I214" s="239">
        <f t="shared" ca="1" si="68"/>
        <v>0</v>
      </c>
      <c r="J214" s="239">
        <f t="shared" ca="1" si="68"/>
        <v>0</v>
      </c>
      <c r="K214" s="239">
        <f t="shared" ca="1" si="68"/>
        <v>0</v>
      </c>
      <c r="L214" s="239">
        <f t="shared" ca="1" si="68"/>
        <v>0</v>
      </c>
      <c r="M214" s="239">
        <f t="shared" ca="1" si="68"/>
        <v>0</v>
      </c>
      <c r="N214" s="240">
        <f t="shared" ca="1" si="68"/>
        <v>0</v>
      </c>
      <c r="Q214" s="898" t="s">
        <v>176</v>
      </c>
      <c r="R214" s="899"/>
      <c r="S214" s="176" t="s">
        <v>290</v>
      </c>
      <c r="T214" s="209">
        <v>1</v>
      </c>
    </row>
    <row r="215" spans="1:21" ht="14.25" customHeight="1" thickTop="1" thickBot="1" x14ac:dyDescent="0.25">
      <c r="A215" s="241"/>
      <c r="B215" s="242">
        <f ca="1">B214+B213</f>
        <v>0</v>
      </c>
      <c r="C215" s="1053">
        <f ca="1">C214+C213</f>
        <v>0</v>
      </c>
      <c r="D215" s="1054"/>
      <c r="E215" s="1055"/>
      <c r="F215" s="953" t="s">
        <v>295</v>
      </c>
      <c r="G215" s="954"/>
      <c r="H215" s="243">
        <f ca="1">H213+H214</f>
        <v>0</v>
      </c>
      <c r="I215" s="243">
        <f ca="1">I213+I214</f>
        <v>0</v>
      </c>
      <c r="J215" s="243">
        <f t="shared" ref="J215:N215" ca="1" si="69">J213+J214</f>
        <v>0</v>
      </c>
      <c r="K215" s="243">
        <f t="shared" ca="1" si="69"/>
        <v>0</v>
      </c>
      <c r="L215" s="243">
        <f t="shared" ca="1" si="69"/>
        <v>0</v>
      </c>
      <c r="M215" s="243">
        <f t="shared" ca="1" si="69"/>
        <v>0</v>
      </c>
      <c r="N215" s="244">
        <f t="shared" ca="1" si="69"/>
        <v>0</v>
      </c>
      <c r="Q215" s="898" t="s">
        <v>175</v>
      </c>
      <c r="R215" s="899"/>
      <c r="S215" s="176" t="s">
        <v>289</v>
      </c>
      <c r="T215" s="209">
        <v>1</v>
      </c>
    </row>
    <row r="216" spans="1:21" ht="10.5" thickBot="1" x14ac:dyDescent="0.25">
      <c r="A216" s="980" t="str">
        <f>B101</f>
        <v>Home plus d.o.o.</v>
      </c>
      <c r="B216" s="981"/>
      <c r="C216" s="981"/>
      <c r="D216" s="981"/>
      <c r="E216" s="981"/>
      <c r="F216" s="981"/>
      <c r="G216" s="981"/>
      <c r="H216" s="981"/>
      <c r="I216" s="981"/>
      <c r="J216" s="981"/>
      <c r="K216" s="981"/>
      <c r="L216" s="981"/>
      <c r="M216" s="981"/>
      <c r="N216" s="982"/>
      <c r="Q216" s="892" t="s">
        <v>177</v>
      </c>
      <c r="R216" s="893"/>
      <c r="S216" s="192" t="s">
        <v>243</v>
      </c>
      <c r="T216" s="224">
        <v>1</v>
      </c>
    </row>
    <row r="217" spans="1:21" ht="13.5" customHeight="1" x14ac:dyDescent="0.2">
      <c r="A217" s="983"/>
      <c r="B217" s="984"/>
      <c r="C217" s="984"/>
      <c r="D217" s="984"/>
      <c r="E217" s="984"/>
      <c r="F217" s="984"/>
      <c r="G217" s="984"/>
      <c r="H217" s="984"/>
      <c r="I217" s="984"/>
      <c r="J217" s="984"/>
      <c r="K217" s="984"/>
      <c r="L217" s="984"/>
      <c r="M217" s="984"/>
      <c r="N217" s="985"/>
    </row>
    <row r="218" spans="1:21" x14ac:dyDescent="0.2">
      <c r="A218" s="245">
        <f>A213</f>
        <v>0</v>
      </c>
      <c r="B218" s="246">
        <f ca="1">G122</f>
        <v>0</v>
      </c>
      <c r="C218" s="955">
        <f ca="1">H122</f>
        <v>0</v>
      </c>
      <c r="D218" s="1056"/>
      <c r="E218" s="956"/>
      <c r="F218" s="955" t="str">
        <f>F213</f>
        <v>Dugi tjedan</v>
      </c>
      <c r="G218" s="956"/>
      <c r="H218" s="247">
        <f ca="1">V122</f>
        <v>0</v>
      </c>
      <c r="I218" s="247">
        <f ca="1">W122</f>
        <v>0</v>
      </c>
      <c r="J218" s="247">
        <f ca="1">X122</f>
        <v>0</v>
      </c>
      <c r="K218" s="248">
        <f>N122</f>
        <v>0</v>
      </c>
      <c r="L218" s="248">
        <f>O122</f>
        <v>0</v>
      </c>
      <c r="M218" s="248">
        <f>P122</f>
        <v>0</v>
      </c>
      <c r="N218" s="249">
        <f>Q122</f>
        <v>0</v>
      </c>
    </row>
    <row r="219" spans="1:21" ht="10.5" customHeight="1" thickBot="1" x14ac:dyDescent="0.25">
      <c r="A219" s="245">
        <f>A214</f>
        <v>1</v>
      </c>
      <c r="B219" s="250">
        <f ca="1">G141</f>
        <v>0</v>
      </c>
      <c r="C219" s="957">
        <f ca="1">H141</f>
        <v>0</v>
      </c>
      <c r="D219" s="1057"/>
      <c r="E219" s="958"/>
      <c r="F219" s="957" t="str">
        <f>F214</f>
        <v>Kratki tjedan</v>
      </c>
      <c r="G219" s="958"/>
      <c r="H219" s="251">
        <f ca="1">V141</f>
        <v>0</v>
      </c>
      <c r="I219" s="251">
        <f ca="1">W141</f>
        <v>0</v>
      </c>
      <c r="J219" s="251">
        <f ca="1">X141</f>
        <v>0</v>
      </c>
      <c r="K219" s="252">
        <f>N141</f>
        <v>0</v>
      </c>
      <c r="L219" s="252">
        <f>O141</f>
        <v>0</v>
      </c>
      <c r="M219" s="252">
        <f>P141</f>
        <v>0</v>
      </c>
      <c r="N219" s="253">
        <f>Q141</f>
        <v>0</v>
      </c>
    </row>
    <row r="220" spans="1:21" ht="14.25" customHeight="1" thickTop="1" thickBot="1" x14ac:dyDescent="0.25">
      <c r="A220" s="254" t="s">
        <v>300</v>
      </c>
      <c r="B220" s="255">
        <f ca="1">B219+B218</f>
        <v>0</v>
      </c>
      <c r="C220" s="1058">
        <f ca="1">C219+C218</f>
        <v>0</v>
      </c>
      <c r="D220" s="1059"/>
      <c r="E220" s="1060"/>
      <c r="F220" s="959" t="s">
        <v>214</v>
      </c>
      <c r="G220" s="960"/>
      <c r="H220" s="256">
        <f ca="1">H218+H219</f>
        <v>0</v>
      </c>
      <c r="I220" s="256">
        <f t="shared" ref="I220:N220" ca="1" si="70">I218+I219</f>
        <v>0</v>
      </c>
      <c r="J220" s="256">
        <f t="shared" ca="1" si="70"/>
        <v>0</v>
      </c>
      <c r="K220" s="256">
        <f t="shared" si="70"/>
        <v>0</v>
      </c>
      <c r="L220" s="256">
        <f t="shared" si="70"/>
        <v>0</v>
      </c>
      <c r="M220" s="256">
        <f t="shared" si="70"/>
        <v>0</v>
      </c>
      <c r="N220" s="257">
        <f t="shared" si="70"/>
        <v>0</v>
      </c>
    </row>
    <row r="221" spans="1:21" ht="13.5" customHeight="1" thickBot="1" x14ac:dyDescent="0.25">
      <c r="A221" s="258"/>
      <c r="B221" s="259">
        <f ca="1">B154+B153</f>
        <v>0</v>
      </c>
      <c r="C221" s="1046">
        <f ca="1">H94+H43</f>
        <v>0</v>
      </c>
      <c r="D221" s="1047"/>
      <c r="E221" s="1048"/>
      <c r="F221" s="961" t="s">
        <v>299</v>
      </c>
      <c r="G221" s="961"/>
      <c r="H221" s="260">
        <f ca="1">H220+H215</f>
        <v>0</v>
      </c>
      <c r="I221" s="260">
        <f t="shared" ref="I221:N221" ca="1" si="71">I220+I215</f>
        <v>0</v>
      </c>
      <c r="J221" s="260">
        <f ca="1">J220+J215</f>
        <v>0</v>
      </c>
      <c r="K221" s="260">
        <f t="shared" ca="1" si="71"/>
        <v>0</v>
      </c>
      <c r="L221" s="260">
        <f t="shared" ca="1" si="71"/>
        <v>0</v>
      </c>
      <c r="M221" s="260">
        <f t="shared" ca="1" si="71"/>
        <v>0</v>
      </c>
      <c r="N221" s="261">
        <f t="shared" ca="1" si="71"/>
        <v>0</v>
      </c>
    </row>
    <row r="222" spans="1:21" x14ac:dyDescent="0.2">
      <c r="A222" s="262" t="str">
        <f>U202</f>
        <v>T13</v>
      </c>
      <c r="B222" s="263">
        <f>G95+G44</f>
        <v>0</v>
      </c>
      <c r="C222" s="1061">
        <f>H95+H44</f>
        <v>0</v>
      </c>
      <c r="D222" s="1062"/>
      <c r="E222" s="1063"/>
      <c r="F222" s="264" t="s">
        <v>148</v>
      </c>
      <c r="G222" s="264" t="str">
        <f>A222</f>
        <v>T13</v>
      </c>
      <c r="H222" s="206"/>
      <c r="I222" s="206"/>
      <c r="J222" s="206"/>
      <c r="K222" s="264">
        <f>(U165+U187)*$T$214</f>
        <v>0</v>
      </c>
      <c r="L222" s="264">
        <f>(V165+V187)*$T$215</f>
        <v>0</v>
      </c>
      <c r="M222" s="264">
        <f>(W165+W187)*$T$216</f>
        <v>0</v>
      </c>
      <c r="N222" s="271">
        <f>X165+X187</f>
        <v>0</v>
      </c>
    </row>
    <row r="223" spans="1:21" x14ac:dyDescent="0.2">
      <c r="A223" s="265">
        <f>U203</f>
        <v>0</v>
      </c>
      <c r="B223" s="266">
        <f>G96+G45</f>
        <v>0</v>
      </c>
      <c r="C223" s="1036">
        <f>H96+H45</f>
        <v>0</v>
      </c>
      <c r="D223" s="1037"/>
      <c r="E223" s="1038"/>
      <c r="F223" s="267" t="s">
        <v>148</v>
      </c>
      <c r="G223" s="267">
        <f>A223</f>
        <v>0</v>
      </c>
      <c r="H223" s="176"/>
      <c r="I223" s="176"/>
      <c r="J223" s="176"/>
      <c r="K223" s="267">
        <f>(U166+U188)*$T$214</f>
        <v>0</v>
      </c>
      <c r="L223" s="267">
        <f>(V166+V188)*$T$215</f>
        <v>0</v>
      </c>
      <c r="M223" s="267">
        <f>(W166+W188)*$T$216</f>
        <v>0</v>
      </c>
      <c r="N223" s="272">
        <f>X166+X188</f>
        <v>0</v>
      </c>
    </row>
    <row r="224" spans="1:21" x14ac:dyDescent="0.2">
      <c r="A224" s="265">
        <f>U204</f>
        <v>0</v>
      </c>
      <c r="B224" s="266">
        <f>G97+G46</f>
        <v>0</v>
      </c>
      <c r="C224" s="1036">
        <f>H97+H46</f>
        <v>0</v>
      </c>
      <c r="D224" s="1037"/>
      <c r="E224" s="1038"/>
      <c r="F224" s="267" t="s">
        <v>148</v>
      </c>
      <c r="G224" s="267">
        <f>A224</f>
        <v>0</v>
      </c>
      <c r="H224" s="176"/>
      <c r="I224" s="176"/>
      <c r="J224" s="176"/>
      <c r="K224" s="267">
        <f>(U167+U189)*$T$214</f>
        <v>0</v>
      </c>
      <c r="L224" s="267">
        <f>(V167+V189)*$T$215</f>
        <v>0</v>
      </c>
      <c r="M224" s="267">
        <f>(W167+W189)*$T$216</f>
        <v>0</v>
      </c>
      <c r="N224" s="272">
        <f>X167+X189</f>
        <v>0</v>
      </c>
    </row>
    <row r="225" spans="1:24" ht="10.5" thickBot="1" x14ac:dyDescent="0.25">
      <c r="A225" s="268">
        <f>U205</f>
        <v>0</v>
      </c>
      <c r="B225" s="269">
        <f>G98+G47</f>
        <v>0</v>
      </c>
      <c r="C225" s="1043">
        <f>H98+H47</f>
        <v>0</v>
      </c>
      <c r="D225" s="1044"/>
      <c r="E225" s="1045"/>
      <c r="F225" s="270" t="s">
        <v>148</v>
      </c>
      <c r="G225" s="270">
        <f>A225</f>
        <v>0</v>
      </c>
      <c r="H225" s="192"/>
      <c r="I225" s="192"/>
      <c r="J225" s="192"/>
      <c r="K225" s="270">
        <f>(U168+U190)*$T$214</f>
        <v>0</v>
      </c>
      <c r="L225" s="270">
        <f>(V168+V190)*$T$215</f>
        <v>0</v>
      </c>
      <c r="M225" s="270">
        <f>(W168+W190)*$T$216</f>
        <v>0</v>
      </c>
      <c r="N225" s="273">
        <f>X168+X190</f>
        <v>0</v>
      </c>
    </row>
    <row r="226" spans="1:24" ht="10.5" thickBot="1" x14ac:dyDescent="0.25">
      <c r="A226" s="808" t="s">
        <v>77</v>
      </c>
      <c r="B226" s="873"/>
      <c r="C226" s="873"/>
      <c r="D226" s="873"/>
      <c r="E226" s="873"/>
      <c r="F226" s="873"/>
      <c r="G226" s="809"/>
      <c r="H226" s="274">
        <f ca="1">H209-H221-SUM(H222:H225)</f>
        <v>0</v>
      </c>
      <c r="I226" s="274">
        <f ca="1">I209-I221-SUM(I222:I225)</f>
        <v>0</v>
      </c>
      <c r="J226" s="274">
        <f ca="1">J209-J221-SUM(J222:J225)</f>
        <v>0</v>
      </c>
      <c r="K226" s="274">
        <f t="shared" ref="K226:N226" ca="1" si="72">K209-K221</f>
        <v>0</v>
      </c>
      <c r="L226" s="274">
        <f t="shared" ca="1" si="72"/>
        <v>0</v>
      </c>
      <c r="M226" s="274">
        <f t="shared" ca="1" si="72"/>
        <v>0</v>
      </c>
      <c r="N226" s="275">
        <f t="shared" ca="1" si="72"/>
        <v>0</v>
      </c>
    </row>
    <row r="227" spans="1:24" x14ac:dyDescent="0.2">
      <c r="B227" s="390"/>
    </row>
    <row r="228" spans="1:24" ht="9.75" customHeight="1" x14ac:dyDescent="0.2">
      <c r="A228" s="319"/>
      <c r="B228" s="723" t="str">
        <f ca="1">IF(AND(B146="",B127="",B99="",B48=""),"", "Neispravan unos podataka!!!")</f>
        <v/>
      </c>
      <c r="C228" s="724"/>
      <c r="D228" s="725"/>
      <c r="E228" s="726"/>
      <c r="F228" s="319"/>
      <c r="G228" s="1064" t="str">
        <f ca="1">IF(OR(L2&lt;&gt;"",L53&lt;&gt;"",L101&lt;&gt;"",L148&lt;&gt;""),"!!! NEZAVRŠEN DOKUMENT","")</f>
        <v/>
      </c>
      <c r="H228" s="1064"/>
      <c r="I228" s="1064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319"/>
      <c r="U228" s="319"/>
      <c r="V228" s="319"/>
      <c r="W228" s="319"/>
      <c r="X228" s="319"/>
    </row>
    <row r="229" spans="1:24" ht="9.75" customHeight="1" x14ac:dyDescent="0.2">
      <c r="A229" s="319"/>
      <c r="B229" s="319"/>
      <c r="C229" s="727"/>
      <c r="D229" s="319"/>
      <c r="E229" s="726"/>
      <c r="F229" s="319"/>
      <c r="G229" s="1064"/>
      <c r="H229" s="1064"/>
      <c r="I229" s="1064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319"/>
      <c r="U229" s="319"/>
      <c r="V229" s="319"/>
      <c r="W229" s="319"/>
      <c r="X229" s="319"/>
    </row>
    <row r="230" spans="1:24" x14ac:dyDescent="0.2">
      <c r="A230" s="319"/>
      <c r="B230" s="319"/>
      <c r="C230" s="727"/>
      <c r="D230" s="319"/>
      <c r="E230" s="726"/>
      <c r="F230" s="319"/>
      <c r="G230" s="1064"/>
      <c r="H230" s="1064"/>
      <c r="I230" s="1064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319"/>
      <c r="U230" s="319"/>
      <c r="V230" s="319"/>
      <c r="W230" s="319"/>
      <c r="X230" s="319"/>
    </row>
    <row r="231" spans="1:24" ht="12.75" customHeight="1" x14ac:dyDescent="0.2">
      <c r="A231" s="319"/>
      <c r="B231" s="319"/>
      <c r="C231" s="727"/>
      <c r="D231" s="319"/>
      <c r="E231" s="728"/>
      <c r="F231" s="319"/>
      <c r="G231" s="1064"/>
      <c r="H231" s="1064"/>
      <c r="I231" s="1064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319"/>
      <c r="U231" s="319"/>
      <c r="V231" s="319"/>
      <c r="W231" s="319"/>
      <c r="X231" s="319"/>
    </row>
    <row r="232" spans="1:24" x14ac:dyDescent="0.2">
      <c r="A232" s="729" t="s">
        <v>335</v>
      </c>
      <c r="B232" s="729"/>
      <c r="C232" s="730"/>
      <c r="D232" s="729"/>
      <c r="E232" s="731"/>
      <c r="F232" s="729"/>
      <c r="G232" s="729"/>
      <c r="H232" s="729"/>
      <c r="I232" s="729"/>
      <c r="J232" s="729"/>
      <c r="K232" s="72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</row>
    <row r="233" spans="1:24" x14ac:dyDescent="0.2">
      <c r="A233" s="732" t="s">
        <v>245</v>
      </c>
      <c r="B233" s="729"/>
      <c r="C233" s="730"/>
      <c r="D233" s="729"/>
      <c r="E233" s="731"/>
      <c r="F233" s="729"/>
      <c r="G233" s="729"/>
      <c r="H233" s="729"/>
      <c r="I233" s="729"/>
      <c r="J233" s="729"/>
      <c r="K233" s="72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</row>
    <row r="234" spans="1:24" ht="9.75" customHeight="1" x14ac:dyDescent="0.2">
      <c r="A234" s="732" t="s">
        <v>247</v>
      </c>
      <c r="B234" s="729"/>
      <c r="C234" s="730"/>
      <c r="D234" s="729"/>
      <c r="E234" s="731"/>
      <c r="F234" s="729"/>
      <c r="G234" s="729"/>
      <c r="H234" s="729"/>
      <c r="I234" s="729"/>
      <c r="J234" s="729"/>
      <c r="K234" s="72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</row>
    <row r="235" spans="1:24" x14ac:dyDescent="0.2">
      <c r="A235" s="732" t="s">
        <v>246</v>
      </c>
      <c r="B235" s="1067" t="s">
        <v>296</v>
      </c>
      <c r="C235" s="1067"/>
      <c r="D235" s="1067"/>
      <c r="E235" s="730" t="s">
        <v>162</v>
      </c>
      <c r="F235" s="733" t="str">
        <f>U202</f>
        <v>T13</v>
      </c>
      <c r="G235" s="729" t="s">
        <v>326</v>
      </c>
      <c r="H235" s="729" t="s">
        <v>334</v>
      </c>
      <c r="I235" s="729" t="s">
        <v>297</v>
      </c>
      <c r="J235" s="729"/>
      <c r="K235" s="1070" t="s">
        <v>149</v>
      </c>
      <c r="L235" s="319"/>
      <c r="M235" s="319"/>
      <c r="N235" s="729" t="s">
        <v>343</v>
      </c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</row>
    <row r="236" spans="1:24" ht="9.75" customHeight="1" x14ac:dyDescent="0.2">
      <c r="A236" s="732" t="s">
        <v>248</v>
      </c>
      <c r="B236" s="729"/>
      <c r="C236" s="730"/>
      <c r="D236" s="729"/>
      <c r="E236" s="730" t="s">
        <v>330</v>
      </c>
      <c r="F236" s="733" t="str">
        <f>IF($F$235=$G$235,G236,IF($F$235=$H$235,H236,IF($F$235=$I$235,I236,"Nepostojeći tim")))</f>
        <v>/T13</v>
      </c>
      <c r="G236" s="729" t="s">
        <v>328</v>
      </c>
      <c r="H236" s="729" t="s">
        <v>327</v>
      </c>
      <c r="I236" s="729" t="s">
        <v>327</v>
      </c>
      <c r="J236" s="729"/>
      <c r="K236" s="1070"/>
      <c r="L236" s="319"/>
      <c r="M236" s="319"/>
      <c r="N236" s="754" t="str">
        <f ca="1">IF((TODAY()&gt;$W$243), "LICENCA JE ISTEKLA","")</f>
        <v/>
      </c>
      <c r="O236" s="754"/>
      <c r="P236" s="754"/>
      <c r="Q236" s="754"/>
      <c r="R236" s="754"/>
      <c r="S236" s="754"/>
      <c r="T236" s="754"/>
      <c r="U236" s="754"/>
      <c r="V236" s="319"/>
      <c r="W236" s="319"/>
      <c r="X236" s="319"/>
    </row>
    <row r="237" spans="1:24" ht="9.75" customHeight="1" x14ac:dyDescent="0.2">
      <c r="A237" s="732" t="s">
        <v>287</v>
      </c>
      <c r="B237" s="729"/>
      <c r="C237" s="730"/>
      <c r="D237" s="729"/>
      <c r="E237" s="730" t="s">
        <v>331</v>
      </c>
      <c r="F237" s="733" t="str">
        <f>IF($F$235=$G$235,G237,IF($F$235=$H$235,H237,IF($F$235=$I$235,I237,"Nepostojeći tim")))</f>
        <v>/1</v>
      </c>
      <c r="G237" s="729" t="s">
        <v>298</v>
      </c>
      <c r="H237" s="729" t="s">
        <v>298</v>
      </c>
      <c r="I237" s="729" t="s">
        <v>298</v>
      </c>
      <c r="J237" s="729"/>
      <c r="K237" s="732">
        <f>WEEKNUM(B6)</f>
        <v>0</v>
      </c>
      <c r="L237" s="319"/>
      <c r="M237" s="319"/>
      <c r="N237" s="754"/>
      <c r="O237" s="754"/>
      <c r="P237" s="754"/>
      <c r="Q237" s="754"/>
      <c r="R237" s="754"/>
      <c r="S237" s="754"/>
      <c r="T237" s="754"/>
      <c r="U237" s="754"/>
      <c r="V237" s="319"/>
      <c r="W237" s="319"/>
      <c r="X237" s="319"/>
    </row>
    <row r="238" spans="1:24" ht="9.75" customHeight="1" x14ac:dyDescent="0.2">
      <c r="A238" s="732" t="s">
        <v>81</v>
      </c>
      <c r="B238" s="729"/>
      <c r="C238" s="730"/>
      <c r="D238" s="729"/>
      <c r="E238" s="730" t="s">
        <v>332</v>
      </c>
      <c r="F238" s="733" t="str">
        <f>IF($F$235=$G$235,G238,IF($F$235=$H$235,H238,IF($F$235=$I$235,I238,"Nepostojeći tim")))</f>
        <v>/T13</v>
      </c>
      <c r="G238" s="729" t="s">
        <v>328</v>
      </c>
      <c r="H238" s="729" t="s">
        <v>303</v>
      </c>
      <c r="I238" s="729" t="s">
        <v>303</v>
      </c>
      <c r="J238" s="729"/>
      <c r="K238" s="1070" t="s">
        <v>150</v>
      </c>
      <c r="L238" s="319"/>
      <c r="M238" s="319"/>
      <c r="N238" s="737" t="str">
        <f ca="1">IF(TODAY()&gt;=$W$243,"LICENCA ISTIČE ","")</f>
        <v/>
      </c>
      <c r="O238" s="737"/>
      <c r="P238" s="737"/>
      <c r="Q238" s="737"/>
      <c r="R238" s="738" t="str">
        <f ca="1">IF(TODAY()&gt;=$W$243,W243,"")</f>
        <v/>
      </c>
      <c r="S238" s="738"/>
      <c r="T238" s="738"/>
      <c r="U238" s="738"/>
      <c r="V238" s="734"/>
      <c r="W238" s="319"/>
      <c r="X238" s="319"/>
    </row>
    <row r="239" spans="1:24" ht="9.75" customHeight="1" x14ac:dyDescent="0.2">
      <c r="A239" s="729"/>
      <c r="B239" s="729"/>
      <c r="C239" s="730"/>
      <c r="D239" s="729"/>
      <c r="E239" s="730" t="s">
        <v>333</v>
      </c>
      <c r="F239" s="733" t="str">
        <f>IF($F$235=$G$235,G239,IF($F$235=$H$235,H239,IF($F$235=$I$235,I239,"Nepostojeći tim")))</f>
        <v>/6</v>
      </c>
      <c r="G239" s="729" t="s">
        <v>329</v>
      </c>
      <c r="H239" s="729" t="s">
        <v>303</v>
      </c>
      <c r="I239" s="729" t="s">
        <v>303</v>
      </c>
      <c r="J239" s="729"/>
      <c r="K239" s="1070"/>
      <c r="L239" s="319"/>
      <c r="M239" s="319"/>
      <c r="N239" s="737"/>
      <c r="O239" s="737"/>
      <c r="P239" s="737"/>
      <c r="Q239" s="737"/>
      <c r="R239" s="738"/>
      <c r="S239" s="738"/>
      <c r="T239" s="738"/>
      <c r="U239" s="738"/>
      <c r="V239" s="734"/>
      <c r="W239" s="319"/>
      <c r="X239" s="319"/>
    </row>
    <row r="240" spans="1:24" ht="9.75" customHeight="1" x14ac:dyDescent="0.2">
      <c r="A240" s="729"/>
      <c r="B240" s="729"/>
      <c r="C240" s="730"/>
      <c r="D240" s="729"/>
      <c r="E240" s="731"/>
      <c r="F240" s="729"/>
      <c r="G240" s="729"/>
      <c r="H240" s="729"/>
      <c r="I240" s="729"/>
      <c r="J240" s="729"/>
      <c r="K240" s="732">
        <f>K237+1</f>
        <v>1</v>
      </c>
      <c r="L240" s="319"/>
      <c r="M240" s="319"/>
      <c r="N240" s="755" t="str">
        <f ca="1">IF(TODAY()&gt;=$W$243,"Još "&amp;($W$243-TODAY())&amp;"dana vrijedi.","")</f>
        <v/>
      </c>
      <c r="O240" s="755"/>
      <c r="P240" s="755"/>
      <c r="Q240" s="755"/>
      <c r="R240" s="755"/>
      <c r="S240" s="755"/>
      <c r="T240" s="755"/>
      <c r="U240" s="755"/>
      <c r="V240" s="319"/>
      <c r="W240" s="319"/>
      <c r="X240" s="319"/>
    </row>
    <row r="241" spans="1:24" ht="9.75" customHeight="1" x14ac:dyDescent="0.2">
      <c r="A241" s="319"/>
      <c r="B241" s="319"/>
      <c r="C241" s="727"/>
      <c r="D241" s="319"/>
      <c r="E241" s="726"/>
      <c r="F241" s="319"/>
      <c r="G241" s="319"/>
      <c r="H241" s="319"/>
      <c r="I241" s="319"/>
      <c r="J241" s="319"/>
      <c r="K241" s="319"/>
      <c r="L241" s="319"/>
      <c r="M241" s="319"/>
      <c r="N241" s="755"/>
      <c r="O241" s="755"/>
      <c r="P241" s="755"/>
      <c r="Q241" s="755"/>
      <c r="R241" s="755"/>
      <c r="S241" s="755"/>
      <c r="T241" s="755"/>
      <c r="U241" s="755"/>
      <c r="V241" s="319"/>
      <c r="W241" s="319"/>
      <c r="X241" s="319"/>
    </row>
    <row r="242" spans="1:24" x14ac:dyDescent="0.2">
      <c r="A242" s="319"/>
      <c r="B242" s="319"/>
      <c r="C242" s="727"/>
      <c r="D242" s="319"/>
      <c r="E242" s="726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749" t="str">
        <f ca="1">IF(TODAY()&gt;$W$243-180,"Licenca vrijedi do:","")</f>
        <v/>
      </c>
      <c r="V242" s="749"/>
      <c r="W242" s="749" t="str">
        <f ca="1">IF(TODAY()&gt;$W$243-180,$W$243,"")</f>
        <v/>
      </c>
      <c r="X242" s="749"/>
    </row>
    <row r="243" spans="1:24" x14ac:dyDescent="0.2">
      <c r="A243" s="319"/>
      <c r="B243" s="319"/>
      <c r="C243" s="727"/>
      <c r="D243" s="319"/>
      <c r="E243" s="726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756" t="s">
        <v>344</v>
      </c>
      <c r="V243" s="756"/>
      <c r="W243" s="735">
        <v>46600</v>
      </c>
      <c r="X243" s="736"/>
    </row>
  </sheetData>
  <sheetProtection algorithmName="SHA-512" hashValue="qok7hj6urZsd9rmvi3QeLiMYsZzfDgsBvJOi7pvChoGkxRO6smj75oG6/DODUXDqEDt06JhXl3OtVj16+f8odA==" saltValue="Bn2T5soi58FpEXzItx8yqA==" spinCount="100000" sheet="1" objects="1" scenarios="1"/>
  <dataConsolidate/>
  <mergeCells count="361">
    <mergeCell ref="K238:K239"/>
    <mergeCell ref="M127:U127"/>
    <mergeCell ref="M128:U128"/>
    <mergeCell ref="M146:U146"/>
    <mergeCell ref="M147:U147"/>
    <mergeCell ref="I192:M193"/>
    <mergeCell ref="B127:L128"/>
    <mergeCell ref="B99:L100"/>
    <mergeCell ref="L101:S101"/>
    <mergeCell ref="C224:E224"/>
    <mergeCell ref="C225:E225"/>
    <mergeCell ref="C173:E173"/>
    <mergeCell ref="C174:E174"/>
    <mergeCell ref="G228:S231"/>
    <mergeCell ref="B192:G193"/>
    <mergeCell ref="B235:D235"/>
    <mergeCell ref="M99:U99"/>
    <mergeCell ref="M100:U100"/>
    <mergeCell ref="L53:S53"/>
    <mergeCell ref="K235:K236"/>
    <mergeCell ref="T199:T201"/>
    <mergeCell ref="S199:S201"/>
    <mergeCell ref="A2:E2"/>
    <mergeCell ref="U53:W53"/>
    <mergeCell ref="M48:U48"/>
    <mergeCell ref="M49:U49"/>
    <mergeCell ref="L2:S2"/>
    <mergeCell ref="Q116:U116"/>
    <mergeCell ref="Q117:U117"/>
    <mergeCell ref="B48:L49"/>
    <mergeCell ref="C223:E223"/>
    <mergeCell ref="C150:F150"/>
    <mergeCell ref="C151:F151"/>
    <mergeCell ref="C152:E152"/>
    <mergeCell ref="C153:E153"/>
    <mergeCell ref="C154:E154"/>
    <mergeCell ref="C155:E155"/>
    <mergeCell ref="C212:E212"/>
    <mergeCell ref="C213:E213"/>
    <mergeCell ref="C214:E214"/>
    <mergeCell ref="C215:E215"/>
    <mergeCell ref="C218:E218"/>
    <mergeCell ref="C219:E219"/>
    <mergeCell ref="C220:E220"/>
    <mergeCell ref="C221:E221"/>
    <mergeCell ref="C222:E222"/>
    <mergeCell ref="C175:E175"/>
    <mergeCell ref="C176:E176"/>
    <mergeCell ref="C177:E177"/>
    <mergeCell ref="C178:E178"/>
    <mergeCell ref="C179:E179"/>
    <mergeCell ref="C180:E180"/>
    <mergeCell ref="C181:E181"/>
    <mergeCell ref="J191:K191"/>
    <mergeCell ref="L191:M191"/>
    <mergeCell ref="B187:E187"/>
    <mergeCell ref="F187:G187"/>
    <mergeCell ref="B188:E188"/>
    <mergeCell ref="F188:G188"/>
    <mergeCell ref="A184:E184"/>
    <mergeCell ref="F184:G184"/>
    <mergeCell ref="A205:B205"/>
    <mergeCell ref="A200:B200"/>
    <mergeCell ref="A201:B201"/>
    <mergeCell ref="A210:N211"/>
    <mergeCell ref="A216:N217"/>
    <mergeCell ref="L176:M176"/>
    <mergeCell ref="J188:K188"/>
    <mergeCell ref="L188:M188"/>
    <mergeCell ref="J189:K189"/>
    <mergeCell ref="L189:M189"/>
    <mergeCell ref="J190:K190"/>
    <mergeCell ref="L190:M190"/>
    <mergeCell ref="I184:K184"/>
    <mergeCell ref="L184:M184"/>
    <mergeCell ref="I185:K186"/>
    <mergeCell ref="L185:M186"/>
    <mergeCell ref="J187:K187"/>
    <mergeCell ref="L187:M187"/>
    <mergeCell ref="L178:M178"/>
    <mergeCell ref="L179:M179"/>
    <mergeCell ref="L180:M180"/>
    <mergeCell ref="L181:M181"/>
    <mergeCell ref="I182:I183"/>
    <mergeCell ref="J182:K182"/>
    <mergeCell ref="L169:M169"/>
    <mergeCell ref="L170:M170"/>
    <mergeCell ref="L171:M171"/>
    <mergeCell ref="L172:M172"/>
    <mergeCell ref="L173:M173"/>
    <mergeCell ref="L174:M174"/>
    <mergeCell ref="L175:M175"/>
    <mergeCell ref="L177:M177"/>
    <mergeCell ref="A226:G226"/>
    <mergeCell ref="F215:G215"/>
    <mergeCell ref="F218:G218"/>
    <mergeCell ref="F219:G219"/>
    <mergeCell ref="F220:G220"/>
    <mergeCell ref="F221:G221"/>
    <mergeCell ref="A209:G209"/>
    <mergeCell ref="F212:G212"/>
    <mergeCell ref="H212:N212"/>
    <mergeCell ref="F213:G213"/>
    <mergeCell ref="F214:G214"/>
    <mergeCell ref="A206:B206"/>
    <mergeCell ref="A207:B207"/>
    <mergeCell ref="A208:B208"/>
    <mergeCell ref="A203:B203"/>
    <mergeCell ref="A204:B204"/>
    <mergeCell ref="A185:E186"/>
    <mergeCell ref="F185:G186"/>
    <mergeCell ref="O185:P185"/>
    <mergeCell ref="O186:Q186"/>
    <mergeCell ref="A182:A183"/>
    <mergeCell ref="B182:E182"/>
    <mergeCell ref="F182:G182"/>
    <mergeCell ref="Q215:R215"/>
    <mergeCell ref="O182:P182"/>
    <mergeCell ref="B183:E183"/>
    <mergeCell ref="F183:G183"/>
    <mergeCell ref="C208:G208"/>
    <mergeCell ref="B191:E191"/>
    <mergeCell ref="F191:G191"/>
    <mergeCell ref="A199:N199"/>
    <mergeCell ref="B189:E189"/>
    <mergeCell ref="F189:G189"/>
    <mergeCell ref="B190:E190"/>
    <mergeCell ref="F190:G190"/>
    <mergeCell ref="A202:B202"/>
    <mergeCell ref="C200:G200"/>
    <mergeCell ref="C201:G201"/>
    <mergeCell ref="C202:G202"/>
    <mergeCell ref="C203:G203"/>
    <mergeCell ref="Q216:R216"/>
    <mergeCell ref="O183:P183"/>
    <mergeCell ref="O179:P179"/>
    <mergeCell ref="F180:G180"/>
    <mergeCell ref="O180:P180"/>
    <mergeCell ref="F181:G181"/>
    <mergeCell ref="Q214:R214"/>
    <mergeCell ref="O181:P181"/>
    <mergeCell ref="F176:G176"/>
    <mergeCell ref="O176:P176"/>
    <mergeCell ref="F177:G177"/>
    <mergeCell ref="O177:P177"/>
    <mergeCell ref="F178:G178"/>
    <mergeCell ref="O178:P178"/>
    <mergeCell ref="F179:G179"/>
    <mergeCell ref="Q211:R213"/>
    <mergeCell ref="O184:P184"/>
    <mergeCell ref="C204:G204"/>
    <mergeCell ref="C205:G205"/>
    <mergeCell ref="C206:G206"/>
    <mergeCell ref="C207:G207"/>
    <mergeCell ref="L182:M182"/>
    <mergeCell ref="J183:K183"/>
    <mergeCell ref="L183:M183"/>
    <mergeCell ref="S211:S213"/>
    <mergeCell ref="T211:T213"/>
    <mergeCell ref="F173:G173"/>
    <mergeCell ref="F174:G174"/>
    <mergeCell ref="O174:P174"/>
    <mergeCell ref="F175:G175"/>
    <mergeCell ref="O175:P175"/>
    <mergeCell ref="F171:G171"/>
    <mergeCell ref="O171:R171"/>
    <mergeCell ref="F172:G172"/>
    <mergeCell ref="O172:P173"/>
    <mergeCell ref="Q172:Q173"/>
    <mergeCell ref="R172:T172"/>
    <mergeCell ref="U172:X172"/>
    <mergeCell ref="A168:E168"/>
    <mergeCell ref="F168:G168"/>
    <mergeCell ref="A169:E169"/>
    <mergeCell ref="F169:G169"/>
    <mergeCell ref="F170:G170"/>
    <mergeCell ref="O162:P162"/>
    <mergeCell ref="O163:P163"/>
    <mergeCell ref="O164:Q164"/>
    <mergeCell ref="A166:G166"/>
    <mergeCell ref="A167:E167"/>
    <mergeCell ref="F167:G167"/>
    <mergeCell ref="C162:E162"/>
    <mergeCell ref="C163:E163"/>
    <mergeCell ref="C164:E164"/>
    <mergeCell ref="C170:E170"/>
    <mergeCell ref="C171:E171"/>
    <mergeCell ref="C172:E172"/>
    <mergeCell ref="I166:M166"/>
    <mergeCell ref="I167:K167"/>
    <mergeCell ref="L167:M167"/>
    <mergeCell ref="I168:K168"/>
    <mergeCell ref="L168:M168"/>
    <mergeCell ref="I169:K169"/>
    <mergeCell ref="I158:I159"/>
    <mergeCell ref="J158:J159"/>
    <mergeCell ref="O158:P158"/>
    <mergeCell ref="O159:P159"/>
    <mergeCell ref="O160:P160"/>
    <mergeCell ref="O161:P161"/>
    <mergeCell ref="O155:P155"/>
    <mergeCell ref="O156:P156"/>
    <mergeCell ref="A157:J157"/>
    <mergeCell ref="O157:P157"/>
    <mergeCell ref="A158:A159"/>
    <mergeCell ref="B158:B159"/>
    <mergeCell ref="F158:F159"/>
    <mergeCell ref="G158:G159"/>
    <mergeCell ref="H158:H159"/>
    <mergeCell ref="C158:E159"/>
    <mergeCell ref="C160:E160"/>
    <mergeCell ref="C161:E161"/>
    <mergeCell ref="A151:B151"/>
    <mergeCell ref="G152:M152"/>
    <mergeCell ref="O152:P152"/>
    <mergeCell ref="O153:P153"/>
    <mergeCell ref="O154:P154"/>
    <mergeCell ref="Q139:U139"/>
    <mergeCell ref="Q140:U140"/>
    <mergeCell ref="B141:F141"/>
    <mergeCell ref="A149:M149"/>
    <mergeCell ref="A150:B150"/>
    <mergeCell ref="O150:P151"/>
    <mergeCell ref="Q150:Q151"/>
    <mergeCell ref="R150:T150"/>
    <mergeCell ref="U150:X150"/>
    <mergeCell ref="L148:S148"/>
    <mergeCell ref="Q137:U137"/>
    <mergeCell ref="Q138:U138"/>
    <mergeCell ref="Q131:U131"/>
    <mergeCell ref="Q132:U132"/>
    <mergeCell ref="Q133:U133"/>
    <mergeCell ref="Q134:U134"/>
    <mergeCell ref="Q135:U135"/>
    <mergeCell ref="Q136:U136"/>
    <mergeCell ref="Q118:U118"/>
    <mergeCell ref="Q119:U119"/>
    <mergeCell ref="Q120:U120"/>
    <mergeCell ref="Q121:U121"/>
    <mergeCell ref="B122:F122"/>
    <mergeCell ref="A129:A130"/>
    <mergeCell ref="B129:F129"/>
    <mergeCell ref="Q130:U130"/>
    <mergeCell ref="Q110:U110"/>
    <mergeCell ref="Q111:U111"/>
    <mergeCell ref="Q112:U112"/>
    <mergeCell ref="Q113:U113"/>
    <mergeCell ref="Q114:U114"/>
    <mergeCell ref="Q115:U115"/>
    <mergeCell ref="C130:E130"/>
    <mergeCell ref="Q104:U104"/>
    <mergeCell ref="Q105:U105"/>
    <mergeCell ref="Q106:U106"/>
    <mergeCell ref="Q107:U107"/>
    <mergeCell ref="Q108:U108"/>
    <mergeCell ref="Q109:U109"/>
    <mergeCell ref="B94:F94"/>
    <mergeCell ref="B101:E101"/>
    <mergeCell ref="C103:E103"/>
    <mergeCell ref="A102:A103"/>
    <mergeCell ref="B102:F102"/>
    <mergeCell ref="Q103:U103"/>
    <mergeCell ref="Q88:U88"/>
    <mergeCell ref="Q89:U89"/>
    <mergeCell ref="Q90:U90"/>
    <mergeCell ref="Q91:U91"/>
    <mergeCell ref="Q92:U92"/>
    <mergeCell ref="Q93:U93"/>
    <mergeCell ref="Q84:U84"/>
    <mergeCell ref="Q85:U85"/>
    <mergeCell ref="Q86:U86"/>
    <mergeCell ref="Q87:U87"/>
    <mergeCell ref="Q76:U76"/>
    <mergeCell ref="Q77:U77"/>
    <mergeCell ref="Q78:U78"/>
    <mergeCell ref="Q79:U79"/>
    <mergeCell ref="Q80:U80"/>
    <mergeCell ref="Q81:U81"/>
    <mergeCell ref="Q75:U75"/>
    <mergeCell ref="Q64:U64"/>
    <mergeCell ref="Q65:U65"/>
    <mergeCell ref="Q66:U66"/>
    <mergeCell ref="Q67:U67"/>
    <mergeCell ref="Q68:U68"/>
    <mergeCell ref="Q69:U69"/>
    <mergeCell ref="Q82:U82"/>
    <mergeCell ref="Q83:U83"/>
    <mergeCell ref="B43:F43"/>
    <mergeCell ref="A55:A56"/>
    <mergeCell ref="B55:F55"/>
    <mergeCell ref="Q56:U56"/>
    <mergeCell ref="Q57:U57"/>
    <mergeCell ref="C56:E56"/>
    <mergeCell ref="Q70:U70"/>
    <mergeCell ref="Q71:U71"/>
    <mergeCell ref="Q72:U72"/>
    <mergeCell ref="Q37:U37"/>
    <mergeCell ref="Q38:U38"/>
    <mergeCell ref="Q39:U39"/>
    <mergeCell ref="Q40:U40"/>
    <mergeCell ref="Q41:U41"/>
    <mergeCell ref="Q42:U42"/>
    <mergeCell ref="Q27:U27"/>
    <mergeCell ref="Q28:U28"/>
    <mergeCell ref="Q29:U29"/>
    <mergeCell ref="Q30:U30"/>
    <mergeCell ref="Q31:U31"/>
    <mergeCell ref="Q32:U32"/>
    <mergeCell ref="Q33:U33"/>
    <mergeCell ref="Q34:U34"/>
    <mergeCell ref="Q35:U35"/>
    <mergeCell ref="Q36:U36"/>
    <mergeCell ref="Q21:U21"/>
    <mergeCell ref="Q22:U22"/>
    <mergeCell ref="Q23:U23"/>
    <mergeCell ref="Q24:U24"/>
    <mergeCell ref="Q25:U25"/>
    <mergeCell ref="Q26:U26"/>
    <mergeCell ref="Q15:U15"/>
    <mergeCell ref="Q16:U16"/>
    <mergeCell ref="Q17:U17"/>
    <mergeCell ref="Q18:U18"/>
    <mergeCell ref="Q19:U19"/>
    <mergeCell ref="Q20:U20"/>
    <mergeCell ref="Q9:U9"/>
    <mergeCell ref="Q10:U10"/>
    <mergeCell ref="Q11:U11"/>
    <mergeCell ref="Q12:U12"/>
    <mergeCell ref="Q13:U13"/>
    <mergeCell ref="Q14:U14"/>
    <mergeCell ref="A4:A5"/>
    <mergeCell ref="B4:F4"/>
    <mergeCell ref="Q5:U5"/>
    <mergeCell ref="Q6:U6"/>
    <mergeCell ref="Q7:U7"/>
    <mergeCell ref="Q8:U8"/>
    <mergeCell ref="C5:E5"/>
    <mergeCell ref="W243:X243"/>
    <mergeCell ref="N238:Q239"/>
    <mergeCell ref="R238:U239"/>
    <mergeCell ref="C147:I147"/>
    <mergeCell ref="N142:U145"/>
    <mergeCell ref="N44:U47"/>
    <mergeCell ref="N95:U98"/>
    <mergeCell ref="N123:U126"/>
    <mergeCell ref="U242:V242"/>
    <mergeCell ref="W242:X242"/>
    <mergeCell ref="U199:U201"/>
    <mergeCell ref="F50:J50"/>
    <mergeCell ref="B146:L146"/>
    <mergeCell ref="N236:U237"/>
    <mergeCell ref="N240:U241"/>
    <mergeCell ref="U243:V243"/>
    <mergeCell ref="Q58:U58"/>
    <mergeCell ref="Q59:U59"/>
    <mergeCell ref="Q60:U60"/>
    <mergeCell ref="Q61:U61"/>
    <mergeCell ref="Q62:U62"/>
    <mergeCell ref="Q63:U63"/>
    <mergeCell ref="Q73:U73"/>
    <mergeCell ref="Q74:U74"/>
  </mergeCells>
  <dataValidations count="8">
    <dataValidation type="list" allowBlank="1" showInputMessage="1" showErrorMessage="1" sqref="N50:N52" xr:uid="{00000000-0002-0000-0200-000000000000}">
      <formula1>#REF!</formula1>
    </dataValidation>
    <dataValidation type="list" allowBlank="1" showInputMessage="1" showErrorMessage="1" sqref="B171:B181" xr:uid="{00000000-0002-0000-0200-000001000000}">
      <formula1>$B$182:$B$183</formula1>
    </dataValidation>
    <dataValidation type="list" allowBlank="1" showInputMessage="1" showErrorMessage="1" sqref="U202:U205" xr:uid="{A5D1F9C0-114B-4E5C-A424-9982DD70EDE1}">
      <formula1>$G$235:$I$235</formula1>
    </dataValidation>
    <dataValidation type="list" allowBlank="1" showInputMessage="1" showErrorMessage="1" sqref="M6:M42 M104:M121 M57:M93 M131:M140" xr:uid="{00000000-0002-0000-0200-000007000000}">
      <formula1>$A$233:$A$238</formula1>
    </dataValidation>
    <dataValidation type="list" allowBlank="1" showInputMessage="1" showErrorMessage="1" sqref="J171:J181" xr:uid="{00000000-0002-0000-0200-000005000000}">
      <formula1>$J$182:$J$183</formula1>
    </dataValidation>
    <dataValidation type="list" allowBlank="1" showInputMessage="1" showErrorMessage="1" sqref="C171:C181 K171:K181 Q152:Q163 N131:N140 Q174:Q185 N104:N121 N6:N42 N57:N93" xr:uid="{00000000-0002-0000-0200-000002000000}">
      <formula1>$U$202:$U$205</formula1>
    </dataValidation>
    <dataValidation type="list" allowBlank="1" showInputMessage="1" showErrorMessage="1" sqref="O57:O93 O6:O42 O104:O121 O131:O140" xr:uid="{00000000-0002-0000-0200-000003000000}">
      <formula1>$T$202:$T$207</formula1>
    </dataValidation>
    <dataValidation type="list" allowBlank="1" showInputMessage="1" showErrorMessage="1" sqref="P57:P93 P6:P42 P104:P121 P131:P140" xr:uid="{00000000-0002-0000-0200-000004000000}">
      <formula1>$S$202:$S$209</formula1>
    </dataValidation>
  </dataValidations>
  <pageMargins left="0.7" right="0.7" top="0.75" bottom="0.75" header="0.3" footer="0.3"/>
  <pageSetup paperSize="9" fitToHeight="0" orientation="landscape" r:id="rId1"/>
  <ignoredErrors>
    <ignoredError sqref="C7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24"/>
  <sheetViews>
    <sheetView zoomScale="90" zoomScaleNormal="90" workbookViewId="0">
      <selection activeCell="O33" sqref="O33:S36"/>
    </sheetView>
  </sheetViews>
  <sheetFormatPr defaultColWidth="9.140625" defaultRowHeight="12.75" x14ac:dyDescent="0.2"/>
  <cols>
    <col min="1" max="1" width="4.5703125" style="34" customWidth="1"/>
    <col min="2" max="2" width="10.5703125" style="34" customWidth="1"/>
    <col min="3" max="3" width="10.85546875" style="34" customWidth="1"/>
    <col min="4" max="4" width="11.140625" style="34" customWidth="1"/>
    <col min="5" max="5" width="10.5703125" style="34" customWidth="1"/>
    <col min="6" max="6" width="9.85546875" style="34" customWidth="1"/>
    <col min="7" max="7" width="9.7109375" style="34" customWidth="1"/>
    <col min="8" max="8" width="8.7109375" style="34" customWidth="1"/>
    <col min="9" max="9" width="7.5703125" style="34" customWidth="1"/>
    <col min="10" max="10" width="7.28515625" style="34" customWidth="1"/>
    <col min="11" max="11" width="7.42578125" style="34" customWidth="1"/>
    <col min="12" max="16" width="6.7109375" style="34" customWidth="1"/>
    <col min="17" max="18" width="7.7109375" style="34" customWidth="1"/>
    <col min="19" max="19" width="8.42578125" style="34" customWidth="1"/>
    <col min="20" max="20" width="7.42578125" style="34" customWidth="1"/>
    <col min="21" max="21" width="7.140625" style="34" customWidth="1"/>
    <col min="22" max="22" width="7.85546875" style="34" customWidth="1"/>
    <col min="23" max="16384" width="9.140625" style="34"/>
  </cols>
  <sheetData>
    <row r="1" spans="1:22" x14ac:dyDescent="0.2">
      <c r="A1" s="468"/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468"/>
      <c r="P1" s="468"/>
      <c r="Q1" s="468"/>
      <c r="R1" s="468"/>
      <c r="S1" s="468"/>
      <c r="T1" s="468"/>
      <c r="U1" s="468"/>
      <c r="V1" s="468"/>
    </row>
    <row r="2" spans="1:22" x14ac:dyDescent="0.2">
      <c r="A2" s="468"/>
      <c r="B2" s="469" t="s">
        <v>291</v>
      </c>
      <c r="C2" s="468"/>
      <c r="D2" s="470"/>
      <c r="E2" s="471"/>
      <c r="F2" s="471"/>
      <c r="G2" s="471"/>
      <c r="H2" s="471"/>
      <c r="I2" s="471"/>
      <c r="J2" s="471"/>
      <c r="K2" s="472"/>
      <c r="L2" s="472"/>
      <c r="M2" s="472"/>
      <c r="N2" s="472"/>
      <c r="O2" s="472"/>
      <c r="P2" s="472"/>
      <c r="Q2" s="472"/>
      <c r="R2" s="472"/>
      <c r="S2" s="472"/>
      <c r="T2" s="473"/>
      <c r="U2" s="473"/>
      <c r="V2" s="473"/>
    </row>
    <row r="3" spans="1:22" s="3" customFormat="1" ht="13.5" thickBot="1" x14ac:dyDescent="0.25">
      <c r="A3" s="468"/>
      <c r="B3" s="470"/>
      <c r="C3" s="470"/>
      <c r="D3" s="470"/>
      <c r="E3" s="471"/>
      <c r="F3" s="471"/>
      <c r="G3" s="471"/>
      <c r="H3" s="471"/>
      <c r="I3" s="471"/>
      <c r="J3" s="471"/>
      <c r="K3" s="472"/>
      <c r="L3" s="472"/>
      <c r="M3" s="472"/>
      <c r="N3" s="472"/>
      <c r="O3" s="472"/>
      <c r="P3" s="472"/>
      <c r="Q3" s="472"/>
      <c r="R3" s="472"/>
      <c r="S3" s="472"/>
      <c r="T3" s="473"/>
      <c r="U3" s="473"/>
      <c r="V3" s="473"/>
    </row>
    <row r="4" spans="1:22" s="3" customFormat="1" ht="12.75" customHeight="1" thickBot="1" x14ac:dyDescent="0.25">
      <c r="A4" s="1313" t="s">
        <v>74</v>
      </c>
      <c r="B4" s="1321" t="s">
        <v>78</v>
      </c>
      <c r="C4" s="1274"/>
      <c r="D4" s="1322"/>
      <c r="E4" s="475">
        <v>1</v>
      </c>
      <c r="F4" s="476"/>
      <c r="G4" s="476"/>
      <c r="H4" s="476"/>
      <c r="I4" s="476"/>
      <c r="J4" s="476"/>
      <c r="K4" s="476"/>
      <c r="L4" s="476"/>
      <c r="M4" s="476"/>
      <c r="N4" s="476"/>
      <c r="O4" s="476"/>
      <c r="P4" s="476"/>
      <c r="Q4" s="476"/>
      <c r="R4" s="476"/>
      <c r="S4" s="476"/>
      <c r="T4" s="476"/>
      <c r="U4" s="476"/>
      <c r="V4" s="477"/>
    </row>
    <row r="5" spans="1:22" s="3" customFormat="1" ht="27" customHeight="1" thickBot="1" x14ac:dyDescent="0.25">
      <c r="A5" s="1314"/>
      <c r="B5" s="478" t="s">
        <v>57</v>
      </c>
      <c r="C5" s="479" t="s">
        <v>63</v>
      </c>
      <c r="D5" s="479" t="s">
        <v>61</v>
      </c>
      <c r="E5" s="479" t="str">
        <f t="shared" ref="E5:K5" si="0">B159</f>
        <v>PRODAJNA CIJENA</v>
      </c>
      <c r="F5" s="479" t="str">
        <f t="shared" si="0"/>
        <v>GOTOVINA / KEŠ</v>
      </c>
      <c r="G5" s="479" t="str">
        <f t="shared" si="0"/>
        <v>POS KENT kartica</v>
      </c>
      <c r="H5" s="479" t="str">
        <f t="shared" si="0"/>
        <v>POS PBZ kartica</v>
      </c>
      <c r="I5" s="479" t="str">
        <f t="shared" si="0"/>
        <v>Kredit na rate PBZ</v>
      </c>
      <c r="J5" s="479" t="str">
        <f t="shared" si="0"/>
        <v>Žiralno / Ostalo</v>
      </c>
      <c r="K5" s="479" t="str">
        <f t="shared" si="0"/>
        <v>Vrsta Kartice</v>
      </c>
      <c r="L5" s="480" t="s">
        <v>80</v>
      </c>
      <c r="M5" s="480" t="s">
        <v>207</v>
      </c>
      <c r="N5" s="480" t="s">
        <v>98</v>
      </c>
      <c r="O5" s="1340" t="s">
        <v>82</v>
      </c>
      <c r="P5" s="1341"/>
      <c r="Q5" s="1341"/>
      <c r="R5" s="1341"/>
      <c r="S5" s="1342"/>
      <c r="T5" s="481" t="str">
        <f>F198</f>
        <v>LMS</v>
      </c>
      <c r="U5" s="481" t="str">
        <f t="shared" ref="U5" si="1">G198</f>
        <v>TO</v>
      </c>
      <c r="V5" s="482" t="s">
        <v>252</v>
      </c>
    </row>
    <row r="6" spans="1:22" s="3" customFormat="1" ht="13.5" customHeight="1" x14ac:dyDescent="0.2">
      <c r="A6" s="483">
        <v>1</v>
      </c>
      <c r="B6" s="484">
        <v>44200</v>
      </c>
      <c r="C6" s="485" t="s">
        <v>217</v>
      </c>
      <c r="D6" s="485" t="s">
        <v>133</v>
      </c>
      <c r="E6" s="486">
        <v>1490</v>
      </c>
      <c r="F6" s="486">
        <v>1490</v>
      </c>
      <c r="G6" s="487"/>
      <c r="H6" s="487"/>
      <c r="I6" s="487"/>
      <c r="J6" s="487"/>
      <c r="K6" s="487"/>
      <c r="L6" s="488" t="s">
        <v>155</v>
      </c>
      <c r="M6" s="489" t="s">
        <v>156</v>
      </c>
      <c r="N6" s="489" t="s">
        <v>158</v>
      </c>
      <c r="O6" s="1343" t="s">
        <v>102</v>
      </c>
      <c r="P6" s="1344"/>
      <c r="Q6" s="1344"/>
      <c r="R6" s="1344"/>
      <c r="S6" s="1345"/>
      <c r="T6" s="490">
        <v>1</v>
      </c>
      <c r="U6" s="491">
        <v>1</v>
      </c>
      <c r="V6" s="492">
        <v>1</v>
      </c>
    </row>
    <row r="7" spans="1:22" s="3" customFormat="1" ht="12.75" customHeight="1" x14ac:dyDescent="0.2">
      <c r="A7" s="483">
        <f>A6+1</f>
        <v>2</v>
      </c>
      <c r="B7" s="493">
        <v>44200</v>
      </c>
      <c r="C7" s="494" t="s">
        <v>218</v>
      </c>
      <c r="D7" s="494" t="s">
        <v>134</v>
      </c>
      <c r="E7" s="495">
        <v>1340</v>
      </c>
      <c r="F7" s="495">
        <v>1340</v>
      </c>
      <c r="G7" s="496"/>
      <c r="H7" s="496"/>
      <c r="I7" s="496"/>
      <c r="J7" s="496"/>
      <c r="K7" s="496"/>
      <c r="L7" s="488" t="s">
        <v>154</v>
      </c>
      <c r="M7" s="489" t="s">
        <v>157</v>
      </c>
      <c r="N7" s="489" t="s">
        <v>161</v>
      </c>
      <c r="O7" s="1303" t="s">
        <v>103</v>
      </c>
      <c r="P7" s="1304"/>
      <c r="Q7" s="1304"/>
      <c r="R7" s="1304"/>
      <c r="S7" s="1305"/>
      <c r="T7" s="497">
        <v>1</v>
      </c>
      <c r="U7" s="498">
        <v>1</v>
      </c>
      <c r="V7" s="499">
        <v>1</v>
      </c>
    </row>
    <row r="8" spans="1:22" s="3" customFormat="1" ht="12.75" customHeight="1" x14ac:dyDescent="0.2">
      <c r="A8" s="483">
        <f t="shared" ref="A8:A42" si="2">A7+1</f>
        <v>3</v>
      </c>
      <c r="B8" s="493">
        <v>44201</v>
      </c>
      <c r="C8" s="494" t="s">
        <v>219</v>
      </c>
      <c r="D8" s="494" t="s">
        <v>135</v>
      </c>
      <c r="E8" s="495">
        <v>1490</v>
      </c>
      <c r="F8" s="495">
        <v>1000</v>
      </c>
      <c r="G8" s="500">
        <v>490</v>
      </c>
      <c r="H8" s="500"/>
      <c r="I8" s="500"/>
      <c r="J8" s="500"/>
      <c r="K8" s="501" t="s">
        <v>245</v>
      </c>
      <c r="L8" s="488" t="s">
        <v>154</v>
      </c>
      <c r="M8" s="489" t="s">
        <v>156</v>
      </c>
      <c r="N8" s="489" t="s">
        <v>161</v>
      </c>
      <c r="O8" s="1303" t="s">
        <v>104</v>
      </c>
      <c r="P8" s="1304"/>
      <c r="Q8" s="1304"/>
      <c r="R8" s="1304"/>
      <c r="S8" s="1305"/>
      <c r="T8" s="497">
        <v>1</v>
      </c>
      <c r="U8" s="498">
        <v>1</v>
      </c>
      <c r="V8" s="499">
        <v>1</v>
      </c>
    </row>
    <row r="9" spans="1:22" s="3" customFormat="1" ht="13.5" customHeight="1" x14ac:dyDescent="0.2">
      <c r="A9" s="483">
        <f t="shared" si="2"/>
        <v>4</v>
      </c>
      <c r="B9" s="502">
        <v>44201</v>
      </c>
      <c r="C9" s="494" t="s">
        <v>220</v>
      </c>
      <c r="D9" s="494" t="s">
        <v>136</v>
      </c>
      <c r="E9" s="503">
        <v>1490</v>
      </c>
      <c r="F9" s="495">
        <v>800</v>
      </c>
      <c r="G9" s="500"/>
      <c r="H9" s="500">
        <v>690</v>
      </c>
      <c r="I9" s="500"/>
      <c r="J9" s="500"/>
      <c r="K9" s="501" t="s">
        <v>245</v>
      </c>
      <c r="L9" s="488" t="s">
        <v>154</v>
      </c>
      <c r="M9" s="489" t="s">
        <v>156</v>
      </c>
      <c r="N9" s="489" t="s">
        <v>127</v>
      </c>
      <c r="O9" s="1303" t="s">
        <v>236</v>
      </c>
      <c r="P9" s="1304"/>
      <c r="Q9" s="1304"/>
      <c r="R9" s="1304"/>
      <c r="S9" s="1305"/>
      <c r="T9" s="497">
        <v>1</v>
      </c>
      <c r="U9" s="498">
        <v>1</v>
      </c>
      <c r="V9" s="499">
        <v>1</v>
      </c>
    </row>
    <row r="10" spans="1:22" s="3" customFormat="1" x14ac:dyDescent="0.2">
      <c r="A10" s="483">
        <f t="shared" si="2"/>
        <v>5</v>
      </c>
      <c r="B10" s="493">
        <v>44201</v>
      </c>
      <c r="C10" s="494" t="s">
        <v>221</v>
      </c>
      <c r="D10" s="494" t="s">
        <v>137</v>
      </c>
      <c r="E10" s="495">
        <v>1200</v>
      </c>
      <c r="F10" s="495">
        <v>200</v>
      </c>
      <c r="G10" s="496"/>
      <c r="H10" s="496"/>
      <c r="I10" s="496">
        <v>1000</v>
      </c>
      <c r="J10" s="496"/>
      <c r="K10" s="496" t="s">
        <v>250</v>
      </c>
      <c r="L10" s="497" t="s">
        <v>154</v>
      </c>
      <c r="M10" s="489" t="s">
        <v>157</v>
      </c>
      <c r="N10" s="489" t="s">
        <v>130</v>
      </c>
      <c r="O10" s="1303" t="s">
        <v>237</v>
      </c>
      <c r="P10" s="1304"/>
      <c r="Q10" s="1304"/>
      <c r="R10" s="1304"/>
      <c r="S10" s="1305"/>
      <c r="T10" s="497">
        <v>1</v>
      </c>
      <c r="U10" s="498">
        <v>1</v>
      </c>
      <c r="V10" s="499"/>
    </row>
    <row r="11" spans="1:22" s="3" customFormat="1" x14ac:dyDescent="0.2">
      <c r="A11" s="483">
        <f t="shared" si="2"/>
        <v>6</v>
      </c>
      <c r="B11" s="493">
        <v>44202</v>
      </c>
      <c r="C11" s="494" t="s">
        <v>222</v>
      </c>
      <c r="D11" s="494" t="s">
        <v>96</v>
      </c>
      <c r="E11" s="495">
        <v>1490</v>
      </c>
      <c r="F11" s="495">
        <v>1000</v>
      </c>
      <c r="G11" s="496">
        <v>90</v>
      </c>
      <c r="H11" s="496"/>
      <c r="I11" s="496"/>
      <c r="J11" s="496">
        <v>400</v>
      </c>
      <c r="K11" s="496" t="s">
        <v>247</v>
      </c>
      <c r="L11" s="488" t="s">
        <v>154</v>
      </c>
      <c r="M11" s="489" t="s">
        <v>157</v>
      </c>
      <c r="N11" s="489" t="s">
        <v>128</v>
      </c>
      <c r="O11" s="1303" t="s">
        <v>235</v>
      </c>
      <c r="P11" s="1304"/>
      <c r="Q11" s="1304"/>
      <c r="R11" s="1304"/>
      <c r="S11" s="1305"/>
      <c r="T11" s="497">
        <v>1</v>
      </c>
      <c r="U11" s="498">
        <v>1</v>
      </c>
      <c r="V11" s="499">
        <v>1</v>
      </c>
    </row>
    <row r="12" spans="1:22" s="3" customFormat="1" x14ac:dyDescent="0.2">
      <c r="A12" s="483">
        <f t="shared" si="2"/>
        <v>7</v>
      </c>
      <c r="B12" s="493">
        <v>44202</v>
      </c>
      <c r="C12" s="494" t="s">
        <v>223</v>
      </c>
      <c r="D12" s="494" t="s">
        <v>101</v>
      </c>
      <c r="E12" s="495">
        <v>1250</v>
      </c>
      <c r="F12" s="495">
        <v>1250</v>
      </c>
      <c r="G12" s="496"/>
      <c r="H12" s="496"/>
      <c r="I12" s="496"/>
      <c r="J12" s="496"/>
      <c r="K12" s="496"/>
      <c r="L12" s="488" t="s">
        <v>155</v>
      </c>
      <c r="M12" s="489" t="s">
        <v>157</v>
      </c>
      <c r="N12" s="489" t="s">
        <v>158</v>
      </c>
      <c r="O12" s="1303" t="s">
        <v>97</v>
      </c>
      <c r="P12" s="1304"/>
      <c r="Q12" s="1304"/>
      <c r="R12" s="1304"/>
      <c r="S12" s="1305"/>
      <c r="T12" s="497"/>
      <c r="U12" s="498"/>
      <c r="V12" s="499"/>
    </row>
    <row r="13" spans="1:22" s="3" customFormat="1" x14ac:dyDescent="0.2">
      <c r="A13" s="483">
        <f t="shared" si="2"/>
        <v>8</v>
      </c>
      <c r="B13" s="493">
        <v>44202</v>
      </c>
      <c r="C13" s="494" t="s">
        <v>224</v>
      </c>
      <c r="D13" s="494" t="s">
        <v>101</v>
      </c>
      <c r="E13" s="495">
        <v>-1250</v>
      </c>
      <c r="F13" s="495">
        <v>-1250</v>
      </c>
      <c r="G13" s="496"/>
      <c r="H13" s="496"/>
      <c r="I13" s="496"/>
      <c r="J13" s="496"/>
      <c r="K13" s="496"/>
      <c r="L13" s="488" t="s">
        <v>155</v>
      </c>
      <c r="M13" s="489" t="s">
        <v>157</v>
      </c>
      <c r="N13" s="489" t="s">
        <v>158</v>
      </c>
      <c r="O13" s="1303" t="s">
        <v>234</v>
      </c>
      <c r="P13" s="1304"/>
      <c r="Q13" s="1304"/>
      <c r="R13" s="1304"/>
      <c r="S13" s="1305"/>
      <c r="T13" s="497"/>
      <c r="U13" s="498"/>
      <c r="V13" s="499"/>
    </row>
    <row r="14" spans="1:22" x14ac:dyDescent="0.2">
      <c r="A14" s="483">
        <f t="shared" si="2"/>
        <v>9</v>
      </c>
      <c r="B14" s="493">
        <v>44203</v>
      </c>
      <c r="C14" s="494" t="s">
        <v>228</v>
      </c>
      <c r="D14" s="494" t="s">
        <v>138</v>
      </c>
      <c r="E14" s="495">
        <v>1900</v>
      </c>
      <c r="F14" s="495">
        <v>1000</v>
      </c>
      <c r="G14" s="496"/>
      <c r="H14" s="496">
        <v>900</v>
      </c>
      <c r="I14" s="496"/>
      <c r="J14" s="496"/>
      <c r="K14" s="496" t="s">
        <v>246</v>
      </c>
      <c r="L14" s="488" t="s">
        <v>155</v>
      </c>
      <c r="M14" s="489" t="s">
        <v>157</v>
      </c>
      <c r="N14" s="489" t="s">
        <v>127</v>
      </c>
      <c r="O14" s="1303" t="s">
        <v>238</v>
      </c>
      <c r="P14" s="1304"/>
      <c r="Q14" s="1304"/>
      <c r="R14" s="1304"/>
      <c r="S14" s="1305"/>
      <c r="T14" s="497">
        <v>1</v>
      </c>
      <c r="U14" s="498"/>
      <c r="V14" s="499"/>
    </row>
    <row r="15" spans="1:22" x14ac:dyDescent="0.2">
      <c r="A15" s="483">
        <f t="shared" si="2"/>
        <v>10</v>
      </c>
      <c r="B15" s="493">
        <v>44203</v>
      </c>
      <c r="C15" s="494" t="s">
        <v>225</v>
      </c>
      <c r="D15" s="494" t="s">
        <v>139</v>
      </c>
      <c r="E15" s="495">
        <v>1250</v>
      </c>
      <c r="F15" s="495">
        <v>1250</v>
      </c>
      <c r="G15" s="496"/>
      <c r="H15" s="496"/>
      <c r="I15" s="496"/>
      <c r="J15" s="496"/>
      <c r="K15" s="496"/>
      <c r="L15" s="488" t="s">
        <v>155</v>
      </c>
      <c r="M15" s="489" t="s">
        <v>156</v>
      </c>
      <c r="N15" s="489" t="s">
        <v>158</v>
      </c>
      <c r="O15" s="1303" t="s">
        <v>105</v>
      </c>
      <c r="P15" s="1304"/>
      <c r="Q15" s="1304"/>
      <c r="R15" s="1304"/>
      <c r="S15" s="1305"/>
      <c r="T15" s="497"/>
      <c r="U15" s="498">
        <v>1</v>
      </c>
      <c r="V15" s="499"/>
    </row>
    <row r="16" spans="1:22" x14ac:dyDescent="0.2">
      <c r="A16" s="483">
        <f t="shared" si="2"/>
        <v>11</v>
      </c>
      <c r="B16" s="493">
        <v>44203</v>
      </c>
      <c r="C16" s="494" t="s">
        <v>226</v>
      </c>
      <c r="D16" s="494" t="s">
        <v>137</v>
      </c>
      <c r="E16" s="495">
        <v>-1200</v>
      </c>
      <c r="F16" s="495">
        <v>-200</v>
      </c>
      <c r="G16" s="496"/>
      <c r="H16" s="496"/>
      <c r="I16" s="496">
        <v>-1000</v>
      </c>
      <c r="J16" s="496"/>
      <c r="K16" s="496" t="s">
        <v>250</v>
      </c>
      <c r="L16" s="497" t="s">
        <v>154</v>
      </c>
      <c r="M16" s="489" t="s">
        <v>156</v>
      </c>
      <c r="N16" s="489" t="s">
        <v>127</v>
      </c>
      <c r="O16" s="1303" t="s">
        <v>241</v>
      </c>
      <c r="P16" s="1304"/>
      <c r="Q16" s="1304"/>
      <c r="R16" s="1304"/>
      <c r="S16" s="1305"/>
      <c r="T16" s="497">
        <v>-1</v>
      </c>
      <c r="U16" s="498">
        <v>-1</v>
      </c>
      <c r="V16" s="499"/>
    </row>
    <row r="17" spans="1:22" x14ac:dyDescent="0.2">
      <c r="A17" s="483">
        <f t="shared" si="2"/>
        <v>12</v>
      </c>
      <c r="B17" s="493">
        <v>44204</v>
      </c>
      <c r="C17" s="485" t="s">
        <v>227</v>
      </c>
      <c r="D17" s="485" t="s">
        <v>83</v>
      </c>
      <c r="E17" s="486">
        <v>1490</v>
      </c>
      <c r="F17" s="486"/>
      <c r="G17" s="487"/>
      <c r="H17" s="487">
        <v>1490</v>
      </c>
      <c r="I17" s="487"/>
      <c r="J17" s="487"/>
      <c r="K17" s="487" t="s">
        <v>248</v>
      </c>
      <c r="L17" s="488" t="s">
        <v>160</v>
      </c>
      <c r="M17" s="489" t="s">
        <v>156</v>
      </c>
      <c r="N17" s="489" t="s">
        <v>156</v>
      </c>
      <c r="O17" s="1343" t="s">
        <v>106</v>
      </c>
      <c r="P17" s="1344"/>
      <c r="Q17" s="1344"/>
      <c r="R17" s="1344"/>
      <c r="S17" s="1345"/>
      <c r="T17" s="490">
        <v>1</v>
      </c>
      <c r="U17" s="491">
        <v>1</v>
      </c>
      <c r="V17" s="499">
        <v>1</v>
      </c>
    </row>
    <row r="18" spans="1:22" x14ac:dyDescent="0.2">
      <c r="A18" s="483">
        <f t="shared" si="2"/>
        <v>13</v>
      </c>
      <c r="B18" s="493">
        <v>44204</v>
      </c>
      <c r="C18" s="494" t="s">
        <v>229</v>
      </c>
      <c r="D18" s="494" t="s">
        <v>140</v>
      </c>
      <c r="E18" s="495">
        <v>1340</v>
      </c>
      <c r="F18" s="495">
        <v>1340</v>
      </c>
      <c r="G18" s="496"/>
      <c r="H18" s="496"/>
      <c r="I18" s="496"/>
      <c r="J18" s="496"/>
      <c r="K18" s="496"/>
      <c r="L18" s="488" t="s">
        <v>154</v>
      </c>
      <c r="M18" s="489" t="s">
        <v>156</v>
      </c>
      <c r="N18" s="489" t="s">
        <v>126</v>
      </c>
      <c r="O18" s="1303" t="s">
        <v>107</v>
      </c>
      <c r="P18" s="1304"/>
      <c r="Q18" s="1304"/>
      <c r="R18" s="1304"/>
      <c r="S18" s="1305"/>
      <c r="T18" s="497">
        <v>1</v>
      </c>
      <c r="U18" s="498">
        <v>1</v>
      </c>
      <c r="V18" s="499">
        <v>1</v>
      </c>
    </row>
    <row r="19" spans="1:22" x14ac:dyDescent="0.2">
      <c r="A19" s="483">
        <f t="shared" si="2"/>
        <v>14</v>
      </c>
      <c r="B19" s="493">
        <v>44204</v>
      </c>
      <c r="C19" s="494" t="s">
        <v>230</v>
      </c>
      <c r="D19" s="494" t="s">
        <v>84</v>
      </c>
      <c r="E19" s="503">
        <v>1490</v>
      </c>
      <c r="F19" s="495">
        <v>490</v>
      </c>
      <c r="G19" s="500"/>
      <c r="H19" s="500"/>
      <c r="I19" s="500"/>
      <c r="J19" s="500">
        <v>1000</v>
      </c>
      <c r="K19" s="504"/>
      <c r="L19" s="488" t="s">
        <v>154</v>
      </c>
      <c r="M19" s="489" t="s">
        <v>156</v>
      </c>
      <c r="N19" s="489" t="s">
        <v>126</v>
      </c>
      <c r="O19" s="1303" t="s">
        <v>239</v>
      </c>
      <c r="P19" s="1304"/>
      <c r="Q19" s="1304"/>
      <c r="R19" s="1304"/>
      <c r="S19" s="1305"/>
      <c r="T19" s="497">
        <v>1</v>
      </c>
      <c r="U19" s="498">
        <v>1</v>
      </c>
      <c r="V19" s="499">
        <v>1</v>
      </c>
    </row>
    <row r="20" spans="1:22" x14ac:dyDescent="0.2">
      <c r="A20" s="483">
        <f t="shared" si="2"/>
        <v>15</v>
      </c>
      <c r="B20" s="493">
        <v>44204</v>
      </c>
      <c r="C20" s="494" t="s">
        <v>231</v>
      </c>
      <c r="D20" s="494" t="s">
        <v>141</v>
      </c>
      <c r="E20" s="503">
        <v>9000</v>
      </c>
      <c r="F20" s="495">
        <v>9000</v>
      </c>
      <c r="G20" s="500"/>
      <c r="H20" s="500"/>
      <c r="I20" s="500"/>
      <c r="J20" s="500"/>
      <c r="K20" s="504"/>
      <c r="L20" s="488" t="s">
        <v>155</v>
      </c>
      <c r="M20" s="489" t="s">
        <v>157</v>
      </c>
      <c r="N20" s="489" t="s">
        <v>158</v>
      </c>
      <c r="O20" s="1303" t="s">
        <v>145</v>
      </c>
      <c r="P20" s="1304"/>
      <c r="Q20" s="1304"/>
      <c r="R20" s="1304"/>
      <c r="S20" s="1305"/>
      <c r="T20" s="497">
        <v>1</v>
      </c>
      <c r="U20" s="498">
        <v>1</v>
      </c>
      <c r="V20" s="499">
        <v>1</v>
      </c>
    </row>
    <row r="21" spans="1:22" x14ac:dyDescent="0.2">
      <c r="A21" s="483">
        <f t="shared" si="2"/>
        <v>16</v>
      </c>
      <c r="B21" s="493">
        <v>44204</v>
      </c>
      <c r="C21" s="494" t="s">
        <v>232</v>
      </c>
      <c r="D21" s="494" t="s">
        <v>142</v>
      </c>
      <c r="E21" s="495">
        <v>-1490</v>
      </c>
      <c r="F21" s="495"/>
      <c r="G21" s="496"/>
      <c r="H21" s="496"/>
      <c r="I21" s="496"/>
      <c r="J21" s="496">
        <v>-1490</v>
      </c>
      <c r="K21" s="496"/>
      <c r="L21" s="488" t="s">
        <v>160</v>
      </c>
      <c r="M21" s="489" t="s">
        <v>156</v>
      </c>
      <c r="N21" s="489" t="s">
        <v>126</v>
      </c>
      <c r="O21" s="1303" t="s">
        <v>240</v>
      </c>
      <c r="P21" s="1304"/>
      <c r="Q21" s="1304"/>
      <c r="R21" s="1304"/>
      <c r="S21" s="1305"/>
      <c r="T21" s="497">
        <v>-1</v>
      </c>
      <c r="U21" s="498">
        <v>-1</v>
      </c>
      <c r="V21" s="499">
        <v>1</v>
      </c>
    </row>
    <row r="22" spans="1:22" x14ac:dyDescent="0.2">
      <c r="A22" s="483">
        <f t="shared" si="2"/>
        <v>17</v>
      </c>
      <c r="B22" s="493">
        <v>44204</v>
      </c>
      <c r="C22" s="494" t="s">
        <v>233</v>
      </c>
      <c r="D22" s="494" t="s">
        <v>143</v>
      </c>
      <c r="E22" s="495">
        <v>1490</v>
      </c>
      <c r="F22" s="495"/>
      <c r="G22" s="496"/>
      <c r="H22" s="496"/>
      <c r="I22" s="496"/>
      <c r="J22" s="496">
        <v>1490</v>
      </c>
      <c r="K22" s="496"/>
      <c r="L22" s="488" t="s">
        <v>154</v>
      </c>
      <c r="M22" s="489" t="s">
        <v>156</v>
      </c>
      <c r="N22" s="489" t="s">
        <v>157</v>
      </c>
      <c r="O22" s="1303" t="s">
        <v>242</v>
      </c>
      <c r="P22" s="1304"/>
      <c r="Q22" s="1304"/>
      <c r="R22" s="1304"/>
      <c r="S22" s="1305"/>
      <c r="T22" s="497">
        <v>1</v>
      </c>
      <c r="U22" s="498">
        <v>1</v>
      </c>
      <c r="V22" s="499">
        <v>1</v>
      </c>
    </row>
    <row r="23" spans="1:22" x14ac:dyDescent="0.2">
      <c r="A23" s="483">
        <f t="shared" si="2"/>
        <v>18</v>
      </c>
      <c r="B23" s="493"/>
      <c r="C23" s="494"/>
      <c r="D23" s="494"/>
      <c r="E23" s="495"/>
      <c r="F23" s="495"/>
      <c r="G23" s="496"/>
      <c r="H23" s="496"/>
      <c r="I23" s="496"/>
      <c r="J23" s="496"/>
      <c r="K23" s="496"/>
      <c r="L23" s="488"/>
      <c r="M23" s="489"/>
      <c r="N23" s="489"/>
      <c r="O23" s="1303"/>
      <c r="P23" s="1304"/>
      <c r="Q23" s="1304"/>
      <c r="R23" s="1304"/>
      <c r="S23" s="1305"/>
      <c r="T23" s="497"/>
      <c r="U23" s="498"/>
      <c r="V23" s="499"/>
    </row>
    <row r="24" spans="1:22" x14ac:dyDescent="0.2">
      <c r="A24" s="483">
        <f t="shared" si="2"/>
        <v>19</v>
      </c>
      <c r="B24" s="493"/>
      <c r="C24" s="494"/>
      <c r="D24" s="494"/>
      <c r="E24" s="495"/>
      <c r="F24" s="495"/>
      <c r="G24" s="496"/>
      <c r="H24" s="496"/>
      <c r="I24" s="496"/>
      <c r="J24" s="496"/>
      <c r="K24" s="496"/>
      <c r="L24" s="488"/>
      <c r="M24" s="489"/>
      <c r="N24" s="489"/>
      <c r="O24" s="1303"/>
      <c r="P24" s="1304"/>
      <c r="Q24" s="1304"/>
      <c r="R24" s="1304"/>
      <c r="S24" s="1305"/>
      <c r="T24" s="497"/>
      <c r="U24" s="498"/>
      <c r="V24" s="499"/>
    </row>
    <row r="25" spans="1:22" x14ac:dyDescent="0.2">
      <c r="A25" s="483">
        <f t="shared" si="2"/>
        <v>20</v>
      </c>
      <c r="B25" s="493"/>
      <c r="C25" s="494"/>
      <c r="D25" s="494"/>
      <c r="E25" s="495"/>
      <c r="F25" s="495"/>
      <c r="G25" s="496"/>
      <c r="H25" s="496"/>
      <c r="I25" s="496"/>
      <c r="J25" s="496"/>
      <c r="K25" s="496"/>
      <c r="L25" s="488"/>
      <c r="M25" s="489"/>
      <c r="N25" s="489"/>
      <c r="O25" s="1303"/>
      <c r="P25" s="1304"/>
      <c r="Q25" s="1304"/>
      <c r="R25" s="1304"/>
      <c r="S25" s="1305"/>
      <c r="T25" s="497"/>
      <c r="U25" s="498"/>
      <c r="V25" s="499"/>
    </row>
    <row r="26" spans="1:22" x14ac:dyDescent="0.2">
      <c r="A26" s="483">
        <f t="shared" si="2"/>
        <v>21</v>
      </c>
      <c r="B26" s="493"/>
      <c r="C26" s="494"/>
      <c r="D26" s="494"/>
      <c r="E26" s="495"/>
      <c r="F26" s="495"/>
      <c r="G26" s="496"/>
      <c r="H26" s="496"/>
      <c r="I26" s="496"/>
      <c r="J26" s="496"/>
      <c r="K26" s="496"/>
      <c r="L26" s="488"/>
      <c r="M26" s="489"/>
      <c r="N26" s="489"/>
      <c r="O26" s="1303"/>
      <c r="P26" s="1304"/>
      <c r="Q26" s="1304"/>
      <c r="R26" s="1304"/>
      <c r="S26" s="1305"/>
      <c r="T26" s="497"/>
      <c r="U26" s="498"/>
      <c r="V26" s="499"/>
    </row>
    <row r="27" spans="1:22" x14ac:dyDescent="0.2">
      <c r="A27" s="483">
        <f t="shared" si="2"/>
        <v>22</v>
      </c>
      <c r="B27" s="493"/>
      <c r="C27" s="494"/>
      <c r="D27" s="494"/>
      <c r="E27" s="495"/>
      <c r="F27" s="495"/>
      <c r="G27" s="496"/>
      <c r="H27" s="496"/>
      <c r="I27" s="496"/>
      <c r="J27" s="496"/>
      <c r="K27" s="496"/>
      <c r="L27" s="488"/>
      <c r="M27" s="489"/>
      <c r="N27" s="489"/>
      <c r="O27" s="1303"/>
      <c r="P27" s="1304"/>
      <c r="Q27" s="1304"/>
      <c r="R27" s="1304"/>
      <c r="S27" s="1305"/>
      <c r="T27" s="497"/>
      <c r="U27" s="498"/>
      <c r="V27" s="499"/>
    </row>
    <row r="28" spans="1:22" x14ac:dyDescent="0.2">
      <c r="A28" s="483">
        <f t="shared" si="2"/>
        <v>23</v>
      </c>
      <c r="B28" s="493"/>
      <c r="C28" s="494"/>
      <c r="D28" s="494"/>
      <c r="E28" s="495"/>
      <c r="F28" s="495"/>
      <c r="G28" s="496"/>
      <c r="H28" s="496"/>
      <c r="I28" s="496"/>
      <c r="J28" s="496"/>
      <c r="K28" s="496"/>
      <c r="L28" s="488"/>
      <c r="M28" s="489"/>
      <c r="N28" s="489"/>
      <c r="O28" s="1303"/>
      <c r="P28" s="1304"/>
      <c r="Q28" s="1304"/>
      <c r="R28" s="1304"/>
      <c r="S28" s="1305"/>
      <c r="T28" s="497"/>
      <c r="U28" s="498"/>
      <c r="V28" s="499"/>
    </row>
    <row r="29" spans="1:22" x14ac:dyDescent="0.2">
      <c r="A29" s="483">
        <f t="shared" si="2"/>
        <v>24</v>
      </c>
      <c r="B29" s="493"/>
      <c r="C29" s="494"/>
      <c r="D29" s="494"/>
      <c r="E29" s="495"/>
      <c r="F29" s="495"/>
      <c r="G29" s="496"/>
      <c r="H29" s="496"/>
      <c r="I29" s="496"/>
      <c r="J29" s="496"/>
      <c r="K29" s="496"/>
      <c r="L29" s="488"/>
      <c r="M29" s="489"/>
      <c r="N29" s="489"/>
      <c r="O29" s="1303"/>
      <c r="P29" s="1304"/>
      <c r="Q29" s="1304"/>
      <c r="R29" s="1304"/>
      <c r="S29" s="1305"/>
      <c r="T29" s="497"/>
      <c r="U29" s="498"/>
      <c r="V29" s="499"/>
    </row>
    <row r="30" spans="1:22" x14ac:dyDescent="0.2">
      <c r="A30" s="483">
        <f t="shared" si="2"/>
        <v>25</v>
      </c>
      <c r="B30" s="493"/>
      <c r="C30" s="494"/>
      <c r="D30" s="494"/>
      <c r="E30" s="495"/>
      <c r="F30" s="495"/>
      <c r="G30" s="496"/>
      <c r="H30" s="496"/>
      <c r="I30" s="496"/>
      <c r="J30" s="496"/>
      <c r="K30" s="496"/>
      <c r="L30" s="488"/>
      <c r="M30" s="489"/>
      <c r="N30" s="489"/>
      <c r="O30" s="1303"/>
      <c r="P30" s="1304"/>
      <c r="Q30" s="1304"/>
      <c r="R30" s="1304"/>
      <c r="S30" s="1305"/>
      <c r="T30" s="497"/>
      <c r="U30" s="498"/>
      <c r="V30" s="499"/>
    </row>
    <row r="31" spans="1:22" x14ac:dyDescent="0.2">
      <c r="A31" s="483">
        <f t="shared" si="2"/>
        <v>26</v>
      </c>
      <c r="B31" s="493"/>
      <c r="C31" s="494"/>
      <c r="D31" s="494"/>
      <c r="E31" s="495"/>
      <c r="F31" s="495"/>
      <c r="G31" s="496"/>
      <c r="H31" s="496"/>
      <c r="I31" s="496"/>
      <c r="J31" s="496"/>
      <c r="K31" s="496"/>
      <c r="L31" s="488"/>
      <c r="M31" s="489"/>
      <c r="N31" s="489"/>
      <c r="O31" s="1303"/>
      <c r="P31" s="1304"/>
      <c r="Q31" s="1304"/>
      <c r="R31" s="1304"/>
      <c r="S31" s="1305"/>
      <c r="T31" s="497"/>
      <c r="U31" s="498"/>
      <c r="V31" s="499"/>
    </row>
    <row r="32" spans="1:22" x14ac:dyDescent="0.2">
      <c r="A32" s="483">
        <f t="shared" si="2"/>
        <v>27</v>
      </c>
      <c r="B32" s="493"/>
      <c r="C32" s="494"/>
      <c r="D32" s="494"/>
      <c r="E32" s="495"/>
      <c r="F32" s="495"/>
      <c r="G32" s="496"/>
      <c r="H32" s="496"/>
      <c r="I32" s="496"/>
      <c r="J32" s="496"/>
      <c r="K32" s="496"/>
      <c r="L32" s="488"/>
      <c r="M32" s="489"/>
      <c r="N32" s="489"/>
      <c r="O32" s="1303"/>
      <c r="P32" s="1304"/>
      <c r="Q32" s="1304"/>
      <c r="R32" s="1304"/>
      <c r="S32" s="1305"/>
      <c r="T32" s="497"/>
      <c r="U32" s="498"/>
      <c r="V32" s="499"/>
    </row>
    <row r="33" spans="1:22" x14ac:dyDescent="0.2">
      <c r="A33" s="483">
        <f t="shared" si="2"/>
        <v>28</v>
      </c>
      <c r="B33" s="493"/>
      <c r="C33" s="494"/>
      <c r="D33" s="494"/>
      <c r="E33" s="495"/>
      <c r="F33" s="495"/>
      <c r="G33" s="496"/>
      <c r="H33" s="496"/>
      <c r="I33" s="496"/>
      <c r="J33" s="496"/>
      <c r="K33" s="496"/>
      <c r="L33" s="488"/>
      <c r="M33" s="489"/>
      <c r="N33" s="489"/>
      <c r="O33" s="1303"/>
      <c r="P33" s="1304"/>
      <c r="Q33" s="1304"/>
      <c r="R33" s="1304"/>
      <c r="S33" s="1305"/>
      <c r="T33" s="497"/>
      <c r="U33" s="498"/>
      <c r="V33" s="499"/>
    </row>
    <row r="34" spans="1:22" x14ac:dyDescent="0.2">
      <c r="A34" s="483">
        <f t="shared" si="2"/>
        <v>29</v>
      </c>
      <c r="B34" s="493"/>
      <c r="C34" s="494"/>
      <c r="D34" s="494"/>
      <c r="E34" s="495"/>
      <c r="F34" s="495"/>
      <c r="G34" s="496"/>
      <c r="H34" s="496"/>
      <c r="I34" s="496"/>
      <c r="J34" s="496"/>
      <c r="K34" s="496"/>
      <c r="L34" s="488"/>
      <c r="M34" s="489"/>
      <c r="N34" s="489"/>
      <c r="O34" s="1303"/>
      <c r="P34" s="1304"/>
      <c r="Q34" s="1304"/>
      <c r="R34" s="1304"/>
      <c r="S34" s="1305"/>
      <c r="T34" s="497"/>
      <c r="U34" s="498"/>
      <c r="V34" s="499"/>
    </row>
    <row r="35" spans="1:22" x14ac:dyDescent="0.2">
      <c r="A35" s="483">
        <f t="shared" si="2"/>
        <v>30</v>
      </c>
      <c r="B35" s="493"/>
      <c r="C35" s="494"/>
      <c r="D35" s="494"/>
      <c r="E35" s="495"/>
      <c r="F35" s="495"/>
      <c r="G35" s="496"/>
      <c r="H35" s="496"/>
      <c r="I35" s="496"/>
      <c r="J35" s="496"/>
      <c r="K35" s="496"/>
      <c r="L35" s="488"/>
      <c r="M35" s="489"/>
      <c r="N35" s="489"/>
      <c r="O35" s="1303"/>
      <c r="P35" s="1304"/>
      <c r="Q35" s="1304"/>
      <c r="R35" s="1304"/>
      <c r="S35" s="1305"/>
      <c r="T35" s="497"/>
      <c r="U35" s="498"/>
      <c r="V35" s="499"/>
    </row>
    <row r="36" spans="1:22" x14ac:dyDescent="0.2">
      <c r="A36" s="483">
        <f t="shared" si="2"/>
        <v>31</v>
      </c>
      <c r="B36" s="493"/>
      <c r="C36" s="494"/>
      <c r="D36" s="494"/>
      <c r="E36" s="495"/>
      <c r="F36" s="495"/>
      <c r="G36" s="496"/>
      <c r="H36" s="496"/>
      <c r="I36" s="496"/>
      <c r="J36" s="496"/>
      <c r="K36" s="496"/>
      <c r="L36" s="488"/>
      <c r="M36" s="489"/>
      <c r="N36" s="489"/>
      <c r="O36" s="1303"/>
      <c r="P36" s="1304"/>
      <c r="Q36" s="1304"/>
      <c r="R36" s="1304"/>
      <c r="S36" s="1305"/>
      <c r="T36" s="497"/>
      <c r="U36" s="498"/>
      <c r="V36" s="499"/>
    </row>
    <row r="37" spans="1:22" x14ac:dyDescent="0.2">
      <c r="A37" s="483">
        <f t="shared" si="2"/>
        <v>32</v>
      </c>
      <c r="B37" s="493"/>
      <c r="C37" s="494"/>
      <c r="D37" s="494"/>
      <c r="E37" s="495"/>
      <c r="F37" s="495"/>
      <c r="G37" s="496"/>
      <c r="H37" s="496"/>
      <c r="I37" s="496"/>
      <c r="J37" s="496"/>
      <c r="K37" s="496"/>
      <c r="L37" s="488"/>
      <c r="M37" s="489"/>
      <c r="N37" s="489"/>
      <c r="O37" s="1303"/>
      <c r="P37" s="1304"/>
      <c r="Q37" s="1304"/>
      <c r="R37" s="1304"/>
      <c r="S37" s="1305"/>
      <c r="T37" s="497"/>
      <c r="U37" s="498"/>
      <c r="V37" s="499"/>
    </row>
    <row r="38" spans="1:22" x14ac:dyDescent="0.2">
      <c r="A38" s="483">
        <f t="shared" si="2"/>
        <v>33</v>
      </c>
      <c r="B38" s="493"/>
      <c r="C38" s="494"/>
      <c r="D38" s="494"/>
      <c r="E38" s="495"/>
      <c r="F38" s="495"/>
      <c r="G38" s="496"/>
      <c r="H38" s="496"/>
      <c r="I38" s="496"/>
      <c r="J38" s="496"/>
      <c r="K38" s="496"/>
      <c r="L38" s="488"/>
      <c r="M38" s="489"/>
      <c r="N38" s="489"/>
      <c r="O38" s="1303"/>
      <c r="P38" s="1304"/>
      <c r="Q38" s="1304"/>
      <c r="R38" s="1304"/>
      <c r="S38" s="1305"/>
      <c r="T38" s="497"/>
      <c r="U38" s="498"/>
      <c r="V38" s="499"/>
    </row>
    <row r="39" spans="1:22" x14ac:dyDescent="0.2">
      <c r="A39" s="483">
        <f t="shared" si="2"/>
        <v>34</v>
      </c>
      <c r="B39" s="493"/>
      <c r="C39" s="494"/>
      <c r="D39" s="494"/>
      <c r="E39" s="495"/>
      <c r="F39" s="495"/>
      <c r="G39" s="496"/>
      <c r="H39" s="496"/>
      <c r="I39" s="496"/>
      <c r="J39" s="496"/>
      <c r="K39" s="496"/>
      <c r="L39" s="488"/>
      <c r="M39" s="489"/>
      <c r="N39" s="489"/>
      <c r="O39" s="1303"/>
      <c r="P39" s="1304"/>
      <c r="Q39" s="1304"/>
      <c r="R39" s="1304"/>
      <c r="S39" s="1305"/>
      <c r="T39" s="497"/>
      <c r="U39" s="498"/>
      <c r="V39" s="499"/>
    </row>
    <row r="40" spans="1:22" x14ac:dyDescent="0.2">
      <c r="A40" s="483">
        <f t="shared" si="2"/>
        <v>35</v>
      </c>
      <c r="B40" s="493"/>
      <c r="C40" s="494"/>
      <c r="D40" s="494"/>
      <c r="E40" s="495"/>
      <c r="F40" s="495"/>
      <c r="G40" s="496"/>
      <c r="H40" s="496"/>
      <c r="I40" s="496"/>
      <c r="J40" s="496"/>
      <c r="K40" s="496"/>
      <c r="L40" s="488"/>
      <c r="M40" s="489"/>
      <c r="N40" s="489"/>
      <c r="O40" s="1303"/>
      <c r="P40" s="1304"/>
      <c r="Q40" s="1304"/>
      <c r="R40" s="1304"/>
      <c r="S40" s="1305"/>
      <c r="T40" s="497"/>
      <c r="U40" s="498"/>
      <c r="V40" s="499"/>
    </row>
    <row r="41" spans="1:22" x14ac:dyDescent="0.2">
      <c r="A41" s="483">
        <f t="shared" si="2"/>
        <v>36</v>
      </c>
      <c r="B41" s="493"/>
      <c r="C41" s="494"/>
      <c r="D41" s="494"/>
      <c r="E41" s="495"/>
      <c r="F41" s="495"/>
      <c r="G41" s="496"/>
      <c r="H41" s="496"/>
      <c r="I41" s="496"/>
      <c r="J41" s="496"/>
      <c r="K41" s="496"/>
      <c r="L41" s="488"/>
      <c r="M41" s="489"/>
      <c r="N41" s="489"/>
      <c r="O41" s="1303"/>
      <c r="P41" s="1304"/>
      <c r="Q41" s="1304"/>
      <c r="R41" s="1304"/>
      <c r="S41" s="1305"/>
      <c r="T41" s="497"/>
      <c r="U41" s="498"/>
      <c r="V41" s="499"/>
    </row>
    <row r="42" spans="1:22" ht="13.5" thickBot="1" x14ac:dyDescent="0.25">
      <c r="A42" s="505">
        <f t="shared" si="2"/>
        <v>37</v>
      </c>
      <c r="B42" s="506"/>
      <c r="C42" s="507"/>
      <c r="D42" s="507"/>
      <c r="E42" s="508"/>
      <c r="F42" s="508"/>
      <c r="G42" s="509"/>
      <c r="H42" s="509"/>
      <c r="I42" s="509"/>
      <c r="J42" s="509"/>
      <c r="K42" s="509"/>
      <c r="L42" s="510"/>
      <c r="M42" s="489"/>
      <c r="N42" s="489"/>
      <c r="O42" s="1310"/>
      <c r="P42" s="1311"/>
      <c r="Q42" s="1311"/>
      <c r="R42" s="1311"/>
      <c r="S42" s="1312"/>
      <c r="T42" s="511"/>
      <c r="U42" s="511"/>
      <c r="V42" s="512"/>
    </row>
    <row r="43" spans="1:22" ht="13.5" thickBot="1" x14ac:dyDescent="0.25">
      <c r="A43" s="513"/>
      <c r="B43" s="1315" t="s">
        <v>65</v>
      </c>
      <c r="C43" s="1316"/>
      <c r="D43" s="1317"/>
      <c r="E43" s="514">
        <f t="shared" ref="E43:K43" si="3">SUM(E6:E42)</f>
        <v>23770</v>
      </c>
      <c r="F43" s="514">
        <f t="shared" si="3"/>
        <v>18710</v>
      </c>
      <c r="G43" s="514">
        <f t="shared" si="3"/>
        <v>580</v>
      </c>
      <c r="H43" s="514">
        <f t="shared" si="3"/>
        <v>3080</v>
      </c>
      <c r="I43" s="514">
        <f t="shared" si="3"/>
        <v>0</v>
      </c>
      <c r="J43" s="514">
        <f t="shared" si="3"/>
        <v>1400</v>
      </c>
      <c r="K43" s="514">
        <f t="shared" si="3"/>
        <v>0</v>
      </c>
      <c r="L43" s="515"/>
      <c r="M43" s="516"/>
      <c r="N43" s="516"/>
      <c r="O43" s="516"/>
      <c r="P43" s="516"/>
      <c r="Q43" s="516"/>
      <c r="R43" s="516"/>
      <c r="S43" s="517"/>
      <c r="T43" s="518">
        <f>SUM(T6:T42)</f>
        <v>10</v>
      </c>
      <c r="U43" s="518">
        <f>SUM(U6:U42)</f>
        <v>10</v>
      </c>
      <c r="V43" s="519">
        <f>SUM(V6:V42)</f>
        <v>11</v>
      </c>
    </row>
    <row r="44" spans="1:22" x14ac:dyDescent="0.2">
      <c r="A44" s="513"/>
      <c r="B44" s="520"/>
      <c r="C44" s="521"/>
      <c r="D44" s="522" t="str">
        <f>D92</f>
        <v>T11</v>
      </c>
      <c r="E44" s="523">
        <f t="shared" ref="E44:K44" si="4">SUMIF($L$6:$L$42,$D$44,E$6:E$42)</f>
        <v>10130</v>
      </c>
      <c r="F44" s="523">
        <f t="shared" si="4"/>
        <v>5970</v>
      </c>
      <c r="G44" s="523">
        <f t="shared" si="4"/>
        <v>580</v>
      </c>
      <c r="H44" s="523">
        <f t="shared" si="4"/>
        <v>690</v>
      </c>
      <c r="I44" s="523">
        <f t="shared" si="4"/>
        <v>0</v>
      </c>
      <c r="J44" s="523">
        <f t="shared" si="4"/>
        <v>2890</v>
      </c>
      <c r="K44" s="523">
        <f t="shared" si="4"/>
        <v>0</v>
      </c>
      <c r="L44" s="524"/>
      <c r="M44" s="525"/>
      <c r="N44" s="525"/>
      <c r="O44" s="526"/>
      <c r="P44" s="526"/>
      <c r="Q44" s="526"/>
      <c r="R44" s="526"/>
      <c r="S44" s="526"/>
      <c r="T44" s="527">
        <f>SUMIF($L$6:$L$42,$D$44,T$6:T$42)</f>
        <v>7</v>
      </c>
      <c r="U44" s="527">
        <f>SUMIF($L$6:$L$42,$D$44,U$6:U$42)</f>
        <v>7</v>
      </c>
      <c r="V44" s="528">
        <f>SUMIF($L$6:$L$42,$D$44,V$6:V$42)</f>
        <v>7</v>
      </c>
    </row>
    <row r="45" spans="1:22" x14ac:dyDescent="0.2">
      <c r="A45" s="513"/>
      <c r="B45" s="520"/>
      <c r="C45" s="521"/>
      <c r="D45" s="529" t="str">
        <f t="shared" ref="D45:D47" si="5">D93</f>
        <v>T09</v>
      </c>
      <c r="E45" s="530">
        <f t="shared" ref="E45:K45" si="6">SUMIF($L$6:$L$42,$D$45,E$6:E$42)</f>
        <v>13640</v>
      </c>
      <c r="F45" s="530">
        <f t="shared" si="6"/>
        <v>12740</v>
      </c>
      <c r="G45" s="530">
        <f t="shared" si="6"/>
        <v>0</v>
      </c>
      <c r="H45" s="530">
        <f t="shared" si="6"/>
        <v>900</v>
      </c>
      <c r="I45" s="530">
        <f t="shared" si="6"/>
        <v>0</v>
      </c>
      <c r="J45" s="530">
        <f t="shared" si="6"/>
        <v>0</v>
      </c>
      <c r="K45" s="530">
        <f t="shared" si="6"/>
        <v>0</v>
      </c>
      <c r="L45" s="531"/>
      <c r="M45" s="532"/>
      <c r="N45" s="532"/>
      <c r="O45" s="533"/>
      <c r="P45" s="533"/>
      <c r="Q45" s="533"/>
      <c r="R45" s="533"/>
      <c r="S45" s="533"/>
      <c r="T45" s="534">
        <f>SUMIF($L$6:$L$42,$D$45,T$6:T$42)</f>
        <v>3</v>
      </c>
      <c r="U45" s="534">
        <f>SUMIF($L$6:$L$42,$D$45,U$6:U$42)</f>
        <v>3</v>
      </c>
      <c r="V45" s="535">
        <f>SUMIF($L$6:$L$42,$D$45,V$6:V$42)</f>
        <v>2</v>
      </c>
    </row>
    <row r="46" spans="1:22" x14ac:dyDescent="0.2">
      <c r="A46" s="513"/>
      <c r="B46" s="520"/>
      <c r="C46" s="521"/>
      <c r="D46" s="529" t="str">
        <f t="shared" si="5"/>
        <v>T06</v>
      </c>
      <c r="E46" s="530">
        <f t="shared" ref="E46:K46" si="7">SUMIF($L$6:$L$42,$D$46,E$6:E$42)</f>
        <v>0</v>
      </c>
      <c r="F46" s="530">
        <f t="shared" si="7"/>
        <v>0</v>
      </c>
      <c r="G46" s="530">
        <f t="shared" si="7"/>
        <v>0</v>
      </c>
      <c r="H46" s="530">
        <f t="shared" si="7"/>
        <v>1490</v>
      </c>
      <c r="I46" s="530">
        <f t="shared" si="7"/>
        <v>0</v>
      </c>
      <c r="J46" s="530">
        <f t="shared" si="7"/>
        <v>-1490</v>
      </c>
      <c r="K46" s="530">
        <f t="shared" si="7"/>
        <v>0</v>
      </c>
      <c r="L46" s="531"/>
      <c r="M46" s="532"/>
      <c r="N46" s="532"/>
      <c r="O46" s="533"/>
      <c r="P46" s="533"/>
      <c r="Q46" s="533"/>
      <c r="R46" s="533"/>
      <c r="S46" s="533"/>
      <c r="T46" s="534">
        <f>SUMIF($L$6:$L$42,$D$46,T$6:T$42)</f>
        <v>0</v>
      </c>
      <c r="U46" s="534">
        <f>SUMIF($L$6:$L$42,$D$46,U$6:U$42)</f>
        <v>0</v>
      </c>
      <c r="V46" s="535">
        <f>SUMIF($L$6:$L$42,$D$46,V$6:V$42)</f>
        <v>2</v>
      </c>
    </row>
    <row r="47" spans="1:22" ht="12" customHeight="1" thickBot="1" x14ac:dyDescent="0.25">
      <c r="A47" s="513"/>
      <c r="B47" s="520"/>
      <c r="C47" s="521"/>
      <c r="D47" s="536">
        <f t="shared" si="5"/>
        <v>0</v>
      </c>
      <c r="E47" s="537">
        <f t="shared" ref="E47:K47" si="8">SUMIF($L$6:$L$42,$D$47,E$6:E$42)</f>
        <v>0</v>
      </c>
      <c r="F47" s="537">
        <f t="shared" si="8"/>
        <v>0</v>
      </c>
      <c r="G47" s="537">
        <f t="shared" si="8"/>
        <v>0</v>
      </c>
      <c r="H47" s="537">
        <f t="shared" si="8"/>
        <v>0</v>
      </c>
      <c r="I47" s="537">
        <f t="shared" si="8"/>
        <v>0</v>
      </c>
      <c r="J47" s="537">
        <f t="shared" si="8"/>
        <v>0</v>
      </c>
      <c r="K47" s="537">
        <f t="shared" si="8"/>
        <v>0</v>
      </c>
      <c r="L47" s="538"/>
      <c r="M47" s="539"/>
      <c r="N47" s="539"/>
      <c r="O47" s="540"/>
      <c r="P47" s="540"/>
      <c r="Q47" s="540"/>
      <c r="R47" s="540"/>
      <c r="S47" s="540"/>
      <c r="T47" s="541">
        <f>SUMIF($L$6:$L$42,$D$47,T$6:T$42)</f>
        <v>0</v>
      </c>
      <c r="U47" s="541">
        <f>SUMIF($L$6:$L$42,$D$47,U$6:U$42)</f>
        <v>0</v>
      </c>
      <c r="V47" s="542">
        <f>SUMIF($L$6:$L$42,$D$47,V$6:V$42)</f>
        <v>0</v>
      </c>
    </row>
    <row r="48" spans="1:22" ht="21" customHeight="1" x14ac:dyDescent="0.2">
      <c r="A48" s="513"/>
      <c r="B48" s="1318" t="str">
        <f>IF(E43&lt;&gt;SUM(F43:K43),"NEISPRAVAN UNOS, POSTOJI RAZLIKA","")</f>
        <v/>
      </c>
      <c r="C48" s="1318"/>
      <c r="D48" s="1318"/>
      <c r="E48" s="1318"/>
      <c r="F48" s="1318"/>
      <c r="G48" s="1318"/>
      <c r="H48" s="1318"/>
      <c r="I48" s="1318"/>
      <c r="J48" s="1318"/>
      <c r="K48" s="544"/>
      <c r="L48" s="468"/>
      <c r="M48" s="545"/>
      <c r="N48" s="545"/>
      <c r="O48" s="546"/>
      <c r="P48" s="546"/>
      <c r="Q48" s="546"/>
      <c r="R48" s="546"/>
      <c r="S48" s="546"/>
      <c r="T48" s="547"/>
      <c r="U48" s="547"/>
      <c r="V48" s="547"/>
    </row>
    <row r="49" spans="1:22" x14ac:dyDescent="0.2">
      <c r="A49" s="468"/>
      <c r="B49" s="468"/>
      <c r="C49" s="468"/>
      <c r="D49" s="470"/>
      <c r="E49" s="471"/>
      <c r="F49" s="471"/>
      <c r="G49" s="471"/>
      <c r="H49" s="471"/>
      <c r="I49" s="471"/>
      <c r="J49" s="471"/>
      <c r="K49" s="472"/>
      <c r="L49" s="472"/>
      <c r="M49" s="472"/>
      <c r="N49" s="472"/>
      <c r="O49" s="472"/>
      <c r="P49" s="472"/>
      <c r="Q49" s="472"/>
      <c r="R49" s="472"/>
      <c r="S49" s="472"/>
      <c r="T49" s="473"/>
      <c r="U49" s="473"/>
      <c r="V49" s="473"/>
    </row>
    <row r="50" spans="1:22" x14ac:dyDescent="0.2">
      <c r="A50" s="468"/>
      <c r="B50" s="469" t="str">
        <f>B2</f>
        <v>MEDEM d.o.o.</v>
      </c>
      <c r="C50" s="468"/>
      <c r="D50" s="470"/>
      <c r="E50" s="471"/>
      <c r="F50" s="471"/>
      <c r="G50" s="471"/>
      <c r="H50" s="471"/>
      <c r="I50" s="471"/>
      <c r="J50" s="471"/>
      <c r="K50" s="472"/>
      <c r="L50" s="472"/>
      <c r="M50" s="472"/>
      <c r="N50" s="472"/>
      <c r="O50" s="472"/>
      <c r="P50" s="472"/>
      <c r="Q50" s="472"/>
      <c r="R50" s="472"/>
      <c r="S50" s="472"/>
      <c r="T50" s="473"/>
      <c r="U50" s="473"/>
      <c r="V50" s="473"/>
    </row>
    <row r="51" spans="1:22" ht="13.5" thickBot="1" x14ac:dyDescent="0.25">
      <c r="A51" s="468"/>
      <c r="B51" s="470"/>
      <c r="C51" s="470"/>
      <c r="D51" s="470"/>
      <c r="E51" s="471"/>
      <c r="F51" s="471"/>
      <c r="G51" s="471"/>
      <c r="H51" s="471"/>
      <c r="I51" s="471"/>
      <c r="J51" s="471"/>
      <c r="K51" s="472"/>
      <c r="L51" s="472"/>
      <c r="M51" s="472"/>
      <c r="N51" s="472"/>
      <c r="O51" s="472"/>
      <c r="P51" s="472"/>
      <c r="Q51" s="472"/>
      <c r="R51" s="472"/>
      <c r="S51" s="472"/>
      <c r="T51" s="473"/>
      <c r="U51" s="473"/>
      <c r="V51" s="473"/>
    </row>
    <row r="52" spans="1:22" ht="13.5" thickBot="1" x14ac:dyDescent="0.25">
      <c r="A52" s="1313" t="s">
        <v>74</v>
      </c>
      <c r="B52" s="1321" t="s">
        <v>78</v>
      </c>
      <c r="C52" s="1274"/>
      <c r="D52" s="1322"/>
      <c r="E52" s="475">
        <f>J172</f>
        <v>2</v>
      </c>
      <c r="F52" s="476"/>
      <c r="G52" s="476"/>
      <c r="H52" s="476"/>
      <c r="I52" s="476"/>
      <c r="J52" s="476"/>
      <c r="K52" s="476"/>
      <c r="L52" s="476"/>
      <c r="M52" s="476"/>
      <c r="N52" s="476"/>
      <c r="O52" s="476"/>
      <c r="P52" s="476"/>
      <c r="Q52" s="476"/>
      <c r="R52" s="476"/>
      <c r="S52" s="476"/>
      <c r="T52" s="476"/>
      <c r="U52" s="476"/>
      <c r="V52" s="477"/>
    </row>
    <row r="53" spans="1:22" ht="26.25" customHeight="1" thickBot="1" x14ac:dyDescent="0.25">
      <c r="A53" s="1314"/>
      <c r="B53" s="478" t="str">
        <f>B5</f>
        <v>DATUM</v>
      </c>
      <c r="C53" s="479" t="str">
        <f>C5</f>
        <v>Broj računa FISKALNOG</v>
      </c>
      <c r="D53" s="479" t="str">
        <f>D5</f>
        <v>Broj ugovora</v>
      </c>
      <c r="E53" s="479" t="str">
        <f>E5</f>
        <v>PRODAJNA CIJENA</v>
      </c>
      <c r="F53" s="479" t="str">
        <f t="shared" ref="F53:N53" si="9">F5</f>
        <v>GOTOVINA / KEŠ</v>
      </c>
      <c r="G53" s="479" t="str">
        <f t="shared" si="9"/>
        <v>POS KENT kartica</v>
      </c>
      <c r="H53" s="479" t="str">
        <f t="shared" si="9"/>
        <v>POS PBZ kartica</v>
      </c>
      <c r="I53" s="479" t="str">
        <f t="shared" si="9"/>
        <v>Kredit na rate PBZ</v>
      </c>
      <c r="J53" s="479" t="str">
        <f t="shared" si="9"/>
        <v>Žiralno / Ostalo</v>
      </c>
      <c r="K53" s="479" t="str">
        <f t="shared" si="9"/>
        <v>Vrsta Kartice</v>
      </c>
      <c r="L53" s="479" t="str">
        <f t="shared" si="9"/>
        <v>Team</v>
      </c>
      <c r="M53" s="479" t="str">
        <f t="shared" si="9"/>
        <v>Vozač</v>
      </c>
      <c r="N53" s="479" t="str">
        <f t="shared" si="9"/>
        <v>Prodao</v>
      </c>
      <c r="O53" s="1340" t="s">
        <v>82</v>
      </c>
      <c r="P53" s="1341"/>
      <c r="Q53" s="1341"/>
      <c r="R53" s="1341"/>
      <c r="S53" s="1342"/>
      <c r="T53" s="481" t="str">
        <f>T5</f>
        <v>LMS</v>
      </c>
      <c r="U53" s="481" t="str">
        <f t="shared" ref="U53:V53" si="10">U5</f>
        <v>TO</v>
      </c>
      <c r="V53" s="482" t="str">
        <f t="shared" si="10"/>
        <v>IP</v>
      </c>
    </row>
    <row r="54" spans="1:22" ht="12" customHeight="1" x14ac:dyDescent="0.2">
      <c r="A54" s="483">
        <v>1</v>
      </c>
      <c r="B54" s="493">
        <v>44208</v>
      </c>
      <c r="C54" s="494" t="s">
        <v>86</v>
      </c>
      <c r="D54" s="494" t="s">
        <v>88</v>
      </c>
      <c r="E54" s="486">
        <v>1240</v>
      </c>
      <c r="F54" s="495">
        <v>240</v>
      </c>
      <c r="G54" s="487"/>
      <c r="H54" s="487">
        <v>1000</v>
      </c>
      <c r="I54" s="487"/>
      <c r="J54" s="487"/>
      <c r="K54" s="487" t="s">
        <v>245</v>
      </c>
      <c r="L54" s="488" t="s">
        <v>154</v>
      </c>
      <c r="M54" s="489" t="s">
        <v>157</v>
      </c>
      <c r="N54" s="489" t="s">
        <v>158</v>
      </c>
      <c r="O54" s="1303" t="s">
        <v>166</v>
      </c>
      <c r="P54" s="1304"/>
      <c r="Q54" s="1304"/>
      <c r="R54" s="1304"/>
      <c r="S54" s="1305"/>
      <c r="T54" s="497">
        <v>1</v>
      </c>
      <c r="U54" s="498">
        <v>1</v>
      </c>
      <c r="V54" s="492"/>
    </row>
    <row r="55" spans="1:22" ht="12.75" customHeight="1" x14ac:dyDescent="0.2">
      <c r="A55" s="483">
        <f>A54+1</f>
        <v>2</v>
      </c>
      <c r="B55" s="493">
        <v>44208</v>
      </c>
      <c r="C55" s="494" t="s">
        <v>87</v>
      </c>
      <c r="D55" s="494" t="s">
        <v>89</v>
      </c>
      <c r="E55" s="495">
        <v>1490</v>
      </c>
      <c r="F55" s="495">
        <v>1490</v>
      </c>
      <c r="G55" s="496"/>
      <c r="H55" s="496"/>
      <c r="I55" s="496"/>
      <c r="J55" s="496"/>
      <c r="K55" s="496"/>
      <c r="L55" s="488" t="s">
        <v>154</v>
      </c>
      <c r="M55" s="489" t="s">
        <v>157</v>
      </c>
      <c r="N55" s="489" t="s">
        <v>158</v>
      </c>
      <c r="O55" s="1303" t="s">
        <v>103</v>
      </c>
      <c r="P55" s="1304"/>
      <c r="Q55" s="1304"/>
      <c r="R55" s="1304"/>
      <c r="S55" s="1305"/>
      <c r="T55" s="497">
        <v>1</v>
      </c>
      <c r="U55" s="498">
        <v>1</v>
      </c>
      <c r="V55" s="499">
        <v>1</v>
      </c>
    </row>
    <row r="56" spans="1:22" ht="13.5" customHeight="1" x14ac:dyDescent="0.2">
      <c r="A56" s="483">
        <f t="shared" ref="A56:A90" si="11">A55+1</f>
        <v>3</v>
      </c>
      <c r="B56" s="493">
        <v>44209</v>
      </c>
      <c r="C56" s="494" t="s">
        <v>90</v>
      </c>
      <c r="D56" s="494" t="s">
        <v>91</v>
      </c>
      <c r="E56" s="495">
        <v>530</v>
      </c>
      <c r="F56" s="495">
        <v>200</v>
      </c>
      <c r="G56" s="500">
        <v>330</v>
      </c>
      <c r="H56" s="500"/>
      <c r="I56" s="500"/>
      <c r="J56" s="500"/>
      <c r="K56" s="501" t="s">
        <v>245</v>
      </c>
      <c r="L56" s="488" t="s">
        <v>155</v>
      </c>
      <c r="M56" s="489" t="s">
        <v>156</v>
      </c>
      <c r="N56" s="489" t="s">
        <v>159</v>
      </c>
      <c r="O56" s="1303" t="s">
        <v>104</v>
      </c>
      <c r="P56" s="1304"/>
      <c r="Q56" s="1304"/>
      <c r="R56" s="1304"/>
      <c r="S56" s="1305"/>
      <c r="T56" s="497"/>
      <c r="U56" s="498">
        <v>1</v>
      </c>
      <c r="V56" s="499"/>
    </row>
    <row r="57" spans="1:22" ht="12.75" customHeight="1" x14ac:dyDescent="0.2">
      <c r="A57" s="483">
        <f t="shared" si="11"/>
        <v>4</v>
      </c>
      <c r="B57" s="502">
        <v>44209</v>
      </c>
      <c r="C57" s="494" t="s">
        <v>92</v>
      </c>
      <c r="D57" s="548" t="s">
        <v>93</v>
      </c>
      <c r="E57" s="503">
        <v>1490</v>
      </c>
      <c r="F57" s="495">
        <v>1000</v>
      </c>
      <c r="G57" s="500"/>
      <c r="H57" s="500">
        <v>490</v>
      </c>
      <c r="I57" s="500"/>
      <c r="J57" s="500"/>
      <c r="K57" s="501" t="s">
        <v>245</v>
      </c>
      <c r="L57" s="488" t="s">
        <v>155</v>
      </c>
      <c r="M57" s="489" t="s">
        <v>156</v>
      </c>
      <c r="N57" s="489" t="s">
        <v>156</v>
      </c>
      <c r="O57" s="1303" t="s">
        <v>165</v>
      </c>
      <c r="P57" s="1304"/>
      <c r="Q57" s="1304"/>
      <c r="R57" s="1304"/>
      <c r="S57" s="1305"/>
      <c r="T57" s="497">
        <v>1</v>
      </c>
      <c r="U57" s="498">
        <v>1</v>
      </c>
      <c r="V57" s="499">
        <v>1</v>
      </c>
    </row>
    <row r="58" spans="1:22" x14ac:dyDescent="0.2">
      <c r="A58" s="483">
        <f t="shared" si="11"/>
        <v>5</v>
      </c>
      <c r="B58" s="493">
        <v>44209</v>
      </c>
      <c r="C58" s="494" t="s">
        <v>94</v>
      </c>
      <c r="D58" s="494" t="s">
        <v>95</v>
      </c>
      <c r="E58" s="495">
        <v>1120</v>
      </c>
      <c r="F58" s="495">
        <v>1120</v>
      </c>
      <c r="G58" s="496"/>
      <c r="H58" s="496"/>
      <c r="I58" s="496"/>
      <c r="J58" s="496"/>
      <c r="K58" s="496"/>
      <c r="L58" s="497" t="s">
        <v>155</v>
      </c>
      <c r="M58" s="489" t="s">
        <v>156</v>
      </c>
      <c r="N58" s="489" t="s">
        <v>161</v>
      </c>
      <c r="O58" s="1303" t="s">
        <v>167</v>
      </c>
      <c r="P58" s="1304"/>
      <c r="Q58" s="1304"/>
      <c r="R58" s="1304"/>
      <c r="S58" s="1305"/>
      <c r="T58" s="497">
        <v>1</v>
      </c>
      <c r="U58" s="498">
        <v>1</v>
      </c>
      <c r="V58" s="499"/>
    </row>
    <row r="59" spans="1:22" x14ac:dyDescent="0.2">
      <c r="A59" s="483">
        <f t="shared" si="11"/>
        <v>6</v>
      </c>
      <c r="B59" s="493"/>
      <c r="C59" s="494"/>
      <c r="D59" s="494"/>
      <c r="E59" s="495"/>
      <c r="F59" s="495"/>
      <c r="G59" s="496"/>
      <c r="H59" s="496"/>
      <c r="I59" s="496"/>
      <c r="J59" s="496"/>
      <c r="K59" s="496"/>
      <c r="L59" s="488"/>
      <c r="M59" s="489"/>
      <c r="N59" s="489"/>
      <c r="O59" s="1303"/>
      <c r="P59" s="1304"/>
      <c r="Q59" s="1304"/>
      <c r="R59" s="1304"/>
      <c r="S59" s="1305"/>
      <c r="T59" s="497"/>
      <c r="U59" s="498"/>
      <c r="V59" s="499"/>
    </row>
    <row r="60" spans="1:22" x14ac:dyDescent="0.2">
      <c r="A60" s="483">
        <f t="shared" si="11"/>
        <v>7</v>
      </c>
      <c r="B60" s="493"/>
      <c r="C60" s="494"/>
      <c r="D60" s="494"/>
      <c r="E60" s="495"/>
      <c r="F60" s="495"/>
      <c r="G60" s="496"/>
      <c r="H60" s="496"/>
      <c r="I60" s="496"/>
      <c r="J60" s="496"/>
      <c r="K60" s="496"/>
      <c r="L60" s="488"/>
      <c r="M60" s="489"/>
      <c r="N60" s="489"/>
      <c r="O60" s="1303"/>
      <c r="P60" s="1304"/>
      <c r="Q60" s="1304"/>
      <c r="R60" s="1304"/>
      <c r="S60" s="1305"/>
      <c r="T60" s="497"/>
      <c r="U60" s="498"/>
      <c r="V60" s="499"/>
    </row>
    <row r="61" spans="1:22" x14ac:dyDescent="0.2">
      <c r="A61" s="483">
        <f t="shared" si="11"/>
        <v>8</v>
      </c>
      <c r="B61" s="493"/>
      <c r="C61" s="494"/>
      <c r="D61" s="494"/>
      <c r="E61" s="495"/>
      <c r="F61" s="495"/>
      <c r="G61" s="496"/>
      <c r="H61" s="496"/>
      <c r="I61" s="496"/>
      <c r="J61" s="496"/>
      <c r="K61" s="496"/>
      <c r="L61" s="488"/>
      <c r="M61" s="489"/>
      <c r="N61" s="489"/>
      <c r="O61" s="1303"/>
      <c r="P61" s="1304"/>
      <c r="Q61" s="1304"/>
      <c r="R61" s="1304"/>
      <c r="S61" s="1305"/>
      <c r="T61" s="497"/>
      <c r="U61" s="498"/>
      <c r="V61" s="499"/>
    </row>
    <row r="62" spans="1:22" x14ac:dyDescent="0.2">
      <c r="A62" s="483">
        <f t="shared" si="11"/>
        <v>9</v>
      </c>
      <c r="B62" s="493"/>
      <c r="C62" s="494"/>
      <c r="D62" s="494"/>
      <c r="E62" s="495"/>
      <c r="F62" s="495"/>
      <c r="G62" s="496"/>
      <c r="H62" s="496"/>
      <c r="I62" s="496"/>
      <c r="J62" s="496"/>
      <c r="K62" s="496"/>
      <c r="L62" s="488"/>
      <c r="M62" s="489"/>
      <c r="N62" s="489"/>
      <c r="O62" s="1303"/>
      <c r="P62" s="1304"/>
      <c r="Q62" s="1304"/>
      <c r="R62" s="1304"/>
      <c r="S62" s="1305"/>
      <c r="T62" s="497"/>
      <c r="U62" s="498"/>
      <c r="V62" s="499"/>
    </row>
    <row r="63" spans="1:22" x14ac:dyDescent="0.2">
      <c r="A63" s="483">
        <f t="shared" si="11"/>
        <v>10</v>
      </c>
      <c r="B63" s="493"/>
      <c r="C63" s="494"/>
      <c r="D63" s="494"/>
      <c r="E63" s="495"/>
      <c r="F63" s="495"/>
      <c r="G63" s="496"/>
      <c r="H63" s="496"/>
      <c r="I63" s="496"/>
      <c r="J63" s="496"/>
      <c r="K63" s="496"/>
      <c r="L63" s="488"/>
      <c r="M63" s="489"/>
      <c r="N63" s="489"/>
      <c r="O63" s="1303"/>
      <c r="P63" s="1304"/>
      <c r="Q63" s="1304"/>
      <c r="R63" s="1304"/>
      <c r="S63" s="1305"/>
      <c r="T63" s="497"/>
      <c r="U63" s="498"/>
      <c r="V63" s="499"/>
    </row>
    <row r="64" spans="1:22" x14ac:dyDescent="0.2">
      <c r="A64" s="483">
        <f t="shared" si="11"/>
        <v>11</v>
      </c>
      <c r="B64" s="493"/>
      <c r="C64" s="494"/>
      <c r="D64" s="494"/>
      <c r="E64" s="495"/>
      <c r="F64" s="495"/>
      <c r="G64" s="496"/>
      <c r="H64" s="496"/>
      <c r="I64" s="496"/>
      <c r="J64" s="496"/>
      <c r="K64" s="496"/>
      <c r="L64" s="497"/>
      <c r="M64" s="489"/>
      <c r="N64" s="489"/>
      <c r="O64" s="1303"/>
      <c r="P64" s="1304"/>
      <c r="Q64" s="1304"/>
      <c r="R64" s="1304"/>
      <c r="S64" s="1305"/>
      <c r="T64" s="497"/>
      <c r="U64" s="498"/>
      <c r="V64" s="499"/>
    </row>
    <row r="65" spans="1:22" x14ac:dyDescent="0.2">
      <c r="A65" s="483">
        <f t="shared" si="11"/>
        <v>12</v>
      </c>
      <c r="B65" s="549"/>
      <c r="C65" s="485"/>
      <c r="D65" s="485"/>
      <c r="E65" s="486"/>
      <c r="F65" s="486"/>
      <c r="G65" s="487"/>
      <c r="H65" s="487"/>
      <c r="I65" s="487"/>
      <c r="J65" s="487"/>
      <c r="K65" s="487"/>
      <c r="L65" s="488"/>
      <c r="M65" s="489"/>
      <c r="N65" s="489"/>
      <c r="O65" s="1343"/>
      <c r="P65" s="1344"/>
      <c r="Q65" s="1344"/>
      <c r="R65" s="1344"/>
      <c r="S65" s="1345"/>
      <c r="T65" s="490"/>
      <c r="U65" s="491"/>
      <c r="V65" s="499"/>
    </row>
    <row r="66" spans="1:22" x14ac:dyDescent="0.2">
      <c r="A66" s="483">
        <f t="shared" si="11"/>
        <v>13</v>
      </c>
      <c r="B66" s="550"/>
      <c r="C66" s="494"/>
      <c r="D66" s="494"/>
      <c r="E66" s="495"/>
      <c r="F66" s="495"/>
      <c r="G66" s="496"/>
      <c r="H66" s="496"/>
      <c r="I66" s="496"/>
      <c r="J66" s="496"/>
      <c r="K66" s="496"/>
      <c r="L66" s="488"/>
      <c r="M66" s="489"/>
      <c r="N66" s="489"/>
      <c r="O66" s="1303"/>
      <c r="P66" s="1304"/>
      <c r="Q66" s="1304"/>
      <c r="R66" s="1304"/>
      <c r="S66" s="1305"/>
      <c r="T66" s="497"/>
      <c r="U66" s="498"/>
      <c r="V66" s="499"/>
    </row>
    <row r="67" spans="1:22" x14ac:dyDescent="0.2">
      <c r="A67" s="483">
        <f t="shared" si="11"/>
        <v>14</v>
      </c>
      <c r="B67" s="550"/>
      <c r="C67" s="494"/>
      <c r="D67" s="548"/>
      <c r="E67" s="503"/>
      <c r="F67" s="495"/>
      <c r="G67" s="500"/>
      <c r="H67" s="500"/>
      <c r="I67" s="500"/>
      <c r="J67" s="500"/>
      <c r="K67" s="504"/>
      <c r="L67" s="488"/>
      <c r="M67" s="489"/>
      <c r="N67" s="489"/>
      <c r="O67" s="1303"/>
      <c r="P67" s="1304"/>
      <c r="Q67" s="1304"/>
      <c r="R67" s="1304"/>
      <c r="S67" s="1305"/>
      <c r="T67" s="497"/>
      <c r="U67" s="498"/>
      <c r="V67" s="499"/>
    </row>
    <row r="68" spans="1:22" x14ac:dyDescent="0.2">
      <c r="A68" s="483">
        <f t="shared" si="11"/>
        <v>15</v>
      </c>
      <c r="B68" s="551"/>
      <c r="C68" s="494"/>
      <c r="D68" s="548"/>
      <c r="E68" s="503"/>
      <c r="F68" s="495"/>
      <c r="G68" s="500"/>
      <c r="H68" s="500"/>
      <c r="I68" s="500"/>
      <c r="J68" s="500"/>
      <c r="K68" s="504"/>
      <c r="L68" s="488"/>
      <c r="M68" s="489"/>
      <c r="N68" s="489"/>
      <c r="O68" s="1303"/>
      <c r="P68" s="1304"/>
      <c r="Q68" s="1304"/>
      <c r="R68" s="1304"/>
      <c r="S68" s="1305"/>
      <c r="T68" s="497"/>
      <c r="U68" s="498"/>
      <c r="V68" s="499"/>
    </row>
    <row r="69" spans="1:22" x14ac:dyDescent="0.2">
      <c r="A69" s="483">
        <f t="shared" si="11"/>
        <v>16</v>
      </c>
      <c r="B69" s="550"/>
      <c r="C69" s="494"/>
      <c r="D69" s="494"/>
      <c r="E69" s="495"/>
      <c r="F69" s="495"/>
      <c r="G69" s="496"/>
      <c r="H69" s="496"/>
      <c r="I69" s="496"/>
      <c r="J69" s="496"/>
      <c r="K69" s="496"/>
      <c r="L69" s="488"/>
      <c r="M69" s="489"/>
      <c r="N69" s="489"/>
      <c r="O69" s="1303"/>
      <c r="P69" s="1304"/>
      <c r="Q69" s="1304"/>
      <c r="R69" s="1304"/>
      <c r="S69" s="1305"/>
      <c r="T69" s="497"/>
      <c r="U69" s="498"/>
      <c r="V69" s="499"/>
    </row>
    <row r="70" spans="1:22" x14ac:dyDescent="0.2">
      <c r="A70" s="483">
        <f t="shared" si="11"/>
        <v>17</v>
      </c>
      <c r="B70" s="550"/>
      <c r="C70" s="494"/>
      <c r="D70" s="494"/>
      <c r="E70" s="495"/>
      <c r="F70" s="495"/>
      <c r="G70" s="496"/>
      <c r="H70" s="496"/>
      <c r="I70" s="496"/>
      <c r="J70" s="496"/>
      <c r="K70" s="496"/>
      <c r="L70" s="488"/>
      <c r="M70" s="489"/>
      <c r="N70" s="489"/>
      <c r="O70" s="1303"/>
      <c r="P70" s="1304"/>
      <c r="Q70" s="1304"/>
      <c r="R70" s="1304"/>
      <c r="S70" s="1305"/>
      <c r="T70" s="497"/>
      <c r="U70" s="498"/>
      <c r="V70" s="499"/>
    </row>
    <row r="71" spans="1:22" x14ac:dyDescent="0.2">
      <c r="A71" s="483">
        <f t="shared" si="11"/>
        <v>18</v>
      </c>
      <c r="B71" s="550"/>
      <c r="C71" s="494"/>
      <c r="D71" s="494"/>
      <c r="E71" s="495"/>
      <c r="F71" s="495"/>
      <c r="G71" s="496"/>
      <c r="H71" s="496"/>
      <c r="I71" s="496"/>
      <c r="J71" s="496"/>
      <c r="K71" s="496"/>
      <c r="L71" s="488"/>
      <c r="M71" s="489"/>
      <c r="N71" s="489"/>
      <c r="O71" s="1303"/>
      <c r="P71" s="1304"/>
      <c r="Q71" s="1304"/>
      <c r="R71" s="1304"/>
      <c r="S71" s="1305"/>
      <c r="T71" s="497"/>
      <c r="U71" s="498"/>
      <c r="V71" s="499"/>
    </row>
    <row r="72" spans="1:22" x14ac:dyDescent="0.2">
      <c r="A72" s="483">
        <f t="shared" si="11"/>
        <v>19</v>
      </c>
      <c r="B72" s="550"/>
      <c r="C72" s="494"/>
      <c r="D72" s="494"/>
      <c r="E72" s="495"/>
      <c r="F72" s="495"/>
      <c r="G72" s="496"/>
      <c r="H72" s="496"/>
      <c r="I72" s="496"/>
      <c r="J72" s="496"/>
      <c r="K72" s="496"/>
      <c r="L72" s="488"/>
      <c r="M72" s="489"/>
      <c r="N72" s="489"/>
      <c r="O72" s="1303"/>
      <c r="P72" s="1304"/>
      <c r="Q72" s="1304"/>
      <c r="R72" s="1304"/>
      <c r="S72" s="1305"/>
      <c r="T72" s="497"/>
      <c r="U72" s="498"/>
      <c r="V72" s="499"/>
    </row>
    <row r="73" spans="1:22" x14ac:dyDescent="0.2">
      <c r="A73" s="483">
        <f t="shared" si="11"/>
        <v>20</v>
      </c>
      <c r="B73" s="493"/>
      <c r="C73" s="494"/>
      <c r="D73" s="494"/>
      <c r="E73" s="495"/>
      <c r="F73" s="495"/>
      <c r="G73" s="496"/>
      <c r="H73" s="496"/>
      <c r="I73" s="496"/>
      <c r="J73" s="496"/>
      <c r="K73" s="496"/>
      <c r="L73" s="488"/>
      <c r="M73" s="489"/>
      <c r="N73" s="489"/>
      <c r="O73" s="1303"/>
      <c r="P73" s="1304"/>
      <c r="Q73" s="1304"/>
      <c r="R73" s="1304"/>
      <c r="S73" s="1305"/>
      <c r="T73" s="497"/>
      <c r="U73" s="498"/>
      <c r="V73" s="499"/>
    </row>
    <row r="74" spans="1:22" x14ac:dyDescent="0.2">
      <c r="A74" s="483">
        <f t="shared" si="11"/>
        <v>21</v>
      </c>
      <c r="B74" s="493"/>
      <c r="C74" s="494"/>
      <c r="D74" s="494"/>
      <c r="E74" s="495"/>
      <c r="F74" s="495"/>
      <c r="G74" s="496"/>
      <c r="H74" s="496"/>
      <c r="I74" s="496"/>
      <c r="J74" s="496"/>
      <c r="K74" s="496"/>
      <c r="L74" s="488"/>
      <c r="M74" s="489"/>
      <c r="N74" s="489"/>
      <c r="O74" s="1303"/>
      <c r="P74" s="1304"/>
      <c r="Q74" s="1304"/>
      <c r="R74" s="1304"/>
      <c r="S74" s="1305"/>
      <c r="T74" s="497"/>
      <c r="U74" s="498"/>
      <c r="V74" s="499"/>
    </row>
    <row r="75" spans="1:22" x14ac:dyDescent="0.2">
      <c r="A75" s="483">
        <f t="shared" si="11"/>
        <v>22</v>
      </c>
      <c r="B75" s="493"/>
      <c r="C75" s="494"/>
      <c r="D75" s="494"/>
      <c r="E75" s="495"/>
      <c r="F75" s="495"/>
      <c r="G75" s="496"/>
      <c r="H75" s="496"/>
      <c r="I75" s="496"/>
      <c r="J75" s="496"/>
      <c r="K75" s="496"/>
      <c r="L75" s="488"/>
      <c r="M75" s="489"/>
      <c r="N75" s="489"/>
      <c r="O75" s="1303"/>
      <c r="P75" s="1304"/>
      <c r="Q75" s="1304"/>
      <c r="R75" s="1304"/>
      <c r="S75" s="1305"/>
      <c r="T75" s="497"/>
      <c r="U75" s="498"/>
      <c r="V75" s="499"/>
    </row>
    <row r="76" spans="1:22" x14ac:dyDescent="0.2">
      <c r="A76" s="483">
        <f t="shared" si="11"/>
        <v>23</v>
      </c>
      <c r="B76" s="493"/>
      <c r="C76" s="494"/>
      <c r="D76" s="494"/>
      <c r="E76" s="495"/>
      <c r="F76" s="495"/>
      <c r="G76" s="496"/>
      <c r="H76" s="496"/>
      <c r="I76" s="496"/>
      <c r="J76" s="496"/>
      <c r="K76" s="496"/>
      <c r="L76" s="488"/>
      <c r="M76" s="489"/>
      <c r="N76" s="489"/>
      <c r="O76" s="1303"/>
      <c r="P76" s="1304"/>
      <c r="Q76" s="1304"/>
      <c r="R76" s="1304"/>
      <c r="S76" s="1305"/>
      <c r="T76" s="497"/>
      <c r="U76" s="498"/>
      <c r="V76" s="499"/>
    </row>
    <row r="77" spans="1:22" x14ac:dyDescent="0.2">
      <c r="A77" s="483">
        <f t="shared" si="11"/>
        <v>24</v>
      </c>
      <c r="B77" s="493"/>
      <c r="C77" s="494"/>
      <c r="D77" s="494"/>
      <c r="E77" s="495"/>
      <c r="F77" s="495"/>
      <c r="G77" s="496"/>
      <c r="H77" s="496"/>
      <c r="I77" s="496"/>
      <c r="J77" s="496"/>
      <c r="K77" s="496"/>
      <c r="L77" s="488"/>
      <c r="M77" s="489"/>
      <c r="N77" s="489"/>
      <c r="O77" s="1303"/>
      <c r="P77" s="1304"/>
      <c r="Q77" s="1304"/>
      <c r="R77" s="1304"/>
      <c r="S77" s="1305"/>
      <c r="T77" s="497"/>
      <c r="U77" s="498"/>
      <c r="V77" s="499"/>
    </row>
    <row r="78" spans="1:22" x14ac:dyDescent="0.2">
      <c r="A78" s="483">
        <f t="shared" si="11"/>
        <v>25</v>
      </c>
      <c r="B78" s="493"/>
      <c r="C78" s="494"/>
      <c r="D78" s="494"/>
      <c r="E78" s="495"/>
      <c r="F78" s="495"/>
      <c r="G78" s="496"/>
      <c r="H78" s="496"/>
      <c r="I78" s="496"/>
      <c r="J78" s="496"/>
      <c r="K78" s="496"/>
      <c r="L78" s="488"/>
      <c r="M78" s="489"/>
      <c r="N78" s="489"/>
      <c r="O78" s="1303"/>
      <c r="P78" s="1304"/>
      <c r="Q78" s="1304"/>
      <c r="R78" s="1304"/>
      <c r="S78" s="1305"/>
      <c r="T78" s="497"/>
      <c r="U78" s="498"/>
      <c r="V78" s="499"/>
    </row>
    <row r="79" spans="1:22" x14ac:dyDescent="0.2">
      <c r="A79" s="483">
        <f t="shared" si="11"/>
        <v>26</v>
      </c>
      <c r="B79" s="493"/>
      <c r="C79" s="494"/>
      <c r="D79" s="494"/>
      <c r="E79" s="495"/>
      <c r="F79" s="495"/>
      <c r="G79" s="496"/>
      <c r="H79" s="496"/>
      <c r="I79" s="496"/>
      <c r="J79" s="496"/>
      <c r="K79" s="496"/>
      <c r="L79" s="488"/>
      <c r="M79" s="489"/>
      <c r="N79" s="489"/>
      <c r="O79" s="1303"/>
      <c r="P79" s="1304"/>
      <c r="Q79" s="1304"/>
      <c r="R79" s="1304"/>
      <c r="S79" s="1305"/>
      <c r="T79" s="497"/>
      <c r="U79" s="498"/>
      <c r="V79" s="499"/>
    </row>
    <row r="80" spans="1:22" x14ac:dyDescent="0.2">
      <c r="A80" s="483">
        <f t="shared" si="11"/>
        <v>27</v>
      </c>
      <c r="B80" s="493"/>
      <c r="C80" s="494"/>
      <c r="D80" s="494"/>
      <c r="E80" s="495"/>
      <c r="F80" s="495"/>
      <c r="G80" s="496"/>
      <c r="H80" s="496"/>
      <c r="I80" s="496"/>
      <c r="J80" s="496"/>
      <c r="K80" s="496"/>
      <c r="L80" s="488"/>
      <c r="M80" s="489"/>
      <c r="N80" s="489"/>
      <c r="O80" s="1303"/>
      <c r="P80" s="1304"/>
      <c r="Q80" s="1304"/>
      <c r="R80" s="1304"/>
      <c r="S80" s="1305"/>
      <c r="T80" s="497"/>
      <c r="U80" s="498"/>
      <c r="V80" s="499"/>
    </row>
    <row r="81" spans="1:22" x14ac:dyDescent="0.2">
      <c r="A81" s="483">
        <f t="shared" si="11"/>
        <v>28</v>
      </c>
      <c r="B81" s="493"/>
      <c r="C81" s="494"/>
      <c r="D81" s="494"/>
      <c r="E81" s="495"/>
      <c r="F81" s="495"/>
      <c r="G81" s="496"/>
      <c r="H81" s="496"/>
      <c r="I81" s="496"/>
      <c r="J81" s="496"/>
      <c r="K81" s="496"/>
      <c r="L81" s="488"/>
      <c r="M81" s="489"/>
      <c r="N81" s="489"/>
      <c r="O81" s="1303"/>
      <c r="P81" s="1304"/>
      <c r="Q81" s="1304"/>
      <c r="R81" s="1304"/>
      <c r="S81" s="1305"/>
      <c r="T81" s="497"/>
      <c r="U81" s="498"/>
      <c r="V81" s="499"/>
    </row>
    <row r="82" spans="1:22" x14ac:dyDescent="0.2">
      <c r="A82" s="483">
        <f t="shared" si="11"/>
        <v>29</v>
      </c>
      <c r="B82" s="493"/>
      <c r="C82" s="494"/>
      <c r="D82" s="494"/>
      <c r="E82" s="495"/>
      <c r="F82" s="495"/>
      <c r="G82" s="496"/>
      <c r="H82" s="496"/>
      <c r="I82" s="496"/>
      <c r="J82" s="496"/>
      <c r="K82" s="496"/>
      <c r="L82" s="488"/>
      <c r="M82" s="489"/>
      <c r="N82" s="489"/>
      <c r="O82" s="1303"/>
      <c r="P82" s="1304"/>
      <c r="Q82" s="1304"/>
      <c r="R82" s="1304"/>
      <c r="S82" s="1305"/>
      <c r="T82" s="497"/>
      <c r="U82" s="498"/>
      <c r="V82" s="499"/>
    </row>
    <row r="83" spans="1:22" x14ac:dyDescent="0.2">
      <c r="A83" s="483">
        <f t="shared" si="11"/>
        <v>30</v>
      </c>
      <c r="B83" s="493"/>
      <c r="C83" s="494"/>
      <c r="D83" s="494"/>
      <c r="E83" s="495"/>
      <c r="F83" s="495"/>
      <c r="G83" s="496"/>
      <c r="H83" s="496"/>
      <c r="I83" s="496"/>
      <c r="J83" s="496"/>
      <c r="K83" s="496"/>
      <c r="L83" s="488"/>
      <c r="M83" s="489"/>
      <c r="N83" s="489"/>
      <c r="O83" s="1303"/>
      <c r="P83" s="1304"/>
      <c r="Q83" s="1304"/>
      <c r="R83" s="1304"/>
      <c r="S83" s="1305"/>
      <c r="T83" s="497"/>
      <c r="U83" s="498"/>
      <c r="V83" s="499"/>
    </row>
    <row r="84" spans="1:22" x14ac:dyDescent="0.2">
      <c r="A84" s="483">
        <f t="shared" si="11"/>
        <v>31</v>
      </c>
      <c r="B84" s="493"/>
      <c r="C84" s="494"/>
      <c r="D84" s="494"/>
      <c r="E84" s="495"/>
      <c r="F84" s="495"/>
      <c r="G84" s="496"/>
      <c r="H84" s="496"/>
      <c r="I84" s="496"/>
      <c r="J84" s="496"/>
      <c r="K84" s="496"/>
      <c r="L84" s="488"/>
      <c r="M84" s="489"/>
      <c r="N84" s="489"/>
      <c r="O84" s="1303"/>
      <c r="P84" s="1304"/>
      <c r="Q84" s="1304"/>
      <c r="R84" s="1304"/>
      <c r="S84" s="1305"/>
      <c r="T84" s="497"/>
      <c r="U84" s="498"/>
      <c r="V84" s="499"/>
    </row>
    <row r="85" spans="1:22" x14ac:dyDescent="0.2">
      <c r="A85" s="483">
        <f t="shared" si="11"/>
        <v>32</v>
      </c>
      <c r="B85" s="493"/>
      <c r="C85" s="494"/>
      <c r="D85" s="494"/>
      <c r="E85" s="495"/>
      <c r="F85" s="495"/>
      <c r="G85" s="496"/>
      <c r="H85" s="496"/>
      <c r="I85" s="496"/>
      <c r="J85" s="496"/>
      <c r="K85" s="496"/>
      <c r="L85" s="488"/>
      <c r="M85" s="489"/>
      <c r="N85" s="489"/>
      <c r="O85" s="1303"/>
      <c r="P85" s="1304"/>
      <c r="Q85" s="1304"/>
      <c r="R85" s="1304"/>
      <c r="S85" s="1305"/>
      <c r="T85" s="497"/>
      <c r="U85" s="498"/>
      <c r="V85" s="499"/>
    </row>
    <row r="86" spans="1:22" x14ac:dyDescent="0.2">
      <c r="A86" s="483">
        <f t="shared" si="11"/>
        <v>33</v>
      </c>
      <c r="B86" s="493"/>
      <c r="C86" s="494"/>
      <c r="D86" s="494"/>
      <c r="E86" s="495"/>
      <c r="F86" s="495"/>
      <c r="G86" s="496"/>
      <c r="H86" s="496"/>
      <c r="I86" s="496"/>
      <c r="J86" s="496"/>
      <c r="K86" s="496"/>
      <c r="L86" s="488"/>
      <c r="M86" s="489"/>
      <c r="N86" s="489"/>
      <c r="O86" s="1303"/>
      <c r="P86" s="1304"/>
      <c r="Q86" s="1304"/>
      <c r="R86" s="1304"/>
      <c r="S86" s="1305"/>
      <c r="T86" s="497"/>
      <c r="U86" s="498"/>
      <c r="V86" s="499"/>
    </row>
    <row r="87" spans="1:22" x14ac:dyDescent="0.2">
      <c r="A87" s="483">
        <f t="shared" si="11"/>
        <v>34</v>
      </c>
      <c r="B87" s="493"/>
      <c r="C87" s="494"/>
      <c r="D87" s="494"/>
      <c r="E87" s="495"/>
      <c r="F87" s="495"/>
      <c r="G87" s="496"/>
      <c r="H87" s="496"/>
      <c r="I87" s="496"/>
      <c r="J87" s="496"/>
      <c r="K87" s="496"/>
      <c r="L87" s="488"/>
      <c r="M87" s="489"/>
      <c r="N87" s="489"/>
      <c r="O87" s="1303"/>
      <c r="P87" s="1304"/>
      <c r="Q87" s="1304"/>
      <c r="R87" s="1304"/>
      <c r="S87" s="1305"/>
      <c r="T87" s="497"/>
      <c r="U87" s="498"/>
      <c r="V87" s="499"/>
    </row>
    <row r="88" spans="1:22" x14ac:dyDescent="0.2">
      <c r="A88" s="483">
        <f t="shared" si="11"/>
        <v>35</v>
      </c>
      <c r="B88" s="493"/>
      <c r="C88" s="494"/>
      <c r="D88" s="494"/>
      <c r="E88" s="495"/>
      <c r="F88" s="495"/>
      <c r="G88" s="496"/>
      <c r="H88" s="496"/>
      <c r="I88" s="496"/>
      <c r="J88" s="496"/>
      <c r="K88" s="496"/>
      <c r="L88" s="488"/>
      <c r="M88" s="489"/>
      <c r="N88" s="489"/>
      <c r="O88" s="1303"/>
      <c r="P88" s="1304"/>
      <c r="Q88" s="1304"/>
      <c r="R88" s="1304"/>
      <c r="S88" s="1305"/>
      <c r="T88" s="497"/>
      <c r="U88" s="498"/>
      <c r="V88" s="499"/>
    </row>
    <row r="89" spans="1:22" x14ac:dyDescent="0.2">
      <c r="A89" s="483">
        <f t="shared" si="11"/>
        <v>36</v>
      </c>
      <c r="B89" s="493"/>
      <c r="C89" s="494"/>
      <c r="D89" s="494"/>
      <c r="E89" s="495"/>
      <c r="F89" s="495"/>
      <c r="G89" s="496"/>
      <c r="H89" s="496"/>
      <c r="I89" s="496"/>
      <c r="J89" s="496"/>
      <c r="K89" s="496"/>
      <c r="L89" s="488"/>
      <c r="M89" s="489"/>
      <c r="N89" s="489"/>
      <c r="O89" s="1303"/>
      <c r="P89" s="1304"/>
      <c r="Q89" s="1304"/>
      <c r="R89" s="1304"/>
      <c r="S89" s="1305"/>
      <c r="T89" s="497"/>
      <c r="U89" s="498"/>
      <c r="V89" s="499"/>
    </row>
    <row r="90" spans="1:22" ht="13.5" thickBot="1" x14ac:dyDescent="0.25">
      <c r="A90" s="483">
        <f t="shared" si="11"/>
        <v>37</v>
      </c>
      <c r="B90" s="506"/>
      <c r="C90" s="507"/>
      <c r="D90" s="507"/>
      <c r="E90" s="508"/>
      <c r="F90" s="508"/>
      <c r="G90" s="509"/>
      <c r="H90" s="509"/>
      <c r="I90" s="509"/>
      <c r="J90" s="509"/>
      <c r="K90" s="509"/>
      <c r="L90" s="510"/>
      <c r="M90" s="489"/>
      <c r="N90" s="489"/>
      <c r="O90" s="1310"/>
      <c r="P90" s="1311"/>
      <c r="Q90" s="1311"/>
      <c r="R90" s="1311"/>
      <c r="S90" s="1312"/>
      <c r="T90" s="511"/>
      <c r="U90" s="511"/>
      <c r="V90" s="512"/>
    </row>
    <row r="91" spans="1:22" ht="13.5" thickBot="1" x14ac:dyDescent="0.25">
      <c r="A91" s="513"/>
      <c r="B91" s="1315" t="s">
        <v>65</v>
      </c>
      <c r="C91" s="1316"/>
      <c r="D91" s="1317"/>
      <c r="E91" s="514">
        <f t="shared" ref="E91:K91" si="12">SUM(E54:E90)</f>
        <v>5870</v>
      </c>
      <c r="F91" s="514">
        <f t="shared" si="12"/>
        <v>4050</v>
      </c>
      <c r="G91" s="514">
        <f t="shared" si="12"/>
        <v>330</v>
      </c>
      <c r="H91" s="514">
        <f t="shared" si="12"/>
        <v>1490</v>
      </c>
      <c r="I91" s="514">
        <f t="shared" si="12"/>
        <v>0</v>
      </c>
      <c r="J91" s="514">
        <f t="shared" si="12"/>
        <v>0</v>
      </c>
      <c r="K91" s="514">
        <f t="shared" si="12"/>
        <v>0</v>
      </c>
      <c r="L91" s="515"/>
      <c r="M91" s="516"/>
      <c r="N91" s="516"/>
      <c r="O91" s="516"/>
      <c r="P91" s="516"/>
      <c r="Q91" s="516"/>
      <c r="R91" s="516"/>
      <c r="S91" s="517"/>
      <c r="T91" s="518">
        <f>SUM(T54:T90)</f>
        <v>4</v>
      </c>
      <c r="U91" s="518">
        <f>SUM(U54:U90)</f>
        <v>5</v>
      </c>
      <c r="V91" s="519">
        <f>SUM(V54:V90)</f>
        <v>2</v>
      </c>
    </row>
    <row r="92" spans="1:22" x14ac:dyDescent="0.2">
      <c r="A92" s="513"/>
      <c r="B92" s="520"/>
      <c r="C92" s="521"/>
      <c r="D92" s="522" t="str">
        <f>I170</f>
        <v>T11</v>
      </c>
      <c r="E92" s="552">
        <f t="shared" ref="E92:K92" si="13">SUMIF($L$54:$L$90,$D$92,E$54:E$90)</f>
        <v>2730</v>
      </c>
      <c r="F92" s="553">
        <f t="shared" si="13"/>
        <v>1730</v>
      </c>
      <c r="G92" s="553">
        <f t="shared" si="13"/>
        <v>0</v>
      </c>
      <c r="H92" s="553">
        <f t="shared" si="13"/>
        <v>1000</v>
      </c>
      <c r="I92" s="553">
        <f t="shared" si="13"/>
        <v>0</v>
      </c>
      <c r="J92" s="553">
        <f t="shared" si="13"/>
        <v>0</v>
      </c>
      <c r="K92" s="553">
        <f t="shared" si="13"/>
        <v>0</v>
      </c>
      <c r="L92" s="554"/>
      <c r="M92" s="525"/>
      <c r="N92" s="525"/>
      <c r="O92" s="526"/>
      <c r="P92" s="526"/>
      <c r="Q92" s="526"/>
      <c r="R92" s="526"/>
      <c r="S92" s="555"/>
      <c r="T92" s="556">
        <f>SUMIF($L$54:$L$90,$D$92,T$54:T$90)</f>
        <v>2</v>
      </c>
      <c r="U92" s="556">
        <f>SUMIF($L$54:$L$90,$D$92,U$54:U$90)</f>
        <v>2</v>
      </c>
      <c r="V92" s="557">
        <f>SUMIF($L$54:$L$90,$D$92,V$54:V$90)</f>
        <v>1</v>
      </c>
    </row>
    <row r="93" spans="1:22" x14ac:dyDescent="0.2">
      <c r="A93" s="513"/>
      <c r="B93" s="520"/>
      <c r="C93" s="521"/>
      <c r="D93" s="529" t="str">
        <f t="shared" ref="D93:D95" si="14">I171</f>
        <v>T09</v>
      </c>
      <c r="E93" s="558">
        <f t="shared" ref="E93:K93" si="15">SUMIF($L$54:$L$90,$D$93,E$54:E$90)</f>
        <v>3140</v>
      </c>
      <c r="F93" s="559">
        <f t="shared" si="15"/>
        <v>2320</v>
      </c>
      <c r="G93" s="559">
        <f t="shared" si="15"/>
        <v>330</v>
      </c>
      <c r="H93" s="559">
        <f t="shared" si="15"/>
        <v>490</v>
      </c>
      <c r="I93" s="559">
        <f t="shared" si="15"/>
        <v>0</v>
      </c>
      <c r="J93" s="559">
        <f t="shared" si="15"/>
        <v>0</v>
      </c>
      <c r="K93" s="559">
        <f t="shared" si="15"/>
        <v>0</v>
      </c>
      <c r="L93" s="560"/>
      <c r="M93" s="532"/>
      <c r="N93" s="532"/>
      <c r="O93" s="533"/>
      <c r="P93" s="533"/>
      <c r="Q93" s="533"/>
      <c r="R93" s="533"/>
      <c r="S93" s="561"/>
      <c r="T93" s="562">
        <f>SUMIF($L$54:$L$90,$D$93,T$54:T$90)</f>
        <v>2</v>
      </c>
      <c r="U93" s="562">
        <f>SUMIF($L$54:$L$90,$D$93,U$54:U$90)</f>
        <v>3</v>
      </c>
      <c r="V93" s="563">
        <f>SUMIF($L$54:$L$90,$D$93,V$54:V$90)</f>
        <v>1</v>
      </c>
    </row>
    <row r="94" spans="1:22" x14ac:dyDescent="0.2">
      <c r="A94" s="513"/>
      <c r="B94" s="520"/>
      <c r="C94" s="521"/>
      <c r="D94" s="529" t="str">
        <f t="shared" si="14"/>
        <v>T06</v>
      </c>
      <c r="E94" s="558">
        <f t="shared" ref="E94:K94" si="16">SUMIF($L$54:$L$90,$D$94,E$54:E$90)</f>
        <v>0</v>
      </c>
      <c r="F94" s="559">
        <f t="shared" si="16"/>
        <v>0</v>
      </c>
      <c r="G94" s="559">
        <f t="shared" si="16"/>
        <v>0</v>
      </c>
      <c r="H94" s="559">
        <f t="shared" si="16"/>
        <v>0</v>
      </c>
      <c r="I94" s="559">
        <f t="shared" si="16"/>
        <v>0</v>
      </c>
      <c r="J94" s="559">
        <f t="shared" si="16"/>
        <v>0</v>
      </c>
      <c r="K94" s="559">
        <f t="shared" si="16"/>
        <v>0</v>
      </c>
      <c r="L94" s="560"/>
      <c r="M94" s="532"/>
      <c r="N94" s="532"/>
      <c r="O94" s="533"/>
      <c r="P94" s="533"/>
      <c r="Q94" s="533"/>
      <c r="R94" s="533"/>
      <c r="S94" s="561"/>
      <c r="T94" s="562">
        <f>SUMIF($L$54:$L$90,$D$94,T$54:T$90)</f>
        <v>0</v>
      </c>
      <c r="U94" s="562">
        <f>SUMIF($L$54:$L$90,$D$94,U$54:U$90)</f>
        <v>0</v>
      </c>
      <c r="V94" s="563">
        <f>SUMIF($L$54:$L$90,$D$94,V$54:V$90)</f>
        <v>0</v>
      </c>
    </row>
    <row r="95" spans="1:22" ht="13.5" thickBot="1" x14ac:dyDescent="0.25">
      <c r="A95" s="513"/>
      <c r="B95" s="520"/>
      <c r="C95" s="521"/>
      <c r="D95" s="536">
        <f t="shared" si="14"/>
        <v>0</v>
      </c>
      <c r="E95" s="564">
        <f t="shared" ref="E95:K95" si="17">SUMIF($L$54:$L$90,$D$95,E$54:E$90)</f>
        <v>0</v>
      </c>
      <c r="F95" s="565">
        <f t="shared" si="17"/>
        <v>0</v>
      </c>
      <c r="G95" s="565">
        <f t="shared" si="17"/>
        <v>0</v>
      </c>
      <c r="H95" s="565">
        <f t="shared" si="17"/>
        <v>0</v>
      </c>
      <c r="I95" s="565">
        <f t="shared" si="17"/>
        <v>0</v>
      </c>
      <c r="J95" s="565">
        <f t="shared" si="17"/>
        <v>0</v>
      </c>
      <c r="K95" s="565">
        <f t="shared" si="17"/>
        <v>0</v>
      </c>
      <c r="L95" s="566"/>
      <c r="M95" s="539"/>
      <c r="N95" s="539"/>
      <c r="O95" s="540"/>
      <c r="P95" s="540"/>
      <c r="Q95" s="540"/>
      <c r="R95" s="540"/>
      <c r="S95" s="567"/>
      <c r="T95" s="568">
        <f>SUMIF($L$54:$L$90,$D$95,T$54:T$90)</f>
        <v>0</v>
      </c>
      <c r="U95" s="568">
        <f>SUMIF($L$54:$L$90,$D$95,U$54:U$90)</f>
        <v>0</v>
      </c>
      <c r="V95" s="569">
        <f>SUMIF($L$54:$L$90,$D$95,V$54:V$90)</f>
        <v>0</v>
      </c>
    </row>
    <row r="96" spans="1:22" ht="28.5" customHeight="1" x14ac:dyDescent="0.2">
      <c r="A96" s="468"/>
      <c r="B96" s="1318" t="str">
        <f>IF(E91&lt;&gt;SUM(F91:K91),"NEISPRAVAN UNOS, POSTOJI RAZLIKA","")</f>
        <v/>
      </c>
      <c r="C96" s="1318"/>
      <c r="D96" s="1318"/>
      <c r="E96" s="1318"/>
      <c r="F96" s="1318"/>
      <c r="G96" s="1318"/>
      <c r="H96" s="1318"/>
      <c r="I96" s="1318"/>
      <c r="J96" s="1318"/>
      <c r="K96" s="468"/>
      <c r="L96" s="468"/>
      <c r="M96" s="468"/>
      <c r="N96" s="468"/>
      <c r="O96" s="468"/>
      <c r="P96" s="468"/>
      <c r="Q96" s="468"/>
      <c r="R96" s="468"/>
      <c r="S96" s="468"/>
      <c r="T96" s="468"/>
      <c r="U96" s="468"/>
      <c r="V96" s="468"/>
    </row>
    <row r="97" spans="1:22" ht="12.75" customHeight="1" x14ac:dyDescent="0.2">
      <c r="A97" s="468"/>
      <c r="B97" s="543"/>
      <c r="C97" s="543"/>
      <c r="D97" s="543"/>
      <c r="E97" s="543"/>
      <c r="F97" s="543"/>
      <c r="G97" s="543"/>
      <c r="H97" s="543"/>
      <c r="I97" s="543"/>
      <c r="J97" s="543"/>
      <c r="K97" s="468"/>
      <c r="L97" s="468"/>
      <c r="M97" s="468"/>
      <c r="N97" s="468"/>
      <c r="O97" s="468"/>
      <c r="P97" s="468"/>
      <c r="Q97" s="468"/>
      <c r="R97" s="468"/>
      <c r="S97" s="468"/>
      <c r="T97" s="468"/>
      <c r="U97" s="468"/>
      <c r="V97" s="468"/>
    </row>
    <row r="98" spans="1:22" ht="12.75" customHeight="1" x14ac:dyDescent="0.2">
      <c r="A98" s="468"/>
      <c r="B98" s="543"/>
      <c r="C98" s="543"/>
      <c r="D98" s="543"/>
      <c r="E98" s="543"/>
      <c r="F98" s="543"/>
      <c r="G98" s="543"/>
      <c r="H98" s="543"/>
      <c r="I98" s="543"/>
      <c r="J98" s="543"/>
      <c r="K98" s="468"/>
      <c r="L98" s="468"/>
      <c r="M98" s="468"/>
      <c r="N98" s="468"/>
      <c r="O98" s="468"/>
      <c r="P98" s="468"/>
      <c r="Q98" s="468"/>
      <c r="R98" s="468"/>
      <c r="S98" s="468"/>
      <c r="T98" s="468"/>
      <c r="U98" s="468"/>
      <c r="V98" s="468"/>
    </row>
    <row r="99" spans="1:22" ht="13.5" customHeight="1" x14ac:dyDescent="0.2">
      <c r="A99" s="468"/>
      <c r="B99" s="543"/>
      <c r="C99" s="543"/>
      <c r="D99" s="543"/>
      <c r="E99" s="543"/>
      <c r="F99" s="543"/>
      <c r="G99" s="543"/>
      <c r="H99" s="543"/>
      <c r="I99" s="543"/>
      <c r="J99" s="543"/>
      <c r="K99" s="468"/>
      <c r="L99" s="468"/>
      <c r="M99" s="468"/>
      <c r="N99" s="468"/>
      <c r="O99" s="468"/>
      <c r="P99" s="468"/>
      <c r="Q99" s="468"/>
      <c r="R99" s="468"/>
      <c r="S99" s="468"/>
      <c r="T99" s="468"/>
      <c r="U99" s="468"/>
      <c r="V99" s="468"/>
    </row>
    <row r="100" spans="1:22" ht="13.5" customHeight="1" x14ac:dyDescent="0.2">
      <c r="A100" s="468"/>
      <c r="B100" s="1334" t="s">
        <v>209</v>
      </c>
      <c r="C100" s="1334"/>
      <c r="D100" s="468"/>
      <c r="E100" s="543"/>
      <c r="F100" s="468"/>
      <c r="G100" s="468"/>
      <c r="H100" s="543"/>
      <c r="I100" s="543"/>
      <c r="J100" s="543"/>
      <c r="K100" s="468"/>
      <c r="L100" s="468"/>
      <c r="M100" s="468"/>
      <c r="N100" s="468"/>
      <c r="O100" s="468"/>
      <c r="P100" s="468"/>
      <c r="Q100" s="468"/>
      <c r="R100" s="468"/>
      <c r="S100" s="468"/>
      <c r="T100" s="468"/>
      <c r="U100" s="468"/>
      <c r="V100" s="468"/>
    </row>
    <row r="101" spans="1:22" ht="13.5" customHeight="1" thickBot="1" x14ac:dyDescent="0.25">
      <c r="A101" s="468"/>
      <c r="B101" s="543"/>
      <c r="C101" s="543"/>
      <c r="D101" s="543"/>
      <c r="E101" s="543"/>
      <c r="F101" s="543"/>
      <c r="G101" s="543"/>
      <c r="H101" s="543"/>
      <c r="I101" s="543"/>
      <c r="J101" s="543"/>
      <c r="K101" s="468"/>
      <c r="L101" s="468"/>
      <c r="M101" s="468"/>
      <c r="N101" s="468"/>
      <c r="O101" s="468"/>
      <c r="P101" s="468"/>
      <c r="Q101" s="468"/>
      <c r="R101" s="468"/>
      <c r="S101" s="468"/>
      <c r="T101" s="468"/>
      <c r="U101" s="468"/>
      <c r="V101" s="468"/>
    </row>
    <row r="102" spans="1:22" ht="13.5" customHeight="1" thickBot="1" x14ac:dyDescent="0.25">
      <c r="A102" s="1313" t="s">
        <v>74</v>
      </c>
      <c r="B102" s="1321" t="s">
        <v>206</v>
      </c>
      <c r="C102" s="1274"/>
      <c r="D102" s="1322"/>
      <c r="E102" s="475">
        <f>J169</f>
        <v>1</v>
      </c>
      <c r="F102" s="476"/>
      <c r="G102" s="476"/>
      <c r="H102" s="476"/>
      <c r="I102" s="476"/>
      <c r="J102" s="476"/>
      <c r="K102" s="476"/>
      <c r="L102" s="476"/>
      <c r="M102" s="476"/>
      <c r="N102" s="476"/>
      <c r="O102" s="476"/>
      <c r="P102" s="476"/>
      <c r="Q102" s="476"/>
      <c r="R102" s="476"/>
      <c r="S102" s="476"/>
      <c r="T102" s="476"/>
      <c r="U102" s="476"/>
      <c r="V102" s="477"/>
    </row>
    <row r="103" spans="1:22" ht="23.25" customHeight="1" thickBot="1" x14ac:dyDescent="0.25">
      <c r="A103" s="1314"/>
      <c r="B103" s="478" t="str">
        <f>B53</f>
        <v>DATUM</v>
      </c>
      <c r="C103" s="478" t="str">
        <f>C53</f>
        <v>Broj računa FISKALNOG</v>
      </c>
      <c r="D103" s="478" t="str">
        <f>D53</f>
        <v>Broj ugovora</v>
      </c>
      <c r="E103" s="478" t="str">
        <f>E53</f>
        <v>PRODAJNA CIJENA</v>
      </c>
      <c r="F103" s="478" t="s">
        <v>147</v>
      </c>
      <c r="G103" s="478" t="s">
        <v>204</v>
      </c>
      <c r="H103" s="478" t="s">
        <v>205</v>
      </c>
      <c r="I103" s="478" t="s">
        <v>196</v>
      </c>
      <c r="J103" s="478" t="s">
        <v>81</v>
      </c>
      <c r="K103" s="478" t="str">
        <f>K53</f>
        <v>Vrsta Kartice</v>
      </c>
      <c r="L103" s="480" t="str">
        <f>L53</f>
        <v>Team</v>
      </c>
      <c r="M103" s="480" t="str">
        <f t="shared" ref="M103:N103" si="18">M53</f>
        <v>Vozač</v>
      </c>
      <c r="N103" s="480" t="str">
        <f t="shared" si="18"/>
        <v>Prodao</v>
      </c>
      <c r="O103" s="1340" t="s">
        <v>82</v>
      </c>
      <c r="P103" s="1341"/>
      <c r="Q103" s="1341"/>
      <c r="R103" s="1341"/>
      <c r="S103" s="1342"/>
      <c r="T103" s="481" t="str">
        <f>T53</f>
        <v>LMS</v>
      </c>
      <c r="U103" s="481" t="str">
        <f t="shared" ref="U103:V103" si="19">U53</f>
        <v>TO</v>
      </c>
      <c r="V103" s="481" t="str">
        <f t="shared" si="19"/>
        <v>IP</v>
      </c>
    </row>
    <row r="104" spans="1:22" ht="13.5" customHeight="1" x14ac:dyDescent="0.2">
      <c r="A104" s="483">
        <v>1</v>
      </c>
      <c r="B104" s="493">
        <v>44208</v>
      </c>
      <c r="C104" s="494" t="s">
        <v>86</v>
      </c>
      <c r="D104" s="494" t="s">
        <v>88</v>
      </c>
      <c r="E104" s="486">
        <v>1340</v>
      </c>
      <c r="F104" s="495">
        <v>680</v>
      </c>
      <c r="G104" s="487"/>
      <c r="H104" s="487">
        <v>660</v>
      </c>
      <c r="I104" s="487"/>
      <c r="J104" s="487"/>
      <c r="K104" s="487"/>
      <c r="L104" s="488" t="s">
        <v>154</v>
      </c>
      <c r="M104" s="489" t="s">
        <v>157</v>
      </c>
      <c r="N104" s="489" t="s">
        <v>158</v>
      </c>
      <c r="O104" s="1303" t="s">
        <v>166</v>
      </c>
      <c r="P104" s="1304"/>
      <c r="Q104" s="1304"/>
      <c r="R104" s="1304"/>
      <c r="S104" s="1305"/>
      <c r="T104" s="497">
        <v>1</v>
      </c>
      <c r="U104" s="498">
        <v>1</v>
      </c>
      <c r="V104" s="492"/>
    </row>
    <row r="105" spans="1:22" ht="13.5" customHeight="1" x14ac:dyDescent="0.2">
      <c r="A105" s="483">
        <f>A104+1</f>
        <v>2</v>
      </c>
      <c r="B105" s="493">
        <v>44208</v>
      </c>
      <c r="C105" s="494" t="s">
        <v>87</v>
      </c>
      <c r="D105" s="494" t="s">
        <v>89</v>
      </c>
      <c r="E105" s="495">
        <v>1490</v>
      </c>
      <c r="F105" s="495">
        <v>746</v>
      </c>
      <c r="G105" s="496"/>
      <c r="H105" s="496">
        <f>E105-F105</f>
        <v>744</v>
      </c>
      <c r="I105" s="496"/>
      <c r="J105" s="496"/>
      <c r="K105" s="496"/>
      <c r="L105" s="488" t="s">
        <v>154</v>
      </c>
      <c r="M105" s="489" t="s">
        <v>157</v>
      </c>
      <c r="N105" s="489" t="s">
        <v>158</v>
      </c>
      <c r="O105" s="1303" t="s">
        <v>276</v>
      </c>
      <c r="P105" s="1304"/>
      <c r="Q105" s="1304"/>
      <c r="R105" s="1304"/>
      <c r="S105" s="1305"/>
      <c r="T105" s="497">
        <v>1</v>
      </c>
      <c r="U105" s="498">
        <v>1</v>
      </c>
      <c r="V105" s="499">
        <v>1</v>
      </c>
    </row>
    <row r="106" spans="1:22" ht="13.5" customHeight="1" x14ac:dyDescent="0.2">
      <c r="A106" s="483">
        <f t="shared" ref="A106:A119" si="20">A105+1</f>
        <v>3</v>
      </c>
      <c r="B106" s="493">
        <v>44209</v>
      </c>
      <c r="C106" s="494" t="s">
        <v>90</v>
      </c>
      <c r="D106" s="494" t="s">
        <v>91</v>
      </c>
      <c r="E106" s="495">
        <v>530</v>
      </c>
      <c r="F106" s="495"/>
      <c r="G106" s="500">
        <v>266</v>
      </c>
      <c r="H106" s="500">
        <v>264</v>
      </c>
      <c r="I106" s="500"/>
      <c r="J106" s="500"/>
      <c r="K106" s="501" t="s">
        <v>246</v>
      </c>
      <c r="L106" s="488" t="s">
        <v>155</v>
      </c>
      <c r="M106" s="489" t="s">
        <v>156</v>
      </c>
      <c r="N106" s="489" t="s">
        <v>159</v>
      </c>
      <c r="O106" s="1303" t="s">
        <v>277</v>
      </c>
      <c r="P106" s="1304"/>
      <c r="Q106" s="1304"/>
      <c r="R106" s="1304"/>
      <c r="S106" s="1305"/>
      <c r="T106" s="497"/>
      <c r="U106" s="498">
        <v>1</v>
      </c>
      <c r="V106" s="499"/>
    </row>
    <row r="107" spans="1:22" ht="13.5" customHeight="1" x14ac:dyDescent="0.2">
      <c r="A107" s="483">
        <f t="shared" si="20"/>
        <v>4</v>
      </c>
      <c r="B107" s="502">
        <v>44209</v>
      </c>
      <c r="C107" s="494"/>
      <c r="D107" s="548"/>
      <c r="E107" s="503"/>
      <c r="F107" s="495"/>
      <c r="G107" s="500"/>
      <c r="H107" s="500"/>
      <c r="I107" s="500"/>
      <c r="J107" s="500"/>
      <c r="K107" s="504"/>
      <c r="L107" s="488"/>
      <c r="M107" s="489"/>
      <c r="N107" s="489"/>
      <c r="O107" s="1303"/>
      <c r="P107" s="1304"/>
      <c r="Q107" s="1304"/>
      <c r="R107" s="1304"/>
      <c r="S107" s="1305"/>
      <c r="T107" s="497"/>
      <c r="U107" s="498"/>
      <c r="V107" s="499"/>
    </row>
    <row r="108" spans="1:22" ht="13.5" customHeight="1" x14ac:dyDescent="0.2">
      <c r="A108" s="483">
        <f t="shared" si="20"/>
        <v>5</v>
      </c>
      <c r="B108" s="493">
        <v>44209</v>
      </c>
      <c r="C108" s="494"/>
      <c r="D108" s="494"/>
      <c r="E108" s="495"/>
      <c r="F108" s="495"/>
      <c r="G108" s="496"/>
      <c r="H108" s="496"/>
      <c r="I108" s="496"/>
      <c r="J108" s="496"/>
      <c r="K108" s="496"/>
      <c r="L108" s="497"/>
      <c r="M108" s="489"/>
      <c r="N108" s="489"/>
      <c r="O108" s="1303"/>
      <c r="P108" s="1304"/>
      <c r="Q108" s="1304"/>
      <c r="R108" s="1304"/>
      <c r="S108" s="1305"/>
      <c r="T108" s="497"/>
      <c r="U108" s="498"/>
      <c r="V108" s="499"/>
    </row>
    <row r="109" spans="1:22" ht="13.5" customHeight="1" x14ac:dyDescent="0.2">
      <c r="A109" s="483">
        <f t="shared" si="20"/>
        <v>6</v>
      </c>
      <c r="B109" s="493">
        <v>44210</v>
      </c>
      <c r="C109" s="494"/>
      <c r="D109" s="494"/>
      <c r="E109" s="495"/>
      <c r="F109" s="495"/>
      <c r="G109" s="496"/>
      <c r="H109" s="496"/>
      <c r="I109" s="496"/>
      <c r="J109" s="496"/>
      <c r="K109" s="496"/>
      <c r="L109" s="488"/>
      <c r="M109" s="489"/>
      <c r="N109" s="489"/>
      <c r="O109" s="1303"/>
      <c r="P109" s="1304"/>
      <c r="Q109" s="1304"/>
      <c r="R109" s="1304"/>
      <c r="S109" s="1305"/>
      <c r="T109" s="497"/>
      <c r="U109" s="498"/>
      <c r="V109" s="499"/>
    </row>
    <row r="110" spans="1:22" ht="13.5" customHeight="1" x14ac:dyDescent="0.2">
      <c r="A110" s="483">
        <f t="shared" si="20"/>
        <v>7</v>
      </c>
      <c r="B110" s="493">
        <v>44210</v>
      </c>
      <c r="C110" s="494"/>
      <c r="D110" s="494"/>
      <c r="E110" s="495"/>
      <c r="F110" s="495"/>
      <c r="G110" s="496"/>
      <c r="H110" s="496"/>
      <c r="I110" s="496"/>
      <c r="J110" s="496"/>
      <c r="K110" s="496"/>
      <c r="L110" s="488"/>
      <c r="M110" s="489"/>
      <c r="N110" s="489"/>
      <c r="O110" s="1303"/>
      <c r="P110" s="1304"/>
      <c r="Q110" s="1304"/>
      <c r="R110" s="1304"/>
      <c r="S110" s="1305"/>
      <c r="T110" s="497"/>
      <c r="U110" s="498"/>
      <c r="V110" s="499"/>
    </row>
    <row r="111" spans="1:22" ht="13.5" customHeight="1" x14ac:dyDescent="0.2">
      <c r="A111" s="483">
        <f t="shared" si="20"/>
        <v>8</v>
      </c>
      <c r="B111" s="493">
        <v>44210</v>
      </c>
      <c r="C111" s="494"/>
      <c r="D111" s="494"/>
      <c r="E111" s="495"/>
      <c r="F111" s="495"/>
      <c r="G111" s="496"/>
      <c r="H111" s="496"/>
      <c r="I111" s="496"/>
      <c r="J111" s="496"/>
      <c r="K111" s="496"/>
      <c r="L111" s="488"/>
      <c r="M111" s="489"/>
      <c r="N111" s="489"/>
      <c r="O111" s="1303"/>
      <c r="P111" s="1304"/>
      <c r="Q111" s="1304"/>
      <c r="R111" s="1304"/>
      <c r="S111" s="1305"/>
      <c r="T111" s="497"/>
      <c r="U111" s="498"/>
      <c r="V111" s="499"/>
    </row>
    <row r="112" spans="1:22" ht="13.5" customHeight="1" x14ac:dyDescent="0.2">
      <c r="A112" s="483">
        <f t="shared" si="20"/>
        <v>9</v>
      </c>
      <c r="B112" s="493">
        <v>44210</v>
      </c>
      <c r="C112" s="494"/>
      <c r="D112" s="494"/>
      <c r="E112" s="495"/>
      <c r="F112" s="495"/>
      <c r="G112" s="496"/>
      <c r="H112" s="496"/>
      <c r="I112" s="496"/>
      <c r="J112" s="496"/>
      <c r="K112" s="496"/>
      <c r="L112" s="488"/>
      <c r="M112" s="489"/>
      <c r="N112" s="489"/>
      <c r="O112" s="1303"/>
      <c r="P112" s="1304"/>
      <c r="Q112" s="1304"/>
      <c r="R112" s="1304"/>
      <c r="S112" s="1305"/>
      <c r="T112" s="497"/>
      <c r="U112" s="498"/>
      <c r="V112" s="499"/>
    </row>
    <row r="113" spans="1:22" ht="13.5" customHeight="1" x14ac:dyDescent="0.2">
      <c r="A113" s="483">
        <f t="shared" si="20"/>
        <v>10</v>
      </c>
      <c r="B113" s="493">
        <v>44210</v>
      </c>
      <c r="C113" s="494"/>
      <c r="D113" s="494"/>
      <c r="E113" s="495"/>
      <c r="F113" s="495"/>
      <c r="G113" s="496"/>
      <c r="H113" s="496"/>
      <c r="I113" s="496"/>
      <c r="J113" s="496"/>
      <c r="K113" s="496"/>
      <c r="L113" s="488"/>
      <c r="M113" s="489"/>
      <c r="N113" s="489"/>
      <c r="O113" s="1303"/>
      <c r="P113" s="1304"/>
      <c r="Q113" s="1304"/>
      <c r="R113" s="1304"/>
      <c r="S113" s="1305"/>
      <c r="T113" s="497"/>
      <c r="U113" s="498"/>
      <c r="V113" s="499"/>
    </row>
    <row r="114" spans="1:22" ht="13.5" customHeight="1" x14ac:dyDescent="0.2">
      <c r="A114" s="483">
        <f t="shared" si="20"/>
        <v>11</v>
      </c>
      <c r="B114" s="493">
        <v>44211</v>
      </c>
      <c r="C114" s="494"/>
      <c r="D114" s="494"/>
      <c r="E114" s="495"/>
      <c r="F114" s="495"/>
      <c r="G114" s="496"/>
      <c r="H114" s="496"/>
      <c r="I114" s="496"/>
      <c r="J114" s="496"/>
      <c r="K114" s="496"/>
      <c r="L114" s="497"/>
      <c r="M114" s="489"/>
      <c r="N114" s="489"/>
      <c r="O114" s="1303"/>
      <c r="P114" s="1304"/>
      <c r="Q114" s="1304"/>
      <c r="R114" s="1304"/>
      <c r="S114" s="1305"/>
      <c r="T114" s="497"/>
      <c r="U114" s="498"/>
      <c r="V114" s="499"/>
    </row>
    <row r="115" spans="1:22" ht="13.5" customHeight="1" x14ac:dyDescent="0.2">
      <c r="A115" s="483">
        <f t="shared" si="20"/>
        <v>12</v>
      </c>
      <c r="B115" s="549">
        <v>44212</v>
      </c>
      <c r="C115" s="485"/>
      <c r="D115" s="485"/>
      <c r="E115" s="486"/>
      <c r="F115" s="486"/>
      <c r="G115" s="487"/>
      <c r="H115" s="487"/>
      <c r="I115" s="487"/>
      <c r="J115" s="487"/>
      <c r="K115" s="487"/>
      <c r="L115" s="488"/>
      <c r="M115" s="489"/>
      <c r="N115" s="489"/>
      <c r="O115" s="1343"/>
      <c r="P115" s="1344"/>
      <c r="Q115" s="1344"/>
      <c r="R115" s="1344"/>
      <c r="S115" s="1345"/>
      <c r="T115" s="490"/>
      <c r="U115" s="491"/>
      <c r="V115" s="499"/>
    </row>
    <row r="116" spans="1:22" ht="13.5" customHeight="1" x14ac:dyDescent="0.2">
      <c r="A116" s="483">
        <f t="shared" si="20"/>
        <v>13</v>
      </c>
      <c r="B116" s="550"/>
      <c r="C116" s="494"/>
      <c r="D116" s="494"/>
      <c r="E116" s="495"/>
      <c r="F116" s="495"/>
      <c r="G116" s="496"/>
      <c r="H116" s="496"/>
      <c r="I116" s="496"/>
      <c r="J116" s="496"/>
      <c r="K116" s="496"/>
      <c r="L116" s="488"/>
      <c r="M116" s="489"/>
      <c r="N116" s="489"/>
      <c r="O116" s="1303"/>
      <c r="P116" s="1304"/>
      <c r="Q116" s="1304"/>
      <c r="R116" s="1304"/>
      <c r="S116" s="1305"/>
      <c r="T116" s="497"/>
      <c r="U116" s="498"/>
      <c r="V116" s="499"/>
    </row>
    <row r="117" spans="1:22" ht="13.5" customHeight="1" x14ac:dyDescent="0.2">
      <c r="A117" s="483">
        <f t="shared" si="20"/>
        <v>14</v>
      </c>
      <c r="B117" s="550"/>
      <c r="C117" s="494"/>
      <c r="D117" s="548"/>
      <c r="E117" s="503"/>
      <c r="F117" s="495"/>
      <c r="G117" s="500"/>
      <c r="H117" s="500"/>
      <c r="I117" s="500"/>
      <c r="J117" s="500"/>
      <c r="K117" s="504"/>
      <c r="L117" s="488"/>
      <c r="M117" s="489"/>
      <c r="N117" s="489"/>
      <c r="O117" s="1303"/>
      <c r="P117" s="1304"/>
      <c r="Q117" s="1304"/>
      <c r="R117" s="1304"/>
      <c r="S117" s="1305"/>
      <c r="T117" s="497"/>
      <c r="U117" s="498"/>
      <c r="V117" s="499"/>
    </row>
    <row r="118" spans="1:22" ht="13.5" customHeight="1" x14ac:dyDescent="0.2">
      <c r="A118" s="483">
        <f t="shared" si="20"/>
        <v>15</v>
      </c>
      <c r="B118" s="493"/>
      <c r="C118" s="494"/>
      <c r="D118" s="494"/>
      <c r="E118" s="495"/>
      <c r="F118" s="495"/>
      <c r="G118" s="496"/>
      <c r="H118" s="496"/>
      <c r="I118" s="496"/>
      <c r="J118" s="496"/>
      <c r="K118" s="496"/>
      <c r="L118" s="488"/>
      <c r="M118" s="489"/>
      <c r="N118" s="489"/>
      <c r="O118" s="1303"/>
      <c r="P118" s="1304"/>
      <c r="Q118" s="1304"/>
      <c r="R118" s="1304"/>
      <c r="S118" s="1305"/>
      <c r="T118" s="497"/>
      <c r="U118" s="498"/>
      <c r="V118" s="499"/>
    </row>
    <row r="119" spans="1:22" ht="13.5" customHeight="1" thickBot="1" x14ac:dyDescent="0.25">
      <c r="A119" s="483">
        <f t="shared" si="20"/>
        <v>16</v>
      </c>
      <c r="B119" s="506"/>
      <c r="C119" s="507"/>
      <c r="D119" s="507"/>
      <c r="E119" s="508"/>
      <c r="F119" s="508"/>
      <c r="G119" s="509"/>
      <c r="H119" s="509"/>
      <c r="I119" s="509"/>
      <c r="J119" s="509"/>
      <c r="K119" s="509"/>
      <c r="L119" s="510"/>
      <c r="M119" s="489"/>
      <c r="N119" s="489"/>
      <c r="O119" s="1310"/>
      <c r="P119" s="1311"/>
      <c r="Q119" s="1311"/>
      <c r="R119" s="1311"/>
      <c r="S119" s="1312"/>
      <c r="T119" s="511"/>
      <c r="U119" s="511"/>
      <c r="V119" s="512"/>
    </row>
    <row r="120" spans="1:22" ht="13.5" customHeight="1" thickBot="1" x14ac:dyDescent="0.25">
      <c r="A120" s="513"/>
      <c r="B120" s="1315" t="s">
        <v>65</v>
      </c>
      <c r="C120" s="1316"/>
      <c r="D120" s="1317"/>
      <c r="E120" s="514">
        <f t="shared" ref="E120:K120" si="21">SUM(E104:E119)</f>
        <v>3360</v>
      </c>
      <c r="F120" s="514">
        <f t="shared" si="21"/>
        <v>1426</v>
      </c>
      <c r="G120" s="514">
        <f t="shared" si="21"/>
        <v>266</v>
      </c>
      <c r="H120" s="514">
        <f t="shared" si="21"/>
        <v>1668</v>
      </c>
      <c r="I120" s="514">
        <f t="shared" si="21"/>
        <v>0</v>
      </c>
      <c r="J120" s="514">
        <f t="shared" si="21"/>
        <v>0</v>
      </c>
      <c r="K120" s="514">
        <f t="shared" si="21"/>
        <v>0</v>
      </c>
      <c r="L120" s="515"/>
      <c r="M120" s="516"/>
      <c r="N120" s="516"/>
      <c r="O120" s="516"/>
      <c r="P120" s="516"/>
      <c r="Q120" s="516"/>
      <c r="R120" s="516"/>
      <c r="S120" s="517"/>
      <c r="T120" s="518">
        <f>SUM(T104:T119)</f>
        <v>2</v>
      </c>
      <c r="U120" s="518">
        <f>SUM(U104:U119)</f>
        <v>3</v>
      </c>
      <c r="V120" s="519">
        <f>SUM(V104:V119)</f>
        <v>1</v>
      </c>
    </row>
    <row r="121" spans="1:22" ht="13.5" customHeight="1" x14ac:dyDescent="0.2">
      <c r="A121" s="513"/>
      <c r="B121" s="520"/>
      <c r="C121" s="521"/>
      <c r="D121" s="570" t="str">
        <f>I170</f>
        <v>T11</v>
      </c>
      <c r="E121" s="523">
        <f>SUMIF($L$104:$L$119,$D$121,E$104:E$119)</f>
        <v>2830</v>
      </c>
      <c r="F121" s="523">
        <f t="shared" ref="F121:K121" si="22">SUMIF($L$104:$L$119,$D$92,F$104:F$119)</f>
        <v>1426</v>
      </c>
      <c r="G121" s="523">
        <f t="shared" si="22"/>
        <v>0</v>
      </c>
      <c r="H121" s="523">
        <f t="shared" si="22"/>
        <v>1404</v>
      </c>
      <c r="I121" s="523">
        <f t="shared" si="22"/>
        <v>0</v>
      </c>
      <c r="J121" s="523">
        <f t="shared" si="22"/>
        <v>0</v>
      </c>
      <c r="K121" s="523">
        <f t="shared" si="22"/>
        <v>0</v>
      </c>
      <c r="L121" s="524"/>
      <c r="M121" s="525"/>
      <c r="N121" s="525"/>
      <c r="O121" s="526"/>
      <c r="P121" s="526"/>
      <c r="Q121" s="526"/>
      <c r="R121" s="526"/>
      <c r="S121" s="526"/>
      <c r="T121" s="527">
        <f>SUMIF($L$54:$L$90,$D$92,T$54:T$90)</f>
        <v>2</v>
      </c>
      <c r="U121" s="527">
        <f>SUMIF($L$54:$L$90,$D$92,U$54:U$90)</f>
        <v>2</v>
      </c>
      <c r="V121" s="528">
        <f>SUMIF($L$54:$L$90,$D$92,V$54:V$90)</f>
        <v>1</v>
      </c>
    </row>
    <row r="122" spans="1:22" ht="13.5" customHeight="1" x14ac:dyDescent="0.2">
      <c r="A122" s="513"/>
      <c r="B122" s="520"/>
      <c r="C122" s="521"/>
      <c r="D122" s="571" t="str">
        <f t="shared" ref="D122:D124" si="23">I171</f>
        <v>T09</v>
      </c>
      <c r="E122" s="530">
        <f>SUMIF($L$104:$L$119,$D$122,E$104:E$119)</f>
        <v>530</v>
      </c>
      <c r="F122" s="530">
        <f t="shared" ref="F122:K122" si="24">SUMIF($L$104:$L$119,$D$93,F$104:F$119)</f>
        <v>0</v>
      </c>
      <c r="G122" s="530">
        <f t="shared" si="24"/>
        <v>266</v>
      </c>
      <c r="H122" s="530">
        <f t="shared" si="24"/>
        <v>264</v>
      </c>
      <c r="I122" s="530">
        <f t="shared" si="24"/>
        <v>0</v>
      </c>
      <c r="J122" s="530">
        <f t="shared" si="24"/>
        <v>0</v>
      </c>
      <c r="K122" s="530">
        <f t="shared" si="24"/>
        <v>0</v>
      </c>
      <c r="L122" s="531"/>
      <c r="M122" s="532"/>
      <c r="N122" s="532"/>
      <c r="O122" s="533"/>
      <c r="P122" s="533"/>
      <c r="Q122" s="533"/>
      <c r="R122" s="533"/>
      <c r="S122" s="533"/>
      <c r="T122" s="534">
        <f>SUMIF($L$54:$L$90,$D$93,T$54:T$90)</f>
        <v>2</v>
      </c>
      <c r="U122" s="534">
        <f>SUMIF($L$54:$L$90,$D$93,U$54:U$90)</f>
        <v>3</v>
      </c>
      <c r="V122" s="535">
        <f>SUMIF($L$54:$L$90,$D$93,V$54:V$90)</f>
        <v>1</v>
      </c>
    </row>
    <row r="123" spans="1:22" ht="13.5" customHeight="1" x14ac:dyDescent="0.2">
      <c r="A123" s="513"/>
      <c r="B123" s="520"/>
      <c r="C123" s="521"/>
      <c r="D123" s="571" t="str">
        <f t="shared" si="23"/>
        <v>T06</v>
      </c>
      <c r="E123" s="530">
        <f>SUMIF($L$104:$L$119,$D$123,E$104:E$119)</f>
        <v>0</v>
      </c>
      <c r="F123" s="530">
        <f t="shared" ref="F123:K123" si="25">SUMIF($L$104:$L$119,$D$94,F$104:F$119)</f>
        <v>0</v>
      </c>
      <c r="G123" s="530">
        <f t="shared" si="25"/>
        <v>0</v>
      </c>
      <c r="H123" s="530">
        <f t="shared" si="25"/>
        <v>0</v>
      </c>
      <c r="I123" s="530">
        <f t="shared" si="25"/>
        <v>0</v>
      </c>
      <c r="J123" s="530">
        <f t="shared" si="25"/>
        <v>0</v>
      </c>
      <c r="K123" s="530">
        <f t="shared" si="25"/>
        <v>0</v>
      </c>
      <c r="L123" s="531"/>
      <c r="M123" s="532"/>
      <c r="N123" s="532"/>
      <c r="O123" s="533"/>
      <c r="P123" s="533"/>
      <c r="Q123" s="533"/>
      <c r="R123" s="533"/>
      <c r="S123" s="533"/>
      <c r="T123" s="534">
        <f>SUMIF($L$54:$L$90,$D$94,T$54:T$90)</f>
        <v>0</v>
      </c>
      <c r="U123" s="534">
        <f>SUMIF($L$54:$L$90,$D$94,U$54:U$90)</f>
        <v>0</v>
      </c>
      <c r="V123" s="535">
        <f>SUMIF($L$54:$L$90,$D$94,V$54:V$90)</f>
        <v>0</v>
      </c>
    </row>
    <row r="124" spans="1:22" ht="13.5" customHeight="1" thickBot="1" x14ac:dyDescent="0.25">
      <c r="A124" s="513"/>
      <c r="B124" s="520"/>
      <c r="C124" s="521"/>
      <c r="D124" s="572">
        <f t="shared" si="23"/>
        <v>0</v>
      </c>
      <c r="E124" s="537">
        <f>SUMIF($L$104:$L$119,$D$124,E$104:E$119)</f>
        <v>0</v>
      </c>
      <c r="F124" s="537">
        <f t="shared" ref="F124:K124" si="26">SUMIF($L$104:$L$119,$D$95,F$104:F$119)</f>
        <v>0</v>
      </c>
      <c r="G124" s="537">
        <f t="shared" si="26"/>
        <v>0</v>
      </c>
      <c r="H124" s="537">
        <f t="shared" si="26"/>
        <v>0</v>
      </c>
      <c r="I124" s="537">
        <f t="shared" si="26"/>
        <v>0</v>
      </c>
      <c r="J124" s="537">
        <f t="shared" si="26"/>
        <v>0</v>
      </c>
      <c r="K124" s="537">
        <f t="shared" si="26"/>
        <v>0</v>
      </c>
      <c r="L124" s="538"/>
      <c r="M124" s="539"/>
      <c r="N124" s="539"/>
      <c r="O124" s="540"/>
      <c r="P124" s="540"/>
      <c r="Q124" s="540"/>
      <c r="R124" s="540"/>
      <c r="S124" s="540"/>
      <c r="T124" s="541">
        <f>SUMIF($L$54:$L$90,$D$95,T$54:T$90)</f>
        <v>0</v>
      </c>
      <c r="U124" s="541">
        <f>SUMIF($L$54:$L$90,$D$95,U$54:U$90)</f>
        <v>0</v>
      </c>
      <c r="V124" s="542">
        <f>SUMIF($L$54:$L$90,$D$95,V$54:V$90)</f>
        <v>0</v>
      </c>
    </row>
    <row r="125" spans="1:22" ht="13.5" customHeight="1" x14ac:dyDescent="0.2">
      <c r="A125" s="468"/>
      <c r="B125" s="543"/>
      <c r="C125" s="543"/>
      <c r="D125" s="543"/>
      <c r="E125" s="543"/>
      <c r="F125" s="543"/>
      <c r="G125" s="543"/>
      <c r="H125" s="543"/>
      <c r="I125" s="543"/>
      <c r="J125" s="543"/>
      <c r="K125" s="468"/>
      <c r="L125" s="468"/>
      <c r="M125" s="468"/>
      <c r="N125" s="468"/>
      <c r="O125" s="468"/>
      <c r="P125" s="468"/>
      <c r="Q125" s="468"/>
      <c r="R125" s="468"/>
      <c r="S125" s="468"/>
      <c r="T125" s="468"/>
      <c r="U125" s="468"/>
      <c r="V125" s="468"/>
    </row>
    <row r="126" spans="1:22" ht="13.5" customHeight="1" thickBot="1" x14ac:dyDescent="0.25">
      <c r="A126" s="468"/>
      <c r="B126" s="543"/>
      <c r="C126" s="543"/>
      <c r="D126" s="543"/>
      <c r="E126" s="543"/>
      <c r="F126" s="543"/>
      <c r="G126" s="543"/>
      <c r="H126" s="543"/>
      <c r="I126" s="543"/>
      <c r="J126" s="543"/>
      <c r="K126" s="468"/>
      <c r="L126" s="468"/>
      <c r="M126" s="468"/>
      <c r="N126" s="468"/>
      <c r="O126" s="468"/>
      <c r="P126" s="468"/>
      <c r="Q126" s="468"/>
      <c r="R126" s="468"/>
      <c r="S126" s="468"/>
      <c r="T126" s="468"/>
      <c r="U126" s="468"/>
      <c r="V126" s="468"/>
    </row>
    <row r="127" spans="1:22" ht="13.5" customHeight="1" thickBot="1" x14ac:dyDescent="0.25">
      <c r="A127" s="1313" t="s">
        <v>74</v>
      </c>
      <c r="B127" s="1321" t="s">
        <v>78</v>
      </c>
      <c r="C127" s="1274"/>
      <c r="D127" s="1322"/>
      <c r="E127" s="475">
        <f>J172</f>
        <v>2</v>
      </c>
      <c r="F127" s="476"/>
      <c r="G127" s="476"/>
      <c r="H127" s="476"/>
      <c r="I127" s="476"/>
      <c r="J127" s="476"/>
      <c r="K127" s="476"/>
      <c r="L127" s="476"/>
      <c r="M127" s="476"/>
      <c r="N127" s="476"/>
      <c r="O127" s="476"/>
      <c r="P127" s="476"/>
      <c r="Q127" s="476"/>
      <c r="R127" s="476"/>
      <c r="S127" s="476"/>
      <c r="T127" s="476"/>
      <c r="U127" s="476"/>
      <c r="V127" s="477"/>
    </row>
    <row r="128" spans="1:22" ht="27" customHeight="1" thickBot="1" x14ac:dyDescent="0.25">
      <c r="A128" s="1314"/>
      <c r="B128" s="478" t="str">
        <f>B103</f>
        <v>DATUM</v>
      </c>
      <c r="C128" s="478" t="str">
        <f t="shared" ref="C128:K128" si="27">C103</f>
        <v>Broj računa FISKALNOG</v>
      </c>
      <c r="D128" s="478" t="str">
        <f t="shared" si="27"/>
        <v>Broj ugovora</v>
      </c>
      <c r="E128" s="478" t="str">
        <f t="shared" si="27"/>
        <v>PRODAJNA CIJENA</v>
      </c>
      <c r="F128" s="478" t="str">
        <f t="shared" si="27"/>
        <v>GOTOVINA</v>
      </c>
      <c r="G128" s="478" t="str">
        <f>G103</f>
        <v>POS OTP</v>
      </c>
      <c r="H128" s="478" t="str">
        <f t="shared" si="27"/>
        <v>Žiralno na rate</v>
      </c>
      <c r="I128" s="478" t="str">
        <f t="shared" si="27"/>
        <v>Žiralno</v>
      </c>
      <c r="J128" s="478" t="str">
        <f t="shared" si="27"/>
        <v>OSTALO</v>
      </c>
      <c r="K128" s="478" t="str">
        <f t="shared" si="27"/>
        <v>Vrsta Kartice</v>
      </c>
      <c r="L128" s="480" t="s">
        <v>80</v>
      </c>
      <c r="M128" s="480" t="s">
        <v>79</v>
      </c>
      <c r="N128" s="480" t="s">
        <v>98</v>
      </c>
      <c r="O128" s="1340" t="s">
        <v>82</v>
      </c>
      <c r="P128" s="1341"/>
      <c r="Q128" s="1341"/>
      <c r="R128" s="1341"/>
      <c r="S128" s="1342"/>
      <c r="T128" s="481" t="str">
        <f>T103</f>
        <v>LMS</v>
      </c>
      <c r="U128" s="481" t="str">
        <f t="shared" ref="U128:V128" si="28">U103</f>
        <v>TO</v>
      </c>
      <c r="V128" s="481" t="str">
        <f t="shared" si="28"/>
        <v>IP</v>
      </c>
    </row>
    <row r="129" spans="1:22" ht="13.5" customHeight="1" x14ac:dyDescent="0.2">
      <c r="A129" s="483">
        <v>1</v>
      </c>
      <c r="B129" s="493">
        <v>44213</v>
      </c>
      <c r="C129" s="494" t="s">
        <v>92</v>
      </c>
      <c r="D129" s="494" t="s">
        <v>88</v>
      </c>
      <c r="E129" s="486">
        <v>1100</v>
      </c>
      <c r="F129" s="495">
        <v>560</v>
      </c>
      <c r="G129" s="487"/>
      <c r="H129" s="487">
        <v>540</v>
      </c>
      <c r="I129" s="487"/>
      <c r="J129" s="487"/>
      <c r="K129" s="487"/>
      <c r="L129" s="488" t="s">
        <v>154</v>
      </c>
      <c r="M129" s="489" t="s">
        <v>157</v>
      </c>
      <c r="N129" s="489" t="s">
        <v>158</v>
      </c>
      <c r="O129" s="1303" t="s">
        <v>278</v>
      </c>
      <c r="P129" s="1304"/>
      <c r="Q129" s="1304"/>
      <c r="R129" s="1304"/>
      <c r="S129" s="1305"/>
      <c r="T129" s="497">
        <v>1</v>
      </c>
      <c r="U129" s="498"/>
      <c r="V129" s="492"/>
    </row>
    <row r="130" spans="1:22" ht="13.5" customHeight="1" x14ac:dyDescent="0.2">
      <c r="A130" s="483">
        <f>A129+1</f>
        <v>2</v>
      </c>
      <c r="B130" s="493">
        <v>44214</v>
      </c>
      <c r="C130" s="494" t="s">
        <v>274</v>
      </c>
      <c r="D130" s="494" t="s">
        <v>89</v>
      </c>
      <c r="E130" s="495">
        <v>1240</v>
      </c>
      <c r="F130" s="495"/>
      <c r="G130" s="496">
        <v>640</v>
      </c>
      <c r="H130" s="496">
        <v>600</v>
      </c>
      <c r="I130" s="496"/>
      <c r="J130" s="496"/>
      <c r="K130" s="496" t="s">
        <v>247</v>
      </c>
      <c r="L130" s="488" t="s">
        <v>154</v>
      </c>
      <c r="M130" s="489" t="s">
        <v>157</v>
      </c>
      <c r="N130" s="489" t="s">
        <v>158</v>
      </c>
      <c r="O130" s="1303" t="s">
        <v>275</v>
      </c>
      <c r="P130" s="1304"/>
      <c r="Q130" s="1304"/>
      <c r="R130" s="1304"/>
      <c r="S130" s="1305"/>
      <c r="T130" s="497">
        <v>1</v>
      </c>
      <c r="U130" s="498"/>
      <c r="V130" s="499">
        <v>1</v>
      </c>
    </row>
    <row r="131" spans="1:22" ht="13.5" customHeight="1" x14ac:dyDescent="0.2">
      <c r="A131" s="483">
        <f t="shared" ref="A131:A142" si="29">A130+1</f>
        <v>3</v>
      </c>
      <c r="B131" s="493"/>
      <c r="C131" s="494"/>
      <c r="D131" s="494"/>
      <c r="E131" s="495"/>
      <c r="F131" s="495"/>
      <c r="G131" s="500"/>
      <c r="H131" s="500"/>
      <c r="I131" s="500"/>
      <c r="J131" s="500"/>
      <c r="K131" s="504"/>
      <c r="L131" s="488"/>
      <c r="M131" s="489"/>
      <c r="N131" s="489"/>
      <c r="O131" s="1303"/>
      <c r="P131" s="1304"/>
      <c r="Q131" s="1304"/>
      <c r="R131" s="1304"/>
      <c r="S131" s="1305"/>
      <c r="T131" s="497"/>
      <c r="U131" s="498"/>
      <c r="V131" s="499"/>
    </row>
    <row r="132" spans="1:22" ht="13.5" customHeight="1" x14ac:dyDescent="0.2">
      <c r="A132" s="483">
        <f t="shared" si="29"/>
        <v>4</v>
      </c>
      <c r="B132" s="502"/>
      <c r="C132" s="494"/>
      <c r="D132" s="548"/>
      <c r="E132" s="503"/>
      <c r="F132" s="495"/>
      <c r="G132" s="500"/>
      <c r="H132" s="500"/>
      <c r="I132" s="500"/>
      <c r="J132" s="500"/>
      <c r="K132" s="504"/>
      <c r="L132" s="488"/>
      <c r="M132" s="489"/>
      <c r="N132" s="489"/>
      <c r="O132" s="1303"/>
      <c r="P132" s="1304"/>
      <c r="Q132" s="1304"/>
      <c r="R132" s="1304"/>
      <c r="S132" s="1305"/>
      <c r="T132" s="497"/>
      <c r="U132" s="498"/>
      <c r="V132" s="499"/>
    </row>
    <row r="133" spans="1:22" ht="13.5" customHeight="1" x14ac:dyDescent="0.2">
      <c r="A133" s="483">
        <f t="shared" si="29"/>
        <v>5</v>
      </c>
      <c r="B133" s="493"/>
      <c r="C133" s="494"/>
      <c r="D133" s="494"/>
      <c r="E133" s="495"/>
      <c r="F133" s="495"/>
      <c r="G133" s="496"/>
      <c r="H133" s="496"/>
      <c r="I133" s="496"/>
      <c r="J133" s="496"/>
      <c r="K133" s="496"/>
      <c r="L133" s="497"/>
      <c r="M133" s="489"/>
      <c r="N133" s="489"/>
      <c r="O133" s="1303"/>
      <c r="P133" s="1304"/>
      <c r="Q133" s="1304"/>
      <c r="R133" s="1304"/>
      <c r="S133" s="1305"/>
      <c r="T133" s="497"/>
      <c r="U133" s="498"/>
      <c r="V133" s="499"/>
    </row>
    <row r="134" spans="1:22" ht="13.5" customHeight="1" x14ac:dyDescent="0.2">
      <c r="A134" s="483">
        <f t="shared" si="29"/>
        <v>6</v>
      </c>
      <c r="B134" s="493"/>
      <c r="C134" s="494"/>
      <c r="D134" s="494"/>
      <c r="E134" s="495"/>
      <c r="F134" s="495"/>
      <c r="G134" s="496"/>
      <c r="H134" s="496"/>
      <c r="I134" s="496"/>
      <c r="J134" s="496"/>
      <c r="K134" s="496"/>
      <c r="L134" s="488"/>
      <c r="M134" s="489"/>
      <c r="N134" s="489"/>
      <c r="O134" s="1303"/>
      <c r="P134" s="1304"/>
      <c r="Q134" s="1304"/>
      <c r="R134" s="1304"/>
      <c r="S134" s="1305"/>
      <c r="T134" s="497"/>
      <c r="U134" s="498"/>
      <c r="V134" s="499"/>
    </row>
    <row r="135" spans="1:22" ht="13.5" customHeight="1" x14ac:dyDescent="0.2">
      <c r="A135" s="483">
        <f t="shared" si="29"/>
        <v>7</v>
      </c>
      <c r="B135" s="493"/>
      <c r="C135" s="494"/>
      <c r="D135" s="494"/>
      <c r="E135" s="495"/>
      <c r="F135" s="495"/>
      <c r="G135" s="496"/>
      <c r="H135" s="496"/>
      <c r="I135" s="496"/>
      <c r="J135" s="496"/>
      <c r="K135" s="496"/>
      <c r="L135" s="488"/>
      <c r="M135" s="489"/>
      <c r="N135" s="489"/>
      <c r="O135" s="1303"/>
      <c r="P135" s="1304"/>
      <c r="Q135" s="1304"/>
      <c r="R135" s="1304"/>
      <c r="S135" s="1305"/>
      <c r="T135" s="497"/>
      <c r="U135" s="498"/>
      <c r="V135" s="499"/>
    </row>
    <row r="136" spans="1:22" ht="13.5" customHeight="1" x14ac:dyDescent="0.2">
      <c r="A136" s="483">
        <f t="shared" si="29"/>
        <v>8</v>
      </c>
      <c r="B136" s="493"/>
      <c r="C136" s="494"/>
      <c r="D136" s="494"/>
      <c r="E136" s="495"/>
      <c r="F136" s="495"/>
      <c r="G136" s="496"/>
      <c r="H136" s="496"/>
      <c r="I136" s="496"/>
      <c r="J136" s="496"/>
      <c r="K136" s="496"/>
      <c r="L136" s="488"/>
      <c r="M136" s="489"/>
      <c r="N136" s="489"/>
      <c r="O136" s="1303"/>
      <c r="P136" s="1304"/>
      <c r="Q136" s="1304"/>
      <c r="R136" s="1304"/>
      <c r="S136" s="1305"/>
      <c r="T136" s="497"/>
      <c r="U136" s="498"/>
      <c r="V136" s="499"/>
    </row>
    <row r="137" spans="1:22" ht="13.5" customHeight="1" x14ac:dyDescent="0.2">
      <c r="A137" s="483">
        <f t="shared" si="29"/>
        <v>9</v>
      </c>
      <c r="B137" s="493"/>
      <c r="C137" s="494"/>
      <c r="D137" s="494"/>
      <c r="E137" s="495"/>
      <c r="F137" s="495"/>
      <c r="G137" s="496"/>
      <c r="H137" s="496"/>
      <c r="I137" s="496"/>
      <c r="J137" s="496"/>
      <c r="K137" s="496"/>
      <c r="L137" s="488"/>
      <c r="M137" s="489"/>
      <c r="N137" s="489"/>
      <c r="O137" s="1303"/>
      <c r="P137" s="1304"/>
      <c r="Q137" s="1304"/>
      <c r="R137" s="1304"/>
      <c r="S137" s="1305"/>
      <c r="T137" s="497"/>
      <c r="U137" s="498"/>
      <c r="V137" s="499"/>
    </row>
    <row r="138" spans="1:22" ht="13.5" customHeight="1" x14ac:dyDescent="0.2">
      <c r="A138" s="483">
        <f t="shared" si="29"/>
        <v>10</v>
      </c>
      <c r="B138" s="493"/>
      <c r="C138" s="494"/>
      <c r="D138" s="494"/>
      <c r="E138" s="495"/>
      <c r="F138" s="495"/>
      <c r="G138" s="496"/>
      <c r="H138" s="496"/>
      <c r="I138" s="496"/>
      <c r="J138" s="496"/>
      <c r="K138" s="496"/>
      <c r="L138" s="488"/>
      <c r="M138" s="489"/>
      <c r="N138" s="489"/>
      <c r="O138" s="1303"/>
      <c r="P138" s="1304"/>
      <c r="Q138" s="1304"/>
      <c r="R138" s="1304"/>
      <c r="S138" s="1305"/>
      <c r="T138" s="497"/>
      <c r="U138" s="498"/>
      <c r="V138" s="499"/>
    </row>
    <row r="139" spans="1:22" ht="13.5" customHeight="1" x14ac:dyDescent="0.2">
      <c r="A139" s="483">
        <f t="shared" si="29"/>
        <v>11</v>
      </c>
      <c r="B139" s="493"/>
      <c r="C139" s="494"/>
      <c r="D139" s="494"/>
      <c r="E139" s="495"/>
      <c r="F139" s="495"/>
      <c r="G139" s="496"/>
      <c r="H139" s="496"/>
      <c r="I139" s="496"/>
      <c r="J139" s="496"/>
      <c r="K139" s="496"/>
      <c r="L139" s="497"/>
      <c r="M139" s="489"/>
      <c r="N139" s="489"/>
      <c r="O139" s="1303"/>
      <c r="P139" s="1304"/>
      <c r="Q139" s="1304"/>
      <c r="R139" s="1304"/>
      <c r="S139" s="1305"/>
      <c r="T139" s="497"/>
      <c r="U139" s="498"/>
      <c r="V139" s="499"/>
    </row>
    <row r="140" spans="1:22" ht="13.5" customHeight="1" x14ac:dyDescent="0.2">
      <c r="A140" s="483">
        <f t="shared" si="29"/>
        <v>12</v>
      </c>
      <c r="B140" s="549"/>
      <c r="C140" s="485"/>
      <c r="D140" s="485"/>
      <c r="E140" s="486"/>
      <c r="F140" s="486"/>
      <c r="G140" s="487"/>
      <c r="H140" s="487"/>
      <c r="I140" s="487"/>
      <c r="J140" s="487"/>
      <c r="K140" s="487"/>
      <c r="L140" s="488"/>
      <c r="M140" s="489"/>
      <c r="N140" s="489"/>
      <c r="O140" s="1343"/>
      <c r="P140" s="1344"/>
      <c r="Q140" s="1344"/>
      <c r="R140" s="1344"/>
      <c r="S140" s="1345"/>
      <c r="T140" s="490"/>
      <c r="U140" s="491"/>
      <c r="V140" s="499"/>
    </row>
    <row r="141" spans="1:22" ht="13.5" customHeight="1" x14ac:dyDescent="0.2">
      <c r="A141" s="483">
        <f t="shared" si="29"/>
        <v>13</v>
      </c>
      <c r="B141" s="550"/>
      <c r="C141" s="494"/>
      <c r="D141" s="494"/>
      <c r="E141" s="495"/>
      <c r="F141" s="495"/>
      <c r="G141" s="496"/>
      <c r="H141" s="496"/>
      <c r="I141" s="496"/>
      <c r="J141" s="496"/>
      <c r="K141" s="496"/>
      <c r="L141" s="488"/>
      <c r="M141" s="489"/>
      <c r="N141" s="489"/>
      <c r="O141" s="1303"/>
      <c r="P141" s="1304"/>
      <c r="Q141" s="1304"/>
      <c r="R141" s="1304"/>
      <c r="S141" s="1305"/>
      <c r="T141" s="497"/>
      <c r="U141" s="498"/>
      <c r="V141" s="499"/>
    </row>
    <row r="142" spans="1:22" ht="13.5" customHeight="1" thickBot="1" x14ac:dyDescent="0.25">
      <c r="A142" s="483">
        <f t="shared" si="29"/>
        <v>14</v>
      </c>
      <c r="B142" s="506"/>
      <c r="C142" s="507"/>
      <c r="D142" s="507"/>
      <c r="E142" s="508"/>
      <c r="F142" s="508"/>
      <c r="G142" s="509"/>
      <c r="H142" s="509"/>
      <c r="I142" s="509"/>
      <c r="J142" s="509"/>
      <c r="K142" s="509"/>
      <c r="L142" s="510"/>
      <c r="M142" s="489"/>
      <c r="N142" s="489"/>
      <c r="O142" s="1310"/>
      <c r="P142" s="1311"/>
      <c r="Q142" s="1311"/>
      <c r="R142" s="1311"/>
      <c r="S142" s="1312"/>
      <c r="T142" s="511"/>
      <c r="U142" s="511"/>
      <c r="V142" s="512"/>
    </row>
    <row r="143" spans="1:22" ht="13.5" customHeight="1" thickBot="1" x14ac:dyDescent="0.25">
      <c r="A143" s="513"/>
      <c r="B143" s="1315" t="s">
        <v>65</v>
      </c>
      <c r="C143" s="1316"/>
      <c r="D143" s="1317"/>
      <c r="E143" s="514">
        <f t="shared" ref="E143:K143" si="30">SUM(E129:E142)</f>
        <v>2340</v>
      </c>
      <c r="F143" s="514">
        <f t="shared" si="30"/>
        <v>560</v>
      </c>
      <c r="G143" s="514">
        <f t="shared" si="30"/>
        <v>640</v>
      </c>
      <c r="H143" s="514">
        <f t="shared" si="30"/>
        <v>1140</v>
      </c>
      <c r="I143" s="514">
        <f t="shared" si="30"/>
        <v>0</v>
      </c>
      <c r="J143" s="514">
        <f t="shared" si="30"/>
        <v>0</v>
      </c>
      <c r="K143" s="514">
        <f t="shared" si="30"/>
        <v>0</v>
      </c>
      <c r="L143" s="515"/>
      <c r="M143" s="516"/>
      <c r="N143" s="516"/>
      <c r="O143" s="516"/>
      <c r="P143" s="516"/>
      <c r="Q143" s="516"/>
      <c r="R143" s="516"/>
      <c r="S143" s="517"/>
      <c r="T143" s="518">
        <f>SUM(T129:T142)</f>
        <v>2</v>
      </c>
      <c r="U143" s="518">
        <f>SUM(U129:U142)</f>
        <v>0</v>
      </c>
      <c r="V143" s="519">
        <f>SUM(V129:V142)</f>
        <v>1</v>
      </c>
    </row>
    <row r="144" spans="1:22" ht="13.5" customHeight="1" x14ac:dyDescent="0.2">
      <c r="A144" s="513"/>
      <c r="B144" s="520"/>
      <c r="C144" s="521"/>
      <c r="D144" s="570" t="str">
        <f>D121</f>
        <v>T11</v>
      </c>
      <c r="E144" s="523">
        <f>SUMIF($L$129:$L$142,$D$144,E$129:E$142)</f>
        <v>2340</v>
      </c>
      <c r="F144" s="523">
        <f t="shared" ref="F144:K144" si="31">SUMIF($L$129:$L$142,$D$144,F$129:F$142)</f>
        <v>560</v>
      </c>
      <c r="G144" s="523">
        <f t="shared" si="31"/>
        <v>640</v>
      </c>
      <c r="H144" s="523">
        <f t="shared" si="31"/>
        <v>1140</v>
      </c>
      <c r="I144" s="523">
        <f t="shared" si="31"/>
        <v>0</v>
      </c>
      <c r="J144" s="523">
        <f t="shared" si="31"/>
        <v>0</v>
      </c>
      <c r="K144" s="523">
        <f t="shared" si="31"/>
        <v>0</v>
      </c>
      <c r="L144" s="524"/>
      <c r="M144" s="525"/>
      <c r="N144" s="525"/>
      <c r="O144" s="526"/>
      <c r="P144" s="526"/>
      <c r="Q144" s="526"/>
      <c r="R144" s="526"/>
      <c r="S144" s="526"/>
      <c r="T144" s="527">
        <f>SUMIF($L$54:$L$90,$D$92,T$54:T$90)</f>
        <v>2</v>
      </c>
      <c r="U144" s="527">
        <f>SUMIF($L$54:$L$90,$D$92,U$54:U$90)</f>
        <v>2</v>
      </c>
      <c r="V144" s="528">
        <f>SUMIF($L$54:$L$90,$D$92,V$54:V$90)</f>
        <v>1</v>
      </c>
    </row>
    <row r="145" spans="1:22" ht="13.5" customHeight="1" x14ac:dyDescent="0.2">
      <c r="A145" s="513"/>
      <c r="B145" s="520"/>
      <c r="C145" s="521"/>
      <c r="D145" s="571" t="str">
        <f t="shared" ref="D145:D147" si="32">D122</f>
        <v>T09</v>
      </c>
      <c r="E145" s="530">
        <f>SUMIF($L$129:$L$142,$D$145,E$129:E$142)</f>
        <v>0</v>
      </c>
      <c r="F145" s="530">
        <f t="shared" ref="F145:K145" si="33">SUMIF($L$129:$L$142,$D$145,F$129:F$142)</f>
        <v>0</v>
      </c>
      <c r="G145" s="530">
        <f t="shared" si="33"/>
        <v>0</v>
      </c>
      <c r="H145" s="530">
        <f t="shared" si="33"/>
        <v>0</v>
      </c>
      <c r="I145" s="530">
        <f t="shared" si="33"/>
        <v>0</v>
      </c>
      <c r="J145" s="530">
        <f t="shared" si="33"/>
        <v>0</v>
      </c>
      <c r="K145" s="530">
        <f t="shared" si="33"/>
        <v>0</v>
      </c>
      <c r="L145" s="531"/>
      <c r="M145" s="532"/>
      <c r="N145" s="532"/>
      <c r="O145" s="533"/>
      <c r="P145" s="533"/>
      <c r="Q145" s="533"/>
      <c r="R145" s="533"/>
      <c r="S145" s="533"/>
      <c r="T145" s="534">
        <f>SUMIF($L$54:$L$90,$D$93,T$54:T$90)</f>
        <v>2</v>
      </c>
      <c r="U145" s="534">
        <f>SUMIF($L$54:$L$90,$D$93,U$54:U$90)</f>
        <v>3</v>
      </c>
      <c r="V145" s="535">
        <f>SUMIF($L$54:$L$90,$D$93,V$54:V$90)</f>
        <v>1</v>
      </c>
    </row>
    <row r="146" spans="1:22" ht="13.5" customHeight="1" x14ac:dyDescent="0.2">
      <c r="A146" s="513"/>
      <c r="B146" s="520"/>
      <c r="C146" s="521"/>
      <c r="D146" s="571" t="str">
        <f t="shared" si="32"/>
        <v>T06</v>
      </c>
      <c r="E146" s="530">
        <f t="shared" ref="E146:K146" si="34">SUMIF($L$129:$L$142,$D$146,E$129:E$142)</f>
        <v>0</v>
      </c>
      <c r="F146" s="530">
        <f t="shared" si="34"/>
        <v>0</v>
      </c>
      <c r="G146" s="530">
        <f t="shared" si="34"/>
        <v>0</v>
      </c>
      <c r="H146" s="530">
        <f t="shared" si="34"/>
        <v>0</v>
      </c>
      <c r="I146" s="530">
        <f t="shared" si="34"/>
        <v>0</v>
      </c>
      <c r="J146" s="530">
        <f t="shared" si="34"/>
        <v>0</v>
      </c>
      <c r="K146" s="530">
        <f t="shared" si="34"/>
        <v>0</v>
      </c>
      <c r="L146" s="531"/>
      <c r="M146" s="532"/>
      <c r="N146" s="532"/>
      <c r="O146" s="533"/>
      <c r="P146" s="533"/>
      <c r="Q146" s="533"/>
      <c r="R146" s="533"/>
      <c r="S146" s="533"/>
      <c r="T146" s="534">
        <f>SUMIF($L$54:$L$90,$D$94,T$54:T$90)</f>
        <v>0</v>
      </c>
      <c r="U146" s="534">
        <f>SUMIF($L$54:$L$90,$D$94,U$54:U$90)</f>
        <v>0</v>
      </c>
      <c r="V146" s="535">
        <f>SUMIF($L$54:$L$90,$D$94,V$54:V$90)</f>
        <v>0</v>
      </c>
    </row>
    <row r="147" spans="1:22" ht="13.5" customHeight="1" thickBot="1" x14ac:dyDescent="0.25">
      <c r="A147" s="513"/>
      <c r="B147" s="520"/>
      <c r="C147" s="521"/>
      <c r="D147" s="572">
        <f t="shared" si="32"/>
        <v>0</v>
      </c>
      <c r="E147" s="537">
        <f>SUMIF($L$129:$L$142,$D$147,E$129:E$142)</f>
        <v>0</v>
      </c>
      <c r="F147" s="537">
        <f t="shared" ref="F147:K147" si="35">SUMIF($L$129:$L$142,$D$147,F$129:F$142)</f>
        <v>0</v>
      </c>
      <c r="G147" s="537">
        <f t="shared" si="35"/>
        <v>0</v>
      </c>
      <c r="H147" s="537">
        <f t="shared" si="35"/>
        <v>0</v>
      </c>
      <c r="I147" s="537">
        <f t="shared" si="35"/>
        <v>0</v>
      </c>
      <c r="J147" s="537">
        <f t="shared" si="35"/>
        <v>0</v>
      </c>
      <c r="K147" s="537">
        <f t="shared" si="35"/>
        <v>0</v>
      </c>
      <c r="L147" s="538"/>
      <c r="M147" s="539"/>
      <c r="N147" s="539"/>
      <c r="O147" s="540"/>
      <c r="P147" s="540"/>
      <c r="Q147" s="540"/>
      <c r="R147" s="540"/>
      <c r="S147" s="540"/>
      <c r="T147" s="541">
        <f>SUMIF($L$54:$L$90,$D$95,T$54:T$90)</f>
        <v>0</v>
      </c>
      <c r="U147" s="541">
        <f>SUMIF($L$54:$L$90,$D$95,U$54:U$90)</f>
        <v>0</v>
      </c>
      <c r="V147" s="542">
        <f>SUMIF($L$54:$L$90,$D$95,V$54:V$90)</f>
        <v>0</v>
      </c>
    </row>
    <row r="148" spans="1:22" ht="13.5" customHeight="1" x14ac:dyDescent="0.2">
      <c r="A148" s="468"/>
      <c r="B148" s="543"/>
      <c r="C148" s="543"/>
      <c r="D148" s="543"/>
      <c r="E148" s="543"/>
      <c r="F148" s="543"/>
      <c r="G148" s="543"/>
      <c r="H148" s="543"/>
      <c r="I148" s="543"/>
      <c r="J148" s="543"/>
      <c r="K148" s="468"/>
      <c r="L148" s="468"/>
      <c r="M148" s="468"/>
      <c r="N148" s="468"/>
      <c r="O148" s="468"/>
      <c r="P148" s="468"/>
      <c r="Q148" s="468"/>
      <c r="R148" s="468"/>
      <c r="S148" s="468"/>
      <c r="T148" s="468"/>
      <c r="U148" s="468"/>
      <c r="V148" s="468"/>
    </row>
    <row r="149" spans="1:22" ht="25.5" customHeight="1" thickBot="1" x14ac:dyDescent="0.25">
      <c r="A149" s="468"/>
      <c r="B149" s="469" t="str">
        <f>B50</f>
        <v>MEDEM d.o.o.</v>
      </c>
      <c r="C149" s="468"/>
      <c r="D149" s="468"/>
      <c r="E149" s="468"/>
      <c r="F149" s="468"/>
      <c r="G149" s="468"/>
      <c r="H149" s="468"/>
      <c r="I149" s="468"/>
      <c r="J149" s="468"/>
      <c r="K149" s="468"/>
      <c r="L149" s="468"/>
      <c r="M149" s="468"/>
      <c r="N149" s="468"/>
      <c r="O149" s="468"/>
      <c r="P149" s="468"/>
      <c r="Q149" s="468"/>
      <c r="R149" s="468"/>
      <c r="S149" s="468"/>
      <c r="T149" s="468"/>
      <c r="U149" s="468"/>
      <c r="V149" s="468"/>
    </row>
    <row r="150" spans="1:22" ht="13.5" customHeight="1" thickBot="1" x14ac:dyDescent="0.25">
      <c r="A150" s="1166" t="s">
        <v>187</v>
      </c>
      <c r="B150" s="1167"/>
      <c r="C150" s="1167"/>
      <c r="D150" s="1167"/>
      <c r="E150" s="1167"/>
      <c r="F150" s="1167"/>
      <c r="G150" s="1167"/>
      <c r="H150" s="1167"/>
      <c r="I150" s="1167"/>
      <c r="J150" s="1167"/>
      <c r="K150" s="1168"/>
      <c r="L150" s="468"/>
      <c r="M150" s="573"/>
      <c r="N150" s="574"/>
      <c r="O150" s="574"/>
      <c r="P150" s="474" t="s">
        <v>129</v>
      </c>
      <c r="Q150" s="574">
        <f>A154</f>
        <v>1</v>
      </c>
      <c r="R150" s="574"/>
      <c r="S150" s="574"/>
      <c r="T150" s="575"/>
      <c r="U150" s="575"/>
      <c r="V150" s="576"/>
    </row>
    <row r="151" spans="1:22" ht="13.5" customHeight="1" thickBot="1" x14ac:dyDescent="0.25">
      <c r="A151" s="1243" t="s">
        <v>59</v>
      </c>
      <c r="B151" s="1244"/>
      <c r="C151" s="1245" t="s">
        <v>66</v>
      </c>
      <c r="D151" s="1246"/>
      <c r="E151" s="577" t="str">
        <f t="shared" ref="E151:K151" si="36">F198</f>
        <v>LMS</v>
      </c>
      <c r="F151" s="577" t="str">
        <f t="shared" si="36"/>
        <v>TO</v>
      </c>
      <c r="G151" s="577" t="str">
        <f t="shared" si="36"/>
        <v>Nož</v>
      </c>
      <c r="H151" s="577" t="str">
        <f t="shared" si="36"/>
        <v>Q10</v>
      </c>
      <c r="I151" s="577" t="str">
        <f t="shared" si="36"/>
        <v>Bubrežnjak</v>
      </c>
      <c r="J151" s="577" t="str">
        <f t="shared" si="36"/>
        <v>Kosmo</v>
      </c>
      <c r="K151" s="578" t="str">
        <f t="shared" si="36"/>
        <v>KREMA</v>
      </c>
      <c r="L151" s="468"/>
      <c r="M151" s="1169" t="s">
        <v>190</v>
      </c>
      <c r="N151" s="1170"/>
      <c r="O151" s="1306" t="s">
        <v>108</v>
      </c>
      <c r="P151" s="1308" t="s">
        <v>189</v>
      </c>
      <c r="Q151" s="1280"/>
      <c r="R151" s="1308" t="s">
        <v>195</v>
      </c>
      <c r="S151" s="1279"/>
      <c r="T151" s="1279"/>
      <c r="U151" s="1279"/>
      <c r="V151" s="1309"/>
    </row>
    <row r="152" spans="1:22" ht="13.5" customHeight="1" thickBot="1" x14ac:dyDescent="0.25">
      <c r="A152" s="1199">
        <f>A199</f>
        <v>44228</v>
      </c>
      <c r="B152" s="1200"/>
      <c r="C152" s="1201" t="s">
        <v>69</v>
      </c>
      <c r="D152" s="1202"/>
      <c r="E152" s="579">
        <f t="shared" ref="E152:K152" si="37">F207</f>
        <v>21</v>
      </c>
      <c r="F152" s="579">
        <f t="shared" si="37"/>
        <v>21</v>
      </c>
      <c r="G152" s="579">
        <f t="shared" si="37"/>
        <v>23</v>
      </c>
      <c r="H152" s="579">
        <f t="shared" si="37"/>
        <v>291</v>
      </c>
      <c r="I152" s="579">
        <f t="shared" si="37"/>
        <v>93</v>
      </c>
      <c r="J152" s="579">
        <f t="shared" si="37"/>
        <v>86</v>
      </c>
      <c r="K152" s="580">
        <f t="shared" si="37"/>
        <v>124</v>
      </c>
      <c r="L152" s="468"/>
      <c r="M152" s="1171"/>
      <c r="N152" s="1172"/>
      <c r="O152" s="1307"/>
      <c r="P152" s="581" t="s">
        <v>110</v>
      </c>
      <c r="Q152" s="582" t="s">
        <v>174</v>
      </c>
      <c r="R152" s="581" t="str">
        <f>G151</f>
        <v>Nož</v>
      </c>
      <c r="S152" s="581" t="str">
        <f t="shared" ref="S152:U152" si="38">H151</f>
        <v>Q10</v>
      </c>
      <c r="T152" s="581" t="str">
        <f t="shared" si="38"/>
        <v>Bubrežnjak</v>
      </c>
      <c r="U152" s="581" t="str">
        <f t="shared" si="38"/>
        <v>Kosmo</v>
      </c>
      <c r="V152" s="583" t="str">
        <f>L198</f>
        <v>KREMA</v>
      </c>
    </row>
    <row r="153" spans="1:22" ht="13.5" customHeight="1" x14ac:dyDescent="0.2">
      <c r="A153" s="584" t="s">
        <v>151</v>
      </c>
      <c r="B153" s="585" t="s">
        <v>146</v>
      </c>
      <c r="C153" s="585" t="s">
        <v>147</v>
      </c>
      <c r="D153" s="586" t="s">
        <v>151</v>
      </c>
      <c r="E153" s="1203" t="s">
        <v>168</v>
      </c>
      <c r="F153" s="1204"/>
      <c r="G153" s="1204"/>
      <c r="H153" s="1204"/>
      <c r="I153" s="1204"/>
      <c r="J153" s="1204"/>
      <c r="K153" s="1205"/>
      <c r="L153" s="468"/>
      <c r="M153" s="1206" t="s">
        <v>117</v>
      </c>
      <c r="N153" s="1207"/>
      <c r="O153" s="488" t="s">
        <v>154</v>
      </c>
      <c r="P153" s="587">
        <v>15</v>
      </c>
      <c r="Q153" s="587">
        <v>2</v>
      </c>
      <c r="R153" s="587">
        <v>15</v>
      </c>
      <c r="S153" s="587"/>
      <c r="T153" s="588">
        <v>2</v>
      </c>
      <c r="U153" s="588"/>
      <c r="V153" s="589">
        <v>2</v>
      </c>
    </row>
    <row r="154" spans="1:22" ht="13.5" customHeight="1" x14ac:dyDescent="0.2">
      <c r="A154" s="590">
        <f>E4</f>
        <v>1</v>
      </c>
      <c r="B154" s="591">
        <f>E43</f>
        <v>23770</v>
      </c>
      <c r="C154" s="591">
        <f>F43</f>
        <v>18710</v>
      </c>
      <c r="D154" s="592" t="s">
        <v>149</v>
      </c>
      <c r="E154" s="593">
        <f>T43</f>
        <v>10</v>
      </c>
      <c r="F154" s="593">
        <f>U43</f>
        <v>10</v>
      </c>
      <c r="G154" s="593">
        <f>V43</f>
        <v>11</v>
      </c>
      <c r="H154" s="593">
        <f>S165*J182</f>
        <v>0</v>
      </c>
      <c r="I154" s="593">
        <f>T165*J183</f>
        <v>14</v>
      </c>
      <c r="J154" s="593">
        <f>U165*J184</f>
        <v>15</v>
      </c>
      <c r="K154" s="594">
        <f>V165</f>
        <v>30</v>
      </c>
      <c r="L154" s="468"/>
      <c r="M154" s="1183" t="s">
        <v>109</v>
      </c>
      <c r="N154" s="1184"/>
      <c r="O154" s="488" t="s">
        <v>155</v>
      </c>
      <c r="P154" s="595">
        <v>23</v>
      </c>
      <c r="Q154" s="595">
        <v>3</v>
      </c>
      <c r="R154" s="595">
        <v>22</v>
      </c>
      <c r="S154" s="595"/>
      <c r="T154" s="488">
        <v>3</v>
      </c>
      <c r="U154" s="488"/>
      <c r="V154" s="596">
        <v>6</v>
      </c>
    </row>
    <row r="155" spans="1:22" ht="13.5" customHeight="1" thickBot="1" x14ac:dyDescent="0.25">
      <c r="A155" s="597">
        <f>A154+1</f>
        <v>2</v>
      </c>
      <c r="B155" s="598">
        <f>E91</f>
        <v>5870</v>
      </c>
      <c r="C155" s="598">
        <f>F91</f>
        <v>4050</v>
      </c>
      <c r="D155" s="581" t="s">
        <v>150</v>
      </c>
      <c r="E155" s="599">
        <f>T91</f>
        <v>4</v>
      </c>
      <c r="F155" s="599">
        <f>U91</f>
        <v>5</v>
      </c>
      <c r="G155" s="599">
        <f>V91</f>
        <v>2</v>
      </c>
      <c r="H155" s="593">
        <f>S187*J182</f>
        <v>207</v>
      </c>
      <c r="I155" s="593">
        <f>T187*J183</f>
        <v>0</v>
      </c>
      <c r="J155" s="593">
        <f>U187*J184</f>
        <v>26</v>
      </c>
      <c r="K155" s="583">
        <f>V187</f>
        <v>21</v>
      </c>
      <c r="L155" s="468"/>
      <c r="M155" s="1177" t="s">
        <v>118</v>
      </c>
      <c r="N155" s="1178"/>
      <c r="O155" s="488" t="s">
        <v>154</v>
      </c>
      <c r="P155" s="595">
        <v>16</v>
      </c>
      <c r="Q155" s="595">
        <v>3</v>
      </c>
      <c r="R155" s="595">
        <v>15</v>
      </c>
      <c r="S155" s="595"/>
      <c r="T155" s="488">
        <v>3</v>
      </c>
      <c r="U155" s="488"/>
      <c r="V155" s="596">
        <v>7</v>
      </c>
    </row>
    <row r="156" spans="1:22" ht="13.5" customHeight="1" thickBot="1" x14ac:dyDescent="0.25">
      <c r="A156" s="600" t="s">
        <v>188</v>
      </c>
      <c r="B156" s="601">
        <f>B217</f>
        <v>29640</v>
      </c>
      <c r="C156" s="601">
        <f>C217</f>
        <v>22760</v>
      </c>
      <c r="D156" s="602" t="s">
        <v>185</v>
      </c>
      <c r="E156" s="603">
        <f>E152-E154-E155</f>
        <v>7</v>
      </c>
      <c r="F156" s="603">
        <f t="shared" ref="F156:K156" si="39">F152-F154-F155</f>
        <v>6</v>
      </c>
      <c r="G156" s="603">
        <f t="shared" si="39"/>
        <v>10</v>
      </c>
      <c r="H156" s="603">
        <f t="shared" si="39"/>
        <v>84</v>
      </c>
      <c r="I156" s="603">
        <f t="shared" si="39"/>
        <v>79</v>
      </c>
      <c r="J156" s="603">
        <f t="shared" si="39"/>
        <v>45</v>
      </c>
      <c r="K156" s="603">
        <f t="shared" si="39"/>
        <v>73</v>
      </c>
      <c r="L156" s="468"/>
      <c r="M156" s="1183" t="s">
        <v>111</v>
      </c>
      <c r="N156" s="1184"/>
      <c r="O156" s="488" t="s">
        <v>155</v>
      </c>
      <c r="P156" s="595">
        <v>15</v>
      </c>
      <c r="Q156" s="595">
        <v>2</v>
      </c>
      <c r="R156" s="595">
        <v>15</v>
      </c>
      <c r="S156" s="595"/>
      <c r="T156" s="488">
        <v>2</v>
      </c>
      <c r="U156" s="488"/>
      <c r="V156" s="596">
        <v>8</v>
      </c>
    </row>
    <row r="157" spans="1:22" ht="13.5" customHeight="1" thickBot="1" x14ac:dyDescent="0.25">
      <c r="A157" s="468"/>
      <c r="B157" s="468"/>
      <c r="C157" s="468"/>
      <c r="D157" s="468"/>
      <c r="E157" s="468"/>
      <c r="F157" s="468"/>
      <c r="G157" s="468"/>
      <c r="H157" s="468"/>
      <c r="I157" s="468"/>
      <c r="J157" s="468"/>
      <c r="K157" s="468"/>
      <c r="L157" s="468"/>
      <c r="M157" s="1177" t="s">
        <v>112</v>
      </c>
      <c r="N157" s="1178"/>
      <c r="O157" s="488" t="s">
        <v>154</v>
      </c>
      <c r="P157" s="595">
        <v>15</v>
      </c>
      <c r="Q157" s="595">
        <v>4</v>
      </c>
      <c r="R157" s="595">
        <v>15</v>
      </c>
      <c r="S157" s="595"/>
      <c r="T157" s="488">
        <v>4</v>
      </c>
      <c r="U157" s="488"/>
      <c r="V157" s="596">
        <v>0</v>
      </c>
    </row>
    <row r="158" spans="1:22" ht="13.5" customHeight="1" x14ac:dyDescent="0.2">
      <c r="A158" s="1335" t="s">
        <v>184</v>
      </c>
      <c r="B158" s="1336"/>
      <c r="C158" s="1336"/>
      <c r="D158" s="1336"/>
      <c r="E158" s="1336"/>
      <c r="F158" s="1336"/>
      <c r="G158" s="1336"/>
      <c r="H158" s="1337"/>
      <c r="I158" s="604"/>
      <c r="J158" s="604"/>
      <c r="K158" s="604"/>
      <c r="L158" s="604"/>
      <c r="M158" s="1183" t="s">
        <v>113</v>
      </c>
      <c r="N158" s="1184"/>
      <c r="O158" s="488" t="s">
        <v>155</v>
      </c>
      <c r="P158" s="595">
        <v>15</v>
      </c>
      <c r="Q158" s="595">
        <v>6</v>
      </c>
      <c r="R158" s="595">
        <v>15</v>
      </c>
      <c r="S158" s="595"/>
      <c r="T158" s="488"/>
      <c r="U158" s="488">
        <v>6</v>
      </c>
      <c r="V158" s="596">
        <v>4</v>
      </c>
    </row>
    <row r="159" spans="1:22" ht="13.5" customHeight="1" x14ac:dyDescent="0.2">
      <c r="A159" s="1338" t="s">
        <v>181</v>
      </c>
      <c r="B159" s="1301" t="s">
        <v>64</v>
      </c>
      <c r="C159" s="1301" t="s">
        <v>67</v>
      </c>
      <c r="D159" s="1301" t="s">
        <v>197</v>
      </c>
      <c r="E159" s="1301" t="s">
        <v>198</v>
      </c>
      <c r="F159" s="1301" t="s">
        <v>199</v>
      </c>
      <c r="G159" s="1301" t="s">
        <v>202</v>
      </c>
      <c r="H159" s="1301" t="s">
        <v>203</v>
      </c>
      <c r="I159" s="468"/>
      <c r="J159" s="468"/>
      <c r="K159" s="468"/>
      <c r="L159" s="547"/>
      <c r="M159" s="1177" t="s">
        <v>119</v>
      </c>
      <c r="N159" s="1178"/>
      <c r="O159" s="488" t="s">
        <v>154</v>
      </c>
      <c r="P159" s="595">
        <v>22</v>
      </c>
      <c r="Q159" s="595">
        <v>7</v>
      </c>
      <c r="R159" s="595">
        <v>22</v>
      </c>
      <c r="S159" s="595"/>
      <c r="T159" s="488"/>
      <c r="U159" s="488">
        <v>7</v>
      </c>
      <c r="V159" s="596">
        <v>2</v>
      </c>
    </row>
    <row r="160" spans="1:22" ht="13.5" customHeight="1" thickBot="1" x14ac:dyDescent="0.25">
      <c r="A160" s="1339"/>
      <c r="B160" s="1302"/>
      <c r="C160" s="1302"/>
      <c r="D160" s="1302"/>
      <c r="E160" s="1302"/>
      <c r="F160" s="1302"/>
      <c r="G160" s="1302"/>
      <c r="H160" s="1302"/>
      <c r="I160" s="468"/>
      <c r="J160" s="468"/>
      <c r="K160" s="468"/>
      <c r="L160" s="468"/>
      <c r="M160" s="1183" t="s">
        <v>114</v>
      </c>
      <c r="N160" s="1184"/>
      <c r="O160" s="488" t="s">
        <v>155</v>
      </c>
      <c r="P160" s="595">
        <v>14</v>
      </c>
      <c r="Q160" s="595">
        <v>2</v>
      </c>
      <c r="R160" s="595">
        <v>14</v>
      </c>
      <c r="S160" s="595"/>
      <c r="T160" s="488"/>
      <c r="U160" s="488">
        <v>2</v>
      </c>
      <c r="V160" s="596">
        <v>1</v>
      </c>
    </row>
    <row r="161" spans="1:22" ht="13.5" customHeight="1" x14ac:dyDescent="0.2">
      <c r="A161" s="606" t="str">
        <f>D92</f>
        <v>T11</v>
      </c>
      <c r="B161" s="607">
        <f t="shared" ref="B161:H164" si="40">E44+E92</f>
        <v>12860</v>
      </c>
      <c r="C161" s="607">
        <f t="shared" si="40"/>
        <v>7700</v>
      </c>
      <c r="D161" s="607">
        <f t="shared" si="40"/>
        <v>580</v>
      </c>
      <c r="E161" s="607">
        <f t="shared" si="40"/>
        <v>1690</v>
      </c>
      <c r="F161" s="607">
        <f t="shared" si="40"/>
        <v>0</v>
      </c>
      <c r="G161" s="607">
        <f t="shared" si="40"/>
        <v>2890</v>
      </c>
      <c r="H161" s="608">
        <f t="shared" si="40"/>
        <v>0</v>
      </c>
      <c r="I161" s="468"/>
      <c r="J161" s="468"/>
      <c r="K161" s="468"/>
      <c r="L161" s="468"/>
      <c r="M161" s="1177" t="s">
        <v>120</v>
      </c>
      <c r="N161" s="1178"/>
      <c r="O161" s="488"/>
      <c r="P161" s="595"/>
      <c r="Q161" s="595"/>
      <c r="R161" s="595"/>
      <c r="S161" s="595"/>
      <c r="T161" s="488"/>
      <c r="U161" s="488"/>
      <c r="V161" s="609"/>
    </row>
    <row r="162" spans="1:22" ht="13.5" customHeight="1" x14ac:dyDescent="0.2">
      <c r="A162" s="605" t="str">
        <f>D93</f>
        <v>T09</v>
      </c>
      <c r="B162" s="610">
        <f t="shared" si="40"/>
        <v>16780</v>
      </c>
      <c r="C162" s="610">
        <f t="shared" si="40"/>
        <v>15060</v>
      </c>
      <c r="D162" s="610">
        <f t="shared" si="40"/>
        <v>330</v>
      </c>
      <c r="E162" s="610">
        <f t="shared" si="40"/>
        <v>1390</v>
      </c>
      <c r="F162" s="610">
        <f t="shared" si="40"/>
        <v>0</v>
      </c>
      <c r="G162" s="610">
        <f t="shared" si="40"/>
        <v>0</v>
      </c>
      <c r="H162" s="611">
        <f t="shared" si="40"/>
        <v>0</v>
      </c>
      <c r="I162" s="468"/>
      <c r="J162" s="468"/>
      <c r="K162" s="468"/>
      <c r="L162" s="468"/>
      <c r="M162" s="1183" t="s">
        <v>115</v>
      </c>
      <c r="N162" s="1184"/>
      <c r="O162" s="488"/>
      <c r="P162" s="595"/>
      <c r="Q162" s="595"/>
      <c r="R162" s="595"/>
      <c r="S162" s="595"/>
      <c r="T162" s="488"/>
      <c r="U162" s="488"/>
      <c r="V162" s="609"/>
    </row>
    <row r="163" spans="1:22" ht="13.5" customHeight="1" x14ac:dyDescent="0.2">
      <c r="A163" s="605" t="str">
        <f>D94</f>
        <v>T06</v>
      </c>
      <c r="B163" s="610">
        <f t="shared" si="40"/>
        <v>0</v>
      </c>
      <c r="C163" s="610">
        <f t="shared" si="40"/>
        <v>0</v>
      </c>
      <c r="D163" s="610">
        <f t="shared" si="40"/>
        <v>0</v>
      </c>
      <c r="E163" s="610">
        <f t="shared" si="40"/>
        <v>1490</v>
      </c>
      <c r="F163" s="610">
        <f t="shared" si="40"/>
        <v>0</v>
      </c>
      <c r="G163" s="610">
        <f t="shared" si="40"/>
        <v>-1490</v>
      </c>
      <c r="H163" s="611">
        <f t="shared" si="40"/>
        <v>0</v>
      </c>
      <c r="I163" s="468"/>
      <c r="J163" s="468"/>
      <c r="K163" s="468"/>
      <c r="L163" s="468"/>
      <c r="M163" s="1177" t="s">
        <v>116</v>
      </c>
      <c r="N163" s="1178"/>
      <c r="O163" s="488"/>
      <c r="P163" s="595"/>
      <c r="Q163" s="595"/>
      <c r="R163" s="595"/>
      <c r="S163" s="595"/>
      <c r="T163" s="488"/>
      <c r="U163" s="488"/>
      <c r="V163" s="609"/>
    </row>
    <row r="164" spans="1:22" ht="13.5" customHeight="1" thickBot="1" x14ac:dyDescent="0.25">
      <c r="A164" s="612">
        <f>D95</f>
        <v>0</v>
      </c>
      <c r="B164" s="613">
        <f t="shared" si="40"/>
        <v>0</v>
      </c>
      <c r="C164" s="613">
        <f t="shared" si="40"/>
        <v>0</v>
      </c>
      <c r="D164" s="613">
        <f t="shared" si="40"/>
        <v>0</v>
      </c>
      <c r="E164" s="613">
        <f t="shared" si="40"/>
        <v>0</v>
      </c>
      <c r="F164" s="613">
        <f t="shared" si="40"/>
        <v>0</v>
      </c>
      <c r="G164" s="613">
        <f t="shared" si="40"/>
        <v>0</v>
      </c>
      <c r="H164" s="614">
        <f t="shared" si="40"/>
        <v>0</v>
      </c>
      <c r="I164" s="468"/>
      <c r="J164" s="468"/>
      <c r="K164" s="468"/>
      <c r="L164" s="468"/>
      <c r="M164" s="1219" t="s">
        <v>121</v>
      </c>
      <c r="N164" s="1220"/>
      <c r="O164" s="510"/>
      <c r="P164" s="615"/>
      <c r="Q164" s="615"/>
      <c r="R164" s="615"/>
      <c r="S164" s="615"/>
      <c r="T164" s="510"/>
      <c r="U164" s="510"/>
      <c r="V164" s="616"/>
    </row>
    <row r="165" spans="1:22" ht="13.5" customHeight="1" thickBot="1" x14ac:dyDescent="0.25">
      <c r="A165" s="617" t="s">
        <v>182</v>
      </c>
      <c r="B165" s="618">
        <f>SUM(B161:B164)</f>
        <v>29640</v>
      </c>
      <c r="C165" s="618">
        <f t="shared" ref="C165:H165" si="41">SUM(C161:C164)</f>
        <v>22760</v>
      </c>
      <c r="D165" s="618">
        <f t="shared" si="41"/>
        <v>910</v>
      </c>
      <c r="E165" s="618">
        <f t="shared" si="41"/>
        <v>4570</v>
      </c>
      <c r="F165" s="618">
        <f t="shared" si="41"/>
        <v>0</v>
      </c>
      <c r="G165" s="618">
        <f t="shared" si="41"/>
        <v>1400</v>
      </c>
      <c r="H165" s="619">
        <f t="shared" si="41"/>
        <v>0</v>
      </c>
      <c r="I165" s="468"/>
      <c r="J165" s="468"/>
      <c r="K165" s="468"/>
      <c r="L165" s="547"/>
      <c r="M165" s="1223" t="s">
        <v>122</v>
      </c>
      <c r="N165" s="1224"/>
      <c r="O165" s="1225"/>
      <c r="P165" s="620">
        <f t="shared" ref="P165:V165" si="42">SUM(P153:P164)</f>
        <v>135</v>
      </c>
      <c r="Q165" s="620">
        <f t="shared" si="42"/>
        <v>29</v>
      </c>
      <c r="R165" s="620">
        <f t="shared" si="42"/>
        <v>133</v>
      </c>
      <c r="S165" s="620">
        <f t="shared" si="42"/>
        <v>0</v>
      </c>
      <c r="T165" s="621">
        <f>SUM(T153:T164)</f>
        <v>14</v>
      </c>
      <c r="U165" s="621">
        <f t="shared" si="42"/>
        <v>15</v>
      </c>
      <c r="V165" s="622">
        <f t="shared" si="42"/>
        <v>30</v>
      </c>
    </row>
    <row r="166" spans="1:22" ht="13.5" customHeight="1" thickBot="1" x14ac:dyDescent="0.25">
      <c r="A166" s="468"/>
      <c r="B166" s="468"/>
      <c r="C166" s="468"/>
      <c r="D166" s="468"/>
      <c r="E166" s="468"/>
      <c r="F166" s="468"/>
      <c r="G166" s="468"/>
      <c r="H166" s="468"/>
      <c r="I166" s="468"/>
      <c r="J166" s="468"/>
      <c r="K166" s="468"/>
      <c r="L166" s="468"/>
      <c r="M166" s="468"/>
      <c r="N166" s="468"/>
      <c r="O166" s="623" t="str">
        <f>I170</f>
        <v>T11</v>
      </c>
      <c r="P166" s="624">
        <f t="shared" ref="P166:V169" si="43">SUMIF($O$153:$O$164,$O166,P$153:P$164)</f>
        <v>68</v>
      </c>
      <c r="Q166" s="624">
        <f t="shared" si="43"/>
        <v>16</v>
      </c>
      <c r="R166" s="624">
        <f t="shared" si="43"/>
        <v>67</v>
      </c>
      <c r="S166" s="624">
        <f t="shared" si="43"/>
        <v>0</v>
      </c>
      <c r="T166" s="624">
        <f t="shared" si="43"/>
        <v>9</v>
      </c>
      <c r="U166" s="624">
        <f t="shared" si="43"/>
        <v>7</v>
      </c>
      <c r="V166" s="625">
        <f t="shared" si="43"/>
        <v>11</v>
      </c>
    </row>
    <row r="167" spans="1:22" ht="13.5" customHeight="1" thickBot="1" x14ac:dyDescent="0.25">
      <c r="A167" s="1166" t="s">
        <v>210</v>
      </c>
      <c r="B167" s="1167"/>
      <c r="C167" s="1167"/>
      <c r="D167" s="1167"/>
      <c r="E167" s="1168"/>
      <c r="F167" s="468"/>
      <c r="G167" s="1281" t="s">
        <v>183</v>
      </c>
      <c r="H167" s="1284" t="s">
        <v>144</v>
      </c>
      <c r="I167" s="1287" t="s">
        <v>123</v>
      </c>
      <c r="J167" s="1290" t="s">
        <v>149</v>
      </c>
      <c r="K167" s="468"/>
      <c r="L167" s="468"/>
      <c r="M167" s="468"/>
      <c r="N167" s="468"/>
      <c r="O167" s="626" t="str">
        <f>I171</f>
        <v>T09</v>
      </c>
      <c r="P167" s="627">
        <f t="shared" si="43"/>
        <v>67</v>
      </c>
      <c r="Q167" s="627">
        <f t="shared" si="43"/>
        <v>13</v>
      </c>
      <c r="R167" s="627">
        <f t="shared" si="43"/>
        <v>66</v>
      </c>
      <c r="S167" s="627">
        <f t="shared" si="43"/>
        <v>0</v>
      </c>
      <c r="T167" s="627">
        <f t="shared" si="43"/>
        <v>5</v>
      </c>
      <c r="U167" s="627">
        <f t="shared" si="43"/>
        <v>8</v>
      </c>
      <c r="V167" s="628">
        <f t="shared" si="43"/>
        <v>19</v>
      </c>
    </row>
    <row r="168" spans="1:22" ht="13.5" customHeight="1" x14ac:dyDescent="0.2">
      <c r="A168" s="1291" t="s">
        <v>72</v>
      </c>
      <c r="B168" s="1292"/>
      <c r="C168" s="1293"/>
      <c r="D168" s="1294">
        <f>F43</f>
        <v>18710</v>
      </c>
      <c r="E168" s="1295"/>
      <c r="F168" s="547"/>
      <c r="G168" s="1282"/>
      <c r="H168" s="1285"/>
      <c r="I168" s="1288"/>
      <c r="J168" s="1270"/>
      <c r="K168" s="468"/>
      <c r="L168" s="468"/>
      <c r="M168" s="468"/>
      <c r="N168" s="468"/>
      <c r="O168" s="626" t="str">
        <f>I172</f>
        <v>T06</v>
      </c>
      <c r="P168" s="627">
        <f t="shared" si="43"/>
        <v>0</v>
      </c>
      <c r="Q168" s="627">
        <f t="shared" si="43"/>
        <v>0</v>
      </c>
      <c r="R168" s="627">
        <f t="shared" si="43"/>
        <v>0</v>
      </c>
      <c r="S168" s="627">
        <f t="shared" si="43"/>
        <v>0</v>
      </c>
      <c r="T168" s="627">
        <f t="shared" si="43"/>
        <v>0</v>
      </c>
      <c r="U168" s="627">
        <f t="shared" si="43"/>
        <v>0</v>
      </c>
      <c r="V168" s="628">
        <f t="shared" si="43"/>
        <v>0</v>
      </c>
    </row>
    <row r="169" spans="1:22" ht="13.5" customHeight="1" thickBot="1" x14ac:dyDescent="0.25">
      <c r="A169" s="1296" t="s">
        <v>71</v>
      </c>
      <c r="B169" s="1297"/>
      <c r="C169" s="1298"/>
      <c r="D169" s="1299">
        <f>F91</f>
        <v>4050</v>
      </c>
      <c r="E169" s="1300"/>
      <c r="F169" s="629" t="s">
        <v>132</v>
      </c>
      <c r="G169" s="1283"/>
      <c r="H169" s="1286"/>
      <c r="I169" s="1289"/>
      <c r="J169" s="630">
        <v>1</v>
      </c>
      <c r="K169" s="468"/>
      <c r="L169" s="468"/>
      <c r="M169" s="468"/>
      <c r="N169" s="468"/>
      <c r="O169" s="631">
        <f>I173</f>
        <v>0</v>
      </c>
      <c r="P169" s="632">
        <f t="shared" si="43"/>
        <v>0</v>
      </c>
      <c r="Q169" s="632">
        <f t="shared" si="43"/>
        <v>0</v>
      </c>
      <c r="R169" s="632">
        <f t="shared" si="43"/>
        <v>0</v>
      </c>
      <c r="S169" s="632">
        <f t="shared" si="43"/>
        <v>0</v>
      </c>
      <c r="T169" s="632">
        <f t="shared" si="43"/>
        <v>0</v>
      </c>
      <c r="U169" s="632">
        <f t="shared" si="43"/>
        <v>0</v>
      </c>
      <c r="V169" s="633">
        <f t="shared" si="43"/>
        <v>0</v>
      </c>
    </row>
    <row r="170" spans="1:22" ht="13.5" customHeight="1" thickBot="1" x14ac:dyDescent="0.25">
      <c r="A170" s="1264" t="s">
        <v>76</v>
      </c>
      <c r="B170" s="1265"/>
      <c r="C170" s="1266"/>
      <c r="D170" s="1267">
        <f>SUM(D168:E169)</f>
        <v>22760</v>
      </c>
      <c r="E170" s="1268"/>
      <c r="F170" s="468"/>
      <c r="G170" s="634" t="s">
        <v>158</v>
      </c>
      <c r="H170" s="634" t="s">
        <v>156</v>
      </c>
      <c r="I170" s="634" t="s">
        <v>154</v>
      </c>
      <c r="J170" s="1269" t="s">
        <v>150</v>
      </c>
      <c r="K170" s="468"/>
      <c r="L170" s="468"/>
      <c r="M170" s="468"/>
      <c r="N170" s="468"/>
      <c r="O170" s="468"/>
      <c r="P170" s="468"/>
      <c r="Q170" s="468"/>
      <c r="R170" s="468"/>
      <c r="S170" s="468"/>
      <c r="T170" s="468"/>
      <c r="U170" s="468"/>
      <c r="V170" s="468"/>
    </row>
    <row r="171" spans="1:22" ht="13.5" customHeight="1" thickBot="1" x14ac:dyDescent="0.25">
      <c r="A171" s="635" t="s">
        <v>99</v>
      </c>
      <c r="B171" s="636" t="s">
        <v>100</v>
      </c>
      <c r="C171" s="636" t="s">
        <v>42</v>
      </c>
      <c r="D171" s="1217" t="s">
        <v>60</v>
      </c>
      <c r="E171" s="1218"/>
      <c r="F171" s="468"/>
      <c r="G171" s="634" t="s">
        <v>161</v>
      </c>
      <c r="H171" s="634" t="s">
        <v>157</v>
      </c>
      <c r="I171" s="634" t="s">
        <v>155</v>
      </c>
      <c r="J171" s="1270"/>
      <c r="K171" s="468"/>
      <c r="L171" s="468"/>
      <c r="M171" s="468"/>
      <c r="N171" s="468"/>
      <c r="O171" s="468"/>
      <c r="P171" s="468"/>
      <c r="Q171" s="468"/>
      <c r="R171" s="468"/>
      <c r="S171" s="468"/>
      <c r="T171" s="468"/>
      <c r="U171" s="468"/>
      <c r="V171" s="468"/>
    </row>
    <row r="172" spans="1:22" ht="13.5" customHeight="1" thickBot="1" x14ac:dyDescent="0.25">
      <c r="A172" s="637" t="s">
        <v>85</v>
      </c>
      <c r="B172" s="638" t="s">
        <v>200</v>
      </c>
      <c r="C172" s="588" t="s">
        <v>154</v>
      </c>
      <c r="D172" s="1271">
        <v>2500</v>
      </c>
      <c r="E172" s="1272"/>
      <c r="F172" s="468"/>
      <c r="G172" s="634" t="s">
        <v>159</v>
      </c>
      <c r="H172" s="630"/>
      <c r="I172" s="634" t="s">
        <v>160</v>
      </c>
      <c r="J172" s="639">
        <f>J169+1</f>
        <v>2</v>
      </c>
      <c r="K172" s="468"/>
      <c r="L172" s="468"/>
      <c r="M172" s="1273" t="s">
        <v>192</v>
      </c>
      <c r="N172" s="1274"/>
      <c r="O172" s="1274"/>
      <c r="P172" s="1274"/>
      <c r="Q172" s="574">
        <f>A155</f>
        <v>2</v>
      </c>
      <c r="R172" s="574"/>
      <c r="S172" s="574"/>
      <c r="T172" s="574"/>
      <c r="U172" s="574"/>
      <c r="V172" s="640"/>
    </row>
    <row r="173" spans="1:22" ht="13.5" customHeight="1" thickBot="1" x14ac:dyDescent="0.25">
      <c r="A173" s="637" t="s">
        <v>85</v>
      </c>
      <c r="B173" s="638" t="s">
        <v>201</v>
      </c>
      <c r="C173" s="488" t="s">
        <v>155</v>
      </c>
      <c r="D173" s="1195">
        <v>3550</v>
      </c>
      <c r="E173" s="1196"/>
      <c r="F173" s="468"/>
      <c r="G173" s="634" t="s">
        <v>126</v>
      </c>
      <c r="H173" s="630"/>
      <c r="I173" s="641"/>
      <c r="J173" s="642"/>
      <c r="K173" s="468"/>
      <c r="L173" s="468"/>
      <c r="M173" s="1275" t="str">
        <f>M151</f>
        <v>Prezentacije</v>
      </c>
      <c r="N173" s="1276"/>
      <c r="O173" s="1235" t="str">
        <f>O151</f>
        <v>Tim</v>
      </c>
      <c r="P173" s="1279" t="str">
        <f>P151</f>
        <v>Došlo</v>
      </c>
      <c r="Q173" s="1280"/>
      <c r="R173" s="1261" t="str">
        <f>R151</f>
        <v>Osobama kojima je dijelito komada/setova</v>
      </c>
      <c r="S173" s="1262"/>
      <c r="T173" s="1262"/>
      <c r="U173" s="1262"/>
      <c r="V173" s="1263"/>
    </row>
    <row r="174" spans="1:22" ht="13.5" customHeight="1" thickBot="1" x14ac:dyDescent="0.25">
      <c r="A174" s="637" t="s">
        <v>85</v>
      </c>
      <c r="B174" s="638" t="s">
        <v>200</v>
      </c>
      <c r="C174" s="488" t="s">
        <v>155</v>
      </c>
      <c r="D174" s="1195">
        <v>2250</v>
      </c>
      <c r="E174" s="1196"/>
      <c r="F174" s="468"/>
      <c r="G174" s="634" t="s">
        <v>127</v>
      </c>
      <c r="H174" s="630"/>
      <c r="I174" s="468"/>
      <c r="J174" s="642"/>
      <c r="K174" s="468"/>
      <c r="L174" s="468"/>
      <c r="M174" s="1277"/>
      <c r="N174" s="1278"/>
      <c r="O174" s="1161"/>
      <c r="P174" s="643" t="str">
        <f>P152</f>
        <v>Gostiju</v>
      </c>
      <c r="Q174" s="581" t="str">
        <f>Q152</f>
        <v>B.parova</v>
      </c>
      <c r="R174" s="581" t="str">
        <f>R152</f>
        <v>Nož</v>
      </c>
      <c r="S174" s="581" t="str">
        <f t="shared" ref="S174:U174" si="44">S152</f>
        <v>Q10</v>
      </c>
      <c r="T174" s="581" t="str">
        <f t="shared" si="44"/>
        <v>Bubrežnjak</v>
      </c>
      <c r="U174" s="581" t="str">
        <f t="shared" si="44"/>
        <v>Kosmo</v>
      </c>
      <c r="V174" s="583" t="str">
        <f>V152</f>
        <v>KREMA</v>
      </c>
    </row>
    <row r="175" spans="1:22" ht="13.5" customHeight="1" thickBot="1" x14ac:dyDescent="0.25">
      <c r="A175" s="637" t="s">
        <v>85</v>
      </c>
      <c r="B175" s="638" t="s">
        <v>200</v>
      </c>
      <c r="C175" s="488" t="s">
        <v>160</v>
      </c>
      <c r="D175" s="1195">
        <v>400</v>
      </c>
      <c r="E175" s="1196"/>
      <c r="F175" s="468"/>
      <c r="G175" s="634" t="s">
        <v>156</v>
      </c>
      <c r="H175" s="644"/>
      <c r="I175" s="468"/>
      <c r="J175" s="645"/>
      <c r="K175" s="468"/>
      <c r="L175" s="468"/>
      <c r="M175" s="1206" t="s">
        <v>117</v>
      </c>
      <c r="N175" s="1207"/>
      <c r="O175" s="488" t="s">
        <v>154</v>
      </c>
      <c r="P175" s="587">
        <v>25</v>
      </c>
      <c r="Q175" s="587">
        <v>2</v>
      </c>
      <c r="R175" s="587"/>
      <c r="S175" s="588">
        <v>25</v>
      </c>
      <c r="T175" s="588"/>
      <c r="U175" s="588">
        <v>2</v>
      </c>
      <c r="V175" s="646">
        <v>5</v>
      </c>
    </row>
    <row r="176" spans="1:22" ht="13.5" customHeight="1" x14ac:dyDescent="0.2">
      <c r="A176" s="637" t="s">
        <v>85</v>
      </c>
      <c r="B176" s="638" t="s">
        <v>201</v>
      </c>
      <c r="C176" s="488" t="s">
        <v>154</v>
      </c>
      <c r="D176" s="1195">
        <v>4750</v>
      </c>
      <c r="E176" s="1196"/>
      <c r="F176" s="468"/>
      <c r="G176" s="634" t="s">
        <v>130</v>
      </c>
      <c r="H176" s="642"/>
      <c r="I176" s="642"/>
      <c r="J176" s="642"/>
      <c r="K176" s="468"/>
      <c r="L176" s="468"/>
      <c r="M176" s="1183" t="s">
        <v>109</v>
      </c>
      <c r="N176" s="1184"/>
      <c r="O176" s="488" t="s">
        <v>160</v>
      </c>
      <c r="P176" s="595">
        <v>17</v>
      </c>
      <c r="Q176" s="595">
        <v>3</v>
      </c>
      <c r="R176" s="595"/>
      <c r="S176" s="488">
        <v>17</v>
      </c>
      <c r="T176" s="488"/>
      <c r="U176" s="488">
        <v>3</v>
      </c>
      <c r="V176" s="609">
        <v>4</v>
      </c>
    </row>
    <row r="177" spans="1:22" ht="13.5" customHeight="1" thickBot="1" x14ac:dyDescent="0.25">
      <c r="A177" s="647"/>
      <c r="B177" s="638"/>
      <c r="C177" s="488"/>
      <c r="D177" s="1195"/>
      <c r="E177" s="1196"/>
      <c r="F177" s="468"/>
      <c r="G177" s="641" t="s">
        <v>157</v>
      </c>
      <c r="H177" s="642"/>
      <c r="I177" s="642"/>
      <c r="J177" s="468"/>
      <c r="K177" s="468"/>
      <c r="L177" s="468"/>
      <c r="M177" s="1177" t="s">
        <v>118</v>
      </c>
      <c r="N177" s="1178"/>
      <c r="O177" s="488" t="s">
        <v>155</v>
      </c>
      <c r="P177" s="595">
        <v>13</v>
      </c>
      <c r="Q177" s="595">
        <v>3</v>
      </c>
      <c r="R177" s="595"/>
      <c r="S177" s="488">
        <v>13</v>
      </c>
      <c r="T177" s="488"/>
      <c r="U177" s="488">
        <v>2</v>
      </c>
      <c r="V177" s="609">
        <v>1</v>
      </c>
    </row>
    <row r="178" spans="1:22" ht="13.5" customHeight="1" thickBot="1" x14ac:dyDescent="0.25">
      <c r="A178" s="647"/>
      <c r="B178" s="638"/>
      <c r="C178" s="488"/>
      <c r="D178" s="1195"/>
      <c r="E178" s="1196"/>
      <c r="F178" s="468"/>
      <c r="G178" s="468"/>
      <c r="H178" s="468"/>
      <c r="I178" s="468"/>
      <c r="J178" s="468"/>
      <c r="K178" s="468"/>
      <c r="L178" s="642"/>
      <c r="M178" s="1183" t="s">
        <v>111</v>
      </c>
      <c r="N178" s="1184"/>
      <c r="O178" s="488" t="s">
        <v>155</v>
      </c>
      <c r="P178" s="595">
        <v>14</v>
      </c>
      <c r="Q178" s="595">
        <v>5</v>
      </c>
      <c r="R178" s="595"/>
      <c r="S178" s="488">
        <v>14</v>
      </c>
      <c r="T178" s="488"/>
      <c r="U178" s="488">
        <v>5</v>
      </c>
      <c r="V178" s="609">
        <v>3</v>
      </c>
    </row>
    <row r="179" spans="1:22" ht="13.5" customHeight="1" x14ac:dyDescent="0.2">
      <c r="A179" s="647"/>
      <c r="B179" s="638"/>
      <c r="C179" s="488"/>
      <c r="D179" s="1197"/>
      <c r="E179" s="1198"/>
      <c r="F179" s="468"/>
      <c r="G179" s="1187" t="s">
        <v>172</v>
      </c>
      <c r="H179" s="1188"/>
      <c r="I179" s="1191" t="s">
        <v>170</v>
      </c>
      <c r="J179" s="1193" t="s">
        <v>171</v>
      </c>
      <c r="K179" s="468"/>
      <c r="L179" s="468"/>
      <c r="M179" s="1177" t="s">
        <v>112</v>
      </c>
      <c r="N179" s="1178"/>
      <c r="O179" s="488" t="s">
        <v>154</v>
      </c>
      <c r="P179" s="595">
        <v>14</v>
      </c>
      <c r="Q179" s="595">
        <v>5</v>
      </c>
      <c r="R179" s="595">
        <v>14</v>
      </c>
      <c r="S179" s="595"/>
      <c r="T179" s="488"/>
      <c r="U179" s="488">
        <v>5</v>
      </c>
      <c r="V179" s="609">
        <v>3</v>
      </c>
    </row>
    <row r="180" spans="1:22" ht="13.5" customHeight="1" x14ac:dyDescent="0.2">
      <c r="A180" s="647"/>
      <c r="B180" s="638"/>
      <c r="C180" s="488"/>
      <c r="D180" s="1195"/>
      <c r="E180" s="1196"/>
      <c r="F180" s="468"/>
      <c r="G180" s="1189"/>
      <c r="H180" s="1190"/>
      <c r="I180" s="1192"/>
      <c r="J180" s="1194"/>
      <c r="K180" s="468"/>
      <c r="L180" s="468"/>
      <c r="M180" s="1183" t="s">
        <v>113</v>
      </c>
      <c r="N180" s="1184"/>
      <c r="O180" s="488" t="s">
        <v>154</v>
      </c>
      <c r="P180" s="595">
        <v>15</v>
      </c>
      <c r="Q180" s="595">
        <v>6</v>
      </c>
      <c r="R180" s="648">
        <v>15</v>
      </c>
      <c r="S180" s="648"/>
      <c r="T180" s="488"/>
      <c r="U180" s="488">
        <v>6</v>
      </c>
      <c r="V180" s="609">
        <v>2</v>
      </c>
    </row>
    <row r="181" spans="1:22" ht="13.5" customHeight="1" x14ac:dyDescent="0.2">
      <c r="A181" s="647"/>
      <c r="B181" s="638"/>
      <c r="C181" s="488"/>
      <c r="D181" s="1197"/>
      <c r="E181" s="1198"/>
      <c r="F181" s="468"/>
      <c r="G181" s="1175" t="s">
        <v>176</v>
      </c>
      <c r="H181" s="1176"/>
      <c r="I181" s="497" t="s">
        <v>179</v>
      </c>
      <c r="J181" s="596">
        <v>1</v>
      </c>
      <c r="K181" s="468"/>
      <c r="L181" s="468"/>
      <c r="M181" s="1177" t="s">
        <v>119</v>
      </c>
      <c r="N181" s="1178"/>
      <c r="O181" s="488" t="s">
        <v>160</v>
      </c>
      <c r="P181" s="595">
        <v>15</v>
      </c>
      <c r="Q181" s="595">
        <v>2</v>
      </c>
      <c r="R181" s="595">
        <v>15</v>
      </c>
      <c r="S181" s="595"/>
      <c r="T181" s="488"/>
      <c r="U181" s="488">
        <v>2</v>
      </c>
      <c r="V181" s="609">
        <v>1</v>
      </c>
    </row>
    <row r="182" spans="1:22" ht="13.5" customHeight="1" thickBot="1" x14ac:dyDescent="0.25">
      <c r="A182" s="649"/>
      <c r="B182" s="650"/>
      <c r="C182" s="510"/>
      <c r="D182" s="1185"/>
      <c r="E182" s="1186"/>
      <c r="F182" s="468"/>
      <c r="G182" s="1175" t="s">
        <v>175</v>
      </c>
      <c r="H182" s="1176"/>
      <c r="I182" s="497" t="s">
        <v>173</v>
      </c>
      <c r="J182" s="596">
        <v>3</v>
      </c>
      <c r="K182" s="468"/>
      <c r="L182" s="468"/>
      <c r="M182" s="1183" t="s">
        <v>114</v>
      </c>
      <c r="N182" s="1184"/>
      <c r="O182" s="488" t="s">
        <v>160</v>
      </c>
      <c r="P182" s="595">
        <v>4</v>
      </c>
      <c r="Q182" s="595">
        <v>1</v>
      </c>
      <c r="R182" s="595">
        <v>4</v>
      </c>
      <c r="S182" s="595"/>
      <c r="T182" s="488"/>
      <c r="U182" s="488">
        <v>1</v>
      </c>
      <c r="V182" s="609">
        <v>2</v>
      </c>
    </row>
    <row r="183" spans="1:22" ht="13.5" customHeight="1" x14ac:dyDescent="0.2">
      <c r="A183" s="1232" t="s">
        <v>124</v>
      </c>
      <c r="B183" s="1234" t="s">
        <v>200</v>
      </c>
      <c r="C183" s="1235"/>
      <c r="D183" s="1173">
        <f>SUMIF(B172:B182,B183,D172:E182)</f>
        <v>5150</v>
      </c>
      <c r="E183" s="1174"/>
      <c r="F183" s="468"/>
      <c r="G183" s="1175" t="s">
        <v>177</v>
      </c>
      <c r="H183" s="1176"/>
      <c r="I183" s="497" t="s">
        <v>194</v>
      </c>
      <c r="J183" s="596">
        <v>1</v>
      </c>
      <c r="K183" s="468"/>
      <c r="L183" s="468"/>
      <c r="M183" s="1177" t="s">
        <v>120</v>
      </c>
      <c r="N183" s="1178"/>
      <c r="O183" s="488"/>
      <c r="P183" s="595"/>
      <c r="Q183" s="595"/>
      <c r="R183" s="595"/>
      <c r="S183" s="595"/>
      <c r="T183" s="488"/>
      <c r="U183" s="488"/>
      <c r="V183" s="609"/>
    </row>
    <row r="184" spans="1:22" ht="13.5" customHeight="1" thickBot="1" x14ac:dyDescent="0.25">
      <c r="A184" s="1233"/>
      <c r="B184" s="1179" t="s">
        <v>201</v>
      </c>
      <c r="C184" s="1180"/>
      <c r="D184" s="1181">
        <f>SUMIF(B172:B182,B184,D172:E182)</f>
        <v>8300</v>
      </c>
      <c r="E184" s="1182"/>
      <c r="F184" s="468"/>
      <c r="G184" s="1358" t="s">
        <v>193</v>
      </c>
      <c r="H184" s="1359"/>
      <c r="I184" s="511" t="s">
        <v>178</v>
      </c>
      <c r="J184" s="651">
        <v>1</v>
      </c>
      <c r="K184" s="468"/>
      <c r="L184" s="642"/>
      <c r="M184" s="1183" t="s">
        <v>115</v>
      </c>
      <c r="N184" s="1184"/>
      <c r="O184" s="488"/>
      <c r="P184" s="595"/>
      <c r="Q184" s="595"/>
      <c r="R184" s="595"/>
      <c r="S184" s="595"/>
      <c r="T184" s="488"/>
      <c r="U184" s="488"/>
      <c r="V184" s="609"/>
    </row>
    <row r="185" spans="1:22" ht="13.5" customHeight="1" thickBot="1" x14ac:dyDescent="0.25">
      <c r="A185" s="1236" t="s">
        <v>73</v>
      </c>
      <c r="B185" s="1237"/>
      <c r="C185" s="1237"/>
      <c r="D185" s="1238">
        <f>SUM(D172:E182)</f>
        <v>13450</v>
      </c>
      <c r="E185" s="1239"/>
      <c r="F185" s="468"/>
      <c r="G185" s="468"/>
      <c r="H185" s="468"/>
      <c r="I185" s="468"/>
      <c r="J185" s="468"/>
      <c r="K185" s="468"/>
      <c r="L185" s="642"/>
      <c r="M185" s="1177" t="s">
        <v>116</v>
      </c>
      <c r="N185" s="1178"/>
      <c r="O185" s="488"/>
      <c r="P185" s="595"/>
      <c r="Q185" s="595"/>
      <c r="R185" s="595"/>
      <c r="S185" s="595"/>
      <c r="T185" s="488"/>
      <c r="U185" s="488"/>
      <c r="V185" s="609"/>
    </row>
    <row r="186" spans="1:22" ht="13.5" customHeight="1" thickBot="1" x14ac:dyDescent="0.25">
      <c r="A186" s="1209" t="s">
        <v>70</v>
      </c>
      <c r="B186" s="1210"/>
      <c r="C186" s="1210"/>
      <c r="D186" s="1213">
        <f>D170-D185</f>
        <v>9310</v>
      </c>
      <c r="E186" s="1214"/>
      <c r="F186" s="468"/>
      <c r="G186" s="1166" t="s">
        <v>153</v>
      </c>
      <c r="H186" s="1167"/>
      <c r="I186" s="1167"/>
      <c r="J186" s="1167"/>
      <c r="K186" s="1168"/>
      <c r="L186" s="642"/>
      <c r="M186" s="1219" t="s">
        <v>121</v>
      </c>
      <c r="N186" s="1220"/>
      <c r="O186" s="488"/>
      <c r="P186" s="615"/>
      <c r="Q186" s="615"/>
      <c r="R186" s="615"/>
      <c r="S186" s="615"/>
      <c r="T186" s="510"/>
      <c r="U186" s="510"/>
      <c r="V186" s="616"/>
    </row>
    <row r="187" spans="1:22" ht="13.5" customHeight="1" thickBot="1" x14ac:dyDescent="0.25">
      <c r="A187" s="1211"/>
      <c r="B187" s="1212"/>
      <c r="C187" s="1212"/>
      <c r="D187" s="1215"/>
      <c r="E187" s="1216"/>
      <c r="F187" s="468"/>
      <c r="G187" s="652" t="s">
        <v>99</v>
      </c>
      <c r="H187" s="653" t="s">
        <v>100</v>
      </c>
      <c r="I187" s="654" t="s">
        <v>42</v>
      </c>
      <c r="J187" s="1217" t="s">
        <v>60</v>
      </c>
      <c r="K187" s="1218"/>
      <c r="L187" s="655"/>
      <c r="M187" s="1223" t="s">
        <v>122</v>
      </c>
      <c r="N187" s="1224"/>
      <c r="O187" s="1225"/>
      <c r="P187" s="620">
        <f t="shared" ref="P187:V187" si="45">SUM(P175:P186)</f>
        <v>117</v>
      </c>
      <c r="Q187" s="620">
        <f t="shared" si="45"/>
        <v>27</v>
      </c>
      <c r="R187" s="620">
        <f t="shared" si="45"/>
        <v>48</v>
      </c>
      <c r="S187" s="620">
        <f>SUM(S175:S186)</f>
        <v>69</v>
      </c>
      <c r="T187" s="621">
        <f t="shared" si="45"/>
        <v>0</v>
      </c>
      <c r="U187" s="621">
        <f t="shared" si="45"/>
        <v>26</v>
      </c>
      <c r="V187" s="622">
        <f t="shared" si="45"/>
        <v>21</v>
      </c>
    </row>
    <row r="188" spans="1:22" ht="13.5" customHeight="1" x14ac:dyDescent="0.2">
      <c r="A188" s="656" t="s">
        <v>162</v>
      </c>
      <c r="B188" s="1226" t="s">
        <v>163</v>
      </c>
      <c r="C188" s="1226"/>
      <c r="D188" s="1226" t="s">
        <v>164</v>
      </c>
      <c r="E188" s="1227"/>
      <c r="F188" s="468"/>
      <c r="G188" s="657"/>
      <c r="H188" s="658"/>
      <c r="I188" s="659"/>
      <c r="J188" s="1221"/>
      <c r="K188" s="1222"/>
      <c r="L188" s="468"/>
      <c r="M188" s="468"/>
      <c r="N188" s="468"/>
      <c r="O188" s="623" t="str">
        <f>O166</f>
        <v>T11</v>
      </c>
      <c r="P188" s="624">
        <f t="shared" ref="P188:V190" si="46">SUMIF($O$175:$O$186,$O188,P$175:P$186)</f>
        <v>54</v>
      </c>
      <c r="Q188" s="624">
        <f t="shared" si="46"/>
        <v>13</v>
      </c>
      <c r="R188" s="624">
        <f t="shared" si="46"/>
        <v>29</v>
      </c>
      <c r="S188" s="624">
        <f t="shared" si="46"/>
        <v>25</v>
      </c>
      <c r="T188" s="624">
        <f t="shared" si="46"/>
        <v>0</v>
      </c>
      <c r="U188" s="624">
        <f t="shared" si="46"/>
        <v>13</v>
      </c>
      <c r="V188" s="625">
        <f t="shared" si="46"/>
        <v>10</v>
      </c>
    </row>
    <row r="189" spans="1:22" ht="13.5" customHeight="1" thickBot="1" x14ac:dyDescent="0.25">
      <c r="A189" s="660" t="str">
        <f>I170</f>
        <v>T11</v>
      </c>
      <c r="B189" s="1229">
        <f>SUMIF($C$172:$C$182,A189,$D$172:$E$182)</f>
        <v>7250</v>
      </c>
      <c r="C189" s="1229"/>
      <c r="D189" s="1229">
        <f>F92+F44-B189</f>
        <v>450</v>
      </c>
      <c r="E189" s="1230"/>
      <c r="F189" s="468"/>
      <c r="G189" s="637"/>
      <c r="H189" s="638"/>
      <c r="I189" s="595"/>
      <c r="J189" s="1221"/>
      <c r="K189" s="1222"/>
      <c r="L189" s="468"/>
      <c r="M189" s="468"/>
      <c r="N189" s="468"/>
      <c r="O189" s="626" t="str">
        <f>O167</f>
        <v>T09</v>
      </c>
      <c r="P189" s="627">
        <f t="shared" si="46"/>
        <v>27</v>
      </c>
      <c r="Q189" s="627">
        <f t="shared" si="46"/>
        <v>8</v>
      </c>
      <c r="R189" s="627">
        <f t="shared" si="46"/>
        <v>0</v>
      </c>
      <c r="S189" s="627">
        <f t="shared" si="46"/>
        <v>27</v>
      </c>
      <c r="T189" s="627">
        <f t="shared" si="46"/>
        <v>0</v>
      </c>
      <c r="U189" s="627">
        <f t="shared" si="46"/>
        <v>7</v>
      </c>
      <c r="V189" s="628">
        <f t="shared" si="46"/>
        <v>4</v>
      </c>
    </row>
    <row r="190" spans="1:22" ht="13.5" customHeight="1" x14ac:dyDescent="0.2">
      <c r="A190" s="660" t="str">
        <f>I171</f>
        <v>T09</v>
      </c>
      <c r="B190" s="1229">
        <f>SUMIF($C$172:$C$182,A190,$D$172:$E$182)</f>
        <v>5800</v>
      </c>
      <c r="C190" s="1229"/>
      <c r="D190" s="1229">
        <f>F93+F45-B190</f>
        <v>9260</v>
      </c>
      <c r="E190" s="1230"/>
      <c r="F190" s="468"/>
      <c r="G190" s="1259" t="s">
        <v>124</v>
      </c>
      <c r="H190" s="1228" t="str">
        <f>B183</f>
        <v>FINA</v>
      </c>
      <c r="I190" s="1228"/>
      <c r="J190" s="1173">
        <f>SUMIF(H186:H189,H190,J186:K189)</f>
        <v>0</v>
      </c>
      <c r="K190" s="1174"/>
      <c r="L190" s="468"/>
      <c r="M190" s="468"/>
      <c r="N190" s="468"/>
      <c r="O190" s="626" t="str">
        <f>O168</f>
        <v>T06</v>
      </c>
      <c r="P190" s="627">
        <f t="shared" si="46"/>
        <v>36</v>
      </c>
      <c r="Q190" s="627">
        <f t="shared" si="46"/>
        <v>6</v>
      </c>
      <c r="R190" s="627">
        <f t="shared" si="46"/>
        <v>19</v>
      </c>
      <c r="S190" s="627">
        <f t="shared" si="46"/>
        <v>17</v>
      </c>
      <c r="T190" s="627">
        <f t="shared" si="46"/>
        <v>0</v>
      </c>
      <c r="U190" s="627">
        <f t="shared" si="46"/>
        <v>6</v>
      </c>
      <c r="V190" s="628">
        <f t="shared" si="46"/>
        <v>7</v>
      </c>
    </row>
    <row r="191" spans="1:22" ht="13.5" customHeight="1" thickBot="1" x14ac:dyDescent="0.25">
      <c r="A191" s="660" t="str">
        <f>I172</f>
        <v>T06</v>
      </c>
      <c r="B191" s="1229">
        <f>SUMIF($C$172:$C$182,A191,$D$172:$E$182)</f>
        <v>400</v>
      </c>
      <c r="C191" s="1229"/>
      <c r="D191" s="1229">
        <f>F94+F46-B191</f>
        <v>-400</v>
      </c>
      <c r="E191" s="1230"/>
      <c r="F191" s="468"/>
      <c r="G191" s="1260"/>
      <c r="H191" s="1231" t="str">
        <f>B184</f>
        <v>KENT Bank</v>
      </c>
      <c r="I191" s="1231"/>
      <c r="J191" s="1181">
        <f>SUMIF(H186:H189,H191,J186:K189)</f>
        <v>0</v>
      </c>
      <c r="K191" s="1182"/>
      <c r="L191" s="468"/>
      <c r="M191" s="468"/>
      <c r="N191" s="468"/>
      <c r="O191" s="631">
        <f>O169</f>
        <v>0</v>
      </c>
      <c r="P191" s="632">
        <f>SUMIF($O$175:$O$186,$O191,P$175:P$186)</f>
        <v>0</v>
      </c>
      <c r="Q191" s="632">
        <f>SUMIF($O$175:$O$186,$O191,Q$175:Q$186)</f>
        <v>0</v>
      </c>
      <c r="R191" s="632">
        <f>SUMIF($O$175:$O$186,$O191,R$175:R$186)</f>
        <v>0</v>
      </c>
      <c r="S191" s="632">
        <f>SUMIF($O$175:$O$186,$O191,S$175:S$186)</f>
        <v>0</v>
      </c>
      <c r="T191" s="632">
        <f>SUMIF($O$153:$O$164,$O169,T$175:T$186)</f>
        <v>0</v>
      </c>
      <c r="U191" s="632">
        <f>SUMIF($O$153:$O$164,$O169,U$175:U$186)</f>
        <v>0</v>
      </c>
      <c r="V191" s="633">
        <f>SUMIF($O$153:$O$164,$O169,V$175:V$186)</f>
        <v>0</v>
      </c>
    </row>
    <row r="192" spans="1:22" ht="13.5" customHeight="1" thickBot="1" x14ac:dyDescent="0.25">
      <c r="A192" s="661">
        <f>I173</f>
        <v>0</v>
      </c>
      <c r="B192" s="1256">
        <f>SUMIF($C$172:$C$182,A192,$D$172:$E$182)</f>
        <v>0</v>
      </c>
      <c r="C192" s="1256"/>
      <c r="D192" s="1256">
        <f>F95+F47-B192</f>
        <v>0</v>
      </c>
      <c r="E192" s="1257"/>
      <c r="F192" s="468"/>
      <c r="G192" s="1252" t="s">
        <v>152</v>
      </c>
      <c r="H192" s="1253"/>
      <c r="I192" s="1253"/>
      <c r="J192" s="1254">
        <f>SUM(J186:K189)</f>
        <v>0</v>
      </c>
      <c r="K192" s="1255"/>
      <c r="L192" s="468"/>
      <c r="M192" s="1208" t="s">
        <v>131</v>
      </c>
      <c r="N192" s="1208"/>
      <c r="O192" s="1208"/>
      <c r="P192" s="468"/>
      <c r="Q192" s="468"/>
      <c r="R192" s="468"/>
      <c r="S192" s="468"/>
      <c r="T192" s="468"/>
      <c r="U192" s="468"/>
      <c r="V192" s="468"/>
    </row>
    <row r="193" spans="1:22" ht="13.5" customHeight="1" x14ac:dyDescent="0.2">
      <c r="A193" s="468"/>
      <c r="B193" s="468"/>
      <c r="C193" s="468"/>
      <c r="D193" s="468"/>
      <c r="E193" s="468"/>
      <c r="F193" s="468"/>
      <c r="G193" s="468"/>
      <c r="H193" s="468"/>
      <c r="I193" s="468"/>
      <c r="J193" s="468"/>
      <c r="K193" s="468"/>
      <c r="L193" s="468"/>
      <c r="M193" s="468"/>
      <c r="N193" s="468"/>
      <c r="O193" s="468"/>
      <c r="P193" s="468"/>
      <c r="Q193" s="468"/>
      <c r="R193" s="468"/>
      <c r="S193" s="468"/>
      <c r="T193" s="468"/>
      <c r="U193" s="468"/>
      <c r="V193" s="468"/>
    </row>
    <row r="194" spans="1:22" ht="13.5" customHeight="1" x14ac:dyDescent="0.2">
      <c r="A194" s="468"/>
      <c r="B194" s="468"/>
      <c r="C194" s="468"/>
      <c r="D194" s="468"/>
      <c r="E194" s="468"/>
      <c r="F194" s="468"/>
      <c r="G194" s="468"/>
      <c r="H194" s="468"/>
      <c r="I194" s="468"/>
      <c r="J194" s="468"/>
      <c r="K194" s="468"/>
      <c r="L194" s="468"/>
      <c r="M194" s="468"/>
      <c r="N194" s="468"/>
      <c r="O194" s="468"/>
      <c r="P194" s="468"/>
      <c r="Q194" s="468"/>
      <c r="R194" s="468"/>
      <c r="S194" s="468"/>
      <c r="T194" s="468"/>
      <c r="U194" s="468"/>
      <c r="V194" s="468"/>
    </row>
    <row r="195" spans="1:22" ht="21" customHeight="1" x14ac:dyDescent="0.2">
      <c r="A195" s="662" t="s">
        <v>180</v>
      </c>
      <c r="B195" s="662" t="str">
        <f>I170</f>
        <v>T11</v>
      </c>
      <c r="C195" s="468"/>
      <c r="D195" s="468"/>
      <c r="E195" s="468"/>
      <c r="F195" s="662" t="s">
        <v>186</v>
      </c>
      <c r="G195" s="662">
        <f>J169</f>
        <v>1</v>
      </c>
      <c r="H195" s="662">
        <f>G195+1</f>
        <v>2</v>
      </c>
      <c r="I195" s="468"/>
      <c r="J195" s="468"/>
      <c r="K195" s="468"/>
      <c r="L195" s="468"/>
      <c r="M195" s="468"/>
      <c r="N195" s="468"/>
      <c r="O195" s="468"/>
      <c r="P195" s="468"/>
      <c r="Q195" s="468"/>
      <c r="R195" s="468"/>
      <c r="S195" s="468"/>
      <c r="T195" s="468"/>
      <c r="U195" s="468"/>
      <c r="V195" s="468"/>
    </row>
    <row r="196" spans="1:22" ht="13.5" thickBot="1" x14ac:dyDescent="0.25">
      <c r="A196" s="468"/>
      <c r="B196" s="468"/>
      <c r="C196" s="468"/>
      <c r="D196" s="468"/>
      <c r="E196" s="468"/>
      <c r="F196" s="468"/>
      <c r="G196" s="468"/>
      <c r="H196" s="468"/>
      <c r="I196" s="468"/>
      <c r="J196" s="468"/>
      <c r="K196" s="468"/>
      <c r="L196" s="468"/>
      <c r="M196" s="468"/>
      <c r="N196" s="468"/>
      <c r="O196" s="468"/>
      <c r="P196" s="468"/>
      <c r="Q196" s="468"/>
      <c r="R196" s="468"/>
      <c r="S196" s="468"/>
      <c r="T196" s="468"/>
      <c r="U196" s="468"/>
      <c r="V196" s="468"/>
    </row>
    <row r="197" spans="1:22" ht="13.5" thickBot="1" x14ac:dyDescent="0.25">
      <c r="A197" s="1166" t="s">
        <v>75</v>
      </c>
      <c r="B197" s="1167"/>
      <c r="C197" s="1167"/>
      <c r="D197" s="1167"/>
      <c r="E197" s="1167"/>
      <c r="F197" s="1167"/>
      <c r="G197" s="1167"/>
      <c r="H197" s="1167"/>
      <c r="I197" s="1167"/>
      <c r="J197" s="1167"/>
      <c r="K197" s="1167"/>
      <c r="L197" s="1168"/>
      <c r="M197" s="468"/>
      <c r="N197" s="468"/>
      <c r="O197" s="468"/>
      <c r="P197" s="468"/>
      <c r="Q197" s="468"/>
      <c r="R197" s="468"/>
      <c r="S197" s="468"/>
      <c r="T197" s="468"/>
      <c r="U197" s="468"/>
      <c r="V197" s="468"/>
    </row>
    <row r="198" spans="1:22" ht="13.5" thickBot="1" x14ac:dyDescent="0.25">
      <c r="A198" s="1243" t="s">
        <v>59</v>
      </c>
      <c r="B198" s="1244"/>
      <c r="C198" s="1245" t="s">
        <v>66</v>
      </c>
      <c r="D198" s="1258"/>
      <c r="E198" s="1246"/>
      <c r="F198" s="663" t="s">
        <v>41</v>
      </c>
      <c r="G198" s="663" t="s">
        <v>62</v>
      </c>
      <c r="H198" s="664" t="str">
        <f>I181</f>
        <v>Nož</v>
      </c>
      <c r="I198" s="664" t="str">
        <f>I182</f>
        <v>Q10</v>
      </c>
      <c r="J198" s="664" t="str">
        <f>I183</f>
        <v>Bubrežnjak</v>
      </c>
      <c r="K198" s="664" t="str">
        <f>I184</f>
        <v>Kosmo</v>
      </c>
      <c r="L198" s="665" t="s">
        <v>191</v>
      </c>
      <c r="M198" s="468"/>
      <c r="N198" s="468"/>
      <c r="O198" s="468"/>
      <c r="P198" s="468"/>
      <c r="Q198" s="468"/>
      <c r="R198" s="468"/>
      <c r="S198" s="468"/>
      <c r="T198" s="468"/>
      <c r="U198" s="468"/>
      <c r="V198" s="468"/>
    </row>
    <row r="199" spans="1:22" x14ac:dyDescent="0.2">
      <c r="A199" s="1247">
        <v>44228</v>
      </c>
      <c r="B199" s="1248"/>
      <c r="C199" s="1249" t="s">
        <v>125</v>
      </c>
      <c r="D199" s="1250"/>
      <c r="E199" s="1251"/>
      <c r="F199" s="666">
        <v>6</v>
      </c>
      <c r="G199" s="666">
        <v>6</v>
      </c>
      <c r="H199" s="666">
        <v>7</v>
      </c>
      <c r="I199" s="666">
        <v>111</v>
      </c>
      <c r="J199" s="666">
        <v>23</v>
      </c>
      <c r="K199" s="666">
        <v>56</v>
      </c>
      <c r="L199" s="667">
        <v>100</v>
      </c>
      <c r="M199" s="468"/>
      <c r="N199" s="468"/>
      <c r="O199" s="468"/>
      <c r="P199" s="468"/>
      <c r="Q199" s="468"/>
      <c r="R199" s="468"/>
      <c r="S199" s="468"/>
      <c r="T199" s="468"/>
      <c r="U199" s="468"/>
      <c r="V199" s="468"/>
    </row>
    <row r="200" spans="1:22" x14ac:dyDescent="0.2">
      <c r="A200" s="1319">
        <v>44228</v>
      </c>
      <c r="B200" s="1320"/>
      <c r="C200" s="1325" t="s">
        <v>68</v>
      </c>
      <c r="D200" s="1326"/>
      <c r="E200" s="1327"/>
      <c r="F200" s="497">
        <v>15</v>
      </c>
      <c r="G200" s="497">
        <v>15</v>
      </c>
      <c r="H200" s="497">
        <v>16</v>
      </c>
      <c r="I200" s="497">
        <v>180</v>
      </c>
      <c r="J200" s="497"/>
      <c r="K200" s="497"/>
      <c r="L200" s="668"/>
      <c r="M200" s="468"/>
      <c r="N200" s="468"/>
      <c r="O200" s="468"/>
      <c r="P200" s="468"/>
      <c r="Q200" s="468"/>
      <c r="R200" s="468"/>
      <c r="S200" s="468"/>
      <c r="T200" s="468"/>
      <c r="U200" s="468"/>
      <c r="V200" s="468"/>
    </row>
    <row r="201" spans="1:22" x14ac:dyDescent="0.2">
      <c r="A201" s="1319">
        <v>44257</v>
      </c>
      <c r="B201" s="1320"/>
      <c r="C201" s="1303" t="s">
        <v>169</v>
      </c>
      <c r="D201" s="1304"/>
      <c r="E201" s="1305"/>
      <c r="F201" s="497"/>
      <c r="G201" s="497"/>
      <c r="H201" s="497"/>
      <c r="I201" s="497"/>
      <c r="J201" s="497">
        <v>70</v>
      </c>
      <c r="K201" s="497">
        <v>30</v>
      </c>
      <c r="L201" s="668">
        <v>24</v>
      </c>
      <c r="M201" s="468"/>
      <c r="N201" s="468"/>
      <c r="O201" s="468"/>
      <c r="P201" s="468"/>
      <c r="Q201" s="468"/>
      <c r="R201" s="468"/>
      <c r="S201" s="468"/>
      <c r="T201" s="468"/>
      <c r="U201" s="468"/>
      <c r="V201" s="468"/>
    </row>
    <row r="202" spans="1:22" x14ac:dyDescent="0.2">
      <c r="A202" s="1319"/>
      <c r="B202" s="1320"/>
      <c r="C202" s="1303" t="s">
        <v>208</v>
      </c>
      <c r="D202" s="1304"/>
      <c r="E202" s="1305"/>
      <c r="F202" s="497"/>
      <c r="G202" s="497"/>
      <c r="H202" s="497"/>
      <c r="I202" s="497"/>
      <c r="J202" s="497"/>
      <c r="K202" s="497"/>
      <c r="L202" s="668"/>
      <c r="M202" s="468"/>
      <c r="N202" s="468"/>
      <c r="O202" s="468"/>
      <c r="P202" s="468"/>
      <c r="Q202" s="468"/>
      <c r="R202" s="468"/>
      <c r="S202" s="468"/>
      <c r="T202" s="468"/>
      <c r="U202" s="468"/>
      <c r="V202" s="468"/>
    </row>
    <row r="203" spans="1:22" ht="13.5" customHeight="1" x14ac:dyDescent="0.2">
      <c r="A203" s="1319"/>
      <c r="B203" s="1320"/>
      <c r="C203" s="1360"/>
      <c r="D203" s="1361"/>
      <c r="E203" s="1362"/>
      <c r="F203" s="497"/>
      <c r="G203" s="497"/>
      <c r="H203" s="497"/>
      <c r="I203" s="497"/>
      <c r="J203" s="497"/>
      <c r="K203" s="497"/>
      <c r="L203" s="668"/>
      <c r="M203" s="468"/>
      <c r="N203" s="468"/>
      <c r="O203" s="468"/>
      <c r="P203" s="468"/>
      <c r="Q203" s="468"/>
      <c r="R203" s="468"/>
      <c r="S203" s="468"/>
      <c r="T203" s="468"/>
      <c r="U203" s="468"/>
      <c r="V203" s="468"/>
    </row>
    <row r="204" spans="1:22" x14ac:dyDescent="0.2">
      <c r="A204" s="1319"/>
      <c r="B204" s="1320"/>
      <c r="C204" s="1360"/>
      <c r="D204" s="1361"/>
      <c r="E204" s="1362"/>
      <c r="F204" s="497"/>
      <c r="G204" s="497"/>
      <c r="H204" s="497"/>
      <c r="I204" s="497"/>
      <c r="J204" s="497"/>
      <c r="K204" s="497"/>
      <c r="L204" s="668"/>
      <c r="M204" s="468"/>
      <c r="N204" s="468"/>
      <c r="O204" s="468"/>
      <c r="P204" s="468"/>
      <c r="Q204" s="468"/>
      <c r="R204" s="468"/>
      <c r="S204" s="468"/>
      <c r="T204" s="468"/>
      <c r="U204" s="468"/>
      <c r="V204" s="468"/>
    </row>
    <row r="205" spans="1:22" x14ac:dyDescent="0.2">
      <c r="A205" s="1319"/>
      <c r="B205" s="1320"/>
      <c r="C205" s="1360"/>
      <c r="D205" s="1361"/>
      <c r="E205" s="1362"/>
      <c r="F205" s="497"/>
      <c r="G205" s="497"/>
      <c r="H205" s="497"/>
      <c r="I205" s="497"/>
      <c r="J205" s="497"/>
      <c r="K205" s="497"/>
      <c r="L205" s="668"/>
      <c r="M205" s="468"/>
      <c r="N205" s="468"/>
      <c r="O205" s="468"/>
      <c r="P205" s="468"/>
      <c r="Q205" s="468"/>
      <c r="R205" s="468"/>
      <c r="S205" s="468"/>
      <c r="T205" s="468"/>
      <c r="U205" s="468"/>
      <c r="V205" s="468"/>
    </row>
    <row r="206" spans="1:22" ht="16.5" customHeight="1" x14ac:dyDescent="0.2">
      <c r="A206" s="1319"/>
      <c r="B206" s="1320"/>
      <c r="C206" s="1303"/>
      <c r="D206" s="1304"/>
      <c r="E206" s="1305"/>
      <c r="F206" s="497"/>
      <c r="G206" s="497"/>
      <c r="H206" s="497"/>
      <c r="I206" s="497"/>
      <c r="J206" s="497"/>
      <c r="K206" s="497"/>
      <c r="L206" s="668"/>
      <c r="M206" s="468"/>
      <c r="N206" s="468"/>
      <c r="O206" s="468"/>
      <c r="P206" s="468"/>
      <c r="Q206" s="468"/>
      <c r="R206" s="468"/>
      <c r="S206" s="468"/>
      <c r="T206" s="468"/>
      <c r="U206" s="468"/>
      <c r="V206" s="468"/>
    </row>
    <row r="207" spans="1:22" ht="12.75" customHeight="1" thickBot="1" x14ac:dyDescent="0.25">
      <c r="A207" s="1159" t="s">
        <v>69</v>
      </c>
      <c r="B207" s="1160"/>
      <c r="C207" s="1160"/>
      <c r="D207" s="1160"/>
      <c r="E207" s="1161"/>
      <c r="F207" s="669">
        <f>SUM(F199:F206)</f>
        <v>21</v>
      </c>
      <c r="G207" s="669">
        <f>SUM(G199:G206)</f>
        <v>21</v>
      </c>
      <c r="H207" s="669">
        <f>SUM(H199:H206)</f>
        <v>23</v>
      </c>
      <c r="I207" s="669">
        <f>SUM(I199:I206)</f>
        <v>291</v>
      </c>
      <c r="J207" s="669">
        <f t="shared" ref="J207:K207" si="47">SUM(J199:J206)</f>
        <v>93</v>
      </c>
      <c r="K207" s="669">
        <f t="shared" si="47"/>
        <v>86</v>
      </c>
      <c r="L207" s="670">
        <f>SUM(L199:L206)</f>
        <v>124</v>
      </c>
      <c r="M207" s="468"/>
      <c r="N207" s="468"/>
      <c r="O207" s="468"/>
      <c r="P207" s="468"/>
      <c r="Q207" s="468"/>
      <c r="R207" s="468"/>
      <c r="S207" s="468"/>
      <c r="T207" s="468"/>
      <c r="U207" s="468"/>
      <c r="V207" s="468"/>
    </row>
    <row r="208" spans="1:22" ht="12.75" customHeight="1" x14ac:dyDescent="0.2">
      <c r="A208" s="1328" t="str">
        <f>B149</f>
        <v>MEDEM d.o.o.</v>
      </c>
      <c r="B208" s="1329"/>
      <c r="C208" s="1329"/>
      <c r="D208" s="1329"/>
      <c r="E208" s="1329"/>
      <c r="F208" s="1329"/>
      <c r="G208" s="1329"/>
      <c r="H208" s="1329"/>
      <c r="I208" s="1329"/>
      <c r="J208" s="1329"/>
      <c r="K208" s="1329"/>
      <c r="L208" s="1330"/>
      <c r="M208" s="468"/>
      <c r="N208" s="468"/>
      <c r="O208" s="468"/>
      <c r="P208" s="468"/>
      <c r="Q208" s="468"/>
      <c r="R208" s="468"/>
      <c r="S208" s="468"/>
      <c r="T208" s="468"/>
      <c r="U208" s="468"/>
      <c r="V208" s="468"/>
    </row>
    <row r="209" spans="1:22" x14ac:dyDescent="0.2">
      <c r="A209" s="605" t="s">
        <v>151</v>
      </c>
      <c r="B209" s="671" t="s">
        <v>146</v>
      </c>
      <c r="C209" s="671" t="s">
        <v>147</v>
      </c>
      <c r="D209" s="1162" t="s">
        <v>151</v>
      </c>
      <c r="E209" s="1163"/>
      <c r="F209" s="1162" t="s">
        <v>168</v>
      </c>
      <c r="G209" s="1164"/>
      <c r="H209" s="1164"/>
      <c r="I209" s="1164"/>
      <c r="J209" s="1164"/>
      <c r="K209" s="1164"/>
      <c r="L209" s="1165"/>
      <c r="M209" s="468"/>
      <c r="N209" s="468"/>
      <c r="O209" s="468"/>
      <c r="P209" s="468"/>
      <c r="Q209" s="468"/>
      <c r="R209" s="468"/>
      <c r="S209" s="468"/>
      <c r="T209" s="468"/>
      <c r="U209" s="468"/>
      <c r="V209" s="468"/>
    </row>
    <row r="210" spans="1:22" x14ac:dyDescent="0.2">
      <c r="A210" s="605">
        <f>G195</f>
        <v>1</v>
      </c>
      <c r="B210" s="672">
        <f>B154</f>
        <v>23770</v>
      </c>
      <c r="C210" s="672">
        <f t="shared" ref="C210:D211" si="48">C154</f>
        <v>18710</v>
      </c>
      <c r="D210" s="1346" t="str">
        <f t="shared" si="48"/>
        <v>Dugi tjedan</v>
      </c>
      <c r="E210" s="1347"/>
      <c r="F210" s="671">
        <f>E154</f>
        <v>10</v>
      </c>
      <c r="G210" s="671">
        <f t="shared" ref="G210:L211" si="49">F154</f>
        <v>10</v>
      </c>
      <c r="H210" s="671">
        <f t="shared" si="49"/>
        <v>11</v>
      </c>
      <c r="I210" s="671">
        <f t="shared" si="49"/>
        <v>0</v>
      </c>
      <c r="J210" s="671">
        <f t="shared" si="49"/>
        <v>14</v>
      </c>
      <c r="K210" s="671">
        <f t="shared" si="49"/>
        <v>15</v>
      </c>
      <c r="L210" s="673">
        <f t="shared" si="49"/>
        <v>30</v>
      </c>
      <c r="M210" s="468"/>
      <c r="N210" s="468"/>
      <c r="O210" s="468"/>
      <c r="P210" s="468"/>
      <c r="Q210" s="468"/>
      <c r="R210" s="468"/>
      <c r="S210" s="468"/>
      <c r="T210" s="468"/>
      <c r="U210" s="468"/>
      <c r="V210" s="468"/>
    </row>
    <row r="211" spans="1:22" ht="13.5" thickBot="1" x14ac:dyDescent="0.25">
      <c r="A211" s="674">
        <f>H195</f>
        <v>2</v>
      </c>
      <c r="B211" s="675">
        <f>B155</f>
        <v>5870</v>
      </c>
      <c r="C211" s="675">
        <f t="shared" si="48"/>
        <v>4050</v>
      </c>
      <c r="D211" s="1348" t="str">
        <f t="shared" si="48"/>
        <v>Kratki tjedan</v>
      </c>
      <c r="E211" s="1349"/>
      <c r="F211" s="676">
        <f>E155</f>
        <v>4</v>
      </c>
      <c r="G211" s="676">
        <f t="shared" si="49"/>
        <v>5</v>
      </c>
      <c r="H211" s="676">
        <f t="shared" si="49"/>
        <v>2</v>
      </c>
      <c r="I211" s="676">
        <f t="shared" si="49"/>
        <v>207</v>
      </c>
      <c r="J211" s="676">
        <f t="shared" si="49"/>
        <v>0</v>
      </c>
      <c r="K211" s="676">
        <f t="shared" si="49"/>
        <v>26</v>
      </c>
      <c r="L211" s="677">
        <f t="shared" si="49"/>
        <v>21</v>
      </c>
      <c r="M211" s="468"/>
      <c r="N211" s="468"/>
      <c r="O211" s="468"/>
      <c r="P211" s="468"/>
      <c r="Q211" s="468"/>
      <c r="R211" s="468"/>
      <c r="S211" s="468"/>
      <c r="T211" s="468"/>
      <c r="U211" s="468"/>
      <c r="V211" s="468"/>
    </row>
    <row r="212" spans="1:22" ht="14.25" thickTop="1" thickBot="1" x14ac:dyDescent="0.25">
      <c r="A212" s="678" t="s">
        <v>211</v>
      </c>
      <c r="B212" s="679">
        <f>B211+B210</f>
        <v>29640</v>
      </c>
      <c r="C212" s="679">
        <f>C211+C210</f>
        <v>22760</v>
      </c>
      <c r="D212" s="1350" t="str">
        <f>A212</f>
        <v>UKUPNO VG:</v>
      </c>
      <c r="E212" s="1351"/>
      <c r="F212" s="680">
        <f>F210+F211</f>
        <v>14</v>
      </c>
      <c r="G212" s="680">
        <f>G210+G211</f>
        <v>15</v>
      </c>
      <c r="H212" s="680">
        <f>H210+H211</f>
        <v>13</v>
      </c>
      <c r="I212" s="680">
        <f t="shared" ref="I212:L212" si="50">I210+I211</f>
        <v>207</v>
      </c>
      <c r="J212" s="680">
        <f t="shared" si="50"/>
        <v>14</v>
      </c>
      <c r="K212" s="680">
        <f t="shared" si="50"/>
        <v>41</v>
      </c>
      <c r="L212" s="680">
        <f t="shared" si="50"/>
        <v>51</v>
      </c>
      <c r="M212" s="468"/>
      <c r="N212" s="468"/>
      <c r="O212" s="468"/>
      <c r="P212" s="468"/>
      <c r="Q212" s="468"/>
      <c r="R212" s="468"/>
      <c r="S212" s="468"/>
      <c r="T212" s="468"/>
      <c r="U212" s="468"/>
      <c r="V212" s="468"/>
    </row>
    <row r="213" spans="1:22" ht="12.75" customHeight="1" x14ac:dyDescent="0.2">
      <c r="A213" s="1331" t="str">
        <f>B100</f>
        <v>Home plus d.o.o.</v>
      </c>
      <c r="B213" s="1332"/>
      <c r="C213" s="1332"/>
      <c r="D213" s="1332"/>
      <c r="E213" s="1332"/>
      <c r="F213" s="1332"/>
      <c r="G213" s="1332"/>
      <c r="H213" s="1332"/>
      <c r="I213" s="1332"/>
      <c r="J213" s="1332"/>
      <c r="K213" s="1332"/>
      <c r="L213" s="1333"/>
      <c r="M213" s="468"/>
      <c r="N213" s="468"/>
      <c r="O213" s="468"/>
      <c r="P213" s="468"/>
      <c r="Q213" s="468"/>
      <c r="R213" s="468"/>
      <c r="S213" s="468"/>
      <c r="T213" s="468"/>
      <c r="U213" s="468"/>
      <c r="V213" s="468"/>
    </row>
    <row r="214" spans="1:22" ht="12.75" customHeight="1" x14ac:dyDescent="0.2">
      <c r="A214" s="681">
        <f>A210</f>
        <v>1</v>
      </c>
      <c r="B214" s="682">
        <f>E120</f>
        <v>3360</v>
      </c>
      <c r="C214" s="682">
        <f t="shared" ref="C214:L214" si="51">F120</f>
        <v>1426</v>
      </c>
      <c r="D214" s="1354" t="str">
        <f>D210</f>
        <v>Dugi tjedan</v>
      </c>
      <c r="E214" s="1355"/>
      <c r="F214" s="683">
        <f>T120</f>
        <v>2</v>
      </c>
      <c r="G214" s="683">
        <f>U120</f>
        <v>3</v>
      </c>
      <c r="H214" s="683">
        <f>V120</f>
        <v>1</v>
      </c>
      <c r="I214" s="684">
        <f t="shared" si="51"/>
        <v>0</v>
      </c>
      <c r="J214" s="684">
        <f t="shared" si="51"/>
        <v>0</v>
      </c>
      <c r="K214" s="684">
        <f t="shared" si="51"/>
        <v>0</v>
      </c>
      <c r="L214" s="684">
        <f t="shared" si="51"/>
        <v>0</v>
      </c>
      <c r="M214" s="468"/>
      <c r="N214" s="468"/>
      <c r="O214" s="468"/>
      <c r="P214" s="468"/>
      <c r="Q214" s="468"/>
      <c r="R214" s="468"/>
      <c r="S214" s="468"/>
      <c r="T214" s="468"/>
      <c r="U214" s="468"/>
      <c r="V214" s="468"/>
    </row>
    <row r="215" spans="1:22" ht="13.5" thickBot="1" x14ac:dyDescent="0.25">
      <c r="A215" s="681">
        <f>A211</f>
        <v>2</v>
      </c>
      <c r="B215" s="685">
        <f>E143</f>
        <v>2340</v>
      </c>
      <c r="C215" s="685">
        <f t="shared" ref="C215:L215" si="52">F143</f>
        <v>560</v>
      </c>
      <c r="D215" s="1356" t="str">
        <f>D211</f>
        <v>Kratki tjedan</v>
      </c>
      <c r="E215" s="1357"/>
      <c r="F215" s="686">
        <f>T143</f>
        <v>2</v>
      </c>
      <c r="G215" s="686">
        <f>U143</f>
        <v>0</v>
      </c>
      <c r="H215" s="686">
        <f>V143</f>
        <v>1</v>
      </c>
      <c r="I215" s="687">
        <f t="shared" si="52"/>
        <v>0</v>
      </c>
      <c r="J215" s="687">
        <f t="shared" si="52"/>
        <v>0</v>
      </c>
      <c r="K215" s="687">
        <f t="shared" si="52"/>
        <v>0</v>
      </c>
      <c r="L215" s="687">
        <f t="shared" si="52"/>
        <v>0</v>
      </c>
      <c r="M215" s="468"/>
      <c r="N215" s="468"/>
      <c r="O215" s="468"/>
      <c r="P215" s="468"/>
      <c r="Q215" s="468"/>
      <c r="R215" s="468"/>
      <c r="S215" s="468"/>
      <c r="T215" s="468"/>
      <c r="U215" s="468"/>
      <c r="V215" s="468"/>
    </row>
    <row r="216" spans="1:22" ht="14.25" thickTop="1" thickBot="1" x14ac:dyDescent="0.25">
      <c r="A216" s="688" t="s">
        <v>212</v>
      </c>
      <c r="B216" s="689">
        <f>B215+B214</f>
        <v>5700</v>
      </c>
      <c r="C216" s="689">
        <f>C215+C214</f>
        <v>1986</v>
      </c>
      <c r="D216" s="1352" t="s">
        <v>214</v>
      </c>
      <c r="E216" s="1353"/>
      <c r="F216" s="690">
        <f>F214+F215</f>
        <v>4</v>
      </c>
      <c r="G216" s="690">
        <f t="shared" ref="G216:L216" si="53">G214+G215</f>
        <v>3</v>
      </c>
      <c r="H216" s="690">
        <f t="shared" si="53"/>
        <v>2</v>
      </c>
      <c r="I216" s="690">
        <f t="shared" si="53"/>
        <v>0</v>
      </c>
      <c r="J216" s="690">
        <f t="shared" si="53"/>
        <v>0</v>
      </c>
      <c r="K216" s="690">
        <f t="shared" si="53"/>
        <v>0</v>
      </c>
      <c r="L216" s="690">
        <f t="shared" si="53"/>
        <v>0</v>
      </c>
      <c r="M216" s="468"/>
      <c r="N216" s="468"/>
      <c r="O216" s="468"/>
      <c r="P216" s="468"/>
      <c r="Q216" s="468"/>
      <c r="R216" s="468"/>
      <c r="S216" s="468"/>
      <c r="T216" s="468"/>
      <c r="U216" s="468"/>
      <c r="V216" s="468"/>
    </row>
    <row r="217" spans="1:22" ht="13.5" thickBot="1" x14ac:dyDescent="0.25">
      <c r="A217" s="691"/>
      <c r="B217" s="692">
        <f>B155+B154</f>
        <v>29640</v>
      </c>
      <c r="C217" s="693">
        <f>F91+F43</f>
        <v>22760</v>
      </c>
      <c r="D217" s="1323" t="s">
        <v>213</v>
      </c>
      <c r="E217" s="1324"/>
      <c r="F217" s="694">
        <f>F216+F212</f>
        <v>18</v>
      </c>
      <c r="G217" s="694">
        <f t="shared" ref="G217:L217" si="54">G216+G212</f>
        <v>18</v>
      </c>
      <c r="H217" s="694">
        <f>H216+H212</f>
        <v>15</v>
      </c>
      <c r="I217" s="694">
        <f t="shared" si="54"/>
        <v>207</v>
      </c>
      <c r="J217" s="694">
        <f t="shared" si="54"/>
        <v>14</v>
      </c>
      <c r="K217" s="694">
        <f t="shared" si="54"/>
        <v>41</v>
      </c>
      <c r="L217" s="694">
        <f t="shared" si="54"/>
        <v>51</v>
      </c>
      <c r="M217" s="468"/>
      <c r="N217" s="468"/>
      <c r="O217" s="468"/>
      <c r="P217" s="468"/>
      <c r="Q217" s="468"/>
      <c r="R217" s="468"/>
      <c r="S217" s="468"/>
      <c r="T217" s="468"/>
      <c r="U217" s="468"/>
      <c r="V217" s="468"/>
    </row>
    <row r="218" spans="1:22" x14ac:dyDescent="0.2">
      <c r="A218" s="695" t="str">
        <f>I170</f>
        <v>T11</v>
      </c>
      <c r="B218" s="696">
        <f>E92+E44</f>
        <v>12860</v>
      </c>
      <c r="C218" s="696">
        <f>F92+F44</f>
        <v>7700</v>
      </c>
      <c r="D218" s="697" t="s">
        <v>148</v>
      </c>
      <c r="E218" s="697" t="str">
        <f>A218</f>
        <v>T11</v>
      </c>
      <c r="F218" s="666">
        <v>2</v>
      </c>
      <c r="G218" s="666">
        <v>2</v>
      </c>
      <c r="H218" s="666">
        <v>2</v>
      </c>
      <c r="I218" s="697">
        <f>(S166+S188)*$J$182</f>
        <v>75</v>
      </c>
      <c r="J218" s="697">
        <f>(T166+T188)*$J$183</f>
        <v>9</v>
      </c>
      <c r="K218" s="697">
        <f>(U166+U188)*$J$184</f>
        <v>20</v>
      </c>
      <c r="L218" s="698">
        <f>V166+V188</f>
        <v>21</v>
      </c>
      <c r="M218" s="468"/>
      <c r="N218" s="468"/>
      <c r="O218" s="468"/>
      <c r="P218" s="468"/>
      <c r="Q218" s="468"/>
      <c r="R218" s="468"/>
      <c r="S218" s="468"/>
      <c r="T218" s="468"/>
      <c r="U218" s="468"/>
      <c r="V218" s="468"/>
    </row>
    <row r="219" spans="1:22" x14ac:dyDescent="0.2">
      <c r="A219" s="590" t="str">
        <f>I171</f>
        <v>T09</v>
      </c>
      <c r="B219" s="591">
        <f>E93+E45</f>
        <v>16780</v>
      </c>
      <c r="C219" s="591">
        <f>F93+F45</f>
        <v>15060</v>
      </c>
      <c r="D219" s="592" t="s">
        <v>148</v>
      </c>
      <c r="E219" s="627" t="str">
        <f>A219</f>
        <v>T09</v>
      </c>
      <c r="F219" s="497"/>
      <c r="G219" s="497"/>
      <c r="H219" s="497"/>
      <c r="I219" s="592">
        <f t="shared" ref="I219:I221" si="55">(S167+S189)*$J$182</f>
        <v>81</v>
      </c>
      <c r="J219" s="592">
        <f>(T167+T189)*$J$183</f>
        <v>5</v>
      </c>
      <c r="K219" s="592">
        <f>(U167+U189)*$J$184</f>
        <v>15</v>
      </c>
      <c r="L219" s="594">
        <f>V167+V189</f>
        <v>23</v>
      </c>
      <c r="M219" s="468"/>
      <c r="N219" s="468"/>
      <c r="O219" s="468"/>
      <c r="P219" s="468"/>
      <c r="Q219" s="468"/>
      <c r="R219" s="468"/>
      <c r="S219" s="468"/>
      <c r="T219" s="468"/>
      <c r="U219" s="468"/>
      <c r="V219" s="468"/>
    </row>
    <row r="220" spans="1:22" x14ac:dyDescent="0.2">
      <c r="A220" s="590" t="str">
        <f>I172</f>
        <v>T06</v>
      </c>
      <c r="B220" s="591">
        <f>E94+E46</f>
        <v>0</v>
      </c>
      <c r="C220" s="591">
        <f>F94+F46</f>
        <v>0</v>
      </c>
      <c r="D220" s="592" t="s">
        <v>148</v>
      </c>
      <c r="E220" s="627" t="str">
        <f>A220</f>
        <v>T06</v>
      </c>
      <c r="F220" s="497"/>
      <c r="G220" s="497"/>
      <c r="H220" s="497"/>
      <c r="I220" s="592">
        <f t="shared" si="55"/>
        <v>51</v>
      </c>
      <c r="J220" s="592">
        <f>(T168+T190)*$J$183</f>
        <v>0</v>
      </c>
      <c r="K220" s="592">
        <f>(U168+U190)*$J$184</f>
        <v>6</v>
      </c>
      <c r="L220" s="594">
        <f>V168+V190</f>
        <v>7</v>
      </c>
      <c r="M220" s="468"/>
      <c r="N220" s="468"/>
      <c r="O220" s="468"/>
      <c r="P220" s="468"/>
      <c r="Q220" s="468"/>
      <c r="R220" s="468"/>
      <c r="S220" s="468"/>
      <c r="T220" s="468"/>
      <c r="U220" s="468"/>
      <c r="V220" s="468"/>
    </row>
    <row r="221" spans="1:22" ht="12.75" customHeight="1" thickBot="1" x14ac:dyDescent="0.25">
      <c r="A221" s="597">
        <f>I173</f>
        <v>0</v>
      </c>
      <c r="B221" s="598">
        <f>E95+E47</f>
        <v>0</v>
      </c>
      <c r="C221" s="598">
        <f>F95+F47</f>
        <v>0</v>
      </c>
      <c r="D221" s="581" t="s">
        <v>148</v>
      </c>
      <c r="E221" s="632">
        <f>A221</f>
        <v>0</v>
      </c>
      <c r="F221" s="511"/>
      <c r="G221" s="511"/>
      <c r="H221" s="511"/>
      <c r="I221" s="581">
        <f t="shared" si="55"/>
        <v>0</v>
      </c>
      <c r="J221" s="581">
        <f>(T169+T191)*$J$183</f>
        <v>0</v>
      </c>
      <c r="K221" s="581">
        <f>(U169+U191)*$J$184</f>
        <v>0</v>
      </c>
      <c r="L221" s="583">
        <f>V169+V191</f>
        <v>0</v>
      </c>
      <c r="M221" s="468"/>
      <c r="N221" s="468"/>
      <c r="O221" s="468"/>
      <c r="P221" s="468"/>
      <c r="Q221" s="468"/>
      <c r="R221" s="468"/>
      <c r="S221" s="468"/>
      <c r="T221" s="468"/>
      <c r="U221" s="468"/>
      <c r="V221" s="468"/>
    </row>
    <row r="222" spans="1:22" ht="13.5" thickBot="1" x14ac:dyDescent="0.25">
      <c r="A222" s="1240" t="s">
        <v>77</v>
      </c>
      <c r="B222" s="1241"/>
      <c r="C222" s="1241"/>
      <c r="D222" s="1241"/>
      <c r="E222" s="1242"/>
      <c r="F222" s="603">
        <f>F207-F217-SUM(F218:F221)</f>
        <v>1</v>
      </c>
      <c r="G222" s="603">
        <f t="shared" ref="G222:L222" si="56">G207-G217-SUM(G218:G221)</f>
        <v>1</v>
      </c>
      <c r="H222" s="603">
        <f t="shared" si="56"/>
        <v>6</v>
      </c>
      <c r="I222" s="603">
        <f t="shared" si="56"/>
        <v>-123</v>
      </c>
      <c r="J222" s="603">
        <f t="shared" si="56"/>
        <v>65</v>
      </c>
      <c r="K222" s="603">
        <f t="shared" si="56"/>
        <v>4</v>
      </c>
      <c r="L222" s="603">
        <f t="shared" si="56"/>
        <v>22</v>
      </c>
      <c r="M222" s="468"/>
      <c r="N222" s="468"/>
      <c r="O222" s="468"/>
      <c r="P222" s="468"/>
      <c r="Q222" s="468"/>
      <c r="R222" s="468"/>
      <c r="S222" s="468"/>
      <c r="T222" s="468"/>
      <c r="U222" s="468"/>
      <c r="V222" s="468"/>
    </row>
    <row r="223" spans="1:22" x14ac:dyDescent="0.2">
      <c r="B223" s="171"/>
    </row>
    <row r="224" spans="1:22" x14ac:dyDescent="0.2">
      <c r="B224" s="171"/>
    </row>
  </sheetData>
  <sheetProtection algorithmName="SHA-512" hashValue="fM5ivfs7Wsmf5+0U5dIPTdF5qwyFjewjKx/COYdTXbud9+mgxFjHwdsPRcQlG0ITykDyyiwWGoQQh0FxHEDOWg==" saltValue="smQ7HzRiXw2/9C9lTSeSfg==" spinCount="100000" sheet="1" objects="1" scenarios="1" selectLockedCells="1" selectUnlockedCells="1"/>
  <dataConsolidate/>
  <mergeCells count="267">
    <mergeCell ref="D210:E210"/>
    <mergeCell ref="D211:E211"/>
    <mergeCell ref="D212:E212"/>
    <mergeCell ref="D216:E216"/>
    <mergeCell ref="D214:E214"/>
    <mergeCell ref="D215:E215"/>
    <mergeCell ref="A127:A128"/>
    <mergeCell ref="B127:D127"/>
    <mergeCell ref="O133:S133"/>
    <mergeCell ref="O134:S134"/>
    <mergeCell ref="O142:S142"/>
    <mergeCell ref="O135:S135"/>
    <mergeCell ref="O136:S136"/>
    <mergeCell ref="O137:S137"/>
    <mergeCell ref="O138:S138"/>
    <mergeCell ref="O139:S139"/>
    <mergeCell ref="O140:S140"/>
    <mergeCell ref="O141:S141"/>
    <mergeCell ref="M162:N162"/>
    <mergeCell ref="G184:H184"/>
    <mergeCell ref="C203:E203"/>
    <mergeCell ref="C204:E204"/>
    <mergeCell ref="C205:E205"/>
    <mergeCell ref="E159:E160"/>
    <mergeCell ref="B120:D120"/>
    <mergeCell ref="O128:S128"/>
    <mergeCell ref="O129:S129"/>
    <mergeCell ref="O130:S130"/>
    <mergeCell ref="O131:S131"/>
    <mergeCell ref="O132:S132"/>
    <mergeCell ref="O90:S90"/>
    <mergeCell ref="M161:N161"/>
    <mergeCell ref="O110:S110"/>
    <mergeCell ref="O111:S111"/>
    <mergeCell ref="O112:S112"/>
    <mergeCell ref="O113:S113"/>
    <mergeCell ref="O114:S114"/>
    <mergeCell ref="O115:S115"/>
    <mergeCell ref="O116:S116"/>
    <mergeCell ref="O117:S117"/>
    <mergeCell ref="M155:N155"/>
    <mergeCell ref="M156:N156"/>
    <mergeCell ref="M157:N157"/>
    <mergeCell ref="M158:N158"/>
    <mergeCell ref="B159:B160"/>
    <mergeCell ref="C159:C160"/>
    <mergeCell ref="D159:D160"/>
    <mergeCell ref="F159:F160"/>
    <mergeCell ref="A102:A103"/>
    <mergeCell ref="B102:D102"/>
    <mergeCell ref="O103:S103"/>
    <mergeCell ref="O104:S104"/>
    <mergeCell ref="O105:S105"/>
    <mergeCell ref="O106:S106"/>
    <mergeCell ref="O107:S107"/>
    <mergeCell ref="O108:S108"/>
    <mergeCell ref="O109:S109"/>
    <mergeCell ref="O73:S73"/>
    <mergeCell ref="O74:S74"/>
    <mergeCell ref="O75:S75"/>
    <mergeCell ref="O76:S76"/>
    <mergeCell ref="O68:S68"/>
    <mergeCell ref="O69:S69"/>
    <mergeCell ref="O70:S70"/>
    <mergeCell ref="B52:D52"/>
    <mergeCell ref="O81:S81"/>
    <mergeCell ref="O64:S64"/>
    <mergeCell ref="O55:S55"/>
    <mergeCell ref="O56:S56"/>
    <mergeCell ref="O57:S57"/>
    <mergeCell ref="O58:S58"/>
    <mergeCell ref="O59:S59"/>
    <mergeCell ref="O71:S71"/>
    <mergeCell ref="O72:S72"/>
    <mergeCell ref="O65:S65"/>
    <mergeCell ref="O66:S66"/>
    <mergeCell ref="O67:S67"/>
    <mergeCell ref="O60:S60"/>
    <mergeCell ref="O61:S61"/>
    <mergeCell ref="O62:S62"/>
    <mergeCell ref="O63:S63"/>
    <mergeCell ref="O86:S86"/>
    <mergeCell ref="O87:S87"/>
    <mergeCell ref="O88:S88"/>
    <mergeCell ref="O89:S89"/>
    <mergeCell ref="O77:S77"/>
    <mergeCell ref="O78:S78"/>
    <mergeCell ref="O79:S79"/>
    <mergeCell ref="O80:S80"/>
    <mergeCell ref="O85:S85"/>
    <mergeCell ref="O82:S82"/>
    <mergeCell ref="O83:S83"/>
    <mergeCell ref="O84:S84"/>
    <mergeCell ref="O41:S41"/>
    <mergeCell ref="O42:S42"/>
    <mergeCell ref="O54:S54"/>
    <mergeCell ref="O53:S53"/>
    <mergeCell ref="O26:S26"/>
    <mergeCell ref="B43:D43"/>
    <mergeCell ref="O32:S32"/>
    <mergeCell ref="O27:S27"/>
    <mergeCell ref="O28:S28"/>
    <mergeCell ref="O29:S29"/>
    <mergeCell ref="O30:S30"/>
    <mergeCell ref="O31:S31"/>
    <mergeCell ref="O37:S37"/>
    <mergeCell ref="O38:S38"/>
    <mergeCell ref="O39:S39"/>
    <mergeCell ref="O40:S40"/>
    <mergeCell ref="O33:S33"/>
    <mergeCell ref="O34:S34"/>
    <mergeCell ref="O35:S35"/>
    <mergeCell ref="O36:S36"/>
    <mergeCell ref="O18:S18"/>
    <mergeCell ref="O5:S5"/>
    <mergeCell ref="O19:S19"/>
    <mergeCell ref="O20:S20"/>
    <mergeCell ref="O21:S21"/>
    <mergeCell ref="O22:S22"/>
    <mergeCell ref="O23:S23"/>
    <mergeCell ref="O24:S24"/>
    <mergeCell ref="O25:S25"/>
    <mergeCell ref="O6:S6"/>
    <mergeCell ref="O7:S7"/>
    <mergeCell ref="O8:S8"/>
    <mergeCell ref="O9:S9"/>
    <mergeCell ref="O10:S10"/>
    <mergeCell ref="O11:S11"/>
    <mergeCell ref="O12:S12"/>
    <mergeCell ref="O13:S13"/>
    <mergeCell ref="O14:S14"/>
    <mergeCell ref="O15:S15"/>
    <mergeCell ref="O16:S16"/>
    <mergeCell ref="O17:S17"/>
    <mergeCell ref="A4:A5"/>
    <mergeCell ref="B91:D91"/>
    <mergeCell ref="B96:J96"/>
    <mergeCell ref="A206:B206"/>
    <mergeCell ref="B4:D4"/>
    <mergeCell ref="B48:J48"/>
    <mergeCell ref="C206:E206"/>
    <mergeCell ref="D217:E217"/>
    <mergeCell ref="A204:B204"/>
    <mergeCell ref="A205:B205"/>
    <mergeCell ref="A202:B202"/>
    <mergeCell ref="A200:B200"/>
    <mergeCell ref="A52:A53"/>
    <mergeCell ref="A201:B201"/>
    <mergeCell ref="A203:B203"/>
    <mergeCell ref="C200:E200"/>
    <mergeCell ref="C201:E201"/>
    <mergeCell ref="C202:E202"/>
    <mergeCell ref="B143:D143"/>
    <mergeCell ref="A208:L208"/>
    <mergeCell ref="A213:L213"/>
    <mergeCell ref="B100:C100"/>
    <mergeCell ref="A158:H158"/>
    <mergeCell ref="A159:A160"/>
    <mergeCell ref="G159:G160"/>
    <mergeCell ref="H159:H160"/>
    <mergeCell ref="M159:N159"/>
    <mergeCell ref="M160:N160"/>
    <mergeCell ref="O118:S118"/>
    <mergeCell ref="M163:N163"/>
    <mergeCell ref="M164:N164"/>
    <mergeCell ref="M165:O165"/>
    <mergeCell ref="O151:O152"/>
    <mergeCell ref="P151:Q151"/>
    <mergeCell ref="R151:V151"/>
    <mergeCell ref="O119:S119"/>
    <mergeCell ref="A167:E167"/>
    <mergeCell ref="G167:G169"/>
    <mergeCell ref="H167:H169"/>
    <mergeCell ref="I167:I169"/>
    <mergeCell ref="J167:J168"/>
    <mergeCell ref="A168:C168"/>
    <mergeCell ref="D168:E168"/>
    <mergeCell ref="A169:C169"/>
    <mergeCell ref="D169:E169"/>
    <mergeCell ref="A170:C170"/>
    <mergeCell ref="D170:E170"/>
    <mergeCell ref="J170:J171"/>
    <mergeCell ref="D171:E171"/>
    <mergeCell ref="D172:E172"/>
    <mergeCell ref="M172:P172"/>
    <mergeCell ref="D173:E173"/>
    <mergeCell ref="M173:N174"/>
    <mergeCell ref="O173:O174"/>
    <mergeCell ref="P173:Q173"/>
    <mergeCell ref="M181:N181"/>
    <mergeCell ref="D179:E179"/>
    <mergeCell ref="R173:V173"/>
    <mergeCell ref="D174:E174"/>
    <mergeCell ref="D175:E175"/>
    <mergeCell ref="M175:N175"/>
    <mergeCell ref="D176:E176"/>
    <mergeCell ref="M176:N176"/>
    <mergeCell ref="D177:E177"/>
    <mergeCell ref="M177:N177"/>
    <mergeCell ref="D178:E178"/>
    <mergeCell ref="M178:N178"/>
    <mergeCell ref="G182:H182"/>
    <mergeCell ref="M182:N182"/>
    <mergeCell ref="A183:A184"/>
    <mergeCell ref="B183:C183"/>
    <mergeCell ref="M154:N154"/>
    <mergeCell ref="A185:C185"/>
    <mergeCell ref="D185:E185"/>
    <mergeCell ref="A222:E222"/>
    <mergeCell ref="A151:B151"/>
    <mergeCell ref="C151:D151"/>
    <mergeCell ref="A199:B199"/>
    <mergeCell ref="C199:E199"/>
    <mergeCell ref="B191:C191"/>
    <mergeCell ref="D191:E191"/>
    <mergeCell ref="G192:I192"/>
    <mergeCell ref="J192:K192"/>
    <mergeCell ref="B192:C192"/>
    <mergeCell ref="D192:E192"/>
    <mergeCell ref="A197:L197"/>
    <mergeCell ref="A198:B198"/>
    <mergeCell ref="C198:E198"/>
    <mergeCell ref="B189:C189"/>
    <mergeCell ref="D189:E189"/>
    <mergeCell ref="G190:G191"/>
    <mergeCell ref="M192:O192"/>
    <mergeCell ref="M185:N185"/>
    <mergeCell ref="A186:C187"/>
    <mergeCell ref="D186:E187"/>
    <mergeCell ref="J187:K187"/>
    <mergeCell ref="M186:N186"/>
    <mergeCell ref="J188:K188"/>
    <mergeCell ref="M187:O187"/>
    <mergeCell ref="B188:C188"/>
    <mergeCell ref="D188:E188"/>
    <mergeCell ref="J189:K189"/>
    <mergeCell ref="H190:I190"/>
    <mergeCell ref="J190:K190"/>
    <mergeCell ref="B190:C190"/>
    <mergeCell ref="D190:E190"/>
    <mergeCell ref="H191:I191"/>
    <mergeCell ref="J191:K191"/>
    <mergeCell ref="G186:K186"/>
    <mergeCell ref="A207:E207"/>
    <mergeCell ref="D209:E209"/>
    <mergeCell ref="F209:L209"/>
    <mergeCell ref="A150:K150"/>
    <mergeCell ref="M151:N152"/>
    <mergeCell ref="D183:E183"/>
    <mergeCell ref="G183:H183"/>
    <mergeCell ref="M183:N183"/>
    <mergeCell ref="B184:C184"/>
    <mergeCell ref="D184:E184"/>
    <mergeCell ref="M184:N184"/>
    <mergeCell ref="D182:E182"/>
    <mergeCell ref="G179:H180"/>
    <mergeCell ref="I179:I180"/>
    <mergeCell ref="J179:J180"/>
    <mergeCell ref="M179:N179"/>
    <mergeCell ref="D180:E180"/>
    <mergeCell ref="M180:N180"/>
    <mergeCell ref="D181:E181"/>
    <mergeCell ref="G181:H181"/>
    <mergeCell ref="A152:B152"/>
    <mergeCell ref="C152:D152"/>
    <mergeCell ref="E153:K153"/>
    <mergeCell ref="M153:N153"/>
  </mergeCells>
  <dataValidations disablePrompts="1" count="3">
    <dataValidation type="list" allowBlank="1" showInputMessage="1" showErrorMessage="1" sqref="I188:I189 O183:O186 C177:C182 O162:O164" xr:uid="{00000000-0002-0000-0300-000000000000}">
      <formula1>$I$170:$I$173</formula1>
    </dataValidation>
    <dataValidation type="list" allowBlank="1" showInputMessage="1" showErrorMessage="1" sqref="L54:N90 O153:O161 O175:O182 C172:C176 L129:N142 L92:L95 L44:L48 L121:L124 L144:L147 L104:N119 L6:N42 L184" xr:uid="{00000000-0002-0000-0300-000001000000}">
      <formula1>#REF!</formula1>
    </dataValidation>
    <dataValidation type="list" allowBlank="1" showInputMessage="1" showErrorMessage="1" sqref="H188:H189 B172:B182" xr:uid="{00000000-0002-0000-0300-000002000000}">
      <formula1>$B$183:$B$184</formula1>
    </dataValidation>
  </dataValidations>
  <pageMargins left="0.23622047244094488" right="0.23622047244094488" top="0.3543307086614173" bottom="0.3543307086614173" header="0" footer="0"/>
  <pageSetup paperSize="9" scale="82" fitToHeight="0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7"/>
  <sheetViews>
    <sheetView topLeftCell="A37" workbookViewId="0">
      <selection activeCell="F19" sqref="F19"/>
    </sheetView>
  </sheetViews>
  <sheetFormatPr defaultRowHeight="12.75" x14ac:dyDescent="0.2"/>
  <cols>
    <col min="1" max="1" width="8.5703125" style="398" customWidth="1"/>
    <col min="2" max="2" width="18.85546875" style="398" customWidth="1"/>
    <col min="3" max="3" width="12.5703125" style="398" customWidth="1"/>
    <col min="4" max="4" width="11.5703125" style="398" customWidth="1"/>
    <col min="5" max="5" width="15" style="398" customWidth="1"/>
    <col min="6" max="6" width="11.85546875" style="398" customWidth="1"/>
    <col min="7" max="7" width="10.140625" style="398" customWidth="1"/>
    <col min="8" max="8" width="11.7109375" style="398" customWidth="1"/>
    <col min="9" max="9" width="11" style="398" customWidth="1"/>
    <col min="10" max="12" width="10.85546875" style="398" customWidth="1"/>
    <col min="13" max="16384" width="9.140625" style="398"/>
  </cols>
  <sheetData>
    <row r="1" spans="1:6" x14ac:dyDescent="0.2">
      <c r="A1" s="397"/>
    </row>
    <row r="2" spans="1:6" x14ac:dyDescent="0.2">
      <c r="A2" s="397"/>
    </row>
    <row r="3" spans="1:6" x14ac:dyDescent="0.2">
      <c r="A3" s="397" t="s">
        <v>282</v>
      </c>
    </row>
    <row r="5" spans="1:6" ht="13.5" thickBot="1" x14ac:dyDescent="0.25">
      <c r="A5" s="399" t="s">
        <v>304</v>
      </c>
    </row>
    <row r="6" spans="1:6" ht="39" thickBot="1" x14ac:dyDescent="0.25">
      <c r="A6" s="400" t="s">
        <v>281</v>
      </c>
      <c r="B6" s="1370" t="s">
        <v>258</v>
      </c>
      <c r="C6" s="1371"/>
      <c r="D6" s="1371"/>
      <c r="E6" s="1372"/>
      <c r="F6" s="401" t="s">
        <v>283</v>
      </c>
    </row>
    <row r="7" spans="1:6" x14ac:dyDescent="0.2">
      <c r="A7" s="402">
        <v>32</v>
      </c>
      <c r="B7" s="403" t="s">
        <v>262</v>
      </c>
      <c r="C7" s="1373" t="s">
        <v>309</v>
      </c>
      <c r="D7" s="1374"/>
      <c r="E7" s="1375"/>
      <c r="F7" s="404">
        <f>F15+F17+F19</f>
        <v>5050</v>
      </c>
    </row>
    <row r="8" spans="1:6" x14ac:dyDescent="0.2">
      <c r="A8" s="405">
        <v>33</v>
      </c>
      <c r="B8" s="406" t="s">
        <v>306</v>
      </c>
      <c r="C8" s="1376" t="s">
        <v>308</v>
      </c>
      <c r="D8" s="1376"/>
      <c r="E8" s="1377"/>
      <c r="F8" s="407">
        <f>F7</f>
        <v>5050</v>
      </c>
    </row>
    <row r="9" spans="1:6" x14ac:dyDescent="0.2">
      <c r="A9" s="405">
        <v>34</v>
      </c>
      <c r="B9" s="408" t="s">
        <v>263</v>
      </c>
      <c r="C9" s="1376" t="s">
        <v>307</v>
      </c>
      <c r="D9" s="1376"/>
      <c r="E9" s="1377"/>
      <c r="F9" s="407">
        <f>F15+F17</f>
        <v>4650</v>
      </c>
    </row>
    <row r="10" spans="1:6" x14ac:dyDescent="0.2">
      <c r="A10" s="405">
        <v>35</v>
      </c>
      <c r="B10" s="408" t="s">
        <v>264</v>
      </c>
      <c r="C10" s="1376" t="s">
        <v>310</v>
      </c>
      <c r="D10" s="1376"/>
      <c r="E10" s="1377"/>
      <c r="F10" s="407">
        <f>F9</f>
        <v>4650</v>
      </c>
    </row>
    <row r="11" spans="1:6" x14ac:dyDescent="0.2">
      <c r="A11" s="405">
        <v>36</v>
      </c>
      <c r="B11" s="408" t="s">
        <v>265</v>
      </c>
      <c r="C11" s="1376" t="s">
        <v>311</v>
      </c>
      <c r="D11" s="1376"/>
      <c r="E11" s="1377"/>
      <c r="F11" s="407">
        <f>F15+F19</f>
        <v>3800</v>
      </c>
    </row>
    <row r="12" spans="1:6" x14ac:dyDescent="0.2">
      <c r="A12" s="405">
        <v>37</v>
      </c>
      <c r="B12" s="408" t="s">
        <v>267</v>
      </c>
      <c r="C12" s="1376" t="s">
        <v>312</v>
      </c>
      <c r="D12" s="1376"/>
      <c r="E12" s="1377"/>
      <c r="F12" s="407">
        <f>F11</f>
        <v>3800</v>
      </c>
    </row>
    <row r="13" spans="1:6" x14ac:dyDescent="0.2">
      <c r="A13" s="405">
        <v>38</v>
      </c>
      <c r="B13" s="408" t="s">
        <v>266</v>
      </c>
      <c r="C13" s="1376" t="s">
        <v>313</v>
      </c>
      <c r="D13" s="1376"/>
      <c r="E13" s="1377"/>
      <c r="F13" s="407">
        <f>F17+F19</f>
        <v>1650</v>
      </c>
    </row>
    <row r="14" spans="1:6" x14ac:dyDescent="0.2">
      <c r="A14" s="405">
        <v>39</v>
      </c>
      <c r="B14" s="408" t="s">
        <v>268</v>
      </c>
      <c r="C14" s="1376" t="s">
        <v>314</v>
      </c>
      <c r="D14" s="1376"/>
      <c r="E14" s="1377"/>
      <c r="F14" s="407">
        <f>F13</f>
        <v>1650</v>
      </c>
    </row>
    <row r="15" spans="1:6" x14ac:dyDescent="0.2">
      <c r="A15" s="405">
        <v>40</v>
      </c>
      <c r="B15" s="408" t="s">
        <v>41</v>
      </c>
      <c r="C15" s="1378" t="s">
        <v>315</v>
      </c>
      <c r="D15" s="1379"/>
      <c r="E15" s="1380"/>
      <c r="F15" s="467">
        <v>3400</v>
      </c>
    </row>
    <row r="16" spans="1:6" x14ac:dyDescent="0.2">
      <c r="A16" s="405">
        <v>41</v>
      </c>
      <c r="B16" s="408" t="s">
        <v>269</v>
      </c>
      <c r="C16" s="1378" t="s">
        <v>316</v>
      </c>
      <c r="D16" s="1379"/>
      <c r="E16" s="1380"/>
      <c r="F16" s="407">
        <f>F15</f>
        <v>3400</v>
      </c>
    </row>
    <row r="17" spans="1:6" x14ac:dyDescent="0.2">
      <c r="A17" s="405">
        <v>42</v>
      </c>
      <c r="B17" s="408" t="s">
        <v>62</v>
      </c>
      <c r="C17" s="1378" t="s">
        <v>317</v>
      </c>
      <c r="D17" s="1379"/>
      <c r="E17" s="1380"/>
      <c r="F17" s="467">
        <v>1250</v>
      </c>
    </row>
    <row r="18" spans="1:6" x14ac:dyDescent="0.2">
      <c r="A18" s="405">
        <v>43</v>
      </c>
      <c r="B18" s="408" t="s">
        <v>270</v>
      </c>
      <c r="C18" s="1378" t="s">
        <v>318</v>
      </c>
      <c r="D18" s="1379"/>
      <c r="E18" s="1380"/>
      <c r="F18" s="407">
        <f>F17</f>
        <v>1250</v>
      </c>
    </row>
    <row r="19" spans="1:6" x14ac:dyDescent="0.2">
      <c r="A19" s="405">
        <v>44</v>
      </c>
      <c r="B19" s="408" t="s">
        <v>252</v>
      </c>
      <c r="C19" s="1378" t="s">
        <v>319</v>
      </c>
      <c r="D19" s="1379"/>
      <c r="E19" s="1380"/>
      <c r="F19" s="467">
        <v>400</v>
      </c>
    </row>
    <row r="20" spans="1:6" x14ac:dyDescent="0.2">
      <c r="A20" s="405">
        <v>45</v>
      </c>
      <c r="B20" s="408" t="s">
        <v>271</v>
      </c>
      <c r="C20" s="1378" t="s">
        <v>320</v>
      </c>
      <c r="D20" s="1379"/>
      <c r="E20" s="1380"/>
      <c r="F20" s="407">
        <f>F19</f>
        <v>400</v>
      </c>
    </row>
    <row r="21" spans="1:6" x14ac:dyDescent="0.2">
      <c r="A21" s="405">
        <v>46</v>
      </c>
      <c r="B21" s="408" t="s">
        <v>272</v>
      </c>
      <c r="C21" s="1378" t="s">
        <v>321</v>
      </c>
      <c r="D21" s="1379"/>
      <c r="E21" s="1380"/>
      <c r="F21" s="407">
        <f>F19*2</f>
        <v>800</v>
      </c>
    </row>
    <row r="22" spans="1:6" ht="13.5" thickBot="1" x14ac:dyDescent="0.25">
      <c r="A22" s="409">
        <v>47</v>
      </c>
      <c r="B22" s="410" t="s">
        <v>273</v>
      </c>
      <c r="C22" s="1381" t="s">
        <v>322</v>
      </c>
      <c r="D22" s="1382"/>
      <c r="E22" s="1383"/>
      <c r="F22" s="411">
        <f>F21</f>
        <v>800</v>
      </c>
    </row>
    <row r="39" spans="1:10" ht="13.5" thickBot="1" x14ac:dyDescent="0.25">
      <c r="B39" s="398" t="str">
        <f>A5</f>
        <v>Cjenik od 1.7.2026</v>
      </c>
      <c r="I39" s="412" t="s">
        <v>323</v>
      </c>
    </row>
    <row r="40" spans="1:10" ht="39" thickBot="1" x14ac:dyDescent="0.25">
      <c r="A40" s="413" t="s">
        <v>305</v>
      </c>
      <c r="B40" s="414" t="s">
        <v>258</v>
      </c>
      <c r="C40" s="415" t="str">
        <f>C77</f>
        <v>prodajna cijena</v>
      </c>
      <c r="D40" s="416" t="str">
        <f>F77</f>
        <v>popust</v>
      </c>
      <c r="E40" s="417" t="s">
        <v>288</v>
      </c>
      <c r="F40" s="418" t="str">
        <f>I77</f>
        <v>maloprodajna cijena</v>
      </c>
      <c r="G40" s="419"/>
      <c r="H40" s="420" t="s">
        <v>279</v>
      </c>
      <c r="I40" s="416" t="s">
        <v>285</v>
      </c>
      <c r="J40" s="421" t="s">
        <v>280</v>
      </c>
    </row>
    <row r="41" spans="1:10" x14ac:dyDescent="0.2">
      <c r="A41" s="422">
        <v>32</v>
      </c>
      <c r="B41" s="423" t="str">
        <f>B7</f>
        <v>LMS+TO+IP</v>
      </c>
      <c r="C41" s="424">
        <f>F7</f>
        <v>5050</v>
      </c>
      <c r="D41" s="425">
        <f t="shared" ref="D41:D56" si="0">C41-F41</f>
        <v>2851</v>
      </c>
      <c r="E41" s="426">
        <f>D41/1.25</f>
        <v>2280.8000000000002</v>
      </c>
      <c r="F41" s="427">
        <v>2199</v>
      </c>
      <c r="H41" s="428">
        <v>1099.5</v>
      </c>
      <c r="I41" s="425">
        <f>F41-H41</f>
        <v>1099.5</v>
      </c>
      <c r="J41" s="427">
        <f>I41/6</f>
        <v>183.25</v>
      </c>
    </row>
    <row r="42" spans="1:10" x14ac:dyDescent="0.2">
      <c r="A42" s="422">
        <v>33</v>
      </c>
      <c r="B42" s="429" t="str">
        <f t="shared" ref="B42:B56" si="1">B8</f>
        <v xml:space="preserve">LMS+TO+IP gotovina </v>
      </c>
      <c r="C42" s="424">
        <f t="shared" ref="C42:C56" si="2">F8</f>
        <v>5050</v>
      </c>
      <c r="D42" s="425">
        <f t="shared" si="0"/>
        <v>3051</v>
      </c>
      <c r="E42" s="426">
        <f t="shared" ref="E42:E56" si="3">D42/1.25</f>
        <v>2440.8000000000002</v>
      </c>
      <c r="F42" s="427">
        <v>1999</v>
      </c>
      <c r="H42" s="428"/>
      <c r="I42" s="430"/>
      <c r="J42" s="431"/>
    </row>
    <row r="43" spans="1:10" x14ac:dyDescent="0.2">
      <c r="A43" s="422">
        <v>34</v>
      </c>
      <c r="B43" s="429" t="str">
        <f t="shared" si="1"/>
        <v>LMS+TO</v>
      </c>
      <c r="C43" s="424">
        <f t="shared" si="2"/>
        <v>4650</v>
      </c>
      <c r="D43" s="425">
        <f t="shared" si="0"/>
        <v>2651</v>
      </c>
      <c r="E43" s="426">
        <f t="shared" si="3"/>
        <v>2120.8000000000002</v>
      </c>
      <c r="F43" s="427">
        <v>1999</v>
      </c>
      <c r="H43" s="428">
        <v>1000</v>
      </c>
      <c r="I43" s="425">
        <f>F43-H43</f>
        <v>999</v>
      </c>
      <c r="J43" s="427">
        <f>I43/6</f>
        <v>166.5</v>
      </c>
    </row>
    <row r="44" spans="1:10" x14ac:dyDescent="0.2">
      <c r="A44" s="422">
        <v>35</v>
      </c>
      <c r="B44" s="429" t="str">
        <f t="shared" si="1"/>
        <v>LMS+TO   gotovina</v>
      </c>
      <c r="C44" s="424">
        <f t="shared" si="2"/>
        <v>4650</v>
      </c>
      <c r="D44" s="425">
        <f t="shared" si="0"/>
        <v>2851</v>
      </c>
      <c r="E44" s="426">
        <f t="shared" si="3"/>
        <v>2280.8000000000002</v>
      </c>
      <c r="F44" s="427">
        <v>1799</v>
      </c>
      <c r="H44" s="428"/>
      <c r="I44" s="430"/>
      <c r="J44" s="427"/>
    </row>
    <row r="45" spans="1:10" x14ac:dyDescent="0.2">
      <c r="A45" s="422">
        <v>36</v>
      </c>
      <c r="B45" s="429" t="str">
        <f t="shared" si="1"/>
        <v>LMS+IP</v>
      </c>
      <c r="C45" s="424">
        <f t="shared" si="2"/>
        <v>3800</v>
      </c>
      <c r="D45" s="425">
        <f t="shared" si="0"/>
        <v>1875</v>
      </c>
      <c r="E45" s="426">
        <f t="shared" si="3"/>
        <v>1500</v>
      </c>
      <c r="F45" s="427">
        <v>1925</v>
      </c>
      <c r="H45" s="428">
        <v>962</v>
      </c>
      <c r="I45" s="425">
        <f>F45-H45</f>
        <v>963</v>
      </c>
      <c r="J45" s="427">
        <f>I45/6</f>
        <v>160.5</v>
      </c>
    </row>
    <row r="46" spans="1:10" x14ac:dyDescent="0.2">
      <c r="A46" s="422">
        <v>37</v>
      </c>
      <c r="B46" s="429" t="str">
        <f t="shared" si="1"/>
        <v>LMS+IP gotovina</v>
      </c>
      <c r="C46" s="424">
        <f t="shared" si="2"/>
        <v>3800</v>
      </c>
      <c r="D46" s="425">
        <f t="shared" si="0"/>
        <v>2065</v>
      </c>
      <c r="E46" s="426">
        <f t="shared" si="3"/>
        <v>1652</v>
      </c>
      <c r="F46" s="427">
        <v>1735</v>
      </c>
      <c r="H46" s="428"/>
      <c r="I46" s="430"/>
      <c r="J46" s="427"/>
    </row>
    <row r="47" spans="1:10" x14ac:dyDescent="0.2">
      <c r="A47" s="422">
        <v>38</v>
      </c>
      <c r="B47" s="429" t="str">
        <f t="shared" si="1"/>
        <v>TO+IP</v>
      </c>
      <c r="C47" s="424">
        <f t="shared" si="2"/>
        <v>1650</v>
      </c>
      <c r="D47" s="425">
        <f t="shared" si="0"/>
        <v>451</v>
      </c>
      <c r="E47" s="426">
        <f t="shared" si="3"/>
        <v>360.8</v>
      </c>
      <c r="F47" s="427">
        <v>1199</v>
      </c>
      <c r="H47" s="428">
        <v>599</v>
      </c>
      <c r="I47" s="425">
        <f>F47-H47</f>
        <v>600</v>
      </c>
      <c r="J47" s="427">
        <f>I47/6</f>
        <v>100</v>
      </c>
    </row>
    <row r="48" spans="1:10" x14ac:dyDescent="0.2">
      <c r="A48" s="422">
        <v>39</v>
      </c>
      <c r="B48" s="429" t="str">
        <f t="shared" si="1"/>
        <v>TO+IP gotovina</v>
      </c>
      <c r="C48" s="424">
        <f t="shared" si="2"/>
        <v>1650</v>
      </c>
      <c r="D48" s="425">
        <f t="shared" si="0"/>
        <v>551</v>
      </c>
      <c r="E48" s="426">
        <f t="shared" si="3"/>
        <v>440.8</v>
      </c>
      <c r="F48" s="427">
        <v>1099</v>
      </c>
      <c r="H48" s="428"/>
      <c r="I48" s="430"/>
      <c r="J48" s="427"/>
    </row>
    <row r="49" spans="1:10" x14ac:dyDescent="0.2">
      <c r="A49" s="422">
        <v>40</v>
      </c>
      <c r="B49" s="429" t="str">
        <f t="shared" si="1"/>
        <v>LMS</v>
      </c>
      <c r="C49" s="424">
        <f t="shared" si="2"/>
        <v>3400</v>
      </c>
      <c r="D49" s="425">
        <f t="shared" si="0"/>
        <v>1900</v>
      </c>
      <c r="E49" s="426">
        <f t="shared" si="3"/>
        <v>1520</v>
      </c>
      <c r="F49" s="427">
        <v>1500</v>
      </c>
      <c r="H49" s="428">
        <v>750</v>
      </c>
      <c r="I49" s="425">
        <f>F49-H49</f>
        <v>750</v>
      </c>
      <c r="J49" s="427">
        <f>I49/6</f>
        <v>125</v>
      </c>
    </row>
    <row r="50" spans="1:10" x14ac:dyDescent="0.2">
      <c r="A50" s="422">
        <v>41</v>
      </c>
      <c r="B50" s="429" t="str">
        <f t="shared" si="1"/>
        <v>LMS gotovina</v>
      </c>
      <c r="C50" s="424">
        <f t="shared" si="2"/>
        <v>3400</v>
      </c>
      <c r="D50" s="425">
        <f t="shared" si="0"/>
        <v>2000</v>
      </c>
      <c r="E50" s="426">
        <f t="shared" si="3"/>
        <v>1600</v>
      </c>
      <c r="F50" s="427">
        <v>1400</v>
      </c>
      <c r="H50" s="428"/>
      <c r="I50" s="430"/>
      <c r="J50" s="427"/>
    </row>
    <row r="51" spans="1:10" x14ac:dyDescent="0.2">
      <c r="A51" s="422">
        <v>42</v>
      </c>
      <c r="B51" s="429" t="str">
        <f t="shared" si="1"/>
        <v>TO</v>
      </c>
      <c r="C51" s="424">
        <f t="shared" si="2"/>
        <v>1250</v>
      </c>
      <c r="D51" s="425">
        <f t="shared" si="0"/>
        <v>460</v>
      </c>
      <c r="E51" s="426">
        <f t="shared" si="3"/>
        <v>368</v>
      </c>
      <c r="F51" s="427">
        <v>790</v>
      </c>
      <c r="H51" s="428">
        <v>400</v>
      </c>
      <c r="I51" s="425">
        <f>F51-H51</f>
        <v>390</v>
      </c>
      <c r="J51" s="427">
        <f>I51/6</f>
        <v>65</v>
      </c>
    </row>
    <row r="52" spans="1:10" x14ac:dyDescent="0.2">
      <c r="A52" s="422">
        <v>43</v>
      </c>
      <c r="B52" s="429" t="str">
        <f t="shared" si="1"/>
        <v>TO gotovina</v>
      </c>
      <c r="C52" s="424">
        <f t="shared" si="2"/>
        <v>1250</v>
      </c>
      <c r="D52" s="425">
        <f t="shared" si="0"/>
        <v>510</v>
      </c>
      <c r="E52" s="426">
        <f t="shared" si="3"/>
        <v>408</v>
      </c>
      <c r="F52" s="427">
        <v>740</v>
      </c>
      <c r="H52" s="428"/>
      <c r="I52" s="430"/>
      <c r="J52" s="427"/>
    </row>
    <row r="53" spans="1:10" x14ac:dyDescent="0.2">
      <c r="A53" s="422">
        <v>44</v>
      </c>
      <c r="B53" s="429" t="str">
        <f t="shared" si="1"/>
        <v>IP</v>
      </c>
      <c r="C53" s="424">
        <f t="shared" si="2"/>
        <v>400</v>
      </c>
      <c r="D53" s="425">
        <f t="shared" si="0"/>
        <v>50</v>
      </c>
      <c r="E53" s="426">
        <f t="shared" si="3"/>
        <v>40</v>
      </c>
      <c r="F53" s="427">
        <v>350</v>
      </c>
      <c r="H53" s="428">
        <v>185</v>
      </c>
      <c r="I53" s="425">
        <f>F53-H53</f>
        <v>165</v>
      </c>
      <c r="J53" s="427">
        <f>I53/6</f>
        <v>27.5</v>
      </c>
    </row>
    <row r="54" spans="1:10" x14ac:dyDescent="0.2">
      <c r="A54" s="422">
        <v>45</v>
      </c>
      <c r="B54" s="429" t="str">
        <f t="shared" si="1"/>
        <v>IP gotovina</v>
      </c>
      <c r="C54" s="424">
        <f t="shared" si="2"/>
        <v>400</v>
      </c>
      <c r="D54" s="425">
        <f t="shared" si="0"/>
        <v>70</v>
      </c>
      <c r="E54" s="426">
        <f t="shared" si="3"/>
        <v>56</v>
      </c>
      <c r="F54" s="427">
        <v>330</v>
      </c>
      <c r="H54" s="428"/>
      <c r="I54" s="430"/>
      <c r="J54" s="427"/>
    </row>
    <row r="55" spans="1:10" x14ac:dyDescent="0.2">
      <c r="A55" s="422">
        <v>46</v>
      </c>
      <c r="B55" s="429" t="str">
        <f t="shared" si="1"/>
        <v xml:space="preserve">2IP </v>
      </c>
      <c r="C55" s="424">
        <f t="shared" si="2"/>
        <v>800</v>
      </c>
      <c r="D55" s="425">
        <f t="shared" si="0"/>
        <v>150</v>
      </c>
      <c r="E55" s="426">
        <f t="shared" si="3"/>
        <v>120</v>
      </c>
      <c r="F55" s="427">
        <v>650</v>
      </c>
      <c r="H55" s="428">
        <v>335</v>
      </c>
      <c r="I55" s="425">
        <f>F55-H55</f>
        <v>315</v>
      </c>
      <c r="J55" s="427">
        <f>I55/6</f>
        <v>52.5</v>
      </c>
    </row>
    <row r="56" spans="1:10" ht="13.5" thickBot="1" x14ac:dyDescent="0.25">
      <c r="A56" s="432">
        <v>47</v>
      </c>
      <c r="B56" s="433" t="str">
        <f t="shared" si="1"/>
        <v>2IP gotovina</v>
      </c>
      <c r="C56" s="434">
        <f t="shared" si="2"/>
        <v>800</v>
      </c>
      <c r="D56" s="435">
        <f t="shared" si="0"/>
        <v>200</v>
      </c>
      <c r="E56" s="436">
        <f t="shared" si="3"/>
        <v>160</v>
      </c>
      <c r="F56" s="437">
        <v>600</v>
      </c>
      <c r="H56" s="438"/>
      <c r="I56" s="439"/>
      <c r="J56" s="440"/>
    </row>
    <row r="76" spans="1:11" ht="13.5" thickBot="1" x14ac:dyDescent="0.25"/>
    <row r="77" spans="1:11" x14ac:dyDescent="0.2">
      <c r="A77" s="1363" t="s">
        <v>281</v>
      </c>
      <c r="B77" s="441" t="s">
        <v>255</v>
      </c>
      <c r="C77" s="1367" t="s">
        <v>286</v>
      </c>
      <c r="D77" s="1368"/>
      <c r="E77" s="1369"/>
      <c r="F77" s="1365" t="s">
        <v>256</v>
      </c>
      <c r="G77" s="1366"/>
      <c r="H77" s="442"/>
      <c r="I77" s="443" t="s">
        <v>257</v>
      </c>
      <c r="J77" s="444"/>
      <c r="K77" s="445"/>
    </row>
    <row r="78" spans="1:11" x14ac:dyDescent="0.2">
      <c r="A78" s="1364"/>
      <c r="B78" s="446" t="s">
        <v>258</v>
      </c>
      <c r="C78" s="447" t="s">
        <v>259</v>
      </c>
      <c r="D78" s="448" t="s">
        <v>260</v>
      </c>
      <c r="E78" s="449" t="s">
        <v>261</v>
      </c>
      <c r="F78" s="450" t="s">
        <v>259</v>
      </c>
      <c r="G78" s="448" t="s">
        <v>260</v>
      </c>
      <c r="H78" s="449" t="s">
        <v>261</v>
      </c>
      <c r="I78" s="451" t="s">
        <v>259</v>
      </c>
      <c r="J78" s="448" t="s">
        <v>260</v>
      </c>
      <c r="K78" s="449" t="s">
        <v>261</v>
      </c>
    </row>
    <row r="79" spans="1:11" x14ac:dyDescent="0.2">
      <c r="A79" s="452">
        <f t="shared" ref="A79:B94" si="4">A41</f>
        <v>32</v>
      </c>
      <c r="B79" s="446" t="str">
        <f t="shared" si="4"/>
        <v>LMS+TO+IP</v>
      </c>
      <c r="C79" s="453">
        <f t="shared" ref="C79:C94" si="5">E79/1.25</f>
        <v>4040</v>
      </c>
      <c r="D79" s="454">
        <f>C79*0.25</f>
        <v>1010</v>
      </c>
      <c r="E79" s="455">
        <f t="shared" ref="E79:E94" si="6">C41</f>
        <v>5050</v>
      </c>
      <c r="F79" s="456">
        <f>H79/1.25</f>
        <v>2280.8000000000002</v>
      </c>
      <c r="G79" s="454">
        <f>F79*0.25</f>
        <v>570.20000000000005</v>
      </c>
      <c r="H79" s="455">
        <f t="shared" ref="H79:H94" si="7">D41</f>
        <v>2851</v>
      </c>
      <c r="I79" s="457">
        <f>K79/1.25</f>
        <v>1759.2</v>
      </c>
      <c r="J79" s="454">
        <f>I79*0.25</f>
        <v>439.8</v>
      </c>
      <c r="K79" s="455">
        <f t="shared" ref="K79:K94" si="8">F41</f>
        <v>2199</v>
      </c>
    </row>
    <row r="80" spans="1:11" x14ac:dyDescent="0.2">
      <c r="A80" s="452">
        <f t="shared" si="4"/>
        <v>33</v>
      </c>
      <c r="B80" s="446" t="str">
        <f t="shared" si="4"/>
        <v xml:space="preserve">LMS+TO+IP gotovina </v>
      </c>
      <c r="C80" s="453">
        <f t="shared" si="5"/>
        <v>4040</v>
      </c>
      <c r="D80" s="454">
        <f t="shared" ref="D80:D94" si="9">C80*0.25</f>
        <v>1010</v>
      </c>
      <c r="E80" s="455">
        <f t="shared" si="6"/>
        <v>5050</v>
      </c>
      <c r="F80" s="456">
        <f t="shared" ref="F80:F94" si="10">H80/1.25</f>
        <v>2440.8000000000002</v>
      </c>
      <c r="G80" s="454">
        <f t="shared" ref="G80:G94" si="11">F80*0.25</f>
        <v>610.20000000000005</v>
      </c>
      <c r="H80" s="455">
        <f t="shared" si="7"/>
        <v>3051</v>
      </c>
      <c r="I80" s="457">
        <f t="shared" ref="I80:I94" si="12">K80/1.25</f>
        <v>1599.2</v>
      </c>
      <c r="J80" s="454">
        <f t="shared" ref="J80:J94" si="13">I80*0.25</f>
        <v>399.8</v>
      </c>
      <c r="K80" s="455">
        <f t="shared" si="8"/>
        <v>1999</v>
      </c>
    </row>
    <row r="81" spans="1:11" x14ac:dyDescent="0.2">
      <c r="A81" s="452">
        <f t="shared" si="4"/>
        <v>34</v>
      </c>
      <c r="B81" s="446" t="str">
        <f t="shared" si="4"/>
        <v>LMS+TO</v>
      </c>
      <c r="C81" s="453">
        <f t="shared" si="5"/>
        <v>3720</v>
      </c>
      <c r="D81" s="454">
        <f t="shared" si="9"/>
        <v>930</v>
      </c>
      <c r="E81" s="455">
        <f t="shared" si="6"/>
        <v>4650</v>
      </c>
      <c r="F81" s="456">
        <f t="shared" si="10"/>
        <v>2120.8000000000002</v>
      </c>
      <c r="G81" s="454">
        <f t="shared" si="11"/>
        <v>530.20000000000005</v>
      </c>
      <c r="H81" s="455">
        <f t="shared" si="7"/>
        <v>2651</v>
      </c>
      <c r="I81" s="457">
        <f t="shared" si="12"/>
        <v>1599.2</v>
      </c>
      <c r="J81" s="454">
        <f t="shared" si="13"/>
        <v>399.8</v>
      </c>
      <c r="K81" s="455">
        <f t="shared" si="8"/>
        <v>1999</v>
      </c>
    </row>
    <row r="82" spans="1:11" x14ac:dyDescent="0.2">
      <c r="A82" s="452">
        <f t="shared" si="4"/>
        <v>35</v>
      </c>
      <c r="B82" s="446" t="str">
        <f t="shared" si="4"/>
        <v>LMS+TO   gotovina</v>
      </c>
      <c r="C82" s="453">
        <f t="shared" si="5"/>
        <v>3720</v>
      </c>
      <c r="D82" s="454">
        <f t="shared" si="9"/>
        <v>930</v>
      </c>
      <c r="E82" s="455">
        <f t="shared" si="6"/>
        <v>4650</v>
      </c>
      <c r="F82" s="456">
        <f t="shared" si="10"/>
        <v>2280.8000000000002</v>
      </c>
      <c r="G82" s="454">
        <f t="shared" si="11"/>
        <v>570.20000000000005</v>
      </c>
      <c r="H82" s="455">
        <f t="shared" si="7"/>
        <v>2851</v>
      </c>
      <c r="I82" s="457">
        <f t="shared" si="12"/>
        <v>1439.2</v>
      </c>
      <c r="J82" s="454">
        <f t="shared" si="13"/>
        <v>359.8</v>
      </c>
      <c r="K82" s="455">
        <f t="shared" si="8"/>
        <v>1799</v>
      </c>
    </row>
    <row r="83" spans="1:11" x14ac:dyDescent="0.2">
      <c r="A83" s="452">
        <f t="shared" si="4"/>
        <v>36</v>
      </c>
      <c r="B83" s="446" t="str">
        <f t="shared" si="4"/>
        <v>LMS+IP</v>
      </c>
      <c r="C83" s="453">
        <f t="shared" si="5"/>
        <v>3040</v>
      </c>
      <c r="D83" s="454">
        <f t="shared" si="9"/>
        <v>760</v>
      </c>
      <c r="E83" s="455">
        <f t="shared" si="6"/>
        <v>3800</v>
      </c>
      <c r="F83" s="456">
        <f t="shared" si="10"/>
        <v>1500</v>
      </c>
      <c r="G83" s="454">
        <f t="shared" si="11"/>
        <v>375</v>
      </c>
      <c r="H83" s="455">
        <f t="shared" si="7"/>
        <v>1875</v>
      </c>
      <c r="I83" s="457">
        <f t="shared" si="12"/>
        <v>1540</v>
      </c>
      <c r="J83" s="454">
        <f t="shared" si="13"/>
        <v>385</v>
      </c>
      <c r="K83" s="455">
        <f t="shared" si="8"/>
        <v>1925</v>
      </c>
    </row>
    <row r="84" spans="1:11" x14ac:dyDescent="0.2">
      <c r="A84" s="452">
        <f t="shared" si="4"/>
        <v>37</v>
      </c>
      <c r="B84" s="446" t="str">
        <f t="shared" si="4"/>
        <v>LMS+IP gotovina</v>
      </c>
      <c r="C84" s="453">
        <f t="shared" si="5"/>
        <v>3040</v>
      </c>
      <c r="D84" s="454">
        <f t="shared" si="9"/>
        <v>760</v>
      </c>
      <c r="E84" s="455">
        <f t="shared" si="6"/>
        <v>3800</v>
      </c>
      <c r="F84" s="456">
        <f t="shared" si="10"/>
        <v>1652</v>
      </c>
      <c r="G84" s="454">
        <f t="shared" si="11"/>
        <v>413</v>
      </c>
      <c r="H84" s="455">
        <f t="shared" si="7"/>
        <v>2065</v>
      </c>
      <c r="I84" s="457">
        <f t="shared" si="12"/>
        <v>1388</v>
      </c>
      <c r="J84" s="454">
        <f t="shared" si="13"/>
        <v>347</v>
      </c>
      <c r="K84" s="455">
        <f t="shared" si="8"/>
        <v>1735</v>
      </c>
    </row>
    <row r="85" spans="1:11" x14ac:dyDescent="0.2">
      <c r="A85" s="452">
        <f t="shared" si="4"/>
        <v>38</v>
      </c>
      <c r="B85" s="446" t="str">
        <f t="shared" si="4"/>
        <v>TO+IP</v>
      </c>
      <c r="C85" s="453">
        <f t="shared" si="5"/>
        <v>1320</v>
      </c>
      <c r="D85" s="454">
        <f t="shared" si="9"/>
        <v>330</v>
      </c>
      <c r="E85" s="455">
        <f t="shared" si="6"/>
        <v>1650</v>
      </c>
      <c r="F85" s="456">
        <f t="shared" si="10"/>
        <v>360.8</v>
      </c>
      <c r="G85" s="454">
        <f t="shared" si="11"/>
        <v>90.2</v>
      </c>
      <c r="H85" s="455">
        <f t="shared" si="7"/>
        <v>451</v>
      </c>
      <c r="I85" s="457">
        <f t="shared" si="12"/>
        <v>959.2</v>
      </c>
      <c r="J85" s="454">
        <f t="shared" si="13"/>
        <v>239.8</v>
      </c>
      <c r="K85" s="455">
        <f t="shared" si="8"/>
        <v>1199</v>
      </c>
    </row>
    <row r="86" spans="1:11" x14ac:dyDescent="0.2">
      <c r="A86" s="452">
        <f t="shared" si="4"/>
        <v>39</v>
      </c>
      <c r="B86" s="446" t="str">
        <f t="shared" si="4"/>
        <v>TO+IP gotovina</v>
      </c>
      <c r="C86" s="453">
        <f t="shared" si="5"/>
        <v>1320</v>
      </c>
      <c r="D86" s="454">
        <f t="shared" si="9"/>
        <v>330</v>
      </c>
      <c r="E86" s="455">
        <f t="shared" si="6"/>
        <v>1650</v>
      </c>
      <c r="F86" s="456">
        <f t="shared" si="10"/>
        <v>440.8</v>
      </c>
      <c r="G86" s="454">
        <f t="shared" si="11"/>
        <v>110.2</v>
      </c>
      <c r="H86" s="455">
        <f t="shared" si="7"/>
        <v>551</v>
      </c>
      <c r="I86" s="457">
        <f t="shared" si="12"/>
        <v>879.2</v>
      </c>
      <c r="J86" s="454">
        <f t="shared" si="13"/>
        <v>219.8</v>
      </c>
      <c r="K86" s="455">
        <f t="shared" si="8"/>
        <v>1099</v>
      </c>
    </row>
    <row r="87" spans="1:11" x14ac:dyDescent="0.2">
      <c r="A87" s="452">
        <f t="shared" si="4"/>
        <v>40</v>
      </c>
      <c r="B87" s="446" t="str">
        <f t="shared" si="4"/>
        <v>LMS</v>
      </c>
      <c r="C87" s="453">
        <f t="shared" si="5"/>
        <v>2720</v>
      </c>
      <c r="D87" s="454">
        <f t="shared" si="9"/>
        <v>680</v>
      </c>
      <c r="E87" s="455">
        <f t="shared" si="6"/>
        <v>3400</v>
      </c>
      <c r="F87" s="456">
        <f t="shared" si="10"/>
        <v>1520</v>
      </c>
      <c r="G87" s="454">
        <f t="shared" si="11"/>
        <v>380</v>
      </c>
      <c r="H87" s="455">
        <f t="shared" si="7"/>
        <v>1900</v>
      </c>
      <c r="I87" s="457">
        <f t="shared" si="12"/>
        <v>1200</v>
      </c>
      <c r="J87" s="454">
        <f t="shared" si="13"/>
        <v>300</v>
      </c>
      <c r="K87" s="455">
        <f t="shared" si="8"/>
        <v>1500</v>
      </c>
    </row>
    <row r="88" spans="1:11" x14ac:dyDescent="0.2">
      <c r="A88" s="452">
        <f t="shared" si="4"/>
        <v>41</v>
      </c>
      <c r="B88" s="446" t="str">
        <f t="shared" si="4"/>
        <v>LMS gotovina</v>
      </c>
      <c r="C88" s="453">
        <f t="shared" si="5"/>
        <v>2720</v>
      </c>
      <c r="D88" s="454">
        <f t="shared" si="9"/>
        <v>680</v>
      </c>
      <c r="E88" s="455">
        <f t="shared" si="6"/>
        <v>3400</v>
      </c>
      <c r="F88" s="456">
        <f t="shared" si="10"/>
        <v>1600</v>
      </c>
      <c r="G88" s="454">
        <f t="shared" si="11"/>
        <v>400</v>
      </c>
      <c r="H88" s="455">
        <f t="shared" si="7"/>
        <v>2000</v>
      </c>
      <c r="I88" s="457">
        <f t="shared" si="12"/>
        <v>1120</v>
      </c>
      <c r="J88" s="454">
        <f t="shared" si="13"/>
        <v>280</v>
      </c>
      <c r="K88" s="455">
        <f t="shared" si="8"/>
        <v>1400</v>
      </c>
    </row>
    <row r="89" spans="1:11" x14ac:dyDescent="0.2">
      <c r="A89" s="452">
        <f t="shared" si="4"/>
        <v>42</v>
      </c>
      <c r="B89" s="446" t="str">
        <f t="shared" si="4"/>
        <v>TO</v>
      </c>
      <c r="C89" s="453">
        <f t="shared" si="5"/>
        <v>1000</v>
      </c>
      <c r="D89" s="454">
        <f t="shared" si="9"/>
        <v>250</v>
      </c>
      <c r="E89" s="455">
        <f t="shared" si="6"/>
        <v>1250</v>
      </c>
      <c r="F89" s="456">
        <f t="shared" si="10"/>
        <v>368</v>
      </c>
      <c r="G89" s="454">
        <f t="shared" si="11"/>
        <v>92</v>
      </c>
      <c r="H89" s="455">
        <f t="shared" si="7"/>
        <v>460</v>
      </c>
      <c r="I89" s="457">
        <f t="shared" si="12"/>
        <v>632</v>
      </c>
      <c r="J89" s="454">
        <f t="shared" si="13"/>
        <v>158</v>
      </c>
      <c r="K89" s="455">
        <f t="shared" si="8"/>
        <v>790</v>
      </c>
    </row>
    <row r="90" spans="1:11" x14ac:dyDescent="0.2">
      <c r="A90" s="452">
        <f t="shared" si="4"/>
        <v>43</v>
      </c>
      <c r="B90" s="446" t="str">
        <f t="shared" si="4"/>
        <v>TO gotovina</v>
      </c>
      <c r="C90" s="453">
        <f t="shared" si="5"/>
        <v>1000</v>
      </c>
      <c r="D90" s="454">
        <f t="shared" si="9"/>
        <v>250</v>
      </c>
      <c r="E90" s="455">
        <f t="shared" si="6"/>
        <v>1250</v>
      </c>
      <c r="F90" s="456">
        <f t="shared" si="10"/>
        <v>408</v>
      </c>
      <c r="G90" s="454">
        <f t="shared" si="11"/>
        <v>102</v>
      </c>
      <c r="H90" s="455">
        <f t="shared" si="7"/>
        <v>510</v>
      </c>
      <c r="I90" s="457">
        <f t="shared" si="12"/>
        <v>592</v>
      </c>
      <c r="J90" s="454">
        <f t="shared" si="13"/>
        <v>148</v>
      </c>
      <c r="K90" s="455">
        <f t="shared" si="8"/>
        <v>740</v>
      </c>
    </row>
    <row r="91" spans="1:11" x14ac:dyDescent="0.2">
      <c r="A91" s="452">
        <f t="shared" si="4"/>
        <v>44</v>
      </c>
      <c r="B91" s="446" t="str">
        <f t="shared" si="4"/>
        <v>IP</v>
      </c>
      <c r="C91" s="453">
        <f t="shared" si="5"/>
        <v>320</v>
      </c>
      <c r="D91" s="454">
        <f t="shared" si="9"/>
        <v>80</v>
      </c>
      <c r="E91" s="455">
        <f t="shared" si="6"/>
        <v>400</v>
      </c>
      <c r="F91" s="456">
        <f t="shared" si="10"/>
        <v>40</v>
      </c>
      <c r="G91" s="454">
        <f t="shared" si="11"/>
        <v>10</v>
      </c>
      <c r="H91" s="455">
        <f t="shared" si="7"/>
        <v>50</v>
      </c>
      <c r="I91" s="457">
        <f t="shared" si="12"/>
        <v>280</v>
      </c>
      <c r="J91" s="454">
        <f t="shared" si="13"/>
        <v>70</v>
      </c>
      <c r="K91" s="455">
        <f t="shared" si="8"/>
        <v>350</v>
      </c>
    </row>
    <row r="92" spans="1:11" x14ac:dyDescent="0.2">
      <c r="A92" s="452">
        <f t="shared" si="4"/>
        <v>45</v>
      </c>
      <c r="B92" s="446" t="str">
        <f t="shared" si="4"/>
        <v>IP gotovina</v>
      </c>
      <c r="C92" s="453">
        <f t="shared" si="5"/>
        <v>320</v>
      </c>
      <c r="D92" s="454">
        <f t="shared" si="9"/>
        <v>80</v>
      </c>
      <c r="E92" s="455">
        <f t="shared" si="6"/>
        <v>400</v>
      </c>
      <c r="F92" s="456">
        <f t="shared" si="10"/>
        <v>56</v>
      </c>
      <c r="G92" s="454">
        <f t="shared" si="11"/>
        <v>14</v>
      </c>
      <c r="H92" s="455">
        <f t="shared" si="7"/>
        <v>70</v>
      </c>
      <c r="I92" s="457">
        <f t="shared" si="12"/>
        <v>264</v>
      </c>
      <c r="J92" s="454">
        <f t="shared" si="13"/>
        <v>66</v>
      </c>
      <c r="K92" s="455">
        <f t="shared" si="8"/>
        <v>330</v>
      </c>
    </row>
    <row r="93" spans="1:11" x14ac:dyDescent="0.2">
      <c r="A93" s="452">
        <f t="shared" si="4"/>
        <v>46</v>
      </c>
      <c r="B93" s="446" t="str">
        <f t="shared" si="4"/>
        <v xml:space="preserve">2IP </v>
      </c>
      <c r="C93" s="453">
        <f t="shared" si="5"/>
        <v>640</v>
      </c>
      <c r="D93" s="454">
        <f t="shared" si="9"/>
        <v>160</v>
      </c>
      <c r="E93" s="455">
        <f t="shared" si="6"/>
        <v>800</v>
      </c>
      <c r="F93" s="456">
        <f t="shared" si="10"/>
        <v>120</v>
      </c>
      <c r="G93" s="454">
        <f t="shared" si="11"/>
        <v>30</v>
      </c>
      <c r="H93" s="455">
        <f t="shared" si="7"/>
        <v>150</v>
      </c>
      <c r="I93" s="457">
        <f t="shared" si="12"/>
        <v>520</v>
      </c>
      <c r="J93" s="454">
        <f t="shared" si="13"/>
        <v>130</v>
      </c>
      <c r="K93" s="455">
        <f t="shared" si="8"/>
        <v>650</v>
      </c>
    </row>
    <row r="94" spans="1:11" ht="13.5" thickBot="1" x14ac:dyDescent="0.25">
      <c r="A94" s="458">
        <f t="shared" si="4"/>
        <v>47</v>
      </c>
      <c r="B94" s="459" t="str">
        <f t="shared" si="4"/>
        <v>2IP gotovina</v>
      </c>
      <c r="C94" s="460">
        <f t="shared" si="5"/>
        <v>640</v>
      </c>
      <c r="D94" s="461">
        <f t="shared" si="9"/>
        <v>160</v>
      </c>
      <c r="E94" s="462">
        <f t="shared" si="6"/>
        <v>800</v>
      </c>
      <c r="F94" s="463">
        <f t="shared" si="10"/>
        <v>160</v>
      </c>
      <c r="G94" s="461">
        <f t="shared" si="11"/>
        <v>40</v>
      </c>
      <c r="H94" s="462">
        <f t="shared" si="7"/>
        <v>200</v>
      </c>
      <c r="I94" s="464">
        <f t="shared" si="12"/>
        <v>480</v>
      </c>
      <c r="J94" s="461">
        <f t="shared" si="13"/>
        <v>120</v>
      </c>
      <c r="K94" s="462">
        <f t="shared" si="8"/>
        <v>600</v>
      </c>
    </row>
    <row r="96" spans="1:11" ht="51" x14ac:dyDescent="0.2">
      <c r="F96" s="465" t="s">
        <v>284</v>
      </c>
    </row>
    <row r="97" spans="7:7" x14ac:dyDescent="0.2">
      <c r="G97" s="466"/>
    </row>
  </sheetData>
  <sheetProtection sheet="1" objects="1" scenarios="1" selectLockedCells="1" selectUnlockedCells="1"/>
  <mergeCells count="20">
    <mergeCell ref="C17:E17"/>
    <mergeCell ref="C18:E18"/>
    <mergeCell ref="C19:E19"/>
    <mergeCell ref="C20:E20"/>
    <mergeCell ref="A77:A78"/>
    <mergeCell ref="F77:G77"/>
    <mergeCell ref="C77:E77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21:E21"/>
    <mergeCell ref="C22:E22"/>
    <mergeCell ref="C16:E16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ED903-9CB7-4451-ACFC-F64BF757CD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5</vt:i4>
      </vt:variant>
      <vt:variant>
        <vt:lpstr>Imenovani rasponi</vt:lpstr>
      </vt:variant>
      <vt:variant>
        <vt:i4>2</vt:i4>
      </vt:variant>
    </vt:vector>
  </HeadingPairs>
  <TitlesOfParts>
    <vt:vector size="7" baseType="lpstr">
      <vt:lpstr>211</vt:lpstr>
      <vt:lpstr>4. HÉT</vt:lpstr>
      <vt:lpstr>Tablica Unos</vt:lpstr>
      <vt:lpstr>Primjer</vt:lpstr>
      <vt:lpstr>Cijenik</vt:lpstr>
      <vt:lpstr>'211'!Podrucje_ispisa</vt:lpstr>
      <vt:lpstr>'4. HÉT'!Podrucje_ispisa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2026-07-08T07:23:10Z</cp:lastPrinted>
  <dcterms:created xsi:type="dcterms:W3CDTF">2008-01-20T16:35:54Z</dcterms:created>
  <dcterms:modified xsi:type="dcterms:W3CDTF">2026-07-08T13:05:28Z</dcterms:modified>
</cp:coreProperties>
</file>
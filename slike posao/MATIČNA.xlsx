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2.xml" ContentType="application/vnd.openxmlformats-officedocument.spreadsheetml.pivot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T-ICT\Documents\GitHub\KalkulacijeGradjevina\slike posao\"/>
    </mc:Choice>
  </mc:AlternateContent>
  <bookViews>
    <workbookView xWindow="28680" yWindow="-120" windowWidth="29040" windowHeight="15720" tabRatio="711" firstSheet="3" activeTab="12"/>
  </bookViews>
  <sheets>
    <sheet name="ugovor_neo (tifany" sheetId="60" state="hidden" r:id="rId1"/>
    <sheet name="ugovor_odr (2)" sheetId="55" state="hidden" r:id="rId2"/>
    <sheet name="aneks (3)" sheetId="57" state="hidden" r:id="rId3"/>
    <sheet name="POSLODAVCI" sheetId="4" r:id="rId4"/>
    <sheet name="RADNICI" sheetId="3" r:id="rId5"/>
    <sheet name="Sheet2" sheetId="43" state="hidden" r:id="rId6"/>
    <sheet name="UGOVOR CINDRIĆ" sheetId="50" state="hidden" r:id="rId7"/>
    <sheet name="EVIDENCIJA NOVA" sheetId="20" r:id="rId8"/>
    <sheet name="pot.oisplpl" sheetId="38" r:id="rId9"/>
    <sheet name="izj-prija" sheetId="5" r:id="rId10"/>
    <sheet name="izj-prija_neneto" sheetId="63" r:id="rId11"/>
    <sheet name="ugovor_odr" sheetId="8" r:id="rId12"/>
    <sheet name="ugovor_neodr" sheetId="59" r:id="rId13"/>
    <sheet name="ugovor_odr kristina" sheetId="62" r:id="rId14"/>
    <sheet name="ugovor_odr TJ" sheetId="61" r:id="rId15"/>
    <sheet name="ugovor_neo" sheetId="6" r:id="rId16"/>
    <sheet name="ugovor_odrMOZ" sheetId="53" r:id="rId17"/>
    <sheet name="ugovor_neoMOZ" sheetId="52" r:id="rId18"/>
    <sheet name="aneks" sheetId="17" r:id="rId19"/>
    <sheet name="aneks (2)" sheetId="25" r:id="rId20"/>
    <sheet name="otkaz" sheetId="47" r:id="rId21"/>
    <sheet name="ccorona" sheetId="51" r:id="rId22"/>
    <sheet name="izj-odjava" sheetId="14" r:id="rId23"/>
    <sheet name="r1-osob" sheetId="7" r:id="rId24"/>
    <sheet name="r1-sporaz" sheetId="10" r:id="rId25"/>
    <sheet name="r1-posl" sheetId="9" r:id="rId26"/>
    <sheet name="potvrda" sheetId="16" r:id="rId27"/>
    <sheet name="r1-posl (2)" sheetId="40" r:id="rId28"/>
    <sheet name="R1-ODLO" sheetId="18" r:id="rId29"/>
    <sheet name="ODL " sheetId="44" r:id="rId30"/>
    <sheet name="Sheet1" sheetId="46" r:id="rId31"/>
    <sheet name="ODR OTPREMNINE" sheetId="45" r:id="rId32"/>
    <sheet name="odl.god" sheetId="15" r:id="rId33"/>
    <sheet name="list evr" sheetId="54" r:id="rId34"/>
    <sheet name="evr_int line" sheetId="48" r:id="rId35"/>
    <sheet name="evr_WAX" sheetId="26" r:id="rId36"/>
    <sheet name="evr_HOME PLUS" sheetId="31" r:id="rId37"/>
    <sheet name="evr_agro pmd" sheetId="28" r:id="rId38"/>
    <sheet name="evr_DURA CONST" sheetId="37" r:id="rId39"/>
    <sheet name="evr_PIROŠ ČIZMA" sheetId="33" r:id="rId40"/>
    <sheet name="evr_MUCI" sheetId="39" r:id="rId41"/>
    <sheet name="evr_HIMX D.O.O" sheetId="35" r:id="rId42"/>
    <sheet name="evr_agro pmd (2)" sheetId="41" r:id="rId43"/>
    <sheet name="UGOVOR MATEJ" sheetId="49" r:id="rId44"/>
    <sheet name="IZRAČUN GO" sheetId="58" r:id="rId45"/>
  </sheets>
  <definedNames>
    <definedName name="_xlnm._FilterDatabase" localSheetId="37" hidden="1">'evr_agro pmd'!$A$6:$AC$15</definedName>
    <definedName name="_xlnm._FilterDatabase" localSheetId="42" hidden="1">'evr_agro pmd (2)'!$A$6:$Z$15</definedName>
    <definedName name="_xlnm._FilterDatabase" localSheetId="38" hidden="1">'evr_DURA CONST'!$A$6:$AC$13</definedName>
    <definedName name="_xlnm._FilterDatabase" localSheetId="3" hidden="1">POSLODAVCI!$A$1:$J$107</definedName>
    <definedName name="_xlnm._FilterDatabase" localSheetId="4" hidden="1">RADNICI!$C$1:$BA$828</definedName>
  </definedNames>
  <calcPr calcId="162913"/>
  <pivotCaches>
    <pivotCache cacheId="0" r:id="rId46"/>
    <pivotCache cacheId="1" r:id="rId4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1" i="59" l="1"/>
  <c r="E49" i="59"/>
  <c r="B32" i="59"/>
  <c r="F11" i="59"/>
  <c r="F20" i="59"/>
  <c r="B20" i="59"/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E816" i="3"/>
  <c r="D26" i="59"/>
  <c r="E817" i="3"/>
  <c r="E818" i="3"/>
  <c r="E819" i="3"/>
  <c r="E820" i="3"/>
  <c r="E821" i="3"/>
  <c r="E822" i="3"/>
  <c r="E823" i="3"/>
  <c r="E824" i="3"/>
  <c r="E825" i="3"/>
  <c r="E826" i="3"/>
  <c r="F816" i="3"/>
  <c r="F817" i="3"/>
  <c r="F818" i="3"/>
  <c r="F819" i="3"/>
  <c r="F820" i="3"/>
  <c r="F821" i="3"/>
  <c r="F822" i="3"/>
  <c r="F823" i="3"/>
  <c r="F824" i="3"/>
  <c r="F825" i="3"/>
  <c r="F826" i="3"/>
  <c r="G816" i="3"/>
  <c r="G817" i="3"/>
  <c r="G818" i="3"/>
  <c r="G819" i="3"/>
  <c r="G820" i="3"/>
  <c r="G821" i="3"/>
  <c r="G822" i="3"/>
  <c r="G823" i="3"/>
  <c r="G824" i="3"/>
  <c r="G825" i="3"/>
  <c r="G826" i="3"/>
  <c r="I816" i="3"/>
  <c r="I817" i="3"/>
  <c r="I818" i="3"/>
  <c r="I819" i="3"/>
  <c r="I820" i="3"/>
  <c r="I821" i="3"/>
  <c r="I822" i="3"/>
  <c r="I823" i="3"/>
  <c r="I824" i="3"/>
  <c r="I825" i="3"/>
  <c r="I826" i="3"/>
  <c r="E827" i="3"/>
  <c r="F827" i="3"/>
  <c r="G827" i="3"/>
  <c r="I827" i="3"/>
  <c r="H17" i="8"/>
  <c r="E20" i="8"/>
  <c r="E815" i="3"/>
  <c r="F815" i="3"/>
  <c r="G815" i="3"/>
  <c r="I815" i="3"/>
  <c r="E814" i="3"/>
  <c r="F814" i="3"/>
  <c r="G814" i="3"/>
  <c r="I814" i="3"/>
  <c r="E813" i="3"/>
  <c r="F813" i="3"/>
  <c r="G813" i="3"/>
  <c r="I813" i="3"/>
  <c r="E812" i="3"/>
  <c r="F812" i="3"/>
  <c r="G812" i="3"/>
  <c r="I812" i="3"/>
  <c r="E811" i="3"/>
  <c r="F811" i="3"/>
  <c r="G811" i="3"/>
  <c r="I811" i="3"/>
  <c r="E810" i="3"/>
  <c r="A2" i="63" s="1"/>
  <c r="F810" i="3"/>
  <c r="A3" i="63" s="1"/>
  <c r="G810" i="3"/>
  <c r="I810" i="3"/>
  <c r="E809" i="3"/>
  <c r="F809" i="3"/>
  <c r="G809" i="3"/>
  <c r="I809" i="3"/>
  <c r="E808" i="3"/>
  <c r="F808" i="3"/>
  <c r="G808" i="3"/>
  <c r="I808" i="3"/>
  <c r="E807" i="3"/>
  <c r="F807" i="3"/>
  <c r="G807" i="3"/>
  <c r="I807" i="3"/>
  <c r="E806" i="3"/>
  <c r="F806" i="3"/>
  <c r="G806" i="3"/>
  <c r="I806" i="3"/>
  <c r="E805" i="3"/>
  <c r="F805" i="3"/>
  <c r="G805" i="3"/>
  <c r="I805" i="3"/>
  <c r="E804" i="3"/>
  <c r="F804" i="3"/>
  <c r="G804" i="3"/>
  <c r="I804" i="3"/>
  <c r="E803" i="3"/>
  <c r="F803" i="3"/>
  <c r="G803" i="3"/>
  <c r="I803" i="3"/>
  <c r="E802" i="3"/>
  <c r="F802" i="3"/>
  <c r="G802" i="3"/>
  <c r="I802" i="3"/>
  <c r="E801" i="3"/>
  <c r="F801" i="3"/>
  <c r="G801" i="3"/>
  <c r="I801" i="3"/>
  <c r="E800" i="3"/>
  <c r="F800" i="3"/>
  <c r="G800" i="3"/>
  <c r="I800" i="3"/>
  <c r="E798" i="3"/>
  <c r="F798" i="3"/>
  <c r="G798" i="3"/>
  <c r="I798" i="3"/>
  <c r="E799" i="3"/>
  <c r="F799" i="3"/>
  <c r="G799" i="3"/>
  <c r="I799" i="3"/>
  <c r="E797" i="3"/>
  <c r="F797" i="3"/>
  <c r="G797" i="3"/>
  <c r="I797" i="3"/>
  <c r="E796" i="3"/>
  <c r="F796" i="3"/>
  <c r="G796" i="3"/>
  <c r="I796" i="3"/>
  <c r="E795" i="3"/>
  <c r="F795" i="3"/>
  <c r="G795" i="3"/>
  <c r="I795" i="3"/>
  <c r="E794" i="3"/>
  <c r="F794" i="3"/>
  <c r="G794" i="3"/>
  <c r="I794" i="3"/>
  <c r="E793" i="3"/>
  <c r="F793" i="3"/>
  <c r="G793" i="3"/>
  <c r="I793" i="3"/>
  <c r="E792" i="3"/>
  <c r="F792" i="3"/>
  <c r="G792" i="3"/>
  <c r="I792" i="3"/>
  <c r="E791" i="3"/>
  <c r="F791" i="3"/>
  <c r="G791" i="3"/>
  <c r="I791" i="3"/>
  <c r="E790" i="3"/>
  <c r="F790" i="3"/>
  <c r="G790" i="3"/>
  <c r="I790" i="3"/>
  <c r="E789" i="3"/>
  <c r="F789" i="3"/>
  <c r="G789" i="3"/>
  <c r="I789" i="3"/>
  <c r="E788" i="3"/>
  <c r="F788" i="3"/>
  <c r="G788" i="3"/>
  <c r="I788" i="3"/>
  <c r="E787" i="3"/>
  <c r="F787" i="3"/>
  <c r="G787" i="3"/>
  <c r="I787" i="3"/>
  <c r="E786" i="3"/>
  <c r="F786" i="3"/>
  <c r="G786" i="3"/>
  <c r="I786" i="3"/>
  <c r="E785" i="3"/>
  <c r="F785" i="3"/>
  <c r="G785" i="3"/>
  <c r="I785" i="3"/>
  <c r="E784" i="3"/>
  <c r="F784" i="3"/>
  <c r="G784" i="3"/>
  <c r="I784" i="3"/>
  <c r="E783" i="3"/>
  <c r="F783" i="3"/>
  <c r="G783" i="3"/>
  <c r="I783" i="3"/>
  <c r="E782" i="3"/>
  <c r="F782" i="3"/>
  <c r="G782" i="3"/>
  <c r="I782" i="3"/>
  <c r="E781" i="3"/>
  <c r="F781" i="3"/>
  <c r="G781" i="3"/>
  <c r="I781" i="3"/>
  <c r="E780" i="3"/>
  <c r="F780" i="3"/>
  <c r="G780" i="3"/>
  <c r="I780" i="3"/>
  <c r="E779" i="3"/>
  <c r="F779" i="3"/>
  <c r="G779" i="3"/>
  <c r="I779" i="3"/>
  <c r="E778" i="3"/>
  <c r="F778" i="3"/>
  <c r="G778" i="3"/>
  <c r="I778" i="3"/>
  <c r="E777" i="3"/>
  <c r="F777" i="3"/>
  <c r="G777" i="3"/>
  <c r="I777" i="3"/>
  <c r="E776" i="3"/>
  <c r="F776" i="3"/>
  <c r="G776" i="3"/>
  <c r="I776" i="3"/>
  <c r="E775" i="3"/>
  <c r="F775" i="3"/>
  <c r="G775" i="3"/>
  <c r="I775" i="3"/>
  <c r="E774" i="3"/>
  <c r="F774" i="3"/>
  <c r="G774" i="3"/>
  <c r="I774" i="3"/>
  <c r="E773" i="3"/>
  <c r="F773" i="3"/>
  <c r="G773" i="3"/>
  <c r="I773" i="3"/>
  <c r="E772" i="3"/>
  <c r="F772" i="3"/>
  <c r="G772" i="3"/>
  <c r="I772" i="3"/>
  <c r="E771" i="3"/>
  <c r="F771" i="3"/>
  <c r="G771" i="3"/>
  <c r="I771" i="3"/>
  <c r="E770" i="3"/>
  <c r="F770" i="3"/>
  <c r="G770" i="3"/>
  <c r="I770" i="3"/>
  <c r="G769" i="3"/>
  <c r="E769" i="3"/>
  <c r="F769" i="3"/>
  <c r="I769" i="3"/>
  <c r="E768" i="3"/>
  <c r="E7" i="63"/>
  <c r="B7" i="63"/>
  <c r="E19" i="6"/>
  <c r="C84" i="6"/>
  <c r="B3" i="59"/>
  <c r="D80" i="62"/>
  <c r="H50" i="62"/>
  <c r="D50" i="62"/>
  <c r="B31" i="62"/>
  <c r="D24" i="62"/>
  <c r="D76" i="62" s="1"/>
  <c r="D18" i="62"/>
  <c r="H17" i="62"/>
  <c r="F17" i="62"/>
  <c r="A11" i="62"/>
  <c r="F10" i="62"/>
  <c r="B10" i="62"/>
  <c r="D22" i="59" l="1"/>
  <c r="C8" i="59"/>
  <c r="E8" i="59"/>
  <c r="I8" i="59"/>
  <c r="C91" i="59"/>
  <c r="D87" i="59"/>
  <c r="B798" i="3"/>
  <c r="B797" i="3"/>
  <c r="B796" i="3"/>
  <c r="B795" i="3"/>
  <c r="B794" i="3"/>
  <c r="B793" i="3"/>
  <c r="B792" i="3"/>
  <c r="B31" i="8"/>
  <c r="F7" i="62"/>
  <c r="I7" i="62"/>
  <c r="E8" i="62"/>
  <c r="E20" i="62"/>
  <c r="D23" i="6"/>
  <c r="D80" i="6" s="1"/>
  <c r="B786" i="3"/>
  <c r="B787" i="3"/>
  <c r="B788" i="3"/>
  <c r="B789" i="3"/>
  <c r="B790" i="3"/>
  <c r="B791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A1" i="61" l="1"/>
  <c r="A11" i="61" s="1"/>
  <c r="H17" i="61" l="1"/>
  <c r="D24" i="61"/>
  <c r="D76" i="61" s="1"/>
  <c r="B10" i="61"/>
  <c r="D50" i="61"/>
  <c r="F10" i="61"/>
  <c r="H50" i="61"/>
  <c r="F17" i="61"/>
  <c r="D18" i="61"/>
  <c r="A1" i="51" l="1"/>
  <c r="A1" i="9"/>
  <c r="A5" i="9" s="1"/>
  <c r="D9" i="7" l="1"/>
  <c r="A1" i="17" l="1"/>
  <c r="G21" i="20"/>
  <c r="G22" i="20"/>
  <c r="D18" i="8" l="1"/>
  <c r="D80" i="8"/>
  <c r="D26" i="25"/>
  <c r="F768" i="3"/>
  <c r="G768" i="3"/>
  <c r="I768" i="3"/>
  <c r="E767" i="3" l="1"/>
  <c r="F767" i="3"/>
  <c r="G767" i="3"/>
  <c r="I767" i="3"/>
  <c r="F55" i="6"/>
  <c r="E766" i="3"/>
  <c r="F766" i="3"/>
  <c r="G766" i="3"/>
  <c r="I766" i="3"/>
  <c r="E765" i="3"/>
  <c r="F765" i="3"/>
  <c r="G765" i="3"/>
  <c r="I765" i="3"/>
  <c r="E764" i="3"/>
  <c r="F764" i="3"/>
  <c r="G764" i="3"/>
  <c r="I764" i="3"/>
  <c r="E763" i="3"/>
  <c r="F763" i="3"/>
  <c r="G763" i="3"/>
  <c r="I763" i="3"/>
  <c r="E762" i="3"/>
  <c r="F762" i="3"/>
  <c r="G762" i="3"/>
  <c r="I762" i="3"/>
  <c r="E761" i="3"/>
  <c r="F761" i="3"/>
  <c r="G761" i="3"/>
  <c r="I761" i="3"/>
  <c r="E760" i="3"/>
  <c r="F760" i="3"/>
  <c r="G760" i="3"/>
  <c r="I760" i="3"/>
  <c r="E759" i="3"/>
  <c r="F759" i="3"/>
  <c r="G759" i="3"/>
  <c r="I759" i="3"/>
  <c r="E758" i="3"/>
  <c r="F758" i="3"/>
  <c r="G758" i="3"/>
  <c r="I758" i="3"/>
  <c r="D11" i="9" l="1"/>
  <c r="D5" i="9"/>
  <c r="E757" i="3" l="1"/>
  <c r="F757" i="3"/>
  <c r="G757" i="3"/>
  <c r="I757" i="3"/>
  <c r="E756" i="3"/>
  <c r="F756" i="3"/>
  <c r="G756" i="3"/>
  <c r="I756" i="3"/>
  <c r="E755" i="3"/>
  <c r="F755" i="3"/>
  <c r="G755" i="3"/>
  <c r="I755" i="3"/>
  <c r="E754" i="3"/>
  <c r="F754" i="3"/>
  <c r="G754" i="3"/>
  <c r="I754" i="3"/>
  <c r="E753" i="3"/>
  <c r="F753" i="3"/>
  <c r="G753" i="3"/>
  <c r="I753" i="3"/>
  <c r="E752" i="3"/>
  <c r="F752" i="3"/>
  <c r="G752" i="3"/>
  <c r="I752" i="3"/>
  <c r="E751" i="3"/>
  <c r="F751" i="3"/>
  <c r="G751" i="3"/>
  <c r="I751" i="3"/>
  <c r="E750" i="3"/>
  <c r="F750" i="3"/>
  <c r="G750" i="3"/>
  <c r="I750" i="3"/>
  <c r="E749" i="3"/>
  <c r="F749" i="3"/>
  <c r="G749" i="3"/>
  <c r="I749" i="3"/>
  <c r="E748" i="3"/>
  <c r="F748" i="3"/>
  <c r="G748" i="3"/>
  <c r="I748" i="3"/>
  <c r="E747" i="3"/>
  <c r="F747" i="3"/>
  <c r="G747" i="3"/>
  <c r="I747" i="3"/>
  <c r="E746" i="3"/>
  <c r="F746" i="3"/>
  <c r="G746" i="3"/>
  <c r="I746" i="3"/>
  <c r="E745" i="3"/>
  <c r="F745" i="3"/>
  <c r="G745" i="3"/>
  <c r="I745" i="3"/>
  <c r="A29" i="6" l="1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E744" i="3" l="1"/>
  <c r="F744" i="3"/>
  <c r="G744" i="3"/>
  <c r="I744" i="3"/>
  <c r="E743" i="3"/>
  <c r="F743" i="3"/>
  <c r="G743" i="3"/>
  <c r="I743" i="3"/>
  <c r="E742" i="3"/>
  <c r="F742" i="3"/>
  <c r="G742" i="3"/>
  <c r="I742" i="3"/>
  <c r="E741" i="3"/>
  <c r="F741" i="3"/>
  <c r="G741" i="3"/>
  <c r="I741" i="3"/>
  <c r="E740" i="3"/>
  <c r="F740" i="3"/>
  <c r="G740" i="3"/>
  <c r="I740" i="3"/>
  <c r="E739" i="3" l="1"/>
  <c r="F739" i="3"/>
  <c r="G739" i="3"/>
  <c r="E738" i="3" l="1"/>
  <c r="F738" i="3"/>
  <c r="G738" i="3"/>
  <c r="I738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E737" i="3"/>
  <c r="F737" i="3"/>
  <c r="G737" i="3"/>
  <c r="I737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F9" i="6" l="1"/>
  <c r="B11" i="59"/>
  <c r="I97" i="59" s="1"/>
  <c r="B9" i="6"/>
  <c r="G73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5" i="3"/>
  <c r="I736" i="3"/>
  <c r="E710" i="3"/>
  <c r="F710" i="3"/>
  <c r="G710" i="3"/>
  <c r="I710" i="3"/>
  <c r="E716" i="3"/>
  <c r="F716" i="3"/>
  <c r="G716" i="3"/>
  <c r="I716" i="3"/>
  <c r="I17" i="53" l="1"/>
  <c r="D24" i="53"/>
  <c r="B3" i="53"/>
  <c r="E715" i="3"/>
  <c r="F715" i="3"/>
  <c r="G715" i="3"/>
  <c r="E714" i="3"/>
  <c r="F714" i="3"/>
  <c r="G714" i="3"/>
  <c r="E713" i="3"/>
  <c r="F713" i="3"/>
  <c r="G713" i="3"/>
  <c r="E712" i="3"/>
  <c r="F712" i="3"/>
  <c r="G712" i="3"/>
  <c r="I712" i="3"/>
  <c r="E711" i="3"/>
  <c r="F711" i="3"/>
  <c r="G711" i="3"/>
  <c r="I711" i="3"/>
  <c r="E709" i="3"/>
  <c r="F709" i="3"/>
  <c r="G709" i="3"/>
  <c r="I709" i="3"/>
  <c r="E708" i="3"/>
  <c r="F708" i="3"/>
  <c r="G708" i="3"/>
  <c r="I708" i="3"/>
  <c r="E701" i="3"/>
  <c r="E702" i="3"/>
  <c r="E703" i="3"/>
  <c r="E704" i="3"/>
  <c r="E705" i="3"/>
  <c r="E706" i="3"/>
  <c r="E707" i="3"/>
  <c r="F701" i="3"/>
  <c r="F702" i="3"/>
  <c r="F703" i="3"/>
  <c r="F704" i="3"/>
  <c r="F705" i="3"/>
  <c r="F706" i="3"/>
  <c r="F707" i="3"/>
  <c r="G701" i="3"/>
  <c r="G702" i="3"/>
  <c r="G703" i="3"/>
  <c r="G704" i="3"/>
  <c r="G705" i="3"/>
  <c r="G706" i="3"/>
  <c r="G707" i="3"/>
  <c r="I701" i="3"/>
  <c r="I702" i="3"/>
  <c r="I703" i="3"/>
  <c r="I704" i="3"/>
  <c r="I705" i="3"/>
  <c r="I706" i="3"/>
  <c r="I707" i="3"/>
  <c r="E696" i="3"/>
  <c r="E697" i="3"/>
  <c r="E698" i="3"/>
  <c r="E699" i="3"/>
  <c r="E700" i="3"/>
  <c r="F696" i="3"/>
  <c r="F697" i="3"/>
  <c r="F698" i="3"/>
  <c r="F699" i="3"/>
  <c r="F700" i="3"/>
  <c r="G696" i="3"/>
  <c r="G697" i="3"/>
  <c r="G698" i="3"/>
  <c r="G699" i="3"/>
  <c r="G700" i="3"/>
  <c r="I696" i="3"/>
  <c r="I697" i="3"/>
  <c r="I698" i="3"/>
  <c r="I699" i="3"/>
  <c r="I700" i="3"/>
  <c r="E695" i="3"/>
  <c r="F695" i="3"/>
  <c r="G695" i="3"/>
  <c r="I695" i="3"/>
  <c r="E694" i="3"/>
  <c r="F694" i="3"/>
  <c r="G694" i="3"/>
  <c r="I694" i="3"/>
  <c r="E693" i="3"/>
  <c r="F693" i="3"/>
  <c r="G693" i="3"/>
  <c r="I693" i="3"/>
  <c r="E692" i="3"/>
  <c r="F692" i="3"/>
  <c r="G692" i="3"/>
  <c r="I692" i="3"/>
  <c r="E691" i="3"/>
  <c r="F691" i="3"/>
  <c r="G691" i="3"/>
  <c r="I691" i="3"/>
  <c r="E690" i="3"/>
  <c r="F690" i="3"/>
  <c r="G690" i="3"/>
  <c r="I690" i="3"/>
  <c r="E689" i="3"/>
  <c r="F689" i="3"/>
  <c r="G689" i="3"/>
  <c r="I689" i="3"/>
  <c r="E688" i="3"/>
  <c r="F688" i="3"/>
  <c r="G688" i="3"/>
  <c r="I688" i="3"/>
  <c r="E687" i="3"/>
  <c r="F687" i="3"/>
  <c r="G687" i="3"/>
  <c r="I687" i="3"/>
  <c r="E686" i="3"/>
  <c r="F686" i="3"/>
  <c r="G686" i="3"/>
  <c r="I686" i="3"/>
  <c r="E685" i="3"/>
  <c r="F685" i="3"/>
  <c r="G685" i="3"/>
  <c r="I685" i="3"/>
  <c r="E684" i="3"/>
  <c r="F684" i="3"/>
  <c r="G684" i="3"/>
  <c r="I684" i="3"/>
  <c r="E683" i="3"/>
  <c r="F683" i="3"/>
  <c r="G683" i="3"/>
  <c r="I683" i="3"/>
  <c r="E682" i="3"/>
  <c r="F682" i="3"/>
  <c r="G682" i="3"/>
  <c r="I682" i="3"/>
  <c r="E681" i="3"/>
  <c r="F681" i="3"/>
  <c r="G681" i="3"/>
  <c r="I681" i="3"/>
  <c r="E680" i="3"/>
  <c r="F680" i="3"/>
  <c r="G680" i="3"/>
  <c r="I680" i="3"/>
  <c r="E679" i="3"/>
  <c r="F7" i="61" s="1"/>
  <c r="F679" i="3"/>
  <c r="I7" i="61" s="1"/>
  <c r="G679" i="3"/>
  <c r="E8" i="61" s="1"/>
  <c r="I679" i="3"/>
  <c r="E20" i="61" s="1"/>
  <c r="E678" i="3"/>
  <c r="F678" i="3"/>
  <c r="G678" i="3"/>
  <c r="I678" i="3"/>
  <c r="E677" i="3"/>
  <c r="F677" i="3"/>
  <c r="G677" i="3"/>
  <c r="I677" i="3"/>
  <c r="E676" i="3"/>
  <c r="F676" i="3"/>
  <c r="G676" i="3"/>
  <c r="I676" i="3"/>
  <c r="E675" i="3"/>
  <c r="F675" i="3"/>
  <c r="G675" i="3"/>
  <c r="I675" i="3"/>
  <c r="E674" i="3"/>
  <c r="F674" i="3"/>
  <c r="G674" i="3"/>
  <c r="I674" i="3"/>
  <c r="E673" i="3"/>
  <c r="F673" i="3"/>
  <c r="G673" i="3"/>
  <c r="I673" i="3"/>
  <c r="E672" i="3"/>
  <c r="F672" i="3"/>
  <c r="G672" i="3"/>
  <c r="I672" i="3"/>
  <c r="E671" i="3"/>
  <c r="F671" i="3"/>
  <c r="G671" i="3"/>
  <c r="I671" i="3"/>
  <c r="E670" i="3"/>
  <c r="F670" i="3"/>
  <c r="G670" i="3"/>
  <c r="I670" i="3"/>
  <c r="E669" i="3"/>
  <c r="F669" i="3"/>
  <c r="G669" i="3"/>
  <c r="I669" i="3"/>
  <c r="E668" i="3"/>
  <c r="F668" i="3"/>
  <c r="G668" i="3"/>
  <c r="I668" i="3"/>
  <c r="E660" i="3"/>
  <c r="E661" i="3"/>
  <c r="E662" i="3"/>
  <c r="E663" i="3"/>
  <c r="E664" i="3"/>
  <c r="E665" i="3"/>
  <c r="E666" i="3"/>
  <c r="E667" i="3"/>
  <c r="F660" i="3"/>
  <c r="F661" i="3"/>
  <c r="F662" i="3"/>
  <c r="F663" i="3"/>
  <c r="F664" i="3"/>
  <c r="F665" i="3"/>
  <c r="F666" i="3"/>
  <c r="F667" i="3"/>
  <c r="G660" i="3"/>
  <c r="G661" i="3"/>
  <c r="G662" i="3"/>
  <c r="G663" i="3"/>
  <c r="G664" i="3"/>
  <c r="G665" i="3"/>
  <c r="G666" i="3"/>
  <c r="G667" i="3"/>
  <c r="I660" i="3"/>
  <c r="I661" i="3"/>
  <c r="I662" i="3"/>
  <c r="I663" i="3"/>
  <c r="I664" i="3"/>
  <c r="I665" i="3"/>
  <c r="I666" i="3"/>
  <c r="I667" i="3"/>
  <c r="E658" i="3"/>
  <c r="E659" i="3"/>
  <c r="F658" i="3"/>
  <c r="F659" i="3"/>
  <c r="G658" i="3"/>
  <c r="G659" i="3"/>
  <c r="I658" i="3"/>
  <c r="I659" i="3"/>
  <c r="E656" i="3"/>
  <c r="E657" i="3"/>
  <c r="F656" i="3"/>
  <c r="F657" i="3"/>
  <c r="G656" i="3"/>
  <c r="G657" i="3"/>
  <c r="I656" i="3"/>
  <c r="I657" i="3"/>
  <c r="E655" i="3"/>
  <c r="F655" i="3"/>
  <c r="G655" i="3"/>
  <c r="I655" i="3"/>
  <c r="E654" i="3"/>
  <c r="F654" i="3"/>
  <c r="G654" i="3"/>
  <c r="I654" i="3"/>
  <c r="E653" i="3"/>
  <c r="F653" i="3"/>
  <c r="G653" i="3"/>
  <c r="I653" i="3"/>
  <c r="E652" i="3"/>
  <c r="F652" i="3"/>
  <c r="G652" i="3"/>
  <c r="I652" i="3"/>
  <c r="E651" i="3"/>
  <c r="F651" i="3"/>
  <c r="G651" i="3"/>
  <c r="I651" i="3"/>
  <c r="E650" i="3"/>
  <c r="F650" i="3"/>
  <c r="G650" i="3"/>
  <c r="I650" i="3"/>
  <c r="E649" i="3"/>
  <c r="F649" i="3"/>
  <c r="G649" i="3"/>
  <c r="I649" i="3"/>
  <c r="E648" i="3"/>
  <c r="F648" i="3"/>
  <c r="G648" i="3"/>
  <c r="I648" i="3"/>
  <c r="E647" i="3"/>
  <c r="F647" i="3"/>
  <c r="G647" i="3"/>
  <c r="I647" i="3"/>
  <c r="E646" i="3"/>
  <c r="F646" i="3"/>
  <c r="G646" i="3"/>
  <c r="I646" i="3"/>
  <c r="E645" i="3"/>
  <c r="F645" i="3"/>
  <c r="G645" i="3"/>
  <c r="I645" i="3"/>
  <c r="E644" i="3"/>
  <c r="F644" i="3"/>
  <c r="G644" i="3"/>
  <c r="I644" i="3"/>
  <c r="E643" i="3"/>
  <c r="F643" i="3"/>
  <c r="G643" i="3"/>
  <c r="I643" i="3"/>
  <c r="E642" i="3"/>
  <c r="F642" i="3"/>
  <c r="G642" i="3"/>
  <c r="I642" i="3"/>
  <c r="E641" i="3"/>
  <c r="F641" i="3"/>
  <c r="G641" i="3"/>
  <c r="I641" i="3"/>
  <c r="E20" i="52" l="1"/>
  <c r="I7" i="52"/>
  <c r="E20" i="53"/>
  <c r="H50" i="8" l="1"/>
  <c r="B623" i="3" l="1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6" i="3"/>
  <c r="B657" i="3"/>
  <c r="B658" i="3"/>
  <c r="B659" i="3"/>
  <c r="B660" i="3"/>
  <c r="B661" i="3"/>
  <c r="B3" i="52" l="1"/>
  <c r="E640" i="3" l="1"/>
  <c r="F640" i="3"/>
  <c r="G640" i="3"/>
  <c r="I640" i="3"/>
  <c r="E639" i="3" l="1"/>
  <c r="F639" i="3"/>
  <c r="G639" i="3"/>
  <c r="I639" i="3"/>
  <c r="E638" i="3"/>
  <c r="F638" i="3"/>
  <c r="G638" i="3"/>
  <c r="I638" i="3"/>
  <c r="A11" i="9" l="1"/>
  <c r="E637" i="3" l="1"/>
  <c r="F637" i="3"/>
  <c r="G637" i="3"/>
  <c r="I637" i="3"/>
  <c r="E636" i="3"/>
  <c r="F636" i="3"/>
  <c r="G636" i="3"/>
  <c r="I636" i="3"/>
  <c r="E635" i="3"/>
  <c r="F635" i="3"/>
  <c r="G635" i="3"/>
  <c r="I635" i="3"/>
  <c r="E634" i="3" l="1"/>
  <c r="F634" i="3"/>
  <c r="G634" i="3"/>
  <c r="I634" i="3"/>
  <c r="E633" i="3"/>
  <c r="F633" i="3"/>
  <c r="G633" i="3"/>
  <c r="I633" i="3"/>
  <c r="E632" i="3"/>
  <c r="F632" i="3"/>
  <c r="G632" i="3"/>
  <c r="I632" i="3"/>
  <c r="E627" i="3" l="1"/>
  <c r="E628" i="3"/>
  <c r="E629" i="3"/>
  <c r="E630" i="3"/>
  <c r="E631" i="3"/>
  <c r="F627" i="3"/>
  <c r="F628" i="3"/>
  <c r="F629" i="3"/>
  <c r="F630" i="3"/>
  <c r="F631" i="3"/>
  <c r="G627" i="3"/>
  <c r="G628" i="3"/>
  <c r="G629" i="3"/>
  <c r="G630" i="3"/>
  <c r="G631" i="3"/>
  <c r="I627" i="3"/>
  <c r="I628" i="3"/>
  <c r="I629" i="3"/>
  <c r="I630" i="3"/>
  <c r="I631" i="3"/>
  <c r="E626" i="3"/>
  <c r="F626" i="3"/>
  <c r="G626" i="3"/>
  <c r="I626" i="3"/>
  <c r="E625" i="3"/>
  <c r="F625" i="3"/>
  <c r="G625" i="3"/>
  <c r="I625" i="3"/>
  <c r="E624" i="3"/>
  <c r="F624" i="3"/>
  <c r="G624" i="3"/>
  <c r="I624" i="3"/>
  <c r="E623" i="3"/>
  <c r="F623" i="3"/>
  <c r="G623" i="3"/>
  <c r="I623" i="3"/>
  <c r="E622" i="3"/>
  <c r="F622" i="3"/>
  <c r="G622" i="3"/>
  <c r="I622" i="3"/>
  <c r="E621" i="3"/>
  <c r="F621" i="3"/>
  <c r="G621" i="3"/>
  <c r="I621" i="3"/>
  <c r="E616" i="3"/>
  <c r="E617" i="3"/>
  <c r="E618" i="3"/>
  <c r="E619" i="3"/>
  <c r="E620" i="3"/>
  <c r="G616" i="3"/>
  <c r="G617" i="3"/>
  <c r="G618" i="3"/>
  <c r="G619" i="3"/>
  <c r="G620" i="3"/>
  <c r="I616" i="3"/>
  <c r="I617" i="3"/>
  <c r="I618" i="3"/>
  <c r="I619" i="3"/>
  <c r="I620" i="3"/>
  <c r="E615" i="3"/>
  <c r="F615" i="3"/>
  <c r="G615" i="3"/>
  <c r="I615" i="3"/>
  <c r="E614" i="3"/>
  <c r="F614" i="3"/>
  <c r="G614" i="3"/>
  <c r="I614" i="3"/>
  <c r="E613" i="3"/>
  <c r="F613" i="3"/>
  <c r="G613" i="3"/>
  <c r="I613" i="3"/>
  <c r="E608" i="3"/>
  <c r="F608" i="3"/>
  <c r="G608" i="3"/>
  <c r="I608" i="3"/>
  <c r="E607" i="3"/>
  <c r="F607" i="3"/>
  <c r="G607" i="3"/>
  <c r="I607" i="3"/>
  <c r="B593" i="3" l="1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9" i="3"/>
  <c r="B610" i="3"/>
  <c r="B611" i="3"/>
  <c r="B612" i="3"/>
  <c r="B614" i="3"/>
  <c r="B616" i="3"/>
  <c r="B617" i="3"/>
  <c r="B618" i="3"/>
  <c r="B619" i="3"/>
  <c r="B620" i="3"/>
  <c r="B621" i="3"/>
  <c r="B622" i="3"/>
  <c r="F620" i="3" l="1"/>
  <c r="F619" i="3"/>
  <c r="F618" i="3"/>
  <c r="F617" i="3"/>
  <c r="F616" i="3"/>
  <c r="I611" i="3" l="1"/>
  <c r="G611" i="3"/>
  <c r="F611" i="3"/>
  <c r="E611" i="3"/>
  <c r="I610" i="3" l="1"/>
  <c r="G610" i="3"/>
  <c r="F610" i="3"/>
  <c r="E610" i="3"/>
  <c r="E612" i="3"/>
  <c r="E609" i="3"/>
  <c r="E601" i="3"/>
  <c r="E588" i="3"/>
  <c r="I612" i="3"/>
  <c r="G612" i="3"/>
  <c r="F612" i="3"/>
  <c r="I609" i="3"/>
  <c r="G609" i="3"/>
  <c r="F609" i="3"/>
  <c r="I590" i="3"/>
  <c r="G589" i="3"/>
  <c r="F599" i="3"/>
  <c r="E605" i="3"/>
  <c r="E606" i="3" l="1"/>
  <c r="F606" i="3"/>
  <c r="G606" i="3"/>
  <c r="I606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D3" i="9" s="1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B4" i="9" s="1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I7" i="8" s="1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600" i="3"/>
  <c r="F601" i="3"/>
  <c r="F602" i="3"/>
  <c r="F603" i="3"/>
  <c r="F604" i="3"/>
  <c r="F605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A3" i="9" s="1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F7" i="8" s="1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2" i="3"/>
  <c r="E603" i="3"/>
  <c r="E604" i="3"/>
  <c r="E3" i="3"/>
  <c r="D24" i="8" l="1"/>
  <c r="A11" i="8"/>
  <c r="A10" i="6"/>
  <c r="B26" i="16" l="1"/>
  <c r="B7" i="14" l="1"/>
  <c r="B10" i="8" l="1"/>
  <c r="B588" i="3" l="1"/>
  <c r="B589" i="3"/>
  <c r="B590" i="3"/>
  <c r="B591" i="3"/>
  <c r="B592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A1" i="46"/>
  <c r="G33" i="20" l="1"/>
  <c r="D84" i="60" l="1"/>
  <c r="A1" i="60"/>
  <c r="B18" i="60" s="1"/>
  <c r="B10" i="60" l="1"/>
  <c r="D54" i="60"/>
  <c r="H54" i="60"/>
  <c r="F10" i="60"/>
  <c r="A11" i="60"/>
  <c r="AZ586" i="3" l="1"/>
  <c r="B439" i="3" l="1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A12" i="59" l="1"/>
  <c r="H56" i="59"/>
  <c r="C56" i="59"/>
  <c r="A1" i="57" l="1"/>
  <c r="E12" i="57" s="1"/>
  <c r="A34" i="57"/>
  <c r="E37" i="57" l="1"/>
  <c r="B12" i="57"/>
  <c r="F7" i="59" l="1"/>
  <c r="E9" i="59"/>
  <c r="B97" i="59" s="1"/>
  <c r="F22" i="59"/>
  <c r="A1" i="55" l="1"/>
  <c r="I17" i="55" s="1"/>
  <c r="B11" i="3" l="1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F10" i="55" l="1"/>
  <c r="C496" i="3" l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H49" i="55" l="1"/>
  <c r="D49" i="55"/>
  <c r="B30" i="55"/>
  <c r="D24" i="55"/>
  <c r="D82" i="55" s="1"/>
  <c r="C18" i="55"/>
  <c r="F17" i="55"/>
  <c r="A11" i="55"/>
  <c r="B10" i="55"/>
  <c r="F10" i="53" l="1"/>
  <c r="B10" i="53" l="1"/>
  <c r="A11" i="53"/>
  <c r="C18" i="53"/>
  <c r="D83" i="53"/>
  <c r="C52" i="53"/>
  <c r="A30" i="53"/>
  <c r="F52" i="53"/>
  <c r="A11" i="52" l="1"/>
  <c r="B10" i="52" l="1"/>
  <c r="F10" i="52"/>
  <c r="B18" i="52"/>
  <c r="D24" i="52"/>
  <c r="D83" i="52" s="1"/>
  <c r="A30" i="52"/>
  <c r="C51" i="52"/>
  <c r="E51" i="52"/>
  <c r="A1" i="15" l="1"/>
  <c r="B31" i="10" l="1"/>
  <c r="AZ433" i="3" l="1"/>
  <c r="F67" i="48" l="1"/>
  <c r="W8" i="48" l="1"/>
  <c r="W9" i="48"/>
  <c r="W13" i="48"/>
  <c r="W17" i="48"/>
  <c r="W18" i="48"/>
  <c r="W21" i="48"/>
  <c r="W22" i="48"/>
  <c r="W23" i="48"/>
  <c r="W24" i="48"/>
  <c r="W25" i="48"/>
  <c r="W26" i="48"/>
  <c r="W27" i="48"/>
  <c r="W28" i="48"/>
  <c r="W29" i="48"/>
  <c r="W31" i="48"/>
  <c r="W32" i="48"/>
  <c r="W34" i="48"/>
  <c r="W36" i="48"/>
  <c r="W30" i="48"/>
  <c r="W10" i="48"/>
  <c r="W19" i="48"/>
  <c r="W15" i="48"/>
  <c r="W35" i="48"/>
  <c r="W11" i="48"/>
  <c r="W12" i="48"/>
  <c r="W20" i="48"/>
  <c r="W33" i="48"/>
  <c r="W7" i="48"/>
  <c r="W14" i="48"/>
  <c r="W16" i="48"/>
  <c r="W37" i="48"/>
  <c r="W38" i="48"/>
  <c r="W39" i="48"/>
  <c r="W40" i="48"/>
  <c r="W41" i="48"/>
  <c r="W42" i="48"/>
  <c r="W43" i="48"/>
  <c r="W44" i="48"/>
  <c r="W45" i="48"/>
  <c r="W46" i="48"/>
  <c r="W47" i="48"/>
  <c r="W48" i="48"/>
  <c r="W49" i="48"/>
  <c r="W50" i="48"/>
  <c r="W51" i="48"/>
  <c r="W52" i="48"/>
  <c r="W53" i="48"/>
  <c r="W54" i="48"/>
  <c r="W55" i="48"/>
  <c r="W56" i="48"/>
  <c r="W57" i="48"/>
  <c r="W58" i="48"/>
  <c r="W59" i="48"/>
  <c r="W60" i="48"/>
  <c r="W61" i="48"/>
  <c r="W62" i="48"/>
  <c r="W63" i="48"/>
  <c r="W64" i="48"/>
  <c r="W65" i="48"/>
  <c r="W66" i="48"/>
  <c r="AZ395" i="3" l="1"/>
  <c r="BA396" i="3"/>
  <c r="X49" i="48" l="1"/>
  <c r="X50" i="48"/>
  <c r="X51" i="48"/>
  <c r="X52" i="48"/>
  <c r="Z52" i="48" s="1"/>
  <c r="X53" i="48"/>
  <c r="X54" i="48"/>
  <c r="X55" i="48"/>
  <c r="Z55" i="48" s="1"/>
  <c r="X56" i="48"/>
  <c r="X57" i="48"/>
  <c r="X58" i="48"/>
  <c r="X59" i="48"/>
  <c r="X60" i="48"/>
  <c r="Z60" i="48" s="1"/>
  <c r="X61" i="48"/>
  <c r="X62" i="48"/>
  <c r="X63" i="48"/>
  <c r="Z63" i="48" s="1"/>
  <c r="X64" i="48"/>
  <c r="X65" i="48"/>
  <c r="Z65" i="48" s="1"/>
  <c r="X66" i="48"/>
  <c r="Z49" i="48" l="1"/>
  <c r="Z59" i="48"/>
  <c r="Z51" i="48"/>
  <c r="Z64" i="48"/>
  <c r="Z56" i="48"/>
  <c r="Z54" i="48"/>
  <c r="Z61" i="48"/>
  <c r="Z53" i="48"/>
  <c r="Z66" i="48"/>
  <c r="Z62" i="48"/>
  <c r="Z58" i="48"/>
  <c r="Z57" i="48"/>
  <c r="Z50" i="48"/>
  <c r="B22" i="51" l="1"/>
  <c r="D14" i="51"/>
  <c r="E46" i="51" s="1"/>
  <c r="C50" i="51"/>
  <c r="D21" i="51"/>
  <c r="F20" i="51"/>
  <c r="C12" i="51"/>
  <c r="F11" i="51"/>
  <c r="B11" i="51"/>
  <c r="F9" i="51"/>
  <c r="C9" i="51"/>
  <c r="AC67" i="48" l="1"/>
  <c r="L67" i="48"/>
  <c r="K67" i="48"/>
  <c r="B29" i="50" l="1"/>
  <c r="D23" i="50"/>
  <c r="D72" i="50" s="1"/>
  <c r="B19" i="50"/>
  <c r="A12" i="50"/>
  <c r="F11" i="50"/>
  <c r="B11" i="50"/>
  <c r="C86" i="49" l="1"/>
  <c r="H51" i="49"/>
  <c r="D51" i="49"/>
  <c r="B30" i="49"/>
  <c r="D24" i="49"/>
  <c r="D82" i="49" s="1"/>
  <c r="B18" i="49"/>
  <c r="A11" i="49"/>
  <c r="F10" i="49"/>
  <c r="B10" i="49"/>
  <c r="BA368" i="3"/>
  <c r="E8" i="60"/>
  <c r="J7" i="60" l="1"/>
  <c r="A3" i="57"/>
  <c r="E10" i="57"/>
  <c r="F7" i="60"/>
  <c r="A2" i="57"/>
  <c r="A37" i="57"/>
  <c r="C10" i="57"/>
  <c r="BA279" i="3" l="1"/>
  <c r="BA238" i="3"/>
  <c r="BA222" i="3"/>
  <c r="BA280" i="3" l="1"/>
  <c r="BA301" i="3" l="1"/>
  <c r="B4" i="51" l="1"/>
  <c r="D3" i="51"/>
  <c r="A3" i="51" l="1"/>
  <c r="B44" i="51"/>
  <c r="BA333" i="3" l="1"/>
  <c r="AA67" i="48" l="1"/>
  <c r="Y67" i="48"/>
  <c r="X8" i="48"/>
  <c r="X44" i="48"/>
  <c r="X30" i="48"/>
  <c r="X10" i="48"/>
  <c r="X22" i="48"/>
  <c r="X43" i="48"/>
  <c r="X19" i="48"/>
  <c r="X45" i="48"/>
  <c r="X39" i="48"/>
  <c r="X47" i="48"/>
  <c r="X41" i="48"/>
  <c r="X40" i="48"/>
  <c r="X33" i="48"/>
  <c r="X26" i="48"/>
  <c r="X29" i="48"/>
  <c r="X18" i="48"/>
  <c r="X36" i="48"/>
  <c r="X23" i="48"/>
  <c r="X24" i="48"/>
  <c r="X13" i="48"/>
  <c r="X31" i="48"/>
  <c r="X7" i="48"/>
  <c r="X37" i="48"/>
  <c r="X48" i="48"/>
  <c r="X46" i="48"/>
  <c r="X42" i="48"/>
  <c r="X38" i="48"/>
  <c r="X16" i="48"/>
  <c r="X14" i="48"/>
  <c r="X20" i="48"/>
  <c r="X12" i="48"/>
  <c r="X11" i="48"/>
  <c r="X35" i="48"/>
  <c r="X15" i="48"/>
  <c r="X34" i="48"/>
  <c r="X32" i="48"/>
  <c r="X28" i="48"/>
  <c r="X27" i="48"/>
  <c r="X25" i="48"/>
  <c r="X21" i="48"/>
  <c r="X17" i="48"/>
  <c r="X9" i="48"/>
  <c r="Z27" i="48" l="1"/>
  <c r="Z31" i="48"/>
  <c r="Z11" i="48"/>
  <c r="Z16" i="48"/>
  <c r="Z23" i="48"/>
  <c r="X67" i="48"/>
  <c r="Z42" i="48"/>
  <c r="Z33" i="48"/>
  <c r="Z10" i="48"/>
  <c r="Z37" i="48"/>
  <c r="Z17" i="48"/>
  <c r="Z20" i="48"/>
  <c r="Z26" i="48"/>
  <c r="Z41" i="48"/>
  <c r="Z24" i="48"/>
  <c r="Z19" i="48"/>
  <c r="Z38" i="48"/>
  <c r="Z47" i="48"/>
  <c r="Z34" i="48"/>
  <c r="Z7" i="48"/>
  <c r="Z35" i="48"/>
  <c r="Z43" i="48"/>
  <c r="Z22" i="48"/>
  <c r="Z29" i="48"/>
  <c r="Z28" i="48"/>
  <c r="Z39" i="48"/>
  <c r="Z44" i="48"/>
  <c r="Z14" i="48"/>
  <c r="Z25" i="48"/>
  <c r="Z46" i="48"/>
  <c r="Z36" i="48"/>
  <c r="Z21" i="48"/>
  <c r="Z15" i="48"/>
  <c r="Z13" i="48"/>
  <c r="Z40" i="48"/>
  <c r="Z8" i="48"/>
  <c r="Z32" i="48"/>
  <c r="Z12" i="48"/>
  <c r="Z48" i="48"/>
  <c r="Z18" i="48"/>
  <c r="Z45" i="48"/>
  <c r="Z30" i="48"/>
  <c r="Z9" i="48" l="1"/>
  <c r="Z67" i="48" s="1"/>
  <c r="W67" i="48"/>
  <c r="F7" i="55" l="1"/>
  <c r="BA196" i="3"/>
  <c r="BA195" i="3"/>
  <c r="BA332" i="3"/>
  <c r="BA331" i="3"/>
  <c r="BA194" i="3"/>
  <c r="BA330" i="3"/>
  <c r="BA329" i="3"/>
  <c r="BA328" i="3"/>
  <c r="BA327" i="3"/>
  <c r="BA326" i="3"/>
  <c r="BA325" i="3"/>
  <c r="BA193" i="3"/>
  <c r="BA322" i="3"/>
  <c r="BA192" i="3"/>
  <c r="BA323" i="3" l="1"/>
  <c r="BA315" i="3"/>
  <c r="BA314" i="3"/>
  <c r="BA313" i="3"/>
  <c r="BA312" i="3"/>
  <c r="BA310" i="3"/>
  <c r="BA309" i="3"/>
  <c r="BA298" i="3"/>
  <c r="BA297" i="3"/>
  <c r="BA295" i="3"/>
  <c r="BA191" i="3"/>
  <c r="BA294" i="3"/>
  <c r="BA293" i="3"/>
  <c r="BA291" i="3"/>
  <c r="BA290" i="3"/>
  <c r="BA289" i="3"/>
  <c r="BA288" i="3"/>
  <c r="BA284" i="3"/>
  <c r="BA283" i="3"/>
  <c r="BA282" i="3"/>
  <c r="BA281" i="3"/>
  <c r="BA278" i="3"/>
  <c r="BA277" i="3"/>
  <c r="BA276" i="3"/>
  <c r="BA275" i="3"/>
  <c r="BA190" i="3"/>
  <c r="BA189" i="3"/>
  <c r="BA188" i="3"/>
  <c r="BA274" i="3"/>
  <c r="BA187" i="3"/>
  <c r="BA273" i="3"/>
  <c r="BA271" i="3"/>
  <c r="BA270" i="3"/>
  <c r="BA269" i="3"/>
  <c r="BA268" i="3"/>
  <c r="BA267" i="3"/>
  <c r="BA265" i="3"/>
  <c r="BA264" i="3"/>
  <c r="BA263" i="3"/>
  <c r="BA262" i="3"/>
  <c r="BA261" i="3"/>
  <c r="BA260" i="3"/>
  <c r="BA258" i="3"/>
  <c r="BA186" i="3"/>
  <c r="BA257" i="3"/>
  <c r="BA185" i="3"/>
  <c r="BA256" i="3"/>
  <c r="BA255" i="3"/>
  <c r="BA184" i="3"/>
  <c r="BA254" i="3"/>
  <c r="BA253" i="3"/>
  <c r="BA252" i="3"/>
  <c r="BA251" i="3"/>
  <c r="BA250" i="3"/>
  <c r="BA183" i="3"/>
  <c r="BA249" i="3"/>
  <c r="BA248" i="3"/>
  <c r="BA247" i="3"/>
  <c r="BA246" i="3"/>
  <c r="BA245" i="3"/>
  <c r="BA244" i="3"/>
  <c r="BA243" i="3"/>
  <c r="BA242" i="3"/>
  <c r="BA241" i="3"/>
  <c r="BA240" i="3"/>
  <c r="BA182" i="3"/>
  <c r="BA239" i="3"/>
  <c r="BA237" i="3"/>
  <c r="BA236" i="3"/>
  <c r="BA235" i="3"/>
  <c r="BA233" i="3"/>
  <c r="BA232" i="3"/>
  <c r="BA231" i="3"/>
  <c r="BA230" i="3"/>
  <c r="BA181" i="3"/>
  <c r="BA229" i="3"/>
  <c r="BA228" i="3"/>
  <c r="BA226" i="3"/>
  <c r="BA225" i="3"/>
  <c r="BA224" i="3"/>
  <c r="BA180" i="3"/>
  <c r="BA223" i="3"/>
  <c r="BA220" i="3"/>
  <c r="BA219" i="3"/>
  <c r="BA179" i="3"/>
  <c r="BA218" i="3"/>
  <c r="BA178" i="3"/>
  <c r="BA377" i="3"/>
  <c r="BA177" i="3"/>
  <c r="BA176" i="3"/>
  <c r="BA217" i="3"/>
  <c r="BA175" i="3"/>
  <c r="BA174" i="3"/>
  <c r="BA173" i="3"/>
  <c r="BA215" i="3"/>
  <c r="BA172" i="3"/>
  <c r="BA171" i="3"/>
  <c r="BA213" i="3"/>
  <c r="BA212" i="3"/>
  <c r="BA211" i="3"/>
  <c r="BA170" i="3"/>
  <c r="BA210" i="3"/>
  <c r="BA169" i="3"/>
  <c r="BA209" i="3"/>
  <c r="BA208" i="3"/>
  <c r="BA168" i="3"/>
  <c r="BA167" i="3"/>
  <c r="BA166" i="3"/>
  <c r="BA165" i="3"/>
  <c r="BA164" i="3"/>
  <c r="BA163" i="3"/>
  <c r="BA203" i="3"/>
  <c r="BA202" i="3"/>
  <c r="BA201" i="3"/>
  <c r="BA162" i="3"/>
  <c r="C9" i="47" l="1"/>
  <c r="D5" i="47" l="1"/>
  <c r="A10" i="47"/>
  <c r="A5" i="47"/>
  <c r="E20" i="46" l="1"/>
  <c r="A15" i="46"/>
  <c r="A9" i="46"/>
  <c r="E7" i="46"/>
  <c r="B7" i="46"/>
  <c r="A9" i="45" l="1"/>
  <c r="E7" i="45"/>
  <c r="E20" i="45"/>
  <c r="A15" i="45"/>
  <c r="D10" i="44"/>
  <c r="A10" i="44"/>
  <c r="C9" i="44"/>
  <c r="D5" i="44"/>
  <c r="A5" i="44"/>
  <c r="B7" i="45" l="1"/>
  <c r="F2" i="44" l="1"/>
  <c r="J7" i="55"/>
  <c r="E8" i="55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l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E3" i="44"/>
  <c r="B3" i="44"/>
  <c r="A2" i="46"/>
  <c r="A2" i="45"/>
  <c r="A3" i="46"/>
  <c r="A3" i="45"/>
  <c r="Y16" i="41"/>
  <c r="W16" i="41"/>
  <c r="Z14" i="41"/>
  <c r="Z13" i="41"/>
  <c r="Z12" i="41"/>
  <c r="Z11" i="41"/>
  <c r="Z10" i="41"/>
  <c r="Z9" i="41"/>
  <c r="Z8" i="41"/>
  <c r="Z7" i="41"/>
  <c r="Z16" i="41" l="1"/>
  <c r="A1" i="40" l="1"/>
  <c r="D10" i="40" l="1"/>
  <c r="C9" i="40"/>
  <c r="D5" i="40"/>
  <c r="A10" i="40"/>
  <c r="A5" i="40"/>
  <c r="AM285" i="3" l="1"/>
  <c r="A1" i="18" l="1"/>
  <c r="Z14" i="28" l="1"/>
  <c r="AC14" i="28" s="1"/>
  <c r="AC12" i="39" l="1"/>
  <c r="AA12" i="39"/>
  <c r="Y12" i="39"/>
  <c r="L12" i="39"/>
  <c r="K12" i="39"/>
  <c r="F12" i="39"/>
  <c r="X7" i="39"/>
  <c r="X12" i="39" s="1"/>
  <c r="N7" i="39"/>
  <c r="W7" i="39" s="1"/>
  <c r="W12" i="39" l="1"/>
  <c r="Z7" i="39"/>
  <c r="Z12" i="39" s="1"/>
  <c r="G9" i="20" l="1"/>
  <c r="N7" i="31" l="1"/>
  <c r="AB16" i="28" l="1"/>
  <c r="AA16" i="28"/>
  <c r="Y16" i="28"/>
  <c r="Z13" i="28" l="1"/>
  <c r="AC13" i="28" s="1"/>
  <c r="B23" i="38" l="1"/>
  <c r="A1" i="38"/>
  <c r="B20" i="38" s="1"/>
  <c r="E20" i="38" l="1"/>
  <c r="AB14" i="37" l="1"/>
  <c r="AA14" i="37"/>
  <c r="Y14" i="37"/>
  <c r="L14" i="37"/>
  <c r="K14" i="37"/>
  <c r="X9" i="37"/>
  <c r="F9" i="37"/>
  <c r="X8" i="37"/>
  <c r="F8" i="37"/>
  <c r="W8" i="37" s="1"/>
  <c r="X7" i="37"/>
  <c r="F7" i="37"/>
  <c r="W7" i="37" s="1"/>
  <c r="F11" i="33"/>
  <c r="Z8" i="37" l="1"/>
  <c r="AC8" i="37" s="1"/>
  <c r="X14" i="37"/>
  <c r="F14" i="37"/>
  <c r="W9" i="37"/>
  <c r="Z9" i="37" s="1"/>
  <c r="AC9" i="37" s="1"/>
  <c r="Z7" i="37"/>
  <c r="W14" i="37" l="1"/>
  <c r="Z14" i="37"/>
  <c r="AC7" i="37"/>
  <c r="BA132" i="3"/>
  <c r="BA128" i="3"/>
  <c r="BA90" i="3"/>
  <c r="BA72" i="3"/>
  <c r="BA8" i="3"/>
  <c r="BA7" i="3"/>
  <c r="BA6" i="3"/>
  <c r="BA5" i="3"/>
  <c r="AZ232" i="3" l="1"/>
  <c r="X8" i="33" l="1"/>
  <c r="X9" i="33"/>
  <c r="X10" i="33"/>
  <c r="X11" i="33"/>
  <c r="X7" i="33"/>
  <c r="F10" i="33"/>
  <c r="AZ205" i="3" l="1"/>
  <c r="W10" i="33" l="1"/>
  <c r="AB16" i="35" l="1"/>
  <c r="AA16" i="35"/>
  <c r="Y16" i="35"/>
  <c r="L16" i="35"/>
  <c r="K16" i="35"/>
  <c r="X8" i="35"/>
  <c r="W8" i="35"/>
  <c r="X7" i="35"/>
  <c r="F7" i="35"/>
  <c r="F16" i="35" s="1"/>
  <c r="AZ128" i="3"/>
  <c r="X16" i="35" l="1"/>
  <c r="Z8" i="35"/>
  <c r="AC8" i="35" s="1"/>
  <c r="W7" i="35"/>
  <c r="Z7" i="35" l="1"/>
  <c r="W16" i="35"/>
  <c r="AC12" i="31"/>
  <c r="L12" i="31"/>
  <c r="K12" i="31"/>
  <c r="F12" i="31"/>
  <c r="Z16" i="35" l="1"/>
  <c r="AC7" i="35"/>
  <c r="AC16" i="35" s="1"/>
  <c r="AZ148" i="3" l="1"/>
  <c r="AZ132" i="3" l="1"/>
  <c r="H20" i="33" l="1"/>
  <c r="I20" i="33"/>
  <c r="J20" i="33"/>
  <c r="G20" i="33"/>
  <c r="F7" i="33"/>
  <c r="W7" i="33" s="1"/>
  <c r="F8" i="33"/>
  <c r="W8" i="33" s="1"/>
  <c r="F9" i="33"/>
  <c r="W9" i="33" s="1"/>
  <c r="W11" i="33"/>
  <c r="AB20" i="33"/>
  <c r="AA20" i="33"/>
  <c r="Y20" i="33"/>
  <c r="L20" i="33"/>
  <c r="K20" i="33"/>
  <c r="Z11" i="33" l="1"/>
  <c r="AC11" i="33" s="1"/>
  <c r="Z7" i="33"/>
  <c r="AC7" i="33" s="1"/>
  <c r="X20" i="33"/>
  <c r="Z8" i="33"/>
  <c r="AC8" i="33" s="1"/>
  <c r="Z10" i="33"/>
  <c r="AC10" i="33" s="1"/>
  <c r="Z9" i="33"/>
  <c r="AC9" i="33" s="1"/>
  <c r="W20" i="33"/>
  <c r="F20" i="33"/>
  <c r="Z20" i="33" l="1"/>
  <c r="AC20" i="33"/>
  <c r="AA24" i="33" s="1"/>
  <c r="E7" i="52" l="1"/>
  <c r="E8" i="52"/>
  <c r="F8" i="50"/>
  <c r="J8" i="50"/>
  <c r="E9" i="50"/>
  <c r="F7" i="49"/>
  <c r="J7" i="49"/>
  <c r="E8" i="49"/>
  <c r="AA12" i="31"/>
  <c r="Y12" i="31"/>
  <c r="X7" i="31"/>
  <c r="G44" i="20"/>
  <c r="AZ95" i="3"/>
  <c r="AZ94" i="3"/>
  <c r="AZ93" i="3"/>
  <c r="AZ92" i="3"/>
  <c r="AZ91" i="3"/>
  <c r="AZ90" i="3"/>
  <c r="AZ89" i="3"/>
  <c r="AZ88" i="3"/>
  <c r="AZ87" i="3"/>
  <c r="J11" i="18"/>
  <c r="AZ86" i="3"/>
  <c r="AZ85" i="3"/>
  <c r="AZ84" i="3"/>
  <c r="AC12" i="26"/>
  <c r="L12" i="26"/>
  <c r="K12" i="26"/>
  <c r="D13" i="16"/>
  <c r="AZ83" i="3"/>
  <c r="AZ82" i="3"/>
  <c r="AZ81" i="3"/>
  <c r="G20" i="20"/>
  <c r="G17" i="20"/>
  <c r="AZ80" i="3"/>
  <c r="AZ72" i="3"/>
  <c r="AZ73" i="3"/>
  <c r="AZ74" i="3"/>
  <c r="AZ75" i="3"/>
  <c r="AZ76" i="3"/>
  <c r="AZ79" i="3"/>
  <c r="AY78" i="3"/>
  <c r="AZ78" i="3"/>
  <c r="AZ77" i="3"/>
  <c r="G42" i="20"/>
  <c r="G43" i="20"/>
  <c r="Y12" i="26"/>
  <c r="AA12" i="26"/>
  <c r="X7" i="26"/>
  <c r="F7" i="26" s="1"/>
  <c r="W7" i="26" s="1"/>
  <c r="AZ71" i="3"/>
  <c r="BA71" i="3"/>
  <c r="BA3" i="3"/>
  <c r="BA9" i="3"/>
  <c r="BA10" i="3"/>
  <c r="BA11" i="3"/>
  <c r="BA12" i="3"/>
  <c r="BA13" i="3"/>
  <c r="BA2" i="3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2" i="3"/>
  <c r="D4" i="7"/>
  <c r="A18" i="14"/>
  <c r="E8" i="53"/>
  <c r="I7" i="53"/>
  <c r="E7" i="53"/>
  <c r="AY22" i="3"/>
  <c r="AY21" i="3"/>
  <c r="AY20" i="3"/>
  <c r="AY19" i="3"/>
  <c r="AY18" i="3"/>
  <c r="AY17" i="3"/>
  <c r="AY16" i="3"/>
  <c r="AY15" i="3"/>
  <c r="AY14" i="3"/>
  <c r="AY13" i="3"/>
  <c r="AY12" i="3"/>
  <c r="AY11" i="3"/>
  <c r="AY10" i="3"/>
  <c r="AY9" i="3"/>
  <c r="E8" i="6"/>
  <c r="B3" i="3"/>
  <c r="B4" i="3"/>
  <c r="B5" i="3"/>
  <c r="B6" i="3"/>
  <c r="B7" i="3"/>
  <c r="B8" i="3"/>
  <c r="B9" i="3"/>
  <c r="B10" i="3"/>
  <c r="G37" i="20"/>
  <c r="G35" i="20"/>
  <c r="A32" i="25"/>
  <c r="G19" i="20"/>
  <c r="G15" i="20"/>
  <c r="G14" i="20"/>
  <c r="G13" i="20"/>
  <c r="G12" i="20"/>
  <c r="G11" i="20"/>
  <c r="B14" i="15"/>
  <c r="A29" i="17"/>
  <c r="AD12" i="26"/>
  <c r="W7" i="31"/>
  <c r="E36" i="25" l="1"/>
  <c r="C10" i="25"/>
  <c r="G2" i="40"/>
  <c r="E3" i="47"/>
  <c r="E3" i="40"/>
  <c r="F2" i="47"/>
  <c r="I4" i="20"/>
  <c r="B3" i="47"/>
  <c r="B3" i="40"/>
  <c r="C3" i="20"/>
  <c r="F12" i="26"/>
  <c r="B7" i="38"/>
  <c r="B8" i="38"/>
  <c r="B9" i="38"/>
  <c r="E7" i="5"/>
  <c r="E12" i="25"/>
  <c r="B12" i="25"/>
  <c r="Z12" i="28"/>
  <c r="AC12" i="28" s="1"/>
  <c r="B17" i="16"/>
  <c r="B12" i="16"/>
  <c r="C10" i="17"/>
  <c r="B16" i="18"/>
  <c r="E16" i="18"/>
  <c r="B17" i="6"/>
  <c r="B36" i="15"/>
  <c r="Z7" i="26"/>
  <c r="F10" i="8"/>
  <c r="E13" i="15"/>
  <c r="J28" i="18"/>
  <c r="X12" i="26"/>
  <c r="X12" i="31"/>
  <c r="Z8" i="28"/>
  <c r="AC8" i="28" s="1"/>
  <c r="Z10" i="28"/>
  <c r="AC10" i="28" s="1"/>
  <c r="Z11" i="28"/>
  <c r="AC11" i="28" s="1"/>
  <c r="B13" i="15"/>
  <c r="Z7" i="28"/>
  <c r="A2" i="25"/>
  <c r="A3" i="10"/>
  <c r="W12" i="31"/>
  <c r="A3" i="18"/>
  <c r="A3" i="15"/>
  <c r="Z9" i="28"/>
  <c r="AC9" i="28" s="1"/>
  <c r="B4" i="15"/>
  <c r="Z7" i="31"/>
  <c r="W12" i="26"/>
  <c r="C3" i="15"/>
  <c r="BA4" i="3"/>
  <c r="A3" i="14"/>
  <c r="B12" i="17"/>
  <c r="E7" i="14"/>
  <c r="D50" i="8"/>
  <c r="E11" i="10"/>
  <c r="E31" i="14"/>
  <c r="J16" i="18"/>
  <c r="E32" i="17"/>
  <c r="J7" i="6"/>
  <c r="I29" i="15"/>
  <c r="BA14" i="3"/>
  <c r="D4" i="20"/>
  <c r="A3" i="25"/>
  <c r="E12" i="17"/>
  <c r="H3" i="18"/>
  <c r="K20" i="18"/>
  <c r="A31" i="16"/>
  <c r="F13" i="16"/>
  <c r="F11" i="18"/>
  <c r="F7" i="6"/>
  <c r="A5" i="10"/>
  <c r="A9" i="7"/>
  <c r="F2" i="7"/>
  <c r="C55" i="6"/>
  <c r="C8" i="7"/>
  <c r="A4" i="7"/>
  <c r="C10" i="9"/>
  <c r="C10" i="10"/>
  <c r="A35" i="10"/>
  <c r="D5" i="10"/>
  <c r="E35" i="10"/>
  <c r="A2" i="14"/>
  <c r="A2" i="17"/>
  <c r="E10" i="17"/>
  <c r="B4" i="18"/>
  <c r="B30" i="18"/>
  <c r="E12" i="16"/>
  <c r="I22" i="18"/>
  <c r="E3" i="7"/>
  <c r="A11" i="10"/>
  <c r="E3" i="10"/>
  <c r="A2" i="16"/>
  <c r="A3" i="16"/>
  <c r="B37" i="18"/>
  <c r="C11" i="18"/>
  <c r="E8" i="8"/>
  <c r="F17" i="8"/>
  <c r="B7" i="5"/>
  <c r="D76" i="8"/>
  <c r="A3" i="5"/>
  <c r="A2" i="5"/>
  <c r="A3" i="17"/>
  <c r="A32" i="17"/>
  <c r="C3" i="18"/>
  <c r="B3" i="7"/>
  <c r="A36" i="25"/>
  <c r="E10" i="25"/>
  <c r="H3" i="15"/>
  <c r="Z16" i="28" l="1"/>
  <c r="W16" i="28"/>
  <c r="AC7" i="28"/>
  <c r="Z12" i="26"/>
  <c r="Z12" i="31"/>
  <c r="BA16" i="3"/>
  <c r="BA15" i="3" l="1"/>
  <c r="BA18" i="3" l="1"/>
  <c r="BA17" i="3"/>
  <c r="BA19" i="3"/>
  <c r="BA20" i="3" l="1"/>
  <c r="BA21" i="3" l="1"/>
  <c r="BA22" i="3" l="1"/>
  <c r="BA154" i="3" l="1"/>
  <c r="BA200" i="3"/>
  <c r="C162" i="3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</calcChain>
</file>

<file path=xl/comments1.xml><?xml version="1.0" encoding="utf-8"?>
<comments xmlns="http://schemas.openxmlformats.org/spreadsheetml/2006/main">
  <authors>
    <author>Racunalo 2</author>
  </authors>
  <commentList>
    <comment ref="L198" authorId="0" shapeId="0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možda ga ne treba odjaviti.. Ide raditi u srbiju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24.12.2020
</t>
        </r>
      </text>
    </comment>
    <comment ref="L202" authorId="0" shapeId="0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24.12.2020
</t>
        </r>
      </text>
    </comment>
    <comment ref="L264" authorId="0" shapeId="0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24.12.2020
</t>
        </r>
      </text>
    </comment>
    <comment ref="L364" authorId="0" shapeId="0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18.12.2020
</t>
        </r>
      </text>
    </comment>
    <comment ref="L365" authorId="0" shapeId="0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18.12.2020
</t>
        </r>
      </text>
    </comment>
    <comment ref="L452" authorId="0" shapeId="0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sezonski radnik do 31.10.2022.
</t>
        </r>
      </text>
    </comment>
    <comment ref="J528" authorId="0" shapeId="0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nije radio uopće - trebao ugovor za radnu dozvolu
</t>
        </r>
      </text>
    </comment>
    <comment ref="J538" authorId="0" shapeId="0">
      <text>
        <r>
          <rPr>
            <b/>
            <sz val="9"/>
            <color indexed="81"/>
            <rFont val="Tahoma"/>
            <family val="2"/>
            <charset val="238"/>
          </rPr>
          <t xml:space="preserve">Racunalo 2:
nije radio uopće - trebao ugovor za radnu dozvolu
</t>
        </r>
      </text>
    </comment>
    <comment ref="L542" authorId="0" shapeId="0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sezonski radnik do 31.10.2022.
</t>
        </r>
      </text>
    </comment>
  </commentList>
</comments>
</file>

<file path=xl/sharedStrings.xml><?xml version="1.0" encoding="utf-8"?>
<sst xmlns="http://schemas.openxmlformats.org/spreadsheetml/2006/main" count="13840" uniqueCount="3084">
  <si>
    <t>RB</t>
  </si>
  <si>
    <t xml:space="preserve">Naziv poslodavca:    </t>
  </si>
  <si>
    <t xml:space="preserve">Sjedište (mjesto i adresa):  </t>
  </si>
  <si>
    <t>OIB:</t>
  </si>
  <si>
    <t>EVIDENCIJA O RADNICIMA</t>
  </si>
  <si>
    <t>prema Pravilniku o sadržaju i načinu vođenja evidencije o radnicima (NN 73/2017)</t>
  </si>
  <si>
    <t>Ime i prezime</t>
  </si>
  <si>
    <t>Osobni identifikacijski broj (OIB)</t>
  </si>
  <si>
    <t>Spol (M/Ž)</t>
  </si>
  <si>
    <t>Dan, mjesec i godina rođenja</t>
  </si>
  <si>
    <t>Državljanstvo</t>
  </si>
  <si>
    <t>Prebivalište, odnosno boravište</t>
  </si>
  <si>
    <t>Dozvola za boravak i rad ili potvrda o prijavi rada, ako ih je strani radnik obvezan imati</t>
  </si>
  <si>
    <t>Stručno obrazovanje te posebne ispite i tečajeve koji su uvjet za obavljanje posla (uključujući licence, certifikate i slično)</t>
  </si>
  <si>
    <t>Datum početka rada</t>
  </si>
  <si>
    <t>Radno mjesto, koje radnik obnaša kod poslodavca</t>
  </si>
  <si>
    <t>Tjedno radno vrijeme</t>
  </si>
  <si>
    <t>BRUTO</t>
  </si>
  <si>
    <t>Naznaka radi li se o ugovoru iz članka 61. stavka 3. i članka 62. stavka 3. Zakona o radu te broj radnih sati koje će radnik raditi temeljem takvog ugovora, kao i suglasnost poslodavca kod kojeg radnik radi u punom radnom vremenu ili poslodavaca kod kojih radnik u nepunom radnom vremenu radi 40 sati tjedno</t>
  </si>
  <si>
    <t>Trajanje rada u inozemstvu, država i mjesto rada, u slučaju upućivanja radnika u inozemstvo</t>
  </si>
  <si>
    <t>Trajanje privremenog ustupanja radnika u povezano društvo, sjedište i mjesto rada ustupljenog radnika te država poslovnog nastana povezanog društva, u slučaju ustupanja u inozemstvo</t>
  </si>
  <si>
    <t>Naznaka radi li se o poslovima na kojima se staž osiguranja računa s povećanim trajanjem i kako</t>
  </si>
  <si>
    <t>Mjesto rada, a ako ne postoji stalno ili glavno mjesto rada, napomena da se rad obavlja na različiti mjestima</t>
  </si>
  <si>
    <t>Ugovoreno tjedno radno vrijeme, određeno puno radno vrijeme, odnosno propisano skraćeno radno vrijeme u satima</t>
  </si>
  <si>
    <t>Vrijeme mirovanja radnog odnosa, neplaćenog dopusta, rodiljnih i roditeljskih dopusta ili korištenja drugih prava u skladu s posebnim propisom</t>
  </si>
  <si>
    <t>Datum prestanka radnog odnosa</t>
  </si>
  <si>
    <t>Razlog prestanka radnog odnosa</t>
  </si>
  <si>
    <t>Mirovinski staž do početka rada kod poslodavca</t>
  </si>
  <si>
    <t>Napomena</t>
  </si>
  <si>
    <t>RB /POD</t>
  </si>
  <si>
    <t>STATUS</t>
  </si>
  <si>
    <t>ŠIFRA POSL.</t>
  </si>
  <si>
    <t>NAZIV PODUZEĆA</t>
  </si>
  <si>
    <t>OIB PODUZEĆA</t>
  </si>
  <si>
    <t>Poslodavac</t>
  </si>
  <si>
    <t>ADRESA POSLODAVCA</t>
  </si>
  <si>
    <t>IME RADNIKA</t>
  </si>
  <si>
    <t xml:space="preserve">RADI OD </t>
  </si>
  <si>
    <t>RADI DO</t>
  </si>
  <si>
    <t>OIB RADNIKA</t>
  </si>
  <si>
    <t>SPOL</t>
  </si>
  <si>
    <t>DATUM ROĐENJA</t>
  </si>
  <si>
    <t>MJESTO ROĐENJA</t>
  </si>
  <si>
    <t>DRŽAVLJANSTVO</t>
  </si>
  <si>
    <t>PREBIVALIŠTE/ adresa</t>
  </si>
  <si>
    <t>DOZVOLA ZA BORAVAK I RAD</t>
  </si>
  <si>
    <t>OBRAZOVANJE</t>
  </si>
  <si>
    <t>POSEBNI ISPITI, TEČAJEVI</t>
  </si>
  <si>
    <t>ZANIMANJE</t>
  </si>
  <si>
    <t>VRSTA I NARAV RADA</t>
  </si>
  <si>
    <t>VRSTA  UGOVORA</t>
  </si>
  <si>
    <t>ODREĐENO DO DATUMA</t>
  </si>
  <si>
    <t>VRSTA RADNOG VREMENA</t>
  </si>
  <si>
    <t>BROJ SATI RADA TJEDNO</t>
  </si>
  <si>
    <t>IBAN</t>
  </si>
  <si>
    <t>DALI DOPRINOSI NA</t>
  </si>
  <si>
    <t>POLOŽEN STRUČNI ISPIT</t>
  </si>
  <si>
    <t>VRIJEME POLAGANJA STRUČNOG ISPITA</t>
  </si>
  <si>
    <t>RAD U INOZEMSTVU</t>
  </si>
  <si>
    <t>TRAJANJE RADA U INOZEMSTVU</t>
  </si>
  <si>
    <t>DRŽAVA I MJESTO RADA</t>
  </si>
  <si>
    <t>RAZLOG PRESTANKA RADNOG ODNOSA</t>
  </si>
  <si>
    <t>MAJČINSTVO/OČINSTVO</t>
  </si>
  <si>
    <t>DOJENJE DJETETA</t>
  </si>
  <si>
    <t>STATUS SAMOHRANOG RODITELJA</t>
  </si>
  <si>
    <t>Column1</t>
  </si>
  <si>
    <t>NETO</t>
  </si>
  <si>
    <t>CIPELARINE</t>
  </si>
  <si>
    <t>fiz ok</t>
  </si>
  <si>
    <t>e-mail</t>
  </si>
  <si>
    <t>UKUPNO DANA GODIŠNJEG ODMORA</t>
  </si>
  <si>
    <t>BROJ DANA GOD. ODMORA 1. DIO</t>
  </si>
  <si>
    <t>VRIJEME KORIŠTENJA 1. DIJELA GOD. ODM.</t>
  </si>
  <si>
    <t>BROJ DANA GOD. ODMORA 2. DIO</t>
  </si>
  <si>
    <t>VRIJEME KORIŠTENJA 2. DIJELA GOD. ODM.2</t>
  </si>
  <si>
    <t>DANI KORIŠTENJA GOD. ODM. U DOGOVORU SA POSLODAVCEM</t>
  </si>
  <si>
    <t>ostalo</t>
  </si>
  <si>
    <t>ŠIFRA</t>
  </si>
  <si>
    <t>MAJA ZAGORAC</t>
  </si>
  <si>
    <t>REBECCA JOZSEF</t>
  </si>
  <si>
    <t>Ž-ŽENSKO</t>
  </si>
  <si>
    <t>OSIJEK</t>
  </si>
  <si>
    <t>HRVATSKO</t>
  </si>
  <si>
    <t>NE</t>
  </si>
  <si>
    <t>SSS</t>
  </si>
  <si>
    <t>ODREĐENO</t>
  </si>
  <si>
    <t>PUNO</t>
  </si>
  <si>
    <t>DA</t>
  </si>
  <si>
    <t>01764937555</t>
  </si>
  <si>
    <t>M-MUŠKO</t>
  </si>
  <si>
    <t>MARIJETA POLJAREVIĆ</t>
  </si>
  <si>
    <t>DARINKA HUBER ŠIPEC</t>
  </si>
  <si>
    <t>TENJA</t>
  </si>
  <si>
    <t>ADMINISTRATOR</t>
  </si>
  <si>
    <t>Osijek</t>
  </si>
  <si>
    <t>NENAD BANIČEK</t>
  </si>
  <si>
    <t>KOMERCIJALISTA</t>
  </si>
  <si>
    <t>KOMERCIJALA</t>
  </si>
  <si>
    <t>IVICA IVANOVIĆ</t>
  </si>
  <si>
    <t>POŽEGA</t>
  </si>
  <si>
    <t>FERIČANCI</t>
  </si>
  <si>
    <t xml:space="preserve">KOMERCIJALIST </t>
  </si>
  <si>
    <t>KOMERCIJALA NA TERENU</t>
  </si>
  <si>
    <t>NEODREĐENO</t>
  </si>
  <si>
    <t>DINKO BELEG</t>
  </si>
  <si>
    <t>ZAGREB</t>
  </si>
  <si>
    <t>SUHOPOLJE</t>
  </si>
  <si>
    <t>OSKAR ROMER</t>
  </si>
  <si>
    <t>SUZA</t>
  </si>
  <si>
    <t>IVAN KOVAČEVIĆ</t>
  </si>
  <si>
    <t>VILJEVO</t>
  </si>
  <si>
    <t>VSS</t>
  </si>
  <si>
    <t>KOMERCIJALIST</t>
  </si>
  <si>
    <t>Zmajevac, Kneževi Vinogradi</t>
  </si>
  <si>
    <t>Teodora Balog Denih</t>
  </si>
  <si>
    <t>38288739117</t>
  </si>
  <si>
    <t>Trgovački dem. i prodavač</t>
  </si>
  <si>
    <t>Laszlo Šipoš</t>
  </si>
  <si>
    <t>92132715760</t>
  </si>
  <si>
    <t>Sanela Bakač</t>
  </si>
  <si>
    <t>Valentin Šipoš</t>
  </si>
  <si>
    <t>22044787722</t>
  </si>
  <si>
    <t>Sombor</t>
  </si>
  <si>
    <t>Glavna 100, Podolje, Draž</t>
  </si>
  <si>
    <t>Jasmin Horvat</t>
  </si>
  <si>
    <t>45227899437</t>
  </si>
  <si>
    <t>Maršala Tita 129, Suza</t>
  </si>
  <si>
    <t>Nikolina Marković</t>
  </si>
  <si>
    <t>48436445080</t>
  </si>
  <si>
    <t>Vinogradska 11, Branjin Vrh</t>
  </si>
  <si>
    <t>Mihalj Kedveš</t>
  </si>
  <si>
    <t>77889524913</t>
  </si>
  <si>
    <t>Petefi Šandora 43, Kneževi Vinogradi</t>
  </si>
  <si>
    <t>Matej Stanić</t>
  </si>
  <si>
    <t>25820706885</t>
  </si>
  <si>
    <t>Josipa Kozarca 25, Višnjevac, Osijek</t>
  </si>
  <si>
    <t>Marija Škrbić</t>
  </si>
  <si>
    <t>32205914112</t>
  </si>
  <si>
    <t>18.12.2017.-29.12.2017.</t>
  </si>
  <si>
    <t>Nikola Filipović</t>
  </si>
  <si>
    <t>91608925694</t>
  </si>
  <si>
    <t>Mirjana Nađ</t>
  </si>
  <si>
    <t>00951235574</t>
  </si>
  <si>
    <t>Telefonist-operater u call c.</t>
  </si>
  <si>
    <t>18.12.2017.-02.01.2018.</t>
  </si>
  <si>
    <t>Mirela Šenhof</t>
  </si>
  <si>
    <t>46651411474</t>
  </si>
  <si>
    <t>Ildiko Dragaš</t>
  </si>
  <si>
    <t>16065838903</t>
  </si>
  <si>
    <t>Administrator</t>
  </si>
  <si>
    <t>Milica Stanić</t>
  </si>
  <si>
    <t>91993718714</t>
  </si>
  <si>
    <t>Granice</t>
  </si>
  <si>
    <t>Gordana Vidanec Drlje</t>
  </si>
  <si>
    <t>95416188835</t>
  </si>
  <si>
    <t>Bogdanka Dabčević</t>
  </si>
  <si>
    <t>68121059947</t>
  </si>
  <si>
    <t>Vlatka Barači</t>
  </si>
  <si>
    <t>19036979307</t>
  </si>
  <si>
    <t>Aleksandra Belošević</t>
  </si>
  <si>
    <t>35395242811</t>
  </si>
  <si>
    <t>J.J. Strossmayera 82, Osijek</t>
  </si>
  <si>
    <t>Karmela Jurić</t>
  </si>
  <si>
    <t>73208771167</t>
  </si>
  <si>
    <t>Blaženka Tečić</t>
  </si>
  <si>
    <t>48678345053</t>
  </si>
  <si>
    <t>Čvrsnička 21, Osijek</t>
  </si>
  <si>
    <t>Adrijana Mitrović</t>
  </si>
  <si>
    <t>33617093868</t>
  </si>
  <si>
    <t>Damir Dmejhal</t>
  </si>
  <si>
    <t>63681749207</t>
  </si>
  <si>
    <t>Vanesa Šimović</t>
  </si>
  <si>
    <t>04668761853</t>
  </si>
  <si>
    <t>Trg Ante Starčevića 4, Osijek</t>
  </si>
  <si>
    <t>Lidija Toša</t>
  </si>
  <si>
    <t>16260284290</t>
  </si>
  <si>
    <t>Šandora Petefija 116, Osijek</t>
  </si>
  <si>
    <t>Voditelj call centra</t>
  </si>
  <si>
    <t>Mirjana Maršić</t>
  </si>
  <si>
    <t>02808842683</t>
  </si>
  <si>
    <t>Vinkovci</t>
  </si>
  <si>
    <t>K. Tomislava 6 C, Višnjevac, Osijek</t>
  </si>
  <si>
    <t>04017099391</t>
  </si>
  <si>
    <t>Matije Gupca 131, Cret Bizovački</t>
  </si>
  <si>
    <t>Rozalia Vucić</t>
  </si>
  <si>
    <t>99900276984</t>
  </si>
  <si>
    <t>Kiskunhalas, HUN</t>
  </si>
  <si>
    <t>Ivana Matić</t>
  </si>
  <si>
    <t>56488239997</t>
  </si>
  <si>
    <t>Dornbirn, AUT</t>
  </si>
  <si>
    <t>Borka Bolšec</t>
  </si>
  <si>
    <t>05826363901</t>
  </si>
  <si>
    <t>Beli Manastir</t>
  </si>
  <si>
    <t>Marina Šimon</t>
  </si>
  <si>
    <t>07065659312</t>
  </si>
  <si>
    <t>Vanesa Šarčević</t>
  </si>
  <si>
    <t>69008705416</t>
  </si>
  <si>
    <t>Tanja Puljić</t>
  </si>
  <si>
    <t>85912850218</t>
  </si>
  <si>
    <t>Kiseljak, BIH</t>
  </si>
  <si>
    <t>Vezir 7, Komletinci</t>
  </si>
  <si>
    <t>Sabine Tot</t>
  </si>
  <si>
    <t>80464281272</t>
  </si>
  <si>
    <t>Ana Andrić</t>
  </si>
  <si>
    <t>68319591111</t>
  </si>
  <si>
    <t>Branka Ojdanić</t>
  </si>
  <si>
    <t>28217102839</t>
  </si>
  <si>
    <t>Sjenjak 34, Osijek</t>
  </si>
  <si>
    <t>Dubravka Dolić</t>
  </si>
  <si>
    <t>Creska 10, Osijek</t>
  </si>
  <si>
    <t>KONOBAR</t>
  </si>
  <si>
    <t>Snježana Oreč</t>
  </si>
  <si>
    <t>Marina Nikšić</t>
  </si>
  <si>
    <t>Frankopanska 190, Osijek</t>
  </si>
  <si>
    <t>Dalibor Kralj</t>
  </si>
  <si>
    <t>Sjenjak 48, Osijek</t>
  </si>
  <si>
    <t>Petar Prpić</t>
  </si>
  <si>
    <t>Zagreb</t>
  </si>
  <si>
    <t>Jovana Gojkovića 6 A, Osijek</t>
  </si>
  <si>
    <t>RAZNA MJESTA</t>
  </si>
  <si>
    <t>Filip Tadić</t>
  </si>
  <si>
    <t>I.G. Kovačića 25, Donji Miholjac</t>
  </si>
  <si>
    <t>Marijana Rukavina</t>
  </si>
  <si>
    <t>09559707905</t>
  </si>
  <si>
    <t>Duga Ulica 9, Briješće, Osijek</t>
  </si>
  <si>
    <t>Ana Jozić</t>
  </si>
  <si>
    <t>Travnik, BIH</t>
  </si>
  <si>
    <t>Luke Botić 25, Tenja</t>
  </si>
  <si>
    <t>Andrea Bošnjak</t>
  </si>
  <si>
    <t>Duga 50 A, Ivanovac, Antunovac</t>
  </si>
  <si>
    <t>Darija Tutić</t>
  </si>
  <si>
    <t>01420891136</t>
  </si>
  <si>
    <t>Sjenjak 46, Osijek</t>
  </si>
  <si>
    <t>Maja Vidaković</t>
  </si>
  <si>
    <t>71740309634</t>
  </si>
  <si>
    <t>Umaška 8, Osijek</t>
  </si>
  <si>
    <t>18.12.2017.-31.12.2017.</t>
  </si>
  <si>
    <t>Filip Mazur</t>
  </si>
  <si>
    <t>17153736363</t>
  </si>
  <si>
    <t>Ulica Augusta Šenoe 7, Bizovac</t>
  </si>
  <si>
    <t>Klaudia Kišpal</t>
  </si>
  <si>
    <t>04752700030</t>
  </si>
  <si>
    <t>Petefi Šandora 33, Kotlina, Kneževi Vinogradi</t>
  </si>
  <si>
    <t>Alen Vidaković</t>
  </si>
  <si>
    <t>09788459842</t>
  </si>
  <si>
    <t>Našice</t>
  </si>
  <si>
    <t>Kolodvorska 78 A, Feričanci</t>
  </si>
  <si>
    <t>VŠS</t>
  </si>
  <si>
    <t>Marijan Pribisalić</t>
  </si>
  <si>
    <t>19240198595</t>
  </si>
  <si>
    <t>Krstova 6, Osijek</t>
  </si>
  <si>
    <t>Rudolf Gergelj</t>
  </si>
  <si>
    <t>60536718657</t>
  </si>
  <si>
    <t>Ivana Meštrovića 43, Darda</t>
  </si>
  <si>
    <t>Poslovođa</t>
  </si>
  <si>
    <t>NEAKTIVAN</t>
  </si>
  <si>
    <t>Maršala Tita 132., Zmajevac</t>
  </si>
  <si>
    <t>28.07.2018-15.08.2018</t>
  </si>
  <si>
    <t>14.12.2018-31.12.2018</t>
  </si>
  <si>
    <t>Šandora Petefija 57. Zmajevac</t>
  </si>
  <si>
    <t>J.Pannoniusa 9., Branjin Vrh</t>
  </si>
  <si>
    <t>Glavna 100., Podolje</t>
  </si>
  <si>
    <t>Maršala Tita 129., Suza</t>
  </si>
  <si>
    <t>Josipa Kozarca 25., Višnjevac</t>
  </si>
  <si>
    <t>Adolfa Waldingera 4</t>
  </si>
  <si>
    <t>Školska 52.</t>
  </si>
  <si>
    <t>Vijenac Petrove Gore 13</t>
  </si>
  <si>
    <t>Psunjska 93 a</t>
  </si>
  <si>
    <t>Martina Divalta 168</t>
  </si>
  <si>
    <t>Bosanska 13 b.</t>
  </si>
  <si>
    <t>Mlinska 100.</t>
  </si>
  <si>
    <t>Vijenac Dinare 5.</t>
  </si>
  <si>
    <t>J.J.Strossmayera 82.</t>
  </si>
  <si>
    <t>Osječka 188.,Tenja</t>
  </si>
  <si>
    <t>Čvrsnička 21.</t>
  </si>
  <si>
    <t>Šećeranska 47.</t>
  </si>
  <si>
    <t>Kralja Tomislava 147</t>
  </si>
  <si>
    <t>Trg Ante Starčevića 4.</t>
  </si>
  <si>
    <t>Šandor Petefija 116.</t>
  </si>
  <si>
    <t>Kralja Tomislava 6 c, Višnjeva</t>
  </si>
  <si>
    <t>Kralja Petra Krešimira IV. 83</t>
  </si>
  <si>
    <t>Ribarska 31.</t>
  </si>
  <si>
    <t>Dr.F.Tuđmana 14</t>
  </si>
  <si>
    <t>Šandora Petefija 126, Lug</t>
  </si>
  <si>
    <t>Vinogratska 6, Laslovo</t>
  </si>
  <si>
    <t>Viška 32</t>
  </si>
  <si>
    <t>Sjenjak 34</t>
  </si>
  <si>
    <t>Creska 10</t>
  </si>
  <si>
    <t>Petefi Šandora 43.</t>
  </si>
  <si>
    <t>VLADIMIRA NAZORA 30, LASLOVO</t>
  </si>
  <si>
    <t>Šandora Petefija 46, Lug</t>
  </si>
  <si>
    <t>FRANKOPANSKA 190, 31000 OSIJEK</t>
  </si>
  <si>
    <t>IVANA GORANA KOVAČIĆA 25, DONJI MIHOLJAC</t>
  </si>
  <si>
    <t>23.07.2018-04.08.2018</t>
  </si>
  <si>
    <t>NAŠICE</t>
  </si>
  <si>
    <t>Administrativni referent</t>
  </si>
  <si>
    <t>Izolda Micheli</t>
  </si>
  <si>
    <t>Šandora Petefia 99, Vardarac</t>
  </si>
  <si>
    <t>Krunoslav Pavlović</t>
  </si>
  <si>
    <t>Sjenjak 123, Osijek</t>
  </si>
  <si>
    <t>Komercijalist</t>
  </si>
  <si>
    <t>Davor Batinić</t>
  </si>
  <si>
    <t>Gabrijela Denković</t>
  </si>
  <si>
    <t>KRALJA ZVONIMIRA 51A, BELI MANASTIR</t>
  </si>
  <si>
    <t>ADMINISTRATIVNI DJELATNIK</t>
  </si>
  <si>
    <t>Vesna Greganić</t>
  </si>
  <si>
    <t>Kneževo</t>
  </si>
  <si>
    <t>Vatroslava lisinskog 19, Višnjevac</t>
  </si>
  <si>
    <t>Ildiko Mikić</t>
  </si>
  <si>
    <t>Šandora Petefija 309 B, Lug</t>
  </si>
  <si>
    <t>NKV</t>
  </si>
  <si>
    <t>Martina Čolaković</t>
  </si>
  <si>
    <t>Vladimira Nazora 68, Kompletinci, Otok</t>
  </si>
  <si>
    <t>Marko Stojak</t>
  </si>
  <si>
    <t>00090687640</t>
  </si>
  <si>
    <t>Kolodvorska 72, Nijemci</t>
  </si>
  <si>
    <t>Dejan Ninković</t>
  </si>
  <si>
    <t>Alojzija Stepinca 2, Beli Manastir</t>
  </si>
  <si>
    <t>Otkaz radnika</t>
  </si>
  <si>
    <t>Zvjezdana Roguljić Hosinović</t>
  </si>
  <si>
    <t>J.J. Strossmayera 188, Osijek</t>
  </si>
  <si>
    <t>Vana Paula Mekovec</t>
  </si>
  <si>
    <t>Plješevička 7, Osijek</t>
  </si>
  <si>
    <t>Gordana Grčić</t>
  </si>
  <si>
    <t>Biljske Satnije ZNG RH 34, Bilje</t>
  </si>
  <si>
    <t>Tijana Šlang</t>
  </si>
  <si>
    <t>Doboj, BIH</t>
  </si>
  <si>
    <t>Ulica Josipa Reihl-Kira 1, Osijek</t>
  </si>
  <si>
    <t>Sandra Aničić</t>
  </si>
  <si>
    <t>Sjenjak 11, Osijek</t>
  </si>
  <si>
    <t>Tanja Štajduhar</t>
  </si>
  <si>
    <t>Krstova Ulica 78, Osijek</t>
  </si>
  <si>
    <t>Tomislav Kostolić</t>
  </si>
  <si>
    <t>Ištvana Vencela 2, Gajić, Draž</t>
  </si>
  <si>
    <t>Elena Balaž</t>
  </si>
  <si>
    <t>Školska 100, Antunovac</t>
  </si>
  <si>
    <t>Igor Kušeta</t>
  </si>
  <si>
    <t>Sremska Mitrovica, SRB</t>
  </si>
  <si>
    <t>Crni put 58, Višnjevac, Osijek</t>
  </si>
  <si>
    <t>Ksenija Matijević</t>
  </si>
  <si>
    <t>J.J. Strossmayera 216, Osijek</t>
  </si>
  <si>
    <t>Dragica Baldigara</t>
  </si>
  <si>
    <t>Marina Kuharić</t>
  </si>
  <si>
    <t>01107438327</t>
  </si>
  <si>
    <t>Sutlanska 3, Osijek</t>
  </si>
  <si>
    <t>Administrativni djelatnik</t>
  </si>
  <si>
    <t>Nataša Marković</t>
  </si>
  <si>
    <t>J.J.STROSSMAYERA 230 OSIJEK</t>
  </si>
  <si>
    <t>Zoran Francisković</t>
  </si>
  <si>
    <t>Koprivnička 25a, 31000 Osijek</t>
  </si>
  <si>
    <t>Keramičar</t>
  </si>
  <si>
    <t>HR61 2340 0093 2029 7065 6</t>
  </si>
  <si>
    <t>Vlado Francisković</t>
  </si>
  <si>
    <t>Hrvatske Republike 18, 31000 Osijek</t>
  </si>
  <si>
    <t>HR54 2500 0093 2049 6435 1</t>
  </si>
  <si>
    <t>Dorotea Šešum</t>
  </si>
  <si>
    <t>CRKVENA ULICA 16, 31000 OSIJEK</t>
  </si>
  <si>
    <t>HR94 2340 0093 2324 7707 4</t>
  </si>
  <si>
    <t>Petra Mihaljević</t>
  </si>
  <si>
    <t>Zagrebačka 31, Našice</t>
  </si>
  <si>
    <t>HR39 2340 0093 2192 5250 2</t>
  </si>
  <si>
    <t>03580970793</t>
  </si>
  <si>
    <t>HR53 2390 0013 2910 0589 6</t>
  </si>
  <si>
    <t>03579621740</t>
  </si>
  <si>
    <t>HR17 2340 0093 2303 6725 5</t>
  </si>
  <si>
    <t>03593234902</t>
  </si>
  <si>
    <t>HR81 2340 0093 2192 9074 0</t>
  </si>
  <si>
    <t>03581190304</t>
  </si>
  <si>
    <t>Kristina Cevek</t>
  </si>
  <si>
    <t>bilje, lug , šandora petefija 114 a</t>
  </si>
  <si>
    <t>HR2923600003238444952</t>
  </si>
  <si>
    <t>EVA MACAN</t>
  </si>
  <si>
    <t>BRIJEŠĆE, VRTNA 35</t>
  </si>
  <si>
    <t>HR4823600003211476379</t>
  </si>
  <si>
    <t>AKTIVAN</t>
  </si>
  <si>
    <t>Suza</t>
  </si>
  <si>
    <t>MAĐARSKO</t>
  </si>
  <si>
    <t>Laura Lovaković</t>
  </si>
  <si>
    <t>Direktor i voditelj ugost.-turist. Poslova</t>
  </si>
  <si>
    <t>MAJA STIPIĆ</t>
  </si>
  <si>
    <t>TITUŠA BREZOVAČKOG 25, TENJA</t>
  </si>
  <si>
    <t>HR18 2340 0093 2319 6288 7</t>
  </si>
  <si>
    <t>Goran Kurel</t>
  </si>
  <si>
    <t>HR88 2340 0093 2310 0792 3</t>
  </si>
  <si>
    <t>03598798970</t>
  </si>
  <si>
    <t>HR93 2340 0093 2142 0985 8</t>
  </si>
  <si>
    <t>03531254798</t>
  </si>
  <si>
    <t>HR77 2340 0093 2321 2323 3</t>
  </si>
  <si>
    <t>03608414989</t>
  </si>
  <si>
    <t>HR15 2340 0093 2200 4804 3</t>
  </si>
  <si>
    <t>03586775245</t>
  </si>
  <si>
    <t>RADIĆ MIROSLAV</t>
  </si>
  <si>
    <t>PAŠKA 85, OSIJEK</t>
  </si>
  <si>
    <t>PRODAVAČ</t>
  </si>
  <si>
    <t>PRO</t>
  </si>
  <si>
    <t>HR8423600003246496417</t>
  </si>
  <si>
    <t>STEPHANIE GAJEC</t>
  </si>
  <si>
    <t>HR4123400093230758121</t>
  </si>
  <si>
    <t>Ljudevita Gaja 17, Tenja</t>
  </si>
  <si>
    <t>DANIEL KERESZTEŠ</t>
  </si>
  <si>
    <t>04165702988</t>
  </si>
  <si>
    <t>ŠANDORA PETEFIJA 323, LUG</t>
  </si>
  <si>
    <t>PRVA STREDNJA ŠKOLA BELI MANASTIR</t>
  </si>
  <si>
    <t>HENRIETA CAMAI</t>
  </si>
  <si>
    <t>HR52 2340 0093 2153 4142 2</t>
  </si>
  <si>
    <t>03552441201</t>
  </si>
  <si>
    <t>HR25 2340 0093 2186 3350 6</t>
  </si>
  <si>
    <t>03580150148</t>
  </si>
  <si>
    <t>DARIA HAZENAUER</t>
  </si>
  <si>
    <t>VUKOVARSKA 270, OSIJEK</t>
  </si>
  <si>
    <t>M</t>
  </si>
  <si>
    <t>HR64 2340 0093 2156 8866 0</t>
  </si>
  <si>
    <t>03548720045</t>
  </si>
  <si>
    <t>HR27 2500 0093 2059 5627 4</t>
  </si>
  <si>
    <t>03594416980</t>
  </si>
  <si>
    <t>ANTONIO MILINKOVIĆ</t>
  </si>
  <si>
    <t>SLAVONSKA 77, JOSIPOVAC</t>
  </si>
  <si>
    <t>HR2223600003245244972</t>
  </si>
  <si>
    <t>DIREKTOR</t>
  </si>
  <si>
    <t>A.G.MATOŠA 5, DARDA</t>
  </si>
  <si>
    <t>HR4423400093230236595</t>
  </si>
  <si>
    <t>DARDA</t>
  </si>
  <si>
    <t>HR06 2340 0093 2308 4517 8</t>
  </si>
  <si>
    <t>KRISTINE BITE</t>
  </si>
  <si>
    <t>VUKOVARSKA CESTA 103, 31000 OSIJEK</t>
  </si>
  <si>
    <t>?</t>
  </si>
  <si>
    <t>HR31 2390 0013 2208 1689 8</t>
  </si>
  <si>
    <t>03595038930</t>
  </si>
  <si>
    <t>ne</t>
  </si>
  <si>
    <t>IVAN TUTIĆ</t>
  </si>
  <si>
    <t>ANTUNA BARCA 21, TENJA</t>
  </si>
  <si>
    <t>KRISTINA PAVIĆ</t>
  </si>
  <si>
    <t>GORDANA ODRI</t>
  </si>
  <si>
    <t>JELENA SIMIĆ</t>
  </si>
  <si>
    <t>VUKOVARSKA ULICA 27, KLISA</t>
  </si>
  <si>
    <t>HR4923400093230922683</t>
  </si>
  <si>
    <t>DINO JURKOVIĆ</t>
  </si>
  <si>
    <t>TRNAVAČKA ULICA 9, DONJI ANDRIJEVCI</t>
  </si>
  <si>
    <t>HR9423400093111282364</t>
  </si>
  <si>
    <t>TOMISLAV HERJAVEC</t>
  </si>
  <si>
    <t>ULICA KESTENOVA 65, 31000 OSIJEK</t>
  </si>
  <si>
    <t>HR04 2340 0093 2198 0545 0</t>
  </si>
  <si>
    <t>TIBOR HAMVAI</t>
  </si>
  <si>
    <t>CHRISTINA BARAČ</t>
  </si>
  <si>
    <t>NJEMAČKA</t>
  </si>
  <si>
    <t>GORNJOGRADSKA OBALA 91B</t>
  </si>
  <si>
    <t>HR7424020063205408898</t>
  </si>
  <si>
    <t>ZVONKO BAN</t>
  </si>
  <si>
    <t>VIJENAC JAKOVA GOTOVCA 6, 31000 OSIJEK</t>
  </si>
  <si>
    <t>HR65 2500 0093 1201 7984 8</t>
  </si>
  <si>
    <t>Trgovački dem i prodavač</t>
  </si>
  <si>
    <t>.00951235574</t>
  </si>
  <si>
    <t>ž-ŽENSKO</t>
  </si>
  <si>
    <t>Vijenac Petrove Gore 13,Osijek</t>
  </si>
  <si>
    <t>Psunjska 93A,Osijek</t>
  </si>
  <si>
    <t>Mlinska 100.Osijek</t>
  </si>
  <si>
    <t>Christina Barač</t>
  </si>
  <si>
    <t>Frankfurt</t>
  </si>
  <si>
    <t>Gornjodravska obala 91B, Osijek</t>
  </si>
  <si>
    <t>B.Manastir</t>
  </si>
  <si>
    <t>Dr.F.Tuđmana 14,Beli Manastir</t>
  </si>
  <si>
    <t>Banja Luka, BIh</t>
  </si>
  <si>
    <t>Ul. I.G.Kovačića 5,Osijek</t>
  </si>
  <si>
    <t>Š.Petefija 114 A. Lug</t>
  </si>
  <si>
    <t>Ljudevita Gaja 17,Tenja</t>
  </si>
  <si>
    <t>J.J.Strossmayera 230 Osijek</t>
  </si>
  <si>
    <t>Zagrebačka 31,31500 Našice</t>
  </si>
  <si>
    <t>Rozalia Gernhardt</t>
  </si>
  <si>
    <t>Kralja Petra Krešimira IV. 83,Darda</t>
  </si>
  <si>
    <t>Stephanie Cerjak</t>
  </si>
  <si>
    <t>Eugena Kvaternika 3, Valpovo</t>
  </si>
  <si>
    <t>Valpovo</t>
  </si>
  <si>
    <t>Braće Radić 2a,Topolje</t>
  </si>
  <si>
    <t>Vesna Šimović</t>
  </si>
  <si>
    <t>Vladimira Nazora 30,Laslovo</t>
  </si>
  <si>
    <t>Šandora Petefija 126,Lug</t>
  </si>
  <si>
    <t>MIhalj Kedveš</t>
  </si>
  <si>
    <t>Zvonko Ban</t>
  </si>
  <si>
    <t>Zabok</t>
  </si>
  <si>
    <t>Vijenac Jakova Gotovca 6 Osijek</t>
  </si>
  <si>
    <t>Jelena Simić</t>
  </si>
  <si>
    <t>Beograd</t>
  </si>
  <si>
    <t>Vukovarska ulica 27,Klisa</t>
  </si>
  <si>
    <t>Dino Jurković</t>
  </si>
  <si>
    <t>Sl. Brod</t>
  </si>
  <si>
    <t>Trnanačka 9,Donji Andrijevci</t>
  </si>
  <si>
    <t>Antonio Milinković</t>
  </si>
  <si>
    <t>Slavonska 7,Josipovac</t>
  </si>
  <si>
    <t>KUHAR</t>
  </si>
  <si>
    <t>FILIP SMOLKA</t>
  </si>
  <si>
    <t>JABLANIÉKA 1, 31000 OSIJEK</t>
  </si>
  <si>
    <t>HR4923600003247060811</t>
  </si>
  <si>
    <t>AGRO PMD d.o.o.</t>
  </si>
  <si>
    <t>09677499852</t>
  </si>
  <si>
    <t>Južno Pregrađe 38, Osijek</t>
  </si>
  <si>
    <t>HR6723600003247172910</t>
  </si>
  <si>
    <t>ZSOLT FEHER</t>
  </si>
  <si>
    <t>MARK BORZA</t>
  </si>
  <si>
    <t>ROLAND ANTAL BORZA</t>
  </si>
  <si>
    <t>Rebecca Jozsef</t>
  </si>
  <si>
    <t>FIRIĆ SNJEŽANA</t>
  </si>
  <si>
    <t>01418314890</t>
  </si>
  <si>
    <t>PAVLA PEJAČEVIĆA 22, 31000 OSIJEK</t>
  </si>
  <si>
    <t>MEDICINSKA ŠJKOLA OSIJE</t>
  </si>
  <si>
    <t>HR2323400093213726215</t>
  </si>
  <si>
    <t>KARMELA BOŽIČEVIĆ</t>
  </si>
  <si>
    <t>ULICA SV.ROKA 52</t>
  </si>
  <si>
    <t>Trgovački demonstrator</t>
  </si>
  <si>
    <t>Matej Kojundžić</t>
  </si>
  <si>
    <t>PETRA KREŠIMIRA 10, KOŠKA</t>
  </si>
  <si>
    <t>PUČKO OTV.UČILIŠTE</t>
  </si>
  <si>
    <t>HR5723600003246599335</t>
  </si>
  <si>
    <t>TOMISLAV LULIĆ</t>
  </si>
  <si>
    <t>ULICA MARKA MARULIĆA 4, JOSIPOVAC OSIJEK</t>
  </si>
  <si>
    <t>BORIS JURIĆ</t>
  </si>
  <si>
    <t>A.STEPINCA 2, B. MANASTIR</t>
  </si>
  <si>
    <t>HR0624120093233018547</t>
  </si>
  <si>
    <t>ANASTAZIJA KOVAČ</t>
  </si>
  <si>
    <t>A.CESARCA 31, BELI MANASTIR</t>
  </si>
  <si>
    <t>HR87 2340 0093 2133 2290 1</t>
  </si>
  <si>
    <t>ZMAJEVAC</t>
  </si>
  <si>
    <t>ATTILA SZEBÉNYI</t>
  </si>
  <si>
    <t>PÉCS</t>
  </si>
  <si>
    <t>CSIKOSVÖLGY UTCA 6, 7761 KOZÁRMISLENY</t>
  </si>
  <si>
    <t>POSLOVODJA</t>
  </si>
  <si>
    <t>ZMAJ JOVE JOVANOVIĆA 10,31000 OSIJEK</t>
  </si>
  <si>
    <t>HR14 2360 0003 2183 0443 3</t>
  </si>
  <si>
    <t>International Line d.o.o.</t>
  </si>
  <si>
    <t>Zoltan Kiri</t>
  </si>
  <si>
    <t>PLJEŠEVIČKA 41 OSIJEK</t>
  </si>
  <si>
    <t>PIROŠ ČIZMA</t>
  </si>
  <si>
    <t>KRISTINA VEZAJ</t>
  </si>
  <si>
    <t>BOSUTSKO 13, 31000 OSIJEK</t>
  </si>
  <si>
    <t>LIRIDONA VEZAJ</t>
  </si>
  <si>
    <t>BOSUTSKA 13,31000 OSIJEK</t>
  </si>
  <si>
    <t>HR1725000093205110517</t>
  </si>
  <si>
    <t>MONIKA MESAREK</t>
  </si>
  <si>
    <t>TREŠANJSKA 45, BRIJEST</t>
  </si>
  <si>
    <t>HR9725000093222001336</t>
  </si>
  <si>
    <t>MATEJ EROR</t>
  </si>
  <si>
    <t>BOSUTSKA 17, 31000 OSIJEK</t>
  </si>
  <si>
    <t>HR5524020063208050065</t>
  </si>
  <si>
    <t>NIKOLINA BROŽ BENC</t>
  </si>
  <si>
    <t>06901289862</t>
  </si>
  <si>
    <t>ČVRSNIČKA 17, OSIJEK</t>
  </si>
  <si>
    <t>HR41236000003244298492</t>
  </si>
  <si>
    <t>RADOVAN ŠAJATOVIĆ</t>
  </si>
  <si>
    <t>STJEPANA RADIĆA 128, VIROVITICA</t>
  </si>
  <si>
    <t>KOMERCIJALNI POSLOVI</t>
  </si>
  <si>
    <t>HR9123400093205858xxx</t>
  </si>
  <si>
    <t>Virovitica</t>
  </si>
  <si>
    <t>ANA RADMAN</t>
  </si>
  <si>
    <t>OSIJEČKA 30, SARVAŠ</t>
  </si>
  <si>
    <t>HR9023400093231383956</t>
  </si>
  <si>
    <t>DORA IVIĆ</t>
  </si>
  <si>
    <t>ULICA ANTUNA KANIŽLIĆA 14, OSIJEK</t>
  </si>
  <si>
    <t>HR2723600003244566076 HR0323600003513787432</t>
  </si>
  <si>
    <t>MARIJA KIŠ</t>
  </si>
  <si>
    <t>J.J.STROSSMAYERA 62 VIŠNJEVAC</t>
  </si>
  <si>
    <t>HR3823400093214278651  HR8723400093510784459</t>
  </si>
  <si>
    <t>ĐERĐ MIRTA</t>
  </si>
  <si>
    <t>SAVSKA 4 TENJA</t>
  </si>
  <si>
    <t>PRAVNI FAK. OSIJEK</t>
  </si>
  <si>
    <t>HR6323400093232278685</t>
  </si>
  <si>
    <t>HUK MARKOVIĆ TAMARA</t>
  </si>
  <si>
    <t>ANTE STARČEVIĆA 43 C , VIŠNJEVAC</t>
  </si>
  <si>
    <t>HR8123400093207422305</t>
  </si>
  <si>
    <t>SABOLČ SEKE</t>
  </si>
  <si>
    <t>RIBARSKA ULICA 13, KOPAČEVO</t>
  </si>
  <si>
    <t>HR</t>
  </si>
  <si>
    <t>promjena plaće sa 4000 na 6000 sa 01.09</t>
  </si>
  <si>
    <t>A. STEPINCA 2, B. MANASTIR</t>
  </si>
  <si>
    <t>MARTINA FRANIĆ</t>
  </si>
  <si>
    <t>00702169000</t>
  </si>
  <si>
    <t>TRPANJSKA 11, OSIJEK</t>
  </si>
  <si>
    <t>HR6424840083230680227</t>
  </si>
  <si>
    <t>ANTONIJA KELEMEN</t>
  </si>
  <si>
    <t>06278539417</t>
  </si>
  <si>
    <t>DALMATINSKA 26 JOSIPOVAC</t>
  </si>
  <si>
    <t>HR2723900013221554752</t>
  </si>
  <si>
    <t>LUCIJA IŽA</t>
  </si>
  <si>
    <t>HR5423400093213574725</t>
  </si>
  <si>
    <t>BOGDANOVIĆ TATJANA</t>
  </si>
  <si>
    <t>04320775218</t>
  </si>
  <si>
    <t>DUNAVSKA 5, 31000 OSIJEK</t>
  </si>
  <si>
    <t>HR9825000093221297389</t>
  </si>
  <si>
    <t>JOSIP UJEVIĆ</t>
  </si>
  <si>
    <t>VJ.KRALJEVE SUTJESKE 4, OSIJEK</t>
  </si>
  <si>
    <t>HR0823600003223569895</t>
  </si>
  <si>
    <t>TANJA BOŠKOVIĆ</t>
  </si>
  <si>
    <t>05974952372</t>
  </si>
  <si>
    <t>K.A.STEPINCA 8, 31000 OSIJEK</t>
  </si>
  <si>
    <t>HR6124070003207074065</t>
  </si>
  <si>
    <t>KRIČKA PREDRAG</t>
  </si>
  <si>
    <t>ZELENO POLJE 12, 31000 OSIJEK</t>
  </si>
  <si>
    <t>HR5523600003216251175</t>
  </si>
  <si>
    <t>DIJANA KINČEŠ</t>
  </si>
  <si>
    <t>KRISTINA BARIŠIĆ</t>
  </si>
  <si>
    <t>VIJENAC PETROVE GORE, OSIJEK</t>
  </si>
  <si>
    <t>HR1823900013215908932</t>
  </si>
  <si>
    <t>IVA HUIBER</t>
  </si>
  <si>
    <t>MIRNA ULICA 7, LASLOVO</t>
  </si>
  <si>
    <t>HR2525000093205745432</t>
  </si>
  <si>
    <t>VALENTINA KRIVEC</t>
  </si>
  <si>
    <t>VRTNA ULICA 44, BRIJEŠĆE</t>
  </si>
  <si>
    <t>HR6023400093218604455</t>
  </si>
  <si>
    <t>JELENA ANTIČEVIĆ</t>
  </si>
  <si>
    <t>ŠKOLSKA 18, VIŠNJEVAC</t>
  </si>
  <si>
    <t>HR9024070003205889367</t>
  </si>
  <si>
    <t>VEDRAN IVIČIĆ</t>
  </si>
  <si>
    <t>17.05.1994.</t>
  </si>
  <si>
    <t>LJUDEVITA GAJA 109, N.GRADIŠKA</t>
  </si>
  <si>
    <t>HR3823400093231248704</t>
  </si>
  <si>
    <t>MIRJANA HORVAT</t>
  </si>
  <si>
    <t>HR4323600003234980000</t>
  </si>
  <si>
    <t>ANA ČABAJ</t>
  </si>
  <si>
    <t>JOSIPOVAC, OSIJEČKA 112</t>
  </si>
  <si>
    <t>HR2324070003205439038</t>
  </si>
  <si>
    <t>MRĐA SINIŠA</t>
  </si>
  <si>
    <t>TRG SLOBODE 7 BELI MANASTIR</t>
  </si>
  <si>
    <t>LEONARD BADANJAK</t>
  </si>
  <si>
    <t>TRENKOVA 5, 34000 POŽEGA</t>
  </si>
  <si>
    <t>HR4823600003252831823</t>
  </si>
  <si>
    <t>SREČKOVIĆ KATARINA</t>
  </si>
  <si>
    <t>PETEFI ŠANDORA 24, LUG</t>
  </si>
  <si>
    <t>HR8123400093233689711</t>
  </si>
  <si>
    <t>INES BANEK</t>
  </si>
  <si>
    <t>AUGUSTA CESARCA 97, B.MANASTIR</t>
  </si>
  <si>
    <t>HR0923400093217812107</t>
  </si>
  <si>
    <t>MARIO MARTINČIĆ</t>
  </si>
  <si>
    <t>ARANJ JANOŠ 13, NOVI BEZDAN, PETLOVAC</t>
  </si>
  <si>
    <t>HR5823400093214680938</t>
  </si>
  <si>
    <t>BRUNO NEMČANIN</t>
  </si>
  <si>
    <t>MARKO BUHINJAK</t>
  </si>
  <si>
    <t>POŠTANSKA 31, JOSIPOVAC</t>
  </si>
  <si>
    <t>HR4724020063209657499</t>
  </si>
  <si>
    <t>ANA TABAIN</t>
  </si>
  <si>
    <t>RETFALA NOVA 4, 31000 OSIJEK</t>
  </si>
  <si>
    <t>HR7023400093233296768</t>
  </si>
  <si>
    <t>ANTONIO BURA</t>
  </si>
  <si>
    <t>kralja tomislava 81, čepin</t>
  </si>
  <si>
    <t>HR5725000093203881389</t>
  </si>
  <si>
    <t>SENKA JARIĆ</t>
  </si>
  <si>
    <t>VILAJSKA 24, 31000 OSIJEK</t>
  </si>
  <si>
    <t>HR0223400093214854121</t>
  </si>
  <si>
    <t>Željko Klarić</t>
  </si>
  <si>
    <t xml:space="preserve">Olimpije 13, 31000 Osijek </t>
  </si>
  <si>
    <t>HR652484083223276975</t>
  </si>
  <si>
    <t>IVAN STANIĆ</t>
  </si>
  <si>
    <t>Trgovački demomstrator</t>
  </si>
  <si>
    <t>SMILJA DEVETAK</t>
  </si>
  <si>
    <t>PROMINSKA 68, OSIJEK</t>
  </si>
  <si>
    <t>VASELJENA ALEKSANDER</t>
  </si>
  <si>
    <t>DR.FRANJE TUĐMANA 10,LASLOVO</t>
  </si>
  <si>
    <t>HR0324840083213018110</t>
  </si>
  <si>
    <t xml:space="preserve">SARA MRŠO </t>
  </si>
  <si>
    <t>ŽUMBERAČKA 66, OSIJEK</t>
  </si>
  <si>
    <t>HR125000093206910503</t>
  </si>
  <si>
    <t>DALIBOR SIMIĆ</t>
  </si>
  <si>
    <t>ĆIRIĆEVA 27, BOBOTA</t>
  </si>
  <si>
    <t>TRGOVAČKI DEMONSTRATOR</t>
  </si>
  <si>
    <t>PETRA PEJIĆ</t>
  </si>
  <si>
    <t>MATIJE GUPCA 24, BISTRINCI</t>
  </si>
  <si>
    <t>TRG.DEMONSTRATOR</t>
  </si>
  <si>
    <t>Trg.demonstrator</t>
  </si>
  <si>
    <t>HR5123400093219199809</t>
  </si>
  <si>
    <t>KLEPEC MIA</t>
  </si>
  <si>
    <t>07232137820</t>
  </si>
  <si>
    <t>TVORNIČKA 1, 31000 OSIJEK</t>
  </si>
  <si>
    <t>HR0524020063209770969</t>
  </si>
  <si>
    <t>KORINA TOMAŠIĆ DEAK</t>
  </si>
  <si>
    <t>HRVATSKE REPUBLIKE 13, KNEŽEVI VINOGRADI</t>
  </si>
  <si>
    <t>HR4923400093207279321</t>
  </si>
  <si>
    <t>ANA MARIJA KORDIĆ</t>
  </si>
  <si>
    <t>VJ.JAKOVA GOTOVCA 7, OSIJEK</t>
  </si>
  <si>
    <t>HR312340009323196197</t>
  </si>
  <si>
    <t>KATARINA KUNDID</t>
  </si>
  <si>
    <t xml:space="preserve">NOVA GRADIŠKA </t>
  </si>
  <si>
    <t>OSJEČKA 53,JOSIPOVAC</t>
  </si>
  <si>
    <t>HR7324020063208867548</t>
  </si>
  <si>
    <t>IVICA JUKIĆ</t>
  </si>
  <si>
    <t>ULICA ANTUNA BARCA 24, TENJA</t>
  </si>
  <si>
    <t>Trgovački demomnstrator</t>
  </si>
  <si>
    <t>HR3523600003245744676</t>
  </si>
  <si>
    <t>FILIP JANJEŠIĆ</t>
  </si>
  <si>
    <t>JOSIPA KOZARCA 16, VIŠNJEVAC</t>
  </si>
  <si>
    <t>HR7423400093233916332</t>
  </si>
  <si>
    <t>NATAŠA UMIČEVIĆ</t>
  </si>
  <si>
    <t>GORNJODRAVSKA OBALA 88, OSIJEK</t>
  </si>
  <si>
    <t>HR9724020063203832622</t>
  </si>
  <si>
    <t>MATEJ TRGO</t>
  </si>
  <si>
    <t>KOLODVORSKA 10, SARVAŠ</t>
  </si>
  <si>
    <t>HR5423400093215841033</t>
  </si>
  <si>
    <t xml:space="preserve">PETAR ZAMOLINSKI </t>
  </si>
  <si>
    <t>HERCEGOVAČKA 8, VIŠNJEVAC</t>
  </si>
  <si>
    <t>HR9023600003244566009</t>
  </si>
  <si>
    <t xml:space="preserve">ALBERKOVIĆ SLOBODAN </t>
  </si>
  <si>
    <t>RIJEČKA 4, SARVAŠ</t>
  </si>
  <si>
    <t>HR5423400093231920723</t>
  </si>
  <si>
    <t>BENJAMIN FRANKLIN CLEMENT</t>
  </si>
  <si>
    <t>RAKOVA 1A, ZMAJEVAC</t>
  </si>
  <si>
    <t>trgovački demonstrator</t>
  </si>
  <si>
    <t>TOT KOMENDANOVIĆ KRISTINA</t>
  </si>
  <si>
    <t>ZLATNA 18,ALJMAŠ</t>
  </si>
  <si>
    <t>HR8324840083235724467</t>
  </si>
  <si>
    <t>D-INVOICE D.O.O.</t>
  </si>
  <si>
    <t>LAURA GERGELJ</t>
  </si>
  <si>
    <t>SV.IVANA KRSTITELJA 15, DARDA</t>
  </si>
  <si>
    <t>Lidija Tucaković</t>
  </si>
  <si>
    <t>J.J.strossmayera 63, Otok Vinkovci</t>
  </si>
  <si>
    <t>ASISTENT KNJIGOVOĐI</t>
  </si>
  <si>
    <t>HR4523400093212454731</t>
  </si>
  <si>
    <t>ANITA HUZANIĆ</t>
  </si>
  <si>
    <t>M.DIVALTA 179, OSIJEK</t>
  </si>
  <si>
    <t>HR4824810003236002081</t>
  </si>
  <si>
    <t>MARTINA JUKIĆ</t>
  </si>
  <si>
    <t>VIŠNJEVAC</t>
  </si>
  <si>
    <t>IVANA MAŽURANIĆA 28, VIŠNJEVAC</t>
  </si>
  <si>
    <t>TRGOVAČKI DEMONSTARTOR</t>
  </si>
  <si>
    <t>HR0825000093206824087</t>
  </si>
  <si>
    <t xml:space="preserve">ANA ČAVLINA </t>
  </si>
  <si>
    <t>ERDUT</t>
  </si>
  <si>
    <t>KRALJA ZVONIMIRA 31</t>
  </si>
  <si>
    <t>HR4323600003246083547</t>
  </si>
  <si>
    <t xml:space="preserve">ŠENHOF JANA </t>
  </si>
  <si>
    <t>HR3823400093218873347</t>
  </si>
  <si>
    <t>Adrienn Kinga Német</t>
  </si>
  <si>
    <t>BOŽANA MIHALJEC</t>
  </si>
  <si>
    <t>05857155242</t>
  </si>
  <si>
    <t>KNEŽEVO</t>
  </si>
  <si>
    <t>REPUBLIKE 92 B, 31204 PETRIJEVCI</t>
  </si>
  <si>
    <t>HR7823600003245283346</t>
  </si>
  <si>
    <t>JURICA STRAHINJIĆ</t>
  </si>
  <si>
    <t>KRALJA PETRA KREŠIMIRA IV 33, DARDA</t>
  </si>
  <si>
    <t>EL.MEH ŠK OSIJEK</t>
  </si>
  <si>
    <t>VOZAČ</t>
  </si>
  <si>
    <t>HR6924020063209224677</t>
  </si>
  <si>
    <t>MARTINA ARAMBAŠIĆ</t>
  </si>
  <si>
    <t>J.J.STROSSMAYERA 333, 31000 OSIJEK</t>
  </si>
  <si>
    <t>HR0223900013500087986, HR6523900013222074764</t>
  </si>
  <si>
    <t>SUZANA AJDARI</t>
  </si>
  <si>
    <t>SV.LEOPOLDA MANDIĆA 4, 31000 OSIJEK</t>
  </si>
  <si>
    <t>HR0325000093203916408</t>
  </si>
  <si>
    <t>SUZANA ČAČIĆ</t>
  </si>
  <si>
    <t>ZAGREBAČKA 47, 31000 OSIJEK</t>
  </si>
  <si>
    <t>TRGOVAČKA ŠKOLA OSIJEK</t>
  </si>
  <si>
    <t>HR3123600003245091647</t>
  </si>
  <si>
    <t>Tamara Tomić</t>
  </si>
  <si>
    <t>MARTINA DIVALTA 181,31000 OSIJEK</t>
  </si>
  <si>
    <t>DARIO VRDOLJAK</t>
  </si>
  <si>
    <t>05989691992</t>
  </si>
  <si>
    <t>VRANSKA ULICA 12, OSIJEK</t>
  </si>
  <si>
    <t>OSNOVNA ŠKOLA RETFALA</t>
  </si>
  <si>
    <t>HR3123600003513031934</t>
  </si>
  <si>
    <t>Anamarija Biber</t>
  </si>
  <si>
    <t>05594910859</t>
  </si>
  <si>
    <t>J.J.strossmayera 168, 31000 osijek</t>
  </si>
  <si>
    <t>srednja ekonomska osijek</t>
  </si>
  <si>
    <t>HR8323900013208968576, HR7323900013505936972</t>
  </si>
  <si>
    <t>MARIJA MAKEK</t>
  </si>
  <si>
    <t>MLINSKA 77,31000 OSIJEK</t>
  </si>
  <si>
    <t>EKONOMSKA ŠKOLA OSIJEK</t>
  </si>
  <si>
    <t>HR5124840083235850949</t>
  </si>
  <si>
    <t>TUTTLINGEN</t>
  </si>
  <si>
    <t>ROMARIO BARBERIĆ</t>
  </si>
  <si>
    <t>VUKOVAR</t>
  </si>
  <si>
    <t>SAJMIŠTE 98, VUKOVAR</t>
  </si>
  <si>
    <t>PREVODITELJ</t>
  </si>
  <si>
    <t>PREVODITELJ ASISTENT</t>
  </si>
  <si>
    <t>HR5124020063207404602</t>
  </si>
  <si>
    <t>MARIJAN KRAJNOVIĆ</t>
  </si>
  <si>
    <t>ILIRSKA ULICA 44, DARDA</t>
  </si>
  <si>
    <t>EKONOMIST</t>
  </si>
  <si>
    <t>HR5123400093234154978</t>
  </si>
  <si>
    <t>MELISA HORVAT</t>
  </si>
  <si>
    <t>03441035142</t>
  </si>
  <si>
    <t>ŠANDORA PETEFIJA 43, SUZA</t>
  </si>
  <si>
    <t>KNJIGOVOĐA</t>
  </si>
  <si>
    <t>HR4823400093230806592</t>
  </si>
  <si>
    <t>MARIO VIŠIĆ</t>
  </si>
  <si>
    <t>ŠIBENIK</t>
  </si>
  <si>
    <t>BANA JOSIPA JELAČIĆA 78C, ŠIBENIK</t>
  </si>
  <si>
    <t>HR6324840083235697085</t>
  </si>
  <si>
    <t>NAZIV</t>
  </si>
  <si>
    <t>OIB</t>
  </si>
  <si>
    <t>ODGOVORNA OSOBA</t>
  </si>
  <si>
    <t>MATIČNI BROJ</t>
  </si>
  <si>
    <t>ŠIFRA DJELATNOSTI</t>
  </si>
  <si>
    <t>BROJ PS-a</t>
  </si>
  <si>
    <t>mjesto</t>
  </si>
  <si>
    <t>adresa</t>
  </si>
  <si>
    <t>Nimfus TM j.d.o.o.</t>
  </si>
  <si>
    <t>J.J. Strossmayera 333, 31000 Osijek</t>
  </si>
  <si>
    <t>Best Home Corporation d.o.o.</t>
  </si>
  <si>
    <t>Neomachine d.o.o.</t>
  </si>
  <si>
    <t>Kiss Zoltan</t>
  </si>
  <si>
    <t>K.A. Stepinca 17, 31000 Osijek</t>
  </si>
  <si>
    <t>Harnal Trade j.d.o.o.</t>
  </si>
  <si>
    <t>Ervin Harnal</t>
  </si>
  <si>
    <t>04563018</t>
  </si>
  <si>
    <t>Trpimirova 17, 10000 Zagreb</t>
  </si>
  <si>
    <t>Promo Top d.o.o.</t>
  </si>
  <si>
    <t>Anita Szalai</t>
  </si>
  <si>
    <t>04633423</t>
  </si>
  <si>
    <t>Puls Direkt d.o.o.</t>
  </si>
  <si>
    <t>Laszlo Szabo-Kocsis</t>
  </si>
  <si>
    <t>04324714</t>
  </si>
  <si>
    <t>TK TVRĐA</t>
  </si>
  <si>
    <t>01453910543</t>
  </si>
  <si>
    <t>Saša Valentin</t>
  </si>
  <si>
    <t>Franje Kuhača 4, 31000 Osijek</t>
  </si>
  <si>
    <t>WAX D.O.O</t>
  </si>
  <si>
    <t>04676971</t>
  </si>
  <si>
    <t>AK Tvrđa</t>
  </si>
  <si>
    <t>04624157</t>
  </si>
  <si>
    <t>Franje Kuhača 17, 31000 Osijek</t>
  </si>
  <si>
    <t>Istria gold d.o.o.</t>
  </si>
  <si>
    <t>04477243</t>
  </si>
  <si>
    <t>Gumenet d.o.o.</t>
  </si>
  <si>
    <t>Zoltan Buthi</t>
  </si>
  <si>
    <t>04794800</t>
  </si>
  <si>
    <t>SUG AK TVRĐA</t>
  </si>
  <si>
    <t>07880363653</t>
  </si>
  <si>
    <t>MUCI D.O.O</t>
  </si>
  <si>
    <t>Szaszko Ibolya</t>
  </si>
  <si>
    <t>04707630</t>
  </si>
  <si>
    <t>M.Tita 101, Suza</t>
  </si>
  <si>
    <t>KERAMIKA ZOKA J.D.O.O.</t>
  </si>
  <si>
    <t>04910761</t>
  </si>
  <si>
    <t>osijek</t>
  </si>
  <si>
    <t>Koprivnička 25 a, 31000 Osijek</t>
  </si>
  <si>
    <t>HOME PLUS</t>
  </si>
  <si>
    <t>LASZLO TIBOR</t>
  </si>
  <si>
    <t>04880773</t>
  </si>
  <si>
    <t>DOMOKOS D.O.O.</t>
  </si>
  <si>
    <t>DOMOKOS ISTVAN</t>
  </si>
  <si>
    <t>VRTNA 35,  BRIJEŠĆE</t>
  </si>
  <si>
    <t>LAURA LOVAKOVIĆ</t>
  </si>
  <si>
    <t>030182758</t>
  </si>
  <si>
    <t>Maršala Tita 101, 31308 Suza</t>
  </si>
  <si>
    <t>GRAMAX</t>
  </si>
  <si>
    <t>JOSIP ŠIMIĆ</t>
  </si>
  <si>
    <t>030109372</t>
  </si>
  <si>
    <t>BHT D.O.O</t>
  </si>
  <si>
    <t>IVOR BANOVIĆ</t>
  </si>
  <si>
    <t>04979141</t>
  </si>
  <si>
    <t>Franjevačka 7, 31000 Osijek</t>
  </si>
  <si>
    <t>SOS GUARD J.D.O.O.</t>
  </si>
  <si>
    <t>04996895</t>
  </si>
  <si>
    <t>Šetalište Petra Preradovića 5, 31000 Osijek</t>
  </si>
  <si>
    <t>5007984</t>
  </si>
  <si>
    <t>DURA-CONSTRUCT J.D.O.O.</t>
  </si>
  <si>
    <t>05006627</t>
  </si>
  <si>
    <t>JS MENSOR</t>
  </si>
  <si>
    <t>GABOR ISTVAN JENEI</t>
  </si>
  <si>
    <t>04925220</t>
  </si>
  <si>
    <t>BELLISSIMA</t>
  </si>
  <si>
    <t>VEZAJ KRISTINA</t>
  </si>
  <si>
    <t>04055861</t>
  </si>
  <si>
    <t>01485091</t>
  </si>
  <si>
    <t>HIMEX D.O.O</t>
  </si>
  <si>
    <t>BN AUTO j.d.o.o.</t>
  </si>
  <si>
    <t>05141508</t>
  </si>
  <si>
    <t>BEDNJANSKA 10, 31000 OSIJEK</t>
  </si>
  <si>
    <t>Alpha Adria Charter d.o.o.</t>
  </si>
  <si>
    <t>04611748</t>
  </si>
  <si>
    <t>MAKARSKA</t>
  </si>
  <si>
    <t>Ante Starčevića 32, etaža B/21</t>
  </si>
  <si>
    <t>MARTINA ZAVRŠKI</t>
  </si>
  <si>
    <t>Gajev trg 6</t>
  </si>
  <si>
    <t>Naturos d.o.o.</t>
  </si>
  <si>
    <t>Ulica Jela 60</t>
  </si>
  <si>
    <t>POSLODAVAC PRAVNA ILI FIZIČKA OSOBA</t>
  </si>
  <si>
    <t>OBVEZNIK UPLATE DOPRINOSA</t>
  </si>
  <si>
    <t xml:space="preserve">1. NAZIV </t>
  </si>
  <si>
    <t xml:space="preserve">2. ADRESA  </t>
  </si>
  <si>
    <t xml:space="preserve">3. OIB </t>
  </si>
  <si>
    <t xml:space="preserve">4. BROJ TELEFON/MOB/MAIL  </t>
  </si>
  <si>
    <t>031/214-792</t>
  </si>
  <si>
    <t>HZMO</t>
  </si>
  <si>
    <t xml:space="preserve">REGIONALNI URED </t>
  </si>
  <si>
    <t>Potvrda o isplaćenoj naknadi plaće za bolovanje na teret fonda za 2018g.</t>
  </si>
  <si>
    <t>Djelatnici</t>
  </si>
  <si>
    <t>je isplaćeno</t>
  </si>
  <si>
    <t>plaće za bolovanje na teret fonda u 2018 g.</t>
  </si>
  <si>
    <t xml:space="preserve">U Osijeku ,  </t>
  </si>
  <si>
    <t>_____________________________</t>
  </si>
  <si>
    <t>Potpis ovlaštene osobe</t>
  </si>
  <si>
    <t xml:space="preserve">              M.P.</t>
  </si>
  <si>
    <t>IZJAVA O PREUZIMANJU PODATAKA</t>
  </si>
  <si>
    <r>
      <t xml:space="preserve">Kojom  ja </t>
    </r>
    <r>
      <rPr>
        <b/>
        <sz val="11"/>
        <color indexed="8"/>
        <rFont val="Calibri"/>
        <family val="2"/>
        <charset val="238"/>
      </rPr>
      <t/>
    </r>
  </si>
  <si>
    <t>izjavljujem da sam preuzeo prijave na</t>
  </si>
  <si>
    <t>MIO i HZZO pri zapošljavanju.</t>
  </si>
  <si>
    <t xml:space="preserve">Dana: </t>
  </si>
  <si>
    <t>Potpis: _________________</t>
  </si>
  <si>
    <t>Na temelju Zakona o radu ("Narodne novine", br. 93/14., 127/17, 73/18)</t>
  </si>
  <si>
    <t xml:space="preserve">Dana  </t>
  </si>
  <si>
    <t>sklopljen je</t>
  </si>
  <si>
    <t xml:space="preserve"> </t>
  </si>
  <si>
    <r>
      <t>UGOVOR O RADU</t>
    </r>
    <r>
      <rPr>
        <sz val="12"/>
        <color indexed="8"/>
        <rFont val="Times New Roman"/>
        <family val="1"/>
        <charset val="238"/>
      </rPr>
      <t xml:space="preserve">  </t>
    </r>
    <r>
      <rPr>
        <b/>
        <sz val="16"/>
        <color indexed="8"/>
        <rFont val="Times New Roman"/>
        <family val="1"/>
        <charset val="238"/>
      </rPr>
      <t>NA ODREĐENO VRIJEME</t>
    </r>
  </si>
  <si>
    <t xml:space="preserve">Kojim se zasniva radni odnos  između poslodavca: </t>
  </si>
  <si>
    <t xml:space="preserve">OIB: </t>
  </si>
  <si>
    <r>
      <rPr>
        <sz val="16"/>
        <color indexed="8"/>
        <rFont val="Times New Roman"/>
        <family val="1"/>
        <charset val="238"/>
      </rPr>
      <t xml:space="preserve"> </t>
    </r>
    <r>
      <rPr>
        <sz val="10"/>
        <color indexed="8"/>
        <rFont val="Times New Roman"/>
        <family val="1"/>
        <charset val="238"/>
      </rPr>
      <t xml:space="preserve">(u </t>
    </r>
    <r>
      <rPr>
        <sz val="12"/>
        <color indexed="8"/>
        <rFont val="Times New Roman"/>
        <family val="1"/>
        <charset val="238"/>
      </rPr>
      <t xml:space="preserve">daljenjem tekstu: Društvo), kojeg zastupa </t>
    </r>
  </si>
  <si>
    <t>s jedne strane,</t>
  </si>
  <si>
    <t>i</t>
  </si>
  <si>
    <r>
      <t>radnika:</t>
    </r>
    <r>
      <rPr>
        <sz val="12"/>
        <color indexed="8"/>
        <rFont val="Times New Roman"/>
        <family val="1"/>
        <charset val="238"/>
      </rPr>
      <t xml:space="preserve"> </t>
    </r>
  </si>
  <si>
    <t>s prebivalištem na adresi:</t>
  </si>
  <si>
    <t>(u daljenjem tekstu: radnik), s druge strane.</t>
  </si>
  <si>
    <t>Članak 1.</t>
  </si>
  <si>
    <t>Opće odredbe</t>
  </si>
  <si>
    <t>1. Ovim ugovorom se utvrđuju međusobna prava, obveze i odgovornosti na radu između Poslodavca i Radnika.</t>
  </si>
  <si>
    <t xml:space="preserve">2. Ovim ugovorom radnik zasniva radni odnos na  </t>
  </si>
  <si>
    <t>vrijeme , do</t>
  </si>
  <si>
    <t xml:space="preserve">za obavljanje poslova </t>
  </si>
  <si>
    <t>3. Ugovorene strane ugovaraju probni rad Radnika u trajanju od</t>
  </si>
  <si>
    <t>30 DANA</t>
  </si>
  <si>
    <t>4. Mjesto rada radnika je u mjestu</t>
  </si>
  <si>
    <t xml:space="preserve"> A u slučaju potrebe poslodavca i u nekim drugim mjestima na području Republike Hrvatske.</t>
  </si>
  <si>
    <t xml:space="preserve">5. Pored poslova navedenih u točki 2. ovog ugovora Radnik će obavljati i druge poslove prema nalogu </t>
  </si>
  <si>
    <t xml:space="preserve"> Poslodavca, a koje su u skladu s naravi i vrsti posla za koje je zasnovan radni odnos.</t>
  </si>
  <si>
    <r>
      <t xml:space="preserve">6. Radnik počinje s radom </t>
    </r>
    <r>
      <rPr>
        <b/>
        <u/>
        <sz val="12"/>
        <color indexed="8"/>
        <rFont val="Times New Roman"/>
        <family val="1"/>
        <charset val="238"/>
      </rPr>
      <t/>
    </r>
  </si>
  <si>
    <t>Članak 2.</t>
  </si>
  <si>
    <t>Plaće i naknade</t>
  </si>
  <si>
    <r>
      <t xml:space="preserve">1. Za realizaciju preuzetih obveza iz točke I.2. Radniku pripada osnovna bruto plaća u iznosu od </t>
    </r>
    <r>
      <rPr>
        <b/>
        <u/>
        <sz val="12"/>
        <color indexed="8"/>
        <rFont val="Times New Roman"/>
        <family val="1"/>
        <charset val="238"/>
      </rPr>
      <t/>
    </r>
  </si>
  <si>
    <t>a razmjerno broju sati.</t>
  </si>
  <si>
    <t>2. Isplata plaće obavljat će se jedanput mjesečno i to najkasnije do 15-og u mjesecu za predhodni mjesec.</t>
  </si>
  <si>
    <r>
      <t xml:space="preserve">3. Uz plaću navedenu u točki II.1. ovog ugovora Radniku pripada i stimulativni dio plaće u iznosu od </t>
    </r>
    <r>
      <rPr>
        <b/>
        <u/>
        <sz val="12"/>
        <color indexed="8"/>
        <rFont val="Times New Roman"/>
        <family val="1"/>
        <charset val="238"/>
      </rPr>
      <t>0 kn</t>
    </r>
    <r>
      <rPr>
        <sz val="12"/>
        <color indexed="8"/>
        <rFont val="Times New Roman"/>
        <family val="1"/>
        <charset val="238"/>
      </rPr>
      <t xml:space="preserve"> </t>
    </r>
  </si>
  <si>
    <t>bruto mjesečno.</t>
  </si>
  <si>
    <t>4. Radnik ima pravo na povećanje plaće za</t>
  </si>
  <si>
    <t xml:space="preserve">- otežane uvjete rada  </t>
  </si>
  <si>
    <t xml:space="preserve">- rad u dane blagdana i neradne dane utvrđene zakonom  </t>
  </si>
  <si>
    <t>- rad nedjeljom</t>
  </si>
  <si>
    <t>- noćni rad</t>
  </si>
  <si>
    <t>- prekovremeni rad</t>
  </si>
  <si>
    <t xml:space="preserve">- za rad u drugoj smjeni u slučaju stalnog smjenskog rada    </t>
  </si>
  <si>
    <t>Članak 3.</t>
  </si>
  <si>
    <t>Troškovi i naknade</t>
  </si>
  <si>
    <t xml:space="preserve">Radnik ima pravo na naknade troškova za službena putovanja u zemlji i inozemstvu, u visini propisanoj </t>
  </si>
  <si>
    <t xml:space="preserve"> zakonom.</t>
  </si>
  <si>
    <t>Članak 4.</t>
  </si>
  <si>
    <t>Radno vrijeme i godišnji odmor</t>
  </si>
  <si>
    <t>1. Radnik će raditi u</t>
  </si>
  <si>
    <t>radnom vremenu od</t>
  </si>
  <si>
    <t>sati tjedno.</t>
  </si>
  <si>
    <r>
      <t xml:space="preserve">3. U tijeku rada radnik ima pravo koristiti dnevni odmor u trajanju od </t>
    </r>
    <r>
      <rPr>
        <b/>
        <sz val="12"/>
        <color indexed="8"/>
        <rFont val="Times New Roman"/>
        <family val="1"/>
        <charset val="238"/>
      </rPr>
      <t>30</t>
    </r>
    <r>
      <rPr>
        <sz val="12"/>
        <color indexed="8"/>
        <rFont val="Times New Roman"/>
        <family val="1"/>
        <charset val="238"/>
      </rPr>
      <t xml:space="preserve"> minuta.</t>
    </r>
  </si>
  <si>
    <r>
      <t xml:space="preserve">4. Tjedni odmor radnik će koristiti </t>
    </r>
    <r>
      <rPr>
        <b/>
        <u/>
        <sz val="12"/>
        <rFont val="Times New Roman"/>
        <family val="1"/>
        <charset val="238"/>
      </rPr>
      <t>PREMA RASPOREDU RADNOG VREMENA</t>
    </r>
    <r>
      <rPr>
        <sz val="12"/>
        <rFont val="Times New Roman"/>
        <family val="1"/>
        <charset val="238"/>
      </rPr>
      <t>.</t>
    </r>
  </si>
  <si>
    <r>
      <t xml:space="preserve">5. Radnik ima pravo na godišnji odmor u trajanju od </t>
    </r>
    <r>
      <rPr>
        <b/>
        <u/>
        <sz val="12"/>
        <color indexed="8"/>
        <rFont val="Times New Roman"/>
        <family val="1"/>
        <charset val="238"/>
      </rPr>
      <t>4 tjedna</t>
    </r>
    <r>
      <rPr>
        <sz val="12"/>
        <color indexed="8"/>
        <rFont val="Times New Roman"/>
        <family val="1"/>
        <charset val="238"/>
      </rPr>
      <t xml:space="preserve">. </t>
    </r>
  </si>
  <si>
    <t>Članak 5.</t>
  </si>
  <si>
    <r>
      <t>Č</t>
    </r>
    <r>
      <rPr>
        <b/>
        <sz val="10"/>
        <color indexed="8"/>
        <rFont val="Trebuchet MS"/>
        <family val="2"/>
        <charset val="238"/>
      </rPr>
      <t>uvanje poslovne tajne</t>
    </r>
  </si>
  <si>
    <t xml:space="preserve">1. Radnik se obvezuje da će za vrijeme trajanja Ugovora o radu, a i njegovog prestanka čuvati sve poslovne </t>
  </si>
  <si>
    <t>tajne poslodavca i njegovih komitenata prema neovlaštenim osobama, koje su po svojoj prirodi povjerene i</t>
  </si>
  <si>
    <t>zaštičene,  a koje su mu bile povjerene ili koje je mogao saznati na poslu.</t>
  </si>
  <si>
    <t>Članak 6.</t>
  </si>
  <si>
    <t>Otkaz ugovora o radu</t>
  </si>
  <si>
    <r>
      <t xml:space="preserve">1. Ovaj Ugovor </t>
    </r>
    <r>
      <rPr>
        <b/>
        <sz val="12"/>
        <color indexed="8"/>
        <rFont val="Times New Roman"/>
        <family val="1"/>
        <charset val="238"/>
      </rPr>
      <t xml:space="preserve">mogu – </t>
    </r>
    <r>
      <rPr>
        <b/>
        <strike/>
        <sz val="12"/>
        <color indexed="8"/>
        <rFont val="Times New Roman"/>
        <family val="1"/>
        <charset val="238"/>
      </rPr>
      <t>ne mogu</t>
    </r>
    <r>
      <rPr>
        <sz val="12"/>
        <color indexed="8"/>
        <rFont val="Times New Roman"/>
        <family val="1"/>
        <charset val="238"/>
      </rPr>
      <t xml:space="preserve"> redovito otkazati i Poslodavac i Radnik pod uvjetima propisanim zakonom,</t>
    </r>
  </si>
  <si>
    <t xml:space="preserve"> i prije isteka vremena koji je sklopljen.</t>
  </si>
  <si>
    <t>2. U slučaju kad poslodavac redovito otkazuje, otkazni rok iznosi  po čl. 121-122 , a u slučaju kad redovito</t>
  </si>
  <si>
    <t xml:space="preserve"> otkazuje radnik otkazni rok je po čl. 121-122 ZOR-a.</t>
  </si>
  <si>
    <t>Članak 7.</t>
  </si>
  <si>
    <t>Prava i obveze</t>
  </si>
  <si>
    <t>Ostala prava i obveze radnika i poslodavca:</t>
  </si>
  <si>
    <t>-</t>
  </si>
  <si>
    <t>Članak 8.</t>
  </si>
  <si>
    <t>Zaključne odredbe</t>
  </si>
  <si>
    <t>.</t>
  </si>
  <si>
    <r>
      <t xml:space="preserve">1. Za slučaj spora stranke ugovaraju mjesnu nadležnost stvarno nadležnog suda u </t>
    </r>
    <r>
      <rPr>
        <b/>
        <u/>
        <sz val="12"/>
        <color indexed="8"/>
        <rFont val="Times New Roman"/>
        <family val="1"/>
        <charset val="238"/>
      </rPr>
      <t>Osijeku</t>
    </r>
    <r>
      <rPr>
        <sz val="12"/>
        <color indexed="8"/>
        <rFont val="Times New Roman"/>
        <family val="1"/>
        <charset val="238"/>
      </rPr>
      <t>.</t>
    </r>
  </si>
  <si>
    <r>
      <t xml:space="preserve">2. Ovaj ugovor stupa na snagu </t>
    </r>
    <r>
      <rPr>
        <b/>
        <u/>
        <sz val="12"/>
        <color indexed="8"/>
        <rFont val="Times New Roman"/>
        <family val="1"/>
        <charset val="238"/>
      </rPr>
      <t/>
    </r>
  </si>
  <si>
    <t>3. Ovaj je ugovor sklopljen u 3 istovjetna primjerka od kojih Poslodavac zadržava 2 primjerka a radnik</t>
  </si>
  <si>
    <t xml:space="preserve"> 1 primjerak.</t>
  </si>
  <si>
    <t xml:space="preserve">U Osijeku , dana </t>
  </si>
  <si>
    <t xml:space="preserve">Za poslodavca </t>
  </si>
  <si>
    <t>Radnik</t>
  </si>
  <si>
    <t>M.P.</t>
  </si>
  <si>
    <t>____________________</t>
  </si>
  <si>
    <t xml:space="preserve">    ___________________</t>
  </si>
  <si>
    <r>
      <t>UGOVOR O RADU</t>
    </r>
    <r>
      <rPr>
        <sz val="12"/>
        <color indexed="8"/>
        <rFont val="Times New Roman"/>
        <family val="1"/>
        <charset val="238"/>
      </rPr>
      <t xml:space="preserve">  </t>
    </r>
    <r>
      <rPr>
        <b/>
        <sz val="16"/>
        <color indexed="8"/>
        <rFont val="Times New Roman"/>
        <family val="1"/>
        <charset val="238"/>
      </rPr>
      <t>NA NEODREĐENO VRIJEME</t>
    </r>
  </si>
  <si>
    <r>
      <t xml:space="preserve">2. Ovim ugovorom radnik zasniva radni odnos na NEODREĐENO VRIJEME za obavljanje poslova </t>
    </r>
    <r>
      <rPr>
        <b/>
        <u/>
        <sz val="12"/>
        <color indexed="8"/>
        <rFont val="Times New Roman"/>
        <family val="1"/>
        <charset val="238"/>
      </rPr>
      <t/>
    </r>
  </si>
  <si>
    <t>a razmjerno broju sati. Ovisno o rezultatima rad radniku se može ispaltiti i stimulativni dio plaće.</t>
  </si>
  <si>
    <t xml:space="preserve">2. Poslodavac će ispalćivati plaću za predhodni mjesec, dodatak na plaću sukladno Zakonu o rad, te naknade </t>
  </si>
  <si>
    <t>plaće najkasnije do posljednjeg dana u mjesecu za rad obavljen u predhodnom mjesecu.</t>
  </si>
  <si>
    <t>3. Uz plaću navedenu u točki II.1. ovog ugovora Radniku pripada i stimulativni dio plaće prema odluci poslodavca.</t>
  </si>
  <si>
    <t>- za rad u drugoj smjeni u slučaju stalnog smjenskog rada    /  %</t>
  </si>
  <si>
    <r>
      <t xml:space="preserve">2. Radno vrijeme određuje se </t>
    </r>
    <r>
      <rPr>
        <b/>
        <sz val="12"/>
        <color indexed="8"/>
        <rFont val="Times New Roman"/>
        <family val="1"/>
        <charset val="238"/>
      </rPr>
      <t xml:space="preserve">jednokratno – </t>
    </r>
    <r>
      <rPr>
        <b/>
        <strike/>
        <sz val="12"/>
        <color indexed="8"/>
        <rFont val="Times New Roman"/>
        <family val="1"/>
        <charset val="238"/>
      </rPr>
      <t>dvokratno</t>
    </r>
    <r>
      <rPr>
        <b/>
        <sz val="12"/>
        <color indexed="8"/>
        <rFont val="Times New Roman"/>
        <family val="1"/>
        <charset val="238"/>
      </rPr>
      <t xml:space="preserve"> </t>
    </r>
    <r>
      <rPr>
        <sz val="12"/>
        <color indexed="8"/>
        <rFont val="Times New Roman"/>
        <family val="1"/>
        <charset val="238"/>
      </rPr>
      <t xml:space="preserve">, prema rasporedu radnog vremena, </t>
    </r>
  </si>
  <si>
    <t>a može početi od 8.00 i završiti u 10.00 sati.</t>
  </si>
  <si>
    <t xml:space="preserve"> i prije isteka vremena za koji je sklopljen.</t>
  </si>
  <si>
    <t>Temeljem čl. 11, a u svezi čl. 14 i 15. Zakona o radu (nn 93/14)</t>
  </si>
  <si>
    <t>dana</t>
  </si>
  <si>
    <t>sklapa se:</t>
  </si>
  <si>
    <t>ANEKS UGOVORA O RADU</t>
  </si>
  <si>
    <t xml:space="preserve">između poslodavca: </t>
  </si>
  <si>
    <t xml:space="preserve">te po novom </t>
  </si>
  <si>
    <t>glasi:</t>
  </si>
  <si>
    <t>radniku isplačivati:</t>
  </si>
  <si>
    <t xml:space="preserve">Odredbe ovog aneksa stupaju na snagu od </t>
  </si>
  <si>
    <t xml:space="preserve">U Osijeku                                                                          </t>
  </si>
  <si>
    <t>Za poslodavca</t>
  </si>
  <si>
    <t>--------------------------------------                                  -------------------------------------</t>
  </si>
  <si>
    <t>Temeljem čl. 11, a u svezi čl. 14 i 15. Zakona o radu (NN 93/14)</t>
  </si>
  <si>
    <t xml:space="preserve">izjavljujem da sam </t>
  </si>
  <si>
    <t xml:space="preserve">od poslodavca po izvršenoj odjavi preuzeo slijedeću dokumentaciju:
</t>
  </si>
  <si>
    <t>- Tiskanicu M2P primjerak odjave miroviskog osiguranja</t>
  </si>
  <si>
    <t>- Tiskanicu 1 primjerak odjave zdravstvenog osiguranja</t>
  </si>
  <si>
    <t>- Potvrdu o vrsti posla</t>
  </si>
  <si>
    <t xml:space="preserve">U Osijeku                                                                      </t>
  </si>
  <si>
    <t xml:space="preserve">Temeljem članka 114-115. Zakona o radu (Narodne novine br. 93/14), </t>
  </si>
  <si>
    <t>iz</t>
  </si>
  <si>
    <t>dalje u tekstu „poslodavac“,</t>
  </si>
  <si>
    <t xml:space="preserve"> i</t>
  </si>
  <si>
    <t>, OIB:</t>
  </si>
  <si>
    <t>dalje u tekstu „radnik“ zaključuju ovaj:</t>
  </si>
  <si>
    <t>Odluka o osobno uvjetovanom otkazu Ugovora o radu</t>
  </si>
  <si>
    <t xml:space="preserve">Ugovor o radu na </t>
  </si>
  <si>
    <t xml:space="preserve"> vrijeme zaključen između stranaka </t>
  </si>
  <si>
    <t xml:space="preserve">prestaje vrijediti s danom </t>
  </si>
  <si>
    <t xml:space="preserve">. godine, </t>
  </si>
  <si>
    <t>NA OSOBNI ZAHTJEV RADNIKA</t>
  </si>
  <si>
    <t>Do dana prestanka ugovora o radu radnik ima pravo na plaću u visini određenog Ugovorom o radu.</t>
  </si>
  <si>
    <t xml:space="preserve">Ugovorne strane suglasno utvrđuju da jedna prema drugoj nemaju nikakvih drugih potraživanja </t>
  </si>
  <si>
    <t>koja bi proizlazila iz radnog odnosa zasnovanog Ugovorom o radu.</t>
  </si>
  <si>
    <t xml:space="preserve">Ovaj Sporazum sastavljen je u dva istovjetna primjerka od kojih svaka ugovorna strana zadržava </t>
  </si>
  <si>
    <t>po jedan primjerak.</t>
  </si>
  <si>
    <t>Obrazloženje:</t>
  </si>
  <si>
    <t>Djelatnik otkazuje ugovor o radu iz osobnih razloga</t>
  </si>
  <si>
    <t>Dostaviti:</t>
  </si>
  <si>
    <t>1.      Radniku</t>
  </si>
  <si>
    <t>2.      Računovodstvo</t>
  </si>
  <si>
    <t>3.      Arhiva</t>
  </si>
  <si>
    <t xml:space="preserve">Poslodavac </t>
  </si>
  <si>
    <t xml:space="preserve">Temeljem članka 112. st. 1 toč. 5, i članka 114. Zakona o radu („Narodne novine“ br. 93/14 ), </t>
  </si>
  <si>
    <t>Sporazumni raskid Ugovora o radu</t>
  </si>
  <si>
    <t>Članak 1</t>
  </si>
  <si>
    <t>vrijeme zaključen između stranaka dana</t>
  </si>
  <si>
    <t>prestaje vrijediti s danom</t>
  </si>
  <si>
    <t>. godine.</t>
  </si>
  <si>
    <t>Ugovorne strane suglasno utvrđuju da jedna prema drugoj nemaju nikakvih drugih potraživanja</t>
  </si>
  <si>
    <t>Članak 2</t>
  </si>
  <si>
    <t xml:space="preserve"> koja bi proizlazila iz radnog odnosa zasnovanog Ugovorom o radu.</t>
  </si>
  <si>
    <t xml:space="preserve">Ugovorne strane suglasno utvrđuju da je radnik stekao pravo na srazmjerni dio godišnjeg odmora </t>
  </si>
  <si>
    <t>Članak 3</t>
  </si>
  <si>
    <t>dana, koje će joj biti isplaćene u cijelosti.</t>
  </si>
  <si>
    <t>Članak 4</t>
  </si>
  <si>
    <t xml:space="preserve">Sve eventualne sporove proizašle iz ovog Sporazuma, poslodavac i radnik nastojat će riješiti mirnim </t>
  </si>
  <si>
    <t>putem, u suprotnom nadležan je sud u Osijeku</t>
  </si>
  <si>
    <t>Članak 5</t>
  </si>
  <si>
    <t>Dana</t>
  </si>
  <si>
    <t>Poslovno uvjetovani otkaz Ugovora o radu</t>
  </si>
  <si>
    <t xml:space="preserve">Ugovorne strane suglasno utvrđuju da jedna prema drugoj nemaju nikakvih drugih potraživanja koja bi </t>
  </si>
  <si>
    <t>proizlazila iz radnog odnosa zasnovanog Ugovorom o radu.</t>
  </si>
  <si>
    <t>Ovaj poslovno uvjetovani otkaz  sastavljen je u dva istovjetna primjerka od kojih svaka ugovorna strana</t>
  </si>
  <si>
    <t>zadržava po jedan primjerak.</t>
  </si>
  <si>
    <t>3.      ______________</t>
  </si>
  <si>
    <t>Redovan otkaz Ugovora o radu</t>
  </si>
  <si>
    <t>Temeljem čl. 124 st 2. Zakona o radu (NN br:149/09, 61/11, 82/12, 73/13 i 93/14)</t>
  </si>
  <si>
    <t>Poslodavac izdaje slijedeću</t>
  </si>
  <si>
    <t>POTVRDU</t>
  </si>
  <si>
    <t>o vrsti poslova koje je radnik obavljao u trajanju radnog odnosa</t>
  </si>
  <si>
    <t>1. Radnik/ca</t>
  </si>
  <si>
    <t>je bio/la u radnom</t>
  </si>
  <si>
    <t xml:space="preserve">odnosu kod poslodavca u vremenu od 
</t>
  </si>
  <si>
    <t>do</t>
  </si>
  <si>
    <t>2. Za vrijeme rada kod Poslodavca Radnik/ca je obavljo/la poslove:</t>
  </si>
  <si>
    <t>zastupano po</t>
  </si>
  <si>
    <t>direktoru:</t>
  </si>
  <si>
    <t>donosi</t>
  </si>
  <si>
    <t>radnica</t>
  </si>
  <si>
    <t>Obrazloženje</t>
  </si>
  <si>
    <t>Radnica</t>
  </si>
  <si>
    <t>ističe ugovor o radu</t>
  </si>
  <si>
    <t xml:space="preserve">        *   Poslodavac je suglasan da radnica ne mora odraditi otkazni rok.</t>
  </si>
  <si>
    <t xml:space="preserve">        *   Radnica nije stakla pravo na otpremninu.</t>
  </si>
  <si>
    <t xml:space="preserve">        *   Radnica je stekla pravo na razmjerni dio godišnjeg odmora za 2019. godinu u trajanju od </t>
  </si>
  <si>
    <t xml:space="preserve">             dana. Poslodavac se obveuje isplatiti radnici naknadu za neiskorišteni godišnji odmor.</t>
  </si>
  <si>
    <t xml:space="preserve">             Radni odnos radnice kod ovog poslodavca prestaje zaključno sa </t>
  </si>
  <si>
    <t xml:space="preserve"> godine.</t>
  </si>
  <si>
    <t>Za poslodavca:</t>
  </si>
  <si>
    <t>Direktor:</t>
  </si>
  <si>
    <t>U Osijeku,</t>
  </si>
  <si>
    <t>1.</t>
  </si>
  <si>
    <t>osobno preuzela dana 28.10.2019</t>
  </si>
  <si>
    <t>_______________________</t>
  </si>
  <si>
    <t>2.</t>
  </si>
  <si>
    <t>Knjigovodstvo</t>
  </si>
  <si>
    <t>3.</t>
  </si>
  <si>
    <t>Arhiva</t>
  </si>
  <si>
    <t>direktoru</t>
  </si>
  <si>
    <t>ODLUKU O KORIŠTENJU GODIŠNJEG ODMORA</t>
  </si>
  <si>
    <t>zaposlena na radnom</t>
  </si>
  <si>
    <t xml:space="preserve">     mjestu</t>
  </si>
  <si>
    <t xml:space="preserve">     godinu, koristit će godišnji odmor u trajanju od </t>
  </si>
  <si>
    <t>dana.</t>
  </si>
  <si>
    <t>godine.</t>
  </si>
  <si>
    <t xml:space="preserve">    Ugovoru o radu.</t>
  </si>
  <si>
    <t>Uputa o pravnom lijeku:</t>
  </si>
  <si>
    <t>Protiv ove odluke Radnica može poslodavcu uložiti zahtjev za zaštitu prava u roku od 15 dana od</t>
  </si>
  <si>
    <t>njenog primitka.</t>
  </si>
  <si>
    <t>Data</t>
  </si>
  <si>
    <t>Sum of BRUTO</t>
  </si>
  <si>
    <t>Sum of NETO</t>
  </si>
  <si>
    <t>(blank)</t>
  </si>
  <si>
    <t>Grand Total</t>
  </si>
  <si>
    <t>rb</t>
  </si>
  <si>
    <t>Razdoblje:</t>
  </si>
  <si>
    <t>Ukupno sati u mjesecu</t>
  </si>
  <si>
    <t>treba kopirati</t>
  </si>
  <si>
    <r>
      <rPr>
        <sz val="10"/>
        <rFont val="Arial"/>
        <family val="2"/>
      </rPr>
      <t>5) vrijeme i sati zastoja krivnjom</t>
    </r>
  </si>
  <si>
    <r>
      <rPr>
        <sz val="10"/>
        <rFont val="Arial"/>
        <family val="2"/>
      </rPr>
      <t>6) ukupno dnevno radnovrijeme</t>
    </r>
  </si>
  <si>
    <r>
      <rPr>
        <sz val="10"/>
        <rFont val="Arial"/>
        <family val="2"/>
      </rPr>
      <t>7) vrijeme terenskog rada</t>
    </r>
  </si>
  <si>
    <r>
      <rPr>
        <sz val="10"/>
        <rFont val="Arial"/>
        <family val="2"/>
      </rPr>
      <t>8) vrijeme pripravnosti</t>
    </r>
  </si>
  <si>
    <r>
      <rPr>
        <sz val="10"/>
        <rFont val="Arial Narrow"/>
        <family val="2"/>
      </rPr>
      <t>9) vrijeme nenazočnosti na poslu</t>
    </r>
  </si>
  <si>
    <r>
      <rPr>
        <sz val="10"/>
        <rFont val="Arial Narrow"/>
        <family val="2"/>
      </rPr>
      <t>rad noću</t>
    </r>
  </si>
  <si>
    <t>redovan rad</t>
  </si>
  <si>
    <t>blagdan i neradni dan</t>
  </si>
  <si>
    <r>
      <rPr>
        <sz val="10"/>
        <rFont val="Arial"/>
        <family val="2"/>
      </rPr>
      <t>prekovremeni rad</t>
    </r>
  </si>
  <si>
    <t>UKUPNO</t>
  </si>
  <si>
    <t>DODATAK NA PLAĆU U NETU</t>
  </si>
  <si>
    <t>Bruto</t>
  </si>
  <si>
    <r>
      <rPr>
        <sz val="10"/>
        <rFont val="Arial"/>
        <family val="2"/>
      </rPr>
      <t>dnevni odmor</t>
    </r>
  </si>
  <si>
    <r>
      <rPr>
        <sz val="10"/>
        <rFont val="Arial"/>
        <family val="2"/>
      </rPr>
      <t>tjedni odmor</t>
    </r>
  </si>
  <si>
    <r>
      <rPr>
        <sz val="10"/>
        <rFont val="Arial"/>
        <family val="2"/>
      </rPr>
      <t>godišnji odmor</t>
    </r>
  </si>
  <si>
    <r>
      <rPr>
        <sz val="10"/>
        <rFont val="Arial"/>
        <family val="2"/>
      </rPr>
      <t xml:space="preserve">blagdan
</t>
    </r>
    <r>
      <rPr>
        <sz val="10"/>
        <rFont val="Arial"/>
        <family val="2"/>
      </rPr>
      <t>/neradni dan</t>
    </r>
  </si>
  <si>
    <r>
      <rPr>
        <sz val="10"/>
        <rFont val="Arial"/>
        <family val="2"/>
      </rPr>
      <t>bolovanje</t>
    </r>
  </si>
  <si>
    <r>
      <rPr>
        <sz val="10"/>
        <rFont val="Arial"/>
        <family val="2"/>
      </rPr>
      <t xml:space="preserve">dopust - rodiljni
</t>
    </r>
    <r>
      <rPr>
        <sz val="10"/>
        <rFont val="Arial"/>
        <family val="2"/>
      </rPr>
      <t>/roditeljski</t>
    </r>
  </si>
  <si>
    <r>
      <rPr>
        <sz val="10"/>
        <rFont val="Arial"/>
        <family val="2"/>
      </rPr>
      <t>dr. roditeljska prava</t>
    </r>
  </si>
  <si>
    <r>
      <rPr>
        <sz val="10"/>
        <rFont val="Arial Narrow"/>
        <family val="2"/>
      </rPr>
      <t>plaćeni dopust</t>
    </r>
  </si>
  <si>
    <r>
      <rPr>
        <sz val="10"/>
        <rFont val="Arial"/>
        <family val="2"/>
      </rPr>
      <t>ne</t>
    </r>
    <r>
      <rPr>
        <sz val="10"/>
        <rFont val="Arial Narrow"/>
        <family val="2"/>
      </rPr>
      <t xml:space="preserve">plaćeni </t>
    </r>
    <r>
      <rPr>
        <sz val="10"/>
        <rFont val="Arial"/>
        <family val="2"/>
      </rPr>
      <t>dopust</t>
    </r>
  </si>
  <si>
    <r>
      <rPr>
        <sz val="10"/>
        <rFont val="Arial"/>
        <family val="2"/>
      </rPr>
      <t>po     zahtjevu radnika</t>
    </r>
  </si>
  <si>
    <r>
      <rPr>
        <sz val="10"/>
        <rFont val="Arial"/>
        <family val="2"/>
      </rPr>
      <t>krivnjom radnika</t>
    </r>
  </si>
  <si>
    <r>
      <rPr>
        <sz val="10"/>
        <rFont val="Arial"/>
        <family val="2"/>
      </rPr>
      <t>zbog štrajka</t>
    </r>
  </si>
  <si>
    <r>
      <rPr>
        <sz val="10"/>
        <rFont val="Arial Narrow"/>
        <family val="2"/>
      </rPr>
      <t xml:space="preserve">zbog isključenja
</t>
    </r>
    <r>
      <rPr>
        <sz val="10"/>
        <rFont val="Arial"/>
        <family val="2"/>
      </rPr>
      <t>s rada</t>
    </r>
  </si>
  <si>
    <t>CIPELARINA</t>
  </si>
  <si>
    <t>1</t>
  </si>
  <si>
    <t>Column2</t>
  </si>
  <si>
    <t>Column3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</si>
  <si>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</si>
  <si>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</si>
  <si>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</si>
  <si>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</si>
  <si>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</si>
  <si>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</si>
  <si>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</si>
  <si>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</si>
  <si>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</si>
  <si>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</si>
  <si>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</si>
  <si>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</si>
  <si>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</si>
  <si>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</si>
  <si>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</t>
  </si>
  <si>
    <t>19</t>
  </si>
  <si>
    <t>20</t>
  </si>
  <si>
    <t>21</t>
  </si>
  <si>
    <t>22</t>
  </si>
  <si>
    <t>23</t>
  </si>
  <si>
    <t>24</t>
  </si>
  <si>
    <t>25</t>
  </si>
  <si>
    <t>26</t>
  </si>
  <si>
    <t>262</t>
  </si>
  <si>
    <t>27</t>
  </si>
  <si>
    <t>29</t>
  </si>
  <si>
    <t xml:space="preserve">ukupno: </t>
  </si>
  <si>
    <t>kont</t>
  </si>
  <si>
    <t>WAX D.O.O.
OIB: 46869408875</t>
  </si>
  <si>
    <r>
      <rPr>
        <b/>
        <sz val="11"/>
        <rFont val="Arial"/>
        <family val="2"/>
      </rPr>
      <t>EVIDENCIJA O RADNOM VREMENU RADNIKA</t>
    </r>
  </si>
  <si>
    <t>28</t>
  </si>
  <si>
    <t>HOME PLUS D.O.O.
OIB:18241574410</t>
  </si>
  <si>
    <t>AGRO PMD D.O.O.
OIB: 09677499852</t>
  </si>
  <si>
    <t>01.02.2020</t>
  </si>
  <si>
    <t>29.02.2020</t>
  </si>
  <si>
    <t>,</t>
  </si>
  <si>
    <t xml:space="preserve">DODATAK NA PLAĆU </t>
  </si>
  <si>
    <t>DURA-CONSTRUCT D.O.O
OIB: 67650750782</t>
  </si>
  <si>
    <t>6) ukupno  radnovrijeme</t>
  </si>
  <si>
    <t>SATI RADA TJEDNO</t>
  </si>
  <si>
    <t>PIROŠ ČIZMA D.O.O
 OIB: 96694792087</t>
  </si>
  <si>
    <t>REDOVAN RAD</t>
  </si>
  <si>
    <t>RAD NEDJELJOM</t>
  </si>
  <si>
    <t>RAD BLAGDANOM</t>
  </si>
  <si>
    <t>RAD U II SMJENI</t>
  </si>
  <si>
    <t>GODIŠNJI ODMOR</t>
  </si>
  <si>
    <t>BOŽOČNICA</t>
  </si>
  <si>
    <t>PLAĆA</t>
  </si>
  <si>
    <t xml:space="preserve">MUCI D.O.O.
OIB: </t>
  </si>
  <si>
    <t>HIMEX D.O.O
OIB: '85302237000</t>
  </si>
  <si>
    <t>6) ukupno  radno vrijeme</t>
  </si>
  <si>
    <t>RAD NEDJELJOM OD RED.R.</t>
  </si>
  <si>
    <t>RAD BLAGDANOM - OD RED.R</t>
  </si>
  <si>
    <t>RAD U II SMJENI -OD RED.R.</t>
  </si>
  <si>
    <t>GODIŠNJI ODMOR - OD RED.R.</t>
  </si>
  <si>
    <t>RAD NOĆU - OD RED.R.</t>
  </si>
  <si>
    <t>25.08.2019.</t>
  </si>
  <si>
    <t>MARK MAGOŠ</t>
  </si>
  <si>
    <t>MATEJ ČORNOK</t>
  </si>
  <si>
    <t>ILIRSKA ULICA 49, DARDA</t>
  </si>
  <si>
    <t>HR1823400093233872623</t>
  </si>
  <si>
    <t>02964660</t>
  </si>
  <si>
    <t>04975260</t>
  </si>
  <si>
    <t>Špajz j.d.o.o.</t>
  </si>
  <si>
    <t>Martina Završki</t>
  </si>
  <si>
    <t>04764757</t>
  </si>
  <si>
    <t>Darda</t>
  </si>
  <si>
    <t>Ilirska ulica 53, Darda</t>
  </si>
  <si>
    <t>Matea Čornok</t>
  </si>
  <si>
    <t>HR6123600003248172312</t>
  </si>
  <si>
    <t>Mateja Završki</t>
  </si>
  <si>
    <t>ILIRSKA ULICA 53, DARDA</t>
  </si>
  <si>
    <t>HR4023400093230456469</t>
  </si>
  <si>
    <t>POSLOVOĐA</t>
  </si>
  <si>
    <t>HR2023400093230325491</t>
  </si>
  <si>
    <t>Radnik se obezuje na odrađivanje 2 tjedna otkaznog roka od dana otkazivanja ugovora.</t>
  </si>
  <si>
    <t>HR7423600003220699447</t>
  </si>
  <si>
    <t>MARTINA DIVALTA 181, 31000 OSIJEK</t>
  </si>
  <si>
    <t>2.      Računovodstvu</t>
  </si>
  <si>
    <t>02056335179</t>
  </si>
  <si>
    <t>Čušpajz j.d.o.o.</t>
  </si>
  <si>
    <t>Mirjana Marić</t>
  </si>
  <si>
    <t>POMOĆNI KUHAR</t>
  </si>
  <si>
    <t>MIRNA ULICA 7, 31207 TENJA</t>
  </si>
  <si>
    <t>HR3424020063580204911</t>
  </si>
  <si>
    <t>Count of STATUS</t>
  </si>
  <si>
    <t>Tamara Farkaš</t>
  </si>
  <si>
    <t>HR8223400093219622656</t>
  </si>
  <si>
    <t>Dajana Kovačić</t>
  </si>
  <si>
    <t>Ulica Matije Vlačića 24, 31207 Tenja</t>
  </si>
  <si>
    <t>Dr. Franje Tuđmana 2C, 33000 Beli Manastir</t>
  </si>
  <si>
    <t>HR3923600003247347141</t>
  </si>
  <si>
    <t>ISTEKA OTKAZA UGOVORA O RADU</t>
  </si>
  <si>
    <t>dalje u tekstu „radnik“ zaključuju ovu:</t>
  </si>
  <si>
    <t>od poslodavca primio odluku o poslovno uvjetovanom otkazu ugovora o radu, sklopljenog</t>
  </si>
  <si>
    <t>U skladu s čl. 122. Zakona o radu, otkazni rok iznosi mjesec dana.</t>
  </si>
  <si>
    <t xml:space="preserve">Ovime izjavljujem da </t>
  </si>
  <si>
    <t xml:space="preserve">se u cijelosti odričem otpremnine koja mi pripada u skladu s čl. 126. </t>
  </si>
  <si>
    <t>Zakona o radu (Nar. Nov., br. 93/14., 127/17. i 98/19.).</t>
  </si>
  <si>
    <t>IZJAVA O ODRICANJU OD OTPREMNINE</t>
  </si>
  <si>
    <t>Ovime izjavljujem da se u cijelosti odričem otkaznog roka koji mi pripada</t>
  </si>
  <si>
    <t>u skladu s čl. 122.</t>
  </si>
  <si>
    <t>Zakona o radu (Nar. Nov., br. 93/14., 127/17. i 98/19.) te sam suglasan</t>
  </si>
  <si>
    <t xml:space="preserve">da me poslodavac odjavi s mirovinskog i zdravstvenog osiguranja s danom </t>
  </si>
  <si>
    <t>IZJAVA O ODRICANJU OD OTKAZNOG ROKA</t>
  </si>
  <si>
    <t>HR-DRONE d.o.o.</t>
  </si>
  <si>
    <t>ZSOLT JÓZSEF BARKÓCZI</t>
  </si>
  <si>
    <t>04705157</t>
  </si>
  <si>
    <t>Bilje</t>
  </si>
  <si>
    <t>Kralja Zvonimira 61, Bilje</t>
  </si>
  <si>
    <t>Kralja Zvonimira 61, 31327 Bilje</t>
  </si>
  <si>
    <t>Komercijalista</t>
  </si>
  <si>
    <t>HU10402159-50526685-71521007</t>
  </si>
  <si>
    <t>Osječka 53, Josipovac</t>
  </si>
  <si>
    <t>Ana Glavota</t>
  </si>
  <si>
    <t>05212178956</t>
  </si>
  <si>
    <t>JOSIPA KOZARCA 59B, 31220 Višnjevac</t>
  </si>
  <si>
    <t>HR69 23600003220874913, HR43 23600003510288849</t>
  </si>
  <si>
    <t>Matea Pavlović</t>
  </si>
  <si>
    <t>Kolodvorska 43, 31224 Koška</t>
  </si>
  <si>
    <t>HR1123400093232257796</t>
  </si>
  <si>
    <t>Ova odluka o otkazu ugovora o radu sastavljena je u dva istovjetna primjerka od kojih svaka ugovorna strana</t>
  </si>
  <si>
    <t>Ivana Anđelić</t>
  </si>
  <si>
    <t>Osječka 136, Josipovac</t>
  </si>
  <si>
    <t>HR5323600003248624379</t>
  </si>
  <si>
    <t>SAZOL TRANS j.d.o.o.</t>
  </si>
  <si>
    <t>Darinka Huber</t>
  </si>
  <si>
    <t>05166713</t>
  </si>
  <si>
    <t>DUBOŠEVICA, DRAŽ, ALOJZIJE STEPINCA 64</t>
  </si>
  <si>
    <t>SREDNJA ŠKOLA BELI MANASTIR</t>
  </si>
  <si>
    <t>FRIZER</t>
  </si>
  <si>
    <t>HR8723400093211756642</t>
  </si>
  <si>
    <t>BELI MANASTIR</t>
  </si>
  <si>
    <t>MILICA PJANIĆ</t>
  </si>
  <si>
    <t>OSJEČKA UL 178, BELI MANASTIR</t>
  </si>
  <si>
    <t>OSNOVNA ŠKOLA BELI MANASTIR</t>
  </si>
  <si>
    <t>HR5123400093230488281</t>
  </si>
  <si>
    <t>MARIJA MIHAJLOVIĆ</t>
  </si>
  <si>
    <t>KRALJA PETRA SVAČIĆA 22, BELI MANASTIR</t>
  </si>
  <si>
    <t>OSNOVNA ŠKOLA BM</t>
  </si>
  <si>
    <t>HR6323400093208915653</t>
  </si>
  <si>
    <t>ZAJEC DALIBOR</t>
  </si>
  <si>
    <t>VLADIMIRA NAZORA 63, BELI MANASTIR</t>
  </si>
  <si>
    <t>GIMNAZIJA BELI MANASTIR</t>
  </si>
  <si>
    <t>GIMNAZIJA</t>
  </si>
  <si>
    <t>HR8723400093210254985</t>
  </si>
  <si>
    <t>BOŠKOVIĆ INES</t>
  </si>
  <si>
    <t>KRALJA ZVONIMIRA 174, ČEPIN</t>
  </si>
  <si>
    <t>TRGOVAC</t>
  </si>
  <si>
    <t>Barbara Oreč</t>
  </si>
  <si>
    <t>HR2924070003237409257</t>
  </si>
  <si>
    <t>PAHERT  ANAMARIJA</t>
  </si>
  <si>
    <t>DARINKA HUBER</t>
  </si>
  <si>
    <t>HR1024070003205827563</t>
  </si>
  <si>
    <t>ANTONIO ELTER</t>
  </si>
  <si>
    <t>KAPELSKA ULICA 98, 31000 OSIJEK</t>
  </si>
  <si>
    <t>HR5823600003246189492</t>
  </si>
  <si>
    <t>FLORIJAN VENER</t>
  </si>
  <si>
    <t>RAKOVA 1, ZMAJEVAC</t>
  </si>
  <si>
    <t>HR0525000093206506272</t>
  </si>
  <si>
    <t>Otkaz uvjetovan nezadovoljavanjem uvjeta na probnom radu</t>
  </si>
  <si>
    <t>PATRICK PEROŠEVIĆ</t>
  </si>
  <si>
    <t>VLADIMIRA NAZORA 12, BIZOVAC</t>
  </si>
  <si>
    <t>HR1923400093230764046</t>
  </si>
  <si>
    <t>KLEPAC MIA</t>
  </si>
  <si>
    <t>Školska 52, 31300 Beli Manastir</t>
  </si>
  <si>
    <t>HR5523600003247539689</t>
  </si>
  <si>
    <t xml:space="preserve">Sum of RADI OD </t>
  </si>
  <si>
    <t>Sum of RADI DO</t>
  </si>
  <si>
    <t>MARIO POLJAKOVIĆ</t>
  </si>
  <si>
    <t>KARDINALA A. STEPINCA 23, 31431 ČEPIN</t>
  </si>
  <si>
    <t>HR1125000093206320021</t>
  </si>
  <si>
    <t>FILIP JELČIĆ</t>
  </si>
  <si>
    <t>J.J. STROSSMAYERA 217. 3100 OSIJEK</t>
  </si>
  <si>
    <t>HR0823600003246067299</t>
  </si>
  <si>
    <t>MARTINA JOVIĆ</t>
  </si>
  <si>
    <t>KRALJA TOMISLAVA 182B, VUKOJEVCI</t>
  </si>
  <si>
    <t>HR5523400093218960050</t>
  </si>
  <si>
    <t>SANJA KOVAČEVIĆ</t>
  </si>
  <si>
    <t>BRAĆE RADIĆA 59, KRŠINCI, PODGORAČ</t>
  </si>
  <si>
    <t>HR4024070003205331256, HR8024070003530385005</t>
  </si>
  <si>
    <t>SANJA KLJUČIĆ</t>
  </si>
  <si>
    <t>BRAĆE RADIĆA 11, KELEŠINKA</t>
  </si>
  <si>
    <t>HR3023400093209687300</t>
  </si>
  <si>
    <t>MARIO CVETKOVIĆ</t>
  </si>
  <si>
    <t>NATAŠA BLAGOJEVIĆ</t>
  </si>
  <si>
    <t>NEDELJKA KOJIĆ</t>
  </si>
  <si>
    <t>ALOJZIJA STEPINCA 13, 31300 BELI MANASTIR</t>
  </si>
  <si>
    <t>HR3625000093207236900</t>
  </si>
  <si>
    <t>VLATKA STANIĆ</t>
  </si>
  <si>
    <t>ZRINSKO FRANKOPANSKA 29, VALPOVO</t>
  </si>
  <si>
    <t>HR3425000093200430737</t>
  </si>
  <si>
    <t>NOVI SAD</t>
  </si>
  <si>
    <t>SRPSKO</t>
  </si>
  <si>
    <t>P. ŠANDORA 43, KNEŽEVI VINOGRADI</t>
  </si>
  <si>
    <t>ZRENJANIN</t>
  </si>
  <si>
    <t>IVANA BABIĆ</t>
  </si>
  <si>
    <t>TINA UJEVIĆ 37, VALPOVO</t>
  </si>
  <si>
    <t>HR4723400093215260323</t>
  </si>
  <si>
    <t>HRVOJE ŠTADLER</t>
  </si>
  <si>
    <t>08780129474</t>
  </si>
  <si>
    <t>BRAČKA ULICA 7, BELI MANASTIR</t>
  </si>
  <si>
    <t>HR1223400093234647664</t>
  </si>
  <si>
    <t>KAROLINA GRUBIĆ</t>
  </si>
  <si>
    <t>IVANA GALINICA-CICE 32, POPOVAC</t>
  </si>
  <si>
    <t>HR6723400093234651718</t>
  </si>
  <si>
    <t>IGOR MILETIĆ</t>
  </si>
  <si>
    <t>NIKOLE TESLE 36, BELI MANASTIR</t>
  </si>
  <si>
    <t>HR3423400093233087217</t>
  </si>
  <si>
    <t>MATIJA DRGALIĆ</t>
  </si>
  <si>
    <t>PLANINSKA 73, BELI MANASTIR</t>
  </si>
  <si>
    <t>HR8023900013221785725</t>
  </si>
  <si>
    <t>ANA KOVAČ</t>
  </si>
  <si>
    <t>SVETOG KRIŽA 23, BRANJIN VRH</t>
  </si>
  <si>
    <t>HR6323900013217670903</t>
  </si>
  <si>
    <t>LJILJANA ČUBRA</t>
  </si>
  <si>
    <t>KOLODVORSKA 44, KARANAC</t>
  </si>
  <si>
    <t>HR9323400093510823442</t>
  </si>
  <si>
    <t>MELITA ŠTEKOVIĆ</t>
  </si>
  <si>
    <t>02700566038</t>
  </si>
  <si>
    <t>PLANINSKA 24E, BELI MANASTIR</t>
  </si>
  <si>
    <t>HR2025000093207257946</t>
  </si>
  <si>
    <t>MARIJA MIGLES</t>
  </si>
  <si>
    <t>ANTE KOVAČIĆA 4, BRANJIN VRH</t>
  </si>
  <si>
    <t>HR0923400093230212975</t>
  </si>
  <si>
    <t>VLADIMIRA NAZORA 77, PETLOVAC</t>
  </si>
  <si>
    <t>HR0423400093234650524</t>
  </si>
  <si>
    <t>JUSTI LOVAK SKELEDŽIJA</t>
  </si>
  <si>
    <t>PETRA PRERADOVIĆA 56, BELI MANASTIR</t>
  </si>
  <si>
    <t>HR4423400093207931542</t>
  </si>
  <si>
    <t>ANTO MIHAJLOVIĆ</t>
  </si>
  <si>
    <t>HR3723400093211589538</t>
  </si>
  <si>
    <t>MAJA JOVANOVIĆ</t>
  </si>
  <si>
    <t>KOLODVORSKI 47, KARANAC</t>
  </si>
  <si>
    <t>HR3123400093214470643</t>
  </si>
  <si>
    <t>MELITA STANIĆ</t>
  </si>
  <si>
    <t>05876397989</t>
  </si>
  <si>
    <t>MIRKOVAC 9, MIRKOVAC</t>
  </si>
  <si>
    <t>HR4523600003510561868</t>
  </si>
  <si>
    <t>ULICA ANTUNA BARCA 21, TENJA</t>
  </si>
  <si>
    <t>HR1023400093233026442</t>
  </si>
  <si>
    <t>ANTE TOMAS</t>
  </si>
  <si>
    <t>VRATNIČKA ULICA 3, OSIJEK</t>
  </si>
  <si>
    <t>HR2625000093206704841</t>
  </si>
  <si>
    <t>HR4623400093234617952</t>
  </si>
  <si>
    <t>HR2523400093234672553</t>
  </si>
  <si>
    <t>MARINELA GREGANIĆ</t>
  </si>
  <si>
    <t>ULICA VATROSLAVA LISINSKOG 19, VIŠNJEVAC</t>
  </si>
  <si>
    <t>HR8523400093231527121</t>
  </si>
  <si>
    <t>GORANA RAKIĆ</t>
  </si>
  <si>
    <t>KRALJA ZVONIMIRA 77, BELI MANASTIR</t>
  </si>
  <si>
    <t>HR7823400093218728000</t>
  </si>
  <si>
    <t>TIHANA MARTIN</t>
  </si>
  <si>
    <t>ŠKOLSKA 12, PETLOVAC</t>
  </si>
  <si>
    <t>HR9723400093230922595</t>
  </si>
  <si>
    <t>ANA PREVIŠIĆ</t>
  </si>
  <si>
    <t>HR1423400093220088801</t>
  </si>
  <si>
    <t>Knjigovođa</t>
  </si>
  <si>
    <t>TATJANA JOVANOVIĆ</t>
  </si>
  <si>
    <t>PARAČIN</t>
  </si>
  <si>
    <t>UL. SV. MARTINA 8, BELI MANASTIR</t>
  </si>
  <si>
    <t>RADIVOJE PAJOVIĆ</t>
  </si>
  <si>
    <t>SUBOTICA</t>
  </si>
  <si>
    <t>ALEKSANDAR TATOMIROV</t>
  </si>
  <si>
    <t>KIKINDA</t>
  </si>
  <si>
    <t>MIROSLAV PECARSKI</t>
  </si>
  <si>
    <t>ANA JOZIĆ</t>
  </si>
  <si>
    <t>03924299709</t>
  </si>
  <si>
    <t>Luke Botić 26, Tenja</t>
  </si>
  <si>
    <t>HR3023400093218531760</t>
  </si>
  <si>
    <t>TANJA TOMŠIĆ</t>
  </si>
  <si>
    <t>15.10.2020</t>
  </si>
  <si>
    <t>19.12.1990</t>
  </si>
  <si>
    <t>MATIJE GUPCA 7, LUČ, PETLOVAC</t>
  </si>
  <si>
    <t>HR1123400093213162473</t>
  </si>
  <si>
    <t>HR2923400093234709438</t>
  </si>
  <si>
    <t>HR3423400093234708960</t>
  </si>
  <si>
    <t>HR6423400093234709487</t>
  </si>
  <si>
    <t>HR1623400093234709575</t>
  </si>
  <si>
    <t>12 mjeseci</t>
  </si>
  <si>
    <t>2. Poslodavac će iskoristiti pravo korištenja oslobođenja na plaćanje doprinosa.</t>
  </si>
  <si>
    <t xml:space="preserve">3. Poslodavac će ispalćivati plaću za predhodni mjesec, dodatak na plaću sukladno Zakonu o rad, te naknade </t>
  </si>
  <si>
    <t>4. Uz plaću navedenu u točki II.1. ovog ugovora Radniku pripada i stimulativni dio plaće prema odluci poslodavca.</t>
  </si>
  <si>
    <t>5. Radnik ima pravo na povećanje plaće za</t>
  </si>
  <si>
    <t>IVANA GUNDULIĆA 28, OSIJEK</t>
  </si>
  <si>
    <t>VLADIMIR CINDRIĆ</t>
  </si>
  <si>
    <t>BRANKA RADIČEVIĆA 3</t>
  </si>
  <si>
    <t>Stručnjak zaštite na radu</t>
  </si>
  <si>
    <t>HR9625000093221321675</t>
  </si>
  <si>
    <r>
      <t>UGOVOR O RADU</t>
    </r>
    <r>
      <rPr>
        <sz val="12"/>
        <color indexed="8"/>
        <rFont val="Times New Roman"/>
        <family val="1"/>
        <charset val="238"/>
      </rPr>
      <t xml:space="preserve">  </t>
    </r>
  </si>
  <si>
    <t>NA NEODREĐENO VRIJEME S DOPUNSKIM NEPUNIM RADNIM VREMENOM</t>
  </si>
  <si>
    <t>/</t>
  </si>
  <si>
    <t>Ivana Gundulića 28</t>
  </si>
  <si>
    <r>
      <t xml:space="preserve">5. Radnik počinje s radom </t>
    </r>
    <r>
      <rPr>
        <b/>
        <u/>
        <sz val="12"/>
        <color indexed="8"/>
        <rFont val="Times New Roman"/>
        <family val="1"/>
        <charset val="238"/>
      </rPr>
      <t/>
    </r>
  </si>
  <si>
    <t>3. U tijeku rada radnik nema pravo koristiti dnevni odmor (stanku).</t>
  </si>
  <si>
    <t>DOPUNSKOM NEPUNOM</t>
  </si>
  <si>
    <t>sati mjesečno.</t>
  </si>
  <si>
    <r>
      <t xml:space="preserve">1. Ovaj Ugovor </t>
    </r>
    <r>
      <rPr>
        <b/>
        <sz val="12"/>
        <color indexed="8"/>
        <rFont val="Times New Roman"/>
        <family val="1"/>
        <charset val="238"/>
      </rPr>
      <t xml:space="preserve">mogu – </t>
    </r>
    <r>
      <rPr>
        <b/>
        <strike/>
        <sz val="12"/>
        <color indexed="8"/>
        <rFont val="Times New Roman"/>
        <family val="1"/>
        <charset val="238"/>
      </rPr>
      <t>ne mogu</t>
    </r>
    <r>
      <rPr>
        <sz val="12"/>
        <color indexed="8"/>
        <rFont val="Times New Roman"/>
        <family val="1"/>
        <charset val="238"/>
      </rPr>
      <t xml:space="preserve"> redovito otkazati i Poslodavac i Radnik pod uvjetima propisanim zakonom.</t>
    </r>
  </si>
  <si>
    <t>2. U slučaju otkazivanja ovog Ugovora, ne primjenjuje se otkazni rok.</t>
  </si>
  <si>
    <t>GÁBOR ISTVÁN JENEI</t>
  </si>
  <si>
    <t>EGYENLŐSÉG UTCA 42/2</t>
  </si>
  <si>
    <t>DANIJELA ROGULJA</t>
  </si>
  <si>
    <t>PODRAVSKA 2, OSIJEK</t>
  </si>
  <si>
    <t>HR9823600003239272381</t>
  </si>
  <si>
    <t>DRAGICA PAVKOVIĆ</t>
  </si>
  <si>
    <t>VLADIMIRA NAZORA 77, LUČ</t>
  </si>
  <si>
    <t>HR1025000093220721435</t>
  </si>
  <si>
    <t>TANJA JOŽEF BOBETA</t>
  </si>
  <si>
    <t>SJENJAK 13, OSIJEK</t>
  </si>
  <si>
    <t>HR2123600003234506411</t>
  </si>
  <si>
    <t>MILANA TERZIĆ</t>
  </si>
  <si>
    <t>JOSIPA PANČIĆA 39, BELI MANASTIR</t>
  </si>
  <si>
    <t>HR3823900013221234842</t>
  </si>
  <si>
    <t>LEONOS j.d.o.o.</t>
  </si>
  <si>
    <t>06914228422</t>
  </si>
  <si>
    <t>Valentin Varga</t>
  </si>
  <si>
    <t>05279496</t>
  </si>
  <si>
    <t>VALENTIN VARGA</t>
  </si>
  <si>
    <t>HRVATSKE VOJSKE 8, BILJE</t>
  </si>
  <si>
    <t>HR0423400093233917010</t>
  </si>
  <si>
    <t>BARBARA PAVKOVIĆ</t>
  </si>
  <si>
    <t>Radnik :</t>
  </si>
  <si>
    <t>Potvrđujem da sam Odluku primio dana:</t>
  </si>
  <si>
    <t xml:space="preserve">Za poslodavca: </t>
  </si>
  <si>
    <t>(sukladno članku 122. stavka 1. točka 1. Zakona o radu).</t>
  </si>
  <si>
    <t xml:space="preserve">S obzirom na neprekidan rad kod Poslodavca, otkazni rok iznosi </t>
  </si>
  <si>
    <t xml:space="preserve">        Pri odlučivanju o otkazu Poslodavac je imao u vidu trajanje radnog odnosa, životnu dob i obveze uzdržavanja koje terete Radnika, te svim drugim obvezama propisanim čl. 115. Zakona o radu.</t>
  </si>
  <si>
    <t xml:space="preserve">          Ne postoji mogućnost zapošljavanja Radnika na nekim drugim poslovima, niti postoji mogućnost osposobljavanja ili obrazovanja Radnika za rad na drugim radnim mjestima.</t>
  </si>
  <si>
    <t xml:space="preserve">              Kod Poslodavca je došlo do bitnog smanjenja opsega poslova, što se izravno odrazilo i na potrebu za obavljanjem poslova koje radnik obavljao, slijedom čega je prestala potreba za obavljanjem poslova radnog mjesta koje Radnik obavlja.</t>
  </si>
  <si>
    <t xml:space="preserve"> Ugovor se može redovito otkazati.</t>
  </si>
  <si>
    <t xml:space="preserve">opisane u čl. 3. navedenog ugovora. </t>
  </si>
  <si>
    <t>sukladno kojem je obavljao poslove</t>
  </si>
  <si>
    <t>vrijeme kod Poslodavca od dana</t>
  </si>
  <si>
    <r>
      <t xml:space="preserve">Radnik je u radnom odnosu temeljem važećeg Ugovora o radu na </t>
    </r>
    <r>
      <rPr>
        <b/>
        <sz val="12"/>
        <color rgb="FFC9211E"/>
        <rFont val="Times New Roman"/>
        <family val="1"/>
        <charset val="238"/>
      </rPr>
      <t/>
    </r>
  </si>
  <si>
    <t>čl. 121. i 122. zakona o radu dana</t>
  </si>
  <si>
    <t xml:space="preserve">Ugovor o radu naveden u točki 1. ove Odluke prestaje istekom otkaznog roka sukladno </t>
  </si>
  <si>
    <t>sklopljen dana</t>
  </si>
  <si>
    <t>vrijeme</t>
  </si>
  <si>
    <t xml:space="preserve">, otkazuje se Ugovor o radu na </t>
  </si>
  <si>
    <t>( u daljnem tekstu Radnik), zaposlen na poslovima radnog mjesta</t>
  </si>
  <si>
    <t>Radniku</t>
  </si>
  <si>
    <t>ODLUKU O OTKAZU  UGOVORA O RADU</t>
  </si>
  <si>
    <t xml:space="preserve">donosi slijedeću </t>
  </si>
  <si>
    <t xml:space="preserve">dana: </t>
  </si>
  <si>
    <t xml:space="preserve">Na temeljem članka 112 i 115. Zakona o radu (Narodne novine br. 93/14, 127/17, 98/19) </t>
  </si>
  <si>
    <t>J.J.STROSSMAJERA 151, Osijek</t>
  </si>
  <si>
    <t>Osječka 16A, 31300 Beli Manastir</t>
  </si>
  <si>
    <t>Vital Group d.o.o.</t>
  </si>
  <si>
    <t>Balázs Kulcsár</t>
  </si>
  <si>
    <t>05346835</t>
  </si>
  <si>
    <t>Martina Divalta 168,Osijek</t>
  </si>
  <si>
    <t>sss</t>
  </si>
  <si>
    <t>Mlinska 100, Osijek</t>
  </si>
  <si>
    <t>ŠANDORA PETEFIJA 57,ZMAJEVAC</t>
  </si>
  <si>
    <t>VINOGRADSKA 11,BRANJIN VRH</t>
  </si>
  <si>
    <t>PETEFI ŠANDORA 43, KNEŽEVI VINOGRADI</t>
  </si>
  <si>
    <t>UL.MATIJE VLAČIĆA 24, TENJA</t>
  </si>
  <si>
    <t>HR83 24840083235724467</t>
  </si>
  <si>
    <t>HR90 23900013220829125</t>
  </si>
  <si>
    <t xml:space="preserve">HR79 23400093219299118 </t>
  </si>
  <si>
    <t xml:space="preserve">HR64 23400093205095678 </t>
  </si>
  <si>
    <t xml:space="preserve">HR16 23600003248158378 </t>
  </si>
  <si>
    <t xml:space="preserve">HR67 25000093220890935 </t>
  </si>
  <si>
    <t xml:space="preserve">HR55 24840083229977236 </t>
  </si>
  <si>
    <t xml:space="preserve">HR30 25000093205334450 </t>
  </si>
  <si>
    <t xml:space="preserve">HR17 23400093230367255 </t>
  </si>
  <si>
    <t xml:space="preserve">HR53 23900013291005896 </t>
  </si>
  <si>
    <t xml:space="preserve">HR39 23400093219252502 </t>
  </si>
  <si>
    <t xml:space="preserve">HR52 23400093215341422 </t>
  </si>
  <si>
    <t xml:space="preserve">HR70 23600003243801815 </t>
  </si>
  <si>
    <t xml:space="preserve">HR93 23400093214209858 </t>
  </si>
  <si>
    <t xml:space="preserve">HR39 23600003247347141 </t>
  </si>
  <si>
    <t>HR77 24020063206518524</t>
  </si>
  <si>
    <t>Marijeta Poljarević</t>
  </si>
  <si>
    <t>HR6125000093206606047</t>
  </si>
  <si>
    <t>Kristina Tot Komendanović</t>
  </si>
  <si>
    <t>Smilja Devetak</t>
  </si>
  <si>
    <t>Dr. Franje Tuđmana 14, Beli Manastir</t>
  </si>
  <si>
    <t>HR4025000091102013430, HR8923900013505956472</t>
  </si>
  <si>
    <t>HR6124020063203447404, HR2324020063580284358</t>
  </si>
  <si>
    <t>Mirta Đerđ</t>
  </si>
  <si>
    <t>Tatjana Bogdanović</t>
  </si>
  <si>
    <t>Dunavska 5, Osijek</t>
  </si>
  <si>
    <t>04320772518</t>
  </si>
  <si>
    <t>Martina Jukić</t>
  </si>
  <si>
    <t>Višnjevac</t>
  </si>
  <si>
    <t>J. Pannoniousa 9, Branjin Vrh</t>
  </si>
  <si>
    <t>Školska 52, Beli Manastir</t>
  </si>
  <si>
    <t>Vlašička 5, Osijek</t>
  </si>
  <si>
    <t>DAZOL TRANS d.o.o.</t>
  </si>
  <si>
    <t>Zoltán Károly Sinkovits</t>
  </si>
  <si>
    <t>05107261</t>
  </si>
  <si>
    <t>Cankarova ulica 1</t>
  </si>
  <si>
    <t>Karolina Čeh</t>
  </si>
  <si>
    <t>Brigita Deže</t>
  </si>
  <si>
    <t>Srednja 36, Batina</t>
  </si>
  <si>
    <t>Administrativni službenik</t>
  </si>
  <si>
    <t>HR0223400093212695386</t>
  </si>
  <si>
    <t>Đure Đakovića 10, Darda</t>
  </si>
  <si>
    <t>Doran031 j.d.o.o.</t>
  </si>
  <si>
    <t>Gyula Kovács</t>
  </si>
  <si>
    <t>05323835</t>
  </si>
  <si>
    <t>Bukurešt</t>
  </si>
  <si>
    <t>RUMUNJSKO</t>
  </si>
  <si>
    <t>MARGHITA, Jud. Bihor 254</t>
  </si>
  <si>
    <t>Direktor</t>
  </si>
  <si>
    <t>nema</t>
  </si>
  <si>
    <t>06024223998</t>
  </si>
  <si>
    <t>Maršala Tita 129</t>
  </si>
  <si>
    <t>Ne</t>
  </si>
  <si>
    <t>HR8123400093219290740</t>
  </si>
  <si>
    <t>Hot Gadget j.d.o.o.</t>
  </si>
  <si>
    <t>Zsofi Kovacs</t>
  </si>
  <si>
    <t>05210020</t>
  </si>
  <si>
    <t>Ružina 41</t>
  </si>
  <si>
    <t>Marghita</t>
  </si>
  <si>
    <t>Jud.BH Sat.Albis</t>
  </si>
  <si>
    <t>HR42 24840083236784639</t>
  </si>
  <si>
    <t>Vital Group d.o.o
OIB:45575918003</t>
  </si>
  <si>
    <t>Marko Baban</t>
  </si>
  <si>
    <t>HR5523600003240196886</t>
  </si>
  <si>
    <t>Kristijan Trusk</t>
  </si>
  <si>
    <t>Kralja Dmitra Zvonimira 3</t>
  </si>
  <si>
    <t>Skladištar</t>
  </si>
  <si>
    <t>HR4023400093214011768</t>
  </si>
  <si>
    <t>Danijela Dubravac Baban</t>
  </si>
  <si>
    <t>HR3725030073201938795</t>
  </si>
  <si>
    <t>Marin Risek</t>
  </si>
  <si>
    <t>Gorica 27, 31540 Donji Miholjac</t>
  </si>
  <si>
    <t>Pomoćni skladištar</t>
  </si>
  <si>
    <t>HR3223400093234467854</t>
  </si>
  <si>
    <t>Tristan Rajčić</t>
  </si>
  <si>
    <t>Pašmanska 3, Osijek</t>
  </si>
  <si>
    <t>HR2125000093206083452</t>
  </si>
  <si>
    <t>Iva Huiber</t>
  </si>
  <si>
    <t>Mirna ulica 7, 31214 Laslovo</t>
  </si>
  <si>
    <t>Predrag Krička</t>
  </si>
  <si>
    <t>Zeleno polje 12, Osijek</t>
  </si>
  <si>
    <t>Vladimira Nazora 30, 31214 Laslovo</t>
  </si>
  <si>
    <t>Ulica Ivana Gorana Kovačića 5, Osijek</t>
  </si>
  <si>
    <t>HR7523900013200063538</t>
  </si>
  <si>
    <t>HR75 23600003239233122</t>
  </si>
  <si>
    <t>Danijela Rogulja</t>
  </si>
  <si>
    <t>Podravska 2, Osijek</t>
  </si>
  <si>
    <t>Iva Pušić</t>
  </si>
  <si>
    <t>Kardinala Alojzija Stepinca 82, Bizovac</t>
  </si>
  <si>
    <t>HR1123400093211588939</t>
  </si>
  <si>
    <t>Denis Sušenka</t>
  </si>
  <si>
    <t>Kralja Tomislava 74A, Čepin</t>
  </si>
  <si>
    <t>HR6925000093206514432</t>
  </si>
  <si>
    <t>Senka Jarić</t>
  </si>
  <si>
    <t>07249139649</t>
  </si>
  <si>
    <t>Vilajska 24, Osijek</t>
  </si>
  <si>
    <t>te počinje u 15:30 i završava u 16:30 sati. Ili možda svaka druga subota od 8 do 12 sati.</t>
  </si>
  <si>
    <t xml:space="preserve">2. Radno vrijeme određuje se nakon nakon redovnog radnog vremena, </t>
  </si>
  <si>
    <t>4. Mjesto rada radnika je u</t>
  </si>
  <si>
    <t>OSIJEKU I BELOM MANASTIRU</t>
  </si>
  <si>
    <t>Vladimir Cindrić</t>
  </si>
  <si>
    <t>Mario Solina</t>
  </si>
  <si>
    <t>Stjepana Radića 123, 31431 Čepin</t>
  </si>
  <si>
    <t>HR7625000093204017720</t>
  </si>
  <si>
    <t>Mirjana Mandić</t>
  </si>
  <si>
    <t>Vlašička 50, Osijek</t>
  </si>
  <si>
    <t>HR6424840083223873931</t>
  </si>
  <si>
    <t>MAGYAR VIZEPITO zrt.</t>
  </si>
  <si>
    <t>Kristof Nobilis</t>
  </si>
  <si>
    <t>RUMBACH SEBESTYEN, 0015, 1075</t>
  </si>
  <si>
    <t>Budimpešta</t>
  </si>
  <si>
    <t>VODITELJ GRADILIŠTA</t>
  </si>
  <si>
    <t>RIJEKA</t>
  </si>
  <si>
    <t>LEONID HOLJAR</t>
  </si>
  <si>
    <t>Put Braće Hanovića 20, 51414 Oprić Ičići</t>
  </si>
  <si>
    <t>HR2724020063203509611</t>
  </si>
  <si>
    <t>Karmela Božičević</t>
  </si>
  <si>
    <t>Ulica sv. Roka 52, Osijek</t>
  </si>
  <si>
    <t>HR6123600003239542319</t>
  </si>
  <si>
    <t>Jana Šenhof</t>
  </si>
  <si>
    <t>Katarina Kundid</t>
  </si>
  <si>
    <t>Bruno Perica</t>
  </si>
  <si>
    <t>Kolodvorska 100, Nijemci</t>
  </si>
  <si>
    <t>HR2223400093233768858</t>
  </si>
  <si>
    <t>Aleksandra Kim</t>
  </si>
  <si>
    <t>Umaška 17, Osijek</t>
  </si>
  <si>
    <t>HR1825000093205371235</t>
  </si>
  <si>
    <t>Ivan Vidaković</t>
  </si>
  <si>
    <t>Kralja Tomislava 11, Brođanci</t>
  </si>
  <si>
    <t>HR6123400093231399707, HR3723400093510746365</t>
  </si>
  <si>
    <t>Logo Puž j.d.o.o.</t>
  </si>
  <si>
    <t>Marija Baković</t>
  </si>
  <si>
    <t>XIV. Trokut 8D</t>
  </si>
  <si>
    <t>05460832</t>
  </si>
  <si>
    <t>04477668092</t>
  </si>
  <si>
    <t>Irena Klobučar</t>
  </si>
  <si>
    <t>HR7323400093235376588</t>
  </si>
  <si>
    <t>Ivana Betlehem</t>
  </si>
  <si>
    <t>Ulica Franje Jungerta 30, Josipovac</t>
  </si>
  <si>
    <t>HR5423400093235250927</t>
  </si>
  <si>
    <t>VR consulting</t>
  </si>
  <si>
    <t>Robert Verebi</t>
  </si>
  <si>
    <t>04572823</t>
  </si>
  <si>
    <t>M.R. Štefanika 1221/60, Slovačka</t>
  </si>
  <si>
    <t>Luka Grabić</t>
  </si>
  <si>
    <t>Vladimira Nazora 32, Čepinski Martinci</t>
  </si>
  <si>
    <t>HR26 23400093235473755</t>
  </si>
  <si>
    <t xml:space="preserve">U Osijeku , dana   </t>
  </si>
  <si>
    <t>Bićanić Damir</t>
  </si>
  <si>
    <t>HR86 24070003207063042</t>
  </si>
  <si>
    <t>Vijenac Petrove Gore 3, Osijek</t>
  </si>
  <si>
    <t>Gornjodravska obala 80, Osijek</t>
  </si>
  <si>
    <t>HR1425000093206910503</t>
  </si>
  <si>
    <t>Sara Mršo</t>
  </si>
  <si>
    <t>Danijela Judi</t>
  </si>
  <si>
    <t>Porečka 20, Osijek</t>
  </si>
  <si>
    <t>HR8725000093206019893</t>
  </si>
  <si>
    <t>Antonela Pavlić</t>
  </si>
  <si>
    <t>00788868224</t>
  </si>
  <si>
    <t>Kneza Branimira 45, Bilje</t>
  </si>
  <si>
    <t>HR0524020063210582374</t>
  </si>
  <si>
    <t>Žumberačka ulica 66, Osijek</t>
  </si>
  <si>
    <t>Vaseljena Aleksander</t>
  </si>
  <si>
    <t>Dr. Franje Tuđmana 10, Laslovo</t>
  </si>
  <si>
    <t>HR03242840083213018110</t>
  </si>
  <si>
    <t xml:space="preserve">odmora  za 2021 g u trajanju od </t>
  </si>
  <si>
    <t>Kardinala a. S 25, 31000 Čepin</t>
  </si>
  <si>
    <t>Sulejmanovski Antonio</t>
  </si>
  <si>
    <t>vozač</t>
  </si>
  <si>
    <t>HR97 2484 0083 2353 3155 9</t>
  </si>
  <si>
    <t>Redovan Otkaz Ugovora o radu</t>
  </si>
  <si>
    <t>3. Za vrijeme trajanja godišnjeg odmora Radnik ima pravo na naknadu plaće sukladno ZOR-u i</t>
  </si>
  <si>
    <t xml:space="preserve">2. Godišnji odmor Radnik će koristiti u razdoblju od </t>
  </si>
  <si>
    <t>(u daljem tekstu: Poslodavac) dana 03.12.2021.</t>
  </si>
  <si>
    <t>1. Radnik</t>
  </si>
  <si>
    <t>sukladno rasporedu korištenja godišnjih odmora za 2021.</t>
  </si>
  <si>
    <t>16.12.2021. do 31.12.2021.</t>
  </si>
  <si>
    <t>osobno preuzeo dana 16.12.2021.</t>
  </si>
  <si>
    <t>MANEVI Jagera d.o.o.</t>
  </si>
  <si>
    <t>05425018</t>
  </si>
  <si>
    <t>Ulica Lorenza Jägera 2</t>
  </si>
  <si>
    <t>Csaba Farsang</t>
  </si>
  <si>
    <t>Ulica Lorenza Jagera 2, Osijek</t>
  </si>
  <si>
    <t>David Češić</t>
  </si>
  <si>
    <t>Nova Gradiška</t>
  </si>
  <si>
    <t>Braće Radića 8, Rešetari</t>
  </si>
  <si>
    <t>HR1323400093234856099</t>
  </si>
  <si>
    <t xml:space="preserve">HU94103000021060143600016848 </t>
  </si>
  <si>
    <t>Ivana Vrbljanac</t>
  </si>
  <si>
    <t>Opatija</t>
  </si>
  <si>
    <t>Eugena Kumičića 10, Opatija</t>
  </si>
  <si>
    <t>Recepcionarka</t>
  </si>
  <si>
    <t>HR9024020063207107565</t>
  </si>
  <si>
    <t>Šefika Alić</t>
  </si>
  <si>
    <t>Matulji</t>
  </si>
  <si>
    <t>KV</t>
  </si>
  <si>
    <t>Spremačica</t>
  </si>
  <si>
    <t>HR5724020063205118010</t>
  </si>
  <si>
    <t>Ljubica Gavranović</t>
  </si>
  <si>
    <t>00735131412</t>
  </si>
  <si>
    <t>Kvarnerska cesta 23A, Matulji</t>
  </si>
  <si>
    <t>Perasov put 8, Matulji</t>
  </si>
  <si>
    <t>Konobar</t>
  </si>
  <si>
    <t>HR6723600003222494946</t>
  </si>
  <si>
    <t>Linda Majid</t>
  </si>
  <si>
    <t>Šmogorska cesta 11, Matulji</t>
  </si>
  <si>
    <t>HR8124020063203809921</t>
  </si>
  <si>
    <t>Svetlana Petrović</t>
  </si>
  <si>
    <t>Dragi 11, Pobri</t>
  </si>
  <si>
    <t>HR0823400093230461798</t>
  </si>
  <si>
    <t>Zdravko Tustanovski</t>
  </si>
  <si>
    <t>06449653872</t>
  </si>
  <si>
    <t>Rijeka</t>
  </si>
  <si>
    <t>Svilno 50, Rijeka</t>
  </si>
  <si>
    <t>Domar</t>
  </si>
  <si>
    <t>HR1424020063200965147</t>
  </si>
  <si>
    <t>Andrea Kostović</t>
  </si>
  <si>
    <t>Seget</t>
  </si>
  <si>
    <t>Kralja Tomislava 124, Seget</t>
  </si>
  <si>
    <t>HR4723400093218010176</t>
  </si>
  <si>
    <t>Ivan Matota</t>
  </si>
  <si>
    <t>Sljemenska ulica 26</t>
  </si>
  <si>
    <t>HR8823600003236594682</t>
  </si>
  <si>
    <t>Pretra zrinskog 5, 31207 Tenja</t>
  </si>
  <si>
    <t>POMOĆNI SKLADIŠTAR</t>
  </si>
  <si>
    <t>HR6823400093212019951</t>
  </si>
  <si>
    <t>Nagykovácsi</t>
  </si>
  <si>
    <t>Arany János u. 7/a, Nagykovácsi</t>
  </si>
  <si>
    <t>Voditelj Poslovnice</t>
  </si>
  <si>
    <t>Voditelj poslovnice</t>
  </si>
  <si>
    <t>nema jos</t>
  </si>
  <si>
    <t>Igor Duvnjak</t>
  </si>
  <si>
    <t xml:space="preserve"> Miklós Szűcs</t>
  </si>
  <si>
    <t>VR - Krk</t>
  </si>
  <si>
    <t>04626257</t>
  </si>
  <si>
    <t>Ribarska 10</t>
  </si>
  <si>
    <t>KAROLINA HAJDU</t>
  </si>
  <si>
    <t>RAJNA 7, ZMAJEVAC</t>
  </si>
  <si>
    <t>ADMINISTRATIVNI REFE</t>
  </si>
  <si>
    <t>HR73 23400093230755993</t>
  </si>
  <si>
    <t>2. U slučaju otkazivanja ugovora o radu, otkazni rok iznosi  30 radnih dana.</t>
  </si>
  <si>
    <t>Radnik ima pravo na povećanu plaću na osnovi radnog staža za 0,5% po godini radnog staža.</t>
  </si>
  <si>
    <t>Radnik ima pravo naknade troškova za prijevoz na posao u iznosu radničke mjesečne karte za mjesec.</t>
  </si>
  <si>
    <t>plaće najkasnije do 15. u mjesecu za rad obavljen u predhodnom mjesecu.</t>
  </si>
  <si>
    <t>%</t>
  </si>
  <si>
    <t>4. Tjedni odmor radnik će koristiti PREMA RASPOREDU RADNOG VREMENA.</t>
  </si>
  <si>
    <t>Senat Ismaili</t>
  </si>
  <si>
    <t>Pirok</t>
  </si>
  <si>
    <t>MAKEDONSKO</t>
  </si>
  <si>
    <t>Put Vrutki 13, Opatija</t>
  </si>
  <si>
    <t>HR9723900013207908793</t>
  </si>
  <si>
    <t>Radnik ima pravo na ____ dana otkaznog roka koji počinju teći datumom uručenja _____________ godine.</t>
  </si>
  <si>
    <t>Bijelo Brdo</t>
  </si>
  <si>
    <t>Anita Kovačević</t>
  </si>
  <si>
    <t>Kneževačka ulica 3, Branjin Vrh</t>
  </si>
  <si>
    <t>Mohač</t>
  </si>
  <si>
    <t>HR1923400093215227071</t>
  </si>
  <si>
    <t>Martina Avdaković</t>
  </si>
  <si>
    <t>Ulica Nikole Šubića Zrinjskog 32, Višnjevac</t>
  </si>
  <si>
    <t>HR3424840083237078596</t>
  </si>
  <si>
    <t>Ljiljana Peranić</t>
  </si>
  <si>
    <t>Ivana Gundulića 3A, Osijek</t>
  </si>
  <si>
    <t>VKV</t>
  </si>
  <si>
    <t>HR8523400093230335670</t>
  </si>
  <si>
    <t>Mirna ulica 7, Laslovo</t>
  </si>
  <si>
    <t>Nada Jović</t>
  </si>
  <si>
    <t>Ulica Šandora Perofija 73, Osijek</t>
  </si>
  <si>
    <t>HR0623400093214010925</t>
  </si>
  <si>
    <t>Darko Kramar</t>
  </si>
  <si>
    <t>Murterska 40, Osijek</t>
  </si>
  <si>
    <t>HR2723600003245557513</t>
  </si>
  <si>
    <t>Viktor Švarić</t>
  </si>
  <si>
    <t>Andrije Štagnera 50, Opatija</t>
  </si>
  <si>
    <t>Kuhar</t>
  </si>
  <si>
    <t>HR4224020063204509993</t>
  </si>
  <si>
    <t>Sanja Rubinić</t>
  </si>
  <si>
    <t>Antona Raspora 2, Opatija</t>
  </si>
  <si>
    <t>HR4624020063208986180</t>
  </si>
  <si>
    <t>Tihovac 6, Rijeka</t>
  </si>
  <si>
    <t>Nočni recepcionar</t>
  </si>
  <si>
    <t>HR0624020063204404135</t>
  </si>
  <si>
    <t>Svetlana Kostova</t>
  </si>
  <si>
    <t>Račenci</t>
  </si>
  <si>
    <t>Franca Prešerna 20, Rijeka</t>
  </si>
  <si>
    <t xml:space="preserve">Čistačica </t>
  </si>
  <si>
    <t>Čistačica</t>
  </si>
  <si>
    <t>HR5624020063203592606, HR8624020063580120943</t>
  </si>
  <si>
    <t>Valdeta Ismaili</t>
  </si>
  <si>
    <t>Tetovo</t>
  </si>
  <si>
    <t xml:space="preserve">Konobar </t>
  </si>
  <si>
    <t>HR4923400093230637115</t>
  </si>
  <si>
    <t>Blerim Ismaili</t>
  </si>
  <si>
    <t>HR9423400093233393433</t>
  </si>
  <si>
    <t>1 mjesec</t>
  </si>
  <si>
    <t>Jadranko Paškvan-Stjepanović</t>
  </si>
  <si>
    <t>Ivana Tot</t>
  </si>
  <si>
    <t>Šandora Petefija 1C, Darda</t>
  </si>
  <si>
    <t>HR7824840083232070664</t>
  </si>
  <si>
    <t>Dean Lalević</t>
  </si>
  <si>
    <t>Janka Polića Kamova 34, Rijeka</t>
  </si>
  <si>
    <t>Recepcionar</t>
  </si>
  <si>
    <t>HR8924070003232314125</t>
  </si>
  <si>
    <t>Ana Mujarić</t>
  </si>
  <si>
    <t>Ulica Ljudevita Posavskog 33, Osijek</t>
  </si>
  <si>
    <t>HR0323400093209708156, HR6523400093510622477</t>
  </si>
  <si>
    <t>Valentino Šimunović</t>
  </si>
  <si>
    <t>Woodrova Wilsona 113, Osijek</t>
  </si>
  <si>
    <t>HR9623900013221072099</t>
  </si>
  <si>
    <t>Martina Becker</t>
  </si>
  <si>
    <t>Opatijska 41, Osijek</t>
  </si>
  <si>
    <t>HR5823400093235424388</t>
  </si>
  <si>
    <t>TDL Jadran j.d.o.o.</t>
  </si>
  <si>
    <t>DÓRA DENKE- TAKÁCS</t>
  </si>
  <si>
    <t>05596351</t>
  </si>
  <si>
    <t>Vir</t>
  </si>
  <si>
    <t>Virić VII 18</t>
  </si>
  <si>
    <t>Dóra Denke-Takács</t>
  </si>
  <si>
    <t>Szigetvár</t>
  </si>
  <si>
    <t>BAJCSY-ZSILINSZKY UTCA 67, BARCS</t>
  </si>
  <si>
    <t>Stefanija Ivandić</t>
  </si>
  <si>
    <t>Slavonski Brod</t>
  </si>
  <si>
    <t>Sjenjak 39, Osijek</t>
  </si>
  <si>
    <t>HR6123400093215817918</t>
  </si>
  <si>
    <t>Denke Takács Lajos</t>
  </si>
  <si>
    <t>Pécs</t>
  </si>
  <si>
    <t>Horváth Kázmér utca 2, 1. em. 4a, 7700 Mohács</t>
  </si>
  <si>
    <t>komercijalist</t>
  </si>
  <si>
    <t>puno</t>
  </si>
  <si>
    <t>Andreja Orić</t>
  </si>
  <si>
    <t>Ulica Sv. Roka 1, Osijek</t>
  </si>
  <si>
    <t>HR4223400093212632004</t>
  </si>
  <si>
    <t>Vladimir Junušić</t>
  </si>
  <si>
    <t>Kapelska ulica 50, Osijek</t>
  </si>
  <si>
    <t>HR9323900013221139762, HR6223900013506028641</t>
  </si>
  <si>
    <t>Antonio Kovačević</t>
  </si>
  <si>
    <t>Sljemenska ulica 29A, Osijek</t>
  </si>
  <si>
    <t>HR3524840083235001614</t>
  </si>
  <si>
    <t>Dejana Bunjevac</t>
  </si>
  <si>
    <t>Vojnić</t>
  </si>
  <si>
    <t>Psunjska 107, Osijek</t>
  </si>
  <si>
    <t>HR1723400093231487508</t>
  </si>
  <si>
    <t>Mladen Kuvač</t>
  </si>
  <si>
    <t>0810985190102</t>
  </si>
  <si>
    <t>Zenica</t>
  </si>
  <si>
    <t>Bosansko</t>
  </si>
  <si>
    <t>Ilička ulica 7/5, Brčko</t>
  </si>
  <si>
    <t>J.J. Strossmayera 333, Osijek</t>
  </si>
  <si>
    <t>JMBG:</t>
  </si>
  <si>
    <t>a može trajati: 08:00h - 16:00h</t>
  </si>
  <si>
    <t xml:space="preserve">UGOVOR O RADU NA ODREĐENO VRIJEME </t>
  </si>
  <si>
    <t>Trgovački Putnik</t>
  </si>
  <si>
    <t>Trgovački putnik</t>
  </si>
  <si>
    <t>,stvarni početak rada ovisi o datumu ishodovanja radne dozvole.</t>
  </si>
  <si>
    <t>Za poslodavca, M.P.</t>
  </si>
  <si>
    <t>Mirjana Pavlović</t>
  </si>
  <si>
    <t>Đurđenovac</t>
  </si>
  <si>
    <t>Zagrebačka Ulica 44, Višnjevac</t>
  </si>
  <si>
    <t>HR3123400093236152956</t>
  </si>
  <si>
    <t>Amila Šiljević</t>
  </si>
  <si>
    <t>Maoča</t>
  </si>
  <si>
    <t>Čamila Šiljarića 149, Brčko</t>
  </si>
  <si>
    <t>Armin Deliomerović</t>
  </si>
  <si>
    <t>Tuzla</t>
  </si>
  <si>
    <t>Suljo Kahirman 28, Brčko</t>
  </si>
  <si>
    <t>Ivan Cerovac</t>
  </si>
  <si>
    <t>Šmiti 6, Poljane</t>
  </si>
  <si>
    <t>HR2424020063207503349</t>
  </si>
  <si>
    <t>Kristina Lovras</t>
  </si>
  <si>
    <t>Andrije Hebranga 18 G, Karlovac</t>
  </si>
  <si>
    <t>HR6023400093230057439</t>
  </si>
  <si>
    <t>Jelena Mesarek</t>
  </si>
  <si>
    <t>Dr. Franje Tuđmana 8, Ivanovac</t>
  </si>
  <si>
    <t>HR7424020063211350633</t>
  </si>
  <si>
    <t>Selma Karadža</t>
  </si>
  <si>
    <t>Mihaćeva Draga 31B, Rijeka</t>
  </si>
  <si>
    <t>HR4124020063581137343</t>
  </si>
  <si>
    <t>Ermina Karadža</t>
  </si>
  <si>
    <t>04357281854</t>
  </si>
  <si>
    <t>Velebitska 6, Rijeka</t>
  </si>
  <si>
    <t>HR1924020063210319931</t>
  </si>
  <si>
    <t>Marina Raguž</t>
  </si>
  <si>
    <t>Vukovar</t>
  </si>
  <si>
    <t>Sjenjak 33, Osijek</t>
  </si>
  <si>
    <t>HR5023600003236113179</t>
  </si>
  <si>
    <t>Tanja Mesarek</t>
  </si>
  <si>
    <t>Čepin</t>
  </si>
  <si>
    <t>HR8424020063208198729</t>
  </si>
  <si>
    <t>Snježana Selak</t>
  </si>
  <si>
    <t>Ul Hrvatske Republike 37, Osijek</t>
  </si>
  <si>
    <t>HR6623600003223035254</t>
  </si>
  <si>
    <t>Miona Gačina</t>
  </si>
  <si>
    <t>Ljudevita Gaja 23, Darda</t>
  </si>
  <si>
    <t>HR2723400093209071016</t>
  </si>
  <si>
    <t>osnovnu bruto plaću u iznosu</t>
  </si>
  <si>
    <t>Baranjske slastice Horvat j.d.o.o.</t>
  </si>
  <si>
    <t>Ilonka Horvat</t>
  </si>
  <si>
    <t>04781830</t>
  </si>
  <si>
    <t>Petefi Šandora 31</t>
  </si>
  <si>
    <t>Ana Nađ</t>
  </si>
  <si>
    <t>SUZA, PETEFI ŠANDORA 25</t>
  </si>
  <si>
    <t>HR7423400093110125417</t>
  </si>
  <si>
    <t>Eržebet Lazar</t>
  </si>
  <si>
    <t>Suza, Kosuta Lajoša 7</t>
  </si>
  <si>
    <t>pomoćni radnik</t>
  </si>
  <si>
    <t>nepuno</t>
  </si>
  <si>
    <t>HR3523400093232728299</t>
  </si>
  <si>
    <t>između poslodavca:</t>
  </si>
  <si>
    <t>05523151006</t>
  </si>
  <si>
    <t>"-------------------------------------------                                             -------------------------------------</t>
  </si>
  <si>
    <t>Izabela Štadler</t>
  </si>
  <si>
    <t>Suza, Kosuta Lajoša</t>
  </si>
  <si>
    <t>POMOĆNI RADNIK</t>
  </si>
  <si>
    <t>SARA REBEKA HORVAT</t>
  </si>
  <si>
    <t>12.11.2022.</t>
  </si>
  <si>
    <t>SUZA, PETEFI ŠANDORA 31</t>
  </si>
  <si>
    <t>BERČEK SANJA</t>
  </si>
  <si>
    <t>05.11.2022.</t>
  </si>
  <si>
    <t>smanjenog  obujma posla.</t>
  </si>
  <si>
    <t>Poslovno uvjetovani otkaz radi smanjenja opsega posla</t>
  </si>
  <si>
    <t>Laura Šimić</t>
  </si>
  <si>
    <t>Bosanska 24, Višnjevac</t>
  </si>
  <si>
    <t>HR2824840083236803709</t>
  </si>
  <si>
    <t>Olivera Ćupković</t>
  </si>
  <si>
    <t>Firenze</t>
  </si>
  <si>
    <t>Via Di Piazza Calda 10, Firenca</t>
  </si>
  <si>
    <t>HR4423400093230780959</t>
  </si>
  <si>
    <t>Marina Žiganto</t>
  </si>
  <si>
    <t>HR5924020063206260052</t>
  </si>
  <si>
    <t>Andreja Tetkić</t>
  </si>
  <si>
    <t>S.S. Kranjčevića 77, Slatina</t>
  </si>
  <si>
    <t>HR2724020063581008100</t>
  </si>
  <si>
    <t>Trgovački demonstrator i prodavač</t>
  </si>
  <si>
    <t>HR6323600003515050704</t>
  </si>
  <si>
    <t>Poljane 9, Poljane</t>
  </si>
  <si>
    <t>Melita Kordić</t>
  </si>
  <si>
    <t>Ulica Ljudevita Posavskog 34, Osijek</t>
  </si>
  <si>
    <t>HR8024070003206387545</t>
  </si>
  <si>
    <t>Đulferija Karadža</t>
  </si>
  <si>
    <t>HR7523900013221888053, HR1723900013506264482</t>
  </si>
  <si>
    <t>26.11.2022.</t>
  </si>
  <si>
    <t>SEČENJI ADRIEN</t>
  </si>
  <si>
    <t>#07533523404</t>
  </si>
  <si>
    <t>M. TITA 30, ZMAJEVAC</t>
  </si>
  <si>
    <t>MARIJA VARGA</t>
  </si>
  <si>
    <t>LAJOŠA KOŠUTA 14 A, BILJE</t>
  </si>
  <si>
    <t>ADMINISTRATIVNI REFERENT</t>
  </si>
  <si>
    <t>ČABA HODOVANJ</t>
  </si>
  <si>
    <t>ŠANDORA PETEFIJA 128, LUG</t>
  </si>
  <si>
    <t>TIMEA BEJTEŠ</t>
  </si>
  <si>
    <t>GLAVNA 64, KOTLINA, KNEŽEVI VINOGRADI</t>
  </si>
  <si>
    <t>Adin Mujaković</t>
  </si>
  <si>
    <t>TUZLA</t>
  </si>
  <si>
    <t>Rogozan 42A, Brčko</t>
  </si>
  <si>
    <t>Mahir Ibrahimović</t>
  </si>
  <si>
    <t>Zaima Mušanovića 26, Brčko</t>
  </si>
  <si>
    <t>Veljko Ivanović</t>
  </si>
  <si>
    <t>Brčko</t>
  </si>
  <si>
    <t>Ilička XI 33, Brčko</t>
  </si>
  <si>
    <t>LINGURAR-CONSTRUCT J.D.O.O</t>
  </si>
  <si>
    <t>Daniel Lingurar</t>
  </si>
  <si>
    <t>05692377</t>
  </si>
  <si>
    <t>030268867</t>
  </si>
  <si>
    <t>Reisnerova ul. 107</t>
  </si>
  <si>
    <t>RUMUNJSKA</t>
  </si>
  <si>
    <t>Reisnerova 107</t>
  </si>
  <si>
    <t>NEMA??</t>
  </si>
  <si>
    <t>oSIJEK</t>
  </si>
  <si>
    <t>Patricija Eškutić</t>
  </si>
  <si>
    <t>Ivana Gundulića 81, Osijek</t>
  </si>
  <si>
    <t>HR2423400093235503473</t>
  </si>
  <si>
    <t>DAMIR KATUŠIĆ</t>
  </si>
  <si>
    <t>05694477</t>
  </si>
  <si>
    <t>030268955</t>
  </si>
  <si>
    <t>Damir Katušić</t>
  </si>
  <si>
    <t>Osječka 1a, Tenja</t>
  </si>
  <si>
    <t>DIREKTOR/VLASNIK</t>
  </si>
  <si>
    <t>IZVRŠNI DIREKTOR</t>
  </si>
  <si>
    <t>/ mjeseca</t>
  </si>
  <si>
    <t>AGRONOMIST D.O.O.</t>
  </si>
  <si>
    <t>JAKICA SUŠAK</t>
  </si>
  <si>
    <t>INŽ.GRAĐEVINE</t>
  </si>
  <si>
    <t>INŽENJER GRAĐEVINE</t>
  </si>
  <si>
    <t>Aleksandar Tatomirov</t>
  </si>
  <si>
    <t>0408988840016</t>
  </si>
  <si>
    <t>Kikinda</t>
  </si>
  <si>
    <t>Temerinska 104, Novi Sad</t>
  </si>
  <si>
    <t>Sarah Vindić-Gerber</t>
  </si>
  <si>
    <t>Šandora Petefija 91, Bilje</t>
  </si>
  <si>
    <t>HR5523600003244851819</t>
  </si>
  <si>
    <t>Hrvoje Majić</t>
  </si>
  <si>
    <t>Varaždin</t>
  </si>
  <si>
    <t>HR8023600003246051356</t>
  </si>
  <si>
    <t>Zvonimir Kuljak</t>
  </si>
  <si>
    <t>Kninska ulica 2, Osijek</t>
  </si>
  <si>
    <t>Ulica Josipa Hutlera 20C, Osijek</t>
  </si>
  <si>
    <t>HR8523400093212493393, HR6023400093510986802</t>
  </si>
  <si>
    <t>Boris Jurić</t>
  </si>
  <si>
    <t>HR0624120093233018547, HR0424120093533002044</t>
  </si>
  <si>
    <t xml:space="preserve">Mijenja se točka 2. članak 1. Ugovora o radu od </t>
  </si>
  <si>
    <t xml:space="preserve">Ovim ugovorom radnik zasniva radni odnos na NEODREĐENO VRIJEME za obavljanje poslova </t>
  </si>
  <si>
    <t>Telefonist-operater u call centru.</t>
  </si>
  <si>
    <t>Mijenja se točka 1. članak 2. Ugovora o radu od 1.1.2021. te po novom glasi:</t>
  </si>
  <si>
    <t>Za realizaciju preuzetih obveza iz točke 2. članka 1. radniku pripada osnovna bruto plaća u iznosu</t>
  </si>
  <si>
    <t>od 700 EUR a razmjerno broju sati. Ovisno o rezultatima radniku se može isplatiti i stimultivni dio plaće.</t>
  </si>
  <si>
    <t xml:space="preserve"> Radnika/ce</t>
  </si>
  <si>
    <t>Balan Costel-Claudiu</t>
  </si>
  <si>
    <t>ZIDAR</t>
  </si>
  <si>
    <t>07533523404</t>
  </si>
  <si>
    <t>GRAFIČKI DIZAJNER</t>
  </si>
  <si>
    <t>Dženan Aljić</t>
  </si>
  <si>
    <t>Suljagića sokak 230, Brčko</t>
  </si>
  <si>
    <t>Dušan Jovanović</t>
  </si>
  <si>
    <t>Jovana Jovanovića Zmaja 20, Brčko</t>
  </si>
  <si>
    <t>ILONKA HORVAT</t>
  </si>
  <si>
    <t>ŠANDORA PETEFIJA 31, SUZA</t>
  </si>
  <si>
    <t>HR9323400093232036130</t>
  </si>
  <si>
    <t>IRIS TRNKO</t>
  </si>
  <si>
    <t>PETEFI ŠANDORA 61, SUZA</t>
  </si>
  <si>
    <t>HR74 23400093235935387</t>
  </si>
  <si>
    <t>Republika Slovačka, Nove Zamky, M.R. Štefanika 1221/60</t>
  </si>
  <si>
    <t>te po novom glasi:</t>
  </si>
  <si>
    <t>464,53 EUR</t>
  </si>
  <si>
    <t>59,99 EUR</t>
  </si>
  <si>
    <t>Row Labels</t>
  </si>
  <si>
    <t>Tip godišnjeg</t>
  </si>
  <si>
    <t>Broj dana</t>
  </si>
  <si>
    <t>PUNI</t>
  </si>
  <si>
    <t>RAZMJERNI</t>
  </si>
  <si>
    <t>Borna Faj</t>
  </si>
  <si>
    <t>Retfala nova 16, Osijek</t>
  </si>
  <si>
    <t>HR0825000093207071243, HR4325000093508020388</t>
  </si>
  <si>
    <t>Broj radnih dana u tjednu</t>
  </si>
  <si>
    <t>MARIJANA KRAJČEK</t>
  </si>
  <si>
    <t>KAPELSKA 61, 31000 OSIJEK</t>
  </si>
  <si>
    <t>HR7023400093220300902</t>
  </si>
  <si>
    <t>Dénes Kövári</t>
  </si>
  <si>
    <t>HELT S j.d.o.o.</t>
  </si>
  <si>
    <t>Bizovačka 61 31220 Višnjevac</t>
  </si>
  <si>
    <t>Nikolina Roguljić</t>
  </si>
  <si>
    <t>Tomislav Nikić</t>
  </si>
  <si>
    <t>01912184339</t>
  </si>
  <si>
    <t>Požega</t>
  </si>
  <si>
    <t>Sv. Leopolda Mandića 270, Osijek</t>
  </si>
  <si>
    <t>HR5023400093104145896</t>
  </si>
  <si>
    <t>Hrvoje Vidaković</t>
  </si>
  <si>
    <t>Banjalučka 32, Osijek</t>
  </si>
  <si>
    <t>HR8825030073255030439</t>
  </si>
  <si>
    <t>Filip Cvenić</t>
  </si>
  <si>
    <t>Josipa Kozarca 89, Višnjevac</t>
  </si>
  <si>
    <t>HR6923600003248987938</t>
  </si>
  <si>
    <t>Kurcsics Krisztina</t>
  </si>
  <si>
    <t>Kapuvár</t>
  </si>
  <si>
    <t>Mađarska</t>
  </si>
  <si>
    <t>1142, Budapest, Dorozsnai u. 11/b 3/3</t>
  </si>
  <si>
    <t>Juhász István</t>
  </si>
  <si>
    <t>a može početi od 8:00 i završiti u 10:00 sati.</t>
  </si>
  <si>
    <t>EgER</t>
  </si>
  <si>
    <t>1149 Budapest, Uzsoki u. 49/b</t>
  </si>
  <si>
    <t>vss</t>
  </si>
  <si>
    <t>informatičar</t>
  </si>
  <si>
    <t>Branka Jerić</t>
  </si>
  <si>
    <t>Trinajstići 18, Kastav</t>
  </si>
  <si>
    <t>Sobarica</t>
  </si>
  <si>
    <t>HR2124840083236001257</t>
  </si>
  <si>
    <t>Biljana Petrović</t>
  </si>
  <si>
    <t>09832277053</t>
  </si>
  <si>
    <t>Osječka 6, Rijeka</t>
  </si>
  <si>
    <t>HR7323900013213227056</t>
  </si>
  <si>
    <t>Ana Kukuljan</t>
  </si>
  <si>
    <t>Vitomira Širole Paje 12, Rijeka</t>
  </si>
  <si>
    <t>Recepcionerka</t>
  </si>
  <si>
    <t>HR3424020063210513079</t>
  </si>
  <si>
    <t>SKIN BEAUTY VL. IVONA JOZIĆ</t>
  </si>
  <si>
    <t>Ivona Jozić</t>
  </si>
  <si>
    <t>Reisnerova 84</t>
  </si>
  <si>
    <t>Sofija Zagorščak</t>
  </si>
  <si>
    <t>HR89 23400093210141750</t>
  </si>
  <si>
    <t>HR16 24840083237281553</t>
  </si>
  <si>
    <t>Bizovačka 61, Josipovac</t>
  </si>
  <si>
    <t>Direktor poslovanja društva za kozmetičarske i frizerske usluge</t>
  </si>
  <si>
    <t>Kolodvorska 11, Josipovac</t>
  </si>
  <si>
    <t>Kozmetičar</t>
  </si>
  <si>
    <t>Bilandžija Ena</t>
  </si>
  <si>
    <t>Kralja Zvonimira 127, Čepin</t>
  </si>
  <si>
    <t>HR30 23400093236023479</t>
  </si>
  <si>
    <t>758,56 </t>
  </si>
  <si>
    <t>Jozić Ivona</t>
  </si>
  <si>
    <t>Vlasnik obrta</t>
  </si>
  <si>
    <t>HR68 23400091160591298</t>
  </si>
  <si>
    <t>Ivona Tojčić</t>
  </si>
  <si>
    <t>Josipa Kozarca 101, Višnjevac</t>
  </si>
  <si>
    <t>HR04 24840083235584560</t>
  </si>
  <si>
    <t>Ivandija Ana</t>
  </si>
  <si>
    <t>Ljudevita Posavskog 97, Osijek</t>
  </si>
  <si>
    <t>HR8223400093231188645</t>
  </si>
  <si>
    <t>zakonom.</t>
  </si>
  <si>
    <t>Sanja Vrbljanac</t>
  </si>
  <si>
    <t>HR2624020063201433829</t>
  </si>
  <si>
    <t>Petra Ivičić</t>
  </si>
  <si>
    <t>HR7423600003249213179</t>
  </si>
  <si>
    <t>Tiffany Paliž</t>
  </si>
  <si>
    <t>Vladimira Nazora 56, Laslovo</t>
  </si>
  <si>
    <t>HR3023400093231425097</t>
  </si>
  <si>
    <t>Dunavska 122A, Osijek 31000</t>
  </si>
  <si>
    <t>HR93 24070003207336165</t>
  </si>
  <si>
    <t>Gharti Kshetri Arjun Bahadur</t>
  </si>
  <si>
    <t>Ružina ulica 60, Osijek 31000</t>
  </si>
  <si>
    <t>HR7923600003251598610</t>
  </si>
  <si>
    <t>Pun Magar Buddhiram</t>
  </si>
  <si>
    <t>Radnik niskogradnje</t>
  </si>
  <si>
    <t>HR8923600003251629470</t>
  </si>
  <si>
    <t>Durga Bahadur Khatri</t>
  </si>
  <si>
    <t>HR3223600003251654358</t>
  </si>
  <si>
    <t>Darji Madan</t>
  </si>
  <si>
    <t>HR0723600003251598548</t>
  </si>
  <si>
    <t>Gharti Magar Mohan</t>
  </si>
  <si>
    <t>HR1923600003251629566</t>
  </si>
  <si>
    <t>Adhikari Rishi Raj</t>
  </si>
  <si>
    <t>HR4623600003251629662</t>
  </si>
  <si>
    <t>Gharti Tanka Bahadur</t>
  </si>
  <si>
    <t>HR3823600003251629515</t>
  </si>
  <si>
    <t>Kristina Crljenić</t>
  </si>
  <si>
    <t>Labinska 52, Osijek 31000</t>
  </si>
  <si>
    <t>Građevinski poslovođa</t>
  </si>
  <si>
    <t>HR0324020063581130655</t>
  </si>
  <si>
    <t>Tomislav Kramarić</t>
  </si>
  <si>
    <t>Ljudevita Gaja 2, 31222 Bizovac</t>
  </si>
  <si>
    <t>Pomoćni radnik u građevini</t>
  </si>
  <si>
    <t>HR9125000093507925531, HR3725000093207925291</t>
  </si>
  <si>
    <t>Ivan Matanić</t>
  </si>
  <si>
    <t>Matije Gupca 166, 31222 Bizovac</t>
  </si>
  <si>
    <t>Dario Jukić</t>
  </si>
  <si>
    <t>Saša Bošnjak</t>
  </si>
  <si>
    <t>06739023952</t>
  </si>
  <si>
    <t>Vijenac Petrove Gore 3, 31000 Osijek</t>
  </si>
  <si>
    <t>Vijenac Ivana Meštrovića 51, 31000 Osijek</t>
  </si>
  <si>
    <t>HR2324840083222519191</t>
  </si>
  <si>
    <t>HR3825000093508099436, HR7325000093206962209</t>
  </si>
  <si>
    <t>Vozač teretnog vozila</t>
  </si>
  <si>
    <t>GUGA NATURA j.d.o.o.</t>
  </si>
  <si>
    <t>Giulia Tatalović</t>
  </si>
  <si>
    <t>Dajla</t>
  </si>
  <si>
    <t>Sv. Benedikta 35</t>
  </si>
  <si>
    <t>Sv. Benedikt 35, 52466 Novigrad</t>
  </si>
  <si>
    <t>Novigrad</t>
  </si>
  <si>
    <t>novigrad</t>
  </si>
  <si>
    <t>Matej Zubčić</t>
  </si>
  <si>
    <t>Put puhari 1, Matulji</t>
  </si>
  <si>
    <t>Pomoćni radnik u kuhinji</t>
  </si>
  <si>
    <t>HR8924020063210127581</t>
  </si>
  <si>
    <t>Vlatka Baraći</t>
  </si>
  <si>
    <t>Vijenac Dinare 5, Osijek</t>
  </si>
  <si>
    <t>HR4324840083213653128</t>
  </si>
  <si>
    <t>Vladimira Nazora 139A, Ernestinovo</t>
  </si>
  <si>
    <t>Jurica Deže</t>
  </si>
  <si>
    <t>Vinogradska 4, Laslovo</t>
  </si>
  <si>
    <t>HR7923400093235443313</t>
  </si>
  <si>
    <t>FRANCOS j.d.o.o.</t>
  </si>
  <si>
    <t>05748208</t>
  </si>
  <si>
    <t>ul. Hrvatske Republike 18</t>
  </si>
  <si>
    <t>U Osijeku , dana 01.04.2023.</t>
  </si>
  <si>
    <t>HR6523400093233768278</t>
  </si>
  <si>
    <t>SLASTIČAR</t>
  </si>
  <si>
    <t>SUZA, ŠANDORA PETEFIJA 31</t>
  </si>
  <si>
    <t>Suza, Šandora Petefija 31</t>
  </si>
  <si>
    <t>ADMIMISTRATIVNI DJELATNIK</t>
  </si>
  <si>
    <t>- pehranu u iznosu od 20 eur / mj</t>
  </si>
  <si>
    <t>- nagrade za ostvarene rezultate 80 eur/  mj</t>
  </si>
  <si>
    <t>MIA IŠTVANOVIĆ</t>
  </si>
  <si>
    <t>OPATIJSKA 26 G, 31000 OSIJKE</t>
  </si>
  <si>
    <t>HR6123400093233515956</t>
  </si>
  <si>
    <t>TIHANA BADANJAK</t>
  </si>
  <si>
    <t>VIJENAC.I.č. 7, 31000 OSIJEK</t>
  </si>
  <si>
    <t>HR0323600003248953139</t>
  </si>
  <si>
    <t>KLARIĆ LUCIJA</t>
  </si>
  <si>
    <t>VLADIMIRA NAZORA 160, ERNESTINOVO</t>
  </si>
  <si>
    <t>KOZMETIČAR</t>
  </si>
  <si>
    <t>HR0423600003246410169</t>
  </si>
  <si>
    <t>BB YACHT OBRT VL. BAKA BELA</t>
  </si>
  <si>
    <t>Baka Bela</t>
  </si>
  <si>
    <t>BILJE</t>
  </si>
  <si>
    <t>FERENCA KIŠA 7 KOPAČEVO</t>
  </si>
  <si>
    <t>TATJANA TOT</t>
  </si>
  <si>
    <t>KOPAČEVO</t>
  </si>
  <si>
    <t>PODUNAVSKA 16, KOPAČEVO</t>
  </si>
  <si>
    <t>HR1123400093206472480</t>
  </si>
  <si>
    <t>ULICA ŠANDORA PETEFIJA 188, 31000 OSIJEK</t>
  </si>
  <si>
    <t>HR3623600003251020585</t>
  </si>
  <si>
    <t>20079886569</t>
  </si>
  <si>
    <t>FRAN STIPETIĆ</t>
  </si>
  <si>
    <t>ULICA HRVATRKE REPUBLIKE 18, 31000 OSIJEK</t>
  </si>
  <si>
    <t>HR6223400093236294018</t>
  </si>
  <si>
    <t>JURASOVIĆ NIKOLINA</t>
  </si>
  <si>
    <t>JUICYVAPOUR D.O.O.</t>
  </si>
  <si>
    <t>JOZSEF BALOG</t>
  </si>
  <si>
    <t>PRELOG</t>
  </si>
  <si>
    <t>AMINA BADNJEVIC</t>
  </si>
  <si>
    <t xml:space="preserve">TOTSZERDAHELY KOSSUTHLAJOS UTCA II 9 9 </t>
  </si>
  <si>
    <t>SRBIJA</t>
  </si>
  <si>
    <t>TOTSZERDAHELY</t>
  </si>
  <si>
    <t>LT93 3250001046780976</t>
  </si>
  <si>
    <t>4,48/sat</t>
  </si>
  <si>
    <t>dalje u tekstu „poslodavac“, i</t>
  </si>
  <si>
    <t>, dalje u tekstu „radnik“ zaključuju ovaj:</t>
  </si>
  <si>
    <t xml:space="preserve">Radnik: </t>
  </si>
  <si>
    <t>Poslodavac:</t>
  </si>
  <si>
    <t>ostali poslovi po nalogu poslodavca</t>
  </si>
  <si>
    <t>Radnik:</t>
  </si>
  <si>
    <t xml:space="preserve">U Osijeku,                                                     </t>
  </si>
  <si>
    <t>,OIB:</t>
  </si>
  <si>
    <t xml:space="preserve">,izjavljujem da sam </t>
  </si>
  <si>
    <t>Rukovoditelj rovokopačem</t>
  </si>
  <si>
    <t>Nina Toth</t>
  </si>
  <si>
    <t>Ante Starčevića 7, Bizovac</t>
  </si>
  <si>
    <t>HR7025000093205475641</t>
  </si>
  <si>
    <t>Tanja Stipetić</t>
  </si>
  <si>
    <t>Ulica Hrvatske Republike 18, Osijek</t>
  </si>
  <si>
    <t>HR9423400093230988512</t>
  </si>
  <si>
    <t>ULICA FERENCA KIŠA 7 KOPAČEVO</t>
  </si>
  <si>
    <t>ZLATNA ŠKOLJKA D.O.O.</t>
  </si>
  <si>
    <t>Potalec Nika</t>
  </si>
  <si>
    <t>Šandora Petefija 51, Bilje</t>
  </si>
  <si>
    <t>Pomoćni recepcioner</t>
  </si>
  <si>
    <t>HR3223400093235996671</t>
  </si>
  <si>
    <t>Magnet, vl. Mladen Čabarkapa</t>
  </si>
  <si>
    <t>Mladen Čabarkapa</t>
  </si>
  <si>
    <t>91682827</t>
  </si>
  <si>
    <t>Sjenjak 10</t>
  </si>
  <si>
    <t>Romana Horniš</t>
  </si>
  <si>
    <t>Sljemenska ulica 100</t>
  </si>
  <si>
    <t>Stručni djelatnik autoškole</t>
  </si>
  <si>
    <t>HR76 24020063202622149</t>
  </si>
  <si>
    <t>Deviza d.o.o.</t>
  </si>
  <si>
    <t>Danka Dakić</t>
  </si>
  <si>
    <t>Stjepana Radića 18</t>
  </si>
  <si>
    <t>VIJENAC GORANA ZOBUNDŽIJE 4</t>
  </si>
  <si>
    <t>HR68 24810003236002400</t>
  </si>
  <si>
    <t>Marija Talan</t>
  </si>
  <si>
    <t>Bosutska 15, Osijek</t>
  </si>
  <si>
    <t>HR5324020063104105774</t>
  </si>
  <si>
    <t>Domagoj Batinić</t>
  </si>
  <si>
    <t>Cvjetkova ulica 4, 31000 Osijek</t>
  </si>
  <si>
    <t>30 dana</t>
  </si>
  <si>
    <t>vrijeme, do</t>
  </si>
  <si>
    <t>Terramare vl. Tünde Ódor</t>
  </si>
  <si>
    <t>TÜNDE ÓDOR</t>
  </si>
  <si>
    <t>Trg sv. Ivana 9</t>
  </si>
  <si>
    <t>Jelsa</t>
  </si>
  <si>
    <t>98607758</t>
  </si>
  <si>
    <t>Tünde Ódor</t>
  </si>
  <si>
    <t>06770289546</t>
  </si>
  <si>
    <t>'06770289546</t>
  </si>
  <si>
    <t>umjetnik</t>
  </si>
  <si>
    <t>Csilla Ódor</t>
  </si>
  <si>
    <t>Jelsa , Jelsa 253</t>
  </si>
  <si>
    <t>glazbenik</t>
  </si>
  <si>
    <t>jelsa</t>
  </si>
  <si>
    <t>dohodak</t>
  </si>
  <si>
    <t>67079691154</t>
  </si>
  <si>
    <t>PEČ</t>
  </si>
  <si>
    <t>HU0811775427-85014886-00000000</t>
  </si>
  <si>
    <t>Glazbenik/TRGOVAC</t>
  </si>
  <si>
    <t>Ena Bilandžija</t>
  </si>
  <si>
    <t>ANTONIJA HAVIDIĆ</t>
  </si>
  <si>
    <t>ANDRIJAŠEVCI</t>
  </si>
  <si>
    <t>KOLODVORSKA 23, ANDRIJAŠEVCI</t>
  </si>
  <si>
    <t>Sweet and Beauty j.d.o.o.</t>
  </si>
  <si>
    <t>MONIKA PARAT</t>
  </si>
  <si>
    <t>0150</t>
  </si>
  <si>
    <t>7410</t>
  </si>
  <si>
    <t>135.BARANJSKE BRIGADE 22</t>
  </si>
  <si>
    <t>Danijel Horvat</t>
  </si>
  <si>
    <t>Kralja Tomislava 33, Mece</t>
  </si>
  <si>
    <t>Djelatnik u proizvodnji</t>
  </si>
  <si>
    <t>Djelatnik u proizvodji</t>
  </si>
  <si>
    <t>Farkas Adam</t>
  </si>
  <si>
    <t>Kossuth Lajos Utca 260, 2241 Sulysap</t>
  </si>
  <si>
    <t>Lekić Dragana</t>
  </si>
  <si>
    <t>Dugi Dol 11, Vrhovine</t>
  </si>
  <si>
    <t>HR6124020063210902630</t>
  </si>
  <si>
    <t>Đurđica Ilibašić</t>
  </si>
  <si>
    <t>ULICA SVETE ANE 106, OSIJEK</t>
  </si>
  <si>
    <t>HR15 2500 0093 2215 7193 8</t>
  </si>
  <si>
    <t>Valentić Tena</t>
  </si>
  <si>
    <t>Nataša Umičević</t>
  </si>
  <si>
    <t>Zorica Šurina</t>
  </si>
  <si>
    <t>Gornjodravska obala 88, Osijek</t>
  </si>
  <si>
    <t>UNSKA 8, OSIJEK</t>
  </si>
  <si>
    <t>HR7025000093205284939</t>
  </si>
  <si>
    <t>MOSTARSKA 91</t>
  </si>
  <si>
    <t>HR1223900013292391309</t>
  </si>
  <si>
    <t>Ivan Radočaj</t>
  </si>
  <si>
    <t>Stevo Levačić</t>
  </si>
  <si>
    <t>Ante Alilović</t>
  </si>
  <si>
    <t>Osječka 176A, 31000 Osijek</t>
  </si>
  <si>
    <t>Strojar i vozač teretnog vozila</t>
  </si>
  <si>
    <t>HR7525000093208048961</t>
  </si>
  <si>
    <t>Denis Car</t>
  </si>
  <si>
    <t>Vijenac Nikole Tesle 23, 31324 Jagodnjak</t>
  </si>
  <si>
    <t>HR4824020063211023629</t>
  </si>
  <si>
    <t>HR3223400093206519050</t>
  </si>
  <si>
    <t>Partizanska 6, 31324 Jagodnjak</t>
  </si>
  <si>
    <t>Pomoćni radnik građevine</t>
  </si>
  <si>
    <t>HR4224020063208933096, HR3224020063581125962</t>
  </si>
  <si>
    <t>Vlado Anđelić</t>
  </si>
  <si>
    <t>Kruševačka 4A, 31324 Jagodnjak</t>
  </si>
  <si>
    <t>HR9724070003237239350, HR8324070003530877808</t>
  </si>
  <si>
    <t>Kralja Tomislava 1, 31220 Višnjevac</t>
  </si>
  <si>
    <t>HR13 24020063201938754</t>
  </si>
  <si>
    <t>Rukovatelj bagerom</t>
  </si>
  <si>
    <t>BADANJAK TIHANA</t>
  </si>
  <si>
    <t>VIJENAC IVANA ČESMIČKOG 7, 31000 OSIJKE</t>
  </si>
  <si>
    <t>SREDNJA 36, 31306 BATINA</t>
  </si>
  <si>
    <t>DEŽE BRIGITA</t>
  </si>
  <si>
    <t>Marina Ljulj</t>
  </si>
  <si>
    <t>Nives Novaković</t>
  </si>
  <si>
    <t>Josipa Jurja Strossmayera 200, Osijek</t>
  </si>
  <si>
    <t>HR5423400093207462755</t>
  </si>
  <si>
    <t>Biljske Satnije ZNG RH 49, Bilje</t>
  </si>
  <si>
    <t>Ulica Svetog roka 52, Osijek</t>
  </si>
  <si>
    <t>MLM Transport d.o.o.</t>
  </si>
  <si>
    <t>Marinko Lujić</t>
  </si>
  <si>
    <t>Bizovac</t>
  </si>
  <si>
    <t>Ulica Kralja Tomislava 117</t>
  </si>
  <si>
    <t>Bole express izrada ključeva</t>
  </si>
  <si>
    <t>Željko Bošnjak</t>
  </si>
  <si>
    <t>Ulica stjepana radića 19a</t>
  </si>
  <si>
    <t>Danijel Pečet</t>
  </si>
  <si>
    <t>Antuna Kanižlića 53, Osijek</t>
  </si>
  <si>
    <t>Pomoćni radnik</t>
  </si>
  <si>
    <t>HR8424840083235737447</t>
  </si>
  <si>
    <t>HR9725000093221461240</t>
  </si>
  <si>
    <t>Lošinjska 32, Osijek</t>
  </si>
  <si>
    <t>Zvonko Semeš</t>
  </si>
  <si>
    <t>Delnička 7, Osijek</t>
  </si>
  <si>
    <t>Ulica Kralja Zvonimira 117, Bizovac</t>
  </si>
  <si>
    <t>HR1123400093218604949</t>
  </si>
  <si>
    <t>HR9823400093234502362</t>
  </si>
  <si>
    <t>Braće Radića 2, Čepin</t>
  </si>
  <si>
    <t>Pero Lujić</t>
  </si>
  <si>
    <t>Serafini d.o.o.</t>
  </si>
  <si>
    <t>Vijenac Ivana Meštrovića 76</t>
  </si>
  <si>
    <t>Danijel Švelec</t>
  </si>
  <si>
    <t>30259954</t>
  </si>
  <si>
    <t>Vijenac Ivana Meštrovića 76, Osijek</t>
  </si>
  <si>
    <t>HR7523600003243653994</t>
  </si>
  <si>
    <t>STRANO</t>
  </si>
  <si>
    <t>TATALOVIĆ MILENA</t>
  </si>
  <si>
    <t>HR4823400093235855539</t>
  </si>
  <si>
    <t>LT913250078895830064</t>
  </si>
  <si>
    <t>LEXTON d.o.o.</t>
  </si>
  <si>
    <t>István Sokorai</t>
  </si>
  <si>
    <t>05484928</t>
  </si>
  <si>
    <t>Josipa Jurja Strossmayera 333</t>
  </si>
  <si>
    <t>MOLNAR ZSUZSANNA</t>
  </si>
  <si>
    <t>LAJOŠA KOŠUTA 39, KOPAČEVO, BILJE</t>
  </si>
  <si>
    <t>GRAĐEVISNKI INŽENJER</t>
  </si>
  <si>
    <t>GRAĐEVINSKI INŽENJER</t>
  </si>
  <si>
    <t>HR7925000093205796161</t>
  </si>
  <si>
    <t>Greneco OS d.o.o</t>
  </si>
  <si>
    <t>Zoran Horvat</t>
  </si>
  <si>
    <t>˝05733600</t>
  </si>
  <si>
    <t>ZORAN HORVAT</t>
  </si>
  <si>
    <t>ALJMAŠKA ULICA 9, OSIJEK</t>
  </si>
  <si>
    <t>HR5723400093211717994</t>
  </si>
  <si>
    <t>. godine, otkaz uslijed</t>
  </si>
  <si>
    <t>MONIKA BRKANAC</t>
  </si>
  <si>
    <t>BODOVALJCI 156, VRBJE</t>
  </si>
  <si>
    <t>Zootehnićar</t>
  </si>
  <si>
    <t>HR3223400093220258421</t>
  </si>
  <si>
    <t>VESNA KUBIK</t>
  </si>
  <si>
    <t>SUZA, PETEFI ŠANDORA 14</t>
  </si>
  <si>
    <t>HR9723400093205697648</t>
  </si>
  <si>
    <t>STEFAN BONET</t>
  </si>
  <si>
    <t>SUZA, KOŠUT LAJOŠA 44</t>
  </si>
  <si>
    <t>Anita Lovrenčić</t>
  </si>
  <si>
    <t>neaktivan</t>
  </si>
  <si>
    <t>Ulica Eugena Kvaternika 49, Višnjevac</t>
  </si>
  <si>
    <t>KEMIJSKI TEHNIČAR</t>
  </si>
  <si>
    <t>HR4434020063211857028</t>
  </si>
  <si>
    <t>Vesna Krznarić</t>
  </si>
  <si>
    <t>Vinkovačka cesta 90, Osijek</t>
  </si>
  <si>
    <t>Knjigovodstveni operator na računalu</t>
  </si>
  <si>
    <t>HR1225000093221540273</t>
  </si>
  <si>
    <t>neaktivna</t>
  </si>
  <si>
    <t>TRGO-KOP d.o.o.</t>
  </si>
  <si>
    <t>05827191</t>
  </si>
  <si>
    <t>Ulica Jela 60, 31000 Osijek</t>
  </si>
  <si>
    <t>Kralja Dmitra Zvonimira 3, 31326 Darda</t>
  </si>
  <si>
    <t xml:space="preserve">2. Poslodavac će isplaćivati plaću za predhodni mjesec, dodatak na plaću sukladno Zakonu o radu, te naknade </t>
  </si>
  <si>
    <t>Logo centar Petra Mikuš d.o.o.</t>
  </si>
  <si>
    <t>Petra Mikuš</t>
  </si>
  <si>
    <t>05818397</t>
  </si>
  <si>
    <t>Ulica grada Vukovara 234A</t>
  </si>
  <si>
    <t>Ulica grada Vukovara 234A, 10000 Zagreb</t>
  </si>
  <si>
    <t>Magistar logopedije</t>
  </si>
  <si>
    <t xml:space="preserve">, OIB: </t>
  </si>
  <si>
    <t xml:space="preserve">radnika: </t>
  </si>
  <si>
    <t xml:space="preserve">, s jedne strane i </t>
  </si>
  <si>
    <t xml:space="preserve"> U slučaju potrebe poslodavca i u nekim drugim mjestima na području Republike Hrvatske.</t>
  </si>
  <si>
    <t>BB Oil d.o.o.</t>
  </si>
  <si>
    <t>Nikola Borojević</t>
  </si>
  <si>
    <t>Lidija Ambroš</t>
  </si>
  <si>
    <t>Sandra Babić</t>
  </si>
  <si>
    <t>Stjepan Komar</t>
  </si>
  <si>
    <t>Vladimir Maksimović</t>
  </si>
  <si>
    <t>Frano Zrno</t>
  </si>
  <si>
    <t>Perica Marošević</t>
  </si>
  <si>
    <t>Predrag Purkar</t>
  </si>
  <si>
    <t>Jadranka Borojević</t>
  </si>
  <si>
    <t>Dejan Oreč</t>
  </si>
  <si>
    <t>Ivan Božić</t>
  </si>
  <si>
    <t>06119060379</t>
  </si>
  <si>
    <t>Sjenjak 48, 31000 Osijek</t>
  </si>
  <si>
    <t>Ljudevita Posavskog 17, 31000 Osijek</t>
  </si>
  <si>
    <t>Jovice Matina 11, 31226 Dalj</t>
  </si>
  <si>
    <t>Svetog Petka 64, 31000 Osijek</t>
  </si>
  <si>
    <t>Sjenjak 69, 31000 Osijek</t>
  </si>
  <si>
    <t>Šandora Petefija 53, 31214 Laslovo</t>
  </si>
  <si>
    <t>Josipa Bana Jelačića 77, 31220 Višnjevac</t>
  </si>
  <si>
    <t>Željeznička 48, 31204 Bijelo Brdo</t>
  </si>
  <si>
    <t>Jahorinska 28, 31000 Osijek</t>
  </si>
  <si>
    <t>RADNIK U PROIZVODNJI</t>
  </si>
  <si>
    <t>KONZULTANT</t>
  </si>
  <si>
    <t>VODITELJ PROIZVODNJE</t>
  </si>
  <si>
    <t>OPERATER SKLADIŠTA I SUŠARE</t>
  </si>
  <si>
    <t>EUR, razmjerno broju sati.</t>
  </si>
  <si>
    <t>3. Uz plaću navedenu u točki II.1. ovog ugovora Radniku pripada i stimulativni dio plaće prema</t>
  </si>
  <si>
    <t>3. Uz plaću navedenu u točki II.1. ovog ugovora Radniku pripada i stimulativni dio plaće prema odluci</t>
  </si>
  <si>
    <t>poslodavca.</t>
  </si>
  <si>
    <t>odluci poslodavca.</t>
  </si>
  <si>
    <t>Ulica Dr Franje Tuđmana 79, 31216 Ivanovac</t>
  </si>
  <si>
    <t>Maja Potkonjak</t>
  </si>
  <si>
    <t>Korina Jukić</t>
  </si>
  <si>
    <t>Bana Josipa Jelačića 95, Pleternica</t>
  </si>
  <si>
    <t>Petra Preradoviča 124, Slakovci</t>
  </si>
  <si>
    <t>HR0824020063211665713</t>
  </si>
  <si>
    <t>HR7123400093235286414</t>
  </si>
  <si>
    <t>a</t>
  </si>
  <si>
    <t>Marija Vrkljan</t>
  </si>
  <si>
    <t>Istarska 12, Vukovar</t>
  </si>
  <si>
    <t>HR6724020063210579211</t>
  </si>
  <si>
    <t>vukovar</t>
  </si>
  <si>
    <t>HR5123400093230898785</t>
  </si>
  <si>
    <t>Lajoša Košuta 80, Vardarac</t>
  </si>
  <si>
    <t>Ivana Živko</t>
  </si>
  <si>
    <t>HR2823400093231199123</t>
  </si>
  <si>
    <t>Pineta 2023 d.o.o.</t>
  </si>
  <si>
    <t>KRISZTINA ERDÖSINÉ JAKAB</t>
  </si>
  <si>
    <t>03950417</t>
  </si>
  <si>
    <t>Ulica Borisa Krnčevića 58</t>
  </si>
  <si>
    <t>Krisztina Erdösiné Jakab</t>
  </si>
  <si>
    <t>Magyaurogl utca 141A, Pečuh</t>
  </si>
  <si>
    <t>Gimnazija</t>
  </si>
  <si>
    <t>SELIM AGRO D.O.O.</t>
  </si>
  <si>
    <t>KAZE MD MAHEDI MENHAZ</t>
  </si>
  <si>
    <t>05824753</t>
  </si>
  <si>
    <t>04514602</t>
  </si>
  <si>
    <t>0113</t>
  </si>
  <si>
    <t>Polash Goup</t>
  </si>
  <si>
    <t>Kaze MD Mahedi Menhaz</t>
  </si>
  <si>
    <t>63754616092 </t>
  </si>
  <si>
    <t>Jamadar Para BB, Panchagarh, Bangladeš</t>
  </si>
  <si>
    <t>Vukovarska cesta 350, 31000 Osijek</t>
  </si>
  <si>
    <t>Županska ulica 28, 52100 Pula</t>
  </si>
  <si>
    <t>, stvarni rad ovisi o datumu ishodovanja radne dozvole.</t>
  </si>
  <si>
    <t>MD Ismail Jabihullah</t>
  </si>
  <si>
    <t>Juraši 38, 51216 Viškovo</t>
  </si>
  <si>
    <t>Otto Šmit</t>
  </si>
  <si>
    <t>Saša Trčak</t>
  </si>
  <si>
    <t>Vedrana Rozić</t>
  </si>
  <si>
    <t>Sajmište 47, Vukovar</t>
  </si>
  <si>
    <t>HR9223600003249101208</t>
  </si>
  <si>
    <t>Blage Zadre 9, Vukovar</t>
  </si>
  <si>
    <t>HR1724020063211476207</t>
  </si>
  <si>
    <t>Ratarska 7, Vukovar</t>
  </si>
  <si>
    <t>HR4324020063209518570</t>
  </si>
  <si>
    <t>Monika Miličević</t>
  </si>
  <si>
    <t>BANA JOSIPA JELAČIĆA 52</t>
  </si>
  <si>
    <t>HR5223400093232197985</t>
  </si>
  <si>
    <t xml:space="preserve">AKTIVAN </t>
  </si>
  <si>
    <t>aktivan</t>
  </si>
  <si>
    <t>Ivana Tutiš</t>
  </si>
  <si>
    <t>hrvatske mladeži 5</t>
  </si>
  <si>
    <t>određeno</t>
  </si>
  <si>
    <t>HR9624020063205576894</t>
  </si>
  <si>
    <t>Saška Jokić</t>
  </si>
  <si>
    <t>Olajnica 11</t>
  </si>
  <si>
    <t>HR2423900013221294361</t>
  </si>
  <si>
    <t>Određeno</t>
  </si>
  <si>
    <t>HR4325000093508020388</t>
  </si>
  <si>
    <t>Mirta Kurtović</t>
  </si>
  <si>
    <t>Vijenac petrove gore 5</t>
  </si>
  <si>
    <t>HR0723400093205856990</t>
  </si>
  <si>
    <t>isidora Grčić</t>
  </si>
  <si>
    <t>savezne republike njemačke 230 vukovar</t>
  </si>
  <si>
    <t>hr7025000093206781067</t>
  </si>
  <si>
    <t>Vladimir Baran</t>
  </si>
  <si>
    <t>savezne republike njemačke 241</t>
  </si>
  <si>
    <t>HR6823900013222540019</t>
  </si>
  <si>
    <t>Ratarska 70, 31204 Bijelo Brdo</t>
  </si>
  <si>
    <t>Kobac Trans d.o.o.</t>
  </si>
  <si>
    <t>05807506</t>
  </si>
  <si>
    <t>PECS</t>
  </si>
  <si>
    <t>MAĐARSKA</t>
  </si>
  <si>
    <t>RIBARSKA 10</t>
  </si>
  <si>
    <t>LT97 3250030445957034</t>
  </si>
  <si>
    <t>ERDŐSI BARNABÁS</t>
  </si>
  <si>
    <t>KNEŽEVI VINOGRADI</t>
  </si>
  <si>
    <t>ULICA HRVATSKE REPUBLIKE 13</t>
  </si>
  <si>
    <t>TOMAŠIĆ KORINA DEAK</t>
  </si>
  <si>
    <t>KLAJO KITTI</t>
  </si>
  <si>
    <t>HR2424020063209688953</t>
  </si>
  <si>
    <t>ULICA ŠANDORA PETEFIJA 232A, BILJE</t>
  </si>
  <si>
    <t xml:space="preserve">vrijeme zaključen između stranaka </t>
  </si>
  <si>
    <t>DANIJELA KELEMEN</t>
  </si>
  <si>
    <t>TRG HRVATSKIH BRANITELJA 31214 LASLOVO</t>
  </si>
  <si>
    <t>HR8025000093206689319</t>
  </si>
  <si>
    <t>VIŠKA 7, OSIJEK</t>
  </si>
  <si>
    <t>Vinogradska 140, 31000 Osijek</t>
  </si>
  <si>
    <t>BOSNA</t>
  </si>
  <si>
    <t>BOSANSKO</t>
  </si>
  <si>
    <t>ULICA HRVATSKIH BRANITELJA 5B ČEMINAC</t>
  </si>
  <si>
    <t>TRGOVAČKI PUTIK</t>
  </si>
  <si>
    <t>DANIJELA KUŠNJIR</t>
  </si>
  <si>
    <t>VUKOVAR DESNA SUPODERICA PREMA VUKI 25</t>
  </si>
  <si>
    <t>TELEFONIST-operater u call c.</t>
  </si>
  <si>
    <t>HR9023600003516341288</t>
  </si>
  <si>
    <t>HR8923400093236303135</t>
  </si>
  <si>
    <t>DAJANA STEDANKOV</t>
  </si>
  <si>
    <t>BOROVO SAVULJA-VIKEND NASELJE 47</t>
  </si>
  <si>
    <t>HR4223600003246867713</t>
  </si>
  <si>
    <t>TIJANA RADIĆ</t>
  </si>
  <si>
    <t>VUKOVAR DALMATINSKA 21</t>
  </si>
  <si>
    <t>HR7623400093230933001</t>
  </si>
  <si>
    <t>AKTIVNA</t>
  </si>
  <si>
    <t>neodređeno</t>
  </si>
  <si>
    <t>Bernadett Ujvary-Menhart</t>
  </si>
  <si>
    <t>mađarsko</t>
  </si>
  <si>
    <t>administravni referent</t>
  </si>
  <si>
    <t>administratoivni referent</t>
  </si>
  <si>
    <t>hr4724840083237149075</t>
  </si>
  <si>
    <t>LT78 3250 0580 0529 2893</t>
  </si>
  <si>
    <t>ADAM KOZMA</t>
  </si>
  <si>
    <t>Kovačević Ena</t>
  </si>
  <si>
    <t>Dravska 1, Josipovac</t>
  </si>
  <si>
    <t>HR9223600003250934508</t>
  </si>
  <si>
    <t>NIKOLA LANDUP</t>
  </si>
  <si>
    <t>BOROVO VUKOVARSKA 20</t>
  </si>
  <si>
    <t>Agro Adria International d.o.o.</t>
  </si>
  <si>
    <t>07589119396</t>
  </si>
  <si>
    <t>Alen Győrfi</t>
  </si>
  <si>
    <t>04575342</t>
  </si>
  <si>
    <t>Makarska</t>
  </si>
  <si>
    <t>Mađarsko</t>
  </si>
  <si>
    <t>direktor/član uprave</t>
  </si>
  <si>
    <t>Hrvatska</t>
  </si>
  <si>
    <t>Mađarska, Kiskunhalas, Czuczor utca 8</t>
  </si>
  <si>
    <t>WMD D.O.O.</t>
  </si>
  <si>
    <t>ILIJA ĐIVIĆ</t>
  </si>
  <si>
    <t>BJELOVAR</t>
  </si>
  <si>
    <t>Augustina Harambašića 10</t>
  </si>
  <si>
    <t>ANTE ĐIVIĆ</t>
  </si>
  <si>
    <t/>
  </si>
  <si>
    <t>Pleškovec, Sveti Juraj na Bregu 172</t>
  </si>
  <si>
    <t>všs</t>
  </si>
  <si>
    <t>web developer</t>
  </si>
  <si>
    <t>193 DOD</t>
  </si>
  <si>
    <t>Mateja Knezić</t>
  </si>
  <si>
    <t>BAR KOD SUSTAVI D.O.O.</t>
  </si>
  <si>
    <t>KREŠIMIR SERDAR</t>
  </si>
  <si>
    <t>Ulica Zlatka Šulentića 8</t>
  </si>
  <si>
    <t>Krešimir Serdar</t>
  </si>
  <si>
    <t>Ilica 37, 10000 Zagreb</t>
  </si>
  <si>
    <t>između poslodavca</t>
  </si>
  <si>
    <t xml:space="preserve"> radnika/ce</t>
  </si>
  <si>
    <t>KORNEL KEDVEŠ</t>
  </si>
  <si>
    <t>SUZA, MARŠALA TITA 79</t>
  </si>
  <si>
    <t>Auto limo-lak Amanović j.d.o.o.</t>
  </si>
  <si>
    <t>Matija Amanović</t>
  </si>
  <si>
    <t>05792819</t>
  </si>
  <si>
    <t>Travna 38</t>
  </si>
  <si>
    <t>osjiek</t>
  </si>
  <si>
    <t>Sv roka 52, 31000 Osijek</t>
  </si>
  <si>
    <t>administrator</t>
  </si>
  <si>
    <t>Tihana Badanjak</t>
  </si>
  <si>
    <t>VIJENAC IVANA ČESMIČKOG 7, 31000 OSIJEK</t>
  </si>
  <si>
    <t>Osijek+</t>
  </si>
  <si>
    <t>Roberto Ivković</t>
  </si>
  <si>
    <t>Široki Put 5, Vukovar</t>
  </si>
  <si>
    <t>HR5724840083237311370</t>
  </si>
  <si>
    <t>AKTVAN</t>
  </si>
  <si>
    <t>Tanja Božić</t>
  </si>
  <si>
    <t>Lijeva Bara 6, Vukovar</t>
  </si>
  <si>
    <t>HR4524020063211423808</t>
  </si>
  <si>
    <t>HR0725000093208148834</t>
  </si>
  <si>
    <t>Maja Čabarkapa</t>
  </si>
  <si>
    <t>Vijenac Petrove Gore 5, Osijek</t>
  </si>
  <si>
    <t>HR1323600003252144453</t>
  </si>
  <si>
    <t>Nikolina Šili</t>
  </si>
  <si>
    <t>Ulica Dore Pejačevića 23, Petrijevci</t>
  </si>
  <si>
    <t>HR9823400093214846767</t>
  </si>
  <si>
    <t>Nina Petrić</t>
  </si>
  <si>
    <t>Mirogojska 10, Vukovar</t>
  </si>
  <si>
    <t>HR8223600003516033748</t>
  </si>
  <si>
    <t>Admir Rizvanović</t>
  </si>
  <si>
    <t>Anita Matić</t>
  </si>
  <si>
    <t>Zagrebačka ulica 23, višnjevac</t>
  </si>
  <si>
    <t>HR5224840083237442216</t>
  </si>
  <si>
    <t>Maja Muhar</t>
  </si>
  <si>
    <t>Kozjačka ulica 140, Osijek</t>
  </si>
  <si>
    <t>HR5824840083213514536</t>
  </si>
  <si>
    <t>Jelena Devura</t>
  </si>
  <si>
    <t>Kninska 28, Vukovar</t>
  </si>
  <si>
    <t>HR8323400093220040805</t>
  </si>
  <si>
    <t>HRVOJE GJULIĆ</t>
  </si>
  <si>
    <t>ULICA BRAĆE OPIĆA 50A, GAJ LIPIK</t>
  </si>
  <si>
    <t>HR0723400093230354728</t>
  </si>
  <si>
    <t>NADIYA DOLISHNA</t>
  </si>
  <si>
    <t>UKRAINSKO</t>
  </si>
  <si>
    <t>WOODROWA WILSONA 13, 31000 OSIJEK</t>
  </si>
  <si>
    <t>HR1524070003238523263</t>
  </si>
  <si>
    <t>MD Mustafijur Rahman</t>
  </si>
  <si>
    <t>06042546895</t>
  </si>
  <si>
    <t>KARDINALA BL. ALOJZIJA STEPINCA 12, OKUČANI</t>
  </si>
  <si>
    <t>POMOĆNI RADNIK U POLJOPRIVREDI</t>
  </si>
  <si>
    <t>Tanvir Hossain</t>
  </si>
  <si>
    <t>Mrkopaljska 15, Rijeka</t>
  </si>
  <si>
    <t>Stvarni početak rada ovisi o datumu ishodovanja radne dozvole.</t>
  </si>
  <si>
    <t>Nataša Dorić</t>
  </si>
  <si>
    <t>Aleksandar Radelić</t>
  </si>
  <si>
    <t>Školski trg 4, Bijelo Brdo, Erdut</t>
  </si>
  <si>
    <t>Kralja Zvonimira 55, Bijelo Brdo, Erdut</t>
  </si>
  <si>
    <t>RAČUNALNI TEHNIČAR ZA STROJARSTVO</t>
  </si>
  <si>
    <t>PORTO RUNKE j.d.o.o.</t>
  </si>
  <si>
    <t>Željko Stipić</t>
  </si>
  <si>
    <t>05932238</t>
  </si>
  <si>
    <t>Pula</t>
  </si>
  <si>
    <t>Kosova ulica 31, 52100 Pula</t>
  </si>
  <si>
    <t>Marina Radić</t>
  </si>
  <si>
    <t>Svjetlana Stipić</t>
  </si>
  <si>
    <t>1. Za slučaj spora stranke ugovaraju mjesnu nadležnost stvarno nadležnog suda u Puli.</t>
  </si>
  <si>
    <t>U Puli, dana 9.4.2024.</t>
  </si>
  <si>
    <t xml:space="preserve"> (u daljenjem tekstu: Društvo), kojeg zastupa </t>
  </si>
  <si>
    <t>1. Radnik će raditi</t>
  </si>
  <si>
    <t>radno vrijeme od</t>
  </si>
  <si>
    <t>može trajati od 10:00 do 18:00</t>
  </si>
  <si>
    <t>Čuvanje poslovne tajne</t>
  </si>
  <si>
    <t>U Puli, dana 1.5.2024.</t>
  </si>
  <si>
    <t>zaštićene,  a koje su mu bile povjerene ili koje je mogao saznati na poslu.</t>
  </si>
  <si>
    <t>a može trajati: 10:00-18:00</t>
  </si>
  <si>
    <t xml:space="preserve">2. Poslodavac će isplaćivati plaću za predhodni mjesec, dodatak na plaću sukladno Zakonu o rad, te naknade </t>
  </si>
  <si>
    <t>2. Poslodavac će isplaćivati plaću za predhodni mjesec, dodatak na plaću sukladno Zakonu o rad, te naknade</t>
  </si>
  <si>
    <t>plaće najkasnije do 15. u mjesecu za rad obavljen u prethodnom mjesecu.</t>
  </si>
  <si>
    <t>, razmjerno broju sati.</t>
  </si>
  <si>
    <t>2. Ovim ugovorom radnik zasniva radni odnos na  ODREĐENO VRIJEME do datuma</t>
  </si>
  <si>
    <t>Mihael Filipović</t>
  </si>
  <si>
    <t>Ištvan Kovač</t>
  </si>
  <si>
    <t>Bana Josipa Jelačića 47, Šaptinovci, Đurđenovac</t>
  </si>
  <si>
    <t>Josipa J. Strossmayera 47, Zdenci</t>
  </si>
  <si>
    <t>Katica Jusup Šmit</t>
  </si>
  <si>
    <t>Sljemenska ulica 58, 31000 Osijek</t>
  </si>
  <si>
    <t>HR9623400093203035695</t>
  </si>
  <si>
    <t>Sara Oršulić</t>
  </si>
  <si>
    <t>Olajnica 2, Vukovar</t>
  </si>
  <si>
    <t>HR1924070003206814667</t>
  </si>
  <si>
    <t>Ado Mujaković</t>
  </si>
  <si>
    <t>Rogozan bb. Brčko</t>
  </si>
  <si>
    <t>Zastupnik direktne prodaje</t>
  </si>
  <si>
    <t>Alma Salihović</t>
  </si>
  <si>
    <t>Jasmin Ibrišević</t>
  </si>
  <si>
    <t>Brka bb.Brčko</t>
  </si>
  <si>
    <t>Tea Jugović</t>
  </si>
  <si>
    <t>Prolaz Josipa Leovića 15, 31000 Osijek</t>
  </si>
  <si>
    <t>HR9324020063208153462</t>
  </si>
  <si>
    <t>Ines Tomić</t>
  </si>
  <si>
    <t>Antuna Kanižlića 80,31000  Osijek</t>
  </si>
  <si>
    <t>HR3324020063208654577</t>
  </si>
  <si>
    <t>Ivana Graovac</t>
  </si>
  <si>
    <t>Ljudevita Gaja 12, Višnjevac</t>
  </si>
  <si>
    <t>Marko Šimon</t>
  </si>
  <si>
    <t xml:space="preserve">Naselje Hrvatskih Branitelja 13,Kneževi Vinogradi </t>
  </si>
  <si>
    <t>HR9823400093235832620</t>
  </si>
  <si>
    <t>Maja Pavličević</t>
  </si>
  <si>
    <t>Svetog Duha 31A, Požega</t>
  </si>
  <si>
    <t>HR8823600003242169175</t>
  </si>
  <si>
    <t>Gornjodravska Obala 98, 31000 Osijek</t>
  </si>
  <si>
    <t>Viktoria Drinovac</t>
  </si>
  <si>
    <t>Ulica Omorika 12, 31000 Osijek</t>
  </si>
  <si>
    <t>HR8523600003246836481</t>
  </si>
  <si>
    <t>Kristijan Adrić</t>
  </si>
  <si>
    <t>IZIDORA KRŠNJAVOGA 18,VUKOVAR</t>
  </si>
  <si>
    <t>Matija Blaževac</t>
  </si>
  <si>
    <t>Ulica Svetog Roka 53 A, Osijek</t>
  </si>
  <si>
    <t>HR2223600003248481862</t>
  </si>
  <si>
    <t>Ibrahin Advić</t>
  </si>
  <si>
    <t>JRD Brčko distrikt</t>
  </si>
  <si>
    <t>Ivona Đurašević</t>
  </si>
  <si>
    <t>Zrinska 92, Nijemci</t>
  </si>
  <si>
    <t>HR1423900013291674346</t>
  </si>
  <si>
    <t>Robin Zonta</t>
  </si>
  <si>
    <t>Centar 118, Vinkuran, Medulin</t>
  </si>
  <si>
    <t>Pomoćni kuhar</t>
  </si>
  <si>
    <t>Maja Vujica</t>
  </si>
  <si>
    <t>07132339218</t>
  </si>
  <si>
    <t>Ulica Stoja 23A, 52100 Pula</t>
  </si>
  <si>
    <t>Pomoćni konobar</t>
  </si>
  <si>
    <t>Marijana Kunac</t>
  </si>
  <si>
    <t>Runke 43, 52203 Premantura, Medulin</t>
  </si>
  <si>
    <t>HR7923900013221012847</t>
  </si>
  <si>
    <t xml:space="preserve"> (u daljenjem tekstu: Poslodavac), kojeg zastupa </t>
  </si>
  <si>
    <t>Ciglarska 7, Vinkovci</t>
  </si>
  <si>
    <t>LT 97 3250030445957034</t>
  </si>
  <si>
    <t>KREATIVNI KOLEKTIV j.d.o.o.</t>
  </si>
  <si>
    <t>Anton Brnečić</t>
  </si>
  <si>
    <t>Ulica Valcereš 7, 52100 Pula</t>
  </si>
  <si>
    <t>05963028</t>
  </si>
  <si>
    <t>Ema Stipić</t>
  </si>
  <si>
    <t>Ulica Luka 16, Kopčevec, Dugo Selo</t>
  </si>
  <si>
    <t>Daniel Horvat</t>
  </si>
  <si>
    <t>Anđelko Katinić</t>
  </si>
  <si>
    <t>Ulica Rastušje 72, Rastušje, Podcrkavlje</t>
  </si>
  <si>
    <t>Blatuša 178, Blatuša, Gvozd</t>
  </si>
  <si>
    <t>Viktorija Micai</t>
  </si>
  <si>
    <t>Batina, Košuta lajoša 1</t>
  </si>
  <si>
    <t>pomoćni slastičar</t>
  </si>
  <si>
    <t>HR7823900013292159552</t>
  </si>
  <si>
    <t>Noemi Vala</t>
  </si>
  <si>
    <t>Novi Bezdan, Dravska 6</t>
  </si>
  <si>
    <t>HR6225000093107383759</t>
  </si>
  <si>
    <t>ELISABETH MARTIN</t>
  </si>
  <si>
    <t>VLASIMIRA NAZORA 24, BATINA</t>
  </si>
  <si>
    <t>BATINA</t>
  </si>
  <si>
    <t>Josipa Jurja Strossmayera 105A</t>
  </si>
  <si>
    <t>ZADAR</t>
  </si>
  <si>
    <t>UL. Ivana Gundulića 115</t>
  </si>
  <si>
    <t>stolar</t>
  </si>
  <si>
    <t>HR7224840083237798137</t>
  </si>
  <si>
    <t>FILIPOVIĆ MIHAEL</t>
  </si>
  <si>
    <t>J.J.STROSMAYERA 47, ZDENCI</t>
  </si>
  <si>
    <t>VOĆAR VINAR VINOGRADA</t>
  </si>
  <si>
    <t>HR1524840083237798969</t>
  </si>
  <si>
    <t>VivaPalazzo d.o.o.</t>
  </si>
  <si>
    <t>Gábor Kis-Simon</t>
  </si>
  <si>
    <t>05997631</t>
  </si>
  <si>
    <t>SALGOTARJÁN, HU</t>
  </si>
  <si>
    <t>RIBARSKA 10, OSIJEK</t>
  </si>
  <si>
    <t>DIREKTOR, ČLAN UPRAVE</t>
  </si>
  <si>
    <t>László Háklár</t>
  </si>
  <si>
    <t>SZ0NY, HU</t>
  </si>
  <si>
    <t>Pavle Darojković</t>
  </si>
  <si>
    <t>Svilajska 9 , 31000 Osijek</t>
  </si>
  <si>
    <t>hrvatsko</t>
  </si>
  <si>
    <t>Svilajska 9, Osijek</t>
  </si>
  <si>
    <t>Iznajmljivač</t>
  </si>
  <si>
    <t>Imre Bata</t>
  </si>
  <si>
    <t>04008839</t>
  </si>
  <si>
    <t>registarski broj</t>
  </si>
  <si>
    <t>KHOKON PRINCE</t>
  </si>
  <si>
    <t>02655314</t>
  </si>
  <si>
    <t>05634148</t>
  </si>
  <si>
    <t>01456687</t>
  </si>
  <si>
    <t>05745004</t>
  </si>
  <si>
    <t>ARISH J.D.O.O.</t>
  </si>
  <si>
    <t>05796431</t>
  </si>
  <si>
    <t>KHOKON J.D.O.O.</t>
  </si>
  <si>
    <t>05843367</t>
  </si>
  <si>
    <t>Deep Construct j.d.o.o.</t>
  </si>
  <si>
    <t>Dr. Tamás Waitz</t>
  </si>
  <si>
    <t>06005535</t>
  </si>
  <si>
    <t>Olivér Bakai</t>
  </si>
  <si>
    <t>Baja</t>
  </si>
  <si>
    <t>6522 Gara, Kossuth Lajos utca 24</t>
  </si>
  <si>
    <t xml:space="preserve">Roland Szabó </t>
  </si>
  <si>
    <t>6522 Gara, Dózsa György utca 4.</t>
  </si>
  <si>
    <t xml:space="preserve">Szabolcs Bacsi </t>
  </si>
  <si>
    <t>6522 Gara, Bunyevác utca 131</t>
  </si>
  <si>
    <t xml:space="preserve">Tamás Hrubos </t>
  </si>
  <si>
    <t>6456 Madaras, Bajcsy-Zsilinszky utca 74</t>
  </si>
  <si>
    <t xml:space="preserve">Gábor Krisztián Horváth </t>
  </si>
  <si>
    <t>Budapest</t>
  </si>
  <si>
    <t>6456 Madaras, Táncsics Mihály utca 86</t>
  </si>
  <si>
    <t xml:space="preserve">Antal Vas </t>
  </si>
  <si>
    <t>Kecskemet</t>
  </si>
  <si>
    <t>6456 Madaras, Kinizsi Pál utca 18</t>
  </si>
  <si>
    <t xml:space="preserve">Gábor Pál Herczeg </t>
  </si>
  <si>
    <t>6453 Bácsborsod Arany János utca 64.</t>
  </si>
  <si>
    <t>strojar građevinskih strojeva</t>
  </si>
  <si>
    <t>Tomislav Gržanić</t>
  </si>
  <si>
    <t>Trg Javne Vage 1, Vodnjan</t>
  </si>
  <si>
    <t>NATALIJA HORAK</t>
  </si>
  <si>
    <t>´06745396921</t>
  </si>
  <si>
    <t>Petefi Šandora 85, Lug</t>
  </si>
  <si>
    <t>1. Za slučaj spora stranke ugovaraju mjesnu nadležnost stvarno nadležnog suda u Osijeku.</t>
  </si>
  <si>
    <t>ALISCA BAU Zrt. - Podružnica Osijek</t>
  </si>
  <si>
    <t>Zoran Zsivovics</t>
  </si>
  <si>
    <t>06007678</t>
  </si>
  <si>
    <t>Ulica svetog Leopolda Bogdana Mandića 111M</t>
  </si>
  <si>
    <t>ORĐAN JANOS</t>
  </si>
  <si>
    <t>UL. IVANA MAŽURANIĆA 36, BILJE</t>
  </si>
  <si>
    <t>HAFNER KARLO</t>
  </si>
  <si>
    <t>UL. KRALJA ZVONIMIRA 52, BILJE</t>
  </si>
  <si>
    <t>ĆURIĆ IVAN</t>
  </si>
  <si>
    <t>UL. A. STARČEVIĆA 3B, VIŠNJEVAC</t>
  </si>
  <si>
    <t>VSSS</t>
  </si>
  <si>
    <t>OVLAŠTENI VODITELJ GRADILIŠTA</t>
  </si>
  <si>
    <t>BERKI ISTVÁN</t>
  </si>
  <si>
    <t>RUŽINA ULICA 7, VARDARAC</t>
  </si>
  <si>
    <r>
      <t xml:space="preserve">obavljanje poslova </t>
    </r>
    <r>
      <rPr>
        <b/>
        <u/>
        <sz val="11"/>
        <color rgb="FF000000"/>
        <rFont val="Calibri"/>
        <family val="2"/>
        <charset val="238"/>
      </rPr>
      <t>pomoćni slastičar</t>
    </r>
    <r>
      <rPr>
        <sz val="11"/>
        <color indexed="8"/>
        <rFont val="Calibri"/>
        <family val="2"/>
        <charset val="238"/>
      </rPr>
      <t>.</t>
    </r>
  </si>
  <si>
    <r>
      <t xml:space="preserve">Ovim Ugovorom radnik zasniva radni odnos na određeno vrijeme do </t>
    </r>
    <r>
      <rPr>
        <b/>
        <u/>
        <sz val="11"/>
        <color rgb="FF000000"/>
        <rFont val="Calibri"/>
        <family val="2"/>
        <charset val="238"/>
      </rPr>
      <t>31.12.2024</t>
    </r>
    <r>
      <rPr>
        <sz val="11"/>
        <color indexed="8"/>
        <rFont val="Calibri"/>
        <family val="2"/>
        <charset val="238"/>
      </rPr>
      <t xml:space="preserve">. za </t>
    </r>
  </si>
  <si>
    <t xml:space="preserve">U Suzi,                                                                    </t>
  </si>
  <si>
    <t>VLADIMIRA NAZORA24, BATINA</t>
  </si>
  <si>
    <t>HR97 25000093221895606</t>
  </si>
  <si>
    <t>3. Mjesto rada radnika je u mjestu</t>
  </si>
  <si>
    <t xml:space="preserve">4. Pored poslova navedenih u točki 2. ovog ugovora Radnik će obavljati i druge poslove prema nalogu </t>
  </si>
  <si>
    <t xml:space="preserve">5. Radnik počinje s radom </t>
  </si>
  <si>
    <t>6. Razlog zapošljavanja na određeno vrijeme je privremno povećan obim posla.</t>
  </si>
  <si>
    <t>I.F. Gundulića 5, 31000 Osijek</t>
  </si>
  <si>
    <t>5sedmina j.d.o.o.</t>
  </si>
  <si>
    <t>Danijela Petrović</t>
  </si>
  <si>
    <t>06039910</t>
  </si>
  <si>
    <t>Kornatska 29, 31000 Osijek</t>
  </si>
  <si>
    <t>KORNATSKA 29, 31000 OSIJEK</t>
  </si>
  <si>
    <t>LUCIJA DUMANČIĆ</t>
  </si>
  <si>
    <t>UL. 8. MARTA 62, KNEŽEVI VINOGRADI</t>
  </si>
  <si>
    <t>MISLAV PETROVIĆ</t>
  </si>
  <si>
    <t>HR7523600003249617748</t>
  </si>
  <si>
    <t>Instalater/instalaterka grijanja i klimatizacije</t>
  </si>
  <si>
    <t>Mijenja se članak 1. točka 2. Ugovora o radu 01.10.2023 te po novom glasi:</t>
  </si>
  <si>
    <t>po novom glasi:</t>
  </si>
  <si>
    <t>Ivan Ćosić</t>
  </si>
  <si>
    <t>Ova odluka je  sastavljen je u dva istovjetna primjerka od kojih svaka ugovorna strana</t>
  </si>
  <si>
    <t>Zbog nezadovoljavanja na probnom radu.</t>
  </si>
  <si>
    <t>ODLUKU O PRESTANKU RADNOG ODNOSA</t>
  </si>
  <si>
    <t>Godine.</t>
  </si>
  <si>
    <t>administrator/konobar/ kuhar</t>
  </si>
  <si>
    <t>MILOŠ PODUNAVAC</t>
  </si>
  <si>
    <t>NOVIGRAD</t>
  </si>
  <si>
    <t>MAREDA, BLOK B1, 52466 Novigrad</t>
  </si>
  <si>
    <t>GORAN TATALOVIĆ</t>
  </si>
  <si>
    <t>VODITELJ POSLOVNICE</t>
  </si>
  <si>
    <t>VODITELJ POSLOVNICE KONOBAR</t>
  </si>
  <si>
    <t>31.08.2002.</t>
  </si>
  <si>
    <t>BOJAN KERESTEŠ</t>
  </si>
  <si>
    <t>BRAČKA 126, 31000 OSIJEK</t>
  </si>
  <si>
    <t>ELEKTRIČAR0</t>
  </si>
  <si>
    <t>POMOČNI DJELATNIK / ELEKTRIČAR</t>
  </si>
  <si>
    <t>aktiva</t>
  </si>
  <si>
    <t>VALA NOEMI</t>
  </si>
  <si>
    <t>POMOĆNA SLASTIČARKA</t>
  </si>
  <si>
    <t>KIŠPAL LAURA</t>
  </si>
  <si>
    <t>OSIJEK0</t>
  </si>
  <si>
    <t>8. MARTA 30, KNEŽEVI VINOGRADI</t>
  </si>
  <si>
    <t>31,01,2026</t>
  </si>
  <si>
    <t>HR8724020063212143568</t>
  </si>
  <si>
    <t>SUZA, KOSUTA LAJOŠA 7</t>
  </si>
  <si>
    <t>01.04.2025.</t>
  </si>
  <si>
    <t>SPEED BOX  j.d.o.o.</t>
  </si>
  <si>
    <t>ALEKSA JURIĆ</t>
  </si>
  <si>
    <t>06102034</t>
  </si>
  <si>
    <t>Ilok</t>
  </si>
  <si>
    <t>Julia Benešića 32</t>
  </si>
  <si>
    <t>ILOK</t>
  </si>
  <si>
    <t>Julia Benešića 32, 32236 Ilok</t>
  </si>
  <si>
    <t>direktor društva</t>
  </si>
  <si>
    <t>DIREKROT</t>
  </si>
  <si>
    <t>AKRIVAN</t>
  </si>
  <si>
    <t>JOSIP ZEKO</t>
  </si>
  <si>
    <t>SJENJAK 137</t>
  </si>
  <si>
    <t>MONTER</t>
  </si>
  <si>
    <t>HR3323400093219456019</t>
  </si>
  <si>
    <t>Mijenja se i točka 1. članak 4. Ugovora o radu od 01.05.2025 te</t>
  </si>
  <si>
    <t>DG-ELEKTRO J.D.O.O.</t>
  </si>
  <si>
    <t>Domagoj Grgurić,</t>
  </si>
  <si>
    <t>43.21.0</t>
  </si>
  <si>
    <t>Mali Lošinj</t>
  </si>
  <si>
    <t>86017751097 </t>
  </si>
  <si>
    <t>Vresikovo 25, 51550 Mali Lošinj</t>
  </si>
  <si>
    <t>ČLAN UPRAVE / DIREKTOR</t>
  </si>
  <si>
    <t>ČLAN UPRAVE DIREKTOR</t>
  </si>
  <si>
    <t>MALI LOŠINJ</t>
  </si>
  <si>
    <t xml:space="preserve"> Vresikovo 25, Mali Lošinj</t>
  </si>
  <si>
    <t xml:space="preserve">odmora  za 2025 g u trajanju od </t>
  </si>
  <si>
    <t xml:space="preserve">U Osijekui, </t>
  </si>
  <si>
    <t>dana, koje će djelatnik iskoristiti u periodu od</t>
  </si>
  <si>
    <t>16.06.2025 do 20.06.2025</t>
  </si>
  <si>
    <t xml:space="preserve">Djelatnik je obavljao poslove završnog računa za obrtnike i poduzeća </t>
  </si>
  <si>
    <t>DALMATIA ASSET OPERATION D.O.O</t>
  </si>
  <si>
    <t>Zoltan Đulai</t>
  </si>
  <si>
    <t>Tribunj</t>
  </si>
  <si>
    <t>JABUKA PATRICIA</t>
  </si>
  <si>
    <t>šibenik</t>
  </si>
  <si>
    <t>trg slobode 5 TRIBUNJ</t>
  </si>
  <si>
    <t>IZVŠNI DIREKTOR</t>
  </si>
  <si>
    <t xml:space="preserve">Ugovorne strane suglasno utvrđuju da je radnik stekao pravo na srazmjerni dio otpremnine </t>
  </si>
  <si>
    <t>ZOLTAN ĐULAI</t>
  </si>
  <si>
    <t>BUDAPEST, Gyöngyvirág Út 13</t>
  </si>
  <si>
    <t>Jurjevgradska ulica 2, Tribunj</t>
  </si>
  <si>
    <t>AKRTIVN</t>
  </si>
  <si>
    <t>ČEPIN</t>
  </si>
  <si>
    <t>ZAGRAJSKI BECK IVANA</t>
  </si>
  <si>
    <t>KRALJA ZVONIMIRA 137, 31431 ČEPIN</t>
  </si>
  <si>
    <t>3. Ugovorene strane ugovaraju probni rad Radnika u trajanju od 3 mjeseca.</t>
  </si>
  <si>
    <t>Radnik je iskoristio pravo na godišnji odmor u cijelosti.</t>
  </si>
  <si>
    <t>Radnik je iskoristio godišnji odmor za 2025.g. u cijelosti.</t>
  </si>
  <si>
    <t>zastupano po direktoru  Zoranu Horvatu,  dalje u tekstu „poslodavac“,</t>
  </si>
  <si>
    <t>CRUDA NAVITAS d.o.o.</t>
  </si>
  <si>
    <t>Adam Kazimierz Grom</t>
  </si>
  <si>
    <t>Split</t>
  </si>
  <si>
    <t>Smiljanićeva 2</t>
  </si>
  <si>
    <t>79430081358 </t>
  </si>
  <si>
    <t>SPLIT</t>
  </si>
  <si>
    <t>Malta, TAS SLIEMA, Triq It Torri 204</t>
  </si>
  <si>
    <t>MALTA</t>
  </si>
  <si>
    <t>PopBor j.d.o.o.</t>
  </si>
  <si>
    <t>DONJODRASKA OBALA 20, 31000 OSIJEK</t>
  </si>
  <si>
    <t>06148913</t>
  </si>
  <si>
    <t>49.33,0</t>
  </si>
  <si>
    <t>Boris Popović</t>
  </si>
  <si>
    <t>Donjodravska obala 20, 31000 Osijek</t>
  </si>
  <si>
    <t>DIREKOR</t>
  </si>
  <si>
    <t>LT133250057302471833</t>
  </si>
  <si>
    <t xml:space="preserve">Radnik se obezuje na odrađivanje 2 tjedna otkaznog roka od dana 18.08.2025, a u periodu će iskoristiti i godišnji </t>
  </si>
  <si>
    <t>, dalje u tekstu „poslodavac“, i</t>
  </si>
  <si>
    <t xml:space="preserve">Dužnosti i obveze radnika iz ovog ugovora </t>
  </si>
  <si>
    <t>1. Poštivati odredbe radnog vremena, na posao dolaziti 15 minuta ranije.</t>
  </si>
  <si>
    <t>2. Brinuti da radna obuća i odjeća budu besprijekorno čisti</t>
  </si>
  <si>
    <t>3. Nositi isključivo odjeću koja je predviđena za rad u lokalu.</t>
  </si>
  <si>
    <t>4. Svakodnevno održavati higijenu noktiju, kose i cijeloga tijela.</t>
  </si>
  <si>
    <t>5. Ažurno voditi nadzorne liste kuhinje, poštivati i provoditi sve preporuke HACC standarda.</t>
  </si>
  <si>
    <t>6. Konstantno održavati čistoću prostora, kuhinjske opreme i ostalog inventara u kuhinji ugostiteljskog objekta.</t>
  </si>
  <si>
    <t>7. Kuhinjsko suđe prati strojno, te ih nakon pranja polirati i odlagati na predviđena mjesta.</t>
  </si>
  <si>
    <t>8. Obavezno izdavati račune i otpremnice za svako jelo dostavljaču ili konobaru, čuvati sve narudžbe i kasa blokove za hranu na posebno označenom mjestu.</t>
  </si>
  <si>
    <t>9. Poštivati normative i vizualne standarde prezentacije jela koji su predviđeni u ugostiteljskom objektu.</t>
  </si>
  <si>
    <t>10. Prema kolegama u kuhinji se odnositi sa dužnim poštovanjem, ne ulaziti u verbalne i fizičke sukobe, te u bilo kojim spornim situacijama odmah pozvati voditelja poslovanja.</t>
  </si>
  <si>
    <t>11. Na kraju radnog vremena nadopuniti hladnjake i posude za pripremu hrane, oprati sve posuđe i opremu, generalno oprati kuhinju, prebrisati stolove i pažljivo popisati robu te po potrebi napraviti završni obračun utrošenog repro materijala.</t>
  </si>
  <si>
    <t>12. slučaju materijalnog i financijskog manjka prilikom obračuna, nadoknaditi razliku u obračunu (manjak) Od osobne plaće.</t>
  </si>
  <si>
    <t>13. Pod punom materijalnom odgovornošću brinuti o opremi, uredajima i potrošnom materijalu koji su mu povjereni na upravljanje. Posebno voditi računa o kvaliteti namirnica, pravilnom skladištenju i rokovima trajanja svih namirnica u kuhinji.</t>
  </si>
  <si>
    <t>Ovaj ugovor je sastavljen u 2 (dva) primjer,a od kojih jedan zadržava radnik i jedan poslodavac. Stranke su ga pročitale i razumjele, što potvrđuju vlastoručnim potpisom.</t>
  </si>
  <si>
    <t>U Suzi</t>
  </si>
  <si>
    <t>Klaudia Fica</t>
  </si>
  <si>
    <t>Ulica Šandora Petefija 12</t>
  </si>
  <si>
    <t>MIHÁLY UTCA, 0031,</t>
  </si>
  <si>
    <t>VÖRÖSMARTY </t>
  </si>
  <si>
    <t>Nyugat epito KFT</t>
  </si>
  <si>
    <t>Görgky Zoltán</t>
  </si>
  <si>
    <t>Tóth Márk</t>
  </si>
  <si>
    <t>Sárospatak, Téglagyár utca 2</t>
  </si>
  <si>
    <t>građevinar</t>
  </si>
  <si>
    <t>pomoćni građevinski radnik</t>
  </si>
  <si>
    <t>Dávid Gyula</t>
  </si>
  <si>
    <t>Vámosújfalu, Dózsa György út 25.</t>
  </si>
  <si>
    <t>Lackó Mihály Zsolt</t>
  </si>
  <si>
    <t>Vajdácska, Sziget utca 27</t>
  </si>
  <si>
    <t>Balogh Ernő</t>
  </si>
  <si>
    <t>Bodroghalom, Szabadság utca 27</t>
  </si>
  <si>
    <t>Dávid Ádám</t>
  </si>
  <si>
    <t>József Attila út 3.</t>
  </si>
  <si>
    <t>Dávid Béla</t>
  </si>
  <si>
    <t>Molnár János</t>
  </si>
  <si>
    <t>Temetó utca 54</t>
  </si>
  <si>
    <r>
      <t xml:space="preserve">1. Ovaj Ugovor </t>
    </r>
    <r>
      <rPr>
        <b/>
        <sz val="12"/>
        <color indexed="8"/>
        <rFont val="Times New Roman"/>
        <family val="1"/>
        <charset val="238"/>
      </rPr>
      <t xml:space="preserve">mogu </t>
    </r>
    <r>
      <rPr>
        <sz val="12"/>
        <color indexed="8"/>
        <rFont val="Times New Roman"/>
        <family val="1"/>
        <charset val="238"/>
      </rPr>
      <t xml:space="preserve"> redovito otkazati i Poslodavac i Radnik pod uvjetima propisanim zakonom,</t>
    </r>
  </si>
  <si>
    <t>ĐURĐINA JOVČIĆ</t>
  </si>
  <si>
    <t>HRVATSKA</t>
  </si>
  <si>
    <t>SVETE ANE 26, 31207 Tenja</t>
  </si>
  <si>
    <t>HR0923900013292166517</t>
  </si>
  <si>
    <t>Mijenja se točka 1. članak 2. Ugovora o radu od 01.01.2026</t>
  </si>
  <si>
    <r>
      <t>Za obavljanje poslova iz čl. 1. ovog Ugovora, u ne</t>
    </r>
    <r>
      <rPr>
        <u/>
        <sz val="12"/>
        <color indexed="8"/>
        <rFont val="Times New Roman"/>
        <family val="1"/>
        <charset val="238"/>
      </rPr>
      <t>punom</t>
    </r>
    <r>
      <rPr>
        <sz val="12"/>
        <color indexed="8"/>
        <rFont val="Times New Roman"/>
        <family val="1"/>
        <charset val="238"/>
      </rPr>
      <t xml:space="preserve"> radnom vremenu od 1h dnevno odnosno 5h tjedno, poslodavac će </t>
    </r>
  </si>
  <si>
    <t>Radnik će raditi nepuno radno vrijeme od 1 sat dnevno, odnosno 5 sati tjedno.</t>
  </si>
  <si>
    <t>HOKUS-OKUS MT j.d.o.o</t>
  </si>
  <si>
    <t>Mateo Glibo</t>
  </si>
  <si>
    <t>56.11.0</t>
  </si>
  <si>
    <t>Županijska ulica 17</t>
  </si>
  <si>
    <t>Marko Baša</t>
  </si>
  <si>
    <t>Sv. Leopolda Mandića 8, Osijek</t>
  </si>
  <si>
    <t>kuhar</t>
  </si>
  <si>
    <t>HR8724070003207281371</t>
  </si>
  <si>
    <r>
      <t xml:space="preserve">2. Radno vrijeme određuje se </t>
    </r>
    <r>
      <rPr>
        <b/>
        <sz val="12"/>
        <color indexed="8"/>
        <rFont val="Times New Roman"/>
        <family val="1"/>
        <charset val="238"/>
      </rPr>
      <t>jednokratno  ,</t>
    </r>
    <r>
      <rPr>
        <sz val="12"/>
        <color indexed="8"/>
        <rFont val="Times New Roman"/>
        <family val="1"/>
        <charset val="238"/>
      </rPr>
      <t xml:space="preserve"> prema rasporedu radnog vremena, </t>
    </r>
  </si>
  <si>
    <t>Vajdácska, Sziget utca 9.</t>
  </si>
  <si>
    <t>Kristina Vezaj</t>
  </si>
  <si>
    <t>Bosutsko 13., 31000 Osijek</t>
  </si>
  <si>
    <t>HR6624020063210439171</t>
  </si>
  <si>
    <t>maser</t>
  </si>
  <si>
    <t>U Osijeku, dana</t>
  </si>
  <si>
    <r>
      <t xml:space="preserve">zbog </t>
    </r>
    <r>
      <rPr>
        <b/>
        <sz val="12"/>
        <color indexed="8"/>
        <rFont val="Times New Roman"/>
        <family val="1"/>
        <charset val="238"/>
      </rPr>
      <t>nezadovoljavanja na radnomna probnom radu</t>
    </r>
  </si>
  <si>
    <t>administrativni djelatnik</t>
  </si>
  <si>
    <t>0 dana</t>
  </si>
  <si>
    <t>Rőbert Rézműves</t>
  </si>
  <si>
    <t>Kossuth Lajos utca 46, 3933 Olaszliszka</t>
  </si>
  <si>
    <t>GRAĐEVINSKI RADNIK</t>
  </si>
  <si>
    <t>HU71 1040 1969 8676 8989 8287 1005</t>
  </si>
  <si>
    <t>Péter Dandás</t>
  </si>
  <si>
    <t>Temető utca 48, 3935 Erdőhorváti</t>
  </si>
  <si>
    <t>Máté Setény</t>
  </si>
  <si>
    <t>Válto utca 9, 3527 Miskolc</t>
  </si>
  <si>
    <t>Máriő Dávid</t>
  </si>
  <si>
    <t>KOSSUTH LAJOS UTCA 41, 31000 Osijek</t>
  </si>
  <si>
    <t>Jőzsef Dandás</t>
  </si>
  <si>
    <t>Aradi utca 14, 3933 Fűzérradvány</t>
  </si>
  <si>
    <t>Ferenc Váradi</t>
  </si>
  <si>
    <t>Kossuth L. utca 46, 3933 Olaszliszka</t>
  </si>
  <si>
    <t>Janja Gjalić</t>
  </si>
  <si>
    <t>Hrvatsko</t>
  </si>
  <si>
    <t>Stanka Vraza 10, 31000 Osijek</t>
  </si>
  <si>
    <t>maser/maserka</t>
  </si>
  <si>
    <t>HR46 2340 0093 2367 1198 8</t>
  </si>
  <si>
    <t>Sagitta Consulting d.o.o.</t>
  </si>
  <si>
    <t>Andoči Janoš</t>
  </si>
  <si>
    <t>70.22.0</t>
  </si>
  <si>
    <t>Kneževi Vinogradi</t>
  </si>
  <si>
    <t>Ulica 8. marta 47</t>
  </si>
  <si>
    <t>Korina Tomašić Deak</t>
  </si>
  <si>
    <t>43885343400 </t>
  </si>
  <si>
    <t>Čabarkapa Maja</t>
  </si>
  <si>
    <t>Vijenac Petrove Gore 5</t>
  </si>
  <si>
    <t>Aktivni</t>
  </si>
  <si>
    <t>dana, koje će  djelatnik koristiti od  15.07.2026</t>
  </si>
  <si>
    <t>u visini 1/3 prosječne bruto plaće za svaku navršenu godinu rada a to je iznos od bruto 3.493,12 eur</t>
  </si>
  <si>
    <t>SUNERG OS D.O.O.</t>
  </si>
  <si>
    <t>Attila peli</t>
  </si>
  <si>
    <t>Valentin šipoš</t>
  </si>
  <si>
    <t>sombor RS</t>
  </si>
  <si>
    <t>Beli Manastir, Sunčana 40</t>
  </si>
  <si>
    <t>HR1723400093230367255</t>
  </si>
  <si>
    <t>aktiv</t>
  </si>
  <si>
    <t>VLADIMIR DEDUŠ</t>
  </si>
  <si>
    <t>Moslavačka 7 a</t>
  </si>
  <si>
    <t>maser / maserka</t>
  </si>
  <si>
    <t>Izjava o  Neisplati neto plaće</t>
  </si>
  <si>
    <t>izjavljujem da sam svjestan kako NETO za radno vrijemepreuzeo prijave na</t>
  </si>
  <si>
    <t>neću dobiti plaćeno jer niti ne moram dolaziti raditi.</t>
  </si>
  <si>
    <t>Također izjavljujem da ovu situaciju neću zlorabiti te poslodavca prijaviti inspektoratu rada.</t>
  </si>
  <si>
    <t>Poslodavac je svjestan da ću ja za vrijeme rada obavljati usluge masaže u svom obrtu i za iste</t>
  </si>
  <si>
    <t xml:space="preserve"> izdavati račune. Te je informiran o sukobu interesa.</t>
  </si>
  <si>
    <t>CLEANING FACILITY MANAGEMENT d.o.o.</t>
  </si>
  <si>
    <t>MICHAEL BAUER</t>
  </si>
  <si>
    <t>Ulica Matka Laginje 13</t>
  </si>
  <si>
    <t>Oprtalj - Portole</t>
  </si>
  <si>
    <t>TATALOVIĆ GORAN</t>
  </si>
  <si>
    <t>05.12.1966.</t>
  </si>
  <si>
    <t>konobar</t>
  </si>
  <si>
    <t>NOVIGRAD ISTARSKI, Sv. Benedikt 35</t>
  </si>
  <si>
    <t xml:space="preserve">, a razmjerno broju sati. </t>
  </si>
  <si>
    <t>TATALOVIĆ LUKA</t>
  </si>
  <si>
    <t>POMOĆNI KONOBAR</t>
  </si>
  <si>
    <t xml:space="preserve">U NOVIGRADU, dana </t>
  </si>
  <si>
    <t>LUJANAC FILIP</t>
  </si>
  <si>
    <t>ULICA TOME LUJANCA 36, BADLJEVINA, PAKRAC</t>
  </si>
  <si>
    <t>Alma Okanović</t>
  </si>
  <si>
    <t>Stefan Kiš</t>
  </si>
  <si>
    <t>Frizer</t>
  </si>
  <si>
    <t>pola</t>
  </si>
  <si>
    <t>dopunsko</t>
  </si>
  <si>
    <t>a može početi od 7:00 i završiti u 23:00 sati.</t>
  </si>
  <si>
    <t>U Osijeku , dana :</t>
  </si>
  <si>
    <t>Studio031, vl. Alma Okanović</t>
  </si>
  <si>
    <t>5141.13.3</t>
  </si>
  <si>
    <t>sa sjedištem u</t>
  </si>
  <si>
    <t>Osijek, Gornjodravska 90C</t>
  </si>
  <si>
    <t>Gornjodravska 90c</t>
  </si>
  <si>
    <t>Mjesto</t>
  </si>
  <si>
    <t>a može početi od 7:00 i završiti u 21:00 sati.</t>
  </si>
  <si>
    <t>Na temelju Zakona o radu ("Narodne novine", br. 93/14., 127/17, 151/22, 46/23, 64/23)</t>
  </si>
  <si>
    <t>Tenja, Ulica Matije Vlačića 13A</t>
  </si>
  <si>
    <t>3. Uz plaću navedenu u točki II.1. ovog ugovora Radniku pripada i stimulativni dio plaće</t>
  </si>
  <si>
    <t xml:space="preserve"> prema odluci poslodavca.</t>
  </si>
  <si>
    <t xml:space="preserve">a razmjerno broju sati. Ovisno o rezultatima rad radniku se može ispaltiti </t>
  </si>
  <si>
    <t>i stimulativni dio plaće.</t>
  </si>
  <si>
    <r>
      <t xml:space="preserve">1. Ovaj Ugovor </t>
    </r>
    <r>
      <rPr>
        <b/>
        <sz val="12"/>
        <color indexed="8"/>
        <rFont val="Times New Roman"/>
        <family val="1"/>
        <charset val="238"/>
      </rPr>
      <t xml:space="preserve">mogu </t>
    </r>
    <r>
      <rPr>
        <sz val="12"/>
        <color indexed="8"/>
        <rFont val="Times New Roman"/>
        <family val="1"/>
        <charset val="238"/>
      </rPr>
      <t xml:space="preserve">redovito ili izvanredno otkazati i Poslodavac i Radnik pod uvjetima propisanim </t>
    </r>
  </si>
  <si>
    <t>zakonom, i prije isteka vremena za koji je sklopljen.</t>
  </si>
  <si>
    <t xml:space="preserve">2. U slučaju otkazivanja ugovora o radu, otkazni rok iznosi minimalno 30 radnih dana sukladno </t>
  </si>
  <si>
    <t>1. Radnik se obvezuje da će za vrijeme trajanja Ugovora o radu, a i njegovog prestanka čuvati sve</t>
  </si>
  <si>
    <t xml:space="preserve">1. Ovim ugovorom se utvrđuju međusobna prava, obveze i odgovornosti na radu </t>
  </si>
  <si>
    <t>između Poslodavca i Radnika.</t>
  </si>
  <si>
    <t xml:space="preserve">Radnik ima pravo na naknade troškova za službena putovanja u zemlji i inozemstvu, </t>
  </si>
  <si>
    <t>u visini propisanoj zakonom.</t>
  </si>
  <si>
    <t>te naknade plaće najkasnije do posljednjeg dana u mjesecu za rad obavljen u predhodnom mjesecu.</t>
  </si>
  <si>
    <t>2. Poslodavac će ispalćivati plaću za predhodni mjesec, dodatak na plaću sukladno Zakonu o rad,</t>
  </si>
  <si>
    <t>(</t>
  </si>
  <si>
    <r>
      <t>2. Ovim ugovorom radnik zasniva radni odnos na</t>
    </r>
    <r>
      <rPr>
        <b/>
        <sz val="12"/>
        <color rgb="FF000000"/>
        <rFont val="Times New Roman"/>
        <family val="1"/>
        <charset val="238"/>
      </rPr>
      <t xml:space="preserve"> NEODREĐENO VRIJEME</t>
    </r>
    <r>
      <rPr>
        <sz val="12"/>
        <color indexed="8"/>
        <rFont val="Times New Roman"/>
        <family val="1"/>
        <charset val="238"/>
      </rPr>
      <t xml:space="preserve"> za obavljanje poslova </t>
    </r>
  </si>
  <si>
    <t>a radnik 1 primjerak.</t>
  </si>
  <si>
    <t>3. Ovaj je ugovor sklopljen u 4 istovjetna primjerka od kojih Poslodavac zadržava 3 primjerka,</t>
  </si>
  <si>
    <t>/ mjeseca.</t>
  </si>
  <si>
    <t>6. Radnik počinje s radom:</t>
  </si>
  <si>
    <r>
      <t xml:space="preserve">Kojim se zasniva radni odnos  između </t>
    </r>
    <r>
      <rPr>
        <b/>
        <sz val="12"/>
        <color indexed="8"/>
        <rFont val="Times New Roman"/>
        <family val="1"/>
        <charset val="238"/>
      </rPr>
      <t>poslodavca:</t>
    </r>
    <r>
      <rPr>
        <sz val="12"/>
        <color indexed="8"/>
        <rFont val="Times New Roman"/>
        <family val="1"/>
        <charset val="238"/>
      </rPr>
      <t xml:space="preserve"> </t>
    </r>
  </si>
  <si>
    <t>prirodi povjerenje i zaštičene,  a koje su mu bile povjerene ili koje je mogao saznati na poslu.</t>
  </si>
  <si>
    <t>poslovne tajne poslodavca i njegovih komitenata prema neovlaštenim osobama, koje su po svojoj</t>
  </si>
  <si>
    <t xml:space="preserve">/ / / </t>
  </si>
  <si>
    <t>Radnik ima pravo naknade troškova za prijevoz na posao u iznosu radničke mjesečne karte</t>
  </si>
  <si>
    <t>za mjesec, u minimalnom iznosu :</t>
  </si>
  <si>
    <t>4 tjedna</t>
  </si>
  <si>
    <t>5. Radnik ima pravo na godišnji odmor u trajanju od:</t>
  </si>
  <si>
    <t>Zakonu o radu i drugim propisima koji se primjenjuje.</t>
  </si>
  <si>
    <t>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</si>
</sst>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-* #,##0.00\ &quot;kn&quot;_-;\-* #,##0.00\ &quot;kn&quot;_-;_-* &quot;-&quot;??\ &quot;kn&quot;_-;_-@_-"/>
    <numFmt numFmtId="164" formatCode="dd/mm/yyyy;@"/>
    <numFmt numFmtId="165" formatCode="0.0"/>
    <numFmt numFmtId="166" formatCode="#,##0.00\ &quot;kn&quot;"/>
    <numFmt numFmtId="167" formatCode="#,##0.0"/>
    <numFmt numFmtId="168" formatCode="#,##0.00\ [$EUR]"/>
    <numFmt numFmtId="169" formatCode="_-* #,##0.00\ [$€-1]_-;\-* #,##0.00\ [$€-1]_-;_-* &quot;-&quot;??\ [$€-1]_-;_-@_-"/>
    <numFmt numFmtId="170" formatCode="#,##0.00\ [$€-1];[Red]\-#,##0.00\ [$€-1]"/>
    <numFmt numFmtId="171" formatCode="#,##0.00\ [$€-1];\-#,##0.00\ [$€-1]"/>
  </numFmts>
  <fonts count="165">
    <font>
      <sz val="11"/>
      <color indexed="8"/>
      <name val="Calibri"/>
    </font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10"/>
      <color indexed="8"/>
      <name val="Times New Roman"/>
      <family val="1"/>
      <charset val="238"/>
    </font>
    <font>
      <sz val="12"/>
      <color indexed="8"/>
      <name val="Times New Roman"/>
      <family val="1"/>
      <charset val="238"/>
    </font>
    <font>
      <b/>
      <sz val="10"/>
      <color indexed="8"/>
      <name val="Times New Roman"/>
      <family val="1"/>
      <charset val="238"/>
    </font>
    <font>
      <b/>
      <sz val="11"/>
      <color indexed="8"/>
      <name val="Calibri"/>
      <family val="2"/>
      <charset val="238"/>
    </font>
    <font>
      <sz val="8"/>
      <name val="Calibri"/>
      <family val="2"/>
      <charset val="238"/>
    </font>
    <font>
      <sz val="11"/>
      <color indexed="8"/>
      <name val="Calibri"/>
      <family val="2"/>
      <charset val="238"/>
    </font>
    <font>
      <b/>
      <sz val="12"/>
      <color indexed="8"/>
      <name val="Times New Roman"/>
      <family val="1"/>
      <charset val="238"/>
    </font>
    <font>
      <b/>
      <sz val="16"/>
      <color indexed="8"/>
      <name val="Times New Roman"/>
      <family val="1"/>
      <charset val="238"/>
    </font>
    <font>
      <sz val="16"/>
      <color indexed="8"/>
      <name val="Times New Roman"/>
      <family val="1"/>
      <charset val="238"/>
    </font>
    <font>
      <b/>
      <sz val="10"/>
      <color indexed="8"/>
      <name val="Trebuchet MS"/>
      <family val="2"/>
      <charset val="238"/>
    </font>
    <font>
      <b/>
      <u/>
      <sz val="12"/>
      <color indexed="8"/>
      <name val="Times New Roman"/>
      <family val="1"/>
      <charset val="238"/>
    </font>
    <font>
      <b/>
      <strike/>
      <sz val="12"/>
      <color indexed="8"/>
      <name val="Times New Roman"/>
      <family val="1"/>
      <charset val="238"/>
    </font>
    <font>
      <sz val="12"/>
      <name val="Times New Roman"/>
      <family val="1"/>
      <charset val="238"/>
    </font>
    <font>
      <b/>
      <u/>
      <sz val="12"/>
      <name val="Times New Roman"/>
      <family val="1"/>
      <charset val="238"/>
    </font>
    <font>
      <sz val="11"/>
      <color indexed="8"/>
      <name val="Times New Roman"/>
      <family val="1"/>
      <charset val="238"/>
    </font>
    <font>
      <b/>
      <sz val="14"/>
      <color indexed="8"/>
      <name val="Times New Roman"/>
      <family val="1"/>
      <charset val="238"/>
    </font>
    <font>
      <b/>
      <u/>
      <sz val="11"/>
      <color indexed="8"/>
      <name val="Times New Roman"/>
      <family val="1"/>
      <charset val="238"/>
    </font>
    <font>
      <b/>
      <sz val="11"/>
      <color indexed="8"/>
      <name val="Times New Roman"/>
      <family val="1"/>
      <charset val="238"/>
    </font>
    <font>
      <sz val="12"/>
      <color indexed="8"/>
      <name val="Trebuchet MS"/>
      <family val="2"/>
      <charset val="238"/>
    </font>
    <font>
      <sz val="12"/>
      <color indexed="8"/>
      <name val="Calibri"/>
      <family val="2"/>
      <charset val="238"/>
    </font>
    <font>
      <sz val="8"/>
      <name val="Calibri"/>
      <family val="2"/>
      <charset val="238"/>
    </font>
    <font>
      <b/>
      <u/>
      <sz val="16"/>
      <color indexed="8"/>
      <name val="Times New Roman"/>
      <family val="1"/>
      <charset val="238"/>
    </font>
    <font>
      <b/>
      <i/>
      <sz val="12"/>
      <color indexed="8"/>
      <name val="Times New Roman"/>
      <family val="1"/>
      <charset val="238"/>
    </font>
    <font>
      <sz val="10"/>
      <name val="MS Sans Serif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sz val="8"/>
      <name val="Calibri"/>
      <family val="2"/>
      <charset val="238"/>
    </font>
    <font>
      <b/>
      <sz val="12"/>
      <color indexed="8"/>
      <name val="Calibri"/>
      <family val="2"/>
      <charset val="238"/>
    </font>
    <font>
      <sz val="11"/>
      <name val="Calibri"/>
      <family val="2"/>
      <charset val="238"/>
    </font>
    <font>
      <sz val="16"/>
      <color indexed="8"/>
      <name val="Calibri"/>
      <family val="2"/>
      <charset val="238"/>
    </font>
    <font>
      <sz val="8"/>
      <name val="Calibri"/>
      <family val="2"/>
      <charset val="238"/>
    </font>
    <font>
      <b/>
      <sz val="16"/>
      <color indexed="8"/>
      <name val="Calibri"/>
      <family val="2"/>
      <charset val="238"/>
    </font>
    <font>
      <sz val="8"/>
      <name val="Calibri"/>
      <family val="2"/>
      <charset val="238"/>
    </font>
    <font>
      <b/>
      <sz val="11"/>
      <name val="Arial"/>
      <family val="2"/>
    </font>
    <font>
      <sz val="9"/>
      <color indexed="8"/>
      <name val="Calibri"/>
      <family val="2"/>
      <charset val="238"/>
    </font>
    <font>
      <sz val="10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b/>
      <sz val="22"/>
      <color indexed="8"/>
      <name val="Calibri"/>
      <family val="2"/>
      <charset val="238"/>
    </font>
    <font>
      <sz val="11"/>
      <color indexed="62"/>
      <name val="Calibri"/>
      <family val="2"/>
      <charset val="238"/>
    </font>
    <font>
      <sz val="12"/>
      <color indexed="62"/>
      <name val="Calibri"/>
      <family val="2"/>
      <charset val="238"/>
    </font>
    <font>
      <b/>
      <sz val="11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name val="Arial Narrow"/>
      <family val="2"/>
      <charset val="238"/>
    </font>
    <font>
      <sz val="10"/>
      <name val="Arial"/>
      <family val="2"/>
      <charset val="238"/>
    </font>
    <font>
      <sz val="10"/>
      <name val="Arial Narrow"/>
      <family val="2"/>
    </font>
    <font>
      <sz val="8"/>
      <name val="Arial"/>
      <family val="2"/>
      <charset val="238"/>
    </font>
    <font>
      <sz val="6"/>
      <name val="Arial"/>
      <family val="2"/>
      <charset val="238"/>
    </font>
    <font>
      <sz val="6"/>
      <name val="Arial Narrow"/>
      <family val="2"/>
      <charset val="238"/>
    </font>
    <font>
      <sz val="8"/>
      <color indexed="8"/>
      <name val="Times New Roman"/>
      <family val="1"/>
      <charset val="238"/>
    </font>
    <font>
      <sz val="8"/>
      <name val="Calibri"/>
      <family val="2"/>
      <charset val="238"/>
    </font>
    <font>
      <sz val="8"/>
      <name val="Calibri"/>
      <family val="2"/>
      <charset val="238"/>
    </font>
    <font>
      <sz val="10"/>
      <color indexed="23"/>
      <name val="Arial"/>
      <family val="2"/>
      <charset val="238"/>
    </font>
    <font>
      <sz val="10"/>
      <color rgb="FF000000"/>
      <name val="Times New Roman"/>
      <family val="1"/>
      <charset val="238"/>
    </font>
    <font>
      <sz val="9.5"/>
      <color indexed="8"/>
      <name val="Times New Roman"/>
      <family val="1"/>
      <charset val="238"/>
    </font>
    <font>
      <sz val="11"/>
      <color rgb="FF000000"/>
      <name val="Calibri"/>
      <family val="2"/>
      <charset val="238"/>
      <scheme val="minor"/>
    </font>
    <font>
      <b/>
      <sz val="11"/>
      <color indexed="8"/>
      <name val="Arial"/>
      <family val="2"/>
      <charset val="238"/>
    </font>
    <font>
      <sz val="9"/>
      <color rgb="FF003366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theme="4" tint="-0.249977111117893"/>
      <name val="Open Sans"/>
      <family val="2"/>
    </font>
    <font>
      <sz val="11"/>
      <color rgb="FF3C4043"/>
      <name val="Calibri"/>
      <family val="2"/>
      <charset val="238"/>
      <scheme val="minor"/>
    </font>
    <font>
      <b/>
      <sz val="11"/>
      <color theme="4" tint="-0.249977111117893"/>
      <name val="Calibri"/>
      <family val="2"/>
      <charset val="238"/>
    </font>
    <font>
      <sz val="10"/>
      <color theme="4" tint="-0.249977111117893"/>
      <name val="Arial"/>
      <family val="2"/>
      <charset val="238"/>
    </font>
    <font>
      <sz val="11"/>
      <color theme="4" tint="-0.249977111117893"/>
      <name val="Calibri"/>
      <family val="2"/>
      <charset val="238"/>
    </font>
    <font>
      <sz val="11"/>
      <color theme="4" tint="-0.249977111117893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1"/>
      <color indexed="8"/>
      <name val="Calibri"/>
      <family val="2"/>
    </font>
    <font>
      <b/>
      <sz val="10"/>
      <color indexed="8"/>
      <name val="Calibri"/>
      <family val="2"/>
      <charset val="238"/>
    </font>
    <font>
      <sz val="11"/>
      <color indexed="8"/>
      <name val="Times New Roman"/>
      <family val="1"/>
      <charset val="238"/>
    </font>
    <font>
      <b/>
      <sz val="12"/>
      <color rgb="FFC9211E"/>
      <name val="Times New Roman"/>
      <family val="1"/>
      <charset val="238"/>
    </font>
    <font>
      <b/>
      <sz val="9"/>
      <color indexed="8"/>
      <name val="Times New Roman"/>
      <family val="1"/>
      <charset val="238"/>
    </font>
    <font>
      <sz val="12"/>
      <color rgb="FFFF0000"/>
      <name val="Times New Roman"/>
      <family val="1"/>
      <charset val="238"/>
    </font>
    <font>
      <i/>
      <sz val="12"/>
      <color indexed="8"/>
      <name val="Times New Roman"/>
      <family val="1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0"/>
      <color theme="3"/>
      <name val="Arial"/>
      <family val="2"/>
      <charset val="238"/>
    </font>
    <font>
      <sz val="11"/>
      <color theme="3"/>
      <name val="Calibri"/>
      <family val="2"/>
      <charset val="238"/>
    </font>
    <font>
      <sz val="12"/>
      <color theme="3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2"/>
      <color indexed="62"/>
      <name val="Calibri"/>
      <family val="2"/>
    </font>
    <font>
      <sz val="18"/>
      <color indexed="8"/>
      <name val="Bradley Hand ITC"/>
      <family val="4"/>
    </font>
    <font>
      <sz val="11"/>
      <color theme="4" tint="-0.249977111117893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rgb="FF222222"/>
      <name val="Open Sans"/>
      <family val="2"/>
    </font>
    <font>
      <sz val="11"/>
      <color indexed="8"/>
      <name val="Calibri"/>
      <family val="2"/>
      <charset val="238"/>
    </font>
    <font>
      <b/>
      <u/>
      <sz val="11"/>
      <color indexed="8"/>
      <name val="Calibri"/>
      <family val="2"/>
      <charset val="238"/>
    </font>
    <font>
      <sz val="10"/>
      <color rgb="FF222222"/>
      <name val="Open Sans"/>
      <family val="2"/>
      <charset val="238"/>
    </font>
    <font>
      <u/>
      <sz val="12"/>
      <color indexed="8"/>
      <name val="Times New Roman"/>
      <family val="1"/>
      <charset val="238"/>
    </font>
    <font>
      <b/>
      <sz val="10"/>
      <color rgb="FF333333"/>
      <name val="Open Sans"/>
      <family val="2"/>
      <charset val="238"/>
    </font>
    <font>
      <b/>
      <sz val="12"/>
      <color rgb="FF333333"/>
      <name val="Calibri"/>
      <family val="2"/>
      <charset val="238"/>
      <scheme val="minor"/>
    </font>
    <font>
      <b/>
      <sz val="11"/>
      <color rgb="FF333333"/>
      <name val="Calibri"/>
      <family val="2"/>
      <charset val="238"/>
      <scheme val="minor"/>
    </font>
    <font>
      <b/>
      <sz val="12"/>
      <color rgb="FF333333"/>
      <name val="Times New Roman"/>
      <family val="1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1"/>
      <color indexed="8"/>
      <name val="Calibri"/>
      <family val="2"/>
      <charset val="238"/>
    </font>
    <font>
      <u/>
      <sz val="11"/>
      <color theme="10"/>
      <name val="Calibri"/>
      <family val="2"/>
      <charset val="238"/>
    </font>
    <font>
      <sz val="11"/>
      <color rgb="FF222222"/>
      <name val="Calibri"/>
      <family val="2"/>
      <charset val="238"/>
      <scheme val="minor"/>
    </font>
    <font>
      <sz val="13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rgb="FF222222"/>
      <name val="Open Sans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u/>
      <sz val="12"/>
      <color indexed="8"/>
      <name val="Arial"/>
      <family val="2"/>
      <charset val="238"/>
    </font>
    <font>
      <sz val="10"/>
      <color theme="3" tint="-0.249977111117893"/>
      <name val="Arial"/>
      <family val="2"/>
      <charset val="238"/>
    </font>
    <font>
      <sz val="11"/>
      <color theme="3" tint="-0.249977111117893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rgb="FF222222"/>
      <name val="Open Sans"/>
      <family val="2"/>
    </font>
    <font>
      <sz val="10"/>
      <color rgb="FF222222"/>
      <name val="Inherit"/>
    </font>
    <font>
      <sz val="10"/>
      <name val="Open Sans"/>
      <family val="2"/>
    </font>
    <font>
      <b/>
      <sz val="10"/>
      <color rgb="FF333333"/>
      <name val="Open Sans"/>
      <family val="2"/>
    </font>
    <font>
      <sz val="15"/>
      <color rgb="FF333333"/>
      <name val="Open Sans"/>
      <family val="2"/>
    </font>
    <font>
      <sz val="10"/>
      <color rgb="FF65676B"/>
      <name val="Segoe UI Historic"/>
      <family val="2"/>
    </font>
    <font>
      <sz val="12"/>
      <color indexed="8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rgb="FF252525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1"/>
      <color rgb="FF366092"/>
      <name val="Calibri"/>
      <family val="2"/>
    </font>
    <font>
      <sz val="11"/>
      <color indexed="8"/>
      <name val="Colibri"/>
      <charset val="238"/>
    </font>
    <font>
      <sz val="9"/>
      <color rgb="FF777777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1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i/>
      <sz val="11"/>
      <color indexed="8"/>
      <name val="Times New Roman"/>
      <family val="1"/>
      <charset val="238"/>
    </font>
    <font>
      <sz val="9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5"/>
      <color rgb="FF202849"/>
      <name val="Arial"/>
      <family val="2"/>
      <charset val="238"/>
    </font>
    <font>
      <sz val="11"/>
      <color rgb="FF262626"/>
      <name val="Segoe U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b/>
      <sz val="12"/>
      <color rgb="FF1D1D1F"/>
      <name val="Source Sans Pro"/>
      <family val="2"/>
    </font>
    <font>
      <sz val="10"/>
      <color indexed="8"/>
      <name val="Arial"/>
    </font>
    <font>
      <sz val="12"/>
      <color indexed="62"/>
      <name val="Calibri"/>
    </font>
    <font>
      <sz val="10"/>
      <color rgb="FF000000"/>
      <name val="Verdana"/>
      <family val="2"/>
    </font>
    <font>
      <b/>
      <sz val="12"/>
      <color rgb="FF000000"/>
      <name val="Times New Roman"/>
      <family val="1"/>
      <charset val="238"/>
    </font>
    <font>
      <sz val="12"/>
      <color rgb="FF333333"/>
      <name val="Times New Roman"/>
      <family val="1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5F2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/>
      <right/>
      <top/>
      <bottom style="medium">
        <color rgb="FFE1E1E1"/>
      </bottom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 applyFill="0" applyProtection="0"/>
    <xf numFmtId="0" fontId="26" fillId="0" borderId="0"/>
    <xf numFmtId="0" fontId="56" fillId="0" borderId="0"/>
    <xf numFmtId="0" fontId="8" fillId="0" borderId="0" applyFill="0" applyProtection="0"/>
    <xf numFmtId="0" fontId="8" fillId="0" borderId="0" applyFill="0" applyProtection="0"/>
    <xf numFmtId="0" fontId="97" fillId="0" borderId="0" applyFill="0" applyProtection="0"/>
    <xf numFmtId="9" fontId="97" fillId="0" borderId="0" applyFont="0" applyFill="0" applyBorder="0" applyAlignment="0" applyProtection="0"/>
    <xf numFmtId="44" fontId="107" fillId="0" borderId="0" applyFont="0" applyFill="0" applyBorder="0" applyAlignment="0" applyProtection="0"/>
    <xf numFmtId="0" fontId="108" fillId="0" borderId="0" applyNumberFormat="0" applyFill="0" applyBorder="0" applyAlignment="0" applyProtection="0"/>
  </cellStyleXfs>
  <cellXfs count="831">
    <xf numFmtId="0" fontId="0" fillId="0" borderId="0" xfId="0" applyFill="1" applyProtection="1"/>
    <xf numFmtId="0" fontId="2" fillId="0" borderId="0" xfId="0" applyFont="1" applyFill="1" applyProtection="1"/>
    <xf numFmtId="0" fontId="6" fillId="2" borderId="0" xfId="0" applyFont="1" applyFill="1" applyAlignment="1" applyProtection="1">
      <alignment horizontal="center" vertical="center" wrapText="1"/>
    </xf>
    <xf numFmtId="49" fontId="0" fillId="0" borderId="0" xfId="0" applyNumberFormat="1" applyFill="1" applyAlignment="1" applyProtection="1">
      <alignment horizontal="right"/>
    </xf>
    <xf numFmtId="0" fontId="2" fillId="0" borderId="0" xfId="0" applyFont="1" applyFill="1" applyAlignment="1" applyProtection="1">
      <alignment horizontal="right"/>
    </xf>
    <xf numFmtId="49" fontId="0" fillId="0" borderId="0" xfId="0" applyNumberFormat="1" applyFill="1" applyProtection="1"/>
    <xf numFmtId="49" fontId="6" fillId="2" borderId="0" xfId="0" applyNumberFormat="1" applyFont="1" applyFill="1" applyAlignment="1" applyProtection="1">
      <alignment horizontal="center" vertical="center" wrapText="1"/>
    </xf>
    <xf numFmtId="14" fontId="0" fillId="0" borderId="0" xfId="0" applyNumberFormat="1" applyFill="1" applyProtection="1"/>
    <xf numFmtId="0" fontId="0" fillId="0" borderId="0" xfId="0" applyFill="1" applyAlignment="1" applyProtection="1">
      <alignment horizontal="center" wrapText="1"/>
    </xf>
    <xf numFmtId="49" fontId="0" fillId="0" borderId="0" xfId="0" applyNumberFormat="1" applyFill="1" applyAlignment="1" applyProtection="1">
      <alignment horizontal="center"/>
    </xf>
    <xf numFmtId="164" fontId="2" fillId="0" borderId="0" xfId="0" applyNumberFormat="1" applyFont="1" applyFill="1" applyProtection="1"/>
    <xf numFmtId="164" fontId="0" fillId="0" borderId="0" xfId="0" applyNumberFormat="1" applyFill="1" applyProtection="1"/>
    <xf numFmtId="1" fontId="0" fillId="0" borderId="0" xfId="0" applyNumberFormat="1" applyFill="1" applyAlignment="1" applyProtection="1">
      <alignment horizontal="center" vertical="center" wrapText="1"/>
    </xf>
    <xf numFmtId="1" fontId="0" fillId="0" borderId="0" xfId="0" applyNumberFormat="1" applyFill="1" applyProtection="1"/>
    <xf numFmtId="0" fontId="0" fillId="3" borderId="0" xfId="0" applyFill="1" applyProtection="1"/>
    <xf numFmtId="4" fontId="0" fillId="0" borderId="0" xfId="0" applyNumberFormat="1" applyFill="1" applyProtection="1"/>
    <xf numFmtId="0" fontId="8" fillId="0" borderId="0" xfId="0" applyFont="1" applyFill="1" applyProtection="1"/>
    <xf numFmtId="49" fontId="8" fillId="0" borderId="0" xfId="0" applyNumberFormat="1" applyFont="1" applyFill="1" applyProtection="1"/>
    <xf numFmtId="0" fontId="8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vertical="center"/>
    </xf>
    <xf numFmtId="0" fontId="8" fillId="0" borderId="0" xfId="0" applyFont="1" applyFill="1" applyAlignment="1" applyProtection="1">
      <alignment horizontal="right" vertical="center"/>
    </xf>
    <xf numFmtId="0" fontId="6" fillId="0" borderId="0" xfId="0" applyFont="1" applyFill="1" applyProtection="1"/>
    <xf numFmtId="0" fontId="4" fillId="0" borderId="0" xfId="0" applyFont="1" applyFill="1" applyAlignment="1" applyProtection="1">
      <alignment vertical="center"/>
    </xf>
    <xf numFmtId="0" fontId="4" fillId="0" borderId="0" xfId="0" applyFont="1" applyFill="1" applyProtection="1"/>
    <xf numFmtId="0" fontId="9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left" vertical="center" indent="1"/>
    </xf>
    <xf numFmtId="0" fontId="21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horizontal="left" vertical="center" indent="3"/>
    </xf>
    <xf numFmtId="9" fontId="4" fillId="0" borderId="0" xfId="0" applyNumberFormat="1" applyFont="1" applyFill="1" applyAlignment="1" applyProtection="1">
      <alignment horizontal="left" vertical="center" indent="3"/>
    </xf>
    <xf numFmtId="0" fontId="4" fillId="0" borderId="0" xfId="0" applyFont="1" applyFill="1" applyAlignment="1" applyProtection="1">
      <alignment horizontal="left" vertical="center" indent="2"/>
    </xf>
    <xf numFmtId="0" fontId="15" fillId="0" borderId="0" xfId="0" applyFont="1" applyFill="1" applyAlignment="1" applyProtection="1">
      <alignment horizontal="left" vertical="center" indent="1"/>
    </xf>
    <xf numFmtId="0" fontId="17" fillId="0" borderId="0" xfId="0" applyFont="1" applyFill="1" applyAlignment="1" applyProtection="1">
      <alignment vertical="center"/>
    </xf>
    <xf numFmtId="0" fontId="10" fillId="0" borderId="0" xfId="0" applyFont="1" applyFill="1" applyProtection="1"/>
    <xf numFmtId="0" fontId="17" fillId="0" borderId="0" xfId="0" applyFont="1" applyFill="1" applyProtection="1"/>
    <xf numFmtId="0" fontId="17" fillId="0" borderId="0" xfId="0" applyFont="1" applyFill="1" applyAlignment="1" applyProtection="1">
      <alignment horizontal="left"/>
    </xf>
    <xf numFmtId="0" fontId="6" fillId="0" borderId="1" xfId="0" applyFont="1" applyFill="1" applyBorder="1" applyProtection="1"/>
    <xf numFmtId="4" fontId="20" fillId="3" borderId="1" xfId="0" applyNumberFormat="1" applyFont="1" applyFill="1" applyBorder="1" applyProtection="1"/>
    <xf numFmtId="14" fontId="4" fillId="3" borderId="0" xfId="0" applyNumberFormat="1" applyFont="1" applyFill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center"/>
    </xf>
    <xf numFmtId="0" fontId="20" fillId="3" borderId="0" xfId="0" applyFont="1" applyFill="1" applyProtection="1"/>
    <xf numFmtId="0" fontId="20" fillId="0" borderId="0" xfId="0" applyFont="1" applyFill="1" applyProtection="1"/>
    <xf numFmtId="0" fontId="19" fillId="0" borderId="0" xfId="0" applyFont="1" applyFill="1" applyProtection="1"/>
    <xf numFmtId="0" fontId="8" fillId="4" borderId="0" xfId="0" applyFont="1" applyFill="1" applyProtection="1"/>
    <xf numFmtId="14" fontId="5" fillId="0" borderId="1" xfId="0" applyNumberFormat="1" applyFont="1" applyFill="1" applyBorder="1" applyProtection="1"/>
    <xf numFmtId="9" fontId="4" fillId="0" borderId="0" xfId="0" applyNumberFormat="1" applyFont="1" applyFill="1" applyAlignment="1" applyProtection="1">
      <alignment horizontal="center" vertical="center"/>
    </xf>
    <xf numFmtId="9" fontId="22" fillId="0" borderId="0" xfId="0" applyNumberFormat="1" applyFont="1" applyFill="1" applyAlignment="1" applyProtection="1">
      <alignment horizontal="center"/>
    </xf>
    <xf numFmtId="0" fontId="25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horizontal="left" vertical="center" indent="5"/>
    </xf>
    <xf numFmtId="0" fontId="0" fillId="0" borderId="0" xfId="0" applyFill="1" applyAlignment="1" applyProtection="1">
      <alignment horizontal="left"/>
    </xf>
    <xf numFmtId="0" fontId="25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left"/>
    </xf>
    <xf numFmtId="0" fontId="4" fillId="0" borderId="0" xfId="0" applyFont="1" applyFill="1" applyAlignment="1" applyProtection="1">
      <alignment horizontal="right" vertical="center"/>
    </xf>
    <xf numFmtId="0" fontId="20" fillId="0" borderId="0" xfId="0" applyFont="1" applyFill="1" applyAlignment="1" applyProtection="1">
      <alignment horizontal="right"/>
    </xf>
    <xf numFmtId="14" fontId="4" fillId="0" borderId="0" xfId="0" applyNumberFormat="1" applyFont="1" applyFill="1" applyAlignment="1" applyProtection="1">
      <alignment horizontal="center" vertical="center"/>
    </xf>
    <xf numFmtId="14" fontId="4" fillId="0" borderId="0" xfId="0" applyNumberFormat="1" applyFont="1" applyFill="1" applyAlignment="1" applyProtection="1">
      <alignment horizontal="center"/>
    </xf>
    <xf numFmtId="0" fontId="22" fillId="0" borderId="0" xfId="0" applyFont="1" applyFill="1" applyProtection="1"/>
    <xf numFmtId="0" fontId="8" fillId="2" borderId="0" xfId="0" applyFont="1" applyFill="1" applyProtection="1"/>
    <xf numFmtId="0" fontId="28" fillId="0" borderId="0" xfId="0" applyFont="1" applyFill="1" applyAlignment="1" applyProtection="1">
      <alignment vertical="center"/>
    </xf>
    <xf numFmtId="0" fontId="28" fillId="0" borderId="0" xfId="0" applyFont="1" applyFill="1" applyProtection="1"/>
    <xf numFmtId="0" fontId="27" fillId="0" borderId="0" xfId="0" applyFont="1" applyFill="1" applyProtection="1"/>
    <xf numFmtId="0" fontId="27" fillId="0" borderId="0" xfId="0" applyFont="1" applyFill="1" applyAlignment="1" applyProtection="1">
      <alignment vertical="center"/>
    </xf>
    <xf numFmtId="14" fontId="2" fillId="0" borderId="0" xfId="0" applyNumberFormat="1" applyFont="1" applyFill="1" applyProtection="1"/>
    <xf numFmtId="0" fontId="28" fillId="0" borderId="0" xfId="0" quotePrefix="1" applyFont="1" applyFill="1" applyAlignment="1" applyProtection="1">
      <alignment vertical="center"/>
    </xf>
    <xf numFmtId="0" fontId="0" fillId="3" borderId="0" xfId="0" applyFill="1" applyAlignment="1" applyProtection="1">
      <alignment horizontal="left"/>
    </xf>
    <xf numFmtId="0" fontId="18" fillId="0" borderId="0" xfId="0" applyFont="1" applyFill="1" applyProtection="1"/>
    <xf numFmtId="14" fontId="4" fillId="0" borderId="0" xfId="0" applyNumberFormat="1" applyFont="1" applyFill="1" applyAlignment="1" applyProtection="1">
      <alignment horizontal="left" vertical="center"/>
    </xf>
    <xf numFmtId="14" fontId="17" fillId="0" borderId="0" xfId="0" applyNumberFormat="1" applyFont="1" applyFill="1" applyAlignment="1" applyProtection="1">
      <alignment horizontal="left" vertical="center"/>
    </xf>
    <xf numFmtId="14" fontId="8" fillId="0" borderId="0" xfId="0" applyNumberFormat="1" applyFont="1" applyFill="1" applyProtection="1"/>
    <xf numFmtId="0" fontId="30" fillId="0" borderId="0" xfId="0" applyFont="1" applyFill="1" applyProtection="1"/>
    <xf numFmtId="0" fontId="28" fillId="0" borderId="0" xfId="0" applyFont="1" applyFill="1" applyAlignment="1" applyProtection="1">
      <alignment horizontal="left"/>
    </xf>
    <xf numFmtId="0" fontId="28" fillId="0" borderId="0" xfId="0" applyFont="1" applyFill="1" applyAlignment="1" applyProtection="1">
      <alignment vertical="top"/>
    </xf>
    <xf numFmtId="0" fontId="28" fillId="0" borderId="0" xfId="0" applyFont="1" applyFill="1" applyAlignment="1" applyProtection="1">
      <alignment horizontal="center" vertical="top"/>
    </xf>
    <xf numFmtId="14" fontId="28" fillId="0" borderId="0" xfId="0" applyNumberFormat="1" applyFont="1" applyFill="1" applyAlignment="1" applyProtection="1">
      <alignment vertical="top"/>
    </xf>
    <xf numFmtId="0" fontId="28" fillId="0" borderId="0" xfId="0" quotePrefix="1" applyFont="1" applyFill="1" applyAlignment="1" applyProtection="1">
      <alignment horizontal="right" vertical="center"/>
    </xf>
    <xf numFmtId="0" fontId="6" fillId="0" borderId="0" xfId="0" applyFont="1" applyFill="1" applyAlignment="1" applyProtection="1">
      <alignment horizontal="left" vertical="center"/>
    </xf>
    <xf numFmtId="0" fontId="5" fillId="0" borderId="0" xfId="0" applyFont="1" applyFill="1" applyProtection="1"/>
    <xf numFmtId="0" fontId="32" fillId="0" borderId="0" xfId="0" applyFont="1" applyFill="1" applyProtection="1"/>
    <xf numFmtId="0" fontId="0" fillId="6" borderId="0" xfId="0" applyFill="1" applyProtection="1"/>
    <xf numFmtId="0" fontId="0" fillId="0" borderId="0" xfId="0" applyFill="1" applyAlignment="1" applyProtection="1">
      <alignment horizontal="right"/>
    </xf>
    <xf numFmtId="2" fontId="0" fillId="0" borderId="0" xfId="0" applyNumberFormat="1"/>
    <xf numFmtId="14" fontId="6" fillId="0" borderId="0" xfId="0" applyNumberFormat="1" applyFont="1" applyFill="1" applyProtection="1"/>
    <xf numFmtId="0" fontId="8" fillId="0" borderId="0" xfId="0" quotePrefix="1" applyFont="1" applyFill="1" applyProtection="1"/>
    <xf numFmtId="14" fontId="37" fillId="0" borderId="0" xfId="0" applyNumberFormat="1" applyFont="1" applyFill="1" applyProtection="1"/>
    <xf numFmtId="14" fontId="38" fillId="0" borderId="0" xfId="0" applyNumberFormat="1" applyFont="1" applyFill="1" applyProtection="1"/>
    <xf numFmtId="14" fontId="17" fillId="3" borderId="0" xfId="0" applyNumberFormat="1" applyFont="1" applyFill="1" applyAlignment="1" applyProtection="1">
      <alignment horizontal="left" vertical="center"/>
    </xf>
    <xf numFmtId="0" fontId="40" fillId="6" borderId="0" xfId="0" applyFont="1" applyFill="1" applyProtection="1"/>
    <xf numFmtId="0" fontId="40" fillId="0" borderId="0" xfId="0" applyFont="1" applyFill="1" applyProtection="1"/>
    <xf numFmtId="49" fontId="8" fillId="0" borderId="0" xfId="0" applyNumberFormat="1" applyFont="1" applyFill="1" applyAlignment="1" applyProtection="1">
      <alignment horizontal="right"/>
    </xf>
    <xf numFmtId="0" fontId="6" fillId="2" borderId="0" xfId="0" applyFont="1" applyFill="1" applyAlignment="1" applyProtection="1">
      <alignment horizontal="right" vertical="center" wrapText="1"/>
    </xf>
    <xf numFmtId="1" fontId="0" fillId="0" borderId="0" xfId="0" quotePrefix="1" applyNumberFormat="1" applyFill="1" applyAlignment="1" applyProtection="1">
      <alignment horizontal="right"/>
    </xf>
    <xf numFmtId="4" fontId="42" fillId="0" borderId="0" xfId="0" applyNumberFormat="1" applyFont="1" applyFill="1" applyProtection="1"/>
    <xf numFmtId="4" fontId="41" fillId="0" borderId="0" xfId="0" applyNumberFormat="1" applyFont="1" applyFill="1" applyProtection="1"/>
    <xf numFmtId="0" fontId="9" fillId="0" borderId="0" xfId="0" applyFont="1" applyFill="1" applyAlignment="1" applyProtection="1">
      <alignment horizontal="right"/>
    </xf>
    <xf numFmtId="0" fontId="31" fillId="0" borderId="0" xfId="0" applyFont="1" applyFill="1" applyProtection="1"/>
    <xf numFmtId="0" fontId="39" fillId="0" borderId="0" xfId="0" applyFont="1" applyFill="1" applyProtection="1"/>
    <xf numFmtId="0" fontId="50" fillId="0" borderId="4" xfId="0" applyFont="1" applyFill="1" applyBorder="1" applyAlignment="1">
      <alignment horizontal="center" vertical="center" wrapText="1"/>
    </xf>
    <xf numFmtId="0" fontId="51" fillId="0" borderId="4" xfId="0" applyFont="1" applyFill="1" applyBorder="1" applyAlignment="1">
      <alignment horizontal="right" vertical="center" wrapText="1"/>
    </xf>
    <xf numFmtId="0" fontId="50" fillId="0" borderId="4" xfId="0" applyFont="1" applyFill="1" applyBorder="1" applyAlignment="1">
      <alignment horizontal="right" vertical="center" wrapText="1"/>
    </xf>
    <xf numFmtId="0" fontId="50" fillId="7" borderId="4" xfId="0" applyFont="1" applyFill="1" applyBorder="1" applyAlignment="1">
      <alignment horizontal="right" vertical="center" wrapText="1"/>
    </xf>
    <xf numFmtId="0" fontId="50" fillId="0" borderId="5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/>
    </xf>
    <xf numFmtId="165" fontId="0" fillId="7" borderId="2" xfId="0" applyNumberFormat="1" applyFill="1" applyBorder="1" applyAlignment="1">
      <alignment horizontal="right" vertical="top" wrapText="1"/>
    </xf>
    <xf numFmtId="167" fontId="0" fillId="0" borderId="2" xfId="0" applyNumberFormat="1" applyFill="1" applyBorder="1" applyAlignment="1">
      <alignment horizontal="right" vertical="top" wrapText="1"/>
    </xf>
    <xf numFmtId="4" fontId="0" fillId="0" borderId="6" xfId="0" applyNumberFormat="1" applyFill="1" applyBorder="1" applyProtection="1"/>
    <xf numFmtId="4" fontId="0" fillId="0" borderId="7" xfId="0" applyNumberFormat="1" applyFill="1" applyBorder="1" applyProtection="1"/>
    <xf numFmtId="0" fontId="0" fillId="0" borderId="2" xfId="0" applyFill="1" applyBorder="1" applyProtection="1"/>
    <xf numFmtId="14" fontId="0" fillId="0" borderId="2" xfId="0" applyNumberFormat="1" applyFill="1" applyBorder="1" applyProtection="1"/>
    <xf numFmtId="4" fontId="0" fillId="0" borderId="2" xfId="0" applyNumberFormat="1" applyFill="1" applyBorder="1" applyProtection="1"/>
    <xf numFmtId="0" fontId="45" fillId="3" borderId="2" xfId="0" applyFont="1" applyFill="1" applyBorder="1" applyAlignment="1">
      <alignment horizontal="left" vertical="top" textRotation="90" wrapText="1"/>
    </xf>
    <xf numFmtId="4" fontId="0" fillId="0" borderId="8" xfId="0" applyNumberFormat="1" applyFill="1" applyBorder="1" applyAlignment="1">
      <alignment vertical="center" wrapText="1"/>
    </xf>
    <xf numFmtId="0" fontId="49" fillId="3" borderId="3" xfId="0" applyFont="1" applyFill="1" applyBorder="1" applyAlignment="1">
      <alignment horizontal="left" textRotation="90" wrapText="1"/>
    </xf>
    <xf numFmtId="0" fontId="0" fillId="0" borderId="3" xfId="0" applyFill="1" applyBorder="1" applyAlignment="1">
      <alignment horizontal="left" textRotation="90" wrapText="1"/>
    </xf>
    <xf numFmtId="0" fontId="46" fillId="0" borderId="3" xfId="0" applyFont="1" applyFill="1" applyBorder="1" applyAlignment="1">
      <alignment horizontal="left" textRotation="90" wrapText="1"/>
    </xf>
    <xf numFmtId="4" fontId="0" fillId="0" borderId="3" xfId="0" applyNumberFormat="1" applyFill="1" applyBorder="1" applyProtection="1"/>
    <xf numFmtId="0" fontId="8" fillId="0" borderId="9" xfId="0" applyFont="1" applyFill="1" applyBorder="1" applyAlignment="1">
      <alignment horizontal="center" vertical="top"/>
    </xf>
    <xf numFmtId="0" fontId="0" fillId="8" borderId="0" xfId="0" applyFill="1" applyProtection="1"/>
    <xf numFmtId="0" fontId="8" fillId="8" borderId="0" xfId="0" applyFont="1" applyFill="1" applyProtection="1"/>
    <xf numFmtId="4" fontId="52" fillId="0" borderId="2" xfId="0" applyNumberFormat="1" applyFont="1" applyFill="1" applyBorder="1" applyAlignment="1">
      <alignment vertical="center" textRotation="90"/>
    </xf>
    <xf numFmtId="4" fontId="0" fillId="8" borderId="0" xfId="0" applyNumberFormat="1" applyFill="1" applyProtection="1"/>
    <xf numFmtId="0" fontId="0" fillId="0" borderId="3" xfId="0" applyFill="1" applyBorder="1" applyProtection="1"/>
    <xf numFmtId="4" fontId="6" fillId="2" borderId="0" xfId="0" applyNumberFormat="1" applyFont="1" applyFill="1" applyAlignment="1" applyProtection="1">
      <alignment horizontal="center" vertical="center" wrapText="1"/>
    </xf>
    <xf numFmtId="165" fontId="8" fillId="7" borderId="2" xfId="0" applyNumberFormat="1" applyFont="1" applyFill="1" applyBorder="1" applyAlignment="1">
      <alignment horizontal="right" vertical="top" wrapText="1"/>
    </xf>
    <xf numFmtId="0" fontId="50" fillId="0" borderId="4" xfId="0" applyFont="1" applyFill="1" applyBorder="1" applyAlignment="1" applyProtection="1">
      <alignment horizontal="center" vertical="center" wrapText="1"/>
    </xf>
    <xf numFmtId="0" fontId="8" fillId="3" borderId="0" xfId="0" applyFont="1" applyFill="1" applyAlignment="1" applyProtection="1">
      <alignment horizontal="center" vertical="center" textRotation="90"/>
    </xf>
    <xf numFmtId="0" fontId="8" fillId="0" borderId="0" xfId="0" quotePrefix="1" applyFont="1" applyFill="1" applyAlignment="1" applyProtection="1">
      <alignment horizontal="right"/>
    </xf>
    <xf numFmtId="4" fontId="52" fillId="0" borderId="2" xfId="0" applyNumberFormat="1" applyFont="1" applyFill="1" applyBorder="1" applyAlignment="1">
      <alignment vertical="center"/>
    </xf>
    <xf numFmtId="49" fontId="0" fillId="0" borderId="0" xfId="0" quotePrefix="1" applyNumberFormat="1" applyFill="1" applyAlignment="1" applyProtection="1">
      <alignment horizontal="right"/>
    </xf>
    <xf numFmtId="1" fontId="8" fillId="0" borderId="0" xfId="0" applyNumberFormat="1" applyFont="1" applyFill="1" applyAlignment="1" applyProtection="1">
      <alignment horizontal="right"/>
    </xf>
    <xf numFmtId="0" fontId="8" fillId="0" borderId="0" xfId="0" applyFont="1" applyFill="1" applyAlignment="1" applyProtection="1">
      <alignment wrapText="1"/>
    </xf>
    <xf numFmtId="2" fontId="8" fillId="0" borderId="0" xfId="0" applyNumberFormat="1" applyFont="1" applyFill="1" applyProtection="1"/>
    <xf numFmtId="4" fontId="8" fillId="0" borderId="0" xfId="0" applyNumberFormat="1" applyFont="1" applyFill="1" applyProtection="1"/>
    <xf numFmtId="0" fontId="8" fillId="0" borderId="0" xfId="0" quotePrefix="1" applyFont="1" applyFill="1" applyAlignment="1" applyProtection="1">
      <alignment wrapText="1"/>
    </xf>
    <xf numFmtId="14" fontId="45" fillId="3" borderId="2" xfId="0" applyNumberFormat="1" applyFont="1" applyFill="1" applyBorder="1" applyAlignment="1">
      <alignment horizontal="left" vertical="top" textRotation="90" wrapText="1"/>
    </xf>
    <xf numFmtId="14" fontId="49" fillId="3" borderId="3" xfId="0" applyNumberFormat="1" applyFont="1" applyFill="1" applyBorder="1" applyAlignment="1">
      <alignment horizontal="left" textRotation="90" wrapText="1"/>
    </xf>
    <xf numFmtId="14" fontId="50" fillId="0" borderId="4" xfId="0" applyNumberFormat="1" applyFont="1" applyFill="1" applyBorder="1" applyAlignment="1">
      <alignment horizontal="center" vertical="center" wrapText="1"/>
    </xf>
    <xf numFmtId="14" fontId="8" fillId="8" borderId="0" xfId="0" applyNumberFormat="1" applyFont="1" applyFill="1" applyProtection="1"/>
    <xf numFmtId="0" fontId="55" fillId="0" borderId="0" xfId="0" applyFont="1" applyFill="1" applyProtection="1"/>
    <xf numFmtId="1" fontId="8" fillId="0" borderId="0" xfId="0" quotePrefix="1" applyNumberFormat="1" applyFont="1" applyFill="1" applyAlignment="1" applyProtection="1">
      <alignment horizontal="right"/>
    </xf>
    <xf numFmtId="0" fontId="10" fillId="0" borderId="0" xfId="0" applyFont="1" applyFill="1" applyAlignment="1" applyProtection="1">
      <alignment vertical="center"/>
    </xf>
    <xf numFmtId="0" fontId="0" fillId="0" borderId="3" xfId="0" applyFill="1" applyBorder="1" applyAlignment="1" applyProtection="1">
      <alignment horizontal="right" vertical="top" wrapText="1"/>
    </xf>
    <xf numFmtId="0" fontId="0" fillId="0" borderId="2" xfId="0" applyFill="1" applyBorder="1" applyAlignment="1" applyProtection="1">
      <alignment horizontal="right" vertical="top" wrapText="1"/>
    </xf>
    <xf numFmtId="165" fontId="0" fillId="7" borderId="2" xfId="0" applyNumberFormat="1" applyFill="1" applyBorder="1" applyAlignment="1" applyProtection="1">
      <alignment horizontal="right" vertical="top" wrapText="1"/>
    </xf>
    <xf numFmtId="167" fontId="0" fillId="0" borderId="2" xfId="0" applyNumberFormat="1" applyFill="1" applyBorder="1" applyAlignment="1" applyProtection="1">
      <alignment horizontal="right" vertical="top" wrapText="1"/>
    </xf>
    <xf numFmtId="0" fontId="46" fillId="0" borderId="15" xfId="0" applyFont="1" applyFill="1" applyBorder="1" applyAlignment="1">
      <alignment wrapText="1"/>
    </xf>
    <xf numFmtId="0" fontId="46" fillId="0" borderId="13" xfId="0" applyFont="1" applyFill="1" applyBorder="1" applyAlignment="1">
      <alignment wrapText="1"/>
    </xf>
    <xf numFmtId="0" fontId="0" fillId="10" borderId="2" xfId="0" applyFill="1" applyBorder="1" applyAlignment="1">
      <alignment horizontal="left" vertical="top" wrapText="1"/>
    </xf>
    <xf numFmtId="0" fontId="0" fillId="10" borderId="2" xfId="0" applyFill="1" applyBorder="1" applyAlignment="1">
      <alignment horizontal="right" vertical="top" wrapText="1"/>
    </xf>
    <xf numFmtId="0" fontId="0" fillId="10" borderId="2" xfId="0" applyFill="1" applyBorder="1" applyProtection="1"/>
    <xf numFmtId="0" fontId="0" fillId="0" borderId="18" xfId="0" applyFill="1" applyBorder="1" applyAlignment="1">
      <alignment horizontal="left" textRotation="90" wrapText="1"/>
    </xf>
    <xf numFmtId="0" fontId="0" fillId="0" borderId="2" xfId="0" applyFill="1" applyBorder="1" applyAlignment="1">
      <alignment textRotation="90" wrapText="1"/>
    </xf>
    <xf numFmtId="0" fontId="47" fillId="0" borderId="2" xfId="0" applyFont="1" applyFill="1" applyBorder="1" applyAlignment="1">
      <alignment textRotation="90" wrapText="1"/>
    </xf>
    <xf numFmtId="0" fontId="0" fillId="11" borderId="2" xfId="0" applyFill="1" applyBorder="1" applyAlignment="1">
      <alignment horizontal="left" vertical="top" wrapText="1"/>
    </xf>
    <xf numFmtId="0" fontId="0" fillId="11" borderId="2" xfId="0" applyFill="1" applyBorder="1" applyAlignment="1">
      <alignment horizontal="right" vertical="top" wrapText="1"/>
    </xf>
    <xf numFmtId="0" fontId="0" fillId="11" borderId="2" xfId="0" applyFill="1" applyBorder="1" applyProtection="1"/>
    <xf numFmtId="165" fontId="0" fillId="0" borderId="2" xfId="0" applyNumberFormat="1" applyFill="1" applyBorder="1" applyAlignment="1">
      <alignment horizontal="right" vertical="top" wrapText="1"/>
    </xf>
    <xf numFmtId="165" fontId="8" fillId="0" borderId="2" xfId="0" applyNumberFormat="1" applyFont="1" applyFill="1" applyBorder="1" applyAlignment="1">
      <alignment horizontal="right" vertical="top" wrapText="1"/>
    </xf>
    <xf numFmtId="0" fontId="9" fillId="0" borderId="0" xfId="0" applyFont="1" applyFill="1" applyProtection="1"/>
    <xf numFmtId="0" fontId="0" fillId="0" borderId="0" xfId="3" applyFont="1" applyFill="1" applyProtection="1"/>
    <xf numFmtId="1" fontId="8" fillId="0" borderId="0" xfId="3" applyNumberFormat="1" applyFill="1" applyAlignment="1" applyProtection="1">
      <alignment horizontal="right"/>
    </xf>
    <xf numFmtId="0" fontId="4" fillId="0" borderId="0" xfId="0" quotePrefix="1" applyFont="1" applyFill="1" applyAlignment="1" applyProtection="1">
      <alignment horizontal="left" vertical="center" indent="3"/>
    </xf>
    <xf numFmtId="14" fontId="57" fillId="0" borderId="0" xfId="0" applyNumberFormat="1" applyFont="1" applyFill="1" applyAlignment="1" applyProtection="1">
      <alignment horizontal="left" vertical="center"/>
    </xf>
    <xf numFmtId="49" fontId="8" fillId="0" borderId="0" xfId="0" quotePrefix="1" applyNumberFormat="1" applyFont="1" applyFill="1" applyAlignment="1" applyProtection="1">
      <alignment horizontal="right"/>
    </xf>
    <xf numFmtId="0" fontId="17" fillId="0" borderId="0" xfId="0" applyFont="1" applyFill="1" applyAlignment="1" applyProtection="1">
      <alignment horizontal="left" vertical="center" indent="15"/>
    </xf>
    <xf numFmtId="0" fontId="20" fillId="0" borderId="0" xfId="0" applyFont="1" applyFill="1" applyAlignment="1" applyProtection="1">
      <alignment horizontal="left" vertical="center" indent="15"/>
    </xf>
    <xf numFmtId="0" fontId="20" fillId="0" borderId="0" xfId="0" applyFont="1" applyFill="1" applyAlignment="1" applyProtection="1">
      <alignment vertical="center"/>
    </xf>
    <xf numFmtId="0" fontId="17" fillId="0" borderId="0" xfId="0" applyFont="1" applyFill="1" applyAlignment="1" applyProtection="1">
      <alignment horizontal="left" vertical="center" indent="1"/>
    </xf>
    <xf numFmtId="0" fontId="17" fillId="0" borderId="0" xfId="0" applyFont="1" applyFill="1" applyAlignment="1" applyProtection="1">
      <alignment horizontal="left" vertical="center" indent="5"/>
    </xf>
    <xf numFmtId="14" fontId="0" fillId="0" borderId="0" xfId="0" applyNumberFormat="1" applyFill="1" applyAlignment="1" applyProtection="1">
      <alignment horizontal="left"/>
    </xf>
    <xf numFmtId="0" fontId="0" fillId="0" borderId="0" xfId="0" applyFill="1" applyAlignment="1" applyProtection="1">
      <alignment horizontal="left" vertical="top"/>
    </xf>
    <xf numFmtId="166" fontId="0" fillId="0" borderId="0" xfId="0" applyNumberFormat="1" applyFill="1" applyProtection="1"/>
    <xf numFmtId="165" fontId="0" fillId="9" borderId="2" xfId="0" applyNumberFormat="1" applyFill="1" applyBorder="1" applyAlignment="1">
      <alignment horizontal="right" vertical="top" wrapText="1"/>
    </xf>
    <xf numFmtId="14" fontId="2" fillId="0" borderId="0" xfId="0" applyNumberFormat="1" applyFont="1" applyFill="1" applyAlignment="1" applyProtection="1">
      <alignment vertical="center"/>
    </xf>
    <xf numFmtId="165" fontId="0" fillId="0" borderId="2" xfId="0" applyNumberFormat="1" applyFill="1" applyBorder="1" applyAlignment="1" applyProtection="1">
      <alignment horizontal="right" vertical="top" wrapText="1"/>
    </xf>
    <xf numFmtId="165" fontId="8" fillId="7" borderId="2" xfId="0" applyNumberFormat="1" applyFont="1" applyFill="1" applyBorder="1" applyAlignment="1" applyProtection="1">
      <alignment horizontal="right" vertical="top" wrapText="1"/>
    </xf>
    <xf numFmtId="165" fontId="0" fillId="0" borderId="3" xfId="0" applyNumberFormat="1" applyFill="1" applyBorder="1" applyAlignment="1">
      <alignment horizontal="right" vertical="top" wrapText="1"/>
    </xf>
    <xf numFmtId="165" fontId="0" fillId="7" borderId="3" xfId="0" applyNumberFormat="1" applyFill="1" applyBorder="1" applyAlignment="1">
      <alignment horizontal="right" vertical="top" wrapText="1"/>
    </xf>
    <xf numFmtId="4" fontId="0" fillId="0" borderId="16" xfId="0" applyNumberFormat="1" applyFill="1" applyBorder="1" applyAlignment="1">
      <alignment vertical="center" wrapText="1"/>
    </xf>
    <xf numFmtId="4" fontId="0" fillId="0" borderId="2" xfId="0" applyNumberFormat="1" applyFill="1" applyBorder="1" applyAlignment="1" applyProtection="1">
      <alignment vertical="center" wrapText="1"/>
    </xf>
    <xf numFmtId="0" fontId="0" fillId="0" borderId="23" xfId="0" applyFill="1" applyBorder="1" applyProtection="1"/>
    <xf numFmtId="14" fontId="0" fillId="0" borderId="23" xfId="0" applyNumberFormat="1" applyFill="1" applyBorder="1" applyProtection="1"/>
    <xf numFmtId="0" fontId="0" fillId="0" borderId="4" xfId="0" applyFill="1" applyBorder="1" applyProtection="1"/>
    <xf numFmtId="165" fontId="0" fillId="0" borderId="4" xfId="0" applyNumberFormat="1" applyFill="1" applyBorder="1" applyAlignment="1">
      <alignment horizontal="right" vertical="top" wrapText="1"/>
    </xf>
    <xf numFmtId="1" fontId="0" fillId="0" borderId="0" xfId="0" applyNumberFormat="1" applyFill="1" applyAlignment="1" applyProtection="1">
      <alignment horizontal="right"/>
    </xf>
    <xf numFmtId="0" fontId="0" fillId="0" borderId="0" xfId="0" applyFill="1" applyAlignment="1" applyProtection="1">
      <alignment wrapText="1"/>
    </xf>
    <xf numFmtId="2" fontId="0" fillId="0" borderId="0" xfId="0" applyNumberFormat="1" applyFill="1" applyProtection="1"/>
    <xf numFmtId="0" fontId="60" fillId="0" borderId="0" xfId="0" applyFont="1" applyFill="1" applyProtection="1"/>
    <xf numFmtId="0" fontId="60" fillId="13" borderId="0" xfId="0" applyFont="1" applyFill="1" applyAlignment="1" applyProtection="1">
      <alignment vertical="top" wrapText="1" indent="1"/>
    </xf>
    <xf numFmtId="0" fontId="0" fillId="0" borderId="6" xfId="0" applyFill="1" applyBorder="1" applyProtection="1"/>
    <xf numFmtId="14" fontId="0" fillId="0" borderId="6" xfId="0" applyNumberFormat="1" applyFill="1" applyBorder="1" applyProtection="1"/>
    <xf numFmtId="0" fontId="0" fillId="0" borderId="2" xfId="0" applyFill="1" applyBorder="1" applyAlignment="1">
      <alignment horizontal="right" vertical="top" wrapText="1"/>
    </xf>
    <xf numFmtId="0" fontId="0" fillId="0" borderId="3" xfId="0" applyFill="1" applyBorder="1" applyAlignment="1">
      <alignment horizontal="right" vertical="top" wrapText="1"/>
    </xf>
    <xf numFmtId="0" fontId="8" fillId="0" borderId="0" xfId="0" applyFont="1" applyFill="1" applyAlignment="1" applyProtection="1">
      <alignment horizontal="left"/>
    </xf>
    <xf numFmtId="0" fontId="0" fillId="0" borderId="24" xfId="0" applyFill="1" applyBorder="1" applyProtection="1"/>
    <xf numFmtId="14" fontId="0" fillId="0" borderId="24" xfId="0" applyNumberFormat="1" applyFill="1" applyBorder="1" applyProtection="1"/>
    <xf numFmtId="0" fontId="61" fillId="0" borderId="0" xfId="0" applyFont="1" applyFill="1" applyProtection="1"/>
    <xf numFmtId="14" fontId="61" fillId="0" borderId="0" xfId="0" applyNumberFormat="1" applyFont="1" applyFill="1" applyProtection="1"/>
    <xf numFmtId="4" fontId="62" fillId="0" borderId="0" xfId="0" applyNumberFormat="1" applyFont="1" applyFill="1" applyProtection="1"/>
    <xf numFmtId="0" fontId="45" fillId="3" borderId="4" xfId="0" applyFont="1" applyFill="1" applyBorder="1" applyAlignment="1">
      <alignment horizontal="left" vertical="top" textRotation="90" wrapText="1"/>
    </xf>
    <xf numFmtId="0" fontId="6" fillId="0" borderId="0" xfId="0" applyFont="1" applyFill="1" applyAlignment="1" applyProtection="1">
      <alignment horizontal="center"/>
    </xf>
    <xf numFmtId="0" fontId="8" fillId="0" borderId="0" xfId="0" applyFont="1" applyFill="1" applyAlignment="1" applyProtection="1">
      <alignment horizontal="left" vertical="center"/>
    </xf>
    <xf numFmtId="0" fontId="0" fillId="0" borderId="0" xfId="0" applyFill="1" applyAlignment="1" applyProtection="1">
      <alignment horizontal="center"/>
    </xf>
    <xf numFmtId="0" fontId="6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left" vertical="center"/>
    </xf>
    <xf numFmtId="0" fontId="10" fillId="0" borderId="0" xfId="0" applyFont="1" applyFill="1" applyAlignment="1" applyProtection="1">
      <alignment horizontal="center"/>
    </xf>
    <xf numFmtId="0" fontId="17" fillId="0" borderId="0" xfId="0" applyFont="1" applyFill="1" applyAlignment="1" applyProtection="1">
      <alignment horizontal="left" vertical="center"/>
    </xf>
    <xf numFmtId="0" fontId="20" fillId="0" borderId="0" xfId="0" applyFont="1" applyFill="1" applyAlignment="1" applyProtection="1">
      <alignment horizontal="left"/>
    </xf>
    <xf numFmtId="0" fontId="18" fillId="0" borderId="0" xfId="0" applyFont="1" applyFill="1" applyAlignment="1" applyProtection="1">
      <alignment horizontal="left"/>
    </xf>
    <xf numFmtId="0" fontId="19" fillId="0" borderId="0" xfId="0" applyFont="1" applyFill="1" applyAlignment="1" applyProtection="1">
      <alignment horizontal="left"/>
    </xf>
    <xf numFmtId="0" fontId="27" fillId="0" borderId="0" xfId="0" applyFont="1" applyFill="1" applyAlignment="1" applyProtection="1">
      <alignment horizontal="center"/>
    </xf>
    <xf numFmtId="0" fontId="27" fillId="0" borderId="0" xfId="0" applyFont="1" applyFill="1" applyAlignment="1" applyProtection="1">
      <alignment horizontal="center" vertical="center"/>
    </xf>
    <xf numFmtId="0" fontId="27" fillId="0" borderId="0" xfId="0" applyFont="1" applyFill="1" applyAlignment="1" applyProtection="1">
      <alignment horizontal="left"/>
    </xf>
    <xf numFmtId="0" fontId="4" fillId="0" borderId="0" xfId="0" applyFont="1" applyFill="1" applyAlignment="1" applyProtection="1">
      <alignment horizontal="center"/>
    </xf>
    <xf numFmtId="0" fontId="9" fillId="0" borderId="0" xfId="0" applyFont="1" applyFill="1" applyAlignment="1" applyProtection="1">
      <alignment horizontal="left"/>
    </xf>
    <xf numFmtId="0" fontId="9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17" fillId="0" borderId="0" xfId="0" applyFont="1" applyFill="1" applyAlignment="1" applyProtection="1">
      <alignment horizontal="center"/>
    </xf>
    <xf numFmtId="0" fontId="47" fillId="0" borderId="3" xfId="0" applyFont="1" applyFill="1" applyBorder="1" applyAlignment="1">
      <alignment horizontal="left" textRotation="90" wrapText="1"/>
    </xf>
    <xf numFmtId="166" fontId="52" fillId="3" borderId="2" xfId="0" applyNumberFormat="1" applyFont="1" applyFill="1" applyBorder="1" applyAlignment="1">
      <alignment horizontal="center" vertical="center" textRotation="90"/>
    </xf>
    <xf numFmtId="166" fontId="52" fillId="3" borderId="3" xfId="0" applyNumberFormat="1" applyFont="1" applyFill="1" applyBorder="1" applyAlignment="1">
      <alignment horizontal="center" vertical="center" textRotation="90"/>
    </xf>
    <xf numFmtId="0" fontId="43" fillId="0" borderId="0" xfId="0" applyFont="1" applyFill="1" applyAlignment="1">
      <alignment horizontal="center" vertical="top" wrapText="1"/>
    </xf>
    <xf numFmtId="0" fontId="3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horizontal="left" vertical="center"/>
    </xf>
    <xf numFmtId="0" fontId="12" fillId="0" borderId="0" xfId="0" applyFont="1" applyFill="1" applyAlignment="1" applyProtection="1">
      <alignment vertical="center"/>
    </xf>
    <xf numFmtId="0" fontId="12" fillId="0" borderId="0" xfId="0" applyFont="1" applyFill="1" applyAlignment="1" applyProtection="1">
      <alignment horizontal="left" vertical="center"/>
    </xf>
    <xf numFmtId="0" fontId="12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justify" vertical="center"/>
    </xf>
    <xf numFmtId="0" fontId="3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right"/>
    </xf>
    <xf numFmtId="14" fontId="8" fillId="0" borderId="0" xfId="0" applyNumberFormat="1" applyFont="1" applyFill="1" applyAlignment="1" applyProtection="1">
      <alignment horizontal="center"/>
    </xf>
    <xf numFmtId="14" fontId="8" fillId="0" borderId="0" xfId="0" applyNumberFormat="1" applyFont="1" applyFill="1" applyAlignment="1" applyProtection="1">
      <alignment horizontal="center" vertical="top"/>
    </xf>
    <xf numFmtId="14" fontId="8" fillId="0" borderId="0" xfId="0" applyNumberFormat="1" applyFont="1" applyFill="1" applyAlignment="1" applyProtection="1">
      <alignment vertical="top"/>
    </xf>
    <xf numFmtId="0" fontId="8" fillId="0" borderId="0" xfId="0" quotePrefix="1" applyFont="1" applyFill="1" applyAlignment="1" applyProtection="1">
      <alignment horizontal="right" vertical="center"/>
    </xf>
    <xf numFmtId="0" fontId="8" fillId="0" borderId="0" xfId="0" quotePrefix="1" applyFont="1" applyFill="1" applyAlignment="1" applyProtection="1">
      <alignment vertical="center"/>
    </xf>
    <xf numFmtId="0" fontId="22" fillId="3" borderId="0" xfId="0" applyFont="1" applyFill="1" applyProtection="1"/>
    <xf numFmtId="0" fontId="63" fillId="0" borderId="0" xfId="0" applyFont="1" applyFill="1" applyProtection="1"/>
    <xf numFmtId="0" fontId="1" fillId="0" borderId="0" xfId="0" quotePrefix="1" applyFont="1" applyFill="1" applyAlignment="1" applyProtection="1">
      <alignment horizontal="right"/>
    </xf>
    <xf numFmtId="0" fontId="64" fillId="0" borderId="0" xfId="0" quotePrefix="1" applyFont="1" applyFill="1" applyAlignment="1" applyProtection="1">
      <alignment horizontal="right"/>
    </xf>
    <xf numFmtId="0" fontId="65" fillId="2" borderId="25" xfId="0" applyFont="1" applyFill="1" applyBorder="1" applyAlignment="1">
      <alignment horizontal="center" vertical="center" wrapText="1"/>
    </xf>
    <xf numFmtId="0" fontId="65" fillId="2" borderId="25" xfId="0" applyFont="1" applyFill="1" applyBorder="1" applyAlignment="1">
      <alignment horizontal="right" vertical="center" wrapText="1"/>
    </xf>
    <xf numFmtId="0" fontId="66" fillId="14" borderId="0" xfId="0" applyFont="1" applyFill="1"/>
    <xf numFmtId="14" fontId="66" fillId="14" borderId="0" xfId="0" applyNumberFormat="1" applyFont="1" applyFill="1"/>
    <xf numFmtId="1" fontId="68" fillId="14" borderId="0" xfId="3" applyNumberFormat="1" applyFont="1" applyFill="1" applyAlignment="1">
      <alignment horizontal="right"/>
    </xf>
    <xf numFmtId="0" fontId="66" fillId="0" borderId="0" xfId="0" applyFont="1"/>
    <xf numFmtId="14" fontId="66" fillId="0" borderId="0" xfId="0" applyNumberFormat="1" applyFont="1"/>
    <xf numFmtId="1" fontId="67" fillId="0" borderId="0" xfId="0" applyNumberFormat="1" applyFont="1" applyAlignment="1">
      <alignment horizontal="right"/>
    </xf>
    <xf numFmtId="1" fontId="67" fillId="14" borderId="0" xfId="0" applyNumberFormat="1" applyFont="1" applyFill="1" applyAlignment="1">
      <alignment horizontal="right"/>
    </xf>
    <xf numFmtId="1" fontId="67" fillId="0" borderId="0" xfId="0" quotePrefix="1" applyNumberFormat="1" applyFont="1" applyAlignment="1">
      <alignment horizontal="right"/>
    </xf>
    <xf numFmtId="1" fontId="67" fillId="14" borderId="0" xfId="0" quotePrefix="1" applyNumberFormat="1" applyFont="1" applyFill="1" applyAlignment="1">
      <alignment horizontal="right"/>
    </xf>
    <xf numFmtId="0" fontId="66" fillId="14" borderId="26" xfId="0" applyFont="1" applyFill="1" applyBorder="1"/>
    <xf numFmtId="14" fontId="66" fillId="14" borderId="26" xfId="0" applyNumberFormat="1" applyFont="1" applyFill="1" applyBorder="1"/>
    <xf numFmtId="1" fontId="67" fillId="14" borderId="26" xfId="0" applyNumberFormat="1" applyFont="1" applyFill="1" applyBorder="1" applyAlignment="1">
      <alignment horizontal="right"/>
    </xf>
    <xf numFmtId="4" fontId="65" fillId="2" borderId="25" xfId="0" applyNumberFormat="1" applyFont="1" applyFill="1" applyBorder="1" applyAlignment="1">
      <alignment horizontal="center" vertical="center" wrapText="1"/>
    </xf>
    <xf numFmtId="4" fontId="42" fillId="14" borderId="0" xfId="3" applyNumberFormat="1" applyFont="1" applyFill="1"/>
    <xf numFmtId="4" fontId="42" fillId="0" borderId="0" xfId="0" applyNumberFormat="1" applyFont="1"/>
    <xf numFmtId="4" fontId="42" fillId="14" borderId="0" xfId="0" applyNumberFormat="1" applyFont="1" applyFill="1"/>
    <xf numFmtId="4" fontId="42" fillId="14" borderId="26" xfId="0" applyNumberFormat="1" applyFont="1" applyFill="1" applyBorder="1"/>
    <xf numFmtId="4" fontId="42" fillId="0" borderId="0" xfId="0" applyNumberFormat="1" applyFont="1" applyFill="1"/>
    <xf numFmtId="0" fontId="71" fillId="0" borderId="0" xfId="0" applyFont="1" applyFill="1" applyProtection="1"/>
    <xf numFmtId="0" fontId="0" fillId="12" borderId="0" xfId="0" applyFill="1" applyProtection="1"/>
    <xf numFmtId="0" fontId="8" fillId="12" borderId="0" xfId="0" applyFont="1" applyFill="1" applyProtection="1"/>
    <xf numFmtId="4" fontId="72" fillId="0" borderId="0" xfId="0" applyNumberFormat="1" applyFont="1" applyFill="1" applyProtection="1"/>
    <xf numFmtId="4" fontId="0" fillId="0" borderId="33" xfId="0" applyNumberFormat="1" applyFill="1" applyBorder="1" applyProtection="1"/>
    <xf numFmtId="0" fontId="28" fillId="0" borderId="0" xfId="0" applyFont="1" applyFill="1" applyAlignment="1" applyProtection="1">
      <alignment horizontal="left" vertical="top"/>
    </xf>
    <xf numFmtId="0" fontId="28" fillId="0" borderId="0" xfId="0" applyFont="1" applyFill="1" applyAlignment="1" applyProtection="1">
      <alignment horizontal="center" vertical="top" wrapText="1"/>
    </xf>
    <xf numFmtId="0" fontId="28" fillId="0" borderId="0" xfId="0" applyFont="1" applyFill="1" applyAlignment="1" applyProtection="1">
      <alignment horizontal="left" vertical="top" wrapText="1"/>
    </xf>
    <xf numFmtId="14" fontId="28" fillId="0" borderId="0" xfId="0" applyNumberFormat="1" applyFont="1" applyFill="1" applyAlignment="1" applyProtection="1">
      <alignment horizontal="left" vertical="top" wrapText="1"/>
    </xf>
    <xf numFmtId="0" fontId="0" fillId="0" borderId="35" xfId="0" applyFill="1" applyBorder="1" applyProtection="1"/>
    <xf numFmtId="14" fontId="0" fillId="0" borderId="35" xfId="0" applyNumberFormat="1" applyFill="1" applyBorder="1" applyProtection="1"/>
    <xf numFmtId="14" fontId="0" fillId="0" borderId="33" xfId="0" applyNumberFormat="1" applyFill="1" applyBorder="1" applyProtection="1"/>
    <xf numFmtId="0" fontId="0" fillId="0" borderId="4" xfId="0" applyFill="1" applyBorder="1" applyAlignment="1">
      <alignment horizontal="right" vertical="top" wrapText="1"/>
    </xf>
    <xf numFmtId="4" fontId="0" fillId="0" borderId="4" xfId="0" applyNumberFormat="1" applyFill="1" applyBorder="1" applyProtection="1"/>
    <xf numFmtId="14" fontId="71" fillId="0" borderId="0" xfId="0" applyNumberFormat="1" applyFont="1" applyFill="1" applyProtection="1"/>
    <xf numFmtId="0" fontId="0" fillId="15" borderId="0" xfId="0" applyFill="1" applyProtection="1"/>
    <xf numFmtId="4" fontId="20" fillId="0" borderId="0" xfId="0" applyNumberFormat="1" applyFont="1" applyFill="1" applyProtection="1"/>
    <xf numFmtId="0" fontId="20" fillId="3" borderId="0" xfId="0" applyFont="1" applyFill="1" applyAlignment="1" applyProtection="1">
      <alignment horizontal="center"/>
    </xf>
    <xf numFmtId="0" fontId="74" fillId="0" borderId="1" xfId="0" applyFont="1" applyFill="1" applyBorder="1" applyProtection="1"/>
    <xf numFmtId="4" fontId="75" fillId="0" borderId="2" xfId="0" applyNumberFormat="1" applyFont="1" applyFill="1" applyBorder="1" applyAlignment="1" applyProtection="1">
      <alignment vertical="center"/>
    </xf>
    <xf numFmtId="0" fontId="9" fillId="0" borderId="0" xfId="0" applyFont="1" applyFill="1" applyAlignment="1" applyProtection="1">
      <alignment horizontal="center"/>
    </xf>
    <xf numFmtId="0" fontId="9" fillId="0" borderId="0" xfId="0" applyFont="1" applyFill="1" applyAlignment="1" applyProtection="1">
      <alignment horizontal="justify" vertical="center"/>
    </xf>
    <xf numFmtId="0" fontId="76" fillId="0" borderId="0" xfId="0" applyFont="1" applyFill="1" applyAlignment="1" applyProtection="1">
      <alignment horizontal="justify" vertical="center"/>
    </xf>
    <xf numFmtId="0" fontId="9" fillId="0" borderId="0" xfId="0" applyFont="1" applyFill="1" applyAlignment="1" applyProtection="1">
      <alignment horizontal="right" vertical="center"/>
    </xf>
    <xf numFmtId="0" fontId="4" fillId="0" borderId="1" xfId="0" applyFont="1" applyFill="1" applyBorder="1" applyProtection="1"/>
    <xf numFmtId="0" fontId="9" fillId="0" borderId="1" xfId="0" applyFont="1" applyFill="1" applyBorder="1" applyAlignment="1" applyProtection="1">
      <alignment horizontal="justify" vertical="center"/>
    </xf>
    <xf numFmtId="14" fontId="78" fillId="0" borderId="0" xfId="0" applyNumberFormat="1" applyFont="1" applyFill="1" applyProtection="1"/>
    <xf numFmtId="14" fontId="4" fillId="0" borderId="0" xfId="0" applyNumberFormat="1" applyFont="1" applyFill="1" applyProtection="1"/>
    <xf numFmtId="0" fontId="78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horizontal="left" vertical="center" wrapText="1"/>
    </xf>
    <xf numFmtId="0" fontId="4" fillId="0" borderId="0" xfId="0" applyFont="1" applyFill="1" applyAlignment="1" applyProtection="1">
      <alignment vertical="center" wrapText="1"/>
    </xf>
    <xf numFmtId="0" fontId="79" fillId="0" borderId="0" xfId="0" applyFont="1" applyFill="1" applyProtection="1"/>
    <xf numFmtId="0" fontId="9" fillId="0" borderId="0" xfId="0" applyFont="1" applyFill="1" applyAlignment="1" applyProtection="1">
      <alignment vertical="center"/>
    </xf>
    <xf numFmtId="14" fontId="4" fillId="0" borderId="0" xfId="0" applyNumberFormat="1" applyFont="1" applyFill="1" applyAlignment="1" applyProtection="1">
      <alignment horizontal="left"/>
    </xf>
    <xf numFmtId="14" fontId="78" fillId="0" borderId="0" xfId="0" applyNumberFormat="1" applyFont="1" applyFill="1" applyAlignment="1" applyProtection="1">
      <alignment horizontal="center"/>
    </xf>
    <xf numFmtId="0" fontId="4" fillId="3" borderId="0" xfId="0" applyFont="1" applyFill="1" applyProtection="1"/>
    <xf numFmtId="0" fontId="2" fillId="0" borderId="0" xfId="3" applyFont="1" applyFill="1" applyProtection="1"/>
    <xf numFmtId="14" fontId="8" fillId="0" borderId="0" xfId="3" applyNumberFormat="1" applyFill="1" applyProtection="1"/>
    <xf numFmtId="2" fontId="0" fillId="0" borderId="0" xfId="0" applyNumberFormat="1" applyFill="1"/>
    <xf numFmtId="4" fontId="42" fillId="0" borderId="0" xfId="3" applyNumberFormat="1" applyFont="1" applyFill="1" applyProtection="1"/>
    <xf numFmtId="4" fontId="8" fillId="0" borderId="0" xfId="3" applyNumberFormat="1" applyFill="1" applyProtection="1"/>
    <xf numFmtId="0" fontId="0" fillId="0" borderId="0" xfId="0" applyFill="1" applyAlignment="1" applyProtection="1">
      <alignment horizontal="right" vertical="center" wrapText="1"/>
    </xf>
    <xf numFmtId="14" fontId="0" fillId="0" borderId="0" xfId="0" applyNumberFormat="1" applyFill="1" applyAlignment="1" applyProtection="1">
      <alignment horizontal="right"/>
    </xf>
    <xf numFmtId="14" fontId="71" fillId="0" borderId="0" xfId="0" applyNumberFormat="1" applyFont="1" applyFill="1" applyAlignment="1" applyProtection="1">
      <alignment horizontal="right"/>
    </xf>
    <xf numFmtId="0" fontId="2" fillId="9" borderId="0" xfId="0" applyFont="1" applyFill="1" applyProtection="1"/>
    <xf numFmtId="0" fontId="8" fillId="16" borderId="0" xfId="0" applyFont="1" applyFill="1" applyProtection="1"/>
    <xf numFmtId="0" fontId="0" fillId="16" borderId="0" xfId="0" applyFill="1" applyProtection="1"/>
    <xf numFmtId="0" fontId="0" fillId="0" borderId="0" xfId="0" quotePrefix="1" applyFill="1" applyProtection="1"/>
    <xf numFmtId="0" fontId="0" fillId="2" borderId="0" xfId="0" applyFill="1" applyProtection="1"/>
    <xf numFmtId="4" fontId="58" fillId="0" borderId="0" xfId="0" applyNumberFormat="1" applyFont="1" applyFill="1" applyProtection="1"/>
    <xf numFmtId="0" fontId="63" fillId="0" borderId="0" xfId="0" quotePrefix="1" applyFont="1" applyFill="1" applyAlignment="1" applyProtection="1">
      <alignment horizontal="right"/>
    </xf>
    <xf numFmtId="0" fontId="69" fillId="0" borderId="0" xfId="0" applyFont="1" applyFill="1" applyProtection="1"/>
    <xf numFmtId="14" fontId="69" fillId="0" borderId="0" xfId="0" applyNumberFormat="1" applyFont="1" applyFill="1" applyProtection="1"/>
    <xf numFmtId="4" fontId="63" fillId="0" borderId="0" xfId="0" applyNumberFormat="1" applyFont="1" applyFill="1" applyProtection="1"/>
    <xf numFmtId="4" fontId="70" fillId="0" borderId="0" xfId="0" applyNumberFormat="1" applyFont="1" applyFill="1" applyProtection="1"/>
    <xf numFmtId="0" fontId="73" fillId="0" borderId="0" xfId="0" applyFont="1" applyFill="1" applyProtection="1"/>
    <xf numFmtId="0" fontId="83" fillId="16" borderId="0" xfId="0" applyFont="1" applyFill="1" applyProtection="1"/>
    <xf numFmtId="0" fontId="82" fillId="17" borderId="0" xfId="0" applyFont="1" applyFill="1" applyProtection="1"/>
    <xf numFmtId="0" fontId="83" fillId="17" borderId="0" xfId="0" applyFont="1" applyFill="1" applyProtection="1"/>
    <xf numFmtId="14" fontId="82" fillId="17" borderId="0" xfId="0" applyNumberFormat="1" applyFont="1" applyFill="1" applyProtection="1"/>
    <xf numFmtId="1" fontId="83" fillId="17" borderId="0" xfId="0" quotePrefix="1" applyNumberFormat="1" applyFont="1" applyFill="1" applyAlignment="1" applyProtection="1">
      <alignment horizontal="right"/>
    </xf>
    <xf numFmtId="14" fontId="83" fillId="17" borderId="0" xfId="0" applyNumberFormat="1" applyFont="1" applyFill="1" applyProtection="1"/>
    <xf numFmtId="49" fontId="83" fillId="17" borderId="0" xfId="0" applyNumberFormat="1" applyFont="1" applyFill="1" applyProtection="1"/>
    <xf numFmtId="0" fontId="83" fillId="17" borderId="0" xfId="0" applyFont="1" applyFill="1" applyAlignment="1" applyProtection="1">
      <alignment wrapText="1"/>
    </xf>
    <xf numFmtId="4" fontId="84" fillId="17" borderId="0" xfId="0" applyNumberFormat="1" applyFont="1" applyFill="1" applyProtection="1"/>
    <xf numFmtId="2" fontId="83" fillId="17" borderId="0" xfId="0" applyNumberFormat="1" applyFont="1" applyFill="1" applyProtection="1"/>
    <xf numFmtId="4" fontId="83" fillId="17" borderId="0" xfId="0" applyNumberFormat="1" applyFont="1" applyFill="1" applyProtection="1"/>
    <xf numFmtId="165" fontId="0" fillId="8" borderId="0" xfId="0" applyNumberFormat="1" applyFill="1" applyProtection="1"/>
    <xf numFmtId="0" fontId="85" fillId="0" borderId="0" xfId="0" applyFont="1" applyFill="1" applyProtection="1"/>
    <xf numFmtId="14" fontId="85" fillId="0" borderId="0" xfId="0" applyNumberFormat="1" applyFont="1" applyFill="1" applyProtection="1"/>
    <xf numFmtId="4" fontId="86" fillId="0" borderId="0" xfId="0" applyNumberFormat="1" applyFont="1" applyFill="1" applyProtection="1"/>
    <xf numFmtId="0" fontId="87" fillId="0" borderId="0" xfId="0" applyFont="1" applyFill="1" applyProtection="1"/>
    <xf numFmtId="0" fontId="88" fillId="0" borderId="0" xfId="0" applyFont="1" applyFill="1" applyProtection="1"/>
    <xf numFmtId="14" fontId="88" fillId="0" borderId="0" xfId="0" applyNumberFormat="1" applyFont="1" applyFill="1" applyProtection="1"/>
    <xf numFmtId="49" fontId="73" fillId="0" borderId="0" xfId="0" applyNumberFormat="1" applyFont="1" applyFill="1" applyProtection="1"/>
    <xf numFmtId="0" fontId="73" fillId="2" borderId="0" xfId="0" applyFont="1" applyFill="1" applyProtection="1"/>
    <xf numFmtId="4" fontId="89" fillId="0" borderId="0" xfId="0" applyNumberFormat="1" applyFont="1" applyFill="1" applyProtection="1"/>
    <xf numFmtId="0" fontId="73" fillId="18" borderId="0" xfId="0" applyFont="1" applyFill="1" applyProtection="1"/>
    <xf numFmtId="0" fontId="90" fillId="0" borderId="0" xfId="0" applyFont="1" applyFill="1" applyProtection="1"/>
    <xf numFmtId="1" fontId="91" fillId="0" borderId="0" xfId="0" applyNumberFormat="1" applyFont="1" applyAlignment="1">
      <alignment horizontal="right"/>
    </xf>
    <xf numFmtId="0" fontId="67" fillId="0" borderId="0" xfId="0" applyFont="1"/>
    <xf numFmtId="14" fontId="91" fillId="0" borderId="0" xfId="0" applyNumberFormat="1" applyFont="1"/>
    <xf numFmtId="49" fontId="67" fillId="0" borderId="0" xfId="0" applyNumberFormat="1" applyFont="1"/>
    <xf numFmtId="0" fontId="67" fillId="16" borderId="0" xfId="0" applyFont="1" applyFill="1"/>
    <xf numFmtId="0" fontId="91" fillId="0" borderId="0" xfId="0" applyFont="1" applyAlignment="1">
      <alignment wrapText="1"/>
    </xf>
    <xf numFmtId="2" fontId="91" fillId="0" borderId="0" xfId="0" applyNumberFormat="1" applyFont="1"/>
    <xf numFmtId="4" fontId="91" fillId="0" borderId="0" xfId="0" applyNumberFormat="1" applyFont="1"/>
    <xf numFmtId="0" fontId="91" fillId="0" borderId="0" xfId="0" applyFont="1"/>
    <xf numFmtId="0" fontId="85" fillId="9" borderId="0" xfId="0" applyFont="1" applyFill="1" applyProtection="1"/>
    <xf numFmtId="1" fontId="91" fillId="0" borderId="0" xfId="0" applyNumberFormat="1" applyFont="1" applyFill="1" applyAlignment="1" applyProtection="1">
      <alignment horizontal="right"/>
    </xf>
    <xf numFmtId="14" fontId="91" fillId="0" borderId="0" xfId="0" applyNumberFormat="1" applyFont="1" applyFill="1" applyProtection="1"/>
    <xf numFmtId="0" fontId="91" fillId="0" borderId="0" xfId="0" applyFont="1" applyFill="1" applyAlignment="1" applyProtection="1">
      <alignment wrapText="1"/>
    </xf>
    <xf numFmtId="0" fontId="67" fillId="0" borderId="0" xfId="0" applyFont="1" applyFill="1" applyAlignment="1" applyProtection="1">
      <alignment wrapText="1"/>
    </xf>
    <xf numFmtId="2" fontId="91" fillId="0" borderId="0" xfId="0" applyNumberFormat="1" applyFont="1" applyFill="1" applyProtection="1"/>
    <xf numFmtId="4" fontId="91" fillId="0" borderId="0" xfId="0" applyNumberFormat="1" applyFont="1" applyFill="1" applyProtection="1"/>
    <xf numFmtId="4" fontId="67" fillId="0" borderId="0" xfId="0" applyNumberFormat="1" applyFont="1" applyFill="1" applyProtection="1"/>
    <xf numFmtId="14" fontId="67" fillId="0" borderId="0" xfId="0" applyNumberFormat="1" applyFont="1" applyFill="1" applyProtection="1"/>
    <xf numFmtId="4" fontId="62" fillId="9" borderId="0" xfId="0" applyNumberFormat="1" applyFont="1" applyFill="1" applyProtection="1"/>
    <xf numFmtId="4" fontId="72" fillId="9" borderId="0" xfId="0" applyNumberFormat="1" applyFont="1" applyFill="1" applyProtection="1"/>
    <xf numFmtId="0" fontId="92" fillId="0" borderId="0" xfId="0" applyFont="1" applyFill="1" applyProtection="1"/>
    <xf numFmtId="14" fontId="92" fillId="0" borderId="0" xfId="0" applyNumberFormat="1" applyFont="1" applyFill="1" applyProtection="1"/>
    <xf numFmtId="4" fontId="93" fillId="0" borderId="0" xfId="0" applyNumberFormat="1" applyFont="1" applyFill="1" applyProtection="1"/>
    <xf numFmtId="0" fontId="94" fillId="0" borderId="0" xfId="0" applyFont="1" applyFill="1" applyProtection="1"/>
    <xf numFmtId="14" fontId="4" fillId="0" borderId="0" xfId="0" applyNumberFormat="1" applyFont="1" applyFill="1" applyAlignment="1" applyProtection="1">
      <alignment vertical="center"/>
    </xf>
    <xf numFmtId="0" fontId="94" fillId="9" borderId="0" xfId="0" applyFont="1" applyFill="1" applyProtection="1"/>
    <xf numFmtId="14" fontId="94" fillId="0" borderId="0" xfId="0" applyNumberFormat="1" applyFont="1" applyFill="1" applyProtection="1"/>
    <xf numFmtId="4" fontId="95" fillId="0" borderId="0" xfId="0" applyNumberFormat="1" applyFont="1" applyFill="1" applyProtection="1"/>
    <xf numFmtId="0" fontId="96" fillId="0" borderId="0" xfId="0" applyFont="1" applyFill="1" applyProtection="1"/>
    <xf numFmtId="14" fontId="96" fillId="0" borderId="0" xfId="0" applyNumberFormat="1" applyFont="1" applyFill="1" applyProtection="1"/>
    <xf numFmtId="4" fontId="30" fillId="0" borderId="0" xfId="0" applyNumberFormat="1" applyFont="1" applyFill="1" applyAlignment="1" applyProtection="1">
      <alignment horizontal="left"/>
    </xf>
    <xf numFmtId="0" fontId="97" fillId="0" borderId="0" xfId="5" applyFill="1" applyProtection="1"/>
    <xf numFmtId="4" fontId="97" fillId="0" borderId="0" xfId="5" applyNumberFormat="1" applyFill="1" applyProtection="1"/>
    <xf numFmtId="14" fontId="97" fillId="0" borderId="0" xfId="5" applyNumberFormat="1" applyFill="1" applyProtection="1"/>
    <xf numFmtId="4" fontId="97" fillId="0" borderId="31" xfId="5" applyNumberFormat="1" applyFill="1" applyBorder="1" applyProtection="1"/>
    <xf numFmtId="4" fontId="97" fillId="0" borderId="34" xfId="5" applyNumberFormat="1" applyFill="1" applyBorder="1" applyProtection="1"/>
    <xf numFmtId="14" fontId="97" fillId="0" borderId="34" xfId="5" applyNumberFormat="1" applyFill="1" applyBorder="1" applyProtection="1"/>
    <xf numFmtId="14" fontId="97" fillId="0" borderId="30" xfId="5" applyNumberFormat="1" applyFill="1" applyBorder="1" applyProtection="1"/>
    <xf numFmtId="0" fontId="97" fillId="0" borderId="30" xfId="5" applyFill="1" applyBorder="1" applyProtection="1"/>
    <xf numFmtId="4" fontId="97" fillId="0" borderId="36" xfId="5" applyNumberFormat="1" applyFill="1" applyBorder="1" applyProtection="1"/>
    <xf numFmtId="14" fontId="97" fillId="0" borderId="35" xfId="5" applyNumberFormat="1" applyFill="1" applyBorder="1" applyProtection="1"/>
    <xf numFmtId="0" fontId="97" fillId="0" borderId="35" xfId="5" applyFill="1" applyBorder="1" applyProtection="1"/>
    <xf numFmtId="4" fontId="97" fillId="0" borderId="29" xfId="5" applyNumberFormat="1" applyFill="1" applyBorder="1" applyProtection="1"/>
    <xf numFmtId="4" fontId="97" fillId="0" borderId="33" xfId="5" applyNumberFormat="1" applyFill="1" applyBorder="1" applyProtection="1"/>
    <xf numFmtId="14" fontId="97" fillId="0" borderId="33" xfId="5" applyNumberFormat="1" applyFill="1" applyBorder="1" applyProtection="1"/>
    <xf numFmtId="14" fontId="97" fillId="0" borderId="24" xfId="5" applyNumberFormat="1" applyFill="1" applyBorder="1" applyProtection="1"/>
    <xf numFmtId="0" fontId="97" fillId="0" borderId="24" xfId="5" applyFill="1" applyBorder="1" applyProtection="1"/>
    <xf numFmtId="0" fontId="97" fillId="0" borderId="29" xfId="5" applyFill="1" applyBorder="1" applyProtection="1"/>
    <xf numFmtId="0" fontId="97" fillId="0" borderId="24" xfId="5" pivotButton="1" applyFill="1" applyBorder="1" applyProtection="1"/>
    <xf numFmtId="14" fontId="97" fillId="0" borderId="28" xfId="5" applyNumberFormat="1" applyFill="1" applyBorder="1" applyProtection="1"/>
    <xf numFmtId="14" fontId="97" fillId="0" borderId="27" xfId="5" applyNumberFormat="1" applyFill="1" applyBorder="1" applyProtection="1"/>
    <xf numFmtId="14" fontId="97" fillId="0" borderId="24" xfId="5" pivotButton="1" applyNumberFormat="1" applyFill="1" applyBorder="1" applyProtection="1"/>
    <xf numFmtId="0" fontId="97" fillId="0" borderId="32" xfId="5" applyFill="1" applyBorder="1" applyProtection="1"/>
    <xf numFmtId="0" fontId="97" fillId="0" borderId="32" xfId="5" pivotButton="1" applyFill="1" applyBorder="1" applyProtection="1"/>
    <xf numFmtId="0" fontId="8" fillId="3" borderId="0" xfId="0" applyFont="1" applyFill="1" applyProtection="1"/>
    <xf numFmtId="0" fontId="98" fillId="0" borderId="0" xfId="0" applyFont="1" applyFill="1" applyAlignment="1" applyProtection="1">
      <alignment horizontal="left"/>
    </xf>
    <xf numFmtId="0" fontId="8" fillId="0" borderId="0" xfId="0" applyFont="1" applyFill="1" applyAlignment="1" applyProtection="1">
      <alignment horizontal="center" vertical="center" wrapText="1"/>
    </xf>
    <xf numFmtId="0" fontId="8" fillId="0" borderId="0" xfId="0" applyFont="1" applyFill="1" applyAlignment="1" applyProtection="1">
      <alignment horizontal="left" vertical="center" indent="1"/>
    </xf>
    <xf numFmtId="14" fontId="8" fillId="0" borderId="0" xfId="0" applyNumberFormat="1" applyFont="1" applyFill="1" applyAlignment="1" applyProtection="1">
      <alignment vertical="center"/>
    </xf>
    <xf numFmtId="4" fontId="99" fillId="0" borderId="0" xfId="0" applyNumberFormat="1" applyFont="1" applyFill="1" applyProtection="1"/>
    <xf numFmtId="0" fontId="0" fillId="9" borderId="0" xfId="0" applyFill="1" applyProtection="1"/>
    <xf numFmtId="168" fontId="20" fillId="3" borderId="1" xfId="0" applyNumberFormat="1" applyFont="1" applyFill="1" applyBorder="1" applyProtection="1"/>
    <xf numFmtId="0" fontId="8" fillId="0" borderId="0" xfId="0" quotePrefix="1" applyFont="1" applyFill="1" applyAlignment="1" applyProtection="1">
      <alignment horizontal="left" vertical="center"/>
    </xf>
    <xf numFmtId="0" fontId="99" fillId="0" borderId="0" xfId="0" quotePrefix="1" applyFont="1" applyFill="1" applyProtection="1"/>
    <xf numFmtId="168" fontId="95" fillId="0" borderId="0" xfId="0" applyNumberFormat="1" applyFont="1" applyFill="1" applyProtection="1"/>
    <xf numFmtId="0" fontId="99" fillId="0" borderId="0" xfId="0" applyFont="1" applyFill="1" applyProtection="1"/>
    <xf numFmtId="0" fontId="6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4" fillId="0" borderId="0" xfId="0" quotePrefix="1" applyFont="1" applyFill="1" applyAlignment="1" applyProtection="1">
      <alignment vertical="center"/>
    </xf>
    <xf numFmtId="0" fontId="4" fillId="0" borderId="0" xfId="0" applyFont="1" applyFill="1" applyAlignment="1" applyProtection="1">
      <alignment horizontal="right"/>
    </xf>
    <xf numFmtId="0" fontId="9" fillId="0" borderId="0" xfId="0" applyFont="1" applyFill="1" applyAlignment="1" applyProtection="1">
      <alignment horizontal="center" vertical="center" wrapText="1"/>
    </xf>
    <xf numFmtId="14" fontId="4" fillId="0" borderId="0" xfId="0" applyNumberFormat="1" applyFont="1" applyFill="1" applyAlignment="1" applyProtection="1">
      <alignment horizontal="center" vertical="top"/>
    </xf>
    <xf numFmtId="14" fontId="4" fillId="0" borderId="0" xfId="0" applyNumberFormat="1" applyFont="1" applyFill="1" applyAlignment="1" applyProtection="1">
      <alignment vertical="top"/>
    </xf>
    <xf numFmtId="0" fontId="4" fillId="0" borderId="0" xfId="0" quotePrefix="1" applyFont="1" applyFill="1" applyAlignment="1" applyProtection="1">
      <alignment horizontal="right" vertical="center"/>
    </xf>
    <xf numFmtId="0" fontId="13" fillId="0" borderId="0" xfId="0" applyFont="1" applyFill="1" applyAlignment="1" applyProtection="1">
      <alignment horizontal="left"/>
    </xf>
    <xf numFmtId="0" fontId="101" fillId="0" borderId="0" xfId="0" applyFont="1" applyFill="1" applyProtection="1"/>
    <xf numFmtId="168" fontId="86" fillId="0" borderId="0" xfId="0" applyNumberFormat="1" applyFont="1" applyFill="1" applyProtection="1"/>
    <xf numFmtId="168" fontId="102" fillId="0" borderId="0" xfId="0" applyNumberFormat="1" applyFont="1" applyFill="1" applyProtection="1"/>
    <xf numFmtId="4" fontId="103" fillId="9" borderId="0" xfId="0" applyNumberFormat="1" applyFont="1" applyFill="1" applyProtection="1"/>
    <xf numFmtId="4" fontId="104" fillId="0" borderId="0" xfId="0" applyNumberFormat="1" applyFont="1" applyFill="1" applyProtection="1"/>
    <xf numFmtId="169" fontId="0" fillId="0" borderId="0" xfId="0" applyNumberFormat="1" applyFill="1" applyProtection="1"/>
    <xf numFmtId="0" fontId="0" fillId="0" borderId="0" xfId="0" pivotButton="1" applyFill="1" applyProtection="1"/>
    <xf numFmtId="0" fontId="20" fillId="0" borderId="1" xfId="0" applyFont="1" applyFill="1" applyBorder="1" applyProtection="1"/>
    <xf numFmtId="0" fontId="105" fillId="0" borderId="0" xfId="0" applyFont="1" applyFill="1" applyProtection="1"/>
    <xf numFmtId="14" fontId="105" fillId="0" borderId="0" xfId="0" applyNumberFormat="1" applyFont="1" applyFill="1" applyProtection="1"/>
    <xf numFmtId="4" fontId="106" fillId="0" borderId="0" xfId="0" applyNumberFormat="1" applyFont="1" applyFill="1" applyProtection="1"/>
    <xf numFmtId="169" fontId="95" fillId="0" borderId="0" xfId="7" applyNumberFormat="1" applyFont="1" applyFill="1" applyProtection="1"/>
    <xf numFmtId="169" fontId="106" fillId="0" borderId="0" xfId="7" applyNumberFormat="1" applyFont="1" applyFill="1" applyProtection="1"/>
    <xf numFmtId="0" fontId="99" fillId="0" borderId="0" xfId="0" applyFont="1" applyFill="1" applyAlignment="1" applyProtection="1">
      <alignment horizontal="left" vertical="center" wrapText="1"/>
    </xf>
    <xf numFmtId="0" fontId="108" fillId="0" borderId="0" xfId="8" applyFill="1" applyProtection="1"/>
    <xf numFmtId="0" fontId="109" fillId="0" borderId="0" xfId="0" applyFont="1" applyFill="1" applyAlignment="1" applyProtection="1">
      <alignment horizontal="right"/>
    </xf>
    <xf numFmtId="0" fontId="110" fillId="0" borderId="0" xfId="0" applyFont="1" applyFill="1" applyProtection="1"/>
    <xf numFmtId="0" fontId="24" fillId="0" borderId="0" xfId="0" applyFont="1" applyFill="1" applyAlignment="1" applyProtection="1">
      <alignment vertical="center"/>
    </xf>
    <xf numFmtId="0" fontId="111" fillId="0" borderId="0" xfId="0" applyFont="1" applyFill="1" applyProtection="1"/>
    <xf numFmtId="14" fontId="111" fillId="0" borderId="0" xfId="0" applyNumberFormat="1" applyFont="1" applyFill="1" applyProtection="1"/>
    <xf numFmtId="4" fontId="112" fillId="0" borderId="0" xfId="0" applyNumberFormat="1" applyFont="1" applyFill="1" applyProtection="1"/>
    <xf numFmtId="0" fontId="113" fillId="0" borderId="0" xfId="0" applyFont="1" applyFill="1" applyProtection="1"/>
    <xf numFmtId="0" fontId="94" fillId="19" borderId="0" xfId="0" applyFont="1" applyFill="1" applyProtection="1"/>
    <xf numFmtId="14" fontId="94" fillId="19" borderId="0" xfId="0" applyNumberFormat="1" applyFont="1" applyFill="1" applyProtection="1"/>
    <xf numFmtId="0" fontId="2" fillId="19" borderId="0" xfId="0" applyFont="1" applyFill="1" applyProtection="1"/>
    <xf numFmtId="14" fontId="2" fillId="19" borderId="0" xfId="0" applyNumberFormat="1" applyFont="1" applyFill="1" applyProtection="1"/>
    <xf numFmtId="14" fontId="71" fillId="19" borderId="0" xfId="0" applyNumberFormat="1" applyFont="1" applyFill="1" applyProtection="1"/>
    <xf numFmtId="0" fontId="71" fillId="19" borderId="0" xfId="0" applyFont="1" applyFill="1" applyProtection="1"/>
    <xf numFmtId="0" fontId="85" fillId="19" borderId="0" xfId="0" applyFont="1" applyFill="1" applyProtection="1"/>
    <xf numFmtId="14" fontId="85" fillId="19" borderId="0" xfId="0" applyNumberFormat="1" applyFont="1" applyFill="1" applyProtection="1"/>
    <xf numFmtId="0" fontId="105" fillId="19" borderId="0" xfId="0" applyFont="1" applyFill="1" applyProtection="1"/>
    <xf numFmtId="14" fontId="105" fillId="19" borderId="0" xfId="0" applyNumberFormat="1" applyFont="1" applyFill="1" applyProtection="1"/>
    <xf numFmtId="2" fontId="8" fillId="0" borderId="0" xfId="0" quotePrefix="1" applyNumberFormat="1" applyFont="1" applyFill="1" applyAlignment="1" applyProtection="1">
      <alignment horizontal="right"/>
    </xf>
    <xf numFmtId="0" fontId="114" fillId="0" borderId="0" xfId="0" applyFont="1" applyFill="1" applyProtection="1"/>
    <xf numFmtId="4" fontId="115" fillId="0" borderId="0" xfId="0" applyNumberFormat="1" applyFont="1" applyFill="1" applyProtection="1"/>
    <xf numFmtId="0" fontId="116" fillId="0" borderId="0" xfId="0" applyFont="1" applyFill="1" applyProtection="1"/>
    <xf numFmtId="14" fontId="116" fillId="0" borderId="0" xfId="0" applyNumberFormat="1" applyFont="1" applyFill="1" applyProtection="1"/>
    <xf numFmtId="4" fontId="117" fillId="0" borderId="0" xfId="0" applyNumberFormat="1" applyFont="1" applyFill="1" applyProtection="1"/>
    <xf numFmtId="0" fontId="8" fillId="0" borderId="0" xfId="0" applyFont="1" applyFill="1" applyAlignment="1" applyProtection="1">
      <alignment horizontal="center"/>
    </xf>
    <xf numFmtId="14" fontId="8" fillId="0" borderId="0" xfId="0" applyNumberFormat="1" applyFont="1" applyFill="1" applyAlignment="1" applyProtection="1">
      <alignment horizontal="left"/>
    </xf>
    <xf numFmtId="0" fontId="28" fillId="0" borderId="0" xfId="0" applyFont="1" applyFill="1" applyAlignment="1" applyProtection="1">
      <alignment horizontal="right" vertical="center"/>
    </xf>
    <xf numFmtId="49" fontId="28" fillId="0" borderId="0" xfId="0" applyNumberFormat="1" applyFont="1" applyFill="1" applyProtection="1"/>
    <xf numFmtId="0" fontId="118" fillId="0" borderId="0" xfId="0" applyFont="1" applyFill="1" applyProtection="1"/>
    <xf numFmtId="4" fontId="42" fillId="0" borderId="0" xfId="0" applyNumberFormat="1" applyFont="1" applyFill="1" applyAlignment="1" applyProtection="1">
      <alignment horizontal="right"/>
    </xf>
    <xf numFmtId="1" fontId="120" fillId="0" borderId="0" xfId="0" applyNumberFormat="1" applyFont="1" applyFill="1" applyAlignment="1" applyProtection="1">
      <alignment horizontal="right"/>
    </xf>
    <xf numFmtId="0" fontId="120" fillId="0" borderId="0" xfId="0" applyFont="1" applyFill="1" applyProtection="1"/>
    <xf numFmtId="14" fontId="120" fillId="0" borderId="0" xfId="0" applyNumberFormat="1" applyFont="1" applyFill="1" applyProtection="1"/>
    <xf numFmtId="49" fontId="120" fillId="0" borderId="0" xfId="0" applyNumberFormat="1" applyFont="1" applyFill="1" applyProtection="1"/>
    <xf numFmtId="0" fontId="120" fillId="2" borderId="0" xfId="0" applyFont="1" applyFill="1" applyProtection="1"/>
    <xf numFmtId="0" fontId="121" fillId="0" borderId="0" xfId="0" applyFont="1" applyFill="1" applyProtection="1"/>
    <xf numFmtId="14" fontId="121" fillId="0" borderId="0" xfId="0" applyNumberFormat="1" applyFont="1" applyFill="1" applyProtection="1"/>
    <xf numFmtId="4" fontId="122" fillId="0" borderId="0" xfId="0" applyNumberFormat="1" applyFont="1" applyFill="1" applyProtection="1"/>
    <xf numFmtId="1" fontId="99" fillId="0" borderId="0" xfId="0" applyNumberFormat="1" applyFont="1" applyFill="1" applyAlignment="1" applyProtection="1">
      <alignment horizontal="right"/>
    </xf>
    <xf numFmtId="0" fontId="123" fillId="0" borderId="0" xfId="0" applyFont="1" applyFill="1" applyProtection="1"/>
    <xf numFmtId="0" fontId="121" fillId="0" borderId="0" xfId="0" applyFont="1" applyFill="1" applyAlignment="1" applyProtection="1">
      <alignment horizontal="right"/>
    </xf>
    <xf numFmtId="0" fontId="124" fillId="20" borderId="37" xfId="0" applyFont="1" applyFill="1" applyBorder="1" applyAlignment="1" applyProtection="1">
      <alignment horizontal="left" vertical="center" wrapText="1" indent="1"/>
    </xf>
    <xf numFmtId="0" fontId="125" fillId="0" borderId="0" xfId="0" applyFont="1" applyFill="1" applyProtection="1"/>
    <xf numFmtId="0" fontId="121" fillId="19" borderId="0" xfId="0" applyFont="1" applyFill="1" applyProtection="1"/>
    <xf numFmtId="14" fontId="121" fillId="19" borderId="0" xfId="0" applyNumberFormat="1" applyFont="1" applyFill="1" applyProtection="1"/>
    <xf numFmtId="0" fontId="119" fillId="19" borderId="0" xfId="0" applyFont="1" applyFill="1" applyProtection="1"/>
    <xf numFmtId="14" fontId="119" fillId="19" borderId="0" xfId="0" applyNumberFormat="1" applyFont="1" applyFill="1" applyProtection="1"/>
    <xf numFmtId="0" fontId="114" fillId="19" borderId="0" xfId="0" applyFont="1" applyFill="1" applyProtection="1"/>
    <xf numFmtId="14" fontId="114" fillId="19" borderId="0" xfId="0" applyNumberFormat="1" applyFont="1" applyFill="1" applyProtection="1"/>
    <xf numFmtId="0" fontId="116" fillId="19" borderId="0" xfId="0" applyFont="1" applyFill="1" applyProtection="1"/>
    <xf numFmtId="14" fontId="116" fillId="19" borderId="0" xfId="0" applyNumberFormat="1" applyFont="1" applyFill="1" applyProtection="1"/>
    <xf numFmtId="4" fontId="126" fillId="0" borderId="0" xfId="0" applyNumberFormat="1" applyFont="1" applyFill="1" applyProtection="1"/>
    <xf numFmtId="4" fontId="127" fillId="0" borderId="0" xfId="0" applyNumberFormat="1" applyFont="1" applyFill="1" applyProtection="1"/>
    <xf numFmtId="0" fontId="128" fillId="0" borderId="0" xfId="0" applyFont="1" applyFill="1" applyProtection="1"/>
    <xf numFmtId="0" fontId="17" fillId="0" borderId="1" xfId="0" applyFont="1" applyFill="1" applyBorder="1" applyAlignment="1" applyProtection="1">
      <alignment horizontal="center"/>
    </xf>
    <xf numFmtId="14" fontId="17" fillId="0" borderId="1" xfId="0" applyNumberFormat="1" applyFont="1" applyFill="1" applyBorder="1" applyProtection="1"/>
    <xf numFmtId="14" fontId="0" fillId="0" borderId="1" xfId="0" applyNumberFormat="1" applyFill="1" applyBorder="1" applyProtection="1"/>
    <xf numFmtId="0" fontId="125" fillId="0" borderId="0" xfId="0" quotePrefix="1" applyFont="1" applyFill="1" applyProtection="1"/>
    <xf numFmtId="9" fontId="129" fillId="0" borderId="0" xfId="0" applyNumberFormat="1" applyFont="1" applyFill="1" applyAlignment="1" applyProtection="1">
      <alignment horizontal="center" vertical="center"/>
    </xf>
    <xf numFmtId="9" fontId="129" fillId="0" borderId="0" xfId="0" applyNumberFormat="1" applyFont="1" applyFill="1" applyAlignment="1" applyProtection="1">
      <alignment horizontal="center"/>
    </xf>
    <xf numFmtId="0" fontId="121" fillId="9" borderId="0" xfId="0" applyFont="1" applyFill="1" applyProtection="1"/>
    <xf numFmtId="0" fontId="131" fillId="0" borderId="0" xfId="0" quotePrefix="1" applyFont="1" applyFill="1" applyAlignment="1" applyProtection="1">
      <alignment horizontal="right"/>
    </xf>
    <xf numFmtId="0" fontId="125" fillId="0" borderId="0" xfId="0" quotePrefix="1" applyFont="1" applyFill="1" applyAlignment="1" applyProtection="1">
      <alignment horizontal="right"/>
    </xf>
    <xf numFmtId="0" fontId="132" fillId="9" borderId="0" xfId="0" applyFont="1" applyFill="1" applyProtection="1"/>
    <xf numFmtId="0" fontId="132" fillId="0" borderId="0" xfId="0" applyFont="1" applyFill="1" applyProtection="1"/>
    <xf numFmtId="4" fontId="133" fillId="0" borderId="0" xfId="0" applyNumberFormat="1" applyFont="1" applyFill="1" applyProtection="1"/>
    <xf numFmtId="0" fontId="132" fillId="19" borderId="0" xfId="0" applyFont="1" applyFill="1" applyProtection="1"/>
    <xf numFmtId="14" fontId="132" fillId="19" borderId="0" xfId="0" applyNumberFormat="1" applyFont="1" applyFill="1" applyProtection="1"/>
    <xf numFmtId="14" fontId="132" fillId="0" borderId="0" xfId="0" applyNumberFormat="1" applyFont="1" applyFill="1" applyProtection="1"/>
    <xf numFmtId="4" fontId="96" fillId="0" borderId="0" xfId="0" applyNumberFormat="1" applyFont="1" applyFill="1" applyProtection="1"/>
    <xf numFmtId="0" fontId="134" fillId="9" borderId="0" xfId="0" applyFont="1" applyFill="1" applyProtection="1"/>
    <xf numFmtId="0" fontId="134" fillId="0" borderId="0" xfId="0" applyFont="1" applyFill="1" applyProtection="1"/>
    <xf numFmtId="14" fontId="134" fillId="0" borderId="0" xfId="0" applyNumberFormat="1" applyFont="1" applyFill="1" applyProtection="1"/>
    <xf numFmtId="4" fontId="135" fillId="0" borderId="0" xfId="0" applyNumberFormat="1" applyFont="1" applyFill="1" applyProtection="1"/>
    <xf numFmtId="0" fontId="134" fillId="19" borderId="0" xfId="0" applyFont="1" applyFill="1" applyProtection="1"/>
    <xf numFmtId="14" fontId="134" fillId="19" borderId="0" xfId="0" applyNumberFormat="1" applyFont="1" applyFill="1" applyProtection="1"/>
    <xf numFmtId="0" fontId="136" fillId="0" borderId="0" xfId="0" applyFont="1" applyFill="1" applyProtection="1"/>
    <xf numFmtId="0" fontId="88" fillId="9" borderId="0" xfId="0" applyFont="1" applyFill="1" applyProtection="1"/>
    <xf numFmtId="0" fontId="88" fillId="19" borderId="0" xfId="0" applyFont="1" applyFill="1" applyProtection="1"/>
    <xf numFmtId="14" fontId="88" fillId="19" borderId="0" xfId="0" applyNumberFormat="1" applyFont="1" applyFill="1" applyProtection="1"/>
    <xf numFmtId="0" fontId="116" fillId="21" borderId="0" xfId="0" applyFont="1" applyFill="1" applyProtection="1"/>
    <xf numFmtId="14" fontId="116" fillId="21" borderId="0" xfId="0" applyNumberFormat="1" applyFont="1" applyFill="1" applyProtection="1"/>
    <xf numFmtId="0" fontId="2" fillId="21" borderId="0" xfId="0" applyFont="1" applyFill="1" applyProtection="1"/>
    <xf numFmtId="14" fontId="121" fillId="21" borderId="0" xfId="0" applyNumberFormat="1" applyFont="1" applyFill="1" applyProtection="1"/>
    <xf numFmtId="0" fontId="73" fillId="15" borderId="0" xfId="0" applyFont="1" applyFill="1" applyProtection="1"/>
    <xf numFmtId="0" fontId="137" fillId="0" borderId="0" xfId="0" applyFont="1" applyFill="1" applyProtection="1"/>
    <xf numFmtId="0" fontId="138" fillId="0" borderId="0" xfId="0" applyFont="1" applyFill="1" applyProtection="1"/>
    <xf numFmtId="0" fontId="139" fillId="9" borderId="0" xfId="0" applyFont="1" applyFill="1" applyProtection="1"/>
    <xf numFmtId="0" fontId="139" fillId="0" borderId="0" xfId="0" applyFont="1" applyFill="1" applyProtection="1"/>
    <xf numFmtId="0" fontId="139" fillId="0" borderId="0" xfId="0" applyFont="1" applyFill="1" applyAlignment="1" applyProtection="1">
      <alignment horizontal="right"/>
    </xf>
    <xf numFmtId="14" fontId="139" fillId="0" borderId="0" xfId="0" applyNumberFormat="1" applyFont="1" applyFill="1" applyProtection="1"/>
    <xf numFmtId="4" fontId="140" fillId="0" borderId="0" xfId="0" applyNumberFormat="1" applyFont="1" applyFill="1" applyProtection="1"/>
    <xf numFmtId="0" fontId="8" fillId="0" borderId="0" xfId="0" applyFont="1" applyFill="1" applyAlignment="1" applyProtection="1">
      <alignment vertical="top"/>
    </xf>
    <xf numFmtId="14" fontId="8" fillId="0" borderId="0" xfId="0" applyNumberFormat="1" applyFont="1" applyFill="1" applyAlignment="1" applyProtection="1">
      <alignment horizontal="left" vertical="center"/>
    </xf>
    <xf numFmtId="0" fontId="8" fillId="0" borderId="38" xfId="0" applyFont="1" applyFill="1" applyBorder="1" applyAlignment="1" applyProtection="1">
      <alignment vertical="center"/>
    </xf>
    <xf numFmtId="0" fontId="8" fillId="0" borderId="38" xfId="0" applyFont="1" applyFill="1" applyBorder="1" applyProtection="1"/>
    <xf numFmtId="0" fontId="139" fillId="19" borderId="0" xfId="0" applyFont="1" applyFill="1" applyProtection="1"/>
    <xf numFmtId="14" fontId="139" fillId="19" borderId="0" xfId="0" applyNumberFormat="1" applyFont="1" applyFill="1" applyProtection="1"/>
    <xf numFmtId="0" fontId="22" fillId="0" borderId="0" xfId="0" applyFont="1" applyFill="1" applyAlignment="1" applyProtection="1">
      <alignment horizontal="center"/>
    </xf>
    <xf numFmtId="0" fontId="5" fillId="0" borderId="0" xfId="0" applyFont="1" applyFill="1" applyAlignment="1" applyProtection="1">
      <alignment vertical="center"/>
    </xf>
    <xf numFmtId="0" fontId="22" fillId="0" borderId="0" xfId="0" applyFont="1" applyFill="1" applyAlignment="1" applyProtection="1">
      <alignment horizontal="left"/>
    </xf>
    <xf numFmtId="4" fontId="9" fillId="3" borderId="1" xfId="0" applyNumberFormat="1" applyFont="1" applyFill="1" applyBorder="1" applyAlignment="1" applyProtection="1">
      <alignment horizontal="left"/>
    </xf>
    <xf numFmtId="14" fontId="20" fillId="0" borderId="0" xfId="0" applyNumberFormat="1" applyFont="1" applyFill="1" applyProtection="1"/>
    <xf numFmtId="0" fontId="15" fillId="0" borderId="0" xfId="0" applyFont="1" applyFill="1" applyAlignment="1" applyProtection="1">
      <alignment vertical="center"/>
    </xf>
    <xf numFmtId="169" fontId="20" fillId="3" borderId="1" xfId="0" applyNumberFormat="1" applyFont="1" applyFill="1" applyBorder="1" applyProtection="1"/>
    <xf numFmtId="14" fontId="9" fillId="0" borderId="1" xfId="0" applyNumberFormat="1" applyFont="1" applyFill="1" applyBorder="1" applyAlignment="1" applyProtection="1">
      <alignment horizontal="center"/>
    </xf>
    <xf numFmtId="0" fontId="13" fillId="0" borderId="0" xfId="0" applyFont="1" applyFill="1" applyProtection="1"/>
    <xf numFmtId="0" fontId="9" fillId="0" borderId="1" xfId="0" applyFont="1" applyFill="1" applyBorder="1" applyProtection="1"/>
    <xf numFmtId="0" fontId="139" fillId="21" borderId="0" xfId="0" applyFont="1" applyFill="1" applyProtection="1"/>
    <xf numFmtId="14" fontId="139" fillId="21" borderId="0" xfId="0" applyNumberFormat="1" applyFont="1" applyFill="1" applyProtection="1"/>
    <xf numFmtId="0" fontId="132" fillId="21" borderId="0" xfId="0" applyFont="1" applyFill="1" applyProtection="1"/>
    <xf numFmtId="14" fontId="132" fillId="21" borderId="0" xfId="0" applyNumberFormat="1" applyFont="1" applyFill="1" applyProtection="1"/>
    <xf numFmtId="14" fontId="4" fillId="0" borderId="0" xfId="0" applyNumberFormat="1" applyFont="1" applyFill="1" applyAlignment="1" applyProtection="1">
      <alignment horizontal="right"/>
    </xf>
    <xf numFmtId="14" fontId="22" fillId="0" borderId="0" xfId="0" applyNumberFormat="1" applyFont="1" applyFill="1" applyProtection="1"/>
    <xf numFmtId="14" fontId="9" fillId="0" borderId="1" xfId="0" applyNumberFormat="1" applyFont="1" applyFill="1" applyBorder="1" applyProtection="1"/>
    <xf numFmtId="14" fontId="9" fillId="0" borderId="0" xfId="0" applyNumberFormat="1" applyFont="1" applyFill="1" applyProtection="1"/>
    <xf numFmtId="9" fontId="4" fillId="0" borderId="0" xfId="0" applyNumberFormat="1" applyFont="1" applyFill="1" applyAlignment="1" applyProtection="1">
      <alignment horizontal="center"/>
    </xf>
    <xf numFmtId="0" fontId="141" fillId="9" borderId="0" xfId="0" applyFont="1" applyFill="1" applyProtection="1"/>
    <xf numFmtId="0" fontId="141" fillId="0" borderId="0" xfId="0" applyFont="1" applyFill="1" applyProtection="1"/>
    <xf numFmtId="0" fontId="141" fillId="0" borderId="0" xfId="0" applyFont="1" applyFill="1" applyAlignment="1" applyProtection="1">
      <alignment horizontal="right"/>
    </xf>
    <xf numFmtId="14" fontId="141" fillId="0" borderId="0" xfId="0" applyNumberFormat="1" applyFont="1" applyFill="1" applyProtection="1"/>
    <xf numFmtId="4" fontId="142" fillId="0" borderId="0" xfId="0" applyNumberFormat="1" applyFont="1" applyFill="1" applyProtection="1"/>
    <xf numFmtId="0" fontId="30" fillId="0" borderId="1" xfId="0" applyFont="1" applyFill="1" applyBorder="1" applyAlignment="1" applyProtection="1">
      <alignment horizontal="center"/>
    </xf>
    <xf numFmtId="0" fontId="9" fillId="0" borderId="1" xfId="0" applyFont="1" applyFill="1" applyBorder="1" applyAlignment="1" applyProtection="1">
      <alignment horizontal="center"/>
    </xf>
    <xf numFmtId="170" fontId="104" fillId="0" borderId="0" xfId="0" applyNumberFormat="1" applyFont="1" applyFill="1" applyAlignment="1" applyProtection="1">
      <alignment horizontal="center"/>
    </xf>
    <xf numFmtId="14" fontId="4" fillId="9" borderId="0" xfId="0" applyNumberFormat="1" applyFont="1" applyFill="1" applyAlignment="1" applyProtection="1">
      <alignment horizontal="left" vertical="center"/>
    </xf>
    <xf numFmtId="0" fontId="9" fillId="0" borderId="0" xfId="0" applyFont="1" applyFill="1" applyAlignment="1" applyProtection="1">
      <alignment horizontal="center" wrapText="1"/>
    </xf>
    <xf numFmtId="0" fontId="96" fillId="0" borderId="0" xfId="0" applyFont="1" applyFill="1" applyAlignment="1" applyProtection="1">
      <alignment horizontal="right"/>
    </xf>
    <xf numFmtId="0" fontId="99" fillId="0" borderId="0" xfId="0" applyFont="1" applyFill="1" applyAlignment="1" applyProtection="1">
      <alignment horizontal="right"/>
    </xf>
    <xf numFmtId="0" fontId="39" fillId="0" borderId="0" xfId="0" applyFont="1" applyFill="1" applyAlignment="1" applyProtection="1">
      <alignment horizontal="right"/>
    </xf>
    <xf numFmtId="0" fontId="143" fillId="0" borderId="0" xfId="0" applyFont="1" applyFill="1" applyProtection="1"/>
    <xf numFmtId="0" fontId="143" fillId="13" borderId="0" xfId="0" applyFont="1" applyFill="1" applyAlignment="1" applyProtection="1">
      <alignment wrapText="1"/>
    </xf>
    <xf numFmtId="0" fontId="47" fillId="0" borderId="0" xfId="0" applyFont="1" applyFill="1" applyProtection="1"/>
    <xf numFmtId="0" fontId="47" fillId="0" borderId="0" xfId="0" quotePrefix="1" applyFont="1" applyFill="1" applyAlignment="1" applyProtection="1">
      <alignment horizontal="right"/>
    </xf>
    <xf numFmtId="0" fontId="144" fillId="9" borderId="0" xfId="0" applyFont="1" applyFill="1" applyProtection="1"/>
    <xf numFmtId="0" fontId="144" fillId="0" borderId="0" xfId="0" applyFont="1" applyFill="1" applyProtection="1"/>
    <xf numFmtId="14" fontId="144" fillId="0" borderId="0" xfId="0" applyNumberFormat="1" applyFont="1" applyFill="1" applyProtection="1"/>
    <xf numFmtId="4" fontId="145" fillId="0" borderId="0" xfId="0" applyNumberFormat="1" applyFont="1" applyFill="1" applyProtection="1"/>
    <xf numFmtId="0" fontId="20" fillId="0" borderId="0" xfId="0" applyFont="1" applyFill="1" applyAlignment="1" applyProtection="1">
      <alignment horizontal="center"/>
    </xf>
    <xf numFmtId="14" fontId="17" fillId="0" borderId="0" xfId="0" applyNumberFormat="1" applyFont="1" applyFill="1" applyAlignment="1" applyProtection="1">
      <alignment horizontal="center"/>
    </xf>
    <xf numFmtId="14" fontId="17" fillId="0" borderId="1" xfId="0" applyNumberFormat="1" applyFont="1" applyFill="1" applyBorder="1" applyAlignment="1" applyProtection="1">
      <alignment horizontal="center"/>
    </xf>
    <xf numFmtId="14" fontId="17" fillId="0" borderId="0" xfId="0" applyNumberFormat="1" applyFont="1" applyFill="1" applyAlignment="1" applyProtection="1">
      <alignment horizontal="left"/>
    </xf>
    <xf numFmtId="0" fontId="147" fillId="0" borderId="0" xfId="0" applyFont="1" applyFill="1" applyProtection="1"/>
    <xf numFmtId="0" fontId="148" fillId="0" borderId="0" xfId="0" applyFont="1" applyFill="1" applyProtection="1"/>
    <xf numFmtId="0" fontId="8" fillId="9" borderId="0" xfId="0" applyFont="1" applyFill="1" applyProtection="1"/>
    <xf numFmtId="0" fontId="144" fillId="0" borderId="0" xfId="0" applyFont="1" applyFill="1" applyAlignment="1" applyProtection="1">
      <alignment horizontal="right"/>
    </xf>
    <xf numFmtId="0" fontId="149" fillId="9" borderId="0" xfId="0" applyFont="1" applyFill="1" applyProtection="1"/>
    <xf numFmtId="0" fontId="149" fillId="0" borderId="0" xfId="0" applyFont="1" applyFill="1" applyProtection="1"/>
    <xf numFmtId="14" fontId="149" fillId="0" borderId="0" xfId="0" applyNumberFormat="1" applyFont="1" applyFill="1" applyProtection="1"/>
    <xf numFmtId="4" fontId="150" fillId="0" borderId="0" xfId="0" applyNumberFormat="1" applyFont="1" applyFill="1" applyProtection="1"/>
    <xf numFmtId="0" fontId="0" fillId="22" borderId="0" xfId="0" applyFill="1" applyProtection="1"/>
    <xf numFmtId="0" fontId="151" fillId="9" borderId="0" xfId="0" applyFont="1" applyFill="1" applyProtection="1"/>
    <xf numFmtId="0" fontId="151" fillId="0" borderId="0" xfId="0" applyFont="1" applyFill="1" applyProtection="1"/>
    <xf numFmtId="14" fontId="151" fillId="0" borderId="0" xfId="0" applyNumberFormat="1" applyFont="1" applyFill="1" applyProtection="1"/>
    <xf numFmtId="4" fontId="152" fillId="0" borderId="0" xfId="0" applyNumberFormat="1" applyFont="1" applyFill="1" applyProtection="1"/>
    <xf numFmtId="0" fontId="153" fillId="9" borderId="0" xfId="0" applyFont="1" applyFill="1" applyProtection="1"/>
    <xf numFmtId="0" fontId="153" fillId="0" borderId="0" xfId="0" applyFont="1" applyFill="1" applyProtection="1"/>
    <xf numFmtId="14" fontId="153" fillId="0" borderId="0" xfId="0" applyNumberFormat="1" applyFont="1" applyFill="1" applyProtection="1"/>
    <xf numFmtId="4" fontId="154" fillId="0" borderId="0" xfId="0" applyNumberFormat="1" applyFont="1" applyFill="1" applyProtection="1"/>
    <xf numFmtId="0" fontId="155" fillId="0" borderId="0" xfId="0" applyFont="1" applyFill="1" applyProtection="1"/>
    <xf numFmtId="0" fontId="156" fillId="23" borderId="0" xfId="0" applyFont="1" applyFill="1" applyAlignment="1" applyProtection="1">
      <alignment vertical="center" wrapText="1"/>
    </xf>
    <xf numFmtId="0" fontId="156" fillId="0" borderId="0" xfId="0" applyFont="1" applyFill="1" applyProtection="1"/>
    <xf numFmtId="0" fontId="157" fillId="9" borderId="0" xfId="0" applyFont="1" applyFill="1" applyProtection="1"/>
    <xf numFmtId="0" fontId="157" fillId="0" borderId="0" xfId="0" applyFont="1" applyFill="1" applyProtection="1"/>
    <xf numFmtId="14" fontId="157" fillId="0" borderId="0" xfId="0" applyNumberFormat="1" applyFont="1" applyFill="1" applyProtection="1"/>
    <xf numFmtId="4" fontId="158" fillId="0" borderId="0" xfId="0" applyNumberFormat="1" applyFont="1" applyFill="1" applyProtection="1"/>
    <xf numFmtId="4" fontId="159" fillId="0" borderId="0" xfId="0" applyNumberFormat="1" applyFont="1" applyFill="1" applyProtection="1"/>
    <xf numFmtId="0" fontId="0" fillId="24" borderId="0" xfId="0" applyFill="1" applyProtection="1"/>
    <xf numFmtId="14" fontId="73" fillId="0" borderId="0" xfId="0" applyNumberFormat="1" applyFont="1" applyFill="1" applyProtection="1"/>
    <xf numFmtId="9" fontId="0" fillId="0" borderId="0" xfId="0" applyNumberFormat="1" applyFill="1" applyAlignment="1" applyProtection="1">
      <alignment horizontal="center"/>
    </xf>
    <xf numFmtId="2" fontId="9" fillId="0" borderId="1" xfId="0" applyNumberFormat="1" applyFont="1" applyFill="1" applyBorder="1" applyProtection="1"/>
    <xf numFmtId="0" fontId="8" fillId="15" borderId="0" xfId="0" applyFont="1" applyFill="1" applyProtection="1"/>
    <xf numFmtId="0" fontId="4" fillId="9" borderId="0" xfId="0" applyFont="1" applyFill="1" applyAlignment="1" applyProtection="1">
      <alignment vertical="center"/>
    </xf>
    <xf numFmtId="0" fontId="160" fillId="9" borderId="0" xfId="0" applyFont="1" applyFill="1" applyProtection="1"/>
    <xf numFmtId="0" fontId="160" fillId="0" borderId="0" xfId="0" applyFont="1" applyFill="1" applyProtection="1"/>
    <xf numFmtId="14" fontId="160" fillId="0" borderId="0" xfId="0" applyNumberFormat="1" applyFont="1" applyFill="1" applyProtection="1"/>
    <xf numFmtId="4" fontId="161" fillId="0" borderId="0" xfId="0" applyNumberFormat="1" applyFont="1" applyFill="1" applyProtection="1"/>
    <xf numFmtId="14" fontId="0" fillId="9" borderId="0" xfId="0" applyNumberFormat="1" applyFill="1" applyProtection="1"/>
    <xf numFmtId="0" fontId="160" fillId="0" borderId="0" xfId="0" applyFont="1" applyFill="1" applyAlignment="1" applyProtection="1">
      <alignment horizontal="right"/>
    </xf>
    <xf numFmtId="1" fontId="96" fillId="0" borderId="0" xfId="0" applyNumberFormat="1" applyFont="1" applyFill="1" applyAlignment="1" applyProtection="1">
      <alignment horizontal="right"/>
    </xf>
    <xf numFmtId="14" fontId="20" fillId="0" borderId="0" xfId="0" applyNumberFormat="1" applyFont="1" applyFill="1" applyAlignment="1" applyProtection="1">
      <alignment horizontal="center"/>
    </xf>
    <xf numFmtId="0" fontId="162" fillId="0" borderId="0" xfId="0" applyFont="1" applyFill="1" applyProtection="1"/>
    <xf numFmtId="0" fontId="162" fillId="0" borderId="0" xfId="0" applyFont="1" applyFill="1" applyAlignment="1" applyProtection="1">
      <alignment horizontal="center"/>
    </xf>
    <xf numFmtId="0" fontId="9" fillId="0" borderId="1" xfId="0" applyFont="1" applyFill="1" applyBorder="1" applyAlignment="1" applyProtection="1">
      <alignment horizontal="right"/>
    </xf>
    <xf numFmtId="0" fontId="9" fillId="0" borderId="1" xfId="0" applyFont="1" applyFill="1" applyBorder="1" applyAlignment="1" applyProtection="1">
      <alignment horizontal="center"/>
    </xf>
    <xf numFmtId="14" fontId="9" fillId="0" borderId="1" xfId="0" applyNumberFormat="1" applyFont="1" applyFill="1" applyBorder="1" applyAlignment="1" applyProtection="1">
      <alignment horizontal="left"/>
    </xf>
    <xf numFmtId="0" fontId="9" fillId="0" borderId="1" xfId="0" applyFont="1" applyFill="1" applyBorder="1" applyAlignment="1" applyProtection="1">
      <alignment horizontal="left"/>
    </xf>
    <xf numFmtId="0" fontId="4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center" vertical="center"/>
    </xf>
    <xf numFmtId="0" fontId="10" fillId="0" borderId="0" xfId="0" applyFont="1" applyFill="1" applyAlignment="1" applyProtection="1">
      <alignment horizontal="center"/>
    </xf>
    <xf numFmtId="0" fontId="9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0" fontId="17" fillId="0" borderId="0" xfId="0" applyFont="1" applyFill="1" applyAlignment="1" applyProtection="1">
      <alignment horizontal="center"/>
    </xf>
    <xf numFmtId="0" fontId="9" fillId="0" borderId="1" xfId="0" applyFont="1" applyFill="1" applyBorder="1" applyProtection="1"/>
    <xf numFmtId="0" fontId="4" fillId="0" borderId="0" xfId="0" applyFont="1" applyFill="1" applyAlignment="1" applyProtection="1">
      <alignment horizontal="center"/>
    </xf>
    <xf numFmtId="0" fontId="5" fillId="0" borderId="0" xfId="0" applyFont="1" applyFill="1" applyAlignment="1" applyProtection="1">
      <alignment horizontal="center" vertical="center"/>
    </xf>
    <xf numFmtId="0" fontId="17" fillId="0" borderId="0" xfId="0" applyFont="1" applyFill="1" applyAlignment="1" applyProtection="1">
      <alignment horizontal="left"/>
    </xf>
    <xf numFmtId="0" fontId="8" fillId="0" borderId="0" xfId="0" applyFont="1" applyFill="1" applyProtection="1"/>
    <xf numFmtId="14" fontId="20" fillId="0" borderId="0" xfId="0" applyNumberFormat="1" applyFont="1" applyFill="1" applyAlignment="1" applyProtection="1">
      <alignment horizontal="left"/>
    </xf>
    <xf numFmtId="0" fontId="20" fillId="0" borderId="0" xfId="0" applyFont="1" applyFill="1" applyAlignment="1" applyProtection="1">
      <alignment horizontal="left"/>
    </xf>
    <xf numFmtId="0" fontId="4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left" vertical="center"/>
    </xf>
    <xf numFmtId="0" fontId="10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/>
    </xf>
    <xf numFmtId="0" fontId="18" fillId="0" borderId="0" xfId="0" applyFont="1" applyFill="1" applyAlignment="1" applyProtection="1">
      <alignment horizontal="left"/>
    </xf>
    <xf numFmtId="0" fontId="18" fillId="0" borderId="0" xfId="0" applyFont="1" applyFill="1" applyAlignment="1" applyProtection="1">
      <alignment horizontal="center"/>
    </xf>
    <xf numFmtId="0" fontId="10" fillId="0" borderId="0" xfId="0" applyFont="1" applyFill="1" applyAlignment="1" applyProtection="1">
      <alignment horizontal="center"/>
    </xf>
    <xf numFmtId="0" fontId="17" fillId="0" borderId="0" xfId="0" applyFont="1" applyFill="1" applyAlignment="1" applyProtection="1">
      <alignment horizontal="left" vertical="center"/>
    </xf>
    <xf numFmtId="0" fontId="19" fillId="0" borderId="0" xfId="0" applyFont="1" applyFill="1" applyAlignment="1" applyProtection="1">
      <alignment horizontal="left"/>
    </xf>
    <xf numFmtId="0" fontId="20" fillId="0" borderId="1" xfId="0" applyFont="1" applyFill="1" applyBorder="1" applyAlignment="1" applyProtection="1">
      <alignment horizontal="center"/>
    </xf>
    <xf numFmtId="14" fontId="0" fillId="0" borderId="0" xfId="0" applyNumberFormat="1" applyFill="1" applyAlignment="1" applyProtection="1">
      <alignment horizontal="center"/>
    </xf>
    <xf numFmtId="0" fontId="20" fillId="0" borderId="0" xfId="0" applyFont="1" applyFill="1" applyAlignment="1" applyProtection="1">
      <alignment horizontal="center"/>
    </xf>
    <xf numFmtId="1" fontId="10" fillId="0" borderId="0" xfId="0" applyNumberFormat="1" applyFont="1" applyFill="1" applyAlignment="1" applyProtection="1">
      <alignment horizontal="center"/>
    </xf>
    <xf numFmtId="0" fontId="8" fillId="0" borderId="0" xfId="0" applyFont="1" applyFill="1" applyAlignment="1" applyProtection="1">
      <alignment horizontal="center" vertical="top" wrapText="1"/>
    </xf>
    <xf numFmtId="0" fontId="6" fillId="0" borderId="0" xfId="0" applyFont="1" applyFill="1" applyAlignment="1" applyProtection="1">
      <alignment horizontal="center"/>
    </xf>
    <xf numFmtId="0" fontId="6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left" vertical="top" wrapText="1"/>
    </xf>
    <xf numFmtId="0" fontId="18" fillId="0" borderId="0" xfId="0" applyFont="1" applyFill="1" applyAlignment="1" applyProtection="1">
      <alignment horizontal="center" vertical="center"/>
    </xf>
    <xf numFmtId="0" fontId="22" fillId="0" borderId="2" xfId="0" applyFont="1" applyFill="1" applyBorder="1" applyAlignment="1" applyProtection="1">
      <alignment horizontal="left" vertical="center"/>
    </xf>
    <xf numFmtId="0" fontId="22" fillId="0" borderId="16" xfId="0" applyFont="1" applyFill="1" applyBorder="1" applyAlignment="1" applyProtection="1">
      <alignment horizontal="center" vertical="center"/>
    </xf>
    <xf numFmtId="0" fontId="22" fillId="0" borderId="17" xfId="0" applyFont="1" applyFill="1" applyBorder="1" applyAlignment="1" applyProtection="1">
      <alignment horizontal="center" vertical="center"/>
    </xf>
    <xf numFmtId="0" fontId="22" fillId="0" borderId="18" xfId="0" applyFont="1" applyFill="1" applyBorder="1" applyAlignment="1" applyProtection="1">
      <alignment horizontal="center" vertical="center"/>
    </xf>
    <xf numFmtId="0" fontId="22" fillId="0" borderId="19" xfId="0" applyFont="1" applyFill="1" applyBorder="1" applyAlignment="1" applyProtection="1">
      <alignment horizontal="center" vertical="center"/>
    </xf>
    <xf numFmtId="0" fontId="22" fillId="0" borderId="0" xfId="0" applyFont="1" applyFill="1" applyAlignment="1" applyProtection="1">
      <alignment horizontal="center" vertical="center"/>
    </xf>
    <xf numFmtId="0" fontId="22" fillId="0" borderId="20" xfId="0" applyFont="1" applyFill="1" applyBorder="1" applyAlignment="1" applyProtection="1">
      <alignment horizontal="center" vertical="center"/>
    </xf>
    <xf numFmtId="0" fontId="22" fillId="0" borderId="5" xfId="0" applyFont="1" applyFill="1" applyBorder="1" applyAlignment="1" applyProtection="1">
      <alignment horizontal="center" vertical="center"/>
    </xf>
    <xf numFmtId="0" fontId="22" fillId="0" borderId="1" xfId="0" applyFont="1" applyFill="1" applyBorder="1" applyAlignment="1" applyProtection="1">
      <alignment horizontal="center" vertical="center"/>
    </xf>
    <xf numFmtId="0" fontId="22" fillId="0" borderId="9" xfId="0" applyFont="1" applyFill="1" applyBorder="1" applyAlignment="1" applyProtection="1">
      <alignment horizontal="center" vertical="center"/>
    </xf>
    <xf numFmtId="0" fontId="30" fillId="0" borderId="2" xfId="0" applyFont="1" applyFill="1" applyBorder="1" applyProtection="1"/>
    <xf numFmtId="49" fontId="22" fillId="0" borderId="2" xfId="0" applyNumberFormat="1" applyFont="1" applyFill="1" applyBorder="1" applyProtection="1"/>
    <xf numFmtId="0" fontId="22" fillId="0" borderId="2" xfId="0" applyFont="1" applyFill="1" applyBorder="1" applyProtection="1"/>
    <xf numFmtId="0" fontId="22" fillId="0" borderId="2" xfId="0" applyFont="1" applyFill="1" applyBorder="1" applyAlignment="1" applyProtection="1">
      <alignment wrapText="1"/>
    </xf>
    <xf numFmtId="0" fontId="30" fillId="0" borderId="16" xfId="0" applyFont="1" applyFill="1" applyBorder="1" applyAlignment="1" applyProtection="1">
      <alignment horizontal="left" vertical="center"/>
    </xf>
    <xf numFmtId="0" fontId="30" fillId="0" borderId="17" xfId="0" applyFont="1" applyFill="1" applyBorder="1" applyAlignment="1" applyProtection="1">
      <alignment horizontal="left" vertical="center"/>
    </xf>
    <xf numFmtId="0" fontId="30" fillId="0" borderId="18" xfId="0" applyFont="1" applyFill="1" applyBorder="1" applyAlignment="1" applyProtection="1">
      <alignment horizontal="left" vertical="center"/>
    </xf>
    <xf numFmtId="0" fontId="30" fillId="0" borderId="5" xfId="0" applyFont="1" applyFill="1" applyBorder="1" applyAlignment="1" applyProtection="1">
      <alignment horizontal="left" vertical="center"/>
    </xf>
    <xf numFmtId="0" fontId="30" fillId="0" borderId="1" xfId="0" applyFont="1" applyFill="1" applyBorder="1" applyAlignment="1" applyProtection="1">
      <alignment horizontal="left" vertical="center"/>
    </xf>
    <xf numFmtId="0" fontId="30" fillId="0" borderId="9" xfId="0" applyFont="1" applyFill="1" applyBorder="1" applyAlignment="1" applyProtection="1">
      <alignment horizontal="left" vertical="center"/>
    </xf>
    <xf numFmtId="0" fontId="30" fillId="0" borderId="16" xfId="0" applyFont="1" applyFill="1" applyBorder="1" applyAlignment="1" applyProtection="1">
      <alignment horizontal="center" vertical="center"/>
    </xf>
    <xf numFmtId="0" fontId="30" fillId="0" borderId="17" xfId="0" applyFont="1" applyFill="1" applyBorder="1" applyAlignment="1" applyProtection="1">
      <alignment horizontal="center" vertical="center"/>
    </xf>
    <xf numFmtId="0" fontId="30" fillId="0" borderId="18" xfId="0" applyFont="1" applyFill="1" applyBorder="1" applyAlignment="1" applyProtection="1">
      <alignment horizontal="center" vertical="center"/>
    </xf>
    <xf numFmtId="0" fontId="30" fillId="0" borderId="19" xfId="0" applyFont="1" applyFill="1" applyBorder="1" applyAlignment="1" applyProtection="1">
      <alignment horizontal="center" vertical="center"/>
    </xf>
    <xf numFmtId="0" fontId="30" fillId="0" borderId="0" xfId="0" applyFont="1" applyFill="1" applyAlignment="1" applyProtection="1">
      <alignment horizontal="center" vertical="center"/>
    </xf>
    <xf numFmtId="0" fontId="30" fillId="0" borderId="20" xfId="0" applyFont="1" applyFill="1" applyBorder="1" applyAlignment="1" applyProtection="1">
      <alignment horizontal="center" vertical="center"/>
    </xf>
    <xf numFmtId="0" fontId="30" fillId="0" borderId="5" xfId="0" applyFont="1" applyFill="1" applyBorder="1" applyAlignment="1" applyProtection="1">
      <alignment horizontal="center" vertical="center"/>
    </xf>
    <xf numFmtId="0" fontId="30" fillId="0" borderId="1" xfId="0" applyFont="1" applyFill="1" applyBorder="1" applyAlignment="1" applyProtection="1">
      <alignment horizontal="center" vertical="center"/>
    </xf>
    <xf numFmtId="0" fontId="30" fillId="0" borderId="9" xfId="0" applyFont="1" applyFill="1" applyBorder="1" applyAlignment="1" applyProtection="1">
      <alignment horizontal="center" vertical="center"/>
    </xf>
    <xf numFmtId="0" fontId="22" fillId="0" borderId="8" xfId="0" applyFont="1" applyFill="1" applyBorder="1" applyAlignment="1" applyProtection="1">
      <alignment horizontal="left"/>
    </xf>
    <xf numFmtId="0" fontId="22" fillId="0" borderId="15" xfId="0" applyFont="1" applyFill="1" applyBorder="1" applyAlignment="1" applyProtection="1">
      <alignment horizontal="left"/>
    </xf>
    <xf numFmtId="0" fontId="22" fillId="0" borderId="13" xfId="0" applyFont="1" applyFill="1" applyBorder="1" applyAlignment="1" applyProtection="1">
      <alignment horizontal="left"/>
    </xf>
    <xf numFmtId="14" fontId="30" fillId="0" borderId="8" xfId="0" applyNumberFormat="1" applyFont="1" applyFill="1" applyBorder="1" applyAlignment="1" applyProtection="1">
      <alignment horizontal="left"/>
    </xf>
    <xf numFmtId="14" fontId="30" fillId="0" borderId="15" xfId="0" applyNumberFormat="1" applyFont="1" applyFill="1" applyBorder="1" applyAlignment="1" applyProtection="1">
      <alignment horizontal="left"/>
    </xf>
    <xf numFmtId="14" fontId="30" fillId="0" borderId="13" xfId="0" applyNumberFormat="1" applyFont="1" applyFill="1" applyBorder="1" applyAlignment="1" applyProtection="1">
      <alignment horizontal="left"/>
    </xf>
    <xf numFmtId="0" fontId="30" fillId="0" borderId="8" xfId="0" applyFont="1" applyFill="1" applyBorder="1" applyAlignment="1" applyProtection="1">
      <alignment horizontal="left"/>
    </xf>
    <xf numFmtId="0" fontId="30" fillId="0" borderId="15" xfId="0" applyFont="1" applyFill="1" applyBorder="1" applyAlignment="1" applyProtection="1">
      <alignment horizontal="left"/>
    </xf>
    <xf numFmtId="0" fontId="30" fillId="0" borderId="13" xfId="0" applyFont="1" applyFill="1" applyBorder="1" applyAlignment="1" applyProtection="1">
      <alignment horizontal="left"/>
    </xf>
    <xf numFmtId="4" fontId="30" fillId="0" borderId="8" xfId="0" applyNumberFormat="1" applyFont="1" applyFill="1" applyBorder="1" applyAlignment="1" applyProtection="1">
      <alignment horizontal="left"/>
    </xf>
    <xf numFmtId="4" fontId="30" fillId="0" borderId="15" xfId="0" applyNumberFormat="1" applyFont="1" applyFill="1" applyBorder="1" applyAlignment="1" applyProtection="1">
      <alignment horizontal="left"/>
    </xf>
    <xf numFmtId="4" fontId="30" fillId="0" borderId="13" xfId="0" applyNumberFormat="1" applyFont="1" applyFill="1" applyBorder="1" applyAlignment="1" applyProtection="1">
      <alignment horizontal="left"/>
    </xf>
    <xf numFmtId="14" fontId="30" fillId="0" borderId="2" xfId="0" applyNumberFormat="1" applyFont="1" applyFill="1" applyBorder="1" applyProtection="1"/>
    <xf numFmtId="0" fontId="30" fillId="0" borderId="16" xfId="0" applyFont="1" applyFill="1" applyBorder="1" applyAlignment="1" applyProtection="1">
      <alignment horizontal="center"/>
    </xf>
    <xf numFmtId="0" fontId="30" fillId="0" borderId="17" xfId="0" applyFont="1" applyFill="1" applyBorder="1" applyAlignment="1" applyProtection="1">
      <alignment horizontal="center"/>
    </xf>
    <xf numFmtId="0" fontId="30" fillId="0" borderId="18" xfId="0" applyFont="1" applyFill="1" applyBorder="1" applyAlignment="1" applyProtection="1">
      <alignment horizontal="center"/>
    </xf>
    <xf numFmtId="0" fontId="30" fillId="0" borderId="5" xfId="0" applyFont="1" applyFill="1" applyBorder="1" applyAlignment="1" applyProtection="1">
      <alignment horizontal="center"/>
    </xf>
    <xf numFmtId="0" fontId="30" fillId="0" borderId="1" xfId="0" applyFont="1" applyFill="1" applyBorder="1" applyAlignment="1" applyProtection="1">
      <alignment horizontal="center"/>
    </xf>
    <xf numFmtId="0" fontId="30" fillId="0" borderId="9" xfId="0" applyFont="1" applyFill="1" applyBorder="1" applyAlignment="1" applyProtection="1">
      <alignment horizontal="center"/>
    </xf>
    <xf numFmtId="0" fontId="30" fillId="0" borderId="8" xfId="0" applyFont="1" applyFill="1" applyBorder="1" applyAlignment="1" applyProtection="1">
      <alignment vertical="center" wrapText="1"/>
    </xf>
    <xf numFmtId="0" fontId="30" fillId="0" borderId="15" xfId="0" applyFont="1" applyFill="1" applyBorder="1" applyAlignment="1" applyProtection="1">
      <alignment vertical="center" wrapText="1"/>
    </xf>
    <xf numFmtId="0" fontId="30" fillId="0" borderId="13" xfId="0" applyFont="1" applyFill="1" applyBorder="1" applyAlignment="1" applyProtection="1">
      <alignment vertical="center" wrapText="1"/>
    </xf>
    <xf numFmtId="0" fontId="22" fillId="0" borderId="8" xfId="0" applyFont="1" applyFill="1" applyBorder="1" applyAlignment="1" applyProtection="1">
      <alignment vertical="center"/>
    </xf>
    <xf numFmtId="0" fontId="22" fillId="0" borderId="15" xfId="0" applyFont="1" applyFill="1" applyBorder="1" applyAlignment="1" applyProtection="1">
      <alignment vertical="center"/>
    </xf>
    <xf numFmtId="0" fontId="22" fillId="0" borderId="13" xfId="0" applyFont="1" applyFill="1" applyBorder="1" applyAlignment="1" applyProtection="1">
      <alignment vertical="center"/>
    </xf>
    <xf numFmtId="0" fontId="30" fillId="0" borderId="2" xfId="0" applyFont="1" applyFill="1" applyBorder="1" applyAlignment="1" applyProtection="1">
      <alignment vertical="center"/>
    </xf>
    <xf numFmtId="0" fontId="30" fillId="0" borderId="0" xfId="0" applyFont="1" applyFill="1" applyProtection="1"/>
    <xf numFmtId="0" fontId="34" fillId="0" borderId="2" xfId="0" applyFont="1" applyFill="1" applyBorder="1" applyProtection="1"/>
    <xf numFmtId="0" fontId="22" fillId="0" borderId="0" xfId="0" applyFont="1" applyFill="1" applyAlignment="1" applyProtection="1">
      <alignment horizontal="center"/>
    </xf>
    <xf numFmtId="0" fontId="8" fillId="0" borderId="0" xfId="0" applyFont="1" applyFill="1" applyAlignment="1" applyProtection="1">
      <alignment horizontal="center"/>
    </xf>
    <xf numFmtId="0" fontId="20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left" vertical="center"/>
    </xf>
    <xf numFmtId="0" fontId="0" fillId="0" borderId="0" xfId="0" applyFill="1" applyAlignment="1" applyProtection="1">
      <alignment horizontal="center"/>
    </xf>
    <xf numFmtId="0" fontId="0" fillId="0" borderId="0" xfId="0" applyFill="1" applyAlignment="1" applyProtection="1">
      <alignment horizontal="left"/>
    </xf>
    <xf numFmtId="0" fontId="17" fillId="0" borderId="0" xfId="0" applyFont="1" applyFill="1" applyAlignment="1" applyProtection="1">
      <alignment horizontal="center"/>
    </xf>
    <xf numFmtId="14" fontId="130" fillId="0" borderId="0" xfId="0" applyNumberFormat="1" applyFont="1" applyFill="1" applyAlignment="1" applyProtection="1">
      <alignment horizontal="left"/>
    </xf>
    <xf numFmtId="0" fontId="130" fillId="0" borderId="0" xfId="0" applyFont="1" applyFill="1" applyAlignment="1" applyProtection="1">
      <alignment horizontal="left"/>
    </xf>
    <xf numFmtId="0" fontId="4" fillId="0" borderId="0" xfId="0" applyFont="1" applyFill="1" applyAlignment="1" applyProtection="1">
      <alignment horizontal="center" vertical="center" wrapText="1"/>
    </xf>
    <xf numFmtId="0" fontId="9" fillId="0" borderId="0" xfId="0" applyFont="1" applyFill="1" applyAlignment="1" applyProtection="1">
      <alignment horizontal="left"/>
    </xf>
    <xf numFmtId="0" fontId="9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0" fontId="9" fillId="0" borderId="0" xfId="0" applyFont="1" applyFill="1" applyAlignment="1" applyProtection="1">
      <alignment horizontal="center" wrapText="1"/>
    </xf>
    <xf numFmtId="14" fontId="9" fillId="0" borderId="1" xfId="0" applyNumberFormat="1" applyFont="1" applyFill="1" applyBorder="1" applyAlignment="1" applyProtection="1">
      <alignment horizontal="left"/>
    </xf>
    <xf numFmtId="0" fontId="9" fillId="0" borderId="1" xfId="0" applyFont="1" applyFill="1" applyBorder="1" applyAlignment="1" applyProtection="1">
      <alignment horizontal="left"/>
    </xf>
    <xf numFmtId="0" fontId="4" fillId="21" borderId="0" xfId="0" applyFont="1" applyFill="1" applyAlignment="1" applyProtection="1">
      <alignment horizontal="left" vertical="center"/>
    </xf>
    <xf numFmtId="0" fontId="9" fillId="0" borderId="1" xfId="0" applyFont="1" applyFill="1" applyBorder="1" applyAlignment="1" applyProtection="1">
      <alignment horizontal="center"/>
    </xf>
    <xf numFmtId="0" fontId="9" fillId="0" borderId="0" xfId="0" applyFont="1" applyFill="1" applyAlignment="1" applyProtection="1">
      <alignment horizontal="left" wrapText="1"/>
    </xf>
    <xf numFmtId="0" fontId="13" fillId="0" borderId="0" xfId="0" applyFont="1" applyFill="1" applyAlignment="1" applyProtection="1">
      <alignment horizontal="left"/>
    </xf>
    <xf numFmtId="14" fontId="4" fillId="0" borderId="0" xfId="0" applyNumberFormat="1" applyFont="1" applyFill="1" applyAlignment="1" applyProtection="1">
      <alignment horizontal="left"/>
    </xf>
    <xf numFmtId="0" fontId="9" fillId="0" borderId="1" xfId="0" applyFont="1" applyFill="1" applyBorder="1" applyProtection="1"/>
    <xf numFmtId="0" fontId="4" fillId="0" borderId="0" xfId="0" applyFont="1" applyFill="1" applyAlignment="1" applyProtection="1">
      <alignment horizontal="left" vertical="top" wrapText="1"/>
    </xf>
    <xf numFmtId="0" fontId="9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left" vertical="center" wrapText="1"/>
    </xf>
    <xf numFmtId="0" fontId="77" fillId="0" borderId="0" xfId="0" applyFont="1" applyFill="1" applyAlignment="1" applyProtection="1">
      <alignment horizontal="center" vertical="center"/>
    </xf>
    <xf numFmtId="0" fontId="77" fillId="0" borderId="17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right" vertical="center"/>
    </xf>
    <xf numFmtId="0" fontId="27" fillId="0" borderId="0" xfId="0" applyFont="1" applyFill="1" applyAlignment="1" applyProtection="1">
      <alignment horizontal="center"/>
    </xf>
    <xf numFmtId="0" fontId="27" fillId="0" borderId="0" xfId="0" applyFont="1" applyFill="1" applyAlignment="1" applyProtection="1">
      <alignment horizontal="left"/>
    </xf>
    <xf numFmtId="0" fontId="28" fillId="0" borderId="0" xfId="0" applyFont="1" applyFill="1" applyAlignment="1" applyProtection="1">
      <alignment horizontal="left" vertical="top" wrapText="1"/>
    </xf>
    <xf numFmtId="0" fontId="28" fillId="0" borderId="0" xfId="0" applyFont="1" applyFill="1" applyAlignment="1" applyProtection="1">
      <alignment horizontal="left" vertical="top"/>
    </xf>
    <xf numFmtId="0" fontId="27" fillId="0" borderId="0" xfId="0" applyFont="1" applyFill="1" applyAlignment="1" applyProtection="1">
      <alignment horizontal="center" vertical="center"/>
    </xf>
    <xf numFmtId="0" fontId="24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17" fillId="0" borderId="0" xfId="0" applyFont="1" applyFill="1" applyAlignment="1" applyProtection="1">
      <alignment horizontal="left"/>
    </xf>
    <xf numFmtId="0" fontId="28" fillId="0" borderId="0" xfId="0" applyFont="1" applyFill="1" applyAlignment="1" applyProtection="1">
      <alignment horizontal="center" vertical="top" wrapText="1"/>
    </xf>
    <xf numFmtId="0" fontId="59" fillId="0" borderId="0" xfId="0" applyFont="1" applyFill="1" applyAlignment="1" applyProtection="1">
      <alignment horizontal="center"/>
    </xf>
    <xf numFmtId="0" fontId="6" fillId="0" borderId="0" xfId="0" applyFont="1" applyFill="1" applyProtection="1"/>
    <xf numFmtId="0" fontId="6" fillId="0" borderId="0" xfId="0" applyFont="1" applyFill="1" applyAlignment="1" applyProtection="1">
      <alignment horizontal="left"/>
    </xf>
    <xf numFmtId="0" fontId="32" fillId="0" borderId="0" xfId="0" applyFont="1" applyFill="1" applyAlignment="1" applyProtection="1">
      <alignment horizontal="center"/>
    </xf>
    <xf numFmtId="0" fontId="0" fillId="0" borderId="0" xfId="0" applyFill="1" applyProtection="1"/>
    <xf numFmtId="14" fontId="6" fillId="0" borderId="0" xfId="0" applyNumberFormat="1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6" fillId="0" borderId="0" xfId="0" applyFont="1" applyFill="1" applyAlignment="1" applyProtection="1">
      <alignment horizontal="right"/>
    </xf>
    <xf numFmtId="14" fontId="6" fillId="0" borderId="0" xfId="0" applyNumberFormat="1" applyFont="1" applyFill="1" applyAlignment="1" applyProtection="1">
      <alignment horizontal="left"/>
    </xf>
    <xf numFmtId="0" fontId="8" fillId="0" borderId="0" xfId="0" applyFont="1" applyFill="1" applyProtection="1"/>
    <xf numFmtId="0" fontId="0" fillId="0" borderId="2" xfId="0" applyFill="1" applyBorder="1" applyAlignment="1">
      <alignment horizontal="center" vertical="top"/>
    </xf>
    <xf numFmtId="0" fontId="0" fillId="0" borderId="3" xfId="0" applyFill="1" applyBorder="1" applyAlignment="1">
      <alignment horizontal="center" vertical="top"/>
    </xf>
    <xf numFmtId="0" fontId="36" fillId="0" borderId="11" xfId="0" applyFont="1" applyFill="1" applyBorder="1" applyAlignment="1">
      <alignment horizontal="center" vertical="top" wrapText="1"/>
    </xf>
    <xf numFmtId="0" fontId="43" fillId="0" borderId="12" xfId="0" applyFont="1" applyFill="1" applyBorder="1" applyAlignment="1">
      <alignment horizontal="center" vertical="top" wrapText="1"/>
    </xf>
    <xf numFmtId="0" fontId="43" fillId="0" borderId="22" xfId="0" applyFont="1" applyFill="1" applyBorder="1" applyAlignment="1">
      <alignment horizontal="center" vertical="top" wrapText="1"/>
    </xf>
    <xf numFmtId="0" fontId="43" fillId="0" borderId="14" xfId="0" applyFont="1" applyFill="1" applyBorder="1" applyAlignment="1">
      <alignment horizontal="center" vertical="top" wrapText="1"/>
    </xf>
    <xf numFmtId="0" fontId="43" fillId="0" borderId="17" xfId="0" applyFont="1" applyFill="1" applyBorder="1" applyAlignment="1">
      <alignment horizontal="right" vertical="center" wrapText="1"/>
    </xf>
    <xf numFmtId="0" fontId="43" fillId="0" borderId="18" xfId="0" applyFont="1" applyFill="1" applyBorder="1" applyAlignment="1">
      <alignment horizontal="right" vertical="center" wrapText="1"/>
    </xf>
    <xf numFmtId="0" fontId="43" fillId="0" borderId="1" xfId="0" applyFont="1" applyFill="1" applyBorder="1" applyAlignment="1">
      <alignment horizontal="right" vertical="center" wrapText="1"/>
    </xf>
    <xf numFmtId="0" fontId="43" fillId="0" borderId="9" xfId="0" applyFont="1" applyFill="1" applyBorder="1" applyAlignment="1">
      <alignment horizontal="right" vertical="center" wrapText="1"/>
    </xf>
    <xf numFmtId="14" fontId="44" fillId="5" borderId="2" xfId="0" applyNumberFormat="1" applyFont="1" applyFill="1" applyBorder="1" applyAlignment="1">
      <alignment horizontal="center" vertical="center" wrapText="1"/>
    </xf>
    <xf numFmtId="0" fontId="43" fillId="0" borderId="10" xfId="0" applyFont="1" applyFill="1" applyBorder="1" applyAlignment="1">
      <alignment horizontal="center" vertical="top" wrapText="1"/>
    </xf>
    <xf numFmtId="0" fontId="47" fillId="0" borderId="3" xfId="0" applyFont="1" applyFill="1" applyBorder="1" applyAlignment="1">
      <alignment horizontal="left" textRotation="90" wrapText="1"/>
    </xf>
    <xf numFmtId="0" fontId="47" fillId="0" borderId="21" xfId="0" applyFont="1" applyFill="1" applyBorder="1" applyAlignment="1">
      <alignment horizontal="left" textRotation="90" wrapText="1"/>
    </xf>
    <xf numFmtId="0" fontId="47" fillId="0" borderId="2" xfId="0" applyFont="1" applyFill="1" applyBorder="1" applyAlignment="1">
      <alignment horizontal="left" textRotation="90" wrapText="1"/>
    </xf>
    <xf numFmtId="0" fontId="46" fillId="0" borderId="2" xfId="0" applyFont="1" applyFill="1" applyBorder="1" applyAlignment="1">
      <alignment horizontal="left" wrapText="1"/>
    </xf>
    <xf numFmtId="0" fontId="46" fillId="0" borderId="2" xfId="0" applyFont="1" applyFill="1" applyBorder="1" applyAlignment="1">
      <alignment horizontal="left" vertical="center" textRotation="90" wrapText="1"/>
    </xf>
    <xf numFmtId="0" fontId="46" fillId="0" borderId="3" xfId="0" applyFont="1" applyFill="1" applyBorder="1" applyAlignment="1">
      <alignment horizontal="left" vertical="center" textRotation="90" wrapText="1"/>
    </xf>
    <xf numFmtId="0" fontId="45" fillId="7" borderId="2" xfId="0" applyFont="1" applyFill="1" applyBorder="1" applyAlignment="1">
      <alignment horizontal="left" vertical="center" textRotation="90" wrapText="1"/>
    </xf>
    <xf numFmtId="0" fontId="47" fillId="7" borderId="3" xfId="0" applyFont="1" applyFill="1" applyBorder="1" applyAlignment="1">
      <alignment horizontal="left" vertical="center" textRotation="90" wrapText="1"/>
    </xf>
    <xf numFmtId="0" fontId="45" fillId="0" borderId="2" xfId="0" applyFont="1" applyFill="1" applyBorder="1" applyAlignment="1">
      <alignment horizontal="left" vertical="center" textRotation="90" wrapText="1"/>
    </xf>
    <xf numFmtId="0" fontId="47" fillId="0" borderId="3" xfId="0" applyFont="1" applyFill="1" applyBorder="1" applyAlignment="1">
      <alignment horizontal="left" vertical="center" textRotation="90" wrapText="1"/>
    </xf>
    <xf numFmtId="0" fontId="47" fillId="0" borderId="2" xfId="0" applyFont="1" applyFill="1" applyBorder="1" applyAlignment="1">
      <alignment horizontal="left" vertical="center" textRotation="90" wrapText="1"/>
    </xf>
    <xf numFmtId="0" fontId="0" fillId="7" borderId="2" xfId="0" applyFill="1" applyBorder="1" applyAlignment="1">
      <alignment horizontal="center" vertical="center" textRotation="90"/>
    </xf>
    <xf numFmtId="0" fontId="0" fillId="7" borderId="3" xfId="0" applyFill="1" applyBorder="1" applyAlignment="1">
      <alignment horizontal="center" vertical="center" textRotation="90"/>
    </xf>
    <xf numFmtId="166" fontId="52" fillId="3" borderId="2" xfId="0" applyNumberFormat="1" applyFont="1" applyFill="1" applyBorder="1" applyAlignment="1">
      <alignment horizontal="center" vertical="center" textRotation="90"/>
    </xf>
    <xf numFmtId="166" fontId="52" fillId="3" borderId="3" xfId="0" applyNumberFormat="1" applyFont="1" applyFill="1" applyBorder="1" applyAlignment="1">
      <alignment horizontal="center" vertical="center" textRotation="90"/>
    </xf>
    <xf numFmtId="0" fontId="6" fillId="7" borderId="3" xfId="0" applyFont="1" applyFill="1" applyBorder="1" applyAlignment="1">
      <alignment horizontal="center" vertical="top" wrapText="1"/>
    </xf>
    <xf numFmtId="0" fontId="6" fillId="7" borderId="21" xfId="0" applyFont="1" applyFill="1" applyBorder="1" applyAlignment="1">
      <alignment horizontal="center" vertical="top" wrapText="1"/>
    </xf>
    <xf numFmtId="0" fontId="6" fillId="7" borderId="4" xfId="0" applyFont="1" applyFill="1" applyBorder="1" applyAlignment="1">
      <alignment horizontal="center" vertical="top" wrapText="1"/>
    </xf>
    <xf numFmtId="0" fontId="43" fillId="0" borderId="0" xfId="0" applyFont="1" applyFill="1" applyAlignment="1">
      <alignment horizontal="center" vertical="top" wrapText="1"/>
    </xf>
    <xf numFmtId="0" fontId="45" fillId="0" borderId="11" xfId="0" applyFont="1" applyFill="1" applyBorder="1" applyAlignment="1">
      <alignment horizontal="center" vertical="center" wrapText="1"/>
    </xf>
    <xf numFmtId="0" fontId="47" fillId="0" borderId="19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2" xfId="0" applyFill="1" applyBorder="1" applyAlignment="1" applyProtection="1">
      <alignment horizontal="center"/>
    </xf>
    <xf numFmtId="0" fontId="0" fillId="3" borderId="2" xfId="0" applyFill="1" applyBorder="1" applyAlignment="1">
      <alignment horizontal="center" vertical="center" textRotation="90" wrapText="1"/>
    </xf>
    <xf numFmtId="0" fontId="0" fillId="3" borderId="3" xfId="0" applyFill="1" applyBorder="1" applyAlignment="1">
      <alignment horizontal="center" vertical="center" textRotation="90" wrapText="1"/>
    </xf>
    <xf numFmtId="0" fontId="36" fillId="0" borderId="10" xfId="0" applyFont="1" applyFill="1" applyBorder="1" applyAlignment="1">
      <alignment horizontal="center" vertical="top" wrapText="1"/>
    </xf>
    <xf numFmtId="0" fontId="8" fillId="7" borderId="3" xfId="0" applyFont="1" applyFill="1" applyBorder="1" applyAlignment="1">
      <alignment horizontal="center" vertical="top" wrapText="1"/>
    </xf>
    <xf numFmtId="0" fontId="0" fillId="7" borderId="21" xfId="0" applyFill="1" applyBorder="1" applyAlignment="1">
      <alignment horizontal="center" vertical="top" wrapText="1"/>
    </xf>
    <xf numFmtId="0" fontId="0" fillId="7" borderId="4" xfId="0" applyFill="1" applyBorder="1" applyAlignment="1">
      <alignment horizontal="center" vertical="top" wrapText="1"/>
    </xf>
    <xf numFmtId="0" fontId="45" fillId="0" borderId="17" xfId="0" applyFont="1" applyFill="1" applyBorder="1" applyAlignment="1">
      <alignment horizontal="center" textRotation="90" wrapText="1"/>
    </xf>
    <xf numFmtId="0" fontId="47" fillId="0" borderId="0" xfId="0" applyFont="1" applyFill="1" applyAlignment="1">
      <alignment horizontal="center" textRotation="90" wrapText="1"/>
    </xf>
    <xf numFmtId="0" fontId="45" fillId="0" borderId="2" xfId="0" applyFont="1" applyFill="1" applyBorder="1" applyAlignment="1">
      <alignment horizontal="left" textRotation="90" wrapText="1"/>
    </xf>
    <xf numFmtId="0" fontId="46" fillId="0" borderId="16" xfId="0" applyFont="1" applyFill="1" applyBorder="1" applyAlignment="1">
      <alignment horizontal="center" textRotation="90" wrapText="1"/>
    </xf>
    <xf numFmtId="0" fontId="46" fillId="0" borderId="19" xfId="0" applyFont="1" applyFill="1" applyBorder="1" applyAlignment="1">
      <alignment horizontal="center" textRotation="90" wrapText="1"/>
    </xf>
    <xf numFmtId="0" fontId="47" fillId="0" borderId="17" xfId="0" applyFont="1" applyFill="1" applyBorder="1" applyAlignment="1">
      <alignment horizontal="center" textRotation="90" wrapText="1"/>
    </xf>
    <xf numFmtId="0" fontId="47" fillId="11" borderId="2" xfId="0" applyFont="1" applyFill="1" applyBorder="1" applyAlignment="1">
      <alignment horizontal="left" textRotation="90" wrapText="1"/>
    </xf>
    <xf numFmtId="0" fontId="47" fillId="11" borderId="3" xfId="0" applyFont="1" applyFill="1" applyBorder="1" applyAlignment="1">
      <alignment horizontal="left" textRotation="90" wrapText="1"/>
    </xf>
    <xf numFmtId="0" fontId="46" fillId="11" borderId="2" xfId="0" applyFont="1" applyFill="1" applyBorder="1" applyAlignment="1">
      <alignment horizontal="center" textRotation="90" wrapText="1"/>
    </xf>
    <xf numFmtId="0" fontId="47" fillId="11" borderId="2" xfId="0" applyFont="1" applyFill="1" applyBorder="1" applyAlignment="1">
      <alignment horizontal="center" textRotation="90" wrapText="1"/>
    </xf>
    <xf numFmtId="0" fontId="48" fillId="11" borderId="3" xfId="0" applyFont="1" applyFill="1" applyBorder="1" applyAlignment="1">
      <alignment horizontal="left" textRotation="90" wrapText="1"/>
    </xf>
    <xf numFmtId="0" fontId="46" fillId="11" borderId="21" xfId="0" applyFont="1" applyFill="1" applyBorder="1" applyAlignment="1">
      <alignment horizontal="left" textRotation="90" wrapText="1"/>
    </xf>
    <xf numFmtId="0" fontId="47" fillId="0" borderId="4" xfId="0" applyFont="1" applyFill="1" applyBorder="1" applyAlignment="1">
      <alignment horizontal="left" textRotation="90" wrapText="1"/>
    </xf>
    <xf numFmtId="0" fontId="46" fillId="0" borderId="4" xfId="0" applyFont="1" applyFill="1" applyBorder="1" applyAlignment="1">
      <alignment horizontal="left" wrapText="1"/>
    </xf>
    <xf numFmtId="0" fontId="36" fillId="0" borderId="2" xfId="0" applyFont="1" applyFill="1" applyBorder="1" applyAlignment="1">
      <alignment horizontal="center" vertical="top" wrapText="1"/>
    </xf>
    <xf numFmtId="0" fontId="43" fillId="0" borderId="2" xfId="0" applyFont="1" applyFill="1" applyBorder="1" applyAlignment="1">
      <alignment horizontal="center" vertical="top" wrapText="1"/>
    </xf>
    <xf numFmtId="0" fontId="43" fillId="0" borderId="2" xfId="0" applyFont="1" applyFill="1" applyBorder="1" applyAlignment="1">
      <alignment horizontal="right" vertical="center" wrapText="1"/>
    </xf>
    <xf numFmtId="0" fontId="46" fillId="0" borderId="4" xfId="0" applyFont="1" applyFill="1" applyBorder="1" applyAlignment="1">
      <alignment horizontal="left" vertical="center" textRotation="90" wrapText="1"/>
    </xf>
    <xf numFmtId="0" fontId="45" fillId="7" borderId="4" xfId="0" applyFont="1" applyFill="1" applyBorder="1" applyAlignment="1">
      <alignment horizontal="left" vertical="center" textRotation="90" wrapText="1"/>
    </xf>
    <xf numFmtId="0" fontId="45" fillId="0" borderId="4" xfId="0" applyFont="1" applyFill="1" applyBorder="1" applyAlignment="1">
      <alignment horizontal="left" vertical="center" textRotation="90" wrapText="1"/>
    </xf>
    <xf numFmtId="0" fontId="47" fillId="0" borderId="4" xfId="0" applyFont="1" applyFill="1" applyBorder="1" applyAlignment="1">
      <alignment horizontal="left" vertical="center" textRotation="90" wrapText="1"/>
    </xf>
    <xf numFmtId="0" fontId="0" fillId="7" borderId="4" xfId="0" applyFill="1" applyBorder="1" applyAlignment="1">
      <alignment horizontal="center" vertical="center" textRotation="90"/>
    </xf>
    <xf numFmtId="0" fontId="45" fillId="0" borderId="19" xfId="0" applyFont="1" applyFill="1" applyBorder="1" applyAlignment="1">
      <alignment horizontal="center" vertical="center" wrapText="1"/>
    </xf>
    <xf numFmtId="0" fontId="17" fillId="3" borderId="0" xfId="0" applyFont="1" applyFill="1" applyProtection="1"/>
    <xf numFmtId="169" fontId="104" fillId="21" borderId="1" xfId="6" applyNumberFormat="1" applyFont="1" applyFill="1" applyBorder="1" applyProtection="1"/>
    <xf numFmtId="169" fontId="164" fillId="21" borderId="0" xfId="6" applyNumberFormat="1" applyFont="1" applyFill="1" applyBorder="1" applyProtection="1"/>
    <xf numFmtId="0" fontId="17" fillId="0" borderId="1" xfId="0" applyFont="1" applyFill="1" applyBorder="1" applyProtection="1"/>
    <xf numFmtId="0" fontId="9" fillId="0" borderId="1" xfId="0" applyFont="1" applyFill="1" applyBorder="1" applyAlignment="1" applyProtection="1">
      <alignment horizontal="right"/>
    </xf>
    <xf numFmtId="0" fontId="9" fillId="0" borderId="1" xfId="0" applyFont="1" applyFill="1" applyBorder="1" applyAlignment="1" applyProtection="1"/>
    <xf numFmtId="0" fontId="9" fillId="0" borderId="15" xfId="0" applyFont="1" applyFill="1" applyBorder="1" applyAlignment="1" applyProtection="1"/>
    <xf numFmtId="0" fontId="17" fillId="0" borderId="0" xfId="0" applyFont="1" applyFill="1" applyBorder="1" applyProtection="1"/>
    <xf numFmtId="0" fontId="4" fillId="0" borderId="0" xfId="0" applyFont="1" applyFill="1" applyBorder="1" applyAlignment="1" applyProtection="1">
      <alignment horizontal="left"/>
    </xf>
    <xf numFmtId="0" fontId="9" fillId="0" borderId="1" xfId="0" applyFont="1" applyFill="1" applyBorder="1" applyAlignment="1" applyProtection="1">
      <alignment horizontal="center" vertical="center"/>
    </xf>
    <xf numFmtId="171" fontId="9" fillId="0" borderId="0" xfId="0" applyNumberFormat="1" applyFont="1" applyFill="1" applyAlignment="1" applyProtection="1">
      <alignment horizontal="left"/>
    </xf>
    <xf numFmtId="0" fontId="9" fillId="0" borderId="0" xfId="0" applyFont="1" applyFill="1" applyBorder="1" applyAlignment="1" applyProtection="1">
      <alignment horizontal="center"/>
    </xf>
    <xf numFmtId="0" fontId="9" fillId="0" borderId="15" xfId="0" applyFont="1" applyFill="1" applyBorder="1" applyAlignment="1" applyProtection="1">
      <alignment horizontal="center"/>
    </xf>
    <xf numFmtId="14" fontId="9" fillId="0" borderId="1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 applyProtection="1">
      <alignment vertical="center"/>
    </xf>
    <xf numFmtId="0" fontId="3" fillId="0" borderId="0" xfId="0" applyFont="1" applyFill="1" applyAlignment="1" applyProtection="1">
      <alignment horizontal="center" vertical="center"/>
    </xf>
  </cellXfs>
  <cellStyles count="9">
    <cellStyle name="Currency" xfId="7" builtinId="4"/>
    <cellStyle name="Hyperlink" xfId="8" builtinId="8"/>
    <cellStyle name="Normal" xfId="0" builtinId="0"/>
    <cellStyle name="Normal 2" xfId="1"/>
    <cellStyle name="Normal 2 2" xfId="5"/>
    <cellStyle name="Normal 3" xfId="2"/>
    <cellStyle name="Normal 4" xfId="3"/>
    <cellStyle name="Normal 4 2" xfId="4"/>
    <cellStyle name="Percent" xfId="6" builtinId="5"/>
  </cellStyles>
  <dxfs count="411"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/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z val="8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/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z val="8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z val="8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indexed="8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 outline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rgb="FF999999"/>
        </left>
        <right/>
        <top/>
        <bottom/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999999"/>
        </left>
        <right/>
        <top/>
        <bottom/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numFmt numFmtId="2" formatCode="0.00"/>
      <fill>
        <patternFill patternType="none">
          <fgColor indexed="64"/>
          <bgColor indexed="65"/>
        </patternFill>
      </fill>
      <protection locked="1" hidden="0"/>
    </dxf>
    <dxf>
      <numFmt numFmtId="2" formatCode="0.00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62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62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indexed="40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indexed="40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FFFF00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FFFF00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indexed="40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8"/>
          <bgColor indexed="44"/>
        </patternFill>
      </fill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00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CCFF"/>
      <color rgb="FF05B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2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90</xdr:row>
      <xdr:rowOff>0</xdr:rowOff>
    </xdr:from>
    <xdr:to>
      <xdr:col>1</xdr:col>
      <xdr:colOff>771525</xdr:colOff>
      <xdr:row>92</xdr:row>
      <xdr:rowOff>166296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183225"/>
          <a:ext cx="1428750" cy="699696"/>
        </a:xfrm>
        <a:prstGeom prst="rect">
          <a:avLst/>
        </a:prstGeom>
      </xdr:spPr>
    </xdr:pic>
    <xdr:clientData/>
  </xdr:twoCellAnchor>
  <xdr:twoCellAnchor editAs="oneCell">
    <xdr:from>
      <xdr:col>5</xdr:col>
      <xdr:colOff>466725</xdr:colOff>
      <xdr:row>89</xdr:row>
      <xdr:rowOff>0</xdr:rowOff>
    </xdr:from>
    <xdr:to>
      <xdr:col>7</xdr:col>
      <xdr:colOff>266700</xdr:colOff>
      <xdr:row>91</xdr:row>
      <xdr:rowOff>184547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17983200"/>
          <a:ext cx="1000125" cy="7179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7844</xdr:colOff>
      <xdr:row>549</xdr:row>
      <xdr:rowOff>41461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9F44BA-8AE8-44AC-43E8-5D7DEA2B2107}"/>
            </a:ext>
          </a:extLst>
        </xdr:cNvPr>
        <xdr:cNvSpPr txBox="1"/>
      </xdr:nvSpPr>
      <xdr:spPr>
        <a:xfrm>
          <a:off x="28392344" y="398593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85</xdr:row>
      <xdr:rowOff>95100</xdr:rowOff>
    </xdr:from>
    <xdr:to>
      <xdr:col>3</xdr:col>
      <xdr:colOff>95250</xdr:colOff>
      <xdr:row>89</xdr:row>
      <xdr:rowOff>123675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011500"/>
          <a:ext cx="2114550" cy="800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</xdr:colOff>
      <xdr:row>32</xdr:row>
      <xdr:rowOff>0</xdr:rowOff>
    </xdr:from>
    <xdr:to>
      <xdr:col>6</xdr:col>
      <xdr:colOff>932467</xdr:colOff>
      <xdr:row>38</xdr:row>
      <xdr:rowOff>117000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851" y="6419850"/>
          <a:ext cx="1684941" cy="126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371476</xdr:colOff>
      <xdr:row>34</xdr:row>
      <xdr:rowOff>171450</xdr:rowOff>
    </xdr:from>
    <xdr:to>
      <xdr:col>2</xdr:col>
      <xdr:colOff>513367</xdr:colOff>
      <xdr:row>41</xdr:row>
      <xdr:rowOff>97950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9FC027-5495-3DB8-FC86-9804D6449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7038975"/>
          <a:ext cx="1684941" cy="126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31</xdr:row>
      <xdr:rowOff>0</xdr:rowOff>
    </xdr:from>
    <xdr:to>
      <xdr:col>2</xdr:col>
      <xdr:colOff>827692</xdr:colOff>
      <xdr:row>37</xdr:row>
      <xdr:rowOff>117000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6" y="6029325"/>
          <a:ext cx="1684941" cy="126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20</xdr:row>
      <xdr:rowOff>0</xdr:rowOff>
    </xdr:from>
    <xdr:to>
      <xdr:col>4</xdr:col>
      <xdr:colOff>1444236</xdr:colOff>
      <xdr:row>25</xdr:row>
      <xdr:rowOff>79875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6" y="4000500"/>
          <a:ext cx="1444235" cy="1080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cunalo 2" refreshedDate="44683.446735879632" createdVersion="4" refreshedVersion="6" minRefreshableVersion="3" recordCount="467">
  <cacheSource type="worksheet">
    <worksheetSource name="List1"/>
  </cacheSource>
  <cacheFields count="52">
    <cacheField name="RB" numFmtId="0">
      <sharedItems containsSemiMixedTypes="0" containsString="0" containsNumber="1" containsInteger="1" minValue="0" maxValue="466"/>
    </cacheField>
    <cacheField name="ŠIFRA POSL." numFmtId="0">
      <sharedItems containsString="0" containsBlank="1" containsNumber="1" containsInteger="1" minValue="1" maxValue="44"/>
    </cacheField>
    <cacheField name="NAZIV PODUZEĆA" numFmtId="0">
      <sharedItems containsBlank="1" count="48">
        <s v="Nimfus TM j.d.o.o."/>
        <s v="AGRO PMD d.o.o."/>
        <s v="Promo Top d.o.o."/>
        <e v="#N/A"/>
        <s v="WAX D.O.O"/>
        <s v="Gumenet d.o.o."/>
        <s v="Puls Direkt d.o.o."/>
        <s v="KERAMIKA ZOKA J.D.O.O."/>
        <s v="HOME PLUS"/>
        <s v="DOMOKOS D.O.O."/>
        <s v="International Line d.o.o."/>
        <s v="JS MENSOR"/>
        <s v="BELLISSIMA"/>
        <s v="D-INVOICE D.O.O."/>
        <s v="Alpha Adria Charter d.o.o."/>
        <s v="Čušpajz j.d.o.o."/>
        <s v="Špajz j.d.o.o."/>
        <s v="HR-DRONE d.o.o."/>
        <s v="SAZOL TRANS j.d.o.o."/>
        <s v="LEONOS j.d.o.o."/>
        <s v="Vital Group d.o.o."/>
        <s v="DAZOL TRANS d.o.o."/>
        <s v="Doran031 j.d.o.o."/>
        <s v="Hot Gadget j.d.o.o."/>
        <s v="Naturos d.o.o."/>
        <s v="MAGYAR VIZEPITO zrt."/>
        <s v="Logo Puž j.d.o.o."/>
        <s v="VR consulting"/>
        <s v="MANEVI Jagera d.o.o."/>
        <s v="VR - Krk"/>
        <m u="1"/>
        <s v="MUCI D.O.O" u="1"/>
        <s v="SUG AK TVRĐA" u="1"/>
        <s v="BHT D.O.O" u="1"/>
        <s v="Neomachine d.o.o." u="1"/>
        <s v="SOS GUARD J.D.O.O." u="1"/>
        <s v="Best Home Corporation d.o.o." u="1"/>
        <s v="DOM RAČUNALA D.O.O." u="1"/>
        <s v="GRAMAX" u="1"/>
        <s v="BN AUTO j.d.o.o." u="1"/>
        <s v="HIMEX D.O.O" u="1"/>
        <s v="Harnal Trade j.d.o.o." u="1"/>
        <s v="DURA-CONSTRUCT J.D.O.O." u="1"/>
        <s v="AK Tvrđa" u="1"/>
        <s v="TK TVRĐA" u="1"/>
        <s v="Čušpajz d.o.o." u="1"/>
        <s v="PIROŠ ČIZMA" u="1"/>
        <s v="Istria gold d.o.o." u="1"/>
      </sharedItems>
    </cacheField>
    <cacheField name="OIB PODUZEĆA" numFmtId="0">
      <sharedItems containsMixedTypes="1" containsNumber="1" containsInteger="1" minValue="7942284015" maxValue="95114485977"/>
    </cacheField>
    <cacheField name="Poslodavac" numFmtId="0">
      <sharedItems/>
    </cacheField>
    <cacheField name="ADRESA POSLODAVCA" numFmtId="0">
      <sharedItems/>
    </cacheField>
    <cacheField name="IME RADNIKA" numFmtId="0">
      <sharedItems containsBlank="1" count="422">
        <s v="MAJA ZAGORAC"/>
        <s v="DARINKA HUBER ŠIPEC"/>
        <s v="NENAD BANIČEK"/>
        <s v="IVICA IVANOVIĆ"/>
        <s v="DINKO BELEG"/>
        <s v="OSKAR ROMER"/>
        <s v="IVAN KOVAČEVIĆ"/>
        <s v="Marina Nikšić"/>
        <s v="Dalibor Kralj"/>
        <s v="Petar Prpić"/>
        <s v="Filip Tadić"/>
        <s v="Marijana Rukavina"/>
        <s v="Ana Jozić"/>
        <s v="Andrea Bošnjak"/>
        <s v="Darija Tutić"/>
        <s v="Maja Vidaković"/>
        <s v="Filip Mazur"/>
        <s v="Klaudia Kišpal"/>
        <s v="Alen Vidaković"/>
        <s v="Marijan Pribisalić"/>
        <s v="Rudolf Gergelj"/>
        <m/>
        <s v="Teodora Balog Denih"/>
        <s v="Laszlo Šipoš"/>
        <s v="Sanela Bakač"/>
        <s v="Valentin Šipoš"/>
        <s v="Jasmin Horvat"/>
        <s v="Matej Stanić"/>
        <s v="Marija Škrbić"/>
        <s v="Nikola Filipović"/>
        <s v="Mirjana Nađ"/>
        <s v="Mirela Šenhof"/>
        <s v="Ildiko Dragaš"/>
        <s v="Milica Stanić"/>
        <s v="Gordana Vidanec Drlje"/>
        <s v="Bogdanka Dabčević"/>
        <s v="Vlatka Barači"/>
        <s v="Aleksandra Belošević"/>
        <s v="Karmela Jurić"/>
        <s v="Blaženka Tečić"/>
        <s v="Adrijana Mitrović"/>
        <s v="Damir Dmejhal"/>
        <s v="Vanesa Šimović"/>
        <s v="Lidija Toša"/>
        <s v="Mirjana Maršić"/>
        <s v="Rozalia Vucić"/>
        <s v="Ivana Matić"/>
        <s v="Borka Bolšec"/>
        <s v="Marina Šimon"/>
        <s v="Vanesa Šarčević"/>
        <s v="Ana Andrić"/>
        <s v="Branka Ojdanić"/>
        <s v="Dubravka Dolić"/>
        <s v="Tanja Puljić"/>
        <s v="Mihalj Kedveš"/>
        <s v="Snježana Oreč"/>
        <s v="Sabine Tot"/>
        <s v="Izolda Micheli"/>
        <s v="Krunoslav Pavlović"/>
        <s v="Gabrijela Denković"/>
        <s v="Vesna Greganić"/>
        <s v="Ildiko Mikić"/>
        <s v="Martina Čolaković"/>
        <s v="Marko Stojak"/>
        <s v="Nikolina Marković"/>
        <s v="Dejan Ninković"/>
        <s v="Zvjezdana Roguljić Hosinović"/>
        <s v="Vana Paula Mekovec"/>
        <s v="Gordana Grčić"/>
        <s v="Tijana Šlang"/>
        <s v="Sandra Aničić"/>
        <s v="Tanja Štajduhar"/>
        <s v="Tomislav Kostolić"/>
        <s v="Elena Balaž"/>
        <s v="Igor Kušeta"/>
        <s v="Ksenija Matijević"/>
        <s v="Marina Kuharić"/>
        <s v="Nataša Marković"/>
        <s v="Zoran Francisković"/>
        <s v="Vlado Francisković"/>
        <s v="Dorotea Šešum"/>
        <s v="Petra Mihaljević"/>
        <s v="Kristina Cevek"/>
        <s v="EVA MACAN"/>
        <s v="MAJA STIPIĆ"/>
        <s v="RADIĆ MIROSLAV"/>
        <s v="STEPHANIE GAJEC"/>
        <s v="DANIEL KERESZTEŠ"/>
        <s v="DARIA HAZENAUER"/>
        <s v="ANTONIO MILINKOVIĆ"/>
        <s v="REBECCA JOZSEF"/>
        <s v="KRISTINE BITE"/>
        <s v="IVAN TUTIĆ"/>
        <s v="JELENA SIMIĆ"/>
        <s v="DINO JURKOVIĆ"/>
        <s v="TOMISLAV HERJAVEC"/>
        <s v="CHRISTINA BARAČ"/>
        <s v="ZVONKO BAN"/>
        <s v="Rozalia Gernhardt"/>
        <s v="MARIJETA POLJAREVIĆ"/>
        <s v="ĐERĐ MIRTA"/>
        <s v="BOGDANOVIĆ TATJANA"/>
        <s v="KRIČKA PREDRAG"/>
        <s v="IVA HUIBER"/>
        <s v="SENKA JARIĆ"/>
        <s v="SMILJA DEVETAK"/>
        <s v="VASELJENA ALEKSANDER"/>
        <s v="SARA MRŠO "/>
        <s v="MARTINA JUKIĆ"/>
        <s v="ROMARIO BARBERIĆ"/>
        <s v="Dajana Kovačić"/>
        <s v="PATRICK PEROŠEVIĆ"/>
        <s v="RADIVOJE PAJOVIĆ"/>
        <s v="MIROSLAV PECARSKI"/>
        <s v="MARINELA GREGANIĆ"/>
        <s v="FILIP SMOLKA"/>
        <s v="BORIS JURIĆ"/>
        <s v="ATTILA SZEBÉNYI"/>
        <s v="Vesna Šimović"/>
        <s v="KRISTINA VEZAJ"/>
        <s v="RADOVAN ŠAJATOVIĆ"/>
        <s v="FIRIĆ SNJEŽANA"/>
        <s v="KARMELA BOŽIČEVIĆ"/>
        <s v="Matej Kojundžić"/>
        <s v="TOMISLAV LULIĆ"/>
        <s v="ANASTAZIJA KOVAČ"/>
        <s v="LIRIDONA VEZAJ"/>
        <s v="MONIKA MESAREK"/>
        <s v="MATEJ EROR"/>
        <s v="NIKOLINA BROŽ BENC"/>
        <s v="ANA RADMAN"/>
        <s v="DORA IVIĆ"/>
        <s v="MARIJA KIŠ"/>
        <s v="HUK MARKOVIĆ TAMARA"/>
        <s v="SABOLČ SEKE"/>
        <s v="MARTINA FRANIĆ"/>
        <s v="ANTONIJA KELEMEN"/>
        <s v="LUCIJA IŽA"/>
        <s v="JOSIP UJEVIĆ"/>
        <s v="TANJA BOŠKOVIĆ"/>
        <s v="KRISTINA BARIŠIĆ"/>
        <s v="VALENTINA KRIVEC"/>
        <s v="Željko Klarić"/>
        <s v="JELENA ANTIČEVIĆ"/>
        <s v="VEDRAN IVIČIĆ"/>
        <s v="MIRJANA HORVAT"/>
        <s v="ANA ČABAJ"/>
        <s v="MRĐA SINIŠA"/>
        <s v="LEONARD BADANJAK"/>
        <s v="MARIO MARTINČIĆ"/>
        <s v="MARK MAGOŠ"/>
        <s v="INES BANEK"/>
        <s v="MARKO BUHINJAK"/>
        <s v="ANA TABAIN"/>
        <s v="FILIP JANJEŠIĆ"/>
        <s v="ANTONIO BURA"/>
        <s v="IVAN STANIĆ"/>
        <s v="DALIBOR SIMIĆ"/>
        <s v="PETRA PEJIĆ"/>
        <s v="KLEPEC MIA"/>
        <s v="KORINA TOMAŠIĆ DEAK"/>
        <s v="Lidija Tucaković"/>
        <s v="ANA MARIJA KORDIĆ"/>
        <s v="KATARINA KUNDID"/>
        <s v="IVICA JUKIĆ"/>
        <s v="NATAŠA UMIČEVIĆ"/>
        <s v="Adrienn Kinga Német"/>
        <s v="BOŽANA MIHALJEC"/>
        <s v="MATEJ TRGO"/>
        <s v="PETAR ZAMOLINSKI "/>
        <s v="ALBERKOVIĆ SLOBODAN "/>
        <s v="BENJAMIN FRANKLIN CLEMENT"/>
        <s v="Tamara Tomić"/>
        <s v="TOT KOMENDANOVIĆ KRISTINA"/>
        <s v="ANITA HUZANIĆ"/>
        <s v="ANA ČAVLINA "/>
        <s v="LAURA GERGELJ"/>
        <s v="ŠENHOF JANA "/>
        <s v="JURICA STRAHINJIĆ"/>
        <s v="MELISA HORVAT"/>
        <s v="MARIO VIŠIĆ"/>
        <s v="MATEJ ČORNOK"/>
        <s v="Matea Čornok"/>
        <s v="Mateja Završki"/>
        <s v="Martina Završki"/>
        <s v="Mirjana Marić"/>
        <s v="MARTINA ARAMBAŠIĆ"/>
        <s v="SUZANA AJDARI"/>
        <s v="ZSOLT JÓZSEF BARKÓCZI"/>
        <s v="SUZANA ČAČIĆ"/>
        <s v="DARIO VRDOLJAK"/>
        <s v="Anamarija Biber"/>
        <s v="MARIJA MAKEK"/>
        <s v="Ivana Anđelić"/>
        <s v="PAHERT  ANAMARIJA"/>
        <s v="MILICA PJANIĆ"/>
        <s v="MARIJA MIHAJLOVIĆ"/>
        <s v="ZAJEC DALIBOR"/>
        <s v="BOŠKOVIĆ INES"/>
        <s v="MARIJAN KRAJNOVIĆ"/>
        <s v="Tamara Farkaš"/>
        <s v="DARINKA HUBER"/>
        <s v="Ana Glavota"/>
        <s v="Matea Pavlović"/>
        <s v="Barbara Oreč"/>
        <s v="KLEPAC MIA"/>
        <s v="ANTONIO ELTER"/>
        <s v="FLORIJAN VENER"/>
        <s v="MARIO POLJAKOVIĆ"/>
        <s v="FILIP JELČIĆ"/>
        <s v="MARTINA JOVIĆ"/>
        <s v="SANJA KOVAČEVIĆ"/>
        <s v="NEDELJKA KOJIĆ"/>
        <s v="SANJA KLJUČIĆ"/>
        <s v="MARIO CVETKOVIĆ"/>
        <s v="NATAŠA BLAGOJEVIĆ"/>
        <s v="VLATKA STANIĆ"/>
        <s v="IVANA BABIĆ"/>
        <s v="HRVOJE ŠTADLER"/>
        <s v="KAROLINA GRUBIĆ"/>
        <s v="IGOR MILETIĆ"/>
        <s v="MATIJA DRGALIĆ"/>
        <s v="ANA KOVAČ"/>
        <s v="LJILJANA ČUBRA"/>
        <s v="MELITA ŠTEKOVIĆ"/>
        <s v="MARIJA MIGLES"/>
        <s v="BARBARA PAVKOVIĆ"/>
        <s v="JUSTI LOVAK SKELEDŽIJA"/>
        <s v="ANTO MIHAJLOVIĆ"/>
        <s v="MAJA JOVANOVIĆ"/>
        <s v="MELITA STANIĆ"/>
        <s v="ANTE TOMAS"/>
        <s v="ANA PREVIŠIĆ"/>
        <s v="GORANA RAKIĆ"/>
        <s v="TIHANA MARTIN"/>
        <s v="TATJANA JOVANOVIĆ"/>
        <s v="ALEKSANDAR TATOMIROV"/>
        <s v="TANJA TOMŠIĆ"/>
        <s v="GÁBOR ISTVÁN JENEI"/>
        <s v="VLADIMIR CINDRIĆ"/>
        <s v="DANIJELA ROGULJA"/>
        <s v="DRAGICA PAVKOVIĆ"/>
        <s v="TANJA JOŽEF BOBETA"/>
        <s v="VALENTIN VARGA"/>
        <s v="MILANA TERZIĆ"/>
        <s v="Stephanie Cerjak"/>
        <s v="Kristina Tot Komendanović"/>
        <s v="Mirta Đerđ"/>
        <s v="Tatjana Bogdanović"/>
        <s v="Karolina Čeh"/>
        <s v="Brigita Deže"/>
        <s v="Gyula Kovács"/>
        <s v="Zsofi Kovacs"/>
        <s v="Marko Baban"/>
        <s v="Kristijan Trusk"/>
        <s v="Danijela Dubravac Baban"/>
        <s v="Marin Risek"/>
        <s v="Tristan Rajčić"/>
        <s v="Predrag Krička"/>
        <s v="Iva Pušić"/>
        <s v="Denis Sušenka"/>
        <s v="Mario Solina"/>
        <s v="Mirjana Mandić"/>
        <s v="LEONID HOLJAR"/>
        <s v="Jana Šenhof"/>
        <s v="Bruno Perica"/>
        <s v="Aleksandra Kim"/>
        <s v="Ivan Vidaković"/>
        <s v="Marija Baković"/>
        <s v="Irena Klobučar"/>
        <s v="Ivana Betlehem"/>
        <s v="Bićanić Damir"/>
        <s v="Robert Verebi"/>
        <s v="Luka Grabić"/>
        <s v="Sara Mršo"/>
        <s v="Danijela Judi"/>
        <s v="Antonela Pavlić"/>
        <s v="Sulejmanovski Antonio"/>
        <s v="Csaba Farsang"/>
        <s v="David Češić"/>
        <s v="Ivana Vrbljanac"/>
        <s v="Šefika Alić"/>
        <s v="Ljubica Gavranović"/>
        <s v="Linda Majid"/>
        <s v="Svetlana Petrović"/>
        <s v="Zdravko Tustanovski"/>
        <s v="Andrea Kostović"/>
        <s v="Ivan Matota"/>
        <s v="Igor Duvnjak"/>
        <s v=" Miklós Szűcs"/>
        <s v="KAROLINA HAJDU"/>
        <s v="Senat Ismaili"/>
        <s v="Anita Kovačević"/>
        <s v="Martina Avdaković"/>
        <s v="Ljiljana Peranić"/>
        <s v="BARBARA PERKOVIĆ" u="1"/>
        <s v="ŠKRIPIĆ INES" u="1"/>
        <s v="DIJANA KINČEŠ" u="1"/>
        <s v="Sandra Vilušić" u="1"/>
        <s v="Laura Lovaković" u="1"/>
        <s v="Ivan Marodi" u="1"/>
        <s v="VERONIKA TOVILO" u="1"/>
        <s v="SILVANA BALOG" u="1"/>
        <s v="ROLAND ANTAL BORZA" u="1"/>
        <s v="HENRIETA CAMAI" u="1"/>
        <s v="SLAVICA MARIJANOVIĆ" u="1"/>
        <s v="Matej Keri" u="1"/>
        <s v="Sara Banaj" u="1"/>
        <s v="FLOREANI MAJA" u="1"/>
        <s v="Jelena Blagojević" u="1"/>
        <s v="David Fabijan" u="1"/>
        <s v="LUKA RIMAR" u="1"/>
        <s v="JANOŠ SALAI" u="1"/>
        <s v="GORDANA ODRI" u="1"/>
        <s v="Siniša Mrđa" u="1"/>
        <s v="DALIBOR VUKAŠINOVIĆ" u="1"/>
        <s v="PETRA PIMPI" u="1"/>
        <s v="Sara Vuksanić" u="1"/>
        <s v="MARIJA MILARDOVIĆ" u="1"/>
        <s v="ZDRAVKO PREMEC" u="1"/>
        <s v="ANTONELA VUKELIĆ" u="1"/>
        <s v="KRISTINA PAVIĆ" u="1"/>
        <s v="Borka Čulić" u="1"/>
        <s v="Gabriela Kovač" u="1"/>
        <s v="MATEJ JOSIP SVITEK" u="1"/>
        <s v="Tamara Đukić" u="1"/>
        <s v="Marina Sačer" u="1"/>
        <s v="Rimac Luka" u="1"/>
        <s v="Monika Krompač-Golub" u="1"/>
        <s v="NEBOJŠA KURILJ" u="1"/>
        <s v="Dijana Bece" u="1"/>
        <s v="TUBIĆ JOZO" u="1"/>
        <s v="Nada Bajerle" u="1"/>
        <s v="STEPHANIE GAJAC" u="1"/>
        <s v="ZOLTAN FEHER" u="1"/>
        <s v="SANELA VAJDA" u="1"/>
        <s v="KAJA MIJIĆ" u="1"/>
        <s v="DANIJELA VAŠTAG" u="1"/>
        <s v="TIHANA HORVAT" u="1"/>
        <s v="LUKA RIMAC" u="1"/>
        <s v="Dragica Baldigara" u="1"/>
        <s v="MATEJ KLARIĆ" u="1"/>
        <s v="MARK MOGUŠ" u="1"/>
        <s v="Davor Batinić" u="1"/>
        <s v="Laura Gerštmajer" u="1"/>
        <s v="Sarah Gašparlin" u="1"/>
        <s v="Mladen Pavlović" u="1"/>
        <s v="DORIS MATANOVIĆ" u="1"/>
        <s v="TEA PAVOŠEVIĆ" u="1"/>
        <s v="Ivana Blake" u="1"/>
        <s v="Ivor Banović" u="1"/>
        <s v="MARKO SABO" u="1"/>
        <s v="INES KOCIJANOVIĆ" u="1"/>
        <s v="Mario Žadanji" u="1"/>
        <s v="ROBNALD ANTAL BORZA" u="1"/>
        <s v="Ivan Gelo" u="1"/>
        <s v="ZSOLT FEHER" u="1"/>
        <s v="MARK BORZA" u="1"/>
        <s v="HAJDU ISTVAN" u="1"/>
        <s v="DRAGAN ČAVIĆ" u="1"/>
        <s v="ZORAN MIKULIĆ" u="1"/>
        <s v="KATA RAJKOVIĆ" u="1"/>
        <s v="MARKO KNEŽEVIĆ" u="1"/>
        <s v="Ivana Tatai" u="1"/>
        <s v="ANDREA ŠIFLIŠ" u="1"/>
        <s v="JURIŠA ANGELA" u="1"/>
        <s v="Zvonimir Sudarić" u="1"/>
        <s v="BERČEK SANJA" u="1"/>
        <s v="VIKTORIJA SHREMPF" u="1"/>
        <s v="Doris Goretić" u="1"/>
        <s v="IVANA KRALJEVIĆ" u="1"/>
        <s v="Ivana Pufler" u="1"/>
        <s v="Svjetlana Čuljak" u="1"/>
        <s v="Danijel Džambas" u="1"/>
        <s v="TOMISLAV VAŽANIĆ" u="1"/>
        <s v="Laszlo Horvath" u="1"/>
        <s v="ANTONIJA KOKIĆ" u="1"/>
        <s v="KRALJ DANIJELA" u="1"/>
        <s v="POLIĆ VIKTOR" u="1"/>
        <s v="Josip Vuković" u="1"/>
        <s v="Željka Mišković" u="1"/>
        <s v="Dario Čuljak" u="1"/>
        <s v="ANITA MARIJANOV" u="1"/>
        <s v="Vanessa Daniella Krznarić" u="1"/>
        <s v="NEDELJKA SEMREK" u="1"/>
        <s v="Tibor Čelenković" u="1"/>
        <s v="Sebastian Sovčik" u="1"/>
        <s v="TATJANA MAJDANDŽIĆ" u="1"/>
        <s v="SREČKOVIĆ KATARINA" u="1"/>
        <s v="Nikolina Ivančić" u="1"/>
        <s v="Silvija Pataki" u="1"/>
        <s v="Edina Romer" u="1"/>
        <s v="ALEKSANDAR SRAKA" u="1"/>
        <s v="Goran Kurel" u="1"/>
        <s v="Vlatka Đanić" u="1"/>
        <s v="BRUNO NEMČANIN" u="1"/>
        <s v="MIRKO BAČIĆ" u="1"/>
        <s v="Gabriela Mauker" u="1"/>
        <s v="Ana-Marija Veić" u="1"/>
        <s v="Florijan Marinović" u="1"/>
        <s v="ZORAN RADAKOVIĆ" u="1"/>
        <s v="IVICA ŠABIĆ" u="1"/>
        <s v="DARIA TUTIC" u="1"/>
        <s v="NIKOLINA GAJIĆ" u="1"/>
        <s v="MARTINA HORVAT" u="1"/>
        <s v="Melita Kraljević" u="1"/>
        <s v="Irena Grgić" u="1"/>
        <s v="Gizela Grgić" u="1"/>
        <s v="JELENA ŠIMIĆ" u="1"/>
        <s v="Antoni Vrbanić" u="1"/>
        <s v="ANA BUKIĆ" u="1"/>
        <s v="TIBOR HAMVAI" u="1"/>
        <s v="Željka Batinić" u="1"/>
        <s v="VERICA CEBIĆ" u="1"/>
        <s v="SANJA CVETKO" u="1"/>
        <s v="Dario Knežević" u="1"/>
        <s v="JELENA MADUNIĆ" u="1"/>
        <s v="EMIL GUBIANI" u="1"/>
        <s v="Saša Peranić" u="1"/>
        <s v="Karla Brdar" u="1"/>
        <s v="Mišel Farkaš" u="1"/>
        <s v="Josip Ivanković" u="1"/>
      </sharedItems>
    </cacheField>
    <cacheField name="RADI OD " numFmtId="0">
      <sharedItems containsDate="1" containsBlank="1" containsMixedTypes="1" minDate="2013-01-17T00:00:00" maxDate="2022-04-29T00:00:00"/>
    </cacheField>
    <cacheField name="RADI DO" numFmtId="0">
      <sharedItems containsNonDate="0" containsDate="1" containsString="0" containsBlank="1" minDate="2016-12-31T00:00:00" maxDate="2022-03-10T00:00:00" count="154">
        <d v="2016-12-31T00:00:00"/>
        <d v="2020-07-06T00:00:00"/>
        <d v="2017-04-30T00:00:00"/>
        <m/>
        <d v="2018-04-30T00:00:00"/>
        <d v="2018-08-31T00:00:00"/>
        <d v="2017-07-28T00:00:00"/>
        <d v="2017-12-31T00:00:00"/>
        <d v="2017-11-07T00:00:00"/>
        <d v="2017-11-09T00:00:00"/>
        <d v="2017-11-28T00:00:00"/>
        <d v="2018-05-24T00:00:00"/>
        <d v="2018-04-12T00:00:00"/>
        <d v="2018-05-31T00:00:00"/>
        <d v="2018-08-06T00:00:00"/>
        <d v="2018-03-05T00:00:00"/>
        <d v="2018-01-03T00:00:00"/>
        <d v="2018-02-16T00:00:00"/>
        <d v="2018-01-23T00:00:00"/>
        <d v="2018-02-06T00:00:00"/>
        <d v="2021-07-31T00:00:00"/>
        <d v="2018-09-30T00:00:00"/>
        <d v="2018-05-11T00:00:00"/>
        <d v="2018-01-10T00:00:00"/>
        <d v="2018-01-19T00:00:00"/>
        <d v="2018-06-05T00:00:00"/>
        <d v="2018-05-08T00:00:00"/>
        <d v="2018-03-02T00:00:00"/>
        <d v="2018-05-29T00:00:00"/>
        <d v="2018-11-30T00:00:00"/>
        <d v="2018-12-31T00:00:00"/>
        <d v="2018-06-01T00:00:00"/>
        <d v="2018-11-23T00:00:00"/>
        <d v="2018-06-15T00:00:00"/>
        <d v="2018-07-06T00:00:00"/>
        <d v="2018-08-03T00:00:00"/>
        <d v="2018-08-02T00:00:00"/>
        <d v="2018-08-07T00:00:00"/>
        <d v="2018-09-18T00:00:00"/>
        <d v="2018-09-27T00:00:00"/>
        <d v="2018-10-11T00:00:00"/>
        <d v="2018-11-20T00:00:00"/>
        <d v="2020-12-24T00:00:00"/>
        <d v="2020-12-13T00:00:00"/>
        <d v="2020-12-31T00:00:00"/>
        <d v="2020-12-18T00:00:00"/>
        <d v="2021-01-10T00:00:00"/>
        <d v="2019-06-30T00:00:00"/>
        <d v="2018-12-15T00:00:00"/>
        <d v="2019-04-30T00:00:00"/>
        <d v="2020-09-23T00:00:00"/>
        <d v="2019-09-16T00:00:00"/>
        <d v="2019-12-30T00:00:00"/>
        <d v="2019-08-26T00:00:00"/>
        <d v="2019-09-24T00:00:00"/>
        <d v="2019-09-26T00:00:00"/>
        <d v="2020-10-31T00:00:00"/>
        <d v="2019-04-23T00:00:00"/>
        <d v="2019-09-30T00:00:00"/>
        <d v="2019-10-29T00:00:00"/>
        <d v="2019-05-16T00:00:00"/>
        <d v="2020-02-17T00:00:00"/>
        <d v="2019-09-09T00:00:00"/>
        <d v="2020-01-02T00:00:00"/>
        <d v="2019-01-22T00:00:00"/>
        <d v="2019-11-07T00:00:00"/>
        <d v="2020-03-12T00:00:00"/>
        <d v="2019-01-31T00:00:00"/>
        <d v="2019-03-31T00:00:00"/>
        <d v="2020-01-20T00:00:00"/>
        <d v="2020-09-11T00:00:00"/>
        <d v="2019-02-04T00:00:00"/>
        <d v="2020-08-17T00:00:00"/>
        <d v="2019-05-02T00:00:00"/>
        <d v="2019-08-31T00:00:00"/>
        <d v="2019-04-15T00:00:00"/>
        <d v="2019-05-31T00:00:00"/>
        <d v="2019-05-06T00:00:00"/>
        <d v="2019-04-25T00:00:00"/>
        <d v="2019-07-31T00:00:00"/>
        <d v="2019-05-17T00:00:00"/>
        <d v="2020-08-31T00:00:00"/>
        <d v="2020-06-29T00:00:00"/>
        <d v="2019-06-03T00:00:00"/>
        <d v="2019-11-30T00:00:00"/>
        <d v="2019-12-31T00:00:00"/>
        <d v="2020-03-29T00:00:00"/>
        <d v="2019-08-01T00:00:00"/>
        <d v="2019-08-30T00:00:00"/>
        <d v="2019-10-10T00:00:00"/>
        <d v="2020-07-02T00:00:00"/>
        <d v="2019-10-02T00:00:00"/>
        <d v="2020-03-31T00:00:00"/>
        <d v="2019-11-08T00:00:00"/>
        <d v="2019-10-22T00:00:00"/>
        <d v="2019-10-25T00:00:00"/>
        <d v="2020-01-03T00:00:00"/>
        <d v="2019-11-23T00:00:00"/>
        <d v="2019-10-17T00:00:00"/>
        <d v="2021-02-28T00:00:00"/>
        <d v="2020-03-13T00:00:00"/>
        <d v="2020-02-07T00:00:00"/>
        <d v="2020-11-30T00:00:00"/>
        <d v="2020-07-17T00:00:00"/>
        <d v="2020-09-04T00:00:00"/>
        <d v="2020-09-22T00:00:00"/>
        <d v="2020-03-18T00:00:00"/>
        <d v="2020-04-28T00:00:00"/>
        <d v="2020-01-31T00:00:00"/>
        <d v="2020-10-08T00:00:00"/>
        <d v="2020-05-28T00:00:00"/>
        <d v="2020-08-18T00:00:00"/>
        <d v="2020-11-26T00:00:00"/>
        <d v="2020-10-16T00:00:00"/>
        <d v="2020-09-07T00:00:00"/>
        <d v="2020-07-09T00:00:00"/>
        <d v="2020-06-17T00:00:00"/>
        <d v="2021-06-30T00:00:00"/>
        <d v="2020-07-16T00:00:00"/>
        <d v="2020-09-30T00:00:00"/>
        <d v="2020-09-25T00:00:00"/>
        <d v="2020-07-30T00:00:00"/>
        <d v="2020-10-09T00:00:00"/>
        <d v="2020-11-20T00:00:00"/>
        <d v="2020-10-21T00:00:00"/>
        <d v="2020-09-28T00:00:00"/>
        <d v="2020-10-19T00:00:00"/>
        <d v="2020-10-28T00:00:00"/>
        <d v="2020-10-27T00:00:00"/>
        <d v="2020-11-05T00:00:00"/>
        <d v="2020-11-21T00:00:00"/>
        <d v="2020-10-23T00:00:00"/>
        <d v="2020-12-08T00:00:00"/>
        <d v="2020-11-06T00:00:00"/>
        <d v="2022-01-24T00:00:00"/>
        <d v="2021-02-05T00:00:00"/>
        <d v="2021-07-14T00:00:00"/>
        <d v="2021-07-18T00:00:00"/>
        <d v="2022-01-28T00:00:00"/>
        <d v="2020-12-03T00:00:00"/>
        <d v="2021-11-30T00:00:00"/>
        <d v="2021-04-19T00:00:00"/>
        <d v="2021-05-13T00:00:00"/>
        <d v="2021-05-06T00:00:00"/>
        <d v="2021-12-31T00:00:00"/>
        <d v="2021-12-10T00:00:00"/>
        <d v="2021-05-19T00:00:00"/>
        <d v="2021-05-07T00:00:00"/>
        <d v="2021-10-29T00:00:00"/>
        <d v="2021-08-31T00:00:00"/>
        <d v="2021-07-30T00:00:00"/>
        <d v="2022-02-23T00:00:00"/>
        <d v="2022-03-04T00:00:00"/>
        <d v="2022-03-09T00:00:00"/>
      </sharedItems>
      <fieldGroup par="51" base="8">
        <rangePr groupBy="months" startDate="2016-12-31T00:00:00" endDate="2022-03-10T00:00:00"/>
        <groupItems count="14">
          <s v="(blank)"/>
          <s v="sij"/>
          <s v="vlj"/>
          <s v="ožu"/>
          <s v="tra"/>
          <s v="svi"/>
          <s v="lip"/>
          <s v="srp"/>
          <s v="kol"/>
          <s v="ruj"/>
          <s v="lis"/>
          <s v="stu"/>
          <s v="pro"/>
          <s v="&gt;10.3.2022"/>
        </groupItems>
      </fieldGroup>
    </cacheField>
    <cacheField name="OIB RADNIKA" numFmtId="0">
      <sharedItems containsBlank="1" containsMixedTypes="1" containsNumber="1" containsInteger="1" minValue="951235574" maxValue="99678442480"/>
    </cacheField>
    <cacheField name="SPOL" numFmtId="0">
      <sharedItems containsBlank="1"/>
    </cacheField>
    <cacheField name="DATUM ROĐENJA" numFmtId="0">
      <sharedItems containsDate="1" containsBlank="1" containsMixedTypes="1" minDate="1956-12-10T00:00:00" maxDate="2020-03-05T00:00:00"/>
    </cacheField>
    <cacheField name="MJESTO ROĐENJA" numFmtId="0">
      <sharedItems containsBlank="1"/>
    </cacheField>
    <cacheField name="DRŽAVLJANSTVO" numFmtId="0">
      <sharedItems containsBlank="1"/>
    </cacheField>
    <cacheField name="PREBIVALIŠTE/ adresa" numFmtId="0">
      <sharedItems containsBlank="1"/>
    </cacheField>
    <cacheField name="DOZVOLA ZA BORAVAK I RAD" numFmtId="0">
      <sharedItems containsBlank="1"/>
    </cacheField>
    <cacheField name="OBRAZOVANJE" numFmtId="0">
      <sharedItems containsBlank="1"/>
    </cacheField>
    <cacheField name="POSEBNI ISPITI, TEČAJEVI" numFmtId="0">
      <sharedItems containsBlank="1"/>
    </cacheField>
    <cacheField name="ZANIMANJE" numFmtId="0">
      <sharedItems containsBlank="1"/>
    </cacheField>
    <cacheField name="VRSTA I NARAV RADA" numFmtId="0">
      <sharedItems containsBlank="1"/>
    </cacheField>
    <cacheField name="VRSTA  UGOVORA" numFmtId="0">
      <sharedItems containsBlank="1"/>
    </cacheField>
    <cacheField name="ODREĐENO DO DATUMA" numFmtId="0">
      <sharedItems containsNonDate="0" containsDate="1" containsString="0" containsBlank="1" minDate="2015-05-31T00:00:00" maxDate="2023-01-07T00:00:00"/>
    </cacheField>
    <cacheField name="VRSTA RADNOG VREMENA" numFmtId="0">
      <sharedItems containsBlank="1"/>
    </cacheField>
    <cacheField name="BROJ SATI RADA TJEDNO" numFmtId="0">
      <sharedItems containsString="0" containsBlank="1" containsNumber="1" containsInteger="1" minValue="2" maxValue="41"/>
    </cacheField>
    <cacheField name="IBAN" numFmtId="0">
      <sharedItems containsBlank="1"/>
    </cacheField>
    <cacheField name="DALI DOPRINOSI NA" numFmtId="0">
      <sharedItems containsBlank="1" containsMixedTypes="1" containsNumber="1" containsInteger="1" minValue="3605681095" maxValue="3605681095"/>
    </cacheField>
    <cacheField name="POLOŽEN STRUČNI ISPIT" numFmtId="0">
      <sharedItems containsNonDate="0" containsString="0" containsBlank="1"/>
    </cacheField>
    <cacheField name="VRIJEME POLAGANJA STRUČNOG ISPITA" numFmtId="0">
      <sharedItems containsNonDate="0" containsString="0" containsBlank="1"/>
    </cacheField>
    <cacheField name="RAD U INOZEMSTVU" numFmtId="0">
      <sharedItems containsNonDate="0" containsString="0" containsBlank="1"/>
    </cacheField>
    <cacheField name="TRAJANJE RADA U INOZEMSTVU" numFmtId="0">
      <sharedItems containsNonDate="0" containsString="0" containsBlank="1"/>
    </cacheField>
    <cacheField name="DRŽAVA I MJESTO RADA" numFmtId="0">
      <sharedItems containsBlank="1"/>
    </cacheField>
    <cacheField name="RAZLOG PRESTANKA RADNOG ODNOSA" numFmtId="0">
      <sharedItems containsBlank="1"/>
    </cacheField>
    <cacheField name="MAJČINSTVO/OČINSTVO" numFmtId="0">
      <sharedItems containsNonDate="0" containsString="0" containsBlank="1"/>
    </cacheField>
    <cacheField name="DOJENJE DJETETA" numFmtId="0">
      <sharedItems containsNonDate="0" containsString="0" containsBlank="1"/>
    </cacheField>
    <cacheField name="STATUS SAMOHRANOG RODITELJA" numFmtId="0">
      <sharedItems containsBlank="1"/>
    </cacheField>
    <cacheField name="BRUTO" numFmtId="4">
      <sharedItems containsString="0" containsBlank="1" containsNumber="1" minValue="300" maxValue="38914.74"/>
    </cacheField>
    <cacheField name="Column1" numFmtId="0">
      <sharedItems containsString="0" containsBlank="1" containsNumber="1" minValue="0" maxValue="2.7"/>
    </cacheField>
    <cacheField name="NETO" numFmtId="0">
      <sharedItems containsString="0" containsBlank="1" containsNumber="1" minValue="0" maxValue="25000"/>
    </cacheField>
    <cacheField name="CIPELARINE" numFmtId="0">
      <sharedItems containsString="0" containsBlank="1" containsNumber="1" minValue="0" maxValue="5000"/>
    </cacheField>
    <cacheField name="fiz ok" numFmtId="0">
      <sharedItems containsNonDate="0" containsString="0" containsBlank="1"/>
    </cacheField>
    <cacheField name="e-mail" numFmtId="0">
      <sharedItems containsBlank="1"/>
    </cacheField>
    <cacheField name="UKUPNO DANA GODIŠNJEG ODMORA" numFmtId="0">
      <sharedItems containsString="0" containsBlank="1" containsNumber="1" containsInteger="1" minValue="3" maxValue="20"/>
    </cacheField>
    <cacheField name="BROJ DANA GOD. ODMORA 1. DIO" numFmtId="0">
      <sharedItems containsString="0" containsBlank="1" containsNumber="1" containsInteger="1" minValue="12" maxValue="12"/>
    </cacheField>
    <cacheField name="VRIJEME KORIŠTENJA 1. DIJELA GOD. ODM." numFmtId="0">
      <sharedItems containsBlank="1"/>
    </cacheField>
    <cacheField name="BROJ DANA GOD. ODMORA 2. DIO" numFmtId="0">
      <sharedItems containsString="0" containsBlank="1" containsNumber="1" containsInteger="1" minValue="8" maxValue="12"/>
    </cacheField>
    <cacheField name="VRIJEME KORIŠTENJA 2. DIJELA GOD. ODM.2" numFmtId="0">
      <sharedItems containsBlank="1"/>
    </cacheField>
    <cacheField name="DANI KORIŠTENJA GOD. ODM. U DOGOVORU SA POSLODAVCEM" numFmtId="0">
      <sharedItems containsNonDate="0" containsString="0" containsBlank="1"/>
    </cacheField>
    <cacheField name="ostalo" numFmtId="0">
      <sharedItems containsString="0" containsBlank="1" containsNumber="1" containsInteger="1" minValue="-6" maxValue="197"/>
    </cacheField>
    <cacheField name="STATUS" numFmtId="0">
      <sharedItems containsBlank="1" count="4">
        <s v="NEAKTIVAN"/>
        <s v="AKTIVAN"/>
        <m u="1"/>
        <s v="AKTIVAN " u="1"/>
      </sharedItems>
    </cacheField>
    <cacheField name="ŠIFRA" numFmtId="0">
      <sharedItems containsString="0" containsBlank="1" containsNumber="1" containsInteger="1" minValue="0" maxValue="201"/>
    </cacheField>
    <cacheField name="Quarters2" numFmtId="0" databaseField="0">
      <fieldGroup base="8">
        <rangePr groupBy="quarters" startDate="2016-12-31T00:00:00" endDate="2022-03-10T00:00:00"/>
        <groupItems count="6">
          <s v="&lt;31.12.2016"/>
          <s v="Qtr1"/>
          <s v="Qtr2"/>
          <s v="Qtr3"/>
          <s v="Qtr4"/>
          <s v="&gt;10.3.2022"/>
        </groupItems>
      </fieldGroup>
    </cacheField>
    <cacheField name="Years2" numFmtId="0" databaseField="0">
      <fieldGroup base="8">
        <rangePr groupBy="years" startDate="2016-12-31T00:00:00" endDate="2022-03-10T00:00:00"/>
        <groupItems count="9">
          <s v="&lt;31.12.2016"/>
          <s v="2016"/>
          <s v="2017"/>
          <s v="2018"/>
          <s v="2019"/>
          <s v="2020"/>
          <s v="2021"/>
          <s v="2022"/>
          <s v="&gt;10.3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acunalo 2" refreshedDate="44942.391698842592" createdVersion="6" refreshedVersion="6" minRefreshableVersion="3" recordCount="548">
  <cacheSource type="worksheet">
    <worksheetSource ref="A1:BA549" sheet="RADNICI"/>
  </cacheSource>
  <cacheFields count="52">
    <cacheField name="RB /POD" numFmtId="0">
      <sharedItems containsString="0" containsBlank="1" containsNumber="1" containsInteger="1" minValue="1" maxValue="169"/>
    </cacheField>
    <cacheField name="STATUS" numFmtId="0">
      <sharedItems containsBlank="1" count="3">
        <m/>
        <s v="NEAKTIVAN"/>
        <s v="AKTIVAN"/>
      </sharedItems>
    </cacheField>
    <cacheField name="RB" numFmtId="0">
      <sharedItems containsSemiMixedTypes="0" containsString="0" containsNumber="1" containsInteger="1" minValue="0" maxValue="547"/>
    </cacheField>
    <cacheField name="ŠIFRA POSL." numFmtId="0">
      <sharedItems containsString="0" containsBlank="1" containsNumber="1" containsInteger="1" minValue="1" maxValue="48"/>
    </cacheField>
    <cacheField name="NAZIV PODUZEĆA" numFmtId="0">
      <sharedItems count="34">
        <s v="Nimfus TM j.d.o.o."/>
        <s v="AGRO PMD d.o.o."/>
        <s v="Promo Top d.o.o."/>
        <e v="#N/A"/>
        <s v="WAX D.O.O"/>
        <s v="Gumenet d.o.o."/>
        <s v="Puls Direkt d.o.o."/>
        <s v="KERAMIKA ZOKA J.D.O.O."/>
        <s v="HOME PLUS"/>
        <s v="DOMOKOS D.O.O."/>
        <s v="International Line d.o.o."/>
        <s v="JS MENSOR"/>
        <s v="BELLISSIMA"/>
        <s v="D-INVOICE D.O.O."/>
        <s v="Alpha Adria Charter d.o.o."/>
        <s v="Čušpajz j.d.o.o."/>
        <s v="Špajz j.d.o.o."/>
        <s v="HR-DRONE d.o.o."/>
        <s v="SAZOL TRANS j.d.o.o."/>
        <s v="LEONOS j.d.o.o."/>
        <s v="Vital Group d.o.o."/>
        <s v="DAZOL TRANS d.o.o."/>
        <s v="Doran031 j.d.o.o."/>
        <s v="Hot Gadget j.d.o.o."/>
        <s v="Naturos d.o.o."/>
        <s v="MAGYAR VIZEPITO zrt."/>
        <s v="Logo Puž j.d.o.o."/>
        <s v="VR consulting"/>
        <s v="MANEVI Jagera d.o.o."/>
        <s v="VR - Krk"/>
        <s v="TDL Jadran j.d.o.o."/>
        <s v="Baranjske slastice Horvat j.d.o.o."/>
        <s v="LINGURAR-CONSTRUCT J.D.O.O"/>
        <s v="AGRONOMIST D.O.O."/>
      </sharedItems>
    </cacheField>
    <cacheField name="OIB PODUZEĆA" numFmtId="0">
      <sharedItems containsMixedTypes="1" containsNumber="1" containsInteger="1" minValue="7942284015" maxValue="95114485977"/>
    </cacheField>
    <cacheField name="Poslodavac" numFmtId="0">
      <sharedItems/>
    </cacheField>
    <cacheField name="ADRESA POSLODAVCA" numFmtId="0">
      <sharedItems/>
    </cacheField>
    <cacheField name="IME RADNIKA" numFmtId="0">
      <sharedItems containsBlank="1" count="358">
        <s v="MAJA ZAGORAC"/>
        <s v="DARINKA HUBER ŠIPEC"/>
        <s v="NENAD BANIČEK"/>
        <s v="IVICA IVANOVIĆ"/>
        <s v="DINKO BELEG"/>
        <s v="OSKAR ROMER"/>
        <s v="IVAN KOVAČEVIĆ"/>
        <s v="Marina Nikšić"/>
        <s v="Dalibor Kralj"/>
        <s v="Petar Prpić"/>
        <s v="Filip Tadić"/>
        <s v="Marijana Rukavina"/>
        <s v="Ana Jozić"/>
        <s v="Andrea Bošnjak"/>
        <s v="Darija Tutić"/>
        <s v="Maja Vidaković"/>
        <s v="Filip Mazur"/>
        <s v="Klaudia Kišpal"/>
        <s v="Alen Vidaković"/>
        <s v="Marijan Pribisalić"/>
        <s v="Rudolf Gergelj"/>
        <m/>
        <s v="Teodora Balog Denih"/>
        <s v="Laszlo Šipoš"/>
        <s v="Sanela Bakač"/>
        <s v="Valentin Šipoš"/>
        <s v="Jasmin Horvat"/>
        <s v="Matej Stanić"/>
        <s v="Marija Škrbić"/>
        <s v="Nikola Filipović"/>
        <s v="Mirjana Nađ"/>
        <s v="Mirela Šenhof"/>
        <s v="Ildiko Dragaš"/>
        <s v="Milica Stanić"/>
        <s v="Gordana Vidanec Drlje"/>
        <s v="Bogdanka Dabčević"/>
        <s v="Vlatka Barači"/>
        <s v="Aleksandra Belošević"/>
        <s v="Karmela Jurić"/>
        <s v="Blaženka Tečić"/>
        <s v="Adrijana Mitrović"/>
        <s v="Damir Dmejhal"/>
        <s v="Vanesa Šimović"/>
        <s v="Lidija Toša"/>
        <s v="Mirjana Maršić"/>
        <s v="Rozalia Vucić"/>
        <s v="Ivana Matić"/>
        <s v="Borka Bolšec"/>
        <s v="Marina Šimon"/>
        <s v="Vanesa Šarčević"/>
        <s v="Ana Andrić"/>
        <s v="Branka Ojdanić"/>
        <s v="Dubravka Dolić"/>
        <s v="Tanja Puljić"/>
        <s v="Mihalj Kedveš"/>
        <s v="Snježana Oreč"/>
        <s v="Sabine Tot"/>
        <s v="Izolda Micheli"/>
        <s v="Krunoslav Pavlović"/>
        <s v="Gabrijela Denković"/>
        <s v="Vesna Greganić"/>
        <s v="Ildiko Mikić"/>
        <s v="Martina Čolaković"/>
        <s v="Marko Stojak"/>
        <s v="Nikolina Marković"/>
        <s v="Dejan Ninković"/>
        <s v="Zvjezdana Roguljić Hosinović"/>
        <s v="Vana Paula Mekovec"/>
        <s v="Gordana Grčić"/>
        <s v="Tijana Šlang"/>
        <s v="Sandra Aničić"/>
        <s v="Tanja Štajduhar"/>
        <s v="Tomislav Kostolić"/>
        <s v="Elena Balaž"/>
        <s v="Igor Kušeta"/>
        <s v="Ksenija Matijević"/>
        <s v="Marina Kuharić"/>
        <s v="Nataša Marković"/>
        <s v="Zoran Francisković"/>
        <s v="Vlado Francisković"/>
        <s v="Dorotea Šešum"/>
        <s v="Petra Mihaljević"/>
        <s v="Kristina Cevek"/>
        <s v="EVA MACAN"/>
        <s v="MAJA STIPIĆ"/>
        <s v="RADIĆ MIROSLAV"/>
        <s v="STEPHANIE GAJEC"/>
        <s v="DANIEL KERESZTEŠ"/>
        <s v="DARIA HAZENAUER"/>
        <s v="ANTONIO MILINKOVIĆ"/>
        <s v="REBECCA JOZSEF"/>
        <s v="KRISTINE BITE"/>
        <s v="IVAN TUTIĆ"/>
        <s v="JELENA SIMIĆ"/>
        <s v="DINO JURKOVIĆ"/>
        <s v="TOMISLAV HERJAVEC"/>
        <s v="CHRISTINA BARAČ"/>
        <s v="ZVONKO BAN"/>
        <s v="Rozalia Gernhardt"/>
        <s v="MARIJETA POLJAREVIĆ"/>
        <s v="ĐERĐ MIRTA"/>
        <s v="BOGDANOVIĆ TATJANA"/>
        <s v="KRIČKA PREDRAG"/>
        <s v="IVA HUIBER"/>
        <s v="SENKA JARIĆ"/>
        <s v="SMILJA DEVETAK"/>
        <s v="VASELJENA ALEKSANDER"/>
        <s v="SARA MRŠO "/>
        <s v="MARTINA JUKIĆ"/>
        <s v="ROMARIO BARBERIĆ"/>
        <s v="Dajana Kovačić"/>
        <s v="PATRICK PEROŠEVIĆ"/>
        <s v="RADIVOJE PAJOVIĆ"/>
        <s v="MIROSLAV PECARSKI"/>
        <s v="MARINELA GREGANIĆ"/>
        <s v="FILIP SMOLKA"/>
        <s v="BORIS JURIĆ"/>
        <s v="ATTILA SZEBÉNYI"/>
        <s v="Vesna Šimović"/>
        <s v="KRISTINA VEZAJ"/>
        <s v="RADOVAN ŠAJATOVIĆ"/>
        <s v="FIRIĆ SNJEŽANA"/>
        <s v="KARMELA BOŽIČEVIĆ"/>
        <s v="Matej Kojundžić"/>
        <s v="TOMISLAV LULIĆ"/>
        <s v="ANASTAZIJA KOVAČ"/>
        <s v="LIRIDONA VEZAJ"/>
        <s v="MONIKA MESAREK"/>
        <s v="MATEJ EROR"/>
        <s v="NIKOLINA BROŽ BENC"/>
        <s v="ANA RADMAN"/>
        <s v="DORA IVIĆ"/>
        <s v="MARIJA KIŠ"/>
        <s v="HUK MARKOVIĆ TAMARA"/>
        <s v="SABOLČ SEKE"/>
        <s v="MARTINA FRANIĆ"/>
        <s v="ANTONIJA KELEMEN"/>
        <s v="LUCIJA IŽA"/>
        <s v="JOSIP UJEVIĆ"/>
        <s v="TANJA BOŠKOVIĆ"/>
        <s v="KRISTINA BARIŠIĆ"/>
        <s v="VALENTINA KRIVEC"/>
        <s v="Željko Klarić"/>
        <s v="JELENA ANTIČEVIĆ"/>
        <s v="VEDRAN IVIČIĆ"/>
        <s v="MIRJANA HORVAT"/>
        <s v="ANA ČABAJ"/>
        <s v="MRĐA SINIŠA"/>
        <s v="LEONARD BADANJAK"/>
        <s v="MARIO MARTINČIĆ"/>
        <s v="MARK MAGOŠ"/>
        <s v="INES BANEK"/>
        <s v="MARKO BUHINJAK"/>
        <s v="ANA TABAIN"/>
        <s v="FILIP JANJEŠIĆ"/>
        <s v="ANTONIO BURA"/>
        <s v="IVAN STANIĆ"/>
        <s v="DALIBOR SIMIĆ"/>
        <s v="PETRA PEJIĆ"/>
        <s v="KLEPEC MIA"/>
        <s v="KORINA TOMAŠIĆ DEAK"/>
        <s v="Lidija Tucaković"/>
        <s v="ANA MARIJA KORDIĆ"/>
        <s v="KATARINA KUNDID"/>
        <s v="IVICA JUKIĆ"/>
        <s v="NATAŠA UMIČEVIĆ"/>
        <s v="Adrienn Kinga Német"/>
        <s v="BOŽANA MIHALJEC"/>
        <s v="MATEJ TRGO"/>
        <s v="PETAR ZAMOLINSKI "/>
        <s v="ALBERKOVIĆ SLOBODAN "/>
        <s v="BENJAMIN FRANKLIN CLEMENT"/>
        <s v="Tamara Tomić"/>
        <s v="TOT KOMENDANOVIĆ KRISTINA"/>
        <s v="ANITA HUZANIĆ"/>
        <s v="ANA ČAVLINA "/>
        <s v="LAURA GERGELJ"/>
        <s v="ŠENHOF JANA "/>
        <s v="JURICA STRAHINJIĆ"/>
        <s v="MELISA HORVAT"/>
        <s v="MARIO VIŠIĆ"/>
        <s v="MATEJ ČORNOK"/>
        <s v="Matea Čornok"/>
        <s v="Mateja Završki"/>
        <s v="Martina Završki"/>
        <s v="Mirjana Marić"/>
        <s v="MARTINA ARAMBAŠIĆ"/>
        <s v="SUZANA AJDARI"/>
        <s v="ZSOLT JÓZSEF BARKÓCZI"/>
        <s v="SUZANA ČAČIĆ"/>
        <s v="DARIO VRDOLJAK"/>
        <s v="Anamarija Biber"/>
        <s v="MARIJA MAKEK"/>
        <s v="Ivana Anđelić"/>
        <s v="PAHERT  ANAMARIJA"/>
        <s v="MILICA PJANIĆ"/>
        <s v="MARIJA MIHAJLOVIĆ"/>
        <s v="ZAJEC DALIBOR"/>
        <s v="BOŠKOVIĆ INES"/>
        <s v="MARIJAN KRAJNOVIĆ"/>
        <s v="Tamara Farkaš"/>
        <s v="DARINKA HUBER"/>
        <s v="Ana Glavota"/>
        <s v="Matea Pavlović"/>
        <s v="Barbara Oreč"/>
        <s v="KLEPAC MIA"/>
        <s v="ANTONIO ELTER"/>
        <s v="FLORIJAN VENER"/>
        <s v="MARIO POLJAKOVIĆ"/>
        <s v="FILIP JELČIĆ"/>
        <s v="MARTINA JOVIĆ"/>
        <s v="SANJA KOVAČEVIĆ"/>
        <s v="NEDELJKA KOJIĆ"/>
        <s v="SANJA KLJUČIĆ"/>
        <s v="MARIO CVETKOVIĆ"/>
        <s v="NATAŠA BLAGOJEVIĆ"/>
        <s v="VLATKA STANIĆ"/>
        <s v="IVANA BABIĆ"/>
        <s v="HRVOJE ŠTADLER"/>
        <s v="KAROLINA GRUBIĆ"/>
        <s v="IGOR MILETIĆ"/>
        <s v="MATIJA DRGALIĆ"/>
        <s v="ANA KOVAČ"/>
        <s v="LJILJANA ČUBRA"/>
        <s v="MELITA ŠTEKOVIĆ"/>
        <s v="MARIJA MIGLES"/>
        <s v="BARBARA PAVKOVIĆ"/>
        <s v="JUSTI LOVAK SKELEDŽIJA"/>
        <s v="ANTO MIHAJLOVIĆ"/>
        <s v="MAJA JOVANOVIĆ"/>
        <s v="MELITA STANIĆ"/>
        <s v="ANTE TOMAS"/>
        <s v="ANA PREVIŠIĆ"/>
        <s v="GORANA RAKIĆ"/>
        <s v="TIHANA MARTIN"/>
        <s v="TATJANA JOVANOVIĆ"/>
        <s v="ALEKSANDAR TATOMIROV"/>
        <s v="TANJA TOMŠIĆ"/>
        <s v="GÁBOR ISTVÁN JENEI"/>
        <s v="VLADIMIR CINDRIĆ"/>
        <s v="DANIJELA ROGULJA"/>
        <s v="DRAGICA PAVKOVIĆ"/>
        <s v="TANJA JOŽEF BOBETA"/>
        <s v="VALENTIN VARGA"/>
        <s v="MILANA TERZIĆ"/>
        <s v="Stephanie Cerjak"/>
        <s v="Kristina Tot Komendanović"/>
        <s v="Mirta Đerđ"/>
        <s v="Tatjana Bogdanović"/>
        <s v="Karolina Čeh"/>
        <s v="Brigita Deže"/>
        <s v="Gyula Kovács"/>
        <s v="Zsofi Kovacs"/>
        <s v="Marko Baban"/>
        <s v="Kristijan Trusk"/>
        <s v="Danijela Dubravac Baban"/>
        <s v="Marin Risek"/>
        <s v="Tristan Rajčić"/>
        <s v="Predrag Krička"/>
        <s v="Iva Pušić"/>
        <s v="Denis Sušenka"/>
        <s v="Mario Solina"/>
        <s v="Mirjana Mandić"/>
        <s v="LEONID HOLJAR"/>
        <s v="Jana Šenhof"/>
        <s v="Bruno Perica"/>
        <s v="Aleksandra Kim"/>
        <s v="Ivan Vidaković"/>
        <s v="Marija Baković"/>
        <s v="Irena Klobučar"/>
        <s v="Ivana Betlehem"/>
        <s v="Bićanić Damir"/>
        <s v="Robert Verebi"/>
        <s v="Luka Grabić"/>
        <s v="Sara Mršo"/>
        <s v="Danijela Judi"/>
        <s v="Antonela Pavlić"/>
        <s v="Sulejmanovski Antonio"/>
        <s v="Csaba Farsang"/>
        <s v="David Češić"/>
        <s v="Ivana Vrbljanac"/>
        <s v="Šefika Alić"/>
        <s v="Ljubica Gavranović"/>
        <s v="Linda Majid"/>
        <s v="Svetlana Petrović"/>
        <s v="Zdravko Tustanovski"/>
        <s v="Andrea Kostović"/>
        <s v="Ivan Matota"/>
        <s v="Igor Duvnjak"/>
        <s v=" Miklós Szűcs"/>
        <s v="KAROLINA HAJDU"/>
        <s v="Senat Ismaili"/>
        <s v="Anita Kovačević"/>
        <s v="Martina Avdaković"/>
        <s v="Ljiljana Peranić"/>
        <s v="Nada Jović"/>
        <s v="Darko Kramar"/>
        <s v="Viktor Švarić"/>
        <s v="Sanja Rubinić"/>
        <s v="Jadranko Paškvan-Stjepanović"/>
        <s v="Svetlana Kostova"/>
        <s v="Valdeta Ismaili"/>
        <s v="Blerim Ismaili"/>
        <s v="Ivana Tot"/>
        <s v="Dean Lalević"/>
        <s v="Ana Mujarić"/>
        <s v="Valentino Šimunović"/>
        <s v="Martina Becker"/>
        <s v="Dóra Denke-Takács"/>
        <s v="Stefanija Ivandić"/>
        <s v="Denke Takács Lajos"/>
        <s v="Andreja Orić"/>
        <s v="Vladimir Junušić"/>
        <s v="Antonio Kovačević"/>
        <s v="Dejana Bunjevac"/>
        <s v="Mladen Kuvač"/>
        <s v="Mirjana Pavlović"/>
        <s v="Amila Šiljević"/>
        <s v="Armin Deliomerović"/>
        <s v="Ivan Cerovac"/>
        <s v="Kristina Lovras"/>
        <s v="Jelena Mesarek"/>
        <s v="Selma Karadža"/>
        <s v="Ermina Karadža"/>
        <s v="Marina Raguž"/>
        <s v="Tanja Mesarek"/>
        <s v="Snježana Selak"/>
        <s v="Miona Gačina"/>
        <s v="Ana Nađ"/>
        <s v="Eržebet Lazar"/>
        <s v="Izabela Štadler"/>
        <s v="SARA REBEKA HORVAT"/>
        <s v="BERČEK SANJA"/>
        <s v="Laura Šimić"/>
        <s v="Olivera Ćupković"/>
        <s v="Marina Žiganto"/>
        <s v="Andreja Tetkić"/>
        <s v="Melita Kordić"/>
        <s v="Đulferija Karadža"/>
        <s v="SEČENJI ADRIEN"/>
        <s v="Patricija Eškutić"/>
        <s v="MARIJA VARGA"/>
        <s v="ČABA HODOVANJ"/>
        <s v="TIMEA BEJTEŠ"/>
        <s v="Adin Mujaković"/>
        <s v="Mahir Ibrahimović"/>
        <s v="Veljko Ivanović"/>
        <s v="Daniel Lingurar"/>
        <s v="Damir Katušić"/>
        <s v="Balan Costel-Claudiu"/>
        <s v="JAKICA SUŠAK"/>
        <s v="Sarah Vindić-Gerber"/>
        <s v="Hrvoje Majić"/>
        <s v="Zvonimir Kuljak"/>
        <s v="Dženan Aljić"/>
        <s v="Dušan Jovanović"/>
        <s v="ILONKA HORVAT"/>
        <s v="IRIS TRNKO"/>
      </sharedItems>
    </cacheField>
    <cacheField name="RADI OD " numFmtId="0">
      <sharedItems containsDate="1" containsBlank="1" containsMixedTypes="1" minDate="2013-01-17T00:00:00" maxDate="2023-01-17T00:00:00" count="268">
        <d v="2016-10-12T00:00:00"/>
        <d v="2017-03-13T00:00:00"/>
        <d v="2017-02-01T00:00:00"/>
        <d v="2017-01-27T00:00:00"/>
        <d v="2016-12-27T00:00:00"/>
        <d v="2017-10-18T00:00:00"/>
        <d v="2017-10-19T00:00:00"/>
        <d v="2017-10-25T00:00:00"/>
        <d v="2017-10-27T00:00:00"/>
        <d v="2017-10-30T00:00:00"/>
        <d v="2017-11-02T00:00:00"/>
        <d v="2017-11-03T00:00:00"/>
        <d v="2017-11-06T00:00:00"/>
        <d v="2017-11-13T00:00:00"/>
        <d v="2017-11-16T00:00:00"/>
        <d v="2017-11-27T00:00:00"/>
        <d v="2017-12-01T00:00:00"/>
        <m/>
        <d v="2018-01-01T00:00:00"/>
        <d v="2017-12-13T00:00:00"/>
        <d v="2018-04-01T00:00:00"/>
        <d v="2018-01-03T00:00:00"/>
        <d v="2018-01-04T00:00:00"/>
        <d v="2018-01-09T00:00:00"/>
        <d v="2018-01-16T00:00:00"/>
        <d v="2018-01-24T00:00:00"/>
        <d v="2018-01-25T00:00:00"/>
        <d v="2018-02-12T00:00:00"/>
        <d v="2018-02-19T00:00:00"/>
        <d v="2018-03-02T00:00:00"/>
        <d v="2018-03-05T00:00:00"/>
        <d v="2018-03-07T00:00:00"/>
        <d v="2018-05-07T00:00:00"/>
        <d v="2018-05-08T00:00:00"/>
        <d v="2018-05-16T00:00:00"/>
        <d v="2018-05-17T00:00:00"/>
        <d v="2018-05-25T00:00:00"/>
        <d v="2018-06-01T00:00:00"/>
        <d v="2018-06-07T00:00:00"/>
        <d v="2017-05-25T00:00:00"/>
        <d v="2018-06-06T00:00:00"/>
        <d v="2018-08-07T00:00:00"/>
        <d v="2018-08-01T00:00:00"/>
        <d v="2018-08-09T00:00:00"/>
        <d v="2018-09-01T00:00:00"/>
        <d v="2018-09-03T00:00:00"/>
        <d v="2018-09-19T00:00:00"/>
        <d v="2018-10-01T00:00:00"/>
        <d v="2018-10-03T00:00:00"/>
        <d v="2018-10-09T00:00:00"/>
        <d v="2018-10-19T00:00:00"/>
        <d v="2018-10-22T00:00:00"/>
        <d v="2018-10-29T00:00:00"/>
        <d v="2018-12-01T00:00:00"/>
        <d v="2018-12-10T00:00:00"/>
        <d v="2019-01-01T00:00:00"/>
        <d v="2018-02-01T00:00:00"/>
        <d v="2019-04-24T00:00:00"/>
        <d v="2019-05-07T00:00:00"/>
        <d v="2019-05-13T00:00:00"/>
        <d v="2019-05-23T00:00:00"/>
        <d v="2019-09-02T00:00:00"/>
        <d v="2019-09-16T00:00:00"/>
        <d v="2019-09-25T00:00:00"/>
        <d v="2019-09-30T00:00:00"/>
        <d v="2019-11-25T00:00:00"/>
        <d v="2020-03-02T00:00:00"/>
        <d v="2020-06-08T00:00:00"/>
        <d v="2020-07-06T00:00:00"/>
        <d v="2020-07-20T00:00:00"/>
        <d v="2020-08-01T00:00:00"/>
        <d v="2020-10-09T00:00:00"/>
        <d v="2020-10-23T00:00:00"/>
        <d v="2018-12-11T00:00:00"/>
        <d v="2019-02-01T00:00:00"/>
        <d v="2013-12-13T00:00:00"/>
        <d v="2019-02-16T00:00:00"/>
        <d v="2019-04-01T00:00:00"/>
        <d v="2019-01-07T00:00:00"/>
        <d v="2019-05-01T00:00:00"/>
        <d v="2019-01-21T00:00:00"/>
        <d v="2019-01-29T00:00:00"/>
        <d v="2019-05-17T00:00:00"/>
        <d v="2019-01-30T00:00:00"/>
        <d v="2019-02-18T00:00:00"/>
        <d v="2019-03-07T00:00:00"/>
        <d v="2019-03-25T00:00:00"/>
        <d v="2019-04-11T00:00:00"/>
        <d v="2019-04-15T00:00:00"/>
        <d v="2019-04-16T00:00:00"/>
        <d v="2019-04-29T00:00:00"/>
        <d v="2019-05-02T00:00:00"/>
        <d v="2019-05-03T00:00:00"/>
        <d v="2019-05-08T00:00:00"/>
        <d v="2019-05-10T00:00:00"/>
        <d v="2019-05-20T00:00:00"/>
        <d v="2019-05-27T00:00:00"/>
        <d v="2019-05-28T00:00:00"/>
        <d v="2019-06-03T00:00:00"/>
        <d v="2019-06-18T00:00:00"/>
        <d v="2019-06-24T00:00:00"/>
        <d v="2019-07-15T00:00:00"/>
        <d v="2019-10-01T00:00:00"/>
        <d v="2019-07-16T00:00:00"/>
        <d v="2019-07-23T00:00:00"/>
        <d v="2019-07-31T00:00:00"/>
        <d v="2019-08-19T00:00:00"/>
        <d v="2019-09-01T00:00:00"/>
        <d v="2019-10-09T00:00:00"/>
        <d v="2019-09-17T00:00:00"/>
        <d v="2019-10-21T00:00:00"/>
        <d v="2019-10-23T00:00:00"/>
        <d v="2019-10-07T00:00:00"/>
        <d v="2019-10-10T00:00:00"/>
        <d v="2020-01-01T00:00:00"/>
        <d v="2019-10-14T00:00:00"/>
        <d v="2019-10-16T00:00:00"/>
        <d v="2019-10-17T00:00:00"/>
        <d v="2019-01-23T00:00:00"/>
        <d v="2019-11-18T00:00:00"/>
        <d v="2020-01-21T00:00:00"/>
        <d v="2019-11-26T00:00:00"/>
        <d v="2020-01-07T00:00:00"/>
        <d v="2020-02-01T00:00:00"/>
        <d v="2020-03-05T00:00:00"/>
        <d v="2019-09-23T00:00:00"/>
        <d v="2018-11-06T00:00:00"/>
        <d v="2017-08-18T00:00:00"/>
        <d v="2020-04-29T00:00:00"/>
        <d v="2020-06-01T00:00:00"/>
        <d v="2020-01-08T00:00:00"/>
        <d v="2020-01-15T00:00:00"/>
        <d v="2020-06-15T00:00:00"/>
        <d v="2020-02-03T00:00:00"/>
        <d v="2020-02-10T00:00:00"/>
        <d v="2020-07-31T00:00:00"/>
        <d v="2020-07-04T00:00:00"/>
        <d v="2020-07-07T00:00:00"/>
        <d v="2020-06-16T00:00:00"/>
        <d v="2020-06-23T00:00:00"/>
        <d v="2020-06-24T00:00:00"/>
        <d v="2020-07-13T00:00:00"/>
        <d v="2020-07-14T00:00:00"/>
        <d v="2020-08-07T00:00:00"/>
        <d v="2020-08-10T00:00:00"/>
        <d v="2020-09-01T00:00:00"/>
        <d v="2020-09-04T00:00:00"/>
        <d v="2020-09-03T00:00:00"/>
        <d v="2020-09-08T00:00:00"/>
        <d v="2020-09-18T00:00:00"/>
        <d v="2020-09-21T00:00:00"/>
        <d v="2020-09-22T00:00:00"/>
        <d v="2020-09-23T00:00:00"/>
        <d v="2020-08-18T00:00:00"/>
        <d v="2020-09-28T00:00:00"/>
        <d v="2020-10-05T00:00:00"/>
        <d v="2020-10-06T00:00:00"/>
        <d v="2020-10-16T00:00:00"/>
        <d v="2020-10-12T00:00:00"/>
        <d v="2020-10-21T00:00:00"/>
        <s v="15.10.2020"/>
        <d v="2020-11-01T00:00:00"/>
        <d v="2020-11-02T00:00:00"/>
        <d v="2020-11-03T00:00:00"/>
        <d v="2020-11-04T00:00:00"/>
        <d v="2021-01-01T00:00:00"/>
        <d v="2021-01-04T00:00:00"/>
        <d v="2021-01-13T00:00:00"/>
        <d v="2021-01-19T00:00:00"/>
        <d v="2021-01-20T00:00:00"/>
        <d v="2021-01-25T00:00:00"/>
        <d v="2020-12-01T00:00:00"/>
        <d v="2021-02-01T00:00:00"/>
        <d v="2021-02-09T00:00:00"/>
        <d v="2021-03-01T00:00:00"/>
        <d v="2021-04-01T00:00:00"/>
        <d v="2013-01-17T00:00:00"/>
        <d v="2016-03-08T00:00:00"/>
        <d v="2018-11-07T00:00:00"/>
        <d v="2021-04-19T00:00:00"/>
        <d v="2021-08-01T00:00:00"/>
        <d v="2021-04-26T00:00:00"/>
        <d v="2021-12-01T00:00:00"/>
        <d v="2021-04-29T00:00:00"/>
        <d v="2021-05-10T00:00:00"/>
        <d v="2021-05-14T00:00:00"/>
        <d v="2021-05-24T00:00:00"/>
        <d v="2021-05-27T00:00:00"/>
        <d v="2021-06-11T00:00:00"/>
        <d v="2021-06-21T00:00:00"/>
        <d v="2021-07-01T00:00:00"/>
        <d v="2021-07-05T00:00:00"/>
        <d v="2021-07-23T00:00:00"/>
        <d v="2021-08-02T00:00:00"/>
        <d v="2021-08-30T00:00:00"/>
        <d v="2021-08-25T00:00:00"/>
        <d v="2021-09-01T00:00:00"/>
        <d v="2021-09-06T00:00:00"/>
        <d v="2021-02-15T00:00:00"/>
        <d v="2021-10-01T00:00:00"/>
        <d v="2021-09-27T00:00:00"/>
        <d v="2021-10-08T00:00:00"/>
        <d v="2021-11-08T00:00:00"/>
        <d v="2021-11-09T00:00:00"/>
        <d v="2021-11-24T00:00:00"/>
        <d v="2022-01-01T00:00:00"/>
        <d v="2021-12-10T00:00:00"/>
        <d v="2022-02-01T00:00:00"/>
        <d v="2022-02-07T00:00:00"/>
        <d v="2022-02-14T00:00:00"/>
        <d v="2022-03-07T00:00:00"/>
        <d v="2022-03-02T00:00:00"/>
        <d v="2022-04-06T00:00:00"/>
        <d v="2022-04-22T00:00:00"/>
        <d v="2022-04-25T00:00:00"/>
        <d v="2022-04-01T00:00:00"/>
        <d v="2022-04-26T00:00:00"/>
        <d v="2022-04-28T00:00:00"/>
        <d v="2022-05-02T00:00:00"/>
        <d v="2022-05-03T00:00:00"/>
        <d v="2022-05-04T00:00:00"/>
        <d v="2022-05-06T00:00:00"/>
        <d v="2022-06-17T00:00:00"/>
        <d v="2022-05-17T00:00:00"/>
        <d v="2022-05-23T00:00:00"/>
        <d v="2022-06-01T00:00:00"/>
        <d v="2022-06-06T00:00:00"/>
        <d v="2022-06-20T00:00:00"/>
        <d v="2022-07-06T00:00:00"/>
        <d v="2022-09-01T00:00:00"/>
        <d v="2022-08-08T00:00:00"/>
        <d v="2022-08-22T00:00:00"/>
        <d v="2022-08-05T00:00:00"/>
        <d v="2022-09-12T00:00:00"/>
        <d v="2022-10-14T00:00:00"/>
        <d v="2022-09-14T00:00:00"/>
        <d v="2022-10-03T00:00:00"/>
        <d v="2022-10-13T00:00:00"/>
        <d v="2022-04-20T00:00:00"/>
        <s v="12.11.2022."/>
        <s v="05.11.2022."/>
        <d v="2022-10-26T00:00:00"/>
        <d v="2022-11-12T00:00:00"/>
        <d v="2022-11-15T00:00:00"/>
        <d v="2022-11-10T00:00:00"/>
        <d v="2022-11-07T00:00:00"/>
        <d v="2022-11-14T00:00:00"/>
        <d v="2022-11-22T00:00:00"/>
        <s v="26.11.2022."/>
        <d v="2022-11-23T00:00:00"/>
        <d v="2022-04-27T00:00:00"/>
        <d v="2022-06-28T00:00:00"/>
        <d v="2022-07-04T00:00:00"/>
        <d v="2022-11-16T00:00:00"/>
        <d v="2022-12-01T00:00:00"/>
        <d v="2022-12-06T00:00:00"/>
        <d v="2022-11-25T00:00:00"/>
        <d v="2022-12-03T00:00:00"/>
        <d v="2022-12-05T00:00:00"/>
        <d v="2023-01-03T00:00:00"/>
        <d v="2023-01-01T00:00:00"/>
        <d v="2022-12-19T00:00:00"/>
        <d v="2022-12-29T00:00:00"/>
        <d v="2023-01-02T00:00:00"/>
        <d v="2023-01-09T00:00:00"/>
        <d v="2023-01-11T00:00:00"/>
        <d v="2022-05-20T00:00:00"/>
        <d v="2023-01-16T00:00:00"/>
      </sharedItems>
    </cacheField>
    <cacheField name="RADI DO" numFmtId="0">
      <sharedItems containsDate="1" containsBlank="1" containsMixedTypes="1" minDate="2016-12-31T00:00:00" maxDate="2023-01-16T00:00:00"/>
    </cacheField>
    <cacheField name="OIB RADNIKA" numFmtId="0">
      <sharedItems containsBlank="1" containsMixedTypes="1" containsNumber="1" containsInteger="1" minValue="951235574" maxValue="2805994181535"/>
    </cacheField>
    <cacheField name="SPOL" numFmtId="0">
      <sharedItems containsBlank="1"/>
    </cacheField>
    <cacheField name="DATUM ROĐENJA" numFmtId="0">
      <sharedItems containsDate="1" containsBlank="1" containsMixedTypes="1" minDate="1949-12-19T00:00:00" maxDate="2022-04-23T00:00:00"/>
    </cacheField>
    <cacheField name="MJESTO ROĐENJA" numFmtId="0">
      <sharedItems containsBlank="1"/>
    </cacheField>
    <cacheField name="DRŽAVLJANSTVO" numFmtId="0">
      <sharedItems containsBlank="1"/>
    </cacheField>
    <cacheField name="PREBIVALIŠTE/ adresa" numFmtId="0">
      <sharedItems containsBlank="1"/>
    </cacheField>
    <cacheField name="DOZVOLA ZA BORAVAK I RAD" numFmtId="0">
      <sharedItems containsBlank="1"/>
    </cacheField>
    <cacheField name="OBRAZOVANJE" numFmtId="0">
      <sharedItems containsBlank="1"/>
    </cacheField>
    <cacheField name="POSEBNI ISPITI, TEČAJEVI" numFmtId="0">
      <sharedItems containsBlank="1"/>
    </cacheField>
    <cacheField name="ZANIMANJE" numFmtId="0">
      <sharedItems containsBlank="1"/>
    </cacheField>
    <cacheField name="VRSTA I NARAV RADA" numFmtId="0">
      <sharedItems containsBlank="1"/>
    </cacheField>
    <cacheField name="VRSTA  UGOVORA" numFmtId="0">
      <sharedItems containsBlank="1"/>
    </cacheField>
    <cacheField name="ODREĐENO DO DATUMA" numFmtId="0">
      <sharedItems containsNonDate="0" containsDate="1" containsString="0" containsBlank="1" minDate="2015-05-31T00:00:00" maxDate="2024-06-02T00:00:00"/>
    </cacheField>
    <cacheField name="VRSTA RADNOG VREMENA" numFmtId="0">
      <sharedItems containsBlank="1"/>
    </cacheField>
    <cacheField name="BROJ SATI RADA TJEDNO" numFmtId="0">
      <sharedItems containsString="0" containsBlank="1" containsNumber="1" containsInteger="1" minValue="2" maxValue="41"/>
    </cacheField>
    <cacheField name="IBAN" numFmtId="0">
      <sharedItems containsBlank="1"/>
    </cacheField>
    <cacheField name="DALI DOPRINOSI NA" numFmtId="0">
      <sharedItems containsBlank="1" containsMixedTypes="1" containsNumber="1" containsInteger="1" minValue="3605681095" maxValue="3605681095"/>
    </cacheField>
    <cacheField name="POLOŽEN STRUČNI ISPIT" numFmtId="0">
      <sharedItems containsNonDate="0" containsString="0" containsBlank="1"/>
    </cacheField>
    <cacheField name="VRIJEME POLAGANJA STRUČNOG ISPITA" numFmtId="0">
      <sharedItems containsNonDate="0" containsString="0" containsBlank="1"/>
    </cacheField>
    <cacheField name="RAD U INOZEMSTVU" numFmtId="0">
      <sharedItems containsNonDate="0" containsString="0" containsBlank="1"/>
    </cacheField>
    <cacheField name="TRAJANJE RADA U INOZEMSTVU" numFmtId="0">
      <sharedItems containsNonDate="0" containsString="0" containsBlank="1"/>
    </cacheField>
    <cacheField name="DRŽAVA I MJESTO RADA" numFmtId="0">
      <sharedItems containsBlank="1"/>
    </cacheField>
    <cacheField name="RAZLOG PRESTANKA RADNOG ODNOSA" numFmtId="0">
      <sharedItems containsBlank="1"/>
    </cacheField>
    <cacheField name="MAJČINSTVO/OČINSTVO" numFmtId="0">
      <sharedItems containsNonDate="0" containsString="0" containsBlank="1"/>
    </cacheField>
    <cacheField name="DOJENJE DJETETA" numFmtId="0">
      <sharedItems containsNonDate="0" containsString="0" containsBlank="1"/>
    </cacheField>
    <cacheField name="STATUS SAMOHRANOG RODITELJA" numFmtId="0">
      <sharedItems containsBlank="1"/>
    </cacheField>
    <cacheField name="BRUTO" numFmtId="0">
      <sharedItems containsBlank="1" containsMixedTypes="1" containsNumber="1" minValue="165" maxValue="38225.85"/>
    </cacheField>
    <cacheField name="Column1" numFmtId="0">
      <sharedItems containsString="0" containsBlank="1" containsNumber="1" minValue="0" maxValue="2.7"/>
    </cacheField>
    <cacheField name="NETO" numFmtId="0">
      <sharedItems containsBlank="1" containsMixedTypes="1" containsNumber="1" minValue="0" maxValue="25000"/>
    </cacheField>
    <cacheField name="CIPELARINE" numFmtId="0">
      <sharedItems containsBlank="1" containsMixedTypes="1" containsNumber="1" minValue="0" maxValue="5000"/>
    </cacheField>
    <cacheField name="fiz ok" numFmtId="0">
      <sharedItems containsNonDate="0" containsString="0" containsBlank="1"/>
    </cacheField>
    <cacheField name="e-mail" numFmtId="0">
      <sharedItems containsBlank="1"/>
    </cacheField>
    <cacheField name="UKUPNO DANA GODIŠNJEG ODMORA" numFmtId="0">
      <sharedItems containsString="0" containsBlank="1" containsNumber="1" containsInteger="1" minValue="3" maxValue="20"/>
    </cacheField>
    <cacheField name="BROJ DANA GOD. ODMORA 1. DIO" numFmtId="0">
      <sharedItems containsString="0" containsBlank="1" containsNumber="1" containsInteger="1" minValue="12" maxValue="12"/>
    </cacheField>
    <cacheField name="VRIJEME KORIŠTENJA 1. DIJELA GOD. ODM." numFmtId="0">
      <sharedItems containsBlank="1"/>
    </cacheField>
    <cacheField name="BROJ DANA GOD. ODMORA 2. DIO" numFmtId="0">
      <sharedItems containsString="0" containsBlank="1" containsNumber="1" containsInteger="1" minValue="8" maxValue="12"/>
    </cacheField>
    <cacheField name="VRIJEME KORIŠTENJA 2. DIJELA GOD. ODM.2" numFmtId="0">
      <sharedItems containsBlank="1"/>
    </cacheField>
    <cacheField name="DANI KORIŠTENJA GOD. ODM. U DOGOVORU SA POSLODAVCEM" numFmtId="0">
      <sharedItems containsNonDate="0" containsString="0" containsBlank="1"/>
    </cacheField>
    <cacheField name="ostalo" numFmtId="0">
      <sharedItems containsString="0" containsBlank="1" containsNumber="1" containsInteger="1" minValue="-6" maxValue="197"/>
    </cacheField>
    <cacheField name="STATUS2" numFmtId="0">
      <sharedItems containsBlank="1"/>
    </cacheField>
    <cacheField name="ŠIFRA" numFmtId="0">
      <sharedItems containsString="0" containsBlank="1" containsNumber="1" containsInteger="1" minValue="0" maxValue="2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7">
  <r>
    <n v="0"/>
    <n v="1"/>
    <x v="0"/>
    <n v="40919552412"/>
    <e v="#REF!"/>
    <s v="J.J. Strossmayera 333, 31000 Osijek"/>
    <x v="0"/>
    <d v="2016-10-12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n v="0"/>
  </r>
  <r>
    <n v="1"/>
    <n v="3"/>
    <x v="1"/>
    <s v="09677499852"/>
    <s v="Zoltan Terek"/>
    <s v="Južno Pregrađe 38, Osijek"/>
    <x v="1"/>
    <d v="2017-03-13T00:00:00"/>
    <x v="1"/>
    <n v="39112878817"/>
    <s v="Ž-ŽENSKO"/>
    <d v="1983-09-27T00:00:00"/>
    <s v="OSIJEK"/>
    <s v="HRVATSKO"/>
    <s v="TENJA"/>
    <s v="NE"/>
    <s v="SSS"/>
    <m/>
    <s v="ADMINISTRATOR"/>
    <s v="ADMINISTRATOR"/>
    <s v="NEODREĐENO"/>
    <m/>
    <s v="PUNO"/>
    <n v="40"/>
    <m/>
    <m/>
    <m/>
    <m/>
    <m/>
    <m/>
    <s v="Osijek"/>
    <m/>
    <m/>
    <m/>
    <s v="DA"/>
    <n v="3276"/>
    <m/>
    <m/>
    <n v="789"/>
    <m/>
    <m/>
    <m/>
    <m/>
    <m/>
    <m/>
    <m/>
    <m/>
    <m/>
    <x v="0"/>
    <n v="1"/>
  </r>
  <r>
    <n v="2"/>
    <n v="3"/>
    <x v="1"/>
    <s v="09677499852"/>
    <s v="Zoltan Terek"/>
    <s v="Južno Pregrađe 38, Osijek"/>
    <x v="2"/>
    <d v="2017-02-01T00:00:00"/>
    <x v="2"/>
    <n v="16492860682"/>
    <s v="M-MUŠKO"/>
    <d v="1961-06-28T00:00:00"/>
    <s v="OSIJEK"/>
    <s v="HRVATSKO"/>
    <s v="OSIJEK"/>
    <s v="NE"/>
    <s v="SSS"/>
    <m/>
    <s v="KOMERCIJALISTA"/>
    <s v="KOMERCIJALA"/>
    <s v="ODREĐENO"/>
    <d v="2017-04-30T00:00:00"/>
    <s v="PUNO"/>
    <n v="40"/>
    <m/>
    <m/>
    <m/>
    <m/>
    <m/>
    <m/>
    <s v="Osijek"/>
    <m/>
    <m/>
    <m/>
    <s v="NE"/>
    <n v="3276"/>
    <m/>
    <m/>
    <m/>
    <m/>
    <m/>
    <m/>
    <m/>
    <m/>
    <m/>
    <m/>
    <m/>
    <m/>
    <x v="0"/>
    <n v="2"/>
  </r>
  <r>
    <n v="3"/>
    <n v="3"/>
    <x v="1"/>
    <s v="09677499852"/>
    <s v="Zoltan Terek"/>
    <s v="Južno Pregrađe 38, Osijek"/>
    <x v="3"/>
    <d v="2017-01-27T00:00:00"/>
    <x v="3"/>
    <n v="60374543571"/>
    <s v="M-MUŠKO"/>
    <d v="1967-12-03T00:00:00"/>
    <s v="POŽEGA"/>
    <s v="HRVATSKO"/>
    <s v="FERIČANCI"/>
    <s v="NE"/>
    <s v="SSS"/>
    <m/>
    <s v="KOMERCIJALIST "/>
    <s v="KOMERCIJALA NA TERENU"/>
    <s v="NEODREĐENO"/>
    <m/>
    <s v="PUNO"/>
    <n v="40"/>
    <m/>
    <m/>
    <m/>
    <m/>
    <m/>
    <m/>
    <s v="Osijek"/>
    <m/>
    <m/>
    <m/>
    <s v="NE"/>
    <n v="5089.67"/>
    <n v="1"/>
    <n v="4000"/>
    <m/>
    <m/>
    <m/>
    <n v="20"/>
    <m/>
    <m/>
    <m/>
    <m/>
    <m/>
    <m/>
    <x v="1"/>
    <n v="3"/>
  </r>
  <r>
    <n v="4"/>
    <n v="3"/>
    <x v="1"/>
    <s v="09677499852"/>
    <s v="Zoltan Terek"/>
    <s v="Južno Pregrađe 38, Osijek"/>
    <x v="4"/>
    <d v="2016-12-27T00:00:00"/>
    <x v="4"/>
    <n v="71227367665"/>
    <s v="M-MUŠKO"/>
    <d v="1974-05-16T00:00:00"/>
    <s v="ZAGREB"/>
    <s v="HRVATSKO"/>
    <s v="SUHOPOLJE"/>
    <s v="NE"/>
    <s v="SSS"/>
    <m/>
    <s v="KOMERCIJALIST "/>
    <s v="KOMERCIJALA NA TERENU"/>
    <s v="NEODREĐENO"/>
    <m/>
    <s v="PUNO"/>
    <n v="40"/>
    <m/>
    <m/>
    <m/>
    <m/>
    <m/>
    <m/>
    <s v="Osijek"/>
    <m/>
    <m/>
    <m/>
    <s v="NE"/>
    <n v="3439.8"/>
    <m/>
    <m/>
    <m/>
    <m/>
    <m/>
    <n v="20"/>
    <m/>
    <m/>
    <m/>
    <m/>
    <m/>
    <m/>
    <x v="0"/>
    <n v="4"/>
  </r>
  <r>
    <n v="5"/>
    <n v="3"/>
    <x v="1"/>
    <s v="09677499852"/>
    <s v="Zoltan Terek"/>
    <s v="Južno Pregrađe 38, Osijek"/>
    <x v="5"/>
    <d v="2016-12-27T00:00:00"/>
    <x v="5"/>
    <n v="43576534952"/>
    <s v="M-MUŠKO"/>
    <d v="1968-03-26T00:00:00"/>
    <s v="OSIJEK"/>
    <s v="HRVATSKO"/>
    <s v="SUZA"/>
    <s v="NE"/>
    <s v="SSS"/>
    <m/>
    <s v="KOMERCIJALIST "/>
    <s v="KOMERCIJALA NA TERENU"/>
    <s v="NEODREĐENO"/>
    <m/>
    <s v="PUNO"/>
    <n v="40"/>
    <m/>
    <m/>
    <m/>
    <m/>
    <m/>
    <m/>
    <s v="Osijek"/>
    <m/>
    <m/>
    <m/>
    <s v="NE"/>
    <n v="3820"/>
    <m/>
    <m/>
    <m/>
    <m/>
    <m/>
    <n v="20"/>
    <m/>
    <m/>
    <m/>
    <m/>
    <m/>
    <m/>
    <x v="0"/>
    <n v="5"/>
  </r>
  <r>
    <n v="6"/>
    <n v="3"/>
    <x v="1"/>
    <s v="09677499852"/>
    <s v="Zoltan Terek"/>
    <s v="Južno Pregrađe 38, Osijek"/>
    <x v="6"/>
    <d v="2017-01-27T00:00:00"/>
    <x v="6"/>
    <n v="92077518820"/>
    <s v="M-MUŠKO"/>
    <d v="1982-07-14T00:00:00"/>
    <s v="VILJEVO"/>
    <s v="HRVATSKO"/>
    <s v="VILJEVO"/>
    <s v="NE"/>
    <s v="SSS"/>
    <m/>
    <s v="KOMERCIJALIST "/>
    <s v="KOMERCIJALA NA TERENU"/>
    <s v="NEODREĐENO"/>
    <m/>
    <s v="NEPUNO"/>
    <n v="20"/>
    <m/>
    <m/>
    <m/>
    <m/>
    <m/>
    <m/>
    <s v="Osijek"/>
    <m/>
    <m/>
    <m/>
    <s v="NE"/>
    <n v="3276"/>
    <m/>
    <m/>
    <m/>
    <m/>
    <m/>
    <m/>
    <m/>
    <m/>
    <m/>
    <m/>
    <m/>
    <m/>
    <x v="0"/>
    <n v="6"/>
  </r>
  <r>
    <n v="7"/>
    <n v="6"/>
    <x v="2"/>
    <n v="28718529165"/>
    <s v="Anita Szalai"/>
    <s v="J.J. Strossmayera 333, 31000 Osijek"/>
    <x v="7"/>
    <d v="2017-10-18T00:00:00"/>
    <x v="7"/>
    <n v="60253869864"/>
    <s v="Ž-ŽENSKO"/>
    <d v="1983-01-06T00:00:00"/>
    <s v="OSIJEK"/>
    <s v="HRVATSKO"/>
    <s v="Frankopanska 190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5"/>
    <m/>
    <m/>
    <n v="8"/>
    <s v="18.12.2017.-29.12.2017."/>
    <m/>
    <n v="-3"/>
    <x v="0"/>
    <n v="1"/>
  </r>
  <r>
    <n v="8"/>
    <n v="6"/>
    <x v="2"/>
    <n v="28718529165"/>
    <s v="Anita Szalai"/>
    <s v="J.J. Strossmayera 333, 31000 Osijek"/>
    <x v="8"/>
    <d v="2017-10-19T00:00:00"/>
    <x v="8"/>
    <n v="66048944249"/>
    <s v="M-MUŠKO"/>
    <d v="1981-10-25T00:00:00"/>
    <s v="OSIJEK"/>
    <s v="HRVATSKO"/>
    <s v="Sjenjak 48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5"/>
    <m/>
    <m/>
    <n v="9"/>
    <s v="18.12.2017.-02.01.2018."/>
    <m/>
    <n v="-4"/>
    <x v="0"/>
    <n v="2"/>
  </r>
  <r>
    <n v="9"/>
    <n v="6"/>
    <x v="2"/>
    <n v="28718529165"/>
    <s v="Anita Szalai"/>
    <s v="J.J. Strossmayera 333, 31000 Osijek"/>
    <x v="9"/>
    <d v="2017-10-25T00:00:00"/>
    <x v="9"/>
    <n v="67658425556"/>
    <s v="M-MUŠKO"/>
    <d v="1996-03-25T00:00:00"/>
    <s v="ZAGREB"/>
    <s v="HRVATSKO"/>
    <s v="Jovana Gojkovića 6 A, Osijek"/>
    <s v="NE"/>
    <s v="SSS"/>
    <m/>
    <s v="Trgovački dem. i prodavač"/>
    <s v="Trgovački dem. i prodavač"/>
    <s v="NEODREĐENO"/>
    <m/>
    <s v="PUNO"/>
    <n v="40"/>
    <m/>
    <m/>
    <m/>
    <m/>
    <m/>
    <m/>
    <s v="RAZNA MJESTA"/>
    <m/>
    <m/>
    <m/>
    <s v="NE"/>
    <n v="4375"/>
    <n v="1"/>
    <n v="3500"/>
    <m/>
    <m/>
    <m/>
    <n v="4"/>
    <m/>
    <m/>
    <n v="9"/>
    <s v="18.12.2017.-02.01.2018."/>
    <m/>
    <n v="-5"/>
    <x v="0"/>
    <n v="3"/>
  </r>
  <r>
    <n v="10"/>
    <n v="6"/>
    <x v="2"/>
    <n v="28718529165"/>
    <s v="Anita Szalai"/>
    <s v="J.J. Strossmayera 333, 31000 Osijek"/>
    <x v="10"/>
    <d v="2017-10-25T00:00:00"/>
    <x v="7"/>
    <n v="18058630382"/>
    <s v="M-MUŠKO"/>
    <d v="1995-07-16T00:00:00"/>
    <s v="OSIJEK"/>
    <s v="HRVATSKO"/>
    <s v="I.G. Kovačića 25, Donji Miholjac"/>
    <s v="NE"/>
    <s v="SSS"/>
    <m/>
    <s v="Trgovački dem. i prodavač"/>
    <s v="Trgovački dem. i prodavač"/>
    <s v="NEODREĐENO"/>
    <m/>
    <s v="PUNO"/>
    <n v="40"/>
    <m/>
    <m/>
    <m/>
    <m/>
    <m/>
    <m/>
    <s v="RAZNA MJESTA"/>
    <m/>
    <m/>
    <m/>
    <s v="NE"/>
    <n v="4375"/>
    <n v="1"/>
    <n v="3500"/>
    <m/>
    <m/>
    <m/>
    <n v="4"/>
    <m/>
    <m/>
    <n v="9"/>
    <s v="18.12.2017.-02.01.2018."/>
    <m/>
    <n v="-5"/>
    <x v="0"/>
    <n v="4"/>
  </r>
  <r>
    <n v="11"/>
    <n v="6"/>
    <x v="2"/>
    <n v="28718529165"/>
    <s v="Anita Szalai"/>
    <s v="J.J. Strossmayera 333, 31000 Osijek"/>
    <x v="11"/>
    <d v="2017-10-27T00:00:00"/>
    <x v="7"/>
    <s v="09559707905"/>
    <s v="Ž-ŽENSKO"/>
    <d v="1988-05-04T00:00:00"/>
    <s v="OSIJEK"/>
    <s v="HRVATSKO"/>
    <s v="Duga Ulica 9, Briješće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29.12.2017."/>
    <m/>
    <n v="-4"/>
    <x v="0"/>
    <n v="5"/>
  </r>
  <r>
    <n v="12"/>
    <n v="6"/>
    <x v="2"/>
    <n v="28718529165"/>
    <s v="Anita Szalai"/>
    <s v="J.J. Strossmayera 333, 31000 Osijek"/>
    <x v="12"/>
    <d v="2017-10-30T00:00:00"/>
    <x v="7"/>
    <n v="20112988151"/>
    <s v="Ž-ŽENSKO"/>
    <d v="1980-09-14T00:00:00"/>
    <s v="Travnik, BIH"/>
    <s v="HRVATSKO"/>
    <s v="Luke Botić 25, Tenja"/>
    <s v="NE"/>
    <s v="V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29.12.2017."/>
    <m/>
    <n v="-4"/>
    <x v="0"/>
    <n v="6"/>
  </r>
  <r>
    <n v="13"/>
    <n v="6"/>
    <x v="2"/>
    <n v="28718529165"/>
    <s v="Anita Szalai"/>
    <s v="J.J. Strossmayera 333, 31000 Osijek"/>
    <x v="13"/>
    <d v="2017-11-02T00:00:00"/>
    <x v="7"/>
    <n v="46438404550"/>
    <s v="Ž-ŽENSKO"/>
    <d v="1988-04-08T00:00:00"/>
    <s v="OSIJEK"/>
    <s v="HRVATSKO"/>
    <s v="Duga 50 A, Ivanovac, Antun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29.12.2017."/>
    <m/>
    <n v="-4"/>
    <x v="0"/>
    <n v="7"/>
  </r>
  <r>
    <n v="14"/>
    <n v="6"/>
    <x v="2"/>
    <n v="28718529165"/>
    <s v="Anita Szalai"/>
    <s v="J.J. Strossmayera 333, 31000 Osijek"/>
    <x v="14"/>
    <d v="2017-11-02T00:00:00"/>
    <x v="7"/>
    <s v="01420891136"/>
    <s v="Ž-ŽENSKO"/>
    <d v="1995-04-03T00:00:00"/>
    <s v="OSIJEK"/>
    <s v="HRVATSKO"/>
    <s v="Sjenjak 46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29.12.2017."/>
    <m/>
    <n v="-4"/>
    <x v="0"/>
    <n v="8"/>
  </r>
  <r>
    <n v="15"/>
    <n v="6"/>
    <x v="2"/>
    <n v="28718529165"/>
    <s v="Anita Szalai"/>
    <s v="J.J. Strossmayera 333, 31000 Osijek"/>
    <x v="15"/>
    <d v="2017-11-03T00:00:00"/>
    <x v="7"/>
    <s v="71740309634"/>
    <s v="Ž-ŽENSKO"/>
    <d v="1989-06-25T00:00:00"/>
    <s v="OSIJEK"/>
    <s v="HRVATSKO"/>
    <s v="Umaška 8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31.12.2017."/>
    <m/>
    <n v="-4"/>
    <x v="0"/>
    <n v="9"/>
  </r>
  <r>
    <n v="16"/>
    <n v="6"/>
    <x v="2"/>
    <n v="28718529165"/>
    <s v="Anita Szalai"/>
    <s v="J.J. Strossmayera 333, 31000 Osijek"/>
    <x v="16"/>
    <d v="2017-11-06T00:00:00"/>
    <x v="10"/>
    <s v="17153736363"/>
    <s v="M-MUŠKO"/>
    <d v="1990-05-31T00:00:00"/>
    <s v="OSIJEK"/>
    <s v="HRVATSKO"/>
    <s v="Ulica Augusta Šenoe 7, Biz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m/>
    <n v="2620.8000000000002"/>
    <m/>
    <m/>
    <m/>
    <n v="3"/>
    <m/>
    <m/>
    <n v="9"/>
    <s v="18.12.2017.-02.01.2018."/>
    <m/>
    <n v="-6"/>
    <x v="0"/>
    <n v="10"/>
  </r>
  <r>
    <n v="17"/>
    <n v="6"/>
    <x v="2"/>
    <n v="28718529165"/>
    <s v="Anita Szalai"/>
    <s v="J.J. Strossmayera 333, 31000 Osijek"/>
    <x v="17"/>
    <d v="2017-11-13T00:00:00"/>
    <x v="7"/>
    <s v="04752700030"/>
    <s v="Ž-ŽENSKO"/>
    <d v="1998-12-16T00:00:00"/>
    <s v="OSIJEK"/>
    <s v="HRVATSKO"/>
    <s v="Petefi Šandora 33, Kotlina, Kneževi Vinograd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3"/>
    <m/>
    <m/>
    <n v="9"/>
    <s v="18.12.2017.-02.01.2018."/>
    <m/>
    <n v="-6"/>
    <x v="0"/>
    <n v="11"/>
  </r>
  <r>
    <n v="18"/>
    <n v="6"/>
    <x v="2"/>
    <n v="28718529165"/>
    <s v="Anita Szalai"/>
    <s v="J.J. Strossmayera 333, 31000 Osijek"/>
    <x v="18"/>
    <d v="2017-11-16T00:00:00"/>
    <x v="7"/>
    <s v="09788459842"/>
    <s v="M-MUŠKO"/>
    <d v="1991-11-04T00:00:00"/>
    <s v="Našice"/>
    <s v="HRVATSKO"/>
    <s v="Kolodvorska 78 A, Feričanci"/>
    <s v="NE"/>
    <s v="VŠ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3"/>
    <m/>
    <m/>
    <n v="8"/>
    <s v="18.12.2017.-29.12.2017."/>
    <m/>
    <n v="-5"/>
    <x v="0"/>
    <n v="12"/>
  </r>
  <r>
    <n v="19"/>
    <n v="6"/>
    <x v="2"/>
    <n v="28718529165"/>
    <s v="Anita Szalai"/>
    <s v="J.J. Strossmayera 333, 31000 Osijek"/>
    <x v="19"/>
    <d v="2017-11-27T00:00:00"/>
    <x v="7"/>
    <s v="19240198595"/>
    <s v="M-MUŠKO"/>
    <d v="1998-07-09T00:00:00"/>
    <s v="OSIJEK"/>
    <s v="HRVATSKO"/>
    <s v="Krstova 6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n v="0"/>
    <x v="0"/>
    <n v="13"/>
  </r>
  <r>
    <n v="20"/>
    <n v="6"/>
    <x v="2"/>
    <n v="28718529165"/>
    <s v="Anita Szalai"/>
    <s v="J.J. Strossmayera 333, 31000 Osijek"/>
    <x v="20"/>
    <d v="2017-12-01T00:00:00"/>
    <x v="7"/>
    <s v="60536718657"/>
    <s v="M-MUŠKO"/>
    <d v="1973-06-19T00:00:00"/>
    <m/>
    <s v="HRVATSKO"/>
    <s v="Ivana Meštrovića 43, Darda"/>
    <s v="NE"/>
    <s v="SSS"/>
    <m/>
    <s v="Poslovođa"/>
    <s v="Poslovođa"/>
    <s v="NEODREĐENO"/>
    <m/>
    <s v="PUNO"/>
    <n v="40"/>
    <m/>
    <m/>
    <m/>
    <m/>
    <m/>
    <m/>
    <s v="Osijek"/>
    <m/>
    <m/>
    <m/>
    <s v="NE"/>
    <n v="7590.92"/>
    <m/>
    <n v="5500"/>
    <m/>
    <m/>
    <m/>
    <m/>
    <m/>
    <m/>
    <m/>
    <m/>
    <m/>
    <n v="0"/>
    <x v="0"/>
    <n v="14"/>
  </r>
  <r>
    <n v="21"/>
    <m/>
    <x v="3"/>
    <e v="#N/A"/>
    <e v="#N/A"/>
    <e v="#N/A"/>
    <x v="21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n v="0"/>
  </r>
  <r>
    <n v="22"/>
    <n v="9"/>
    <x v="4"/>
    <n v="46869408875"/>
    <s v="Rudolf Gergelj"/>
    <s v="J.J. Strossmayera 333, 31000 Osijek"/>
    <x v="22"/>
    <d v="2018-01-01T00:00:00"/>
    <x v="11"/>
    <s v="38288739117"/>
    <s v="Ž-ŽENSKO"/>
    <d v="1968-04-15T00:00:00"/>
    <s v="OSIJEK"/>
    <s v="HRVATSKO"/>
    <s v="Maršala Tita 132., Zma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8426.4599999999991"/>
    <n v="1"/>
    <n v="6000"/>
    <m/>
    <m/>
    <m/>
    <n v="20"/>
    <n v="12"/>
    <s v="28.07.2018-15.08.2018"/>
    <n v="12"/>
    <s v="14.12.2018-31.12.2018"/>
    <m/>
    <n v="0"/>
    <x v="0"/>
    <n v="2"/>
  </r>
  <r>
    <n v="23"/>
    <n v="9"/>
    <x v="4"/>
    <n v="46869408875"/>
    <s v="Rudolf Gergelj"/>
    <s v="J.J. Strossmayera 333, 31000 Osijek"/>
    <x v="23"/>
    <d v="2018-01-01T00:00:00"/>
    <x v="11"/>
    <s v="92132715760"/>
    <s v="M-MUŠKO"/>
    <d v="1993-03-10T00:00:00"/>
    <s v="OSIJEK"/>
    <s v="HRVATSKO"/>
    <s v="Šandora Petefija 57. Zma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2100"/>
    <m/>
    <m/>
    <n v="20"/>
    <n v="12"/>
    <s v="28.07.2018-15.08.2018"/>
    <n v="12"/>
    <s v="14.12.2018-31.12.2018"/>
    <m/>
    <n v="0"/>
    <x v="0"/>
    <n v="3"/>
  </r>
  <r>
    <n v="24"/>
    <n v="9"/>
    <x v="4"/>
    <n v="46869408875"/>
    <s v="Rudolf Gergelj"/>
    <s v="J.J. Strossmayera 333, 31000 Osijek"/>
    <x v="24"/>
    <d v="2018-01-01T00:00:00"/>
    <x v="11"/>
    <n v="24461973764"/>
    <s v="Ž-ŽENSKO"/>
    <d v="1993-03-11T00:00:00"/>
    <s v="OSIJEK"/>
    <s v="HRVATSKO"/>
    <s v="J.Pannoniusa 9., Branjin Vrh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600"/>
    <m/>
    <m/>
    <n v="20"/>
    <n v="12"/>
    <s v="28.07.2018-15.08.2018"/>
    <n v="12"/>
    <s v="14.12.2018-31.12.2018"/>
    <m/>
    <n v="0"/>
    <x v="0"/>
    <n v="4"/>
  </r>
  <r>
    <n v="25"/>
    <n v="9"/>
    <x v="4"/>
    <n v="46869408875"/>
    <s v="Rudolf Gergelj"/>
    <s v="J.J. Strossmayera 333, 31000 Osijek"/>
    <x v="25"/>
    <d v="2018-01-01T00:00:00"/>
    <x v="11"/>
    <s v="22044787722"/>
    <s v="M-MUŠKO"/>
    <d v="1993-03-12T00:00:00"/>
    <s v="OSIJEK"/>
    <s v="HRVATSKO"/>
    <s v="Glavna 100., Podolje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1000"/>
    <m/>
    <m/>
    <n v="20"/>
    <n v="12"/>
    <s v="28.07.2018-15.08.2018"/>
    <n v="12"/>
    <s v="14.12.2018-31.12.2018"/>
    <m/>
    <n v="0"/>
    <x v="0"/>
    <n v="5"/>
  </r>
  <r>
    <n v="26"/>
    <n v="9"/>
    <x v="4"/>
    <n v="46869408875"/>
    <s v="Rudolf Gergelj"/>
    <s v="J.J. Strossmayera 333, 31000 Osijek"/>
    <x v="26"/>
    <d v="2018-01-01T00:00:00"/>
    <x v="11"/>
    <s v="45227899437"/>
    <s v="M-MUŠKO"/>
    <d v="1993-03-13T00:00:00"/>
    <s v="OSIJEK"/>
    <s v="HRVATSKO"/>
    <s v="Maršala Tita 129., Suza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2000"/>
    <m/>
    <m/>
    <n v="20"/>
    <n v="12"/>
    <s v="28.07.2018-15.08.2018"/>
    <n v="12"/>
    <s v="14.12.2018-31.12.2018"/>
    <m/>
    <n v="0"/>
    <x v="0"/>
    <n v="6"/>
  </r>
  <r>
    <n v="27"/>
    <n v="9"/>
    <x v="4"/>
    <n v="46869408875"/>
    <s v="Rudolf Gergelj"/>
    <s v="J.J. Strossmayera 333, 31000 Osijek"/>
    <x v="27"/>
    <d v="2018-01-01T00:00:00"/>
    <x v="4"/>
    <s v="25820706885"/>
    <s v="M-MUŠKO"/>
    <d v="1993-03-20T00:00:00"/>
    <s v="OSIJEK"/>
    <s v="HRVATSKO"/>
    <s v="Josipa Kozarca 25., Višn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100"/>
    <m/>
    <m/>
    <n v="20"/>
    <n v="12"/>
    <s v="28.07.2018-15.08.2018"/>
    <n v="12"/>
    <s v="14.12.2018-31.12.2018"/>
    <m/>
    <n v="0"/>
    <x v="0"/>
    <n v="13"/>
  </r>
  <r>
    <n v="28"/>
    <n v="9"/>
    <x v="4"/>
    <n v="46869408875"/>
    <s v="Rudolf Gergelj"/>
    <s v="J.J. Strossmayera 333, 31000 Osijek"/>
    <x v="28"/>
    <d v="2018-01-01T00:00:00"/>
    <x v="12"/>
    <s v="32205914112"/>
    <s v="Ž-ŽENSKO"/>
    <d v="1993-12-24T00:00:00"/>
    <s v="OSIJEK"/>
    <s v="HRVATSKO"/>
    <s v="Adolfa Waldingera 4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n v="20"/>
    <n v="12"/>
    <s v="28.07.2018-15.08.2018"/>
    <n v="12"/>
    <s v="14.12.2018-31.12.2018"/>
    <m/>
    <n v="0"/>
    <x v="0"/>
    <n v="14"/>
  </r>
  <r>
    <n v="29"/>
    <n v="9"/>
    <x v="4"/>
    <n v="46869408875"/>
    <s v="Rudolf Gergelj"/>
    <s v="J.J. Strossmayera 333, 31000 Osijek"/>
    <x v="29"/>
    <d v="2018-01-01T00:00:00"/>
    <x v="4"/>
    <s v="91608925694"/>
    <s v="M-MUŠKO"/>
    <d v="1993-03-23T00:00:00"/>
    <s v="OSIJEK"/>
    <s v="HRVATSKO"/>
    <s v="Školska 52.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x v="0"/>
    <n v="16"/>
  </r>
  <r>
    <n v="30"/>
    <n v="9"/>
    <x v="4"/>
    <n v="46869408875"/>
    <s v="Rudolf Gergelj"/>
    <s v="J.J. Strossmayera 333, 31000 Osijek"/>
    <x v="30"/>
    <d v="2018-01-01T00:00:00"/>
    <x v="13"/>
    <s v="00951235574"/>
    <s v="M-MUŠKO"/>
    <d v="1993-03-25T00:00:00"/>
    <s v="OSIJEK"/>
    <s v="HRVATSKO"/>
    <s v="Vijenac Petrove Gore 13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18"/>
  </r>
  <r>
    <n v="31"/>
    <n v="9"/>
    <x v="4"/>
    <n v="46869408875"/>
    <s v="Rudolf Gergelj"/>
    <s v="J.J. Strossmayera 333, 31000 Osijek"/>
    <x v="31"/>
    <d v="2018-01-01T00:00:00"/>
    <x v="13"/>
    <s v="46651411474"/>
    <s v="Ž-ŽENSKO"/>
    <d v="1993-03-26T00:00:00"/>
    <s v="OSIJEK"/>
    <s v="HRVATSKO"/>
    <s v="Psunjska 93 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19"/>
  </r>
  <r>
    <n v="32"/>
    <n v="9"/>
    <x v="4"/>
    <n v="46869408875"/>
    <s v="Rudolf Gergelj"/>
    <s v="J.J. Strossmayera 333, 31000 Osijek"/>
    <x v="32"/>
    <d v="2018-01-01T00:00:00"/>
    <x v="13"/>
    <s v="16065838903"/>
    <s v="Ž-ŽENSKO"/>
    <d v="1993-03-27T00:00:00"/>
    <s v="OSIJEK"/>
    <s v="HRVATSKO"/>
    <s v="Martina Divalta 168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5093.03"/>
    <n v="1"/>
    <n v="4000"/>
    <n v="250"/>
    <m/>
    <m/>
    <n v="20"/>
    <n v="12"/>
    <s v="28.07.2018-15.08.2018"/>
    <n v="12"/>
    <s v="14.12.2018-31.12.2018"/>
    <m/>
    <n v="0"/>
    <x v="0"/>
    <n v="20"/>
  </r>
  <r>
    <n v="33"/>
    <n v="9"/>
    <x v="4"/>
    <n v="46869408875"/>
    <s v="Rudolf Gergelj"/>
    <s v="J.J. Strossmayera 333, 31000 Osijek"/>
    <x v="33"/>
    <d v="2018-01-01T00:00:00"/>
    <x v="13"/>
    <s v="91993718714"/>
    <s v="Ž-ŽENSKO"/>
    <d v="1993-03-28T00:00:00"/>
    <s v="OSIJEK"/>
    <s v="HRVATSKO"/>
    <s v="Josipa Kozarca 25., Višnje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21"/>
  </r>
  <r>
    <n v="34"/>
    <n v="9"/>
    <x v="4"/>
    <n v="46869408875"/>
    <s v="Rudolf Gergelj"/>
    <s v="J.J. Strossmayera 333, 31000 Osijek"/>
    <x v="34"/>
    <d v="2018-01-01T00:00:00"/>
    <x v="11"/>
    <s v="95416188835"/>
    <s v="Ž-ŽENSKO"/>
    <d v="1993-03-30T00:00:00"/>
    <s v="OSIJEK"/>
    <s v="HRVATSKO"/>
    <s v="Bosanska 13 b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23"/>
  </r>
  <r>
    <n v="35"/>
    <n v="9"/>
    <x v="4"/>
    <n v="46869408875"/>
    <s v="Rudolf Gergelj"/>
    <s v="J.J. Strossmayera 333, 31000 Osijek"/>
    <x v="35"/>
    <d v="2018-01-01T00:00:00"/>
    <x v="13"/>
    <s v="68121059947"/>
    <s v="Ž-ŽENSKO"/>
    <d v="1993-03-31T00:00:00"/>
    <s v="OSIJEK"/>
    <s v="HRVATSKO"/>
    <s v="Mlinska 100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24"/>
  </r>
  <r>
    <n v="36"/>
    <n v="9"/>
    <x v="4"/>
    <n v="46869408875"/>
    <s v="Rudolf Gergelj"/>
    <s v="J.J. Strossmayera 333, 31000 Osijek"/>
    <x v="36"/>
    <d v="2018-01-01T00:00:00"/>
    <x v="13"/>
    <s v="19036979307"/>
    <s v="Ž-ŽENSKO"/>
    <d v="1993-04-01T00:00:00"/>
    <s v="OSIJEK"/>
    <s v="HRVATSKO"/>
    <s v="Vijenac Dinare 5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25"/>
  </r>
  <r>
    <n v="37"/>
    <n v="9"/>
    <x v="4"/>
    <n v="46869408875"/>
    <s v="Rudolf Gergelj"/>
    <s v="J.J. Strossmayera 333, 31000 Osijek"/>
    <x v="37"/>
    <d v="2018-01-01T00:00:00"/>
    <x v="11"/>
    <s v="35395242811"/>
    <s v="Ž-ŽENSKO"/>
    <d v="1993-04-02T00:00:00"/>
    <s v="OSIJEK"/>
    <s v="HRVATSKO"/>
    <s v="J.J.Strossmayera 82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26"/>
  </r>
  <r>
    <n v="38"/>
    <n v="9"/>
    <x v="4"/>
    <n v="46869408875"/>
    <s v="Rudolf Gergelj"/>
    <s v="J.J. Strossmayera 333, 31000 Osijek"/>
    <x v="38"/>
    <d v="2018-01-01T00:00:00"/>
    <x v="13"/>
    <s v="73208771167"/>
    <s v="Ž-ŽENSKO"/>
    <d v="1993-04-03T00:00:00"/>
    <s v="OSIJEK"/>
    <s v="HRVATSKO"/>
    <s v="Osječka 188.,Tenj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27"/>
  </r>
  <r>
    <n v="39"/>
    <n v="9"/>
    <x v="4"/>
    <n v="46869408875"/>
    <s v="Rudolf Gergelj"/>
    <s v="J.J. Strossmayera 333, 31000 Osijek"/>
    <x v="39"/>
    <d v="2018-01-01T00:00:00"/>
    <x v="5"/>
    <s v="48678345053"/>
    <s v="Ž-ŽENSKO"/>
    <d v="1962-07-12T00:00:00"/>
    <s v="OSIJEK"/>
    <s v="HRVATSKO"/>
    <s v="Čvrsnička 21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29"/>
  </r>
  <r>
    <n v="40"/>
    <n v="9"/>
    <x v="4"/>
    <n v="46869408875"/>
    <s v="Rudolf Gergelj"/>
    <s v="J.J. Strossmayera 333, 31000 Osijek"/>
    <x v="40"/>
    <d v="2018-01-01T00:00:00"/>
    <x v="5"/>
    <s v="33617093868"/>
    <s v="Ž-ŽENSKO"/>
    <d v="1993-04-06T00:00:00"/>
    <s v="OSIJEK"/>
    <s v="HRVATSKO"/>
    <s v="Šećeranska 47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30"/>
  </r>
  <r>
    <n v="41"/>
    <n v="9"/>
    <x v="4"/>
    <n v="46869408875"/>
    <s v="Rudolf Gergelj"/>
    <s v="J.J. Strossmayera 333, 31000 Osijek"/>
    <x v="41"/>
    <d v="2018-01-01T00:00:00"/>
    <x v="13"/>
    <s v="63681749207"/>
    <s v="M-MUŠKO"/>
    <d v="1993-04-07T00:00:00"/>
    <s v="OSIJEK"/>
    <s v="HRVATSKO"/>
    <s v="Kralja Tomislava 147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31"/>
  </r>
  <r>
    <n v="42"/>
    <n v="9"/>
    <x v="4"/>
    <n v="46869408875"/>
    <s v="Rudolf Gergelj"/>
    <s v="J.J. Strossmayera 333, 31000 Osijek"/>
    <x v="42"/>
    <d v="2018-01-01T00:00:00"/>
    <x v="13"/>
    <s v="04668761853"/>
    <s v="Ž-ŽENSKO"/>
    <d v="1993-04-08T00:00:00"/>
    <s v="OSIJEK"/>
    <s v="HRVATSKO"/>
    <s v="Trg Ante Starčevića 4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32"/>
  </r>
  <r>
    <n v="43"/>
    <n v="9"/>
    <x v="4"/>
    <n v="46869408875"/>
    <s v="Rudolf Gergelj"/>
    <s v="J.J. Strossmayera 333, 31000 Osijek"/>
    <x v="43"/>
    <d v="2018-01-01T00:00:00"/>
    <x v="13"/>
    <s v="16260284290"/>
    <s v="Ž-ŽENSKO"/>
    <d v="1993-04-10T00:00:00"/>
    <s v="OSIJEK"/>
    <s v="HRVATSKO"/>
    <s v="Šandor Petefija 116."/>
    <s v="NE"/>
    <s v="SSS"/>
    <m/>
    <s v="Voditelj call centra"/>
    <s v="Voditelj call centra"/>
    <s v="NEODREĐENO"/>
    <m/>
    <s v="PUNO"/>
    <n v="40"/>
    <m/>
    <m/>
    <m/>
    <m/>
    <m/>
    <m/>
    <s v="Osijek"/>
    <m/>
    <m/>
    <m/>
    <s v="NE"/>
    <n v="4375"/>
    <n v="2.7"/>
    <n v="3500"/>
    <m/>
    <m/>
    <m/>
    <n v="20"/>
    <n v="12"/>
    <s v="28.07.2018-15.08.2018"/>
    <n v="12"/>
    <s v="14.12.2018-31.12.2018"/>
    <m/>
    <n v="0"/>
    <x v="0"/>
    <n v="34"/>
  </r>
  <r>
    <n v="44"/>
    <n v="9"/>
    <x v="4"/>
    <n v="46869408875"/>
    <s v="Rudolf Gergelj"/>
    <s v="J.J. Strossmayera 333, 31000 Osijek"/>
    <x v="44"/>
    <d v="2018-01-01T00:00:00"/>
    <x v="13"/>
    <s v="02808842683"/>
    <s v="Ž-ŽENSKO"/>
    <d v="1993-04-11T00:00:00"/>
    <s v="OSIJEK"/>
    <s v="HRVATSKO"/>
    <s v="Kralja Tomislava 6 c, Višnjev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35"/>
  </r>
  <r>
    <n v="45"/>
    <n v="9"/>
    <x v="4"/>
    <n v="46869408875"/>
    <s v="Rudolf Gergelj"/>
    <s v="J.J. Strossmayera 333, 31000 Osijek"/>
    <x v="45"/>
    <d v="2018-01-01T00:00:00"/>
    <x v="13"/>
    <s v="99900276984"/>
    <s v="Ž-ŽENSKO"/>
    <d v="1993-04-15T00:00:00"/>
    <s v="OSIJEK"/>
    <s v="HRVATSKO"/>
    <s v="Kralja Petra Krešimira IV. 83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39"/>
  </r>
  <r>
    <n v="46"/>
    <n v="9"/>
    <x v="4"/>
    <n v="46869408875"/>
    <s v="Rudolf Gergelj"/>
    <s v="J.J. Strossmayera 333, 31000 Osijek"/>
    <x v="46"/>
    <d v="2018-01-01T00:00:00"/>
    <x v="13"/>
    <s v="56488239997"/>
    <s v="Ž-ŽENSKO"/>
    <d v="1993-04-16T00:00:00"/>
    <s v="OSIJEK"/>
    <s v="HRVATSKO"/>
    <s v="Ribarska 31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2.7"/>
    <n v="2751.84"/>
    <m/>
    <m/>
    <m/>
    <n v="20"/>
    <n v="12"/>
    <s v="28.07.2018-15.08.2018"/>
    <n v="12"/>
    <s v="14.12.2018-31.12.2018"/>
    <m/>
    <n v="0"/>
    <x v="0"/>
    <n v="40"/>
  </r>
  <r>
    <n v="47"/>
    <n v="9"/>
    <x v="4"/>
    <n v="46869408875"/>
    <s v="Rudolf Gergelj"/>
    <s v="J.J. Strossmayera 333, 31000 Osijek"/>
    <x v="47"/>
    <d v="2018-01-01T00:00:00"/>
    <x v="13"/>
    <s v="05826363901"/>
    <s v="Ž-ŽENSKO"/>
    <d v="1993-04-18T00:00:00"/>
    <s v="OSIJEK"/>
    <s v="HRVATSKO"/>
    <s v="Dr.F.Tuđmana 14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42"/>
  </r>
  <r>
    <n v="48"/>
    <n v="9"/>
    <x v="4"/>
    <n v="46869408875"/>
    <s v="Rudolf Gergelj"/>
    <s v="J.J. Strossmayera 333, 31000 Osijek"/>
    <x v="48"/>
    <d v="2018-01-01T00:00:00"/>
    <x v="13"/>
    <s v="07065659312"/>
    <s v="Ž-ŽENSKO"/>
    <d v="1993-04-20T00:00:00"/>
    <s v="OSIJEK"/>
    <s v="HRVATSKO"/>
    <s v="Šandora Petefija 126, Lug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5084.22"/>
    <n v="1"/>
    <n v="4000"/>
    <n v="747"/>
    <m/>
    <m/>
    <n v="20"/>
    <n v="12"/>
    <s v="28.07.2018-15.08.2018"/>
    <n v="12"/>
    <s v="14.12.2018-31.12.2018"/>
    <m/>
    <n v="0"/>
    <x v="0"/>
    <n v="44"/>
  </r>
  <r>
    <n v="49"/>
    <n v="9"/>
    <x v="4"/>
    <n v="46869408875"/>
    <s v="Rudolf Gergelj"/>
    <s v="J.J. Strossmayera 333, 31000 Osijek"/>
    <x v="49"/>
    <d v="2018-01-01T00:00:00"/>
    <x v="5"/>
    <s v="69008705416"/>
    <s v="Ž-ŽENSKO"/>
    <d v="1993-04-12T00:00:00"/>
    <s v="OSIJEK"/>
    <s v="HRVATSKO"/>
    <s v="Vinogratska 6, Laslovo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45"/>
  </r>
  <r>
    <n v="50"/>
    <n v="9"/>
    <x v="4"/>
    <n v="46869408875"/>
    <s v="Rudolf Gergelj"/>
    <s v="J.J. Strossmayera 333, 31000 Osijek"/>
    <x v="50"/>
    <d v="2018-01-01T00:00:00"/>
    <x v="13"/>
    <s v="68319591111"/>
    <s v="Ž-ŽENSKO"/>
    <d v="1993-05-01T00:00:00"/>
    <s v="OSIJEK"/>
    <s v="HRVATSKO"/>
    <s v="Viška 32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55"/>
  </r>
  <r>
    <n v="51"/>
    <n v="9"/>
    <x v="4"/>
    <n v="46869408875"/>
    <s v="Rudolf Gergelj"/>
    <s v="J.J. Strossmayera 333, 31000 Osijek"/>
    <x v="51"/>
    <d v="2018-01-01T00:00:00"/>
    <x v="14"/>
    <s v="28217102839"/>
    <s v="Ž-ŽENSKO"/>
    <d v="1993-05-07T00:00:00"/>
    <s v="OSIJEK"/>
    <s v="HRVATSKO"/>
    <s v="Sjenjak 34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61"/>
  </r>
  <r>
    <n v="52"/>
    <n v="9"/>
    <x v="4"/>
    <n v="46869408875"/>
    <s v="Rudolf Gergelj"/>
    <s v="J.J. Strossmayera 333, 31000 Osijek"/>
    <x v="52"/>
    <d v="2018-01-01T00:00:00"/>
    <x v="13"/>
    <s v="01764937555"/>
    <s v="Ž-ŽENSKO"/>
    <d v="1993-05-10T00:00:00"/>
    <s v="OSIJEK"/>
    <s v="HRVATSKO"/>
    <s v="Creska 10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64"/>
  </r>
  <r>
    <n v="53"/>
    <n v="9"/>
    <x v="4"/>
    <n v="46869408875"/>
    <s v="Rudolf Gergelj"/>
    <s v="J.J. Strossmayera 333, 31000 Osijek"/>
    <x v="53"/>
    <d v="2018-01-01T00:00:00"/>
    <x v="11"/>
    <s v="85912850218"/>
    <s v="Ž-ŽENSKO"/>
    <d v="1997-07-31T00:00:00"/>
    <s v="OSIJEK"/>
    <s v="HRVATSKO"/>
    <s v="Vezir 7, Komletinc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20"/>
    <n v="12"/>
    <s v="28.07.2018-15.08.2018"/>
    <n v="12"/>
    <s v="14.12.2018-31.12.2018"/>
    <m/>
    <n v="0"/>
    <x v="0"/>
    <n v="48"/>
  </r>
  <r>
    <n v="54"/>
    <n v="9"/>
    <x v="4"/>
    <n v="46869408875"/>
    <s v="Rudolf Gergelj"/>
    <s v="J.J. Strossmayera 333, 31000 Osijek"/>
    <x v="54"/>
    <d v="2018-01-01T00:00:00"/>
    <x v="11"/>
    <s v="77889524913"/>
    <s v="M-MUŠKO"/>
    <d v="1993-03-16T00:00:00"/>
    <s v="OSIJEK"/>
    <s v="HRVATSKO"/>
    <s v="Petefi Šandora 43.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439.8"/>
    <n v="1"/>
    <n v="2751.84"/>
    <n v="248.16"/>
    <m/>
    <m/>
    <n v="20"/>
    <n v="12"/>
    <s v="28.07.2018-15.08.2018"/>
    <n v="12"/>
    <s v="14.12.2018-31.12.2018"/>
    <m/>
    <n v="0"/>
    <x v="0"/>
    <n v="9"/>
  </r>
  <r>
    <n v="55"/>
    <n v="9"/>
    <x v="4"/>
    <n v="46869408875"/>
    <s v="Rudolf Gergelj"/>
    <s v="J.J. Strossmayera 333, 31000 Osijek"/>
    <x v="55"/>
    <d v="2018-01-01T00:00:00"/>
    <x v="13"/>
    <n v="79843816739"/>
    <s v="Ž-ŽENSKO"/>
    <d v="1975-07-10T00:00:00"/>
    <s v="OSIJEK"/>
    <s v="HRVATSKO"/>
    <s v="VLADIMIRA NAZORA 30, LASLOVO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3750"/>
    <n v="2.7"/>
    <n v="3000"/>
    <m/>
    <m/>
    <m/>
    <n v="20"/>
    <n v="12"/>
    <s v="28.07.2018-15.08.2018"/>
    <n v="12"/>
    <s v="14.12.2018-31.12.2018"/>
    <m/>
    <n v="0"/>
    <x v="0"/>
    <n v="67"/>
  </r>
  <r>
    <n v="56"/>
    <n v="9"/>
    <x v="4"/>
    <n v="46869408875"/>
    <s v="Rudolf Gergelj"/>
    <s v="J.J. Strossmayera 333, 31000 Osijek"/>
    <x v="56"/>
    <d v="2018-01-01T00:00:00"/>
    <x v="11"/>
    <s v="80464281272"/>
    <s v="Ž-ŽENSKO"/>
    <d v="1994-10-17T00:00:00"/>
    <s v="OSIJEK"/>
    <s v="HRVATSKO"/>
    <s v="Šandora Petefija 46, Lug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x v="0"/>
    <n v="49"/>
  </r>
  <r>
    <n v="57"/>
    <n v="9"/>
    <x v="4"/>
    <n v="46869408875"/>
    <s v="Rudolf Gergelj"/>
    <s v="J.J. Strossmayera 333, 31000 Osijek"/>
    <x v="7"/>
    <d v="2018-01-01T00:00:00"/>
    <x v="15"/>
    <n v="60253869864"/>
    <s v="Ž-ŽENSKO"/>
    <d v="2017-01-06T00:00:00"/>
    <s v="OSIJEK"/>
    <s v="HRVATSKO"/>
    <s v="FRANKOPANSKA 190, 31000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68"/>
  </r>
  <r>
    <n v="58"/>
    <n v="9"/>
    <x v="4"/>
    <n v="46869408875"/>
    <s v="Rudolf Gergelj"/>
    <s v="J.J. Strossmayera 333, 31000 Osijek"/>
    <x v="10"/>
    <d v="2018-01-01T00:00:00"/>
    <x v="11"/>
    <n v="18058630382"/>
    <s v="M-MUŠKO"/>
    <d v="1995-07-16T00:00:00"/>
    <s v="OSIJEK"/>
    <s v="HRVATSKO"/>
    <s v="IVANA GORANA KOVAČIĆA 25, DONJI MIHOLJAC"/>
    <s v="NE"/>
    <s v="SSS"/>
    <m/>
    <s v="Trgovački dem. i prodavač"/>
    <s v="Trgovački dem. i prodavač"/>
    <s v="NEODREĐENO"/>
    <m/>
    <s v="PUNO"/>
    <n v="40"/>
    <m/>
    <m/>
    <m/>
    <m/>
    <m/>
    <m/>
    <s v="RAZNA MJESTA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x v="0"/>
    <n v="71"/>
  </r>
  <r>
    <n v="59"/>
    <n v="9"/>
    <x v="4"/>
    <n v="46869408875"/>
    <s v="Rudolf Gergelj"/>
    <s v="J.J. Strossmayera 333, 31000 Osijek"/>
    <x v="11"/>
    <d v="2018-01-01T00:00:00"/>
    <x v="16"/>
    <s v="09559707905"/>
    <s v="Ž-ŽENSKO"/>
    <d v="1988-05-04T00:00:00"/>
    <m/>
    <s v="HRVATSKO"/>
    <s v="Duga Ulica 9, Briješće, Osijek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4"/>
    <m/>
    <m/>
    <n v="9"/>
    <s v="18.12.2017.-02.01.2018."/>
    <m/>
    <n v="-5"/>
    <x v="0"/>
    <n v="73"/>
  </r>
  <r>
    <n v="60"/>
    <n v="9"/>
    <x v="4"/>
    <n v="46869408875"/>
    <s v="Rudolf Gergelj"/>
    <s v="J.J. Strossmayera 333, 31000 Osijek"/>
    <x v="12"/>
    <d v="2018-01-01T00:00:00"/>
    <x v="13"/>
    <n v="20112988151"/>
    <s v="Ž-ŽENSKO"/>
    <d v="1980-09-14T00:00:00"/>
    <m/>
    <s v="HRVATSKO"/>
    <s v="Luke Botić 25, Tenja"/>
    <m/>
    <s v="V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3.07.2018-04.08.2018"/>
    <n v="12"/>
    <s v="14.12.2018-31.12.2018"/>
    <m/>
    <n v="0"/>
    <x v="0"/>
    <n v="72"/>
  </r>
  <r>
    <n v="61"/>
    <n v="9"/>
    <x v="4"/>
    <n v="46869408875"/>
    <s v="Rudolf Gergelj"/>
    <s v="J.J. Strossmayera 333, 31000 Osijek"/>
    <x v="13"/>
    <d v="2018-01-01T00:00:00"/>
    <x v="13"/>
    <n v="46438404550"/>
    <s v="Ž-ŽENSKO"/>
    <d v="1988-04-08T00:00:00"/>
    <s v="OSIJEK"/>
    <s v="HRVATSKO"/>
    <s v="Duga 50 A, Ivanovac, Antunovac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74"/>
  </r>
  <r>
    <n v="62"/>
    <n v="9"/>
    <x v="4"/>
    <n v="46869408875"/>
    <s v="Rudolf Gergelj"/>
    <s v="J.J. Strossmayera 333, 31000 Osijek"/>
    <x v="14"/>
    <d v="2018-01-01T00:00:00"/>
    <x v="16"/>
    <s v="01420891136"/>
    <s v="Ž-ŽENSKO"/>
    <d v="1995-04-03T00:00:00"/>
    <s v="OSIJEK"/>
    <s v="HRVATSKO"/>
    <s v="Sjenjak 46, Osijek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4"/>
    <m/>
    <m/>
    <n v="9"/>
    <s v="18.12.2017.-02.01.2018."/>
    <m/>
    <n v="-5"/>
    <x v="0"/>
    <n v="75"/>
  </r>
  <r>
    <n v="63"/>
    <n v="9"/>
    <x v="4"/>
    <n v="46869408875"/>
    <s v="Rudolf Gergelj"/>
    <s v="J.J. Strossmayera 333, 31000 Osijek"/>
    <x v="15"/>
    <d v="2018-01-01T00:00:00"/>
    <x v="13"/>
    <s v="71740309634"/>
    <s v="Ž-ŽENSKO"/>
    <d v="1989-06-25T00:00:00"/>
    <s v="OSIJEK"/>
    <s v="HRVATSKO"/>
    <s v="Umaška 8, Osijek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76"/>
  </r>
  <r>
    <n v="64"/>
    <n v="9"/>
    <x v="4"/>
    <n v="46869408875"/>
    <s v="Rudolf Gergelj"/>
    <s v="J.J. Strossmayera 333, 31000 Osijek"/>
    <x v="17"/>
    <d v="2018-01-01T00:00:00"/>
    <x v="17"/>
    <s v="04752700030"/>
    <s v="Ž-ŽENSKO"/>
    <d v="1998-12-16T00:00:00"/>
    <m/>
    <s v="HRVATSKO"/>
    <s v="Petefi Šandora 33, Kotlina, Kneževi Vinogradi"/>
    <m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20"/>
    <n v="12"/>
    <s v="28.07.2018-15.08.2018"/>
    <n v="12"/>
    <s v="14.12.2018-31.12.2018"/>
    <m/>
    <n v="0"/>
    <x v="0"/>
    <n v="78"/>
  </r>
  <r>
    <n v="65"/>
    <n v="9"/>
    <x v="4"/>
    <n v="46869408875"/>
    <s v="Rudolf Gergelj"/>
    <s v="J.J. Strossmayera 333, 31000 Osijek"/>
    <x v="18"/>
    <d v="2018-01-01T00:00:00"/>
    <x v="18"/>
    <s v="09788459842"/>
    <s v="M-MUŠKO"/>
    <d v="1991-11-04T00:00:00"/>
    <s v="Našice"/>
    <s v="HRVATSKO"/>
    <s v="Kolodvorska 78 A, Feričanci"/>
    <m/>
    <s v="VŠ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m/>
    <m/>
    <m/>
    <m/>
    <m/>
    <m/>
    <m/>
    <x v="0"/>
    <n v="79"/>
  </r>
  <r>
    <n v="66"/>
    <n v="9"/>
    <x v="4"/>
    <n v="46869408875"/>
    <s v="Rudolf Gergelj"/>
    <s v="J.J. Strossmayera 333, 31000 Osijek"/>
    <x v="19"/>
    <d v="2018-01-01T00:00:00"/>
    <x v="19"/>
    <s v="19240198595"/>
    <s v="M-MUŠKO"/>
    <d v="1998-07-09T00:00:00"/>
    <s v="OSIJEK"/>
    <s v="HRVATSKO"/>
    <s v="Krstova 6, Osijek"/>
    <m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20"/>
    <n v="12"/>
    <s v="28.07.2018-15.08.2018"/>
    <n v="12"/>
    <s v="14.12.2018-31.12.2018"/>
    <m/>
    <n v="0"/>
    <x v="0"/>
    <n v="80"/>
  </r>
  <r>
    <n v="67"/>
    <n v="9"/>
    <x v="4"/>
    <n v="46869408875"/>
    <s v="Rudolf Gergelj"/>
    <s v="J.J. Strossmayera 333, 31000 Osijek"/>
    <x v="20"/>
    <d v="2018-01-01T00:00:00"/>
    <x v="20"/>
    <s v="60536718657"/>
    <s v="M-MUŠKO"/>
    <d v="1973-06-19T00:00:00"/>
    <m/>
    <s v="HRVATSKO"/>
    <s v="Ivana Meštrovića 43, Darda"/>
    <m/>
    <s v="SSS"/>
    <m/>
    <s v="Poslovođa"/>
    <s v="Poslovođa"/>
    <s v="NEODREĐENO"/>
    <m/>
    <s v="PUNO"/>
    <n v="40"/>
    <m/>
    <m/>
    <m/>
    <m/>
    <m/>
    <m/>
    <s v="Osijek"/>
    <m/>
    <m/>
    <m/>
    <s v="NE"/>
    <n v="10097.59"/>
    <n v="1"/>
    <n v="7000"/>
    <n v="5000"/>
    <m/>
    <m/>
    <n v="20"/>
    <n v="12"/>
    <s v="28.07.2018-15.08.2018"/>
    <n v="12"/>
    <s v="14.12.2018-31.12.2018"/>
    <m/>
    <n v="0"/>
    <x v="0"/>
    <n v="81"/>
  </r>
  <r>
    <n v="68"/>
    <n v="9"/>
    <x v="4"/>
    <n v="46869408875"/>
    <s v="Rudolf Gergelj"/>
    <s v="J.J. Strossmayera 333, 31000 Osijek"/>
    <x v="57"/>
    <d v="2018-01-01T00:00:00"/>
    <x v="14"/>
    <n v="94678362128"/>
    <s v="Ž-ŽENSKO"/>
    <d v="1986-01-03T00:00:00"/>
    <s v="OSIJEK"/>
    <s v="HRVATSKO"/>
    <s v="Šandora Petefia 99, Vardarac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84"/>
  </r>
  <r>
    <n v="69"/>
    <n v="12"/>
    <x v="5"/>
    <n v="15151568161"/>
    <s v="Zoltan Buthi"/>
    <s v="K. A. Stepinca 17, 31000 Osijek"/>
    <x v="58"/>
    <d v="2017-12-13T00:00:00"/>
    <x v="21"/>
    <n v="40306045066"/>
    <s v="M-MUŠKO"/>
    <d v="1974-03-15T00:00:00"/>
    <m/>
    <s v="HRVATSKO"/>
    <s v="Sjenjak 123, Osijek"/>
    <s v="NE"/>
    <s v="VSS"/>
    <m/>
    <s v="Komercijalist"/>
    <s v="Komercijalist"/>
    <s v="NEODREĐENO"/>
    <m/>
    <s v="NEPUNO"/>
    <n v="20"/>
    <m/>
    <m/>
    <m/>
    <m/>
    <m/>
    <m/>
    <s v="Osijek"/>
    <m/>
    <m/>
    <m/>
    <s v="NE"/>
    <n v="3276"/>
    <n v="1"/>
    <n v="2620.8000000000002"/>
    <n v="0"/>
    <m/>
    <m/>
    <m/>
    <m/>
    <m/>
    <m/>
    <m/>
    <m/>
    <m/>
    <x v="0"/>
    <n v="1"/>
  </r>
  <r>
    <n v="70"/>
    <n v="3"/>
    <x v="1"/>
    <s v="09677499852"/>
    <s v="Zoltan Terek"/>
    <s v="Južno Pregrađe 38, Osijek"/>
    <x v="59"/>
    <d v="2018-04-01T00:00:00"/>
    <x v="22"/>
    <n v="65592272975"/>
    <s v="Ž-ŽENSKO"/>
    <d v="1972-05-03T00:00:00"/>
    <s v="Beli Manastir"/>
    <s v="HRVATSKO"/>
    <s v="KRALJA ZVONIMIRA 51A, BELI MANASTIR"/>
    <s v="NE"/>
    <s v="SSS"/>
    <m/>
    <s v="ADMINISTRATIVNI DJELATNIK"/>
    <s v="ADMINISTRATIVNI DJELATNIK"/>
    <s v="ODREĐENO"/>
    <d v="2018-07-05T00:00:00"/>
    <s v="PUNO"/>
    <n v="40"/>
    <m/>
    <m/>
    <m/>
    <m/>
    <m/>
    <m/>
    <s v="Osijek"/>
    <m/>
    <m/>
    <m/>
    <s v="NE"/>
    <n v="3750"/>
    <n v="1"/>
    <n v="3000"/>
    <n v="0"/>
    <m/>
    <m/>
    <n v="20"/>
    <m/>
    <m/>
    <m/>
    <m/>
    <m/>
    <m/>
    <x v="0"/>
    <n v="7"/>
  </r>
  <r>
    <n v="71"/>
    <n v="9"/>
    <x v="4"/>
    <n v="46869408875"/>
    <s v="Rudolf Gergelj"/>
    <s v="J.J. Strossmayera 333, 31000 Osijek"/>
    <x v="60"/>
    <d v="2018-01-03T00:00:00"/>
    <x v="13"/>
    <n v="89289096005"/>
    <s v="Ž-ŽENSKO"/>
    <d v="1973-12-22T00:00:00"/>
    <s v="Kneževo"/>
    <s v="HRVATSKO"/>
    <s v="Vatroslava lisinskog 19, Višnjevac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n v="19"/>
    <n v="12"/>
    <s v="28.07.2018-15.08.2018"/>
    <n v="12"/>
    <s v="14.12.2018-31.12.2018"/>
    <m/>
    <n v="0"/>
    <x v="0"/>
    <n v="85"/>
  </r>
  <r>
    <n v="72"/>
    <n v="9"/>
    <x v="4"/>
    <n v="46869408875"/>
    <s v="Rudolf Gergelj"/>
    <s v="J.J. Strossmayera 333, 31000 Osijek"/>
    <x v="61"/>
    <d v="2018-01-04T00:00:00"/>
    <x v="23"/>
    <n v="20741692268"/>
    <s v="Ž-ŽENSKO"/>
    <d v="1980-07-31T00:00:00"/>
    <s v="OSIJEK"/>
    <s v="HRVATSKO"/>
    <s v="Šandora Petefija 309 B, Lug"/>
    <s v="NE"/>
    <s v="NKV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m/>
    <m/>
    <m/>
    <m/>
    <m/>
    <m/>
    <m/>
    <x v="0"/>
    <n v="86"/>
  </r>
  <r>
    <n v="73"/>
    <n v="9"/>
    <x v="4"/>
    <n v="46869408875"/>
    <s v="Rudolf Gergelj"/>
    <s v="J.J. Strossmayera 333, 31000 Osijek"/>
    <x v="62"/>
    <d v="2018-01-03T00:00:00"/>
    <x v="11"/>
    <n v="15592850730"/>
    <s v="Ž-ŽENSKO"/>
    <d v="1997-05-20T00:00:00"/>
    <s v="Vinkovci"/>
    <s v="HRVATSKO"/>
    <s v="Vladimira Nazora 68, Kompletinci, Otok"/>
    <s v="NE"/>
    <s v="SSS"/>
    <m/>
    <s v="Trgovački dem. i prodavač"/>
    <s v="Trgovački dem. i prodavač"/>
    <s v="NEODREĐENO"/>
    <m/>
    <s v="PUNO"/>
    <n v="40"/>
    <m/>
    <m/>
    <m/>
    <m/>
    <m/>
    <m/>
    <m/>
    <m/>
    <m/>
    <m/>
    <m/>
    <n v="3750"/>
    <n v="1"/>
    <n v="3000"/>
    <m/>
    <m/>
    <m/>
    <n v="19"/>
    <n v="12"/>
    <s v="28.07.2018-15.08.2018"/>
    <n v="12"/>
    <s v="14.12.2018-31.12.2018"/>
    <m/>
    <n v="0"/>
    <x v="0"/>
    <n v="66"/>
  </r>
  <r>
    <n v="74"/>
    <n v="9"/>
    <x v="4"/>
    <n v="46869408875"/>
    <s v="Rudolf Gergelj"/>
    <s v="J.J. Strossmayera 333, 31000 Osijek"/>
    <x v="63"/>
    <d v="2018-01-03T00:00:00"/>
    <x v="11"/>
    <s v="00090687640"/>
    <s v="M-MUŠKO"/>
    <d v="1996-04-01T00:00:00"/>
    <s v="Vinkovci"/>
    <s v="HRVATSKO"/>
    <s v="Kolodvorska 72, Nijemci"/>
    <s v="NE"/>
    <s v="SSS"/>
    <m/>
    <s v="Trgovački dem. i prodavač"/>
    <s v="Trgovački dem. i prodavač"/>
    <s v="NEODREĐENO"/>
    <m/>
    <s v="PUNO"/>
    <n v="40"/>
    <m/>
    <m/>
    <m/>
    <m/>
    <m/>
    <m/>
    <m/>
    <m/>
    <m/>
    <m/>
    <m/>
    <n v="3750"/>
    <n v="1"/>
    <n v="3000"/>
    <m/>
    <m/>
    <m/>
    <n v="19"/>
    <n v="12"/>
    <s v="28.07.2018-15.08.2018"/>
    <n v="12"/>
    <s v="14.12.2018-31.12.2018"/>
    <m/>
    <n v="0"/>
    <x v="0"/>
    <n v="82"/>
  </r>
  <r>
    <n v="75"/>
    <n v="9"/>
    <x v="4"/>
    <n v="46869408875"/>
    <s v="Rudolf Gergelj"/>
    <s v="J.J. Strossmayera 333, 31000 Osijek"/>
    <x v="64"/>
    <d v="2018-01-09T00:00:00"/>
    <x v="11"/>
    <s v="48436445080"/>
    <s v="Ž-ŽENSKO"/>
    <d v="1993-12-03T00:00:00"/>
    <s v="OSIJEK"/>
    <s v="HRVATSKO"/>
    <s v="Vinogradska 11, Branjin Vrh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19"/>
    <n v="12"/>
    <s v="28.07.2018-15.08.2018"/>
    <n v="12"/>
    <s v="14.12.2018-31.12.2018"/>
    <m/>
    <n v="0"/>
    <x v="0"/>
    <n v="83"/>
  </r>
  <r>
    <n v="76"/>
    <n v="9"/>
    <x v="4"/>
    <n v="46869408875"/>
    <s v="Rudolf Gergelj"/>
    <s v="J.J. Strossmayera 333, 31000 Osijek"/>
    <x v="65"/>
    <d v="2018-01-09T00:00:00"/>
    <x v="24"/>
    <n v="10755405746"/>
    <s v="M-MUŠKO"/>
    <d v="1978-06-23T00:00:00"/>
    <s v="OSIJEK"/>
    <s v="HRVATSKO"/>
    <s v="Alojzija Stepinca 2, Beli Manastir"/>
    <s v="NE"/>
    <s v="SSS"/>
    <m/>
    <s v="Trgovački dem. i prodavač"/>
    <s v="Trgovački dem. i prodavač"/>
    <s v="NEODREĐENO"/>
    <d v="2018-01-19T00:00:00"/>
    <s v="PUNO"/>
    <n v="40"/>
    <m/>
    <m/>
    <m/>
    <m/>
    <m/>
    <m/>
    <m/>
    <s v="Otkaz radnika"/>
    <m/>
    <m/>
    <m/>
    <n v="3750"/>
    <n v="1"/>
    <n v="3000"/>
    <m/>
    <m/>
    <m/>
    <m/>
    <m/>
    <m/>
    <m/>
    <m/>
    <m/>
    <n v="0"/>
    <x v="0"/>
    <n v="87"/>
  </r>
  <r>
    <n v="77"/>
    <n v="9"/>
    <x v="4"/>
    <n v="46869408875"/>
    <s v="Rudolf Gergelj"/>
    <s v="J.J. Strossmayera 333, 31000 Osijek"/>
    <x v="66"/>
    <d v="2018-01-09T00:00:00"/>
    <x v="25"/>
    <n v="27081082594"/>
    <s v="Ž-ŽENSKO"/>
    <d v="1972-02-12T00:00:00"/>
    <s v="OSIJEK"/>
    <s v="HRVATSKO"/>
    <s v="J.J. Strossmayera 188, Osijek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n v="19"/>
    <n v="12"/>
    <s v="28.07.2018-15.08.2018"/>
    <n v="12"/>
    <s v="14.12.2018-31.12.2018"/>
    <m/>
    <n v="0"/>
    <x v="0"/>
    <n v="88"/>
  </r>
  <r>
    <n v="78"/>
    <n v="9"/>
    <x v="4"/>
    <n v="46869408875"/>
    <s v="Rudolf Gergelj"/>
    <s v="J.J. Strossmayera 333, 31000 Osijek"/>
    <x v="67"/>
    <d v="2018-01-16T00:00:00"/>
    <x v="5"/>
    <n v="24048586201"/>
    <s v="Ž-ŽENSKO"/>
    <d v="1997-10-24T00:00:00"/>
    <s v="OSIJEK"/>
    <s v="HRVATSKO"/>
    <s v="Plješevička 7, Osijek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n v="18"/>
    <n v="12"/>
    <s v="28.07.2018-15.08.2018"/>
    <n v="12"/>
    <s v="14.12.2018-31.12.2018"/>
    <m/>
    <n v="0"/>
    <x v="0"/>
    <n v="89"/>
  </r>
  <r>
    <n v="79"/>
    <n v="9"/>
    <x v="4"/>
    <n v="46869408875"/>
    <s v="Rudolf Gergelj"/>
    <s v="J.J. Strossmayera 333, 31000 Osijek"/>
    <x v="68"/>
    <d v="2018-01-24T00:00:00"/>
    <x v="26"/>
    <n v="96761552820"/>
    <s v="Ž-ŽENSKO"/>
    <d v="1964-05-18T00:00:00"/>
    <s v="OSIJEK"/>
    <s v="HRVATSKO"/>
    <s v="Biljske Satnije ZNG RH 34, Bilje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.7"/>
    <n v="2751.84"/>
    <m/>
    <m/>
    <m/>
    <n v="18"/>
    <n v="12"/>
    <s v="28.07.2018-15.08.2018"/>
    <n v="12"/>
    <s v="14.12.2018-31.12.2018"/>
    <m/>
    <n v="0"/>
    <x v="0"/>
    <n v="90"/>
  </r>
  <r>
    <n v="80"/>
    <n v="9"/>
    <x v="4"/>
    <n v="46869408875"/>
    <s v="Rudolf Gergelj"/>
    <s v="J.J. Strossmayera 333, 31000 Osijek"/>
    <x v="16"/>
    <d v="2018-01-24T00:00:00"/>
    <x v="13"/>
    <s v="17153736363"/>
    <s v="M-MUŠKO"/>
    <d v="1990-05-31T00:00:00"/>
    <s v="OSIJEK"/>
    <s v="HRVATSKO"/>
    <s v="Ulica Augusta Šenoe 7, Biz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n v="18"/>
    <n v="12"/>
    <s v="28.07.2018-15.08.2018"/>
    <n v="12"/>
    <s v="14.12.2018-31.12.2018"/>
    <m/>
    <n v="0"/>
    <x v="0"/>
    <n v="91"/>
  </r>
  <r>
    <n v="81"/>
    <n v="9"/>
    <x v="4"/>
    <n v="46869408875"/>
    <s v="Rudolf Gergelj"/>
    <s v="J.J. Strossmayera 333, 31000 Osijek"/>
    <x v="69"/>
    <d v="2018-01-25T00:00:00"/>
    <x v="27"/>
    <n v="55473296794"/>
    <s v="Ž-ŽENSKO"/>
    <d v="1997-10-29T00:00:00"/>
    <s v="Doboj, BIH"/>
    <s v="HRVATSKO"/>
    <s v="Ulica Josipa Reihl-Kira 1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m/>
    <n v="3750"/>
    <n v="1"/>
    <n v="3000"/>
    <m/>
    <m/>
    <m/>
    <n v="18"/>
    <n v="12"/>
    <s v="28.07.2018-15.08.2018"/>
    <n v="12"/>
    <s v="14.12.2018-31.12.2018"/>
    <m/>
    <n v="0"/>
    <x v="0"/>
    <n v="92"/>
  </r>
  <r>
    <n v="82"/>
    <n v="9"/>
    <x v="4"/>
    <n v="46869408875"/>
    <s v="Rudolf Gergelj"/>
    <s v="J.J. Strossmayera 333, 31000 Osijek"/>
    <x v="70"/>
    <d v="2018-02-12T00:00:00"/>
    <x v="13"/>
    <n v="90926163669"/>
    <s v="Ž-ŽENSKO"/>
    <d v="1988-04-08T00:00:00"/>
    <s v="OSIJEK"/>
    <s v="HRVATSKO"/>
    <s v="Sjenjak 11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n v="16"/>
    <n v="12"/>
    <s v="28.07.2018-15.08.2018"/>
    <n v="12"/>
    <s v="14.12.2018-31.12.2018"/>
    <m/>
    <m/>
    <x v="0"/>
    <n v="94"/>
  </r>
  <r>
    <n v="83"/>
    <n v="9"/>
    <x v="4"/>
    <n v="46869408875"/>
    <s v="Rudolf Gergelj"/>
    <s v="J.J. Strossmayera 333, 31000 Osijek"/>
    <x v="71"/>
    <d v="2018-02-12T00:00:00"/>
    <x v="11"/>
    <n v="46616191748"/>
    <s v="Ž-ŽENSKO"/>
    <d v="1994-02-24T00:00:00"/>
    <s v="OSIJEK"/>
    <s v="HRVATSKO"/>
    <s v="Krstova Ulica 78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m/>
    <n v="3750"/>
    <n v="1"/>
    <n v="3000"/>
    <m/>
    <m/>
    <m/>
    <n v="16"/>
    <n v="12"/>
    <s v="28.07.2018-15.08.2018"/>
    <n v="12"/>
    <s v="14.12.2018-31.12.2018"/>
    <m/>
    <m/>
    <x v="0"/>
    <n v="93"/>
  </r>
  <r>
    <n v="84"/>
    <n v="9"/>
    <x v="4"/>
    <n v="46869408875"/>
    <s v="Rudolf Gergelj"/>
    <s v="J.J. Strossmayera 333, 31000 Osijek"/>
    <x v="72"/>
    <d v="2018-02-19T00:00:00"/>
    <x v="11"/>
    <n v="32686911736"/>
    <s v="M-MUŠKO"/>
    <d v="1996-02-19T00:00:00"/>
    <s v="OSIJEK"/>
    <s v="HRVATSKO"/>
    <s v="Ištvana Vencela 2, Gajić, Draž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m/>
    <n v="3750"/>
    <n v="1"/>
    <n v="3000"/>
    <m/>
    <m/>
    <m/>
    <n v="16"/>
    <n v="12"/>
    <s v="28.07.2018-15.08.2018"/>
    <n v="12"/>
    <s v="14.12.2018-31.12.2018"/>
    <m/>
    <m/>
    <x v="0"/>
    <n v="95"/>
  </r>
  <r>
    <n v="85"/>
    <n v="9"/>
    <x v="4"/>
    <n v="46869408875"/>
    <s v="Rudolf Gergelj"/>
    <s v="J.J. Strossmayera 333, 31000 Osijek"/>
    <x v="73"/>
    <d v="2018-03-02T00:00:00"/>
    <x v="13"/>
    <n v="91673634768"/>
    <s v="Ž-ŽENSKO"/>
    <d v="1997-08-13T00:00:00"/>
    <s v="OSIJEK"/>
    <s v="HRVATSKO"/>
    <s v="Školska 100, Antun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x v="0"/>
    <n v="96"/>
  </r>
  <r>
    <n v="86"/>
    <n v="7"/>
    <x v="6"/>
    <n v="67091284267"/>
    <s v="Laszlo Szabo-Kocsis"/>
    <s v="J.J. Strossmayera 333, 31000 Osijek"/>
    <x v="74"/>
    <d v="2018-03-05T00:00:00"/>
    <x v="28"/>
    <n v="20893134129"/>
    <s v="M-MUŠKO"/>
    <d v="1975-03-04T00:00:00"/>
    <s v="Sremska Mitrovica, SRB"/>
    <s v="HRVATSKO"/>
    <s v="Crni put 58, Višnjevac, Osijek"/>
    <s v="NE"/>
    <s v="VSS"/>
    <m/>
    <s v="Komercijalist"/>
    <s v="Komercijalist"/>
    <s v="NEODREĐENO"/>
    <m/>
    <s v="PUNO"/>
    <n v="40"/>
    <m/>
    <m/>
    <m/>
    <m/>
    <m/>
    <m/>
    <s v="Osijek"/>
    <m/>
    <m/>
    <m/>
    <m/>
    <n v="4125"/>
    <n v="1"/>
    <n v="3300"/>
    <m/>
    <m/>
    <m/>
    <m/>
    <m/>
    <m/>
    <m/>
    <m/>
    <m/>
    <m/>
    <x v="0"/>
    <m/>
  </r>
  <r>
    <n v="87"/>
    <n v="9"/>
    <x v="4"/>
    <n v="46869408875"/>
    <s v="Rudolf Gergelj"/>
    <s v="J.J. Strossmayera 333, 31000 Osijek"/>
    <x v="75"/>
    <d v="2018-03-07T00:00:00"/>
    <x v="13"/>
    <n v="40041577579"/>
    <s v="Ž-ŽENSKO"/>
    <d v="1979-12-26T00:00:00"/>
    <s v="OSIJEK"/>
    <s v="HRVATSKO"/>
    <s v="J.J. Strossmayera 216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x v="0"/>
    <n v="97"/>
  </r>
  <r>
    <n v="88"/>
    <n v="3"/>
    <x v="1"/>
    <s v="09677499852"/>
    <s v="Zoltan Terek"/>
    <s v="Južno Pregrađe 38, Osijek"/>
    <x v="76"/>
    <d v="2018-05-07T00:00:00"/>
    <x v="29"/>
    <s v="01107438327"/>
    <s v="Ž-ŽENSKO"/>
    <d v="1982-09-19T00:00:00"/>
    <m/>
    <s v="HRVATSKO"/>
    <s v="Sutlanska 3, Osijek"/>
    <s v="NE"/>
    <s v="VSS"/>
    <m/>
    <s v="Administrativni referent"/>
    <s v="ADMINISTRATIVNI DJELATNIK"/>
    <s v="ODREĐENO"/>
    <d v="2018-11-30T00:00:00"/>
    <s v="PUNO"/>
    <n v="40"/>
    <m/>
    <m/>
    <m/>
    <m/>
    <m/>
    <m/>
    <s v="Osijek"/>
    <m/>
    <m/>
    <m/>
    <s v="NE"/>
    <n v="5950.6"/>
    <n v="1"/>
    <n v="4500"/>
    <m/>
    <m/>
    <m/>
    <m/>
    <m/>
    <m/>
    <m/>
    <m/>
    <m/>
    <m/>
    <x v="0"/>
    <n v="8"/>
  </r>
  <r>
    <n v="89"/>
    <n v="9"/>
    <x v="4"/>
    <n v="46869408875"/>
    <s v="Rudolf Gergelj"/>
    <s v="J.J. Strossmayera 333, 31000 Osijek"/>
    <x v="77"/>
    <d v="2018-05-08T00:00:00"/>
    <x v="13"/>
    <n v="21298366100"/>
    <s v="Ž-ŽENSKO"/>
    <d v="1971-09-24T00:00:00"/>
    <s v="Kneževo"/>
    <s v="HRVATSKO"/>
    <s v="J.J.STROSSMAYERA 230 OSIJEK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48"/>
    <m/>
    <m/>
    <m/>
    <m/>
    <m/>
    <m/>
    <m/>
    <m/>
    <m/>
    <m/>
    <x v="0"/>
    <n v="98"/>
  </r>
  <r>
    <n v="90"/>
    <n v="15"/>
    <x v="7"/>
    <n v="68539395396"/>
    <s v="Zoran Francisković"/>
    <s v="Koprivnička 25 a, 31000 Osijek"/>
    <x v="78"/>
    <d v="2018-05-08T00:00:00"/>
    <x v="3"/>
    <n v="37804110038"/>
    <s v="M-MUŠKO"/>
    <d v="1972-03-18T00:00:00"/>
    <s v="OSIJEK"/>
    <s v="HRVATSKO"/>
    <s v="Koprivnička 25a, 31000 Osijek"/>
    <s v="NE"/>
    <s v="SSS"/>
    <m/>
    <s v="Keramičar"/>
    <s v="Keramičar"/>
    <s v="NEODREĐENO"/>
    <m/>
    <s v="PUNO"/>
    <n v="40"/>
    <s v="HR61 2340 0093 2029 7065 6"/>
    <m/>
    <m/>
    <m/>
    <m/>
    <m/>
    <s v="Osijek"/>
    <m/>
    <m/>
    <m/>
    <m/>
    <n v="5213"/>
    <n v="1"/>
    <m/>
    <m/>
    <m/>
    <m/>
    <m/>
    <m/>
    <m/>
    <m/>
    <m/>
    <m/>
    <m/>
    <x v="1"/>
    <m/>
  </r>
  <r>
    <n v="91"/>
    <n v="15"/>
    <x v="7"/>
    <n v="68539395396"/>
    <s v="Zoran Francisković"/>
    <s v="Koprivnička 25 a, 31000 Osijek"/>
    <x v="79"/>
    <d v="2018-05-08T00:00:00"/>
    <x v="3"/>
    <n v="68539395396"/>
    <s v="M-MUŠKO"/>
    <d v="1977-05-12T00:00:00"/>
    <s v="OSIJEK"/>
    <s v="HRVATSKO"/>
    <s v="Hrvatske Republike 18, 31000 Osijek"/>
    <s v="NE"/>
    <s v="SSS"/>
    <m/>
    <s v="Keramičar"/>
    <s v="Keramičar"/>
    <s v="NEODREĐENO"/>
    <m/>
    <s v="PUNO"/>
    <n v="40"/>
    <s v="HR54 2500 0093 2049 6435 1"/>
    <m/>
    <m/>
    <m/>
    <m/>
    <m/>
    <s v="Osijek"/>
    <m/>
    <m/>
    <m/>
    <m/>
    <n v="4200"/>
    <n v="1"/>
    <m/>
    <m/>
    <m/>
    <m/>
    <m/>
    <m/>
    <m/>
    <m/>
    <m/>
    <m/>
    <m/>
    <x v="1"/>
    <m/>
  </r>
  <r>
    <n v="92"/>
    <n v="9"/>
    <x v="4"/>
    <n v="46869408875"/>
    <s v="Rudolf Gergelj"/>
    <s v="J.J. Strossmayera 333, 31000 Osijek"/>
    <x v="80"/>
    <d v="2018-05-16T00:00:00"/>
    <x v="13"/>
    <n v="22669024508"/>
    <s v="Ž-ŽENSKO"/>
    <d v="1997-12-27T00:00:00"/>
    <s v="OSIJEK"/>
    <s v="HRVATSKO"/>
    <s v="CRKVENA ULICA 16, 31000 OSIJEK"/>
    <s v="NE"/>
    <s v="SSS"/>
    <m/>
    <s v="Telefonist-operater u call c."/>
    <s v="Telefonist-operater u call c."/>
    <s v="NEODREĐENO"/>
    <m/>
    <s v="PUNO"/>
    <n v="40"/>
    <s v="HR94 2340 0093 2324 7707 4"/>
    <m/>
    <m/>
    <m/>
    <m/>
    <m/>
    <s v="Osijek"/>
    <m/>
    <m/>
    <m/>
    <m/>
    <n v="3439.8"/>
    <n v="1"/>
    <n v="2751.84"/>
    <m/>
    <m/>
    <m/>
    <m/>
    <m/>
    <m/>
    <m/>
    <m/>
    <m/>
    <m/>
    <x v="0"/>
    <n v="99"/>
  </r>
  <r>
    <n v="93"/>
    <n v="9"/>
    <x v="4"/>
    <n v="46869408875"/>
    <s v="Rudolf Gergelj"/>
    <s v="J.J. Strossmayera 333, 31000 Osijek"/>
    <x v="81"/>
    <d v="2018-05-17T00:00:00"/>
    <x v="13"/>
    <n v="27422215847"/>
    <s v="Ž-ŽENSKO"/>
    <d v="1996-04-27T00:00:00"/>
    <m/>
    <s v="HRVATSKO"/>
    <s v="Zagrebačka 31, Našice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x v="0"/>
    <n v="100"/>
  </r>
  <r>
    <n v="94"/>
    <n v="16"/>
    <x v="8"/>
    <n v="18241574410"/>
    <s v="LASZLO TIBOR"/>
    <s v="Ivana Gundulića 28"/>
    <x v="22"/>
    <d v="2018-05-25T00:00:00"/>
    <x v="30"/>
    <s v="38288739117"/>
    <s v="Ž-ŽENSKO"/>
    <d v="1968-04-15T00:00:00"/>
    <s v="OSIJEK"/>
    <s v="HRVATSKO"/>
    <s v="Maršala Tita 132., Zma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8426.4599999999991"/>
    <n v="1"/>
    <n v="6000"/>
    <m/>
    <m/>
    <m/>
    <n v="20"/>
    <n v="12"/>
    <s v="28.07.2018-15.08.2018"/>
    <n v="12"/>
    <s v="14.12.2018-31.12.2018"/>
    <m/>
    <n v="0"/>
    <x v="0"/>
    <n v="2"/>
  </r>
  <r>
    <n v="95"/>
    <n v="16"/>
    <x v="8"/>
    <n v="18241574410"/>
    <s v="LASZLO TIBOR"/>
    <s v="Ivana Gundulića 28"/>
    <x v="23"/>
    <d v="2018-05-25T00:00:00"/>
    <x v="30"/>
    <s v="92132715760"/>
    <s v="M-MUŠKO"/>
    <d v="1993-03-10T00:00:00"/>
    <s v="OSIJEK"/>
    <s v="HRVATSKO"/>
    <s v="Šandora Petefija 57. Zmajevac"/>
    <s v="NE"/>
    <s v="SSS"/>
    <m/>
    <s v="Trgovački dem. i prodavač"/>
    <s v="Trgovački dem. i prodavač"/>
    <s v="NEODREĐENO"/>
    <m/>
    <s v="PUNO"/>
    <n v="40"/>
    <s v="HR39 2340 0093 2192 5250 2"/>
    <s v="03580970793"/>
    <m/>
    <m/>
    <m/>
    <m/>
    <s v="Osijek"/>
    <m/>
    <m/>
    <m/>
    <s v="NE"/>
    <n v="3750"/>
    <n v="1"/>
    <n v="3000"/>
    <n v="2100"/>
    <m/>
    <m/>
    <n v="20"/>
    <n v="12"/>
    <s v="28.07.2018-15.08.2018"/>
    <n v="12"/>
    <s v="14.12.2018-31.12.2018"/>
    <m/>
    <n v="0"/>
    <x v="0"/>
    <n v="3"/>
  </r>
  <r>
    <n v="96"/>
    <n v="16"/>
    <x v="8"/>
    <n v="18241574410"/>
    <s v="LASZLO TIBOR"/>
    <s v="Ivana Gundulića 28"/>
    <x v="24"/>
    <d v="2018-05-25T00:00:00"/>
    <x v="30"/>
    <n v="24461973764"/>
    <s v="Ž-ŽENSKO"/>
    <d v="1993-03-11T00:00:00"/>
    <s v="OSIJEK"/>
    <s v="HRVATSKO"/>
    <s v="J.Pannoniusa 9., Branjin Vrh"/>
    <s v="NE"/>
    <s v="SSS"/>
    <m/>
    <s v="Trgovački dem. i prodavač"/>
    <s v="Trgovački dem. i prodavač"/>
    <s v="NEODREĐENO"/>
    <m/>
    <s v="PUNO"/>
    <n v="40"/>
    <s v="HR53 2390 0013 2910 0589 6"/>
    <s v="03579621740"/>
    <m/>
    <m/>
    <m/>
    <m/>
    <s v="Osijek"/>
    <m/>
    <m/>
    <m/>
    <s v="NE"/>
    <n v="3750"/>
    <n v="1"/>
    <n v="3000"/>
    <n v="600"/>
    <m/>
    <m/>
    <n v="20"/>
    <n v="12"/>
    <s v="28.07.2018-15.08.2018"/>
    <n v="12"/>
    <s v="14.12.2018-31.12.2018"/>
    <m/>
    <n v="0"/>
    <x v="0"/>
    <n v="4"/>
  </r>
  <r>
    <n v="97"/>
    <n v="16"/>
    <x v="8"/>
    <n v="18241574410"/>
    <s v="LASZLO TIBOR"/>
    <s v="Ivana Gundulića 28"/>
    <x v="25"/>
    <d v="2018-05-25T00:00:00"/>
    <x v="30"/>
    <s v="22044787722"/>
    <s v="M-MUŠKO"/>
    <d v="1993-03-12T00:00:00"/>
    <s v="OSIJEK"/>
    <s v="HRVATSKO"/>
    <s v="Glavna 100., Podolje"/>
    <s v="NE"/>
    <s v="SSS"/>
    <m/>
    <s v="Trgovački dem. i prodavač"/>
    <s v="Trgovački dem. i prodavač"/>
    <s v="NEODREĐENO"/>
    <m/>
    <s v="PUNO"/>
    <n v="40"/>
    <s v="HR17 2340 0093 2303 6725 5"/>
    <s v="03593234902"/>
    <m/>
    <m/>
    <m/>
    <m/>
    <s v="Osijek"/>
    <m/>
    <m/>
    <m/>
    <s v="NE"/>
    <n v="3750"/>
    <n v="1"/>
    <n v="3000"/>
    <n v="1000"/>
    <m/>
    <m/>
    <n v="20"/>
    <n v="12"/>
    <s v="28.07.2018-15.08.2018"/>
    <n v="12"/>
    <s v="14.12.2018-31.12.2018"/>
    <m/>
    <n v="0"/>
    <x v="0"/>
    <n v="5"/>
  </r>
  <r>
    <n v="98"/>
    <n v="16"/>
    <x v="8"/>
    <n v="18241574410"/>
    <s v="LASZLO TIBOR"/>
    <s v="Ivana Gundulića 28"/>
    <x v="26"/>
    <d v="2018-05-25T00:00:00"/>
    <x v="30"/>
    <s v="45227899437"/>
    <s v="M-MUŠKO"/>
    <d v="1993-03-13T00:00:00"/>
    <s v="OSIJEK"/>
    <s v="HRVATSKO"/>
    <s v="Maršala Tita 129., Suza"/>
    <s v="NE"/>
    <s v="SSS"/>
    <m/>
    <s v="Trgovački dem. i prodavač"/>
    <s v="Trgovački dem. i prodavač"/>
    <s v="NEODREĐENO"/>
    <m/>
    <s v="PUNO"/>
    <n v="40"/>
    <s v="HR81 2340 0093 2192 9074 0"/>
    <s v="03581190304"/>
    <m/>
    <m/>
    <m/>
    <m/>
    <s v="Osijek"/>
    <m/>
    <m/>
    <m/>
    <s v="NE"/>
    <n v="3750"/>
    <n v="1"/>
    <n v="3000"/>
    <n v="2000"/>
    <m/>
    <m/>
    <n v="20"/>
    <n v="12"/>
    <s v="28.07.2018-15.08.2018"/>
    <n v="12"/>
    <s v="14.12.2018-31.12.2018"/>
    <m/>
    <n v="0"/>
    <x v="0"/>
    <n v="6"/>
  </r>
  <r>
    <n v="99"/>
    <n v="16"/>
    <x v="8"/>
    <n v="18241574410"/>
    <s v="LASZLO TIBOR"/>
    <s v="Ivana Gundulića 28"/>
    <x v="30"/>
    <d v="2018-06-01T00:00:00"/>
    <x v="30"/>
    <s v="00951235574"/>
    <s v="M-MUŠKO"/>
    <d v="1993-03-25T00:00:00"/>
    <s v="OSIJEK"/>
    <s v="HRVATSKO"/>
    <s v="Vijenac Petrove Gore 13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18"/>
  </r>
  <r>
    <n v="100"/>
    <n v="16"/>
    <x v="8"/>
    <n v="18241574410"/>
    <s v="LASZLO TIBOR"/>
    <s v="Ivana Gundulića 28"/>
    <x v="31"/>
    <d v="2018-06-01T00:00:00"/>
    <x v="30"/>
    <s v="46651411474"/>
    <s v="Ž-ŽENSKO"/>
    <d v="1993-03-26T00:00:00"/>
    <s v="OSIJEK"/>
    <s v="HRVATSKO"/>
    <s v="Psunjska 93 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19"/>
  </r>
  <r>
    <n v="101"/>
    <n v="16"/>
    <x v="8"/>
    <n v="18241574410"/>
    <s v="LASZLO TIBOR"/>
    <s v="Ivana Gundulića 28"/>
    <x v="32"/>
    <d v="2018-06-01T00:00:00"/>
    <x v="30"/>
    <s v="16065838903"/>
    <s v="Ž-ŽENSKO"/>
    <d v="1993-03-27T00:00:00"/>
    <s v="OSIJEK"/>
    <s v="HRVATSKO"/>
    <s v="Martina Divalta 168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5093.03"/>
    <n v="1"/>
    <n v="4000"/>
    <n v="250"/>
    <m/>
    <m/>
    <n v="20"/>
    <n v="12"/>
    <s v="28.07.2018-15.08.2018"/>
    <n v="12"/>
    <s v="14.12.2018-31.12.2018"/>
    <m/>
    <n v="0"/>
    <x v="0"/>
    <n v="20"/>
  </r>
  <r>
    <n v="102"/>
    <n v="16"/>
    <x v="8"/>
    <n v="18241574410"/>
    <s v="LASZLO TIBOR"/>
    <s v="Ivana Gundulića 28"/>
    <x v="33"/>
    <d v="2018-06-01T00:00:00"/>
    <x v="30"/>
    <s v="91993718714"/>
    <s v="Ž-ŽENSKO"/>
    <d v="1993-03-28T00:00:00"/>
    <s v="OSIJEK"/>
    <s v="HRVATSKO"/>
    <s v="Josipa Kozarca 25., Višnje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21"/>
  </r>
  <r>
    <n v="103"/>
    <n v="16"/>
    <x v="8"/>
    <n v="18241574410"/>
    <s v="LASZLO TIBOR"/>
    <s v="Ivana Gundulića 28"/>
    <x v="35"/>
    <d v="2018-06-01T00:00:00"/>
    <x v="30"/>
    <s v="68121059947"/>
    <s v="Ž-ŽENSKO"/>
    <d v="1993-03-31T00:00:00"/>
    <s v="OSIJEK"/>
    <s v="HRVATSKO"/>
    <s v="Mlinska 100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24"/>
  </r>
  <r>
    <n v="104"/>
    <n v="16"/>
    <x v="8"/>
    <n v="18241574410"/>
    <s v="LASZLO TIBOR"/>
    <s v="Ivana Gundulića 28"/>
    <x v="36"/>
    <d v="2018-06-01T00:00:00"/>
    <x v="30"/>
    <s v="19036979307"/>
    <s v="Ž-ŽENSKO"/>
    <d v="1993-04-01T00:00:00"/>
    <s v="OSIJEK"/>
    <s v="HRVATSKO"/>
    <s v="Vijenac Dinare 5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25"/>
  </r>
  <r>
    <n v="105"/>
    <n v="16"/>
    <x v="8"/>
    <n v="18241574410"/>
    <s v="LASZLO TIBOR"/>
    <s v="Ivana Gundulića 28"/>
    <x v="80"/>
    <d v="2018-06-01T00:00:00"/>
    <x v="31"/>
    <n v="22669024508"/>
    <s v="Ž-ŽENSKO"/>
    <d v="1997-12-27T00:00:00"/>
    <s v="OSIJEK"/>
    <s v="HRVATSKO"/>
    <s v="CRKVENA ULICA 16, 31000 OSIJEK"/>
    <s v="NE"/>
    <s v="SSS"/>
    <m/>
    <s v="Telefonist-operater u call c."/>
    <s v="Telefonist-operater u call c."/>
    <s v="NEODREĐENO"/>
    <m/>
    <s v="PUNO"/>
    <n v="40"/>
    <s v="HR94 2340 0093 2324 7707 4"/>
    <m/>
    <m/>
    <m/>
    <m/>
    <m/>
    <s v="Osijek"/>
    <m/>
    <m/>
    <m/>
    <m/>
    <n v="3439.8"/>
    <n v="1"/>
    <n v="2751.84"/>
    <m/>
    <m/>
    <m/>
    <m/>
    <m/>
    <m/>
    <m/>
    <m/>
    <m/>
    <m/>
    <x v="0"/>
    <n v="99"/>
  </r>
  <r>
    <n v="106"/>
    <n v="16"/>
    <x v="8"/>
    <n v="18241574410"/>
    <s v="LASZLO TIBOR"/>
    <s v="Ivana Gundulića 28"/>
    <x v="41"/>
    <d v="2018-06-01T00:00:00"/>
    <x v="32"/>
    <n v="63681749207"/>
    <s v="M-MUŠKO"/>
    <d v="1993-04-07T00:00:00"/>
    <s v="OSIJEK"/>
    <s v="HRVATSKO"/>
    <s v="Kralja Tomislava 147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31"/>
  </r>
  <r>
    <n v="107"/>
    <n v="16"/>
    <x v="8"/>
    <n v="18241574410"/>
    <s v="LASZLO TIBOR"/>
    <s v="Ivana Gundulića 28"/>
    <x v="82"/>
    <d v="2018-06-07T00:00:00"/>
    <x v="30"/>
    <n v="93260758620"/>
    <s v="Ž-ŽENSKO"/>
    <d v="1976-12-22T00:00:00"/>
    <s v="OSIJEK"/>
    <s v="HRVATSKO"/>
    <s v="bilje, lug , šandora petefija 114 a"/>
    <s v="NE"/>
    <s v="SSS"/>
    <m/>
    <s v="Telefonist-operater u call c."/>
    <s v="Telefonist-operater u call c."/>
    <s v="NEODREĐENO"/>
    <m/>
    <s v="PUNO"/>
    <n v="40"/>
    <s v="HR2923600003238444952"/>
    <m/>
    <m/>
    <m/>
    <m/>
    <m/>
    <s v="Osijek"/>
    <m/>
    <m/>
    <m/>
    <m/>
    <n v="3439.8"/>
    <n v="2.7"/>
    <n v="2751.81"/>
    <m/>
    <m/>
    <m/>
    <m/>
    <m/>
    <m/>
    <m/>
    <m/>
    <m/>
    <m/>
    <x v="0"/>
    <n v="102"/>
  </r>
  <r>
    <n v="108"/>
    <n v="16"/>
    <x v="8"/>
    <n v="18241574410"/>
    <s v="LASZLO TIBOR"/>
    <s v="Ivana Gundulića 28"/>
    <x v="42"/>
    <d v="2018-06-01T00:00:00"/>
    <x v="30"/>
    <s v="04668761853"/>
    <s v="Ž-ŽENSKO"/>
    <d v="1993-04-08T00:00:00"/>
    <s v="OSIJEK"/>
    <s v="HRVATSKO"/>
    <s v="Trg Ante Starčevića 4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32"/>
  </r>
  <r>
    <n v="109"/>
    <n v="17"/>
    <x v="9"/>
    <n v="7942284015"/>
    <s v="DOMOKOS ISTVAN"/>
    <s v="VRTNA 35,  BRIJEŠĆE"/>
    <x v="83"/>
    <d v="2017-05-25T00:00:00"/>
    <x v="33"/>
    <n v="56939657606"/>
    <s v="Ž-ŽENSKO"/>
    <d v="1959-11-15T00:00:00"/>
    <s v="OSIJEK"/>
    <s v="HRVATSKO"/>
    <s v="BRIJEŠĆE, VRTNA 35"/>
    <s v="NE"/>
    <s v="SSS"/>
    <m/>
    <s v="Komercijalist"/>
    <s v="Komercijalist"/>
    <s v="NEODREĐENO"/>
    <m/>
    <s v="PUNO"/>
    <n v="40"/>
    <s v="HR4823600003211476379"/>
    <m/>
    <m/>
    <m/>
    <m/>
    <m/>
    <s v="Osijek"/>
    <m/>
    <m/>
    <m/>
    <m/>
    <n v="4180.8900000000003"/>
    <n v="1"/>
    <m/>
    <m/>
    <m/>
    <m/>
    <m/>
    <m/>
    <m/>
    <m/>
    <m/>
    <m/>
    <m/>
    <x v="1"/>
    <n v="2"/>
  </r>
  <r>
    <n v="110"/>
    <n v="16"/>
    <x v="8"/>
    <n v="18241574410"/>
    <s v="LASZLO TIBOR"/>
    <s v="Ivana Gundulića 28"/>
    <x v="43"/>
    <d v="2018-06-01T00:00:00"/>
    <x v="30"/>
    <s v="16260284290"/>
    <s v="Ž-ŽENSKO"/>
    <d v="1993-04-10T00:00:00"/>
    <s v="OSIJEK"/>
    <s v="HRVATSKO"/>
    <s v="Šandor Petefija 116."/>
    <s v="NE"/>
    <s v="SSS"/>
    <m/>
    <s v="Voditelj call centra"/>
    <s v="Voditelj call centra"/>
    <s v="NEODREĐENO"/>
    <m/>
    <s v="PUNO"/>
    <n v="40"/>
    <m/>
    <m/>
    <m/>
    <m/>
    <m/>
    <m/>
    <s v="Osijek"/>
    <m/>
    <m/>
    <m/>
    <s v="NE"/>
    <n v="4375"/>
    <n v="2.7"/>
    <n v="3500"/>
    <m/>
    <m/>
    <m/>
    <n v="20"/>
    <n v="12"/>
    <s v="28.07.2018-15.08.2018"/>
    <n v="12"/>
    <s v="14.12.2018-31.12.2018"/>
    <m/>
    <n v="0"/>
    <x v="0"/>
    <n v="34"/>
  </r>
  <r>
    <n v="111"/>
    <n v="16"/>
    <x v="8"/>
    <n v="18241574410"/>
    <s v="LASZLO TIBOR"/>
    <s v="Ivana Gundulića 28"/>
    <x v="44"/>
    <d v="2018-06-01T00:00:00"/>
    <x v="30"/>
    <s v="02808842683"/>
    <s v="Ž-ŽENSKO"/>
    <d v="1993-04-11T00:00:00"/>
    <s v="OSIJEK"/>
    <s v="HRVATSKO"/>
    <s v="Kralja Tomislava 6 c, Višnjev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35"/>
  </r>
  <r>
    <n v="112"/>
    <n v="16"/>
    <x v="8"/>
    <n v="18241574410"/>
    <s v="LASZLO TIBOR"/>
    <s v="Ivana Gundulića 28"/>
    <x v="45"/>
    <d v="2018-06-01T00:00:00"/>
    <x v="30"/>
    <s v="99900276984"/>
    <s v="Ž-ŽENSKO"/>
    <d v="1993-04-15T00:00:00"/>
    <s v="OSIJEK"/>
    <s v="HRVATSKO"/>
    <s v="Kralja Petra Krešimira IV. 83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39"/>
  </r>
  <r>
    <n v="113"/>
    <n v="16"/>
    <x v="8"/>
    <n v="18241574410"/>
    <s v="LASZLO TIBOR"/>
    <s v="Ivana Gundulića 28"/>
    <x v="46"/>
    <d v="2018-06-01T00:00:00"/>
    <x v="30"/>
    <s v="56488239997"/>
    <s v="Ž-ŽENSKO"/>
    <d v="1993-04-16T00:00:00"/>
    <s v="OSIJEK"/>
    <s v="HRVATSKO"/>
    <s v="Ribarska 31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2.7"/>
    <n v="2751.84"/>
    <m/>
    <m/>
    <m/>
    <n v="20"/>
    <n v="12"/>
    <s v="28.07.2018-15.08.2018"/>
    <n v="12"/>
    <s v="14.12.2018-31.12.2018"/>
    <m/>
    <n v="0"/>
    <x v="0"/>
    <n v="40"/>
  </r>
  <r>
    <n v="114"/>
    <n v="16"/>
    <x v="8"/>
    <n v="18241574410"/>
    <s v="LASZLO TIBOR"/>
    <s v="Ivana Gundulića 28"/>
    <x v="47"/>
    <d v="2018-06-01T00:00:00"/>
    <x v="30"/>
    <s v="05826363901"/>
    <s v="Ž-ŽENSKO"/>
    <d v="1993-04-18T00:00:00"/>
    <s v="OSIJEK"/>
    <s v="HRVATSKO"/>
    <s v="Dr.F.Tuđmana 14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42"/>
  </r>
  <r>
    <n v="115"/>
    <n v="16"/>
    <x v="8"/>
    <n v="18241574410"/>
    <s v="LASZLO TIBOR"/>
    <s v="Ivana Gundulića 28"/>
    <x v="48"/>
    <d v="2018-06-01T00:00:00"/>
    <x v="30"/>
    <s v="07065659312"/>
    <s v="Ž-ŽENSKO"/>
    <d v="1993-04-20T00:00:00"/>
    <s v="OSIJEK"/>
    <s v="HRVATSKO"/>
    <s v="Šandora Petefija 126, Lug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5084.22"/>
    <n v="1"/>
    <n v="4000"/>
    <n v="747"/>
    <m/>
    <m/>
    <n v="20"/>
    <n v="12"/>
    <s v="28.07.2018-15.08.2018"/>
    <n v="12"/>
    <s v="14.12.2018-31.12.2018"/>
    <m/>
    <n v="0"/>
    <x v="0"/>
    <n v="44"/>
  </r>
  <r>
    <n v="116"/>
    <n v="16"/>
    <x v="8"/>
    <n v="18241574410"/>
    <s v="LASZLO TIBOR"/>
    <s v="Ivana Gundulića 28"/>
    <x v="84"/>
    <d v="2018-06-06T00:00:00"/>
    <x v="34"/>
    <n v="72020445194"/>
    <s v="Ž-ŽENSKO"/>
    <d v="1995-02-21T00:00:00"/>
    <s v="OSIJEK"/>
    <s v="HRVATSKO"/>
    <s v="TITUŠA BREZOVAČKOG 25, TENJA"/>
    <s v="NE"/>
    <s v="NKV"/>
    <m/>
    <s v="Telefonist-operater u call c."/>
    <s v="Telefonist-operater u call c."/>
    <s v="NEODREĐENO"/>
    <m/>
    <s v="PUNO"/>
    <n v="40"/>
    <s v="HR18 2340 0093 2319 6288 7"/>
    <n v="3605681095"/>
    <m/>
    <m/>
    <m/>
    <m/>
    <s v="Osijek"/>
    <m/>
    <m/>
    <m/>
    <m/>
    <n v="3439.8"/>
    <n v="1"/>
    <n v="2751.48"/>
    <m/>
    <m/>
    <m/>
    <m/>
    <m/>
    <m/>
    <m/>
    <m/>
    <m/>
    <m/>
    <x v="0"/>
    <n v="101"/>
  </r>
  <r>
    <n v="117"/>
    <n v="16"/>
    <x v="8"/>
    <n v="18241574410"/>
    <s v="LASZLO TIBOR"/>
    <s v="Ivana Gundulića 28"/>
    <x v="52"/>
    <d v="2018-06-01T00:00:00"/>
    <x v="30"/>
    <s v="01764937555"/>
    <s v="Ž-ŽENSKO"/>
    <d v="1993-05-10T00:00:00"/>
    <s v="OSIJEK"/>
    <s v="HRVATSKO"/>
    <s v="Creska 10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64"/>
  </r>
  <r>
    <n v="118"/>
    <n v="16"/>
    <x v="8"/>
    <n v="18241574410"/>
    <s v="LASZLO TIBOR"/>
    <s v="Ivana Gundulića 28"/>
    <x v="53"/>
    <d v="2018-05-25T00:00:00"/>
    <x v="30"/>
    <s v="85912850218"/>
    <s v="Ž-ŽENSKO"/>
    <d v="1997-07-31T00:00:00"/>
    <s v="OSIJEK"/>
    <s v="HRVATSKO"/>
    <s v="Vezir 7, Komletinci"/>
    <s v="NE"/>
    <s v="SSS"/>
    <m/>
    <s v="Trgovački dem. i prodavač"/>
    <s v="Trgovački dem. i prodavač"/>
    <s v="NEODREĐENO"/>
    <m/>
    <s v="PUNO"/>
    <n v="40"/>
    <s v="HR88 2340 0093 2310 0792 3"/>
    <s v="03598798970"/>
    <m/>
    <m/>
    <m/>
    <m/>
    <s v="Osijek"/>
    <m/>
    <m/>
    <m/>
    <s v="NE"/>
    <n v="3750"/>
    <n v="1"/>
    <n v="3000"/>
    <m/>
    <m/>
    <m/>
    <n v="20"/>
    <n v="12"/>
    <s v="28.07.2018-15.08.2018"/>
    <n v="12"/>
    <s v="14.12.2018-31.12.2018"/>
    <m/>
    <n v="0"/>
    <x v="0"/>
    <n v="48"/>
  </r>
  <r>
    <n v="119"/>
    <n v="16"/>
    <x v="8"/>
    <n v="18241574410"/>
    <s v="LASZLO TIBOR"/>
    <s v="Ivana Gundulića 28"/>
    <x v="54"/>
    <d v="2018-05-25T00:00:00"/>
    <x v="30"/>
    <s v="77889524913"/>
    <s v="M-MUŠKO"/>
    <d v="1993-03-16T00:00:00"/>
    <s v="OSIJEK"/>
    <s v="HRVATSKO"/>
    <s v="Petefi Šandora 43."/>
    <s v="NE"/>
    <s v="SSS"/>
    <m/>
    <s v="Trgovački dem. i prodavač"/>
    <s v="Trgovački dem. i prodavač"/>
    <s v="NEODREĐENO"/>
    <m/>
    <s v="PUNO"/>
    <n v="40"/>
    <s v="HR93 2340 0093 2142 0985 8"/>
    <s v="03531254798"/>
    <m/>
    <m/>
    <m/>
    <m/>
    <s v="Osijek"/>
    <m/>
    <m/>
    <m/>
    <s v="NE"/>
    <n v="3439.8"/>
    <n v="1"/>
    <n v="2751.84"/>
    <n v="248.16"/>
    <m/>
    <m/>
    <n v="20"/>
    <n v="12"/>
    <s v="28.07.2018-15.08.2018"/>
    <n v="12"/>
    <s v="14.12.2018-31.12.2018"/>
    <m/>
    <n v="0"/>
    <x v="0"/>
    <n v="9"/>
  </r>
  <r>
    <n v="120"/>
    <n v="16"/>
    <x v="8"/>
    <n v="18241574410"/>
    <s v="LASZLO TIBOR"/>
    <s v="Ivana Gundulića 28"/>
    <x v="55"/>
    <d v="2018-06-01T00:00:00"/>
    <x v="30"/>
    <n v="79843816739"/>
    <s v="Ž-ŽENSKO"/>
    <d v="1975-07-10T00:00:00"/>
    <s v="OSIJEK"/>
    <s v="HRVATSKO"/>
    <s v="VLADIMIRA NAZORA 30, LASLOVO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3750"/>
    <n v="2.7"/>
    <n v="3000"/>
    <m/>
    <m/>
    <m/>
    <n v="20"/>
    <n v="12"/>
    <s v="28.07.2018-15.08.2018"/>
    <n v="12"/>
    <s v="14.12.2018-31.12.2018"/>
    <m/>
    <n v="0"/>
    <x v="0"/>
    <n v="67"/>
  </r>
  <r>
    <n v="121"/>
    <n v="16"/>
    <x v="8"/>
    <n v="18241574410"/>
    <s v="LASZLO TIBOR"/>
    <s v="Ivana Gundulića 28"/>
    <x v="57"/>
    <d v="2018-08-07T00:00:00"/>
    <x v="30"/>
    <n v="94678362128"/>
    <s v="Ž-ŽENSKO"/>
    <d v="1986-01-03T00:00:00"/>
    <s v="OSIJEK"/>
    <s v="HRVATSKO"/>
    <s v="Šandora Petefia 99, Vardarac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m/>
    <m/>
    <m/>
    <m/>
    <m/>
    <m/>
    <n v="0"/>
    <x v="0"/>
    <n v="84"/>
  </r>
  <r>
    <n v="122"/>
    <n v="16"/>
    <x v="8"/>
    <n v="18241574410"/>
    <s v="LASZLO TIBOR"/>
    <s v="Ivana Gundulića 28"/>
    <x v="62"/>
    <d v="2018-05-25T00:00:00"/>
    <x v="35"/>
    <n v="15592850730"/>
    <s v="Ž-ŽENSKO"/>
    <d v="1997-05-20T00:00:00"/>
    <s v="Vinkovci"/>
    <s v="HRVATSKO"/>
    <s v="Vladimira Nazora 68, Kompletinci, Otok"/>
    <s v="NE"/>
    <s v="SSS"/>
    <m/>
    <s v="Trgovački dem. i prodavač"/>
    <s v="Trgovački dem. i prodavač"/>
    <s v="NEODREĐENO"/>
    <m/>
    <s v="PUNO"/>
    <n v="40"/>
    <s v="HR77 2340 0093 2321 2323 3"/>
    <s v="03608414989"/>
    <m/>
    <m/>
    <m/>
    <m/>
    <m/>
    <m/>
    <m/>
    <m/>
    <m/>
    <n v="3750"/>
    <n v="1"/>
    <n v="3000"/>
    <m/>
    <m/>
    <m/>
    <n v="19"/>
    <n v="12"/>
    <s v="28.07.2018-15.08.2018"/>
    <n v="12"/>
    <s v="14.12.2018-31.12.2018"/>
    <m/>
    <n v="0"/>
    <x v="0"/>
    <n v="66"/>
  </r>
  <r>
    <n v="123"/>
    <n v="16"/>
    <x v="8"/>
    <n v="18241574410"/>
    <s v="LASZLO TIBOR"/>
    <s v="Ivana Gundulića 28"/>
    <x v="51"/>
    <d v="2018-08-07T00:00:00"/>
    <x v="30"/>
    <n v="28217102839"/>
    <s v="Ž-ŽENSKO"/>
    <d v="1993-05-07T00:00:00"/>
    <s v="OSIJEK"/>
    <s v="HRVATSKO"/>
    <s v="Sjenjak 34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m/>
    <m/>
    <m/>
    <m/>
    <m/>
    <m/>
    <n v="0"/>
    <x v="0"/>
    <n v="61"/>
  </r>
  <r>
    <n v="124"/>
    <n v="16"/>
    <x v="8"/>
    <n v="18241574410"/>
    <s v="LASZLO TIBOR"/>
    <s v="Ivana Gundulića 28"/>
    <x v="63"/>
    <d v="2018-05-25T00:00:00"/>
    <x v="35"/>
    <s v="00090687640"/>
    <s v="M-MUŠKO"/>
    <d v="1996-04-01T00:00:00"/>
    <s v="Vinkovci"/>
    <s v="HRVATSKO"/>
    <s v="Kolodvorska 72, Nijemci"/>
    <s v="NE"/>
    <s v="SSS"/>
    <m/>
    <s v="Trgovački dem. i prodavač"/>
    <s v="Trgovački dem. i prodavač"/>
    <s v="NEODREĐENO"/>
    <m/>
    <s v="PUNO"/>
    <n v="40"/>
    <s v="HR15 2340 0093 2200 4804 3"/>
    <s v="03586775245"/>
    <m/>
    <m/>
    <m/>
    <m/>
    <m/>
    <m/>
    <m/>
    <m/>
    <m/>
    <n v="3750"/>
    <n v="1"/>
    <n v="3000"/>
    <m/>
    <m/>
    <m/>
    <n v="19"/>
    <n v="12"/>
    <s v="28.07.2018-15.08.2018"/>
    <n v="12"/>
    <s v="14.12.2018-31.12.2018"/>
    <m/>
    <n v="0"/>
    <x v="0"/>
    <n v="82"/>
  </r>
  <r>
    <n v="125"/>
    <n v="16"/>
    <x v="8"/>
    <n v="18241574410"/>
    <s v="LASZLO TIBOR"/>
    <s v="Ivana Gundulića 28"/>
    <x v="12"/>
    <d v="2018-06-01T00:00:00"/>
    <x v="30"/>
    <n v="20112988151"/>
    <s v="Ž-ŽENSKO"/>
    <d v="1980-09-14T00:00:00"/>
    <m/>
    <s v="HRVATSKO"/>
    <s v="Luke Botić 25, Tenja"/>
    <m/>
    <s v="V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3.07.2018-04.08.2018"/>
    <n v="12"/>
    <s v="14.12.2018-31.12.2018"/>
    <m/>
    <n v="0"/>
    <x v="0"/>
    <n v="72"/>
  </r>
  <r>
    <n v="126"/>
    <n v="3"/>
    <x v="1"/>
    <s v="09677499852"/>
    <s v="Zoltan Terek"/>
    <s v="Južno Pregrađe 38, Osijek"/>
    <x v="85"/>
    <d v="2018-08-01T00:00:00"/>
    <x v="36"/>
    <n v="20215394460"/>
    <s v="M-MUŠKO"/>
    <d v="2018-11-08T00:00:00"/>
    <s v="OSIJEK"/>
    <s v="HRVATSKO"/>
    <s v="PAŠKA 85, OSIJEK"/>
    <s v="NE"/>
    <s v="SSS"/>
    <m/>
    <s v="PRODAVAČ"/>
    <s v="PRO"/>
    <s v="NEODREĐENO"/>
    <m/>
    <s v="PUNO"/>
    <n v="40"/>
    <s v="HR8423600003246496417"/>
    <m/>
    <m/>
    <m/>
    <m/>
    <m/>
    <s v="Osijek"/>
    <m/>
    <m/>
    <m/>
    <s v="NE"/>
    <n v="5950.61"/>
    <n v="1"/>
    <n v="4500"/>
    <m/>
    <m/>
    <m/>
    <m/>
    <m/>
    <m/>
    <m/>
    <m/>
    <m/>
    <m/>
    <x v="0"/>
    <n v="9"/>
  </r>
  <r>
    <n v="127"/>
    <n v="16"/>
    <x v="8"/>
    <n v="18241574410"/>
    <s v="LASZLO TIBOR"/>
    <s v="Ivana Gundulića 28"/>
    <x v="38"/>
    <d v="2018-06-01T00:00:00"/>
    <x v="37"/>
    <n v="73208771167"/>
    <s v="Ž-ŽENSKO"/>
    <d v="1993-04-03T00:00:00"/>
    <s v="OSIJEK"/>
    <s v="HRVATSKO"/>
    <s v="Osječka 188.,Tenj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27"/>
  </r>
  <r>
    <n v="128"/>
    <n v="16"/>
    <x v="8"/>
    <n v="18241574410"/>
    <s v="LASZLO TIBOR"/>
    <s v="Ivana Gundulića 28"/>
    <x v="86"/>
    <d v="2018-08-09T00:00:00"/>
    <x v="30"/>
    <s v="04017099391"/>
    <s v="Ž-ŽENSKO"/>
    <d v="1997-10-19T00:00:00"/>
    <s v="OSIJEK"/>
    <s v="HRVATSKO"/>
    <s v="Matije Gupca 131, Cret Bizovački"/>
    <s v="NE"/>
    <s v="SSS"/>
    <m/>
    <s v="Telefonist-operater u call c."/>
    <s v="Telefonist-operater u call c."/>
    <s v="ODREĐENO"/>
    <d v="2018-09-09T00:00:00"/>
    <s v="PUNO"/>
    <n v="40"/>
    <s v="HR4123400093230758121"/>
    <m/>
    <m/>
    <m/>
    <m/>
    <m/>
    <s v="Osijek"/>
    <m/>
    <m/>
    <m/>
    <s v="NE"/>
    <n v="3439.8"/>
    <n v="1"/>
    <n v="2751.84"/>
    <m/>
    <m/>
    <m/>
    <m/>
    <m/>
    <m/>
    <m/>
    <m/>
    <m/>
    <m/>
    <x v="0"/>
    <n v="103"/>
  </r>
  <r>
    <n v="129"/>
    <n v="16"/>
    <x v="8"/>
    <n v="18241574410"/>
    <s v="LASZLO TIBOR"/>
    <s v="Ivana Gundulića 28"/>
    <x v="15"/>
    <d v="2018-06-01T00:00:00"/>
    <x v="30"/>
    <s v="71740309634"/>
    <s v="Ž-ŽENSKO"/>
    <d v="1989-06-25T00:00:00"/>
    <s v="OSIJEK"/>
    <s v="HRVATSKO"/>
    <s v="Ljudevita Gaja 17, Tenja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76"/>
  </r>
  <r>
    <n v="130"/>
    <n v="3"/>
    <x v="1"/>
    <s v="09677499852"/>
    <s v="Zoltan Terek"/>
    <s v="Južno Pregrađe 38, Osijek"/>
    <x v="87"/>
    <d v="2018-09-01T00:00:00"/>
    <x v="29"/>
    <s v="04165702988"/>
    <s v="M-MUŠKO"/>
    <d v="1983-04-09T00:00:00"/>
    <s v="OSIJEK"/>
    <s v="HRVATSKO"/>
    <s v="ŠANDORA PETEFIJA 323, LUG"/>
    <m/>
    <s v="SSS"/>
    <s v="PRVA STREDNJA ŠKOLA BELI MANASTIR"/>
    <s v="Komercijalist"/>
    <s v="KOMERCIJALISTA"/>
    <s v="NEODREĐENO"/>
    <m/>
    <s v="PUNO"/>
    <n v="40"/>
    <m/>
    <m/>
    <m/>
    <m/>
    <m/>
    <m/>
    <s v="Osijek"/>
    <m/>
    <m/>
    <m/>
    <s v="NE"/>
    <n v="6250"/>
    <n v="1"/>
    <n v="5000"/>
    <m/>
    <m/>
    <m/>
    <m/>
    <m/>
    <m/>
    <m/>
    <m/>
    <m/>
    <m/>
    <x v="0"/>
    <n v="10"/>
  </r>
  <r>
    <n v="131"/>
    <n v="16"/>
    <x v="8"/>
    <n v="18241574410"/>
    <s v="LASZLO TIBOR"/>
    <s v="Ivana Gundulića 28"/>
    <x v="60"/>
    <d v="2018-06-01T00:00:00"/>
    <x v="30"/>
    <n v="89289096005"/>
    <s v="Ž-ŽENSKO"/>
    <d v="1973-12-22T00:00:00"/>
    <s v="Kneževo"/>
    <s v="HRVATSKO"/>
    <s v="Vatroslava lisinskog 19, Višnjevac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n v="19"/>
    <n v="12"/>
    <s v="28.07.2018-15.08.2018"/>
    <n v="12"/>
    <s v="14.12.2018-31.12.2018"/>
    <m/>
    <n v="0"/>
    <x v="0"/>
    <n v="85"/>
  </r>
  <r>
    <n v="132"/>
    <n v="16"/>
    <x v="8"/>
    <n v="18241574410"/>
    <s v="LASZLO TIBOR"/>
    <s v="Ivana Gundulića 28"/>
    <x v="50"/>
    <d v="2018-06-01T00:00:00"/>
    <x v="5"/>
    <s v="68319591111"/>
    <s v="Ž-ŽENSKO"/>
    <d v="1993-05-01T00:00:00"/>
    <s v="OSIJEK"/>
    <s v="HRVATSKO"/>
    <s v="Viška 32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55"/>
  </r>
  <r>
    <n v="133"/>
    <n v="16"/>
    <x v="8"/>
    <n v="18241574410"/>
    <s v="LASZLO TIBOR"/>
    <s v="Ivana Gundulića 28"/>
    <x v="16"/>
    <d v="2018-06-01T00:00:00"/>
    <x v="38"/>
    <s v="17153736363"/>
    <s v="M-MUŠKO"/>
    <d v="1990-05-31T00:00:00"/>
    <s v="OSIJEK"/>
    <s v="HRVATSKO"/>
    <s v="Ulica Augusta Šenoe 7, Bizovac"/>
    <s v="NE"/>
    <s v="SSS"/>
    <m/>
    <s v="Telefonist-operater u call c."/>
    <s v="Telefonist-operater u call c."/>
    <s v="ODREĐENO"/>
    <m/>
    <s v="PUNO"/>
    <n v="40"/>
    <m/>
    <m/>
    <m/>
    <m/>
    <m/>
    <m/>
    <s v="Osijek"/>
    <m/>
    <m/>
    <m/>
    <m/>
    <n v="3439.8"/>
    <n v="1"/>
    <n v="2751.84"/>
    <m/>
    <m/>
    <m/>
    <n v="18"/>
    <n v="12"/>
    <s v="28.07.2018-15.08.2018"/>
    <n v="12"/>
    <s v="14.12.2018-31.12.2018"/>
    <m/>
    <n v="0"/>
    <x v="0"/>
    <n v="91"/>
  </r>
  <r>
    <n v="134"/>
    <n v="16"/>
    <x v="8"/>
    <n v="18241574410"/>
    <s v="LASZLO TIBOR"/>
    <s v="Ivana Gundulića 28"/>
    <x v="39"/>
    <d v="2018-09-03T00:00:00"/>
    <x v="30"/>
    <s v="48678345053"/>
    <s v="Ž-ŽENSKO"/>
    <d v="1962-07-12T00:00:00"/>
    <s v="OSIJEK"/>
    <s v="HRVATSKO"/>
    <s v="Čvrsnička 21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m/>
    <m/>
    <m/>
    <m/>
    <m/>
    <m/>
    <m/>
    <x v="0"/>
    <n v="29"/>
  </r>
  <r>
    <n v="135"/>
    <n v="16"/>
    <x v="8"/>
    <n v="18241574410"/>
    <s v="LASZLO TIBOR"/>
    <s v="Ivana Gundulića 28"/>
    <x v="64"/>
    <d v="2018-05-25T00:00:00"/>
    <x v="30"/>
    <s v="48436445080"/>
    <s v="Ž-ŽENSKO"/>
    <d v="1993-12-03T00:00:00"/>
    <s v="OSIJEK"/>
    <s v="HRVATSKO"/>
    <s v="Vinogradska 11, Branjin Vrh"/>
    <s v="NE"/>
    <s v="SSS"/>
    <m/>
    <s v="Trgovački dem. i prodavač"/>
    <s v="Trgovački dem. i prodavač"/>
    <s v="NEODREĐENO"/>
    <m/>
    <s v="PUNO"/>
    <n v="40"/>
    <s v="HR52 2340 0093 2153 4142 2"/>
    <s v="03552441201"/>
    <m/>
    <m/>
    <m/>
    <m/>
    <s v="Osijek"/>
    <m/>
    <m/>
    <m/>
    <s v="NE"/>
    <n v="3750"/>
    <n v="1"/>
    <n v="3000"/>
    <m/>
    <m/>
    <m/>
    <n v="19"/>
    <n v="12"/>
    <s v="28.07.2018-15.08.2018"/>
    <n v="12"/>
    <s v="14.12.2018-31.12.2018"/>
    <m/>
    <n v="0"/>
    <x v="0"/>
    <n v="83"/>
  </r>
  <r>
    <n v="136"/>
    <n v="16"/>
    <x v="8"/>
    <n v="18241574410"/>
    <s v="LASZLO TIBOR"/>
    <s v="Ivana Gundulića 28"/>
    <x v="37"/>
    <d v="2018-09-03T00:00:00"/>
    <x v="30"/>
    <s v="35395242811"/>
    <s v="Ž-ŽENSKO"/>
    <d v="1993-04-02T00:00:00"/>
    <s v="OSIJEK"/>
    <s v="HRVATSKO"/>
    <s v="J.J.Strossmayera 82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105"/>
  </r>
  <r>
    <n v="137"/>
    <n v="16"/>
    <x v="8"/>
    <n v="18241574410"/>
    <s v="LASZLO TIBOR"/>
    <s v="Ivana Gundulića 28"/>
    <x v="56"/>
    <d v="2018-05-25T00:00:00"/>
    <x v="39"/>
    <s v="80464281272"/>
    <s v="Ž-ŽENSKO"/>
    <d v="1994-10-17T00:00:00"/>
    <s v="OSIJEK"/>
    <s v="HRVATSKO"/>
    <s v="Šandora Petefija 46, Lug"/>
    <s v="NE"/>
    <s v="SSS"/>
    <m/>
    <s v="Trgovački dem. i prodavač"/>
    <s v="Trgovački dem. i prodavač"/>
    <s v="NEODREĐENO"/>
    <m/>
    <s v="PUNO"/>
    <n v="40"/>
    <s v="HR25 2340 0093 2186 3350 6"/>
    <s v="03580150148"/>
    <m/>
    <m/>
    <m/>
    <m/>
    <s v="Osijek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x v="0"/>
    <n v="49"/>
  </r>
  <r>
    <n v="138"/>
    <n v="16"/>
    <x v="8"/>
    <n v="18241574410"/>
    <s v="LASZLO TIBOR"/>
    <s v="Ivana Gundulića 28"/>
    <x v="27"/>
    <d v="2018-09-01T00:00:00"/>
    <x v="30"/>
    <s v="25820706885"/>
    <s v="M-MUŠKO"/>
    <d v="1993-03-20T00:00:00"/>
    <s v="OSIJEK"/>
    <s v="HRVATSKO"/>
    <s v="Josipa Kozarca 25., Višn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100"/>
    <m/>
    <m/>
    <n v="20"/>
    <n v="12"/>
    <s v="28.07.2018-15.08.2018"/>
    <n v="12"/>
    <s v="14.12.2018-31.12.2018"/>
    <m/>
    <n v="0"/>
    <x v="0"/>
    <n v="13"/>
  </r>
  <r>
    <n v="139"/>
    <n v="16"/>
    <x v="8"/>
    <n v="18241574410"/>
    <s v="LASZLO TIBOR"/>
    <s v="Ivana Gundulića 28"/>
    <x v="70"/>
    <d v="2018-06-01T00:00:00"/>
    <x v="30"/>
    <n v="90926163669"/>
    <s v="Ž-ŽENSKO"/>
    <d v="1988-04-08T00:00:00"/>
    <s v="OSIJEK"/>
    <s v="HRVATSKO"/>
    <s v="Sjenjak 11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n v="16"/>
    <n v="12"/>
    <s v="28.07.2018-15.08.2018"/>
    <n v="12"/>
    <s v="14.12.2018-31.12.2018"/>
    <m/>
    <m/>
    <x v="0"/>
    <n v="94"/>
  </r>
  <r>
    <n v="140"/>
    <n v="16"/>
    <x v="8"/>
    <n v="18241574410"/>
    <s v="LASZLO TIBOR"/>
    <s v="Ivana Gundulića 28"/>
    <x v="88"/>
    <d v="2018-09-03T00:00:00"/>
    <x v="3"/>
    <n v="31571736608"/>
    <s v="Ž-ŽENSKO"/>
    <d v="1982-02-28T00:00:00"/>
    <s v="OSIJEK"/>
    <s v="HRVATSKO"/>
    <s v="VUKOVARSKA 270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M"/>
    <n v="4375"/>
    <n v="1"/>
    <n v="3500"/>
    <m/>
    <m/>
    <m/>
    <m/>
    <m/>
    <m/>
    <m/>
    <m/>
    <m/>
    <m/>
    <x v="1"/>
    <n v="104"/>
  </r>
  <r>
    <n v="141"/>
    <n v="16"/>
    <x v="8"/>
    <n v="18241574410"/>
    <s v="LASZLO TIBOR"/>
    <s v="Ivana Gundulića 28"/>
    <x v="71"/>
    <d v="2018-05-25T00:00:00"/>
    <x v="30"/>
    <n v="46616191748"/>
    <s v="Ž-ŽENSKO"/>
    <d v="1994-02-24T00:00:00"/>
    <s v="OSIJEK"/>
    <s v="HRVATSKO"/>
    <s v="Krstova Ulica 78, Osijek"/>
    <s v="NE"/>
    <s v="SSS"/>
    <m/>
    <s v="Trgovački dem. i prodavač"/>
    <s v="Trgovački dem. i prodavač"/>
    <s v="NEODREĐENO"/>
    <m/>
    <s v="PUNO"/>
    <n v="40"/>
    <s v="HR64 2340 0093 2156 8866 0"/>
    <s v="03548720045"/>
    <m/>
    <m/>
    <m/>
    <m/>
    <s v="Osijek"/>
    <m/>
    <m/>
    <m/>
    <m/>
    <n v="3750"/>
    <n v="1"/>
    <n v="3000"/>
    <m/>
    <m/>
    <m/>
    <n v="16"/>
    <n v="12"/>
    <s v="28.07.2018-15.08.2018"/>
    <n v="12"/>
    <s v="14.12.2018-31.12.2018"/>
    <m/>
    <m/>
    <x v="0"/>
    <n v="93"/>
  </r>
  <r>
    <n v="142"/>
    <n v="16"/>
    <x v="8"/>
    <n v="18241574410"/>
    <s v="LASZLO TIBOR"/>
    <s v="Ivana Gundulića 28"/>
    <x v="72"/>
    <d v="2018-05-25T00:00:00"/>
    <x v="30"/>
    <n v="32686911736"/>
    <s v="M-MUŠKO"/>
    <d v="1996-02-19T00:00:00"/>
    <s v="OSIJEK"/>
    <s v="HRVATSKO"/>
    <s v="Ištvana Vencela 2, Gajić, Draž"/>
    <s v="NE"/>
    <s v="SSS"/>
    <m/>
    <s v="Trgovački dem. i prodavač"/>
    <s v="Trgovački dem. i prodavač"/>
    <s v="NEODREĐENO"/>
    <m/>
    <s v="PUNO"/>
    <n v="40"/>
    <s v="HR27 2500 0093 2059 5627 4"/>
    <s v="03594416980"/>
    <m/>
    <m/>
    <m/>
    <m/>
    <s v="Osijek"/>
    <m/>
    <m/>
    <m/>
    <m/>
    <n v="3750"/>
    <n v="1"/>
    <n v="3000"/>
    <m/>
    <m/>
    <m/>
    <n v="16"/>
    <n v="12"/>
    <s v="28.07.2018-15.08.2018"/>
    <n v="12"/>
    <s v="14.12.2018-31.12.2018"/>
    <m/>
    <m/>
    <x v="0"/>
    <n v="95"/>
  </r>
  <r>
    <n v="143"/>
    <n v="16"/>
    <x v="8"/>
    <n v="18241574410"/>
    <s v="LASZLO TIBOR"/>
    <s v="Ivana Gundulića 28"/>
    <x v="73"/>
    <d v="2018-06-01T00:00:00"/>
    <x v="30"/>
    <n v="91673634768"/>
    <s v="Ž-ŽENSKO"/>
    <d v="1997-08-13T00:00:00"/>
    <s v="OSIJEK"/>
    <s v="HRVATSKO"/>
    <s v="Školska 100, Antun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x v="0"/>
    <n v="96"/>
  </r>
  <r>
    <n v="144"/>
    <n v="16"/>
    <x v="8"/>
    <n v="18241574410"/>
    <s v="LASZLO TIBOR"/>
    <s v="Ivana Gundulića 28"/>
    <x v="89"/>
    <d v="2018-09-19T00:00:00"/>
    <x v="30"/>
    <n v="74541092706"/>
    <s v="M-MUŠKO"/>
    <d v="1995-12-25T00:00:00"/>
    <s v="OSIJEK"/>
    <s v="HRVATSKO"/>
    <s v="SLAVONSKA 77, JOSIPOVAC"/>
    <s v="NE"/>
    <s v="SSS"/>
    <m/>
    <s v="Trgovački dem. i prodavač"/>
    <s v="Trgovački dem. i prodavač"/>
    <s v="NEODREĐENO"/>
    <m/>
    <s v="PUNO"/>
    <n v="40"/>
    <s v="HR2223600003245244972"/>
    <m/>
    <m/>
    <m/>
    <m/>
    <m/>
    <s v="Osijek"/>
    <m/>
    <m/>
    <m/>
    <s v="NE"/>
    <n v="4375"/>
    <n v="1"/>
    <n v="3500"/>
    <m/>
    <m/>
    <m/>
    <m/>
    <m/>
    <m/>
    <m/>
    <m/>
    <m/>
    <m/>
    <x v="0"/>
    <n v="106"/>
  </r>
  <r>
    <n v="145"/>
    <n v="16"/>
    <x v="8"/>
    <n v="18241574410"/>
    <s v="LASZLO TIBOR"/>
    <s v="Ivana Gundulića 28"/>
    <x v="75"/>
    <d v="2018-06-01T00:00:00"/>
    <x v="30"/>
    <n v="40041577579"/>
    <s v="Ž-ŽENSKO"/>
    <d v="1979-12-26T00:00:00"/>
    <s v="OSIJEK"/>
    <s v="HRVATSKO"/>
    <s v="J.J. Strossmayera 216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x v="0"/>
    <n v="97"/>
  </r>
  <r>
    <n v="146"/>
    <n v="12"/>
    <x v="5"/>
    <n v="15151568161"/>
    <s v="Zoltan Buthi"/>
    <s v="K. A. Stepinca 17, 31000 Osijek"/>
    <x v="58"/>
    <d v="2018-10-01T00:00:00"/>
    <x v="3"/>
    <n v="40306045066"/>
    <s v="M-MUŠKO"/>
    <d v="1974-03-15T00:00:00"/>
    <m/>
    <s v="HRVATSKO"/>
    <s v="Sjenjak 123, Osijek"/>
    <s v="NE"/>
    <s v="VSS"/>
    <m/>
    <s v="Komercijalist"/>
    <s v="Komercijalist"/>
    <s v="NEODREĐENO"/>
    <m/>
    <s v="PUNO"/>
    <n v="40"/>
    <m/>
    <m/>
    <m/>
    <m/>
    <m/>
    <m/>
    <s v="Osijek"/>
    <m/>
    <m/>
    <m/>
    <s v="NE"/>
    <n v="3439.8"/>
    <n v="1"/>
    <n v="2751.84"/>
    <n v="0"/>
    <m/>
    <m/>
    <m/>
    <m/>
    <m/>
    <m/>
    <m/>
    <m/>
    <m/>
    <x v="1"/>
    <n v="103"/>
  </r>
  <r>
    <n v="147"/>
    <n v="16"/>
    <x v="8"/>
    <n v="18241574410"/>
    <s v="LASZLO TIBOR"/>
    <s v="Ivana Gundulića 28"/>
    <x v="77"/>
    <d v="2018-06-01T00:00:00"/>
    <x v="30"/>
    <n v="21298366100"/>
    <s v="Ž-ŽENSKO"/>
    <d v="1971-09-24T00:00:00"/>
    <s v="Kneževo"/>
    <s v="HRVATSKO"/>
    <s v="J.J.STROSSMAYERA 230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48"/>
    <m/>
    <m/>
    <m/>
    <m/>
    <m/>
    <m/>
    <m/>
    <m/>
    <m/>
    <m/>
    <x v="0"/>
    <n v="98"/>
  </r>
  <r>
    <n v="148"/>
    <n v="16"/>
    <x v="8"/>
    <n v="18241574410"/>
    <s v="LASZLO TIBOR"/>
    <s v="Ivana Gundulića 28"/>
    <x v="81"/>
    <d v="2018-06-01T00:00:00"/>
    <x v="30"/>
    <n v="27422215847"/>
    <s v="Ž-ŽENSKO"/>
    <d v="1996-04-27T00:00:00"/>
    <m/>
    <s v="HRVATSKO"/>
    <s v="Zagrebačka 31, Našice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48"/>
    <m/>
    <m/>
    <m/>
    <m/>
    <m/>
    <m/>
    <m/>
    <m/>
    <m/>
    <m/>
    <x v="0"/>
    <n v="100"/>
  </r>
  <r>
    <n v="149"/>
    <n v="16"/>
    <x v="8"/>
    <n v="18241574410"/>
    <s v="LASZLO TIBOR"/>
    <s v="Ivana Gundulića 28"/>
    <x v="13"/>
    <d v="2018-06-01T00:00:00"/>
    <x v="21"/>
    <n v="46438404550"/>
    <s v="Ž-ŽENSKO"/>
    <d v="1988-04-08T00:00:00"/>
    <s v="OSIJEK"/>
    <s v="HRVATSKO"/>
    <s v="Duga 50 A, Ivanovac, Antunovac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74"/>
  </r>
  <r>
    <n v="150"/>
    <n v="16"/>
    <x v="8"/>
    <n v="18241574410"/>
    <s v="LASZLO TIBOR"/>
    <s v="Ivana Gundulića 28"/>
    <x v="90"/>
    <d v="2018-10-03T00:00:00"/>
    <x v="30"/>
    <n v="37394837225"/>
    <s v="Ž-ŽENSKO"/>
    <d v="1996-03-11T00:00:00"/>
    <s v="OSIJEK"/>
    <s v="HRVATSKO"/>
    <s v="A.G.MATOŠA 5, DARDA"/>
    <s v="NE"/>
    <s v="SSS"/>
    <m/>
    <s v="Telefonist-operater u call c."/>
    <s v="Telefonist-operater u call c."/>
    <s v="ODREĐENO"/>
    <d v="2018-11-03T00:00:00"/>
    <s v="PUNO"/>
    <n v="40"/>
    <s v="HR4423400093230236595"/>
    <m/>
    <m/>
    <m/>
    <m/>
    <m/>
    <s v="DARDA"/>
    <m/>
    <m/>
    <m/>
    <s v="NE"/>
    <n v="3439.8"/>
    <n v="1"/>
    <n v="2751.84"/>
    <m/>
    <m/>
    <m/>
    <m/>
    <m/>
    <m/>
    <m/>
    <m/>
    <m/>
    <m/>
    <x v="0"/>
    <n v="107"/>
  </r>
  <r>
    <n v="151"/>
    <n v="16"/>
    <x v="8"/>
    <n v="18241574410"/>
    <s v="LASZLO TIBOR"/>
    <s v="Ivana Gundulića 28"/>
    <x v="66"/>
    <d v="2018-06-06T00:00:00"/>
    <x v="30"/>
    <n v="27081082594"/>
    <s v="Ž-ŽENSKO"/>
    <d v="1972-02-12T00:00:00"/>
    <s v="OSIJEK"/>
    <s v="HRVATSKO"/>
    <s v="J.J. Strossmayera 188, Osijek"/>
    <s v="NE"/>
    <s v="SSS"/>
    <m/>
    <s v="Telefonist-operater u call c."/>
    <s v="Telefonist-operater u call c."/>
    <s v="NEODREĐENO"/>
    <m/>
    <s v="PUNO"/>
    <n v="40"/>
    <s v="HR06 2340 0093 2308 4517 8"/>
    <m/>
    <m/>
    <m/>
    <m/>
    <m/>
    <s v="Osijek"/>
    <m/>
    <m/>
    <m/>
    <m/>
    <n v="3439.8"/>
    <n v="1"/>
    <n v="2751.84"/>
    <m/>
    <m/>
    <m/>
    <n v="19"/>
    <n v="12"/>
    <s v="28.07.2018-15.08.2018"/>
    <n v="12"/>
    <s v="14.12.2018-31.12.2018"/>
    <m/>
    <n v="0"/>
    <x v="0"/>
    <n v="88"/>
  </r>
  <r>
    <n v="152"/>
    <n v="3"/>
    <x v="1"/>
    <s v="09677499852"/>
    <s v="Zoltan Terek"/>
    <s v="Južno Pregrađe 38, Osijek"/>
    <x v="91"/>
    <d v="2018-10-03T00:00:00"/>
    <x v="30"/>
    <n v="12344487939"/>
    <s v="Ž-ŽENSKO"/>
    <d v="1974-11-16T00:00:00"/>
    <s v="OSIJEK"/>
    <s v="HRVATSKO"/>
    <s v="VUKOVARSKA CESTA 103, 31000 OSIJEK"/>
    <s v="NE"/>
    <s v="SSS"/>
    <m/>
    <s v="ADMINISTRATOR"/>
    <s v="ADMINISTRATOR"/>
    <s v="ODREĐENO"/>
    <d v="2018-12-31T00:00:00"/>
    <s v="PUNO"/>
    <n v="40"/>
    <s v="?"/>
    <m/>
    <m/>
    <m/>
    <m/>
    <m/>
    <s v="Osijek"/>
    <m/>
    <m/>
    <m/>
    <s v="NE"/>
    <n v="6808.18"/>
    <n v="1"/>
    <n v="5000"/>
    <m/>
    <m/>
    <m/>
    <m/>
    <m/>
    <m/>
    <m/>
    <m/>
    <m/>
    <m/>
    <x v="0"/>
    <n v="11"/>
  </r>
  <r>
    <n v="153"/>
    <n v="16"/>
    <x v="8"/>
    <n v="18241574410"/>
    <s v="LASZLO TIBOR"/>
    <s v="Ivana Gundulića 28"/>
    <x v="10"/>
    <d v="2018-05-25T00:00:00"/>
    <x v="40"/>
    <n v="18058630382"/>
    <s v="M-MUŠKO"/>
    <d v="1995-07-16T00:00:00"/>
    <s v="OSIJEK"/>
    <s v="HRVATSKO"/>
    <s v="IVANA GORANA KOVAČIĆA 25, DONJI MIHOLJAC"/>
    <s v="NE"/>
    <s v="SSS"/>
    <m/>
    <s v="Trgovački dem. i prodavač"/>
    <s v="Trgovački dem. i prodavač"/>
    <s v="NEODREĐENO"/>
    <m/>
    <s v="PUNO"/>
    <n v="40"/>
    <s v="HR31 2390 0013 2208 1689 8"/>
    <s v="03595038930"/>
    <m/>
    <m/>
    <m/>
    <m/>
    <s v="RAZNA MJESTA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x v="0"/>
    <n v="71"/>
  </r>
  <r>
    <n v="154"/>
    <n v="16"/>
    <x v="8"/>
    <n v="18241574410"/>
    <s v="LASZLO TIBOR"/>
    <s v="Ivana Gundulića 28"/>
    <x v="92"/>
    <d v="2018-10-09T00:00:00"/>
    <x v="41"/>
    <n v="46973378536"/>
    <s v="M-MUŠKO"/>
    <d v="2000-10-30T00:00:00"/>
    <s v="OSIJEK"/>
    <s v="HRVATSKO"/>
    <s v="ANTUNA BARCA 21, TENJA"/>
    <s v="NE"/>
    <s v="SSS"/>
    <m/>
    <s v="Trgovački dem. i prodavač"/>
    <s v="Trgovački dem. i prodavač"/>
    <s v="ODREĐENO"/>
    <m/>
    <s v="PUNO"/>
    <n v="40"/>
    <s v="?"/>
    <m/>
    <m/>
    <m/>
    <m/>
    <m/>
    <s v="Osijek"/>
    <m/>
    <m/>
    <m/>
    <s v="NE"/>
    <n v="4375"/>
    <n v="1"/>
    <n v="3500"/>
    <m/>
    <m/>
    <m/>
    <m/>
    <m/>
    <m/>
    <m/>
    <m/>
    <m/>
    <m/>
    <x v="0"/>
    <n v="108"/>
  </r>
  <r>
    <n v="155"/>
    <n v="16"/>
    <x v="8"/>
    <n v="18241574410"/>
    <s v="LASZLO TIBOR"/>
    <s v="Ivana Gundulića 28"/>
    <x v="93"/>
    <d v="2018-10-19T00:00:00"/>
    <x v="30"/>
    <n v="89349780831"/>
    <s v="Ž-ŽENSKO"/>
    <d v="1996-07-05T00:00:00"/>
    <s v="OSIJEK"/>
    <s v="HRVATSKO"/>
    <s v="VUKOVARSKA ULICA 27, KLISA"/>
    <s v="NE"/>
    <s v="SSS"/>
    <m/>
    <s v="Trgovački dem. i prodavač"/>
    <s v="Trgovački dem. i prodavač"/>
    <s v="NEODREĐENO"/>
    <m/>
    <s v="PUNO"/>
    <n v="40"/>
    <s v="HR4923400093230922683"/>
    <m/>
    <m/>
    <m/>
    <m/>
    <m/>
    <s v="Osijek"/>
    <m/>
    <m/>
    <m/>
    <s v="NE"/>
    <n v="4375"/>
    <n v="1"/>
    <n v="3500"/>
    <m/>
    <m/>
    <m/>
    <m/>
    <m/>
    <m/>
    <m/>
    <m/>
    <m/>
    <m/>
    <x v="0"/>
    <n v="109"/>
  </r>
  <r>
    <n v="156"/>
    <n v="16"/>
    <x v="8"/>
    <n v="18241574410"/>
    <s v="LASZLO TIBOR"/>
    <s v="Ivana Gundulića 28"/>
    <x v="94"/>
    <d v="2018-10-22T00:00:00"/>
    <x v="30"/>
    <n v="75824709921"/>
    <s v="M-MUŠKO"/>
    <d v="2018-06-01T00:00:00"/>
    <s v="OSIJEK"/>
    <s v="HRVATSKO"/>
    <s v="TRNAVAČKA ULICA 9, DONJI ANDRIJEVCI"/>
    <s v="NE"/>
    <s v="SSS"/>
    <m/>
    <s v="Trgovački dem. i prodavač"/>
    <s v="Trgovački dem. i prodavač"/>
    <s v="NEODREĐENO"/>
    <m/>
    <s v="PUNO"/>
    <n v="40"/>
    <s v="HR9423400093111282364"/>
    <m/>
    <m/>
    <m/>
    <m/>
    <m/>
    <s v="Osijek"/>
    <m/>
    <m/>
    <m/>
    <s v="NE"/>
    <n v="4375"/>
    <n v="1"/>
    <n v="3500"/>
    <m/>
    <m/>
    <m/>
    <m/>
    <m/>
    <m/>
    <m/>
    <m/>
    <m/>
    <m/>
    <x v="0"/>
    <n v="110"/>
  </r>
  <r>
    <n v="157"/>
    <n v="16"/>
    <x v="8"/>
    <n v="18241574410"/>
    <s v="LASZLO TIBOR"/>
    <s v="Ivana Gundulića 28"/>
    <x v="95"/>
    <d v="2018-10-29T00:00:00"/>
    <x v="41"/>
    <n v="45155987025"/>
    <s v="M-MUŠKO"/>
    <d v="1974-10-07T00:00:00"/>
    <s v="OSIJEK"/>
    <s v="HRVATSKO"/>
    <s v="ULICA KESTENOVA 65, 31000 OSIJEK"/>
    <s v="NE"/>
    <s v="SSS"/>
    <m/>
    <s v="Trgovački dem. i prodavač"/>
    <s v="Trgovački dem. i prodavač"/>
    <s v="NEODREĐENO"/>
    <m/>
    <s v="PUNO"/>
    <n v="40"/>
    <s v="HR04 2340 0093 2198 0545 0"/>
    <m/>
    <m/>
    <m/>
    <m/>
    <m/>
    <s v="Osijek"/>
    <m/>
    <m/>
    <m/>
    <s v="NE"/>
    <n v="4375"/>
    <n v="1"/>
    <n v="3500"/>
    <m/>
    <m/>
    <m/>
    <m/>
    <m/>
    <m/>
    <m/>
    <m/>
    <m/>
    <m/>
    <x v="0"/>
    <n v="111"/>
  </r>
  <r>
    <n v="158"/>
    <n v="16"/>
    <x v="8"/>
    <n v="18241574410"/>
    <s v="LASZLO TIBOR"/>
    <s v="Ivana Gundulića 28"/>
    <x v="96"/>
    <d v="2018-12-01T00:00:00"/>
    <x v="30"/>
    <n v="65362867403"/>
    <s v="Ž-ŽENSKO"/>
    <d v="1970-11-17T00:00:00"/>
    <s v="NJEMAČKA"/>
    <s v="HRVATSKO"/>
    <s v="GORNJOGRADSKA OBALA 91B"/>
    <s v="NE"/>
    <s v="SSS"/>
    <m/>
    <s v="Telefonist-operater u call c."/>
    <s v="Telefonist-operater u call c."/>
    <s v="ODREĐENO"/>
    <d v="2018-12-31T00:00:00"/>
    <s v="PUNO"/>
    <n v="40"/>
    <s v="HR7424020063205408898"/>
    <m/>
    <m/>
    <m/>
    <m/>
    <m/>
    <s v="Osijek"/>
    <m/>
    <m/>
    <m/>
    <s v="NE"/>
    <n v="3439.8"/>
    <n v="1"/>
    <n v="2751.84"/>
    <m/>
    <m/>
    <m/>
    <m/>
    <m/>
    <m/>
    <m/>
    <m/>
    <m/>
    <m/>
    <x v="0"/>
    <n v="112"/>
  </r>
  <r>
    <n v="159"/>
    <n v="16"/>
    <x v="8"/>
    <n v="18241574410"/>
    <s v="LASZLO TIBOR"/>
    <s v="Ivana Gundulića 28"/>
    <x v="97"/>
    <d v="2018-12-10T00:00:00"/>
    <x v="30"/>
    <n v="26136427629"/>
    <s v="M-MUŠKO"/>
    <d v="1992-01-16T00:00:00"/>
    <s v="OSIJEK"/>
    <s v="HRVATSKO"/>
    <s v="VIJENAC JAKOVA GOTOVCA 6, 31000 OSIJEK"/>
    <s v="NE"/>
    <s v="SSS"/>
    <m/>
    <s v="Trgovački dem. i prodavač"/>
    <s v="Trgovački dem. i prodavač"/>
    <s v="ODREĐENO"/>
    <d v="2019-02-28T00:00:00"/>
    <s v="PUNO"/>
    <n v="40"/>
    <s v="HR65 2500 0093 1201 7984 8"/>
    <m/>
    <m/>
    <m/>
    <m/>
    <m/>
    <s v="Osijek"/>
    <m/>
    <m/>
    <m/>
    <s v="NE"/>
    <n v="4375"/>
    <n v="1"/>
    <n v="3500"/>
    <m/>
    <m/>
    <m/>
    <m/>
    <m/>
    <m/>
    <m/>
    <m/>
    <m/>
    <m/>
    <x v="0"/>
    <n v="113"/>
  </r>
  <r>
    <n v="160"/>
    <n v="22"/>
    <x v="10"/>
    <n v="16157428650"/>
    <s v="Zoltan Kiri"/>
    <s v="Ivana Gundulića 28"/>
    <x v="23"/>
    <d v="2019-01-01T00:00:00"/>
    <x v="42"/>
    <s v="92132715760"/>
    <s v="M-MUŠKO"/>
    <d v="1990-10-30T00:00:00"/>
    <s v="OSIJEK"/>
    <s v="HRVATSKO"/>
    <s v="Šandora Petefija 57. Zmajevac"/>
    <s v="NE"/>
    <s v="SSS"/>
    <m/>
    <s v="Trgovački dem. i prodavač"/>
    <s v="Trgovački dem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x v="1"/>
    <n v="1"/>
  </r>
  <r>
    <n v="161"/>
    <n v="22"/>
    <x v="10"/>
    <n v="16157428650"/>
    <s v="Zoltan Kiri"/>
    <s v="Ivana Gundulića 28"/>
    <x v="27"/>
    <d v="2019-01-01T00:00:00"/>
    <x v="42"/>
    <s v="25820706885"/>
    <s v="M-MUŠKO"/>
    <d v="1996-09-04T00:00:00"/>
    <s v="OSIJEK"/>
    <s v="HRVATSKO"/>
    <s v="Josipa Kozarca 25., Višn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n v="100"/>
    <m/>
    <m/>
    <m/>
    <m/>
    <m/>
    <m/>
    <m/>
    <m/>
    <m/>
    <x v="1"/>
    <n v="2"/>
  </r>
  <r>
    <n v="162"/>
    <n v="22"/>
    <x v="10"/>
    <n v="16157428650"/>
    <s v="Zoltan Kiri"/>
    <s v="Ivana Gundulića 28"/>
    <x v="30"/>
    <d v="2019-01-01T00:00:00"/>
    <x v="43"/>
    <s v=".00951235574"/>
    <s v="Ž-ŽENSKO"/>
    <d v="1970-07-27T00:00:00"/>
    <s v="OSIJEK"/>
    <s v="HRVATSKO"/>
    <s v="Vijenac Petrove Gore 13,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4"/>
  </r>
  <r>
    <n v="163"/>
    <n v="22"/>
    <x v="10"/>
    <n v="16157428650"/>
    <s v="Zoltan Kiri"/>
    <s v="Ivana Gundulića 28"/>
    <x v="31"/>
    <d v="2019-01-01T00:00:00"/>
    <x v="43"/>
    <n v="46651411474"/>
    <s v="Ž-ŽENSKO"/>
    <d v="1965-12-20T00:00:00"/>
    <s v="OSIJEK"/>
    <s v="HRVATSKO"/>
    <s v="Psunjska 93A,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5"/>
  </r>
  <r>
    <n v="164"/>
    <n v="22"/>
    <x v="10"/>
    <n v="16157428650"/>
    <s v="Zoltan Kiri"/>
    <s v="Ivana Gundulića 28"/>
    <x v="32"/>
    <d v="2019-01-01T00:00:00"/>
    <x v="44"/>
    <n v="16065838903"/>
    <s v="Ž-ŽENSKO"/>
    <d v="1982-09-22T00:00:00"/>
    <s v="OSIJEK"/>
    <s v="HRVATSKO"/>
    <s v="Martina Divalta 168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6200.61"/>
    <n v="1"/>
    <n v="4700"/>
    <n v="250"/>
    <m/>
    <m/>
    <m/>
    <m/>
    <m/>
    <m/>
    <m/>
    <m/>
    <m/>
    <x v="1"/>
    <n v="6"/>
  </r>
  <r>
    <n v="165"/>
    <n v="22"/>
    <x v="10"/>
    <n v="16157428650"/>
    <s v="Zoltan Kiri"/>
    <s v="Ivana Gundulića 28"/>
    <x v="33"/>
    <d v="2019-01-01T00:00:00"/>
    <x v="43"/>
    <s v="91993718714"/>
    <s v="Ž-ŽENSKO"/>
    <d v="1967-03-14T00:00:00"/>
    <s v="Granice"/>
    <s v="HRVATSKO"/>
    <s v="Josipa Kozarca 25., Višnje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7"/>
  </r>
  <r>
    <n v="166"/>
    <n v="22"/>
    <x v="10"/>
    <n v="16157428650"/>
    <s v="Zoltan Kiri"/>
    <s v="Ivana Gundulića 28"/>
    <x v="35"/>
    <d v="2019-01-01T00:00:00"/>
    <x v="43"/>
    <s v="68121059947"/>
    <s v="Ž-ŽENSKO"/>
    <d v="1964-08-23T00:00:00"/>
    <s v="OSIJEK"/>
    <s v="HRVATSKO"/>
    <s v="Mlinska 100.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8"/>
  </r>
  <r>
    <n v="167"/>
    <n v="22"/>
    <x v="10"/>
    <n v="16157428650"/>
    <s v="Zoltan Kiri"/>
    <s v="Ivana Gundulića 28"/>
    <x v="37"/>
    <d v="2019-01-01T00:00:00"/>
    <x v="43"/>
    <n v="35395242811"/>
    <s v="Ž-ŽENSKO"/>
    <d v="1977-10-06T00:00:00"/>
    <s v="OSIJEK"/>
    <s v="HRVATSKO"/>
    <s v="J.J. Strossmayera 82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9"/>
  </r>
  <r>
    <n v="168"/>
    <n v="22"/>
    <x v="10"/>
    <n v="16157428650"/>
    <s v="Zoltan Kiri"/>
    <s v="Ivana Gundulića 28"/>
    <x v="47"/>
    <d v="2019-01-01T00:00:00"/>
    <x v="43"/>
    <s v="05826363901"/>
    <s v="Ž-ŽENSKO"/>
    <d v="1960-03-07T00:00:00"/>
    <s v="B.Manastir"/>
    <s v="HRVATSKO"/>
    <s v="Dr.F.Tuđmana 14,Beli Manastir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0"/>
  </r>
  <r>
    <n v="169"/>
    <n v="22"/>
    <x v="10"/>
    <n v="16157428650"/>
    <s v="Zoltan Kiri"/>
    <s v="Ivana Gundulića 28"/>
    <x v="46"/>
    <d v="2019-01-01T00:00:00"/>
    <x v="43"/>
    <s v="56488239997"/>
    <s v="Ž-ŽENSKO"/>
    <d v="1974-08-22T00:00:00"/>
    <s v="Dornbirn, AUT"/>
    <s v="HRVATSKO"/>
    <s v="Ul. I.G.Kovačića 5,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1"/>
  </r>
  <r>
    <n v="170"/>
    <n v="22"/>
    <x v="10"/>
    <n v="16157428650"/>
    <s v="Zoltan Kiri"/>
    <s v="Ivana Gundulića 28"/>
    <x v="82"/>
    <d v="2019-01-01T00:00:00"/>
    <x v="43"/>
    <n v="93260758620"/>
    <s v="Ž-ŽENSKO"/>
    <d v="1976-12-22T00:00:00"/>
    <s v="OSIJEK"/>
    <s v="HRVATSKO"/>
    <s v="Š.Petefija 114 A. Lug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2"/>
  </r>
  <r>
    <n v="171"/>
    <n v="22"/>
    <x v="10"/>
    <n v="16157428650"/>
    <s v="Zoltan Kiri"/>
    <s v="Ivana Gundulića 28"/>
    <x v="15"/>
    <d v="2019-01-01T00:00:00"/>
    <x v="43"/>
    <s v="71740309634"/>
    <s v="Ž-ŽENSKO"/>
    <d v="1989-06-25T00:00:00"/>
    <s v="OSIJEK"/>
    <s v="HRVATSKO"/>
    <s v="Ljudevita Gaja 17,Tenj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2"/>
  </r>
  <r>
    <n v="172"/>
    <n v="22"/>
    <x v="10"/>
    <n v="16157428650"/>
    <s v="Zoltan Kiri"/>
    <s v="Ivana Gundulića 28"/>
    <x v="44"/>
    <d v="2019-01-01T00:00:00"/>
    <x v="43"/>
    <s v="02808842683"/>
    <s v="Ž-ŽENSKO"/>
    <d v="1957-05-14T00:00:00"/>
    <s v="Vinkovci"/>
    <s v="HRVATSKO"/>
    <s v="K. Tomislava 6 C, Višnjevac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3"/>
  </r>
  <r>
    <n v="173"/>
    <n v="22"/>
    <x v="10"/>
    <n v="16157428650"/>
    <s v="Zoltan Kiri"/>
    <s v="Ivana Gundulića 28"/>
    <x v="77"/>
    <d v="2019-01-01T00:00:00"/>
    <x v="43"/>
    <n v="21298366100"/>
    <s v="Ž-ŽENSKO"/>
    <d v="1971-09-24T00:00:00"/>
    <s v="Kneževo"/>
    <s v="HRVATSKO"/>
    <s v="J.J.Strossmayera 230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4"/>
  </r>
  <r>
    <n v="174"/>
    <n v="22"/>
    <x v="10"/>
    <n v="16157428650"/>
    <s v="Zoltan Kiri"/>
    <s v="Ivana Gundulića 28"/>
    <x v="98"/>
    <d v="2019-01-01T00:00:00"/>
    <x v="43"/>
    <s v="99900276984"/>
    <s v="Ž-ŽENSKO"/>
    <d v="1978-05-19T00:00:00"/>
    <s v="Kiskunhalas, HUN"/>
    <s v="HRVATSKO"/>
    <s v="Kralja Petra Krešimira IV. 83,Dard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5"/>
  </r>
  <r>
    <n v="175"/>
    <n v="22"/>
    <x v="10"/>
    <n v="16157428650"/>
    <s v="Zoltan Kiri"/>
    <s v="Ivana Gundulića 28"/>
    <x v="70"/>
    <d v="2019-01-01T00:00:00"/>
    <x v="43"/>
    <n v="90926163669"/>
    <s v="Ž-ŽENSKO"/>
    <d v="1988-04-08T00:00:00"/>
    <s v="OSIJEK"/>
    <s v="HRVATSKO"/>
    <s v="Sjenjak 11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6"/>
  </r>
  <r>
    <n v="176"/>
    <n v="22"/>
    <x v="10"/>
    <n v="16157428650"/>
    <s v="Zoltan Kiri"/>
    <s v="Ivana Gundulića 28"/>
    <x v="60"/>
    <d v="2019-01-01T00:00:00"/>
    <x v="43"/>
    <n v="89289096005"/>
    <s v="Ž-ŽENSKO"/>
    <d v="1973-12-22T00:00:00"/>
    <s v="Kneževo"/>
    <s v="HRVATSKO"/>
    <s v="Braće Radić 2a,Topolje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7"/>
  </r>
  <r>
    <n v="177"/>
    <n v="22"/>
    <x v="10"/>
    <n v="16157428650"/>
    <s v="Zoltan Kiri"/>
    <s v="Ivana Gundulića 28"/>
    <x v="55"/>
    <d v="2019-01-01T00:00:00"/>
    <x v="43"/>
    <n v="79843816739"/>
    <s v="Ž-ŽENSKO"/>
    <d v="1975-07-10T00:00:00"/>
    <s v="OSIJEK"/>
    <s v="HRVATSKO"/>
    <s v="Vladimira Nazora 30,Laslovo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4835"/>
    <n v="1"/>
    <n v="3380"/>
    <m/>
    <m/>
    <m/>
    <m/>
    <m/>
    <m/>
    <m/>
    <m/>
    <m/>
    <m/>
    <x v="1"/>
    <n v="18"/>
  </r>
  <r>
    <n v="178"/>
    <n v="22"/>
    <x v="10"/>
    <n v="16157428650"/>
    <s v="Zoltan Kiri"/>
    <s v="Ivana Gundulića 28"/>
    <x v="54"/>
    <d v="2019-01-01T00:00:00"/>
    <x v="42"/>
    <s v="77889524913"/>
    <s v="M-MUŠKO"/>
    <d v="1993-03-08T00:00:00"/>
    <s v="OSIJEK"/>
    <s v="HRVATSKO"/>
    <s v="Petefi Šandora 43, Kneževi Vinograd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x v="1"/>
    <n v="19"/>
  </r>
  <r>
    <n v="179"/>
    <n v="22"/>
    <x v="10"/>
    <n v="16157428650"/>
    <s v="Zoltan Kiri"/>
    <s v="Ivana Gundulića 28"/>
    <x v="64"/>
    <d v="2019-01-01T00:00:00"/>
    <x v="42"/>
    <n v="48436445080"/>
    <s v="Ž-ŽENSKO"/>
    <d v="1993-12-03T00:00:00"/>
    <s v="OSIJEK"/>
    <s v="HRVATSKO"/>
    <s v="Vinogradska 11, Branjin Vrh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x v="1"/>
    <n v="20"/>
  </r>
  <r>
    <n v="180"/>
    <n v="22"/>
    <x v="10"/>
    <n v="16157428650"/>
    <s v="Zoltan Kiri"/>
    <s v="Ivana Gundulića 28"/>
    <x v="99"/>
    <d v="2018-02-01T00:00:00"/>
    <x v="43"/>
    <n v="20968805238"/>
    <s v="Ž-ŽENSKO"/>
    <d v="1981-01-18T00:00:00"/>
    <s v="OSIJEK"/>
    <s v="HRVATSKO"/>
    <s v="ZMAJ JOVE JOVANOVIĆA 10,31000 OSIJEK"/>
    <s v="NE"/>
    <s v="SSS"/>
    <m/>
    <m/>
    <s v="Telefonist-operater u call c."/>
    <s v="NEODREĐENO"/>
    <m/>
    <s v="PUNO"/>
    <n v="40"/>
    <s v="HR14 2360 0003 2183 0443 3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21"/>
  </r>
  <r>
    <n v="181"/>
    <n v="22"/>
    <x v="10"/>
    <n v="16157428650"/>
    <s v="Zoltan Kiri"/>
    <s v="Ivana Gundulića 28"/>
    <x v="100"/>
    <d v="2019-04-24T00:00:00"/>
    <x v="43"/>
    <n v="35070183473"/>
    <s v="Ž-ŽENSKO"/>
    <d v="1985-02-22T00:00:00"/>
    <m/>
    <s v="HRVATSKO"/>
    <s v="SAVSKA 4 TENJA"/>
    <s v="NE"/>
    <s v="VSS"/>
    <s v="PRAVNI FAK. OSIJEK"/>
    <s v="Telefonist-operater u call c."/>
    <s v="Telefonist-operater u call c."/>
    <s v="ODREĐENO"/>
    <d v="2019-05-31T00:00:00"/>
    <s v="PUNO"/>
    <n v="40"/>
    <s v="HR6323400093232278685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22"/>
  </r>
  <r>
    <n v="182"/>
    <n v="22"/>
    <x v="10"/>
    <n v="16157428650"/>
    <s v="Zoltan Kiri"/>
    <s v="Ivana Gundulića 28"/>
    <x v="101"/>
    <d v="2019-05-07T00:00:00"/>
    <x v="43"/>
    <s v="04320775218"/>
    <s v="Ž-ŽENSKO"/>
    <d v="1959-09-21T00:00:00"/>
    <s v="OSIJEK"/>
    <s v="HRVATSKO"/>
    <s v="DUNAVSKA 5, 31000 OSIJEK"/>
    <s v="NE"/>
    <s v="VŠS"/>
    <m/>
    <s v="Telefonist-operater u call c."/>
    <s v="Telefonist-operater u call c."/>
    <s v="ODREĐENO"/>
    <d v="2019-05-31T00:00:00"/>
    <s v="PUNO"/>
    <n v="40"/>
    <s v="HR9825000093221297389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23"/>
  </r>
  <r>
    <n v="183"/>
    <n v="22"/>
    <x v="10"/>
    <n v="16157428650"/>
    <s v="Zoltan Kiri"/>
    <s v="Ivana Gundulića 28"/>
    <x v="102"/>
    <d v="2019-05-13T00:00:00"/>
    <x v="43"/>
    <n v="93734201839"/>
    <s v="M-MUŠKO"/>
    <d v="1959-06-28T00:00:00"/>
    <m/>
    <s v="HRVATSKO"/>
    <s v="ZELENO POLJE 12, 31000 OSIJEK"/>
    <s v="NE"/>
    <s v="SSS"/>
    <m/>
    <s v="Telefonist-operater u call c."/>
    <s v="Telefonist-operater u call c."/>
    <s v="ODREĐENO"/>
    <d v="2019-05-31T00:00:00"/>
    <s v="PUNO"/>
    <n v="40"/>
    <s v="HR5523600003216251175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24"/>
  </r>
  <r>
    <n v="184"/>
    <n v="22"/>
    <x v="10"/>
    <n v="16157428650"/>
    <s v="Zoltan Kiri"/>
    <s v="Ivana Gundulića 28"/>
    <x v="103"/>
    <d v="2019-05-23T00:00:00"/>
    <x v="43"/>
    <n v="10828286402"/>
    <s v="Ž-ŽENSKO"/>
    <d v="1996-04-23T00:00:00"/>
    <m/>
    <s v="HRVATSKO"/>
    <s v="MIRNA ULICA 7, LASLOVO"/>
    <s v="NE"/>
    <s v="SSS"/>
    <m/>
    <s v="Telefonist-operater u call c."/>
    <s v="Telefonist-operater u call c."/>
    <s v="ODREĐENO"/>
    <d v="2019-06-30T00:00:00"/>
    <s v="PUNO"/>
    <n v="40"/>
    <s v="HR2525000093205745432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25"/>
  </r>
  <r>
    <n v="185"/>
    <n v="22"/>
    <x v="10"/>
    <n v="16157428650"/>
    <s v="Zoltan Kiri"/>
    <s v="Ivana Gundulića 28"/>
    <x v="104"/>
    <d v="2019-09-02T00:00:00"/>
    <x v="43"/>
    <n v="7249139649"/>
    <s v="Ž-ŽENSKO"/>
    <d v="1968-01-14T00:00:00"/>
    <m/>
    <s v="HRVATSKO"/>
    <s v="VILAJSKA 24, 31000 OSIJEK"/>
    <s v="NE"/>
    <s v="SSS"/>
    <m/>
    <s v="Telefonist-operater u call c."/>
    <s v="Telefonist-operater u call c."/>
    <s v="NEODREĐENO"/>
    <m/>
    <s v="PUNO"/>
    <n v="40"/>
    <s v="HR0223400093214854121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26"/>
  </r>
  <r>
    <n v="186"/>
    <n v="22"/>
    <x v="10"/>
    <n v="16157428650"/>
    <s v="Zoltan Kiri"/>
    <s v="Ivana Gundulića 28"/>
    <x v="105"/>
    <d v="2019-09-16T00:00:00"/>
    <x v="43"/>
    <n v="13956960436"/>
    <s v="Ž-ŽENSKO"/>
    <d v="1979-10-06T00:00:00"/>
    <m/>
    <s v="HRVATSKO"/>
    <s v="PROMINSKA 68, OSIJEK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27"/>
  </r>
  <r>
    <n v="187"/>
    <n v="22"/>
    <x v="10"/>
    <n v="16157428650"/>
    <s v="Zoltan Kiri"/>
    <s v="Ivana Gundulića 28"/>
    <x v="106"/>
    <d v="2019-09-25T00:00:00"/>
    <x v="43"/>
    <n v="81985727746"/>
    <s v="Ž-ŽENSKO"/>
    <d v="1982-12-05T00:00:00"/>
    <m/>
    <s v="HRVATSKO"/>
    <s v="DR.FRANJE TUĐMANA 10,LASLOVO"/>
    <s v="NE"/>
    <s v="SSS"/>
    <m/>
    <s v="Telefonist-operater u call c."/>
    <s v="Telefonist-operater u call c."/>
    <s v="NEODREĐENO"/>
    <m/>
    <s v="PUNO"/>
    <n v="40"/>
    <s v="HR0324840083213018110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28"/>
  </r>
  <r>
    <n v="188"/>
    <n v="22"/>
    <x v="10"/>
    <n v="16157428650"/>
    <s v="Zoltan Kiri"/>
    <s v="Ivana Gundulića 28"/>
    <x v="107"/>
    <d v="2019-09-30T00:00:00"/>
    <x v="42"/>
    <n v="77737288895"/>
    <s v="Ž-ŽENSKO"/>
    <d v="1998-12-29T00:00:00"/>
    <s v="OSIJEK"/>
    <s v="HRVATSKO"/>
    <s v="ŽUMBERAČKA 66, OSIJEK"/>
    <s v="NE"/>
    <s v="SSS"/>
    <m/>
    <s v="Trgovački demonstrator"/>
    <s v="Trgovački demonstrator"/>
    <s v="NEODREĐENO"/>
    <m/>
    <s v="PUNO"/>
    <n v="40"/>
    <s v="HR125000093206910503"/>
    <m/>
    <m/>
    <m/>
    <m/>
    <m/>
    <s v="Osijek"/>
    <m/>
    <m/>
    <m/>
    <s v="NE"/>
    <n v="5093.03"/>
    <n v="1"/>
    <n v="4000"/>
    <m/>
    <m/>
    <m/>
    <m/>
    <m/>
    <m/>
    <m/>
    <m/>
    <m/>
    <m/>
    <x v="1"/>
    <n v="29"/>
  </r>
  <r>
    <n v="189"/>
    <n v="22"/>
    <x v="10"/>
    <n v="16157428650"/>
    <s v="Zoltan Kiri"/>
    <s v="Ivana Gundulića 28"/>
    <x v="108"/>
    <d v="2019-11-25T00:00:00"/>
    <x v="42"/>
    <n v="72094958860"/>
    <s v="Ž-ŽENSKO"/>
    <d v="1996-03-13T00:00:00"/>
    <s v="VIŠNJEVAC"/>
    <s v="HRVATSKO"/>
    <s v="IVANA MAŽURANIĆA 28, VIŠNJEVAC"/>
    <s v="NE"/>
    <s v="SSS"/>
    <m/>
    <s v="Trgovački demonstrator"/>
    <s v="TRGOVAČKI DEMONSTARTOR"/>
    <s v="NEODREĐENO"/>
    <m/>
    <s v="PUNO"/>
    <n v="40"/>
    <s v="HR0825000093206824087"/>
    <m/>
    <m/>
    <m/>
    <m/>
    <m/>
    <s v="Osijek"/>
    <m/>
    <m/>
    <m/>
    <s v="NE"/>
    <n v="4375"/>
    <n v="1"/>
    <n v="4000"/>
    <m/>
    <m/>
    <m/>
    <m/>
    <m/>
    <m/>
    <m/>
    <m/>
    <m/>
    <m/>
    <x v="1"/>
    <n v="30"/>
  </r>
  <r>
    <n v="190"/>
    <n v="22"/>
    <x v="10"/>
    <n v="16157428650"/>
    <s v="Zoltan Kiri"/>
    <s v="Ivana Gundulića 28"/>
    <x v="109"/>
    <d v="2020-03-02T00:00:00"/>
    <x v="42"/>
    <n v="35671171883"/>
    <s v="M-MUŠKO"/>
    <d v="1993-08-20T00:00:00"/>
    <s v="VUKOVAR"/>
    <s v="HRVATSKO"/>
    <s v="SAJMIŠTE 98, VUKOVAR"/>
    <s v="NE"/>
    <s v="SSS"/>
    <m/>
    <s v="PREVODITELJ"/>
    <s v="PREVODITELJ ASISTENT"/>
    <s v="NEODREĐENO"/>
    <m/>
    <s v="PUNO"/>
    <n v="40"/>
    <s v="HR5124020063207404602"/>
    <m/>
    <m/>
    <m/>
    <m/>
    <m/>
    <s v="Osijek"/>
    <m/>
    <m/>
    <m/>
    <s v="NE"/>
    <n v="8426.4599999999991"/>
    <n v="1"/>
    <n v="5997.76"/>
    <m/>
    <m/>
    <m/>
    <m/>
    <m/>
    <m/>
    <m/>
    <m/>
    <m/>
    <m/>
    <x v="1"/>
    <n v="31"/>
  </r>
  <r>
    <n v="191"/>
    <n v="22"/>
    <x v="10"/>
    <n v="16157428650"/>
    <s v="Zoltan Kiri"/>
    <s v="Ivana Gundulića 28"/>
    <x v="110"/>
    <d v="2020-06-08T00:00:00"/>
    <x v="42"/>
    <n v="56588131100"/>
    <s v="Ž-ŽENSKO"/>
    <d v="2000-01-27T00:00:00"/>
    <s v="OSIJEK"/>
    <s v="HRVATSKO"/>
    <s v="Ulica Matije Vlačića 24, 31207 Tenja"/>
    <s v="NE"/>
    <s v="SSS"/>
    <m/>
    <s v="Trgovački demonstrator"/>
    <s v="Trgovački demonstrator"/>
    <s v="NEODREĐENO"/>
    <m/>
    <s v="PUNO"/>
    <n v="40"/>
    <s v="HR3923600003247347141"/>
    <m/>
    <m/>
    <m/>
    <m/>
    <m/>
    <s v="Osijek"/>
    <m/>
    <m/>
    <m/>
    <s v="NE"/>
    <n v="4375"/>
    <n v="1"/>
    <n v="3500"/>
    <m/>
    <m/>
    <m/>
    <m/>
    <m/>
    <m/>
    <m/>
    <m/>
    <m/>
    <m/>
    <x v="1"/>
    <n v="32"/>
  </r>
  <r>
    <n v="192"/>
    <n v="22"/>
    <x v="10"/>
    <n v="16157428650"/>
    <s v="Zoltan Kiri"/>
    <s v="Ivana Gundulića 28"/>
    <x v="89"/>
    <d v="2020-07-06T00:00:00"/>
    <x v="45"/>
    <n v="74541092706"/>
    <s v="M-MUŠKO"/>
    <d v="1995-12-25T00:00:00"/>
    <s v="OSIJEK"/>
    <s v="HRVATSKO"/>
    <s v="Slavonska 7,Josipovac"/>
    <s v="NE"/>
    <s v="SSS"/>
    <m/>
    <s v="Trgovački dem. i prodavač"/>
    <s v="Trgovački dem. i prodavač"/>
    <s v="NEODREĐENO"/>
    <m/>
    <s v="PUNO"/>
    <n v="40"/>
    <s v="HR2223600003245244972"/>
    <m/>
    <m/>
    <m/>
    <m/>
    <m/>
    <s v="Osijek"/>
    <m/>
    <m/>
    <m/>
    <s v="NE"/>
    <n v="4375"/>
    <n v="1"/>
    <n v="3500"/>
    <m/>
    <m/>
    <m/>
    <m/>
    <m/>
    <m/>
    <m/>
    <m/>
    <m/>
    <m/>
    <x v="1"/>
    <n v="33"/>
  </r>
  <r>
    <n v="193"/>
    <n v="22"/>
    <x v="10"/>
    <n v="16157428650"/>
    <s v="Zoltan Kiri"/>
    <s v="Ivana Gundulića 28"/>
    <x v="111"/>
    <d v="2020-07-20T00:00:00"/>
    <x v="45"/>
    <n v="46379256051"/>
    <s v="M-MUŠKO"/>
    <d v="1997-08-06T00:00:00"/>
    <s v="OSIJEK"/>
    <s v="HRVATSKO"/>
    <s v="VLADIMIRA NAZORA 12, BIZOVAC"/>
    <s v="NE"/>
    <s v="SSS"/>
    <m/>
    <s v="Trgovački dem. i prodavač"/>
    <s v="Trgovački dem. i prodavač"/>
    <s v="NEODREĐENO"/>
    <m/>
    <s v="PUNO"/>
    <n v="40"/>
    <s v="HR1923400093230764046"/>
    <m/>
    <m/>
    <m/>
    <m/>
    <m/>
    <s v="Osijek"/>
    <m/>
    <m/>
    <m/>
    <s v="NE"/>
    <n v="4375"/>
    <n v="1"/>
    <n v="3500"/>
    <m/>
    <m/>
    <m/>
    <m/>
    <m/>
    <m/>
    <m/>
    <m/>
    <m/>
    <m/>
    <x v="1"/>
    <n v="34"/>
  </r>
  <r>
    <n v="194"/>
    <n v="22"/>
    <x v="10"/>
    <n v="16157428650"/>
    <s v="Zoltan Kiri"/>
    <s v="Ivana Gundulića 28"/>
    <x v="29"/>
    <d v="2020-08-01T00:00:00"/>
    <x v="46"/>
    <n v="91608925694"/>
    <s v="M-MUŠKO"/>
    <d v="1988-12-06T00:00:00"/>
    <s v="OSIJEK"/>
    <s v="HRVATSKO"/>
    <s v="Školska 52, 31300 Beli Manastir"/>
    <s v="NE"/>
    <s v="SSS"/>
    <m/>
    <s v="Trgovački dem. i prodavač"/>
    <s v="Trgovački dem. i prodavač"/>
    <s v="NEODREĐENO"/>
    <m/>
    <s v="PUNO"/>
    <n v="40"/>
    <s v="HR5523600003247539689"/>
    <m/>
    <m/>
    <m/>
    <m/>
    <m/>
    <s v="Osijek"/>
    <m/>
    <m/>
    <m/>
    <s v="NE"/>
    <n v="4375"/>
    <n v="1"/>
    <n v="3500"/>
    <m/>
    <m/>
    <m/>
    <m/>
    <m/>
    <m/>
    <m/>
    <m/>
    <m/>
    <n v="0"/>
    <x v="1"/>
    <n v="35"/>
  </r>
  <r>
    <n v="195"/>
    <n v="22"/>
    <x v="10"/>
    <n v="16157428650"/>
    <s v="Zoltan Kiri"/>
    <s v="Ivana Gundulića 28"/>
    <x v="112"/>
    <d v="2020-10-09T00:00:00"/>
    <x v="45"/>
    <n v="94031727263"/>
    <s v="M-MUŠKO"/>
    <d v="1985-01-16T00:00:00"/>
    <s v="SUBOTICA"/>
    <s v="SRPSKO"/>
    <s v="UL. SV. MARTINA 8, BELI MANASTIR"/>
    <s v="DA"/>
    <s v="SSS"/>
    <m/>
    <s v="PRODAVAČ"/>
    <s v="PRODAVAČ"/>
    <s v="ODREĐENO"/>
    <m/>
    <s v="PUNO"/>
    <n v="40"/>
    <s v="HR3423400093234708960"/>
    <m/>
    <m/>
    <m/>
    <m/>
    <m/>
    <s v="Osijek"/>
    <m/>
    <m/>
    <m/>
    <s v="NE"/>
    <n v="4375"/>
    <n v="1"/>
    <n v="3500"/>
    <m/>
    <m/>
    <m/>
    <m/>
    <m/>
    <m/>
    <m/>
    <m/>
    <m/>
    <m/>
    <x v="1"/>
    <n v="192"/>
  </r>
  <r>
    <n v="196"/>
    <n v="22"/>
    <x v="10"/>
    <n v="16157428650"/>
    <s v="Zoltan Kiri"/>
    <s v="Ivana Gundulića 28"/>
    <x v="113"/>
    <d v="2020-10-09T00:00:00"/>
    <x v="45"/>
    <s v="03924299709"/>
    <s v="M-MUŠKO"/>
    <d v="1994-07-22T00:00:00"/>
    <s v="ZRENJANIN"/>
    <s v="SRPSKO"/>
    <s v="UL. SV. MARTINA 8, BELI MANASTIR"/>
    <s v="DA"/>
    <s v="SSS"/>
    <m/>
    <s v="PRODAVAČ"/>
    <s v="PRODAVAČ"/>
    <s v="ODREĐENO"/>
    <m/>
    <s v="PUNO"/>
    <n v="40"/>
    <s v="HR1623400093234709575"/>
    <m/>
    <m/>
    <m/>
    <m/>
    <m/>
    <s v="Osijek"/>
    <m/>
    <m/>
    <m/>
    <s v="NE"/>
    <n v="4375"/>
    <n v="1"/>
    <n v="3500"/>
    <m/>
    <m/>
    <m/>
    <m/>
    <m/>
    <m/>
    <m/>
    <m/>
    <m/>
    <m/>
    <x v="1"/>
    <n v="194"/>
  </r>
  <r>
    <n v="197"/>
    <n v="22"/>
    <x v="10"/>
    <n v="16157428650"/>
    <s v="Zoltan Kiri"/>
    <s v="Ivana Gundulića 28"/>
    <x v="114"/>
    <d v="2020-10-23T00:00:00"/>
    <x v="45"/>
    <n v="87058584186"/>
    <s v="Ž-ŽENSKO"/>
    <d v="1998-11-02T00:00:00"/>
    <s v="OSIJEK"/>
    <s v="HRVATSKO"/>
    <s v="ULICA VATROSLAVA LISINSKOG 19, VIŠNJEVAC"/>
    <s v="NE"/>
    <s v="SSS"/>
    <m/>
    <s v="Telefonist-operater u call c."/>
    <s v="Telefonist-operater u call c."/>
    <s v="ODREĐENO"/>
    <m/>
    <s v="PUNO"/>
    <n v="40"/>
    <s v="HR8523400093231527121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55"/>
  </r>
  <r>
    <n v="198"/>
    <n v="22"/>
    <x v="10"/>
    <n v="16157428650"/>
    <s v="Zoltan Kiri"/>
    <s v="Ivana Gundulića 28"/>
    <x v="22"/>
    <d v="2019-01-01T00:00:00"/>
    <x v="47"/>
    <s v="38288739117"/>
    <s v="Ž-ŽENSKO"/>
    <d v="1968-04-15T00:00:00"/>
    <s v="Zmajevac, Kneževi Vinogradi"/>
    <s v="HRVATSKO"/>
    <s v="Maršala Tita 132., Zmajevac"/>
    <s v="NE"/>
    <s v="SSS"/>
    <m/>
    <s v="Trgovački dem. i prodavač"/>
    <s v="Trgovački dem i prodavač"/>
    <s v="NEODREĐENO"/>
    <m/>
    <s v="PUNO"/>
    <n v="40"/>
    <m/>
    <m/>
    <m/>
    <m/>
    <m/>
    <m/>
    <s v="Osijek"/>
    <m/>
    <m/>
    <m/>
    <s v="NE"/>
    <n v="8426.4599999999991"/>
    <n v="1"/>
    <n v="6000"/>
    <m/>
    <m/>
    <m/>
    <m/>
    <m/>
    <m/>
    <m/>
    <m/>
    <m/>
    <m/>
    <x v="0"/>
    <n v="1"/>
  </r>
  <r>
    <n v="199"/>
    <n v="22"/>
    <x v="10"/>
    <n v="16157428650"/>
    <s v="Zoltan Kiri"/>
    <s v="Ivana Gundulića 28"/>
    <x v="24"/>
    <d v="2019-01-01T00:00:00"/>
    <x v="42"/>
    <n v="24461973764"/>
    <s v="Ž-ŽENSKO"/>
    <d v="1992-03-22T00:00:00"/>
    <s v="OSIJEK"/>
    <s v="HRVATSKO"/>
    <s v="J.Pannoniusa 9., Branjin Vrh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x v="1"/>
    <n v="39"/>
  </r>
  <r>
    <n v="200"/>
    <n v="22"/>
    <x v="10"/>
    <n v="16157428650"/>
    <s v="Zoltan Kiri"/>
    <s v="Ivana Gundulića 28"/>
    <x v="25"/>
    <d v="2019-01-01T00:00:00"/>
    <x v="42"/>
    <s v="22044787722"/>
    <s v="M-MUŠKO"/>
    <d v="1995-06-29T00:00:00"/>
    <s v="Sombor"/>
    <s v="HRVATSKO"/>
    <s v="Glavna 100, Podolje, Draž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x v="1"/>
    <n v="40"/>
  </r>
  <r>
    <n v="201"/>
    <n v="22"/>
    <x v="10"/>
    <n v="16157428650"/>
    <s v="Zoltan Kiri"/>
    <s v="Ivana Gundulića 28"/>
    <x v="26"/>
    <d v="2019-01-01T00:00:00"/>
    <x v="42"/>
    <s v="45227899437"/>
    <s v="M-MUŠKO"/>
    <d v="1996-08-19T00:00:00"/>
    <s v="Sombor"/>
    <s v="HRVATSKO"/>
    <s v="Maršala Tita 129, Suza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x v="1"/>
    <n v="40"/>
  </r>
  <r>
    <n v="202"/>
    <n v="16"/>
    <x v="8"/>
    <n v="18241574410"/>
    <s v="LASZLO TIBOR"/>
    <s v="Ivana Gundulića 28"/>
    <x v="115"/>
    <d v="2018-12-11T00:00:00"/>
    <x v="48"/>
    <n v="33875064692"/>
    <s v="M-MUŠKO"/>
    <d v="1999-06-26T00:00:00"/>
    <s v="OSIJEK"/>
    <s v="HRVATSKO"/>
    <s v="JABLANIÉKA 1, 31000 OSIJEK"/>
    <s v="NE"/>
    <s v="SSS"/>
    <m/>
    <s v="Trgovački dem. i prodavač"/>
    <s v="Trgovački dem. i prodavač"/>
    <s v="ODREĐENO"/>
    <d v="2018-03-10T00:00:00"/>
    <s v="PUNO"/>
    <n v="40"/>
    <s v="HR4923600003247060811"/>
    <m/>
    <m/>
    <m/>
    <m/>
    <m/>
    <s v="Osijek"/>
    <m/>
    <m/>
    <m/>
    <s v="NE"/>
    <n v="4375"/>
    <n v="1"/>
    <n v="3500"/>
    <m/>
    <m/>
    <m/>
    <m/>
    <m/>
    <m/>
    <m/>
    <m/>
    <m/>
    <m/>
    <x v="0"/>
    <n v="114"/>
  </r>
  <r>
    <n v="203"/>
    <n v="3"/>
    <x v="1"/>
    <s v="09677499852"/>
    <s v="Zoltan Terek"/>
    <s v="Južno Pregrađe 38, Osijek"/>
    <x v="76"/>
    <d v="2018-12-01T00:00:00"/>
    <x v="3"/>
    <s v="01107438327"/>
    <s v="Ž-ŽENSKO"/>
    <d v="1982-09-19T00:00:00"/>
    <m/>
    <s v="HRVATSKO"/>
    <s v="Sutlanska 3, Osijek"/>
    <s v="NE"/>
    <s v="VSS"/>
    <m/>
    <s v="Administrativni referent"/>
    <s v="ADMINISTRATIVNI DJELATNIK"/>
    <s v="NEODREĐENO"/>
    <d v="2018-11-30T00:00:00"/>
    <s v="PUNO"/>
    <n v="40"/>
    <m/>
    <m/>
    <m/>
    <m/>
    <m/>
    <m/>
    <s v="Osijek"/>
    <m/>
    <m/>
    <m/>
    <s v="NE"/>
    <n v="8430.2999999999993"/>
    <n v="1"/>
    <n v="6000"/>
    <m/>
    <m/>
    <m/>
    <m/>
    <m/>
    <m/>
    <m/>
    <m/>
    <m/>
    <m/>
    <x v="1"/>
    <n v="11"/>
  </r>
  <r>
    <n v="204"/>
    <n v="3"/>
    <x v="1"/>
    <s v="09677499852"/>
    <s v="Zoltan Terek"/>
    <s v="Južno Pregrađe 38, Osijek"/>
    <x v="87"/>
    <d v="2018-12-01T00:00:00"/>
    <x v="3"/>
    <s v="04165702988"/>
    <s v="M-MUŠKO"/>
    <d v="1983-04-09T00:00:00"/>
    <s v="OSIJEK"/>
    <s v="HRVATSKO"/>
    <s v="ŠANDORA PETEFIJA 323, LUG"/>
    <m/>
    <s v="SSS"/>
    <s v="PRVA STREDNJA ŠKOLA BELI MANASTIR"/>
    <s v="Komercijalist"/>
    <s v="KOMERCIJALISTA"/>
    <s v="NEODREĐENO"/>
    <m/>
    <s v="PUNO"/>
    <n v="40"/>
    <s v="HR6723600003247172910"/>
    <m/>
    <m/>
    <m/>
    <m/>
    <m/>
    <s v="Osijek"/>
    <m/>
    <m/>
    <m/>
    <s v="NE"/>
    <n v="6250"/>
    <n v="1"/>
    <n v="5000"/>
    <m/>
    <m/>
    <m/>
    <m/>
    <m/>
    <m/>
    <m/>
    <m/>
    <m/>
    <m/>
    <x v="1"/>
    <n v="13"/>
  </r>
  <r>
    <n v="205"/>
    <n v="3"/>
    <x v="1"/>
    <s v="09677499852"/>
    <s v="Zoltan Terek"/>
    <s v="Južno Pregrađe 38, Osijek"/>
    <x v="91"/>
    <d v="2019-01-01T00:00:00"/>
    <x v="49"/>
    <n v="12344487939"/>
    <s v="Ž-ŽENSKO"/>
    <d v="1974-11-16T00:00:00"/>
    <s v="OSIJEK"/>
    <s v="HRVATSKO"/>
    <s v="VUKOVARSKA CESTA 103, 31000 OSIJEK"/>
    <s v="NE"/>
    <s v="SSS"/>
    <m/>
    <s v="ADMINISTRATOR"/>
    <s v="ADMINISTRATOR"/>
    <s v="ODREĐENO"/>
    <d v="2018-03-31T00:00:00"/>
    <s v="PUNO"/>
    <n v="40"/>
    <s v="?"/>
    <m/>
    <m/>
    <m/>
    <m/>
    <m/>
    <s v="Osijek"/>
    <m/>
    <m/>
    <m/>
    <s v="NE"/>
    <n v="6808.18"/>
    <n v="1"/>
    <n v="5000"/>
    <m/>
    <m/>
    <m/>
    <m/>
    <m/>
    <m/>
    <m/>
    <m/>
    <m/>
    <m/>
    <x v="0"/>
    <n v="14"/>
  </r>
  <r>
    <n v="206"/>
    <n v="22"/>
    <x v="10"/>
    <n v="16157428650"/>
    <s v="Zoltan Kiri"/>
    <s v="Ivana Gundulića 28"/>
    <x v="96"/>
    <d v="2019-01-01T00:00:00"/>
    <x v="50"/>
    <n v="65362867403"/>
    <s v="Ž-ŽENSKO"/>
    <d v="1970-11-17T00:00:00"/>
    <s v="Frankfurt"/>
    <s v="HRVATSKO"/>
    <s v="Gornjodravska obala 91B, Osijek"/>
    <s v="NE"/>
    <s v="SSS"/>
    <m/>
    <s v="Telefonist-operater u call c."/>
    <s v="Telefonist-operater u call c."/>
    <s v="ODREĐENO"/>
    <d v="2019-01-31T00:00:00"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41"/>
  </r>
  <r>
    <n v="207"/>
    <n v="22"/>
    <x v="10"/>
    <n v="16157428650"/>
    <s v="Zoltan Kiri"/>
    <s v="Ivana Gundulića 28"/>
    <x v="36"/>
    <d v="2019-01-01T00:00:00"/>
    <x v="51"/>
    <s v="19036979307"/>
    <s v="Ž-ŽENSKO"/>
    <d v="1975-01-14T00:00:00"/>
    <s v="OSIJEK"/>
    <s v="HRVATSKO"/>
    <s v="Vijenac Dinare 5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42"/>
  </r>
  <r>
    <n v="208"/>
    <n v="22"/>
    <x v="10"/>
    <n v="16157428650"/>
    <s v="Zoltan Kiri"/>
    <s v="Ivana Gundulića 28"/>
    <x v="39"/>
    <d v="2019-01-01T00:00:00"/>
    <x v="52"/>
    <n v="48678345053"/>
    <s v="Ž-ŽENSKO"/>
    <d v="1962-07-12T00:00:00"/>
    <s v="OSIJEK"/>
    <s v="HRVATSKO"/>
    <s v="Čvrsnička 21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43"/>
  </r>
  <r>
    <n v="209"/>
    <n v="22"/>
    <x v="10"/>
    <n v="16157428650"/>
    <s v="Zoltan Kiri"/>
    <s v="Ivana Gundulića 28"/>
    <x v="51"/>
    <d v="2019-01-01T00:00:00"/>
    <x v="53"/>
    <n v="28217102839"/>
    <s v="Ž-ŽENSKO"/>
    <d v="1959-09-04T00:00:00"/>
    <s v="Banja Luka, BIh"/>
    <s v="HRVATSKO"/>
    <s v="Sjenjak 34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44"/>
  </r>
  <r>
    <n v="210"/>
    <n v="22"/>
    <x v="10"/>
    <n v="16157428650"/>
    <s v="Zoltan Kiri"/>
    <s v="Ivana Gundulića 28"/>
    <x v="52"/>
    <d v="2019-01-01T00:00:00"/>
    <x v="54"/>
    <s v="01764937555"/>
    <s v="Ž-ŽENSKO"/>
    <d v="1963-02-26T00:00:00"/>
    <s v="OSIJEK"/>
    <s v="HRVATSKO"/>
    <s v="Creska 10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45"/>
  </r>
  <r>
    <n v="211"/>
    <n v="22"/>
    <x v="10"/>
    <n v="16157428650"/>
    <s v="Zoltan Kiri"/>
    <s v="Ivana Gundulića 28"/>
    <x v="73"/>
    <d v="2019-01-01T00:00:00"/>
    <x v="49"/>
    <n v="91673634768"/>
    <s v="Ž-ŽENSKO"/>
    <d v="1997-08-13T00:00:00"/>
    <s v="OSIJEK"/>
    <s v="HRVATSKO"/>
    <s v="Školska 100, Antun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46"/>
  </r>
  <r>
    <n v="212"/>
    <n v="3"/>
    <x v="1"/>
    <s v="09677499852"/>
    <s v="Zoltan Terek"/>
    <s v="Južno Pregrađe 38, Osijek"/>
    <x v="116"/>
    <d v="2019-02-01T00:00:00"/>
    <x v="49"/>
    <n v="64253340535"/>
    <s v="M-MUŠKO"/>
    <d v="1984-06-29T00:00:00"/>
    <s v="OSIJEK"/>
    <s v="HRVATSKO"/>
    <s v="A.STEPINCA 2, B. MANASTIR"/>
    <s v="NE"/>
    <s v="SSS"/>
    <m/>
    <m/>
    <s v="KOMERCIJALISTA"/>
    <s v="ODREĐENO"/>
    <d v="2019-04-30T00:00:00"/>
    <s v="PUNO"/>
    <n v="40"/>
    <s v="HR0624120093233018547"/>
    <m/>
    <m/>
    <m/>
    <m/>
    <m/>
    <s v="Osijek"/>
    <m/>
    <m/>
    <m/>
    <s v="NE"/>
    <n v="3750"/>
    <n v="1"/>
    <n v="3000"/>
    <m/>
    <m/>
    <m/>
    <m/>
    <m/>
    <m/>
    <m/>
    <m/>
    <m/>
    <m/>
    <x v="0"/>
    <n v="15"/>
  </r>
  <r>
    <n v="213"/>
    <n v="22"/>
    <x v="10"/>
    <n v="16157428650"/>
    <s v="Zoltan Kiri"/>
    <s v="Ivana Gundulića 28"/>
    <x v="75"/>
    <d v="2019-01-01T00:00:00"/>
    <x v="55"/>
    <n v="40041577579"/>
    <s v="Ž-ŽENSKO"/>
    <d v="1979-12-26T00:00:00"/>
    <s v="OSIJEK"/>
    <s v="HRVATSKO"/>
    <s v="J.J. Strossmayera 216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47"/>
  </r>
  <r>
    <n v="214"/>
    <n v="24"/>
    <x v="11"/>
    <n v="19941838505"/>
    <s v="GABOR ISTVAN JENEI"/>
    <s v="Šetalište Petra Preradovića 5, 31000 Osijek"/>
    <x v="117"/>
    <d v="2019-02-01T00:00:00"/>
    <x v="56"/>
    <n v="85123028571"/>
    <s v="M-MUŠKO"/>
    <d v="1982-02-26T00:00:00"/>
    <s v="PÉCS"/>
    <s v="MAĐARSKO"/>
    <s v="CSIKOSVÖLGY UTCA 6, 7761 KOZÁRMISLENY"/>
    <s v="NE"/>
    <s v="SSS"/>
    <m/>
    <m/>
    <s v="POSLOVODJA"/>
    <s v="NEODREĐENO"/>
    <m/>
    <s v="PUNO"/>
    <n v="40"/>
    <s v="?"/>
    <m/>
    <m/>
    <m/>
    <m/>
    <m/>
    <s v="Osijek"/>
    <m/>
    <m/>
    <m/>
    <s v="NE"/>
    <n v="5491.2"/>
    <n v="1"/>
    <m/>
    <m/>
    <m/>
    <m/>
    <m/>
    <m/>
    <m/>
    <m/>
    <m/>
    <m/>
    <m/>
    <x v="1"/>
    <n v="1"/>
  </r>
  <r>
    <n v="215"/>
    <n v="22"/>
    <x v="10"/>
    <n v="16157428650"/>
    <s v="Zoltan Kiri"/>
    <s v="Ivana Gundulića 28"/>
    <x v="81"/>
    <d v="2019-01-01T00:00:00"/>
    <x v="57"/>
    <n v="27422215847"/>
    <s v="Ž-ŽENSKO"/>
    <d v="1996-04-27T00:00:00"/>
    <s v="OSIJEK"/>
    <s v="HRVATSKO"/>
    <s v="Zagrebačka 31,31500 Našice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48"/>
  </r>
  <r>
    <n v="216"/>
    <n v="22"/>
    <x v="10"/>
    <n v="16157428650"/>
    <s v="Zoltan Kiri"/>
    <s v="Ivana Gundulića 28"/>
    <x v="118"/>
    <d v="2019-01-01T00:00:00"/>
    <x v="58"/>
    <s v="04668761853"/>
    <s v="Ž-ŽENSKO"/>
    <d v="1973-02-04T00:00:00"/>
    <s v="OSIJEK"/>
    <s v="HRVATSKO"/>
    <s v="Trg Ante Starčevića 4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49"/>
  </r>
  <r>
    <n v="217"/>
    <n v="22"/>
    <x v="10"/>
    <n v="16157428650"/>
    <s v="Zoltan Kiri"/>
    <s v="Ivana Gundulića 28"/>
    <x v="43"/>
    <d v="2019-01-01T00:00:00"/>
    <x v="44"/>
    <n v="16260284290"/>
    <s v="Ž-ŽENSKO"/>
    <d v="1978-06-18T00:00:00"/>
    <s v="OSIJEK"/>
    <s v="HRVATSKO"/>
    <s v="Šandora Petefija 116, Osijek"/>
    <s v="NE"/>
    <s v="SSS"/>
    <m/>
    <s v="Voditelj call centra"/>
    <s v="Voditelj call centra"/>
    <s v="NEODREĐENO"/>
    <m/>
    <s v="PUNO"/>
    <n v="40"/>
    <m/>
    <m/>
    <m/>
    <m/>
    <m/>
    <m/>
    <s v="Osijek"/>
    <m/>
    <m/>
    <m/>
    <s v="NE"/>
    <n v="5875"/>
    <n v="1"/>
    <n v="4200"/>
    <m/>
    <m/>
    <m/>
    <m/>
    <m/>
    <m/>
    <m/>
    <m/>
    <m/>
    <m/>
    <x v="1"/>
    <n v="50"/>
  </r>
  <r>
    <n v="218"/>
    <n v="22"/>
    <x v="10"/>
    <n v="16157428650"/>
    <s v="Zoltan Kiri"/>
    <s v="Ivana Gundulića 28"/>
    <x v="48"/>
    <d v="2019-01-01T00:00:00"/>
    <x v="59"/>
    <n v="7065659312"/>
    <s v="Ž-ŽENSKO"/>
    <d v="1983-08-07T00:00:00"/>
    <s v="OSIJEK"/>
    <s v="HRVATSKO"/>
    <s v="Šandora Petefija 126,Lug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5084.22"/>
    <n v="1"/>
    <n v="4000"/>
    <n v="747"/>
    <m/>
    <m/>
    <m/>
    <m/>
    <m/>
    <m/>
    <m/>
    <m/>
    <m/>
    <x v="0"/>
    <n v="52"/>
  </r>
  <r>
    <n v="219"/>
    <n v="25"/>
    <x v="12"/>
    <n v="15728896207"/>
    <s v="VEZAJ KRISTINA"/>
    <s v="BOSUTSKO 13, 31000 OSIJEK"/>
    <x v="119"/>
    <d v="2013-12-13T00:00:00"/>
    <x v="3"/>
    <n v="70729208004"/>
    <s v="Ž-ŽENSKO"/>
    <d v="1974-02-01T00:00:00"/>
    <s v="OSIJEK"/>
    <s v="HRVATSKO"/>
    <s v="BOSUTSKO 13, 31000 OSIJEK"/>
    <s v="NE"/>
    <s v="SSS"/>
    <m/>
    <m/>
    <s v="Direktor i voditelj ugost.-turist. Poslova"/>
    <s v="NEODREĐENO"/>
    <m/>
    <s v="PUNO"/>
    <n v="40"/>
    <m/>
    <m/>
    <m/>
    <m/>
    <m/>
    <m/>
    <s v="Osijek"/>
    <m/>
    <m/>
    <m/>
    <s v="NE"/>
    <n v="5491.2"/>
    <n v="1"/>
    <n v="4500"/>
    <m/>
    <m/>
    <m/>
    <m/>
    <m/>
    <m/>
    <m/>
    <m/>
    <m/>
    <m/>
    <x v="1"/>
    <n v="1"/>
  </r>
  <r>
    <n v="220"/>
    <n v="26"/>
    <x v="13"/>
    <n v="95114485977"/>
    <s v="LAURA GERGELJ"/>
    <s v="SV.IVANA KRSTITELJA 15, DARDA"/>
    <x v="59"/>
    <d v="2019-02-16T00:00:00"/>
    <x v="60"/>
    <n v="65592272975"/>
    <s v="Ž-ŽENSKO"/>
    <d v="1972-05-03T00:00:00"/>
    <s v="Beli Manastir"/>
    <s v="HRVATSKO"/>
    <s v="KRALJA ZVONIMIRA 51A, BELI MANASTIR"/>
    <s v="NE"/>
    <s v="SSS"/>
    <m/>
    <s v="ADMINISTRATIVNI DJELATNIK"/>
    <s v="ADMINISTRATIVNI DJELATNIK"/>
    <s v="ODREĐENO"/>
    <d v="2019-05-16T00:00:00"/>
    <s v="PUNO"/>
    <n v="40"/>
    <m/>
    <m/>
    <m/>
    <m/>
    <m/>
    <m/>
    <s v="Osijek"/>
    <m/>
    <m/>
    <m/>
    <s v="NE"/>
    <n v="5923.12"/>
    <n v="1"/>
    <n v="4000"/>
    <n v="0"/>
    <m/>
    <m/>
    <n v="20"/>
    <m/>
    <m/>
    <m/>
    <m/>
    <m/>
    <m/>
    <x v="0"/>
    <n v="1"/>
  </r>
  <r>
    <n v="221"/>
    <n v="22"/>
    <x v="10"/>
    <n v="16157428650"/>
    <s v="Zoltan Kiri"/>
    <s v="Ivana Gundulića 28"/>
    <x v="53"/>
    <d v="2019-01-01T00:00:00"/>
    <x v="61"/>
    <n v="85912850218"/>
    <s v="Ž-ŽENSKO"/>
    <d v="1997-07-31T00:00:00"/>
    <s v="Kiseljak, BIH"/>
    <s v="HRVATSKO"/>
    <s v="Vezir 7, Komletinc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53"/>
  </r>
  <r>
    <n v="222"/>
    <n v="22"/>
    <x v="10"/>
    <n v="16157428650"/>
    <s v="Zoltan Kiri"/>
    <s v="Ivana Gundulića 28"/>
    <x v="71"/>
    <d v="2019-01-01T00:00:00"/>
    <x v="62"/>
    <n v="46616191748"/>
    <s v="Ž-ŽENSKO"/>
    <d v="1994-02-24T00:00:00"/>
    <s v="OSIJEK"/>
    <s v="HRVATSKO"/>
    <s v="Krstova Ulica 78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54"/>
  </r>
  <r>
    <n v="223"/>
    <n v="22"/>
    <x v="10"/>
    <n v="16157428650"/>
    <s v="Zoltan Kiri"/>
    <s v="Ivana Gundulića 28"/>
    <x v="72"/>
    <d v="2019-01-01T00:00:00"/>
    <x v="63"/>
    <n v="32686911736"/>
    <s v="M-MUŠKO"/>
    <d v="1996-02-19T00:00:00"/>
    <s v="OSIJEK"/>
    <s v="HRVATSKO"/>
    <s v="Ištvana Vencela 2, Gajić, Draž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55"/>
  </r>
  <r>
    <n v="224"/>
    <n v="22"/>
    <x v="10"/>
    <n v="16157428650"/>
    <s v="Zoltan Kiri"/>
    <s v="Ivana Gundulića 28"/>
    <x v="97"/>
    <d v="2019-01-01T00:00:00"/>
    <x v="64"/>
    <n v="26136427629"/>
    <s v="M-MUŠKO"/>
    <d v="1992-01-16T00:00:00"/>
    <s v="Zabok"/>
    <s v="HRVATSKO"/>
    <s v="Vijenac Jakova Gotovca 6 Osijek"/>
    <s v="NE"/>
    <s v="SSS"/>
    <m/>
    <s v="Trgovački dem. i prodavač"/>
    <s v="Trgovački dem. i prodavač"/>
    <s v="ODREĐENO"/>
    <d v="2019-03-10T00:00:00"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x v="0"/>
    <n v="56"/>
  </r>
  <r>
    <n v="225"/>
    <n v="3"/>
    <x v="1"/>
    <s v="09677499852"/>
    <s v="Zoltan Terek"/>
    <s v="Južno Pregrađe 38, Osijek"/>
    <x v="120"/>
    <d v="2019-04-01T00:00:00"/>
    <x v="58"/>
    <n v="67836602395"/>
    <s v="M-MUŠKO"/>
    <d v="1982-08-07T00:00:00"/>
    <m/>
    <s v="HRVATSKO"/>
    <s v="STJEPANA RADIĆA 128, VIROVITICA"/>
    <s v="NE"/>
    <s v="VSS"/>
    <m/>
    <s v="Komercijalist"/>
    <s v="KOMERCIJALNI POSLOVI"/>
    <s v="ODREĐENO"/>
    <d v="2019-06-30T00:00:00"/>
    <s v="PUNO"/>
    <n v="40"/>
    <s v="HR9123400093205858xxx"/>
    <m/>
    <m/>
    <m/>
    <m/>
    <m/>
    <s v="Virovitica"/>
    <m/>
    <m/>
    <m/>
    <s v="NE"/>
    <n v="3750"/>
    <n v="1"/>
    <n v="3000"/>
    <m/>
    <m/>
    <m/>
    <m/>
    <m/>
    <m/>
    <m/>
    <m/>
    <m/>
    <m/>
    <x v="0"/>
    <n v="16"/>
  </r>
  <r>
    <n v="226"/>
    <n v="22"/>
    <x v="10"/>
    <n v="16157428650"/>
    <s v="Zoltan Kiri"/>
    <s v="Ivana Gundulića 28"/>
    <x v="93"/>
    <d v="2019-01-01T00:00:00"/>
    <x v="63"/>
    <n v="89349780831"/>
    <s v="Ž-ŽENSKO"/>
    <d v="1996-07-05T00:00:00"/>
    <s v="Beograd"/>
    <s v="HRVATSKO"/>
    <s v="Vukovarska ulica 27,Klisa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x v="0"/>
    <n v="57"/>
  </r>
  <r>
    <n v="227"/>
    <n v="22"/>
    <x v="10"/>
    <n v="16157428650"/>
    <s v="Zoltan Kiri"/>
    <s v="Ivana Gundulića 28"/>
    <x v="94"/>
    <d v="2019-01-01T00:00:00"/>
    <x v="65"/>
    <n v="75824709921"/>
    <s v="M-MUŠKO"/>
    <d v="1995-06-01T00:00:00"/>
    <s v="Sl. Brod"/>
    <s v="HRVATSKO"/>
    <s v="Trnanačka 9,Donji Andrijevc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x v="0"/>
    <n v="58"/>
  </r>
  <r>
    <n v="228"/>
    <n v="22"/>
    <x v="10"/>
    <n v="16157428650"/>
    <s v="Zoltan Kiri"/>
    <s v="Ivana Gundulića 28"/>
    <x v="89"/>
    <d v="2019-01-01T00:00:00"/>
    <x v="66"/>
    <n v="74541092706"/>
    <s v="M-MUŠKO"/>
    <d v="1995-12-25T00:00:00"/>
    <s v="OSIJEK"/>
    <s v="HRVATSKO"/>
    <s v="Slavonska 7,Josipo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x v="0"/>
    <n v="59"/>
  </r>
  <r>
    <n v="229"/>
    <n v="22"/>
    <x v="10"/>
    <n v="16157428650"/>
    <s v="Zoltan Kiri"/>
    <s v="Ivana Gundulića 28"/>
    <x v="90"/>
    <d v="2019-01-01T00:00:00"/>
    <x v="67"/>
    <n v="37394837225"/>
    <s v="Ž-ŽENSKO"/>
    <d v="1996-03-11T00:00:00"/>
    <s v="OSIJEK"/>
    <s v="HRVATSKO"/>
    <s v="A.G.MATOŠA 5, DARDA"/>
    <s v="NE"/>
    <s v="SSS"/>
    <m/>
    <s v="Telefonist-operater u call c."/>
    <s v="Telefonist-operater u call c."/>
    <s v="ODREĐENO"/>
    <d v="2019-01-31T00:00:00"/>
    <s v="PUNO"/>
    <n v="40"/>
    <s v="HR4423400093230236595"/>
    <m/>
    <m/>
    <m/>
    <m/>
    <m/>
    <s v="Osijek"/>
    <m/>
    <m/>
    <m/>
    <s v="NE"/>
    <n v="3750"/>
    <n v="1"/>
    <n v="3000"/>
    <m/>
    <m/>
    <m/>
    <m/>
    <m/>
    <m/>
    <m/>
    <m/>
    <m/>
    <m/>
    <x v="0"/>
    <n v="60"/>
  </r>
  <r>
    <n v="230"/>
    <n v="22"/>
    <x v="10"/>
    <n v="16157428650"/>
    <s v="Zoltan Kiri"/>
    <s v="Ivana Gundulića 28"/>
    <x v="66"/>
    <d v="2019-01-01T00:00:00"/>
    <x v="68"/>
    <n v="27081082594"/>
    <s v="Ž-ŽENSKO"/>
    <d v="1972-02-12T00:00:00"/>
    <s v="OSIJEK"/>
    <s v="HRVATSKO"/>
    <s v="J.J. Strossmayera 188, Osijek"/>
    <s v="NE"/>
    <s v="SSS"/>
    <m/>
    <s v="Telefonist-operater u call c."/>
    <s v="Telefonist-operater u call c."/>
    <s v="ODREĐENO"/>
    <d v="2018-02-28T00:00:00"/>
    <s v="PUNO"/>
    <n v="40"/>
    <m/>
    <m/>
    <m/>
    <m/>
    <m/>
    <m/>
    <s v="Osijek"/>
    <m/>
    <m/>
    <m/>
    <s v="NE"/>
    <n v="3750"/>
    <n v="1"/>
    <n v="3000"/>
    <m/>
    <m/>
    <m/>
    <n v="19"/>
    <n v="12"/>
    <m/>
    <m/>
    <m/>
    <m/>
    <n v="0"/>
    <x v="0"/>
    <n v="61"/>
  </r>
  <r>
    <n v="231"/>
    <n v="22"/>
    <x v="10"/>
    <n v="16157428650"/>
    <s v="Zoltan Kiri"/>
    <s v="Ivana Gundulića 28"/>
    <x v="121"/>
    <d v="2019-01-07T00:00:00"/>
    <x v="67"/>
    <s v="01418314890"/>
    <s v="Ž-ŽENSKO"/>
    <d v="1979-03-04T00:00:00"/>
    <s v="OSIJEK"/>
    <s v="HRVATSKO"/>
    <s v="PAVLA PEJAČEVIĆA 22, 31000 OSIJEK"/>
    <s v="NE"/>
    <s v="SSS"/>
    <s v="MEDICINSKA ŠJKOLA OSIJE"/>
    <s v="Telefonist-operater u call c."/>
    <s v="Telefonist-operater u call c."/>
    <s v="ODREĐENO"/>
    <d v="2019-01-31T00:00:00"/>
    <s v="PUNO"/>
    <n v="40"/>
    <s v="HR2323400093213726215"/>
    <m/>
    <m/>
    <m/>
    <m/>
    <m/>
    <s v="Osijek"/>
    <m/>
    <m/>
    <m/>
    <s v="NE"/>
    <n v="3750"/>
    <n v="1"/>
    <n v="3000"/>
    <m/>
    <m/>
    <m/>
    <m/>
    <m/>
    <m/>
    <m/>
    <m/>
    <m/>
    <m/>
    <x v="0"/>
    <n v="62"/>
  </r>
  <r>
    <n v="232"/>
    <n v="3"/>
    <x v="1"/>
    <s v="09677499852"/>
    <s v="Zoltan Terek"/>
    <s v="Južno Pregrađe 38, Osijek"/>
    <x v="116"/>
    <d v="2019-05-01T00:00:00"/>
    <x v="69"/>
    <n v="64253340535"/>
    <s v="M-MUŠKO"/>
    <d v="1984-06-29T00:00:00"/>
    <m/>
    <s v="HRVATSKO"/>
    <s v="A. STEPINCA 2, B. MANASTIR"/>
    <s v="NE"/>
    <s v="SSS"/>
    <m/>
    <s v="KOMERCIJALISTA"/>
    <s v="KOMERCIJALNI POSLOVI"/>
    <s v="ODREĐENO"/>
    <d v="2019-05-31T00:00:00"/>
    <s v="PUNO"/>
    <n v="40"/>
    <s v="HR0624120093233018547"/>
    <m/>
    <m/>
    <m/>
    <m/>
    <m/>
    <s v="Osijek"/>
    <m/>
    <m/>
    <m/>
    <s v="NE"/>
    <n v="3750"/>
    <n v="1"/>
    <n v="3000"/>
    <m/>
    <m/>
    <m/>
    <m/>
    <m/>
    <m/>
    <m/>
    <m/>
    <m/>
    <m/>
    <x v="1"/>
    <n v="15"/>
  </r>
  <r>
    <n v="233"/>
    <n v="22"/>
    <x v="10"/>
    <n v="16157428650"/>
    <s v="Zoltan Kiri"/>
    <s v="Ivana Gundulića 28"/>
    <x v="122"/>
    <d v="2019-04-01T00:00:00"/>
    <x v="70"/>
    <n v="81476803276"/>
    <s v="Ž-ŽENSKO"/>
    <d v="1980-05-29T00:00:00"/>
    <s v="OSIJEK"/>
    <s v="HRVATSKO"/>
    <s v="ULICA SV.ROKA 52"/>
    <s v="NE"/>
    <s v="SSS"/>
    <m/>
    <s v="Trgovački demonstrator"/>
    <s v="Trgovački demonstrator"/>
    <s v="NEODREĐENO"/>
    <d v="2020-09-11T00:00:00"/>
    <s v="PUNO"/>
    <n v="40"/>
    <m/>
    <m/>
    <m/>
    <m/>
    <m/>
    <m/>
    <s v="Osijek"/>
    <m/>
    <m/>
    <m/>
    <s v="NE"/>
    <n v="4375"/>
    <n v="1"/>
    <n v="4000"/>
    <m/>
    <m/>
    <m/>
    <m/>
    <m/>
    <m/>
    <m/>
    <m/>
    <m/>
    <m/>
    <x v="0"/>
    <n v="63"/>
  </r>
  <r>
    <n v="234"/>
    <n v="22"/>
    <x v="10"/>
    <n v="16157428650"/>
    <s v="Zoltan Kiri"/>
    <s v="Ivana Gundulića 28"/>
    <x v="123"/>
    <d v="2019-01-21T00:00:00"/>
    <x v="71"/>
    <n v="88382913187"/>
    <s v="M-MUŠKO"/>
    <d v="1996-06-04T00:00:00"/>
    <s v="OSIJEK"/>
    <s v="HRVATSKO"/>
    <s v="PETRA KREŠIMIRA 10, KOŠKA"/>
    <s v="NE"/>
    <s v="SSS"/>
    <s v="PUČKO OTV.UČILIŠTE"/>
    <s v="Trgovački demonstrator"/>
    <s v="Trgovački demonstrator"/>
    <s v="ODREĐENO"/>
    <d v="2019-04-21T00:00:00"/>
    <s v="PUNO"/>
    <n v="40"/>
    <s v="HR5723600003246599335"/>
    <m/>
    <m/>
    <m/>
    <m/>
    <m/>
    <s v="Osijek"/>
    <m/>
    <m/>
    <m/>
    <s v="NE"/>
    <n v="4375"/>
    <n v="1"/>
    <n v="3500"/>
    <m/>
    <m/>
    <m/>
    <m/>
    <m/>
    <m/>
    <m/>
    <m/>
    <m/>
    <m/>
    <x v="0"/>
    <n v="64"/>
  </r>
  <r>
    <n v="235"/>
    <n v="22"/>
    <x v="10"/>
    <n v="16157428650"/>
    <s v="Zoltan Kiri"/>
    <s v="Ivana Gundulića 28"/>
    <x v="124"/>
    <d v="2019-01-29T00:00:00"/>
    <x v="62"/>
    <n v="70061804961"/>
    <s v="M-MUŠKO"/>
    <d v="1998-01-08T00:00:00"/>
    <s v="OSIJEK"/>
    <s v="HRVATSKO"/>
    <s v="ULICA MARKA MARULIĆA 4, JOSIPOVAC OSIJEK"/>
    <s v="NE"/>
    <s v="SSS"/>
    <m/>
    <m/>
    <s v="Trgovački demonstrator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x v="0"/>
    <n v="65"/>
  </r>
  <r>
    <n v="236"/>
    <n v="26"/>
    <x v="13"/>
    <n v="95114485977"/>
    <s v="LAURA GERGELJ"/>
    <s v="SV.IVANA KRSTITELJA 15, DARDA"/>
    <x v="59"/>
    <d v="2019-05-17T00:00:00"/>
    <x v="72"/>
    <n v="65592272975"/>
    <s v="Ž-ŽENSKO"/>
    <d v="1972-05-03T00:00:00"/>
    <s v="Beli Manastir"/>
    <s v="HRVATSKO"/>
    <s v="KRALJA ZVONIMIRA 51A, BELI MANASTIR"/>
    <s v="NE"/>
    <s v="SSS"/>
    <m/>
    <s v="ADMINISTRATIVNI DJELATNIK"/>
    <s v="ADMINISTRATIVNI DJELATNIK"/>
    <s v="ODREĐENO"/>
    <d v="2019-08-16T00:00:00"/>
    <s v="PUNO"/>
    <n v="40"/>
    <m/>
    <m/>
    <m/>
    <m/>
    <m/>
    <m/>
    <s v="Osijek"/>
    <m/>
    <m/>
    <m/>
    <s v="NE"/>
    <n v="5923.12"/>
    <n v="1"/>
    <n v="4000"/>
    <n v="0"/>
    <m/>
    <m/>
    <n v="20"/>
    <m/>
    <m/>
    <m/>
    <m/>
    <m/>
    <m/>
    <x v="0"/>
    <n v="2"/>
  </r>
  <r>
    <n v="237"/>
    <n v="22"/>
    <x v="10"/>
    <n v="16157428650"/>
    <s v="Zoltan Kiri"/>
    <s v="Ivana Gundulića 28"/>
    <x v="125"/>
    <d v="2019-01-30T00:00:00"/>
    <x v="49"/>
    <n v="49675744742"/>
    <s v="Ž-ŽENSKO"/>
    <d v="1989-04-13T00:00:00"/>
    <s v="OSIJEK"/>
    <s v="HRVATSKO"/>
    <s v="A.CESARCA 31, BELI MANASTIR"/>
    <s v="NE"/>
    <s v="SSS"/>
    <m/>
    <m/>
    <s v="Trgovački demonstrator"/>
    <s v="ODREĐENO"/>
    <d v="2019-04-30T00:00:00"/>
    <s v="PUNO"/>
    <n v="40"/>
    <s v="HR87 2340 0093 2133 2290 1"/>
    <m/>
    <m/>
    <m/>
    <m/>
    <m/>
    <s v="ZMAJEVAC"/>
    <m/>
    <m/>
    <m/>
    <s v="NE"/>
    <n v="6755.35"/>
    <n v="1"/>
    <n v="5000"/>
    <m/>
    <m/>
    <m/>
    <m/>
    <m/>
    <m/>
    <m/>
    <m/>
    <m/>
    <m/>
    <x v="0"/>
    <n v="65"/>
  </r>
  <r>
    <n v="238"/>
    <n v="22"/>
    <x v="10"/>
    <n v="16157428650"/>
    <s v="Zoltan Kiri"/>
    <s v="Šetalište Petra Preradovića 5"/>
    <x v="96"/>
    <d v="2019-02-01T00:00:00"/>
    <x v="50"/>
    <n v="65362867403"/>
    <s v="Ž-ŽENSKO"/>
    <d v="1970-11-17T00:00:00"/>
    <s v="Frankfurt"/>
    <s v="HRVATSKO"/>
    <s v="Gornjodravska obala 91B, Osijek"/>
    <s v="NE"/>
    <s v="SSS"/>
    <s v="Telefonist-operater u call c."/>
    <m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67"/>
  </r>
  <r>
    <n v="239"/>
    <n v="22"/>
    <x v="10"/>
    <n v="16157428650"/>
    <s v="Zoltan Kiri"/>
    <s v="Ivana Gundulića 28"/>
    <x v="121"/>
    <d v="2019-01-07T00:00:00"/>
    <x v="43"/>
    <s v="01418314890"/>
    <s v="Ž-ŽENSKO"/>
    <d v="1979-03-04T00:00:00"/>
    <s v="OSIJEK"/>
    <s v="HRVATSKO"/>
    <s v="PLJEŠEVIČKA 41 OSIJEK"/>
    <s v="NE"/>
    <s v="SSS"/>
    <s v="MEDICINSKA ŠJKOLA OSIJE"/>
    <s v="Telefonist-operater u call c."/>
    <s v="Telefonist-operater u call c."/>
    <s v="NEODREĐENO"/>
    <m/>
    <s v="PUNO"/>
    <n v="40"/>
    <s v="HR2323400093213726215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68"/>
  </r>
  <r>
    <n v="240"/>
    <n v="22"/>
    <x v="10"/>
    <n v="16157428650"/>
    <s v="Zoltan Kiri"/>
    <s v="Ivana Gundulića 28"/>
    <x v="90"/>
    <d v="2019-01-01T00:00:00"/>
    <x v="43"/>
    <n v="37394837225"/>
    <s v="Ž-ŽENSKO"/>
    <d v="1996-03-11T00:00:00"/>
    <s v="OSIJEK"/>
    <s v="HRVATSKO"/>
    <s v="A.G.MATOŠA 5, DARDA"/>
    <s v="NE"/>
    <s v="SSS"/>
    <m/>
    <s v="Telefonist-operater u call c."/>
    <s v="Telefonist-operater u call c."/>
    <s v="NEODREĐENO"/>
    <m/>
    <s v="PUNO"/>
    <n v="40"/>
    <s v="HR4423400093230236595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69"/>
  </r>
  <r>
    <n v="241"/>
    <n v="22"/>
    <x v="10"/>
    <n v="16157428650"/>
    <s v="Zoltan Kiri"/>
    <s v="Ivana Gundulića 28"/>
    <x v="126"/>
    <d v="2019-02-18T00:00:00"/>
    <x v="62"/>
    <n v="63856633557"/>
    <s v="Ž-ŽENSKO"/>
    <d v="1993-01-28T00:00:00"/>
    <s v="OSIJEK"/>
    <s v="HRVATSKO"/>
    <s v="BOSUTSKA 13,31000 OSIJEK"/>
    <s v="NE"/>
    <s v="SSS"/>
    <m/>
    <s v="Telefonist-operater u call c."/>
    <s v="Telefonist-operater u call c."/>
    <s v="ODREĐENO"/>
    <m/>
    <s v="PUNO"/>
    <n v="40"/>
    <s v="HR1725000093205110517"/>
    <m/>
    <m/>
    <m/>
    <m/>
    <m/>
    <s v="Osijek"/>
    <m/>
    <m/>
    <m/>
    <s v="NE"/>
    <n v="4375"/>
    <n v="1"/>
    <n v="3500"/>
    <m/>
    <m/>
    <m/>
    <m/>
    <m/>
    <m/>
    <m/>
    <m/>
    <m/>
    <m/>
    <x v="0"/>
    <n v="70"/>
  </r>
  <r>
    <n v="242"/>
    <n v="22"/>
    <x v="10"/>
    <n v="16157428650"/>
    <s v="Zoltan Kiri"/>
    <s v="Ivana Gundulića 28"/>
    <x v="127"/>
    <d v="2019-03-07T00:00:00"/>
    <x v="73"/>
    <n v="6846340645"/>
    <s v="Ž-ŽENSKO"/>
    <d v="1986-07-25T00:00:00"/>
    <s v="OSIJEK"/>
    <s v="HRVATSKO"/>
    <s v="TREŠANJSKA 45, BRIJEST"/>
    <s v="NE"/>
    <s v="NKV"/>
    <m/>
    <s v="Telefonist-operater u call c."/>
    <s v="Telefonist-operater u call c."/>
    <s v="ODREĐENO"/>
    <d v="2019-03-31T00:00:00"/>
    <s v="PUNO"/>
    <n v="40"/>
    <s v="HR9725000093222001336"/>
    <m/>
    <m/>
    <m/>
    <m/>
    <m/>
    <s v="Osijek"/>
    <m/>
    <m/>
    <m/>
    <s v="NE"/>
    <n v="3750"/>
    <n v="1"/>
    <n v="3000"/>
    <m/>
    <m/>
    <m/>
    <m/>
    <m/>
    <m/>
    <m/>
    <m/>
    <m/>
    <m/>
    <x v="0"/>
    <n v="71"/>
  </r>
  <r>
    <n v="243"/>
    <n v="22"/>
    <x v="10"/>
    <n v="16157428650"/>
    <s v="Zoltan Kiri"/>
    <s v="Ivana Gundulića 28"/>
    <x v="128"/>
    <d v="2019-03-25T00:00:00"/>
    <x v="12"/>
    <n v="22398538860"/>
    <s v="M-MUŠKO"/>
    <d v="1994-11-30T00:00:00"/>
    <s v="OSIJEK"/>
    <s v="HRVATSKO"/>
    <s v="BOSUTSKA 17, 31000 OSIJEK"/>
    <s v="NE"/>
    <s v="SSS"/>
    <m/>
    <s v="Trgovački demonstrator"/>
    <s v="Trgovački demonstrator"/>
    <s v="ODREĐENO"/>
    <d v="2019-03-25T00:00:00"/>
    <s v="PUNO"/>
    <n v="40"/>
    <s v="HR5524020063208050065"/>
    <m/>
    <m/>
    <m/>
    <m/>
    <m/>
    <s v="Osijek"/>
    <m/>
    <m/>
    <m/>
    <s v="NE"/>
    <n v="4375"/>
    <m/>
    <n v="3500"/>
    <m/>
    <m/>
    <m/>
    <m/>
    <m/>
    <m/>
    <m/>
    <m/>
    <m/>
    <m/>
    <x v="0"/>
    <n v="72"/>
  </r>
  <r>
    <n v="244"/>
    <n v="22"/>
    <x v="10"/>
    <n v="16157428650"/>
    <s v="Zoltan Kiri"/>
    <s v="Ivana Gundulića 28"/>
    <x v="129"/>
    <d v="2019-04-01T00:00:00"/>
    <x v="74"/>
    <s v="06901289862"/>
    <s v="Ž-ŽENSKO"/>
    <d v="1986-12-24T00:00:00"/>
    <s v="OSIJEK"/>
    <s v="HRVATSKO"/>
    <s v="ČVRSNIČKA 17, OSIJEK"/>
    <s v="NE"/>
    <s v="SSS"/>
    <m/>
    <s v="Telefonist-operater u call c."/>
    <s v="Telefonist-operater u call c."/>
    <s v="ODREĐENO"/>
    <d v="2019-04-30T00:00:00"/>
    <s v="PUNO"/>
    <n v="40"/>
    <s v="HR41236000003244298492"/>
    <m/>
    <m/>
    <m/>
    <m/>
    <m/>
    <s v="Osijek"/>
    <m/>
    <m/>
    <m/>
    <s v="NE"/>
    <n v="3750"/>
    <n v="1"/>
    <n v="3000"/>
    <m/>
    <m/>
    <m/>
    <m/>
    <m/>
    <m/>
    <m/>
    <m/>
    <m/>
    <m/>
    <x v="0"/>
    <n v="73"/>
  </r>
  <r>
    <n v="245"/>
    <n v="22"/>
    <x v="10"/>
    <n v="16157428650"/>
    <s v="Zoltan Kiri"/>
    <s v="Ivana Gundulića 28"/>
    <x v="130"/>
    <d v="2019-04-11T00:00:00"/>
    <x v="75"/>
    <n v="90178627877"/>
    <s v="Ž-ŽENSKO"/>
    <d v="2019-06-01T00:00:00"/>
    <m/>
    <s v="HRVATSKO"/>
    <s v="OSIJEČKA 30, SARVAŠ"/>
    <s v="NE"/>
    <s v="SSS"/>
    <m/>
    <s v="Telefonist-operater u call c."/>
    <s v="Telefonist-operater u call c."/>
    <s v="ODREĐENO"/>
    <d v="2019-05-31T00:00:00"/>
    <s v="PUNO"/>
    <n v="40"/>
    <s v="HR9023400093231383956"/>
    <m/>
    <m/>
    <m/>
    <m/>
    <m/>
    <s v="Osijek"/>
    <m/>
    <m/>
    <m/>
    <s v="NE"/>
    <n v="3750"/>
    <n v="1"/>
    <n v="3000"/>
    <m/>
    <m/>
    <m/>
    <m/>
    <m/>
    <m/>
    <m/>
    <m/>
    <m/>
    <m/>
    <x v="0"/>
    <n v="74"/>
  </r>
  <r>
    <n v="246"/>
    <n v="22"/>
    <x v="10"/>
    <n v="16157428650"/>
    <s v="Zoltan Kiri"/>
    <s v="Ivana Gundulića 28"/>
    <x v="131"/>
    <d v="2019-04-15T00:00:00"/>
    <x v="76"/>
    <n v="19504503963"/>
    <s v="Ž-ŽENSKO"/>
    <d v="1996-09-20T00:00:00"/>
    <m/>
    <s v="HRVATSKO"/>
    <s v="ULICA ANTUNA KANIŽLIĆA 14, OSIJEK"/>
    <s v="NE"/>
    <s v="SSS"/>
    <m/>
    <s v="Telefonist-operater u call c."/>
    <s v="Telefonist-operater u call c."/>
    <s v="ODREĐENO"/>
    <d v="2019-05-31T00:00:00"/>
    <s v="PUNO"/>
    <n v="40"/>
    <s v="HR2723600003244566076 HR0323600003513787432"/>
    <m/>
    <m/>
    <m/>
    <m/>
    <m/>
    <s v="Osijek"/>
    <m/>
    <m/>
    <m/>
    <s v="NE"/>
    <n v="3750"/>
    <n v="1"/>
    <n v="3000"/>
    <m/>
    <m/>
    <m/>
    <m/>
    <m/>
    <m/>
    <m/>
    <m/>
    <m/>
    <m/>
    <x v="0"/>
    <n v="75"/>
  </r>
  <r>
    <n v="247"/>
    <n v="22"/>
    <x v="10"/>
    <n v="16157428650"/>
    <s v="Zoltan Kiri"/>
    <s v="Ivana Gundulića 28"/>
    <x v="132"/>
    <d v="2019-04-16T00:00:00"/>
    <x v="77"/>
    <n v="28411895669"/>
    <s v="Ž-ŽENSKO"/>
    <d v="2019-04-23T00:00:00"/>
    <m/>
    <s v="HRVATSKO"/>
    <s v="J.J.STROSSMAYERA 62 VIŠNJEVAC"/>
    <s v="NE"/>
    <s v="SSS"/>
    <m/>
    <s v="Telefonist-operater u call c."/>
    <s v="Telefonist-operater u call c."/>
    <s v="ODREĐENO"/>
    <d v="2015-05-31T00:00:00"/>
    <s v="PUNO"/>
    <n v="40"/>
    <s v="HR3823400093214278651  HR8723400093510784459"/>
    <m/>
    <m/>
    <m/>
    <m/>
    <m/>
    <s v="Osijek"/>
    <m/>
    <m/>
    <m/>
    <s v="NE"/>
    <n v="3750"/>
    <n v="1"/>
    <n v="3000"/>
    <m/>
    <m/>
    <m/>
    <m/>
    <m/>
    <m/>
    <m/>
    <m/>
    <m/>
    <m/>
    <x v="0"/>
    <n v="76"/>
  </r>
  <r>
    <n v="248"/>
    <n v="22"/>
    <x v="10"/>
    <n v="16157428650"/>
    <s v="Zoltan Kiri"/>
    <s v="Ivana Gundulića 28"/>
    <x v="133"/>
    <d v="2019-04-24T00:00:00"/>
    <x v="78"/>
    <n v="28667022761"/>
    <s v="Ž-ŽENSKO"/>
    <d v="1985-07-22T00:00:00"/>
    <m/>
    <s v="HRVATSKO"/>
    <s v="ANTE STARČEVIĆA 43 C , VIŠNJEVAC"/>
    <s v="NE"/>
    <s v="SSS"/>
    <m/>
    <s v="Telefonist-operater u call c."/>
    <s v="Telefonist-operater u call c."/>
    <s v="ODREĐENO"/>
    <d v="2019-05-31T00:00:00"/>
    <s v="PUNO"/>
    <n v="40"/>
    <s v="HR8123400093207422305"/>
    <m/>
    <m/>
    <m/>
    <m/>
    <m/>
    <s v="Osijek"/>
    <m/>
    <m/>
    <m/>
    <s v="NE"/>
    <n v="3750"/>
    <n v="1"/>
    <n v="3000"/>
    <m/>
    <m/>
    <m/>
    <m/>
    <m/>
    <m/>
    <m/>
    <m/>
    <m/>
    <m/>
    <x v="0"/>
    <n v="77"/>
  </r>
  <r>
    <n v="249"/>
    <n v="22"/>
    <x v="10"/>
    <n v="16157428650"/>
    <s v="Zoltan Kiri"/>
    <s v="Ivana Gundulića 28"/>
    <x v="134"/>
    <d v="2019-04-29T00:00:00"/>
    <x v="74"/>
    <n v="95564302024"/>
    <s v="M-MUŠKO"/>
    <d v="1980-10-24T00:00:00"/>
    <m/>
    <s v="HRVATSKO"/>
    <s v="RIBARSKA ULICA 13, KOPAČEVO"/>
    <s v="NE"/>
    <s v="SSS"/>
    <m/>
    <s v="Trgovački demonstrator"/>
    <s v="Trgovački demonstrator"/>
    <s v="ODREĐENO"/>
    <d v="2019-08-31T00:00:00"/>
    <s v="PUNO"/>
    <n v="40"/>
    <s v="HR"/>
    <m/>
    <m/>
    <m/>
    <m/>
    <m/>
    <s v="Osijek"/>
    <m/>
    <m/>
    <m/>
    <s v="NE"/>
    <n v="8426.4699999999993"/>
    <n v="1"/>
    <n v="6000"/>
    <m/>
    <m/>
    <s v="promjena plaće sa 4000 na 6000 sa 01.09"/>
    <m/>
    <m/>
    <m/>
    <m/>
    <m/>
    <m/>
    <m/>
    <x v="0"/>
    <n v="78"/>
  </r>
  <r>
    <n v="250"/>
    <n v="22"/>
    <x v="10"/>
    <n v="16157428650"/>
    <s v="Zoltan Kiri"/>
    <s v="Ivana Gundulića 28"/>
    <x v="135"/>
    <d v="2019-05-02T00:00:00"/>
    <x v="79"/>
    <s v="00702169000"/>
    <s v="Ž-ŽENSKO"/>
    <d v="1981-07-23T00:00:00"/>
    <m/>
    <s v="HRVATSKO"/>
    <s v="TRPANJSKA 11, OSIJEK"/>
    <s v="NE"/>
    <s v="SSS"/>
    <m/>
    <s v="Telefonist-operater u call c."/>
    <s v="Telefonist-operater u call c."/>
    <s v="ODREĐENO"/>
    <d v="2019-05-31T00:00:00"/>
    <s v="PUNO"/>
    <n v="40"/>
    <s v="HR6424840083230680227"/>
    <m/>
    <m/>
    <m/>
    <m/>
    <m/>
    <s v="Osijek"/>
    <m/>
    <m/>
    <m/>
    <s v="NE"/>
    <n v="3750"/>
    <n v="1"/>
    <n v="3000"/>
    <m/>
    <m/>
    <m/>
    <m/>
    <m/>
    <m/>
    <m/>
    <m/>
    <m/>
    <m/>
    <x v="0"/>
    <n v="79"/>
  </r>
  <r>
    <n v="251"/>
    <n v="22"/>
    <x v="10"/>
    <n v="16157428650"/>
    <s v="Zoltan Kiri"/>
    <s v="Ivana Gundulića 28"/>
    <x v="136"/>
    <d v="2019-05-02T00:00:00"/>
    <x v="47"/>
    <s v="06278539417"/>
    <s v="Ž-ŽENSKO"/>
    <d v="1987-11-26T00:00:00"/>
    <m/>
    <s v="HRVATSKO"/>
    <s v="DALMATINSKA 26 JOSIPOVAC"/>
    <s v="NE"/>
    <s v="SSS"/>
    <m/>
    <s v="Telefonist-operater u call c."/>
    <s v="Telefonist-operater u call c."/>
    <s v="ODREĐENO"/>
    <d v="2019-05-31T00:00:00"/>
    <s v="PUNO"/>
    <n v="40"/>
    <s v="HR2723900013221554752"/>
    <m/>
    <m/>
    <m/>
    <m/>
    <m/>
    <s v="Osijek"/>
    <m/>
    <m/>
    <m/>
    <s v="NE"/>
    <n v="3750"/>
    <n v="1"/>
    <n v="3000"/>
    <m/>
    <m/>
    <m/>
    <m/>
    <m/>
    <m/>
    <m/>
    <m/>
    <m/>
    <m/>
    <x v="0"/>
    <n v="80"/>
  </r>
  <r>
    <n v="252"/>
    <n v="22"/>
    <x v="10"/>
    <n v="16157428650"/>
    <s v="Zoltan Kiri"/>
    <s v="Ivana Gundulića 28"/>
    <x v="137"/>
    <d v="2019-05-03T00:00:00"/>
    <x v="43"/>
    <n v="61923614848"/>
    <s v="Ž-ŽENSKO"/>
    <d v="1990-08-31T00:00:00"/>
    <s v="OSIJEK"/>
    <s v="HRVATSKO"/>
    <s v="J.J.STROSSMAJERA 151, Osijek"/>
    <s v="NE"/>
    <s v="SSS"/>
    <m/>
    <s v="Telefonist-operater u call c."/>
    <s v="Telefonist-operater u call c."/>
    <s v="ODREĐENO"/>
    <d v="2019-05-31T00:00:00"/>
    <s v="PUNO"/>
    <n v="40"/>
    <s v="HR5423400093213574725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81"/>
  </r>
  <r>
    <n v="253"/>
    <n v="22"/>
    <x v="10"/>
    <n v="16157428650"/>
    <s v="Zoltan Kiri"/>
    <s v="Ivana Gundulića 28"/>
    <x v="138"/>
    <d v="2019-05-08T00:00:00"/>
    <x v="80"/>
    <n v="20738620097"/>
    <s v="M-MUŠKO"/>
    <d v="1981-02-16T00:00:00"/>
    <m/>
    <s v="HRVATSKO"/>
    <s v="VJ.KRALJEVE SUTJESKE 4, OSIJEK"/>
    <s v="NE"/>
    <s v="SSS"/>
    <m/>
    <s v="Telefonist-operater u call c."/>
    <s v="Telefonist-operater u call c."/>
    <s v="ODREĐENO"/>
    <d v="2019-05-31T00:00:00"/>
    <s v="PUNO"/>
    <n v="40"/>
    <s v="HR0823600003223569895"/>
    <m/>
    <m/>
    <m/>
    <m/>
    <m/>
    <s v="Osijek"/>
    <m/>
    <m/>
    <m/>
    <s v="NE"/>
    <n v="3750"/>
    <n v="1"/>
    <n v="3000"/>
    <m/>
    <m/>
    <m/>
    <m/>
    <m/>
    <m/>
    <m/>
    <m/>
    <m/>
    <m/>
    <x v="0"/>
    <n v="82"/>
  </r>
  <r>
    <n v="254"/>
    <n v="22"/>
    <x v="10"/>
    <n v="16157428650"/>
    <s v="Zoltan Kiri"/>
    <s v="Ivana Gundulića 28"/>
    <x v="139"/>
    <d v="2019-05-10T00:00:00"/>
    <x v="76"/>
    <s v="05974952372"/>
    <s v="Ž-ŽENSKO"/>
    <d v="1998-08-18T00:00:00"/>
    <m/>
    <s v="HRVATSKO"/>
    <s v="K.A.STEPINCA 8, 31000 OSIJEK"/>
    <s v="NE"/>
    <s v="SSS"/>
    <m/>
    <s v="Telefonist-operater u call c."/>
    <s v="Telefonist-operater u call c."/>
    <s v="ODREĐENO"/>
    <d v="2019-05-31T00:00:00"/>
    <s v="PUNO"/>
    <n v="40"/>
    <s v="HR6124070003207074065"/>
    <m/>
    <m/>
    <m/>
    <m/>
    <m/>
    <s v="Osijek"/>
    <m/>
    <m/>
    <m/>
    <s v="NE"/>
    <n v="3750"/>
    <n v="1"/>
    <n v="3000"/>
    <m/>
    <m/>
    <m/>
    <m/>
    <m/>
    <m/>
    <m/>
    <m/>
    <m/>
    <m/>
    <x v="0"/>
    <n v="83"/>
  </r>
  <r>
    <n v="255"/>
    <n v="22"/>
    <x v="10"/>
    <n v="16157428650"/>
    <s v="Zoltan Kiri"/>
    <s v="Ivana Gundulića 28"/>
    <x v="140"/>
    <d v="2019-05-20T00:00:00"/>
    <x v="81"/>
    <n v="8869661100"/>
    <s v="Ž-ŽENSKO"/>
    <d v="1987-04-04T00:00:00"/>
    <m/>
    <s v="HRVATSKO"/>
    <s v="VIJENAC PETROVE GORE, OSIJEK"/>
    <s v="NE"/>
    <s v="SSS"/>
    <m/>
    <s v="Telefonist-operater u call c."/>
    <s v="Telefonist-operater u call c."/>
    <s v="ODREĐENO"/>
    <d v="2019-05-31T00:00:00"/>
    <s v="PUNO"/>
    <n v="40"/>
    <s v="HR1823900013215908932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84"/>
  </r>
  <r>
    <n v="256"/>
    <n v="22"/>
    <x v="10"/>
    <n v="16157428650"/>
    <s v="Zoltan Kiri"/>
    <s v="Ivana Gundulića 28"/>
    <x v="141"/>
    <d v="2019-05-27T00:00:00"/>
    <x v="58"/>
    <n v="49752439242"/>
    <s v="Ž-ŽENSKO"/>
    <d v="2000-02-15T00:00:00"/>
    <m/>
    <s v="HRVATSKO"/>
    <s v="VRTNA ULICA 44, BRIJEŠĆE"/>
    <s v="NE"/>
    <s v="SSS"/>
    <m/>
    <s v="Telefonist-operater u call c."/>
    <s v="Telefonist-operater u call c."/>
    <s v="ODREĐENO"/>
    <d v="2019-06-30T00:00:00"/>
    <s v="PUNO"/>
    <n v="40"/>
    <s v="HR6023400093218604455"/>
    <m/>
    <m/>
    <m/>
    <m/>
    <m/>
    <s v="Osijek"/>
    <m/>
    <m/>
    <m/>
    <s v="NE"/>
    <n v="3750"/>
    <n v="1"/>
    <n v="3000"/>
    <m/>
    <m/>
    <m/>
    <m/>
    <m/>
    <m/>
    <m/>
    <m/>
    <m/>
    <m/>
    <x v="0"/>
    <n v="85"/>
  </r>
  <r>
    <n v="257"/>
    <n v="15"/>
    <x v="7"/>
    <n v="68539395396"/>
    <s v="Zoran Francisković"/>
    <s v="Koprivnička 25 a, 31000 Osijek"/>
    <x v="142"/>
    <d v="2019-09-16T00:00:00"/>
    <x v="82"/>
    <n v="97376823782"/>
    <s v="M-MUŠKO"/>
    <d v="1964-10-12T00:00:00"/>
    <s v="OSIJEK"/>
    <s v="HRVATSKO"/>
    <s v="Olimpije 13, 31000 Osijek "/>
    <s v="NE"/>
    <s v="NKV"/>
    <m/>
    <s v="Keramičar"/>
    <s v="Keramičar"/>
    <s v="NEODREĐENO"/>
    <d v="2020-06-29T00:00:00"/>
    <s v="PUNO"/>
    <n v="40"/>
    <s v="HR652484083223276975"/>
    <m/>
    <m/>
    <m/>
    <m/>
    <m/>
    <s v="Osijek"/>
    <m/>
    <m/>
    <m/>
    <m/>
    <n v="4200"/>
    <n v="1"/>
    <m/>
    <m/>
    <m/>
    <m/>
    <m/>
    <m/>
    <m/>
    <m/>
    <m/>
    <m/>
    <m/>
    <x v="1"/>
    <m/>
  </r>
  <r>
    <n v="258"/>
    <n v="22"/>
    <x v="10"/>
    <n v="16157428650"/>
    <s v="Zoltan Kiri"/>
    <s v="Ivana Gundulića 28"/>
    <x v="143"/>
    <d v="2019-05-28T00:00:00"/>
    <x v="83"/>
    <n v="11971211274"/>
    <s v="Ž-ŽENSKO"/>
    <d v="1980-12-08T00:00:00"/>
    <m/>
    <s v="HRVATSKO"/>
    <s v="ŠKOLSKA 18, VIŠNJEVAC"/>
    <s v="NE"/>
    <s v="SSS"/>
    <m/>
    <s v="Telefonist-operater u call c."/>
    <s v="Telefonist-operater u call c."/>
    <s v="ODREĐENO"/>
    <d v="2019-06-30T00:00:00"/>
    <s v="PUNO"/>
    <n v="40"/>
    <s v="HR9024070003205889367"/>
    <m/>
    <m/>
    <m/>
    <m/>
    <m/>
    <s v="Osijek"/>
    <m/>
    <m/>
    <m/>
    <s v="NE"/>
    <n v="3750"/>
    <n v="1"/>
    <n v="3000"/>
    <m/>
    <m/>
    <m/>
    <m/>
    <m/>
    <m/>
    <m/>
    <m/>
    <m/>
    <m/>
    <x v="0"/>
    <n v="86"/>
  </r>
  <r>
    <n v="259"/>
    <n v="22"/>
    <x v="10"/>
    <n v="16157428650"/>
    <s v="Zoltan Kiri"/>
    <s v="Ivana Gundulića 28"/>
    <x v="144"/>
    <d v="2019-05-27T00:00:00"/>
    <x v="76"/>
    <n v="71786069922"/>
    <s v="Ž-ŽENSKO"/>
    <s v="17.05.1994."/>
    <m/>
    <s v="HRVATSKO"/>
    <s v="LJUDEVITA GAJA 109, N.GRADIŠKA"/>
    <s v="NE"/>
    <s v="SSS"/>
    <m/>
    <s v="Telefonist-operater u call c."/>
    <s v="Telefonist-operater u call c."/>
    <s v="ODREĐENO"/>
    <d v="2019-08-25T00:00:00"/>
    <s v="PUNO"/>
    <n v="40"/>
    <s v="HR3823400093231248704"/>
    <m/>
    <m/>
    <m/>
    <m/>
    <m/>
    <s v="Osijek"/>
    <m/>
    <m/>
    <m/>
    <s v="NE"/>
    <n v="4375"/>
    <n v="1"/>
    <n v="3500"/>
    <m/>
    <m/>
    <m/>
    <m/>
    <m/>
    <m/>
    <m/>
    <m/>
    <m/>
    <m/>
    <x v="0"/>
    <n v="87"/>
  </r>
  <r>
    <n v="260"/>
    <n v="22"/>
    <x v="10"/>
    <n v="16157428650"/>
    <s v="Zoltan Kiri"/>
    <s v="Ivana Gundulića 28"/>
    <x v="145"/>
    <d v="2019-06-03T00:00:00"/>
    <x v="55"/>
    <n v="12378528119"/>
    <s v="Ž-ŽENSKO"/>
    <d v="1977-02-15T00:00:00"/>
    <m/>
    <s v="HRVATSKO"/>
    <s v="Umaška 8, Osijek"/>
    <s v="NE"/>
    <s v="SSS"/>
    <m/>
    <s v="Telefonist-operater u call c."/>
    <s v="Telefonist-operater u call c."/>
    <s v="ODREĐENO"/>
    <d v="2019-06-03T00:00:00"/>
    <s v="PUNO"/>
    <n v="40"/>
    <s v="HR4323600003234980000"/>
    <m/>
    <m/>
    <m/>
    <m/>
    <m/>
    <s v="Osijek"/>
    <m/>
    <m/>
    <m/>
    <s v="NE"/>
    <n v="3750"/>
    <n v="1"/>
    <n v="3000"/>
    <m/>
    <m/>
    <m/>
    <m/>
    <m/>
    <m/>
    <m/>
    <m/>
    <m/>
    <m/>
    <x v="0"/>
    <n v="88"/>
  </r>
  <r>
    <n v="261"/>
    <n v="22"/>
    <x v="10"/>
    <n v="16157428650"/>
    <s v="Zoltan Kiri"/>
    <s v="Ivana Gundulića 28"/>
    <x v="146"/>
    <d v="2019-06-18T00:00:00"/>
    <x v="84"/>
    <n v="71570040716"/>
    <s v="Ž-ŽENSKO"/>
    <d v="1981-08-03T00:00:00"/>
    <m/>
    <s v="HRVATSKO"/>
    <s v="JOSIPOVAC, OSIJEČKA 112"/>
    <s v="NE"/>
    <s v="SSS"/>
    <m/>
    <s v="Telefonist-operater u call c."/>
    <s v="Telefonist-operater u call c."/>
    <s v="ODREĐENO"/>
    <d v="2019-07-31T00:00:00"/>
    <s v="PUNO"/>
    <n v="40"/>
    <s v="HR2324070003205439038"/>
    <m/>
    <m/>
    <m/>
    <m/>
    <m/>
    <s v="Osijek"/>
    <m/>
    <m/>
    <m/>
    <s v="NE"/>
    <n v="3750"/>
    <n v="2.7"/>
    <n v="3000"/>
    <m/>
    <m/>
    <m/>
    <m/>
    <m/>
    <m/>
    <m/>
    <m/>
    <m/>
    <m/>
    <x v="0"/>
    <n v="89"/>
  </r>
  <r>
    <n v="262"/>
    <n v="22"/>
    <x v="10"/>
    <n v="16157428650"/>
    <s v="Zoltan Kiri"/>
    <s v="Ivana Gundulića 28"/>
    <x v="147"/>
    <d v="2019-06-24T00:00:00"/>
    <x v="42"/>
    <n v="37440200087"/>
    <s v="M-MUŠKO"/>
    <d v="1970-01-31T00:00:00"/>
    <s v="OSIJEK"/>
    <s v="HRVATSKO"/>
    <s v="TRG SLOBODE 7 BELI MANASTIR"/>
    <s v="NE"/>
    <s v="SSS"/>
    <m/>
    <s v="Trgovački demonstrator"/>
    <s v="Trgovački demonstrator"/>
    <s v="ODREĐENO"/>
    <d v="2019-09-30T00:00:00"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x v="1"/>
    <n v="90"/>
  </r>
  <r>
    <n v="263"/>
    <n v="22"/>
    <x v="10"/>
    <n v="16157428650"/>
    <s v="Zoltan Kiri"/>
    <s v="Ivana Gundulića 28"/>
    <x v="148"/>
    <d v="2019-07-15T00:00:00"/>
    <x v="81"/>
    <n v="20384352697"/>
    <s v="M-MUŠKO"/>
    <d v="1996-09-17T00:00:00"/>
    <m/>
    <s v="HRVATSKO"/>
    <s v="TRENKOVA 5, 34000 POŽEGA"/>
    <s v="NE"/>
    <s v="SSS"/>
    <m/>
    <s v="Telefonist-operater u call c."/>
    <s v="Telefonist-operater u call c."/>
    <s v="ODREĐENO"/>
    <d v="2019-08-31T00:00:00"/>
    <s v="PUNO"/>
    <n v="40"/>
    <s v="HR4823600003252831823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91"/>
  </r>
  <r>
    <n v="264"/>
    <n v="3"/>
    <x v="1"/>
    <s v="09677499852"/>
    <s v="Zoltan Terek"/>
    <s v="Južno Pregrađe 38, Osijek"/>
    <x v="149"/>
    <d v="2019-10-01T00:00:00"/>
    <x v="85"/>
    <n v="33945890205"/>
    <s v="M-MUŠKO"/>
    <d v="1996-07-09T00:00:00"/>
    <m/>
    <s v="HRVATSKO"/>
    <s v="ARANJ JANOŠ 13, NOVI BEZDAN, PETLOVAC"/>
    <s v="NE"/>
    <s v="SSS"/>
    <m/>
    <s v="KOMERCIJALISTA"/>
    <s v="KOMERCIJALISTA"/>
    <s v="ODREĐENO"/>
    <d v="2019-12-31T00:00:00"/>
    <s v="PUNO"/>
    <n v="40"/>
    <s v="HR5823400093214680938"/>
    <m/>
    <m/>
    <m/>
    <m/>
    <m/>
    <s v="Osijek"/>
    <m/>
    <m/>
    <m/>
    <s v="NE"/>
    <n v="3750"/>
    <n v="1"/>
    <n v="3000"/>
    <m/>
    <m/>
    <m/>
    <m/>
    <m/>
    <m/>
    <m/>
    <m/>
    <m/>
    <m/>
    <x v="1"/>
    <n v="24"/>
  </r>
  <r>
    <n v="265"/>
    <n v="22"/>
    <x v="10"/>
    <n v="16157428650"/>
    <s v="Zoltan Kiri"/>
    <s v="Ivana Gundulića 28"/>
    <x v="150"/>
    <d v="2019-07-16T00:00:00"/>
    <x v="86"/>
    <n v="79304023231"/>
    <s v="M-MUŠKO"/>
    <d v="2000-05-25T00:00:00"/>
    <m/>
    <s v="HRVATSKO"/>
    <s v="PETEFI ŠANDORA 24, LUG"/>
    <s v="NE"/>
    <s v="SSS"/>
    <m/>
    <s v="Trgovački demonstrator"/>
    <s v="Trgovački demonstrator"/>
    <s v="ODREĐENO"/>
    <d v="2019-10-14T00:00:00"/>
    <s v="PUNO"/>
    <n v="40"/>
    <s v="HR8123400093233689711"/>
    <m/>
    <m/>
    <m/>
    <m/>
    <m/>
    <s v="Osijek"/>
    <m/>
    <m/>
    <m/>
    <s v="NE"/>
    <n v="8426.4699999999993"/>
    <n v="1"/>
    <n v="6000"/>
    <m/>
    <m/>
    <m/>
    <m/>
    <m/>
    <m/>
    <m/>
    <m/>
    <m/>
    <m/>
    <x v="0"/>
    <n v="92"/>
  </r>
  <r>
    <n v="266"/>
    <n v="22"/>
    <x v="10"/>
    <n v="16157428650"/>
    <s v="Zoltan Kiri"/>
    <s v="Ivana Gundulića 28"/>
    <x v="151"/>
    <d v="2019-07-23T00:00:00"/>
    <x v="74"/>
    <n v="93607450725"/>
    <s v="Ž-ŽENSKO"/>
    <d v="1992-11-19T00:00:00"/>
    <m/>
    <s v="HRVATSKO"/>
    <s v="AUGUSTA CESARCA 97, B.MANASTIR"/>
    <s v="NE"/>
    <s v="VSS"/>
    <m/>
    <s v="Telefonist-operater u call c."/>
    <s v="Telefonist-operater u call c."/>
    <s v="ODREĐENO"/>
    <d v="2019-08-31T00:00:00"/>
    <s v="PUNO"/>
    <n v="40"/>
    <s v="HR0923400093217812107"/>
    <m/>
    <m/>
    <m/>
    <m/>
    <m/>
    <s v="Osijek"/>
    <m/>
    <m/>
    <m/>
    <s v="NE"/>
    <n v="3750"/>
    <n v="1"/>
    <n v="3000"/>
    <m/>
    <m/>
    <m/>
    <m/>
    <m/>
    <m/>
    <m/>
    <m/>
    <m/>
    <m/>
    <x v="0"/>
    <n v="93"/>
  </r>
  <r>
    <n v="267"/>
    <n v="22"/>
    <x v="10"/>
    <n v="16157428650"/>
    <s v="Zoltan Kiri"/>
    <s v="Ivana Gundulića 28"/>
    <x v="149"/>
    <d v="2019-07-31T00:00:00"/>
    <x v="87"/>
    <n v="33945890205"/>
    <s v="M-MUŠKO"/>
    <d v="1996-07-09T00:00:00"/>
    <m/>
    <s v="HRVATSKO"/>
    <s v="ARANJ JANOŠ 13, NOVI BEZDAN, PETLOVAC"/>
    <s v="NE"/>
    <s v="SSS"/>
    <m/>
    <s v="Trgovački demonstrator"/>
    <s v="Trgovački demonstrator"/>
    <s v="ODREĐENO"/>
    <d v="2019-10-29T00:00:00"/>
    <s v="PUNO"/>
    <n v="40"/>
    <s v="HR5823400093214680938"/>
    <m/>
    <m/>
    <m/>
    <m/>
    <m/>
    <s v="Osijek"/>
    <m/>
    <m/>
    <m/>
    <s v="NE"/>
    <n v="8426.4699999999993"/>
    <n v="1"/>
    <n v="6000"/>
    <m/>
    <m/>
    <m/>
    <m/>
    <m/>
    <m/>
    <m/>
    <m/>
    <m/>
    <m/>
    <x v="0"/>
    <n v="94"/>
  </r>
  <r>
    <n v="268"/>
    <n v="22"/>
    <x v="10"/>
    <n v="16157428650"/>
    <s v="Zoltan Kiri"/>
    <s v="Ivana Gundulića 28"/>
    <x v="152"/>
    <d v="2019-08-19T00:00:00"/>
    <x v="88"/>
    <n v="61386713412"/>
    <s v="M-MUŠKO"/>
    <d v="1998-02-05T00:00:00"/>
    <m/>
    <s v="HRVATSKO"/>
    <s v="POŠTANSKA 31, JOSIPOVAC"/>
    <s v="NE"/>
    <s v="SSS"/>
    <m/>
    <s v="Trgovački demonstrator"/>
    <s v="Trgovački demonstrator"/>
    <s v="ODREĐENO"/>
    <d v="2019-11-17T00:00:00"/>
    <s v="PUNO"/>
    <n v="40"/>
    <s v="HR4724020063209657499"/>
    <m/>
    <m/>
    <m/>
    <m/>
    <m/>
    <s v="Osijek"/>
    <m/>
    <m/>
    <m/>
    <s v="NE"/>
    <n v="5093.03"/>
    <n v="1"/>
    <n v="4000"/>
    <m/>
    <m/>
    <m/>
    <m/>
    <m/>
    <m/>
    <m/>
    <m/>
    <m/>
    <m/>
    <x v="0"/>
    <n v="95"/>
  </r>
  <r>
    <n v="269"/>
    <n v="22"/>
    <x v="10"/>
    <n v="16157428650"/>
    <s v="Zoltan Kiri"/>
    <s v="Ivana Gundulića 28"/>
    <x v="153"/>
    <d v="2019-09-01T00:00:00"/>
    <x v="58"/>
    <n v="67957505499"/>
    <s v="Ž-ŽENSKO"/>
    <d v="2019-09-30T00:00:00"/>
    <m/>
    <s v="HRVATSKO"/>
    <s v="RETFALA NOVA 4, 31000 OSIJEK"/>
    <s v="NE"/>
    <s v="SSS"/>
    <m/>
    <s v="Telefonist-operater u call c."/>
    <s v="Telefonist-operater u call c."/>
    <s v="ODREĐENO"/>
    <d v="2019-09-30T00:00:00"/>
    <s v="PUNO"/>
    <n v="40"/>
    <s v="HR7023400093233296768"/>
    <m/>
    <m/>
    <m/>
    <m/>
    <m/>
    <s v="Osijek"/>
    <m/>
    <m/>
    <m/>
    <s v="NE"/>
    <n v="3750"/>
    <n v="1"/>
    <n v="3000"/>
    <m/>
    <m/>
    <m/>
    <m/>
    <m/>
    <m/>
    <m/>
    <m/>
    <m/>
    <m/>
    <x v="0"/>
    <n v="96"/>
  </r>
  <r>
    <n v="270"/>
    <n v="3"/>
    <x v="1"/>
    <s v="09677499852"/>
    <s v="Zoltan Terek"/>
    <s v="Južno Pregrađe 38, Osijek"/>
    <x v="154"/>
    <d v="2019-10-09T00:00:00"/>
    <x v="3"/>
    <n v="15373856424"/>
    <s v="M-MUŠKO"/>
    <d v="1994-05-17T00:00:00"/>
    <s v="OSIJEK"/>
    <s v="HRVATSKO"/>
    <s v="JOSIPA KOZARCA 16, VIŠNJEVAC"/>
    <s v="NE"/>
    <s v="VSS"/>
    <m/>
    <s v="KOMERCIJALISTA"/>
    <s v="KOMERCIJALISTA"/>
    <s v="ODREĐENO"/>
    <d v="2019-01-09T00:00:00"/>
    <s v="PUNO"/>
    <n v="40"/>
    <s v="HR7423400093233916332"/>
    <m/>
    <m/>
    <m/>
    <m/>
    <m/>
    <s v="Osijek"/>
    <m/>
    <m/>
    <m/>
    <s v="NE"/>
    <n v="4375"/>
    <n v="1"/>
    <n v="3000"/>
    <m/>
    <m/>
    <m/>
    <m/>
    <m/>
    <m/>
    <m/>
    <m/>
    <m/>
    <m/>
    <x v="1"/>
    <n v="25"/>
  </r>
  <r>
    <n v="271"/>
    <n v="22"/>
    <x v="10"/>
    <n v="16157428650"/>
    <s v="Zoltan Kiri"/>
    <s v="Ivana Gundulića 28"/>
    <x v="155"/>
    <d v="2019-09-02T00:00:00"/>
    <x v="89"/>
    <n v="85522191923"/>
    <s v="M-MUŠKO"/>
    <d v="1992-12-04T00:00:00"/>
    <m/>
    <s v="HRVATSKO"/>
    <s v="kralja tomislava 81, čepin"/>
    <s v="NE"/>
    <s v="SSS"/>
    <m/>
    <s v="Trgovački demonstrator"/>
    <s v="Trgovački demonstrator"/>
    <s v="NEODREĐENO"/>
    <m/>
    <s v="PUNO"/>
    <n v="40"/>
    <s v="HR5725000093203881389"/>
    <m/>
    <m/>
    <m/>
    <m/>
    <m/>
    <s v="Osijek"/>
    <m/>
    <m/>
    <m/>
    <s v="NE"/>
    <n v="4375"/>
    <n v="1"/>
    <n v="3500"/>
    <m/>
    <m/>
    <m/>
    <m/>
    <m/>
    <m/>
    <m/>
    <m/>
    <m/>
    <m/>
    <x v="0"/>
    <n v="97"/>
  </r>
  <r>
    <n v="272"/>
    <n v="22"/>
    <x v="10"/>
    <n v="16157428650"/>
    <s v="Zoltan Kiri"/>
    <s v="Ivana Gundulića 28"/>
    <x v="156"/>
    <d v="2019-09-17T00:00:00"/>
    <x v="90"/>
    <n v="86034825742"/>
    <s v="M-MUŠKO"/>
    <d v="1999-12-20T00:00:00"/>
    <m/>
    <s v="HRVATSKO"/>
    <s v="Josipa Kozarca 25, Višnjevac, Osijek"/>
    <s v="NE"/>
    <s v="SSS"/>
    <m/>
    <s v="Trgovački demomstrator"/>
    <s v="Trgovački demonstrator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x v="0"/>
    <n v="98"/>
  </r>
  <r>
    <n v="273"/>
    <n v="22"/>
    <x v="10"/>
    <n v="16157428650"/>
    <s v="Zoltan Kiri"/>
    <s v="Ivana Gundulića 28"/>
    <x v="157"/>
    <d v="2019-09-30T00:00:00"/>
    <x v="91"/>
    <n v="78322261498"/>
    <s v="M-MUŠKO"/>
    <d v="1984-09-03T00:00:00"/>
    <m/>
    <s v="HRVATSKO"/>
    <s v="ĆIRIĆEVA 27, BOBOTA"/>
    <s v="NE"/>
    <s v="SSS"/>
    <m/>
    <s v="Trgovački demonstrator"/>
    <s v="Trgovački demonstrator"/>
    <s v="NEODREĐENO"/>
    <m/>
    <s v="PUNO"/>
    <n v="40"/>
    <m/>
    <m/>
    <m/>
    <m/>
    <m/>
    <m/>
    <s v="Osijek"/>
    <m/>
    <m/>
    <m/>
    <s v="NE"/>
    <n v="5093.03"/>
    <n v="1"/>
    <n v="4000"/>
    <m/>
    <m/>
    <m/>
    <m/>
    <m/>
    <m/>
    <m/>
    <m/>
    <m/>
    <m/>
    <x v="0"/>
    <n v="99"/>
  </r>
  <r>
    <n v="274"/>
    <n v="22"/>
    <x v="10"/>
    <n v="16157428650"/>
    <s v="Zoltan Kiri"/>
    <s v="Ivana Gundulića 28"/>
    <x v="158"/>
    <d v="2019-09-30T00:00:00"/>
    <x v="85"/>
    <n v="11182815520"/>
    <s v="Ž-ŽENSKO"/>
    <d v="1995-03-17T00:00:00"/>
    <m/>
    <s v="HRVATSKO"/>
    <s v="MATIJE GUPCA 24, BISTRINCI"/>
    <s v="NE"/>
    <s v="SSS"/>
    <m/>
    <s v="TRG.DEMONSTRATOR"/>
    <s v="Trg.demonstrator"/>
    <s v="NEODREĐENO"/>
    <m/>
    <s v="PUNO"/>
    <n v="40"/>
    <s v="HR5123400093219199809"/>
    <m/>
    <m/>
    <m/>
    <m/>
    <m/>
    <s v="Osijek"/>
    <m/>
    <m/>
    <m/>
    <s v="NE"/>
    <n v="5093.03"/>
    <n v="1"/>
    <n v="4000"/>
    <m/>
    <m/>
    <m/>
    <m/>
    <m/>
    <m/>
    <m/>
    <m/>
    <m/>
    <m/>
    <x v="0"/>
    <n v="100"/>
  </r>
  <r>
    <n v="275"/>
    <n v="22"/>
    <x v="10"/>
    <n v="16157428650"/>
    <s v="Zoltan Kiri"/>
    <s v="Ivana Gundulića 28"/>
    <x v="159"/>
    <d v="2019-10-01T00:00:00"/>
    <x v="92"/>
    <s v="07232137820"/>
    <s v="Ž-ŽENSKO"/>
    <d v="2019-05-19T00:00:00"/>
    <s v="OSIJEK"/>
    <s v="HRVATSKO"/>
    <s v="TVORNIČKA 1, 31000 OSIJEK"/>
    <s v="NE"/>
    <s v="SSS"/>
    <m/>
    <s v="Telefonist-operater u call c."/>
    <s v="Telefonist-operater u call c."/>
    <s v="ODREĐENO"/>
    <d v="2019-10-31T00:00:00"/>
    <s v="PUNO"/>
    <n v="40"/>
    <s v="HR0524020063209770969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01"/>
  </r>
  <r>
    <n v="276"/>
    <n v="22"/>
    <x v="10"/>
    <n v="16157428650"/>
    <s v="Zoltan Kiri"/>
    <s v="Ivana Gundulića 28"/>
    <x v="160"/>
    <d v="2019-10-01T00:00:00"/>
    <x v="93"/>
    <n v="43885343400"/>
    <s v="Ž-ŽENSKO"/>
    <d v="1972-11-24T00:00:00"/>
    <m/>
    <s v="HRVATSKO"/>
    <s v="HRVATSKE REPUBLIKE 13, KNEŽEVI VINOGRADI"/>
    <s v="NE"/>
    <s v="SSS"/>
    <m/>
    <s v="ADMINISTRATOR"/>
    <s v="ADMINISTRATOR"/>
    <s v="NEODREĐENO"/>
    <m/>
    <s v="PUNO"/>
    <n v="40"/>
    <s v="HR4923400093207279321"/>
    <m/>
    <m/>
    <m/>
    <m/>
    <m/>
    <s v="Osijek"/>
    <m/>
    <m/>
    <m/>
    <s v="NE"/>
    <n v="5084.22"/>
    <n v="1"/>
    <n v="4000"/>
    <m/>
    <m/>
    <m/>
    <m/>
    <m/>
    <m/>
    <m/>
    <m/>
    <m/>
    <m/>
    <x v="0"/>
    <n v="102"/>
  </r>
  <r>
    <n v="277"/>
    <n v="26"/>
    <x v="13"/>
    <n v="95114485977"/>
    <s v="LAURA GERGELJ"/>
    <s v="SV.IVANA KRSTITELJA 15, DARDA"/>
    <x v="161"/>
    <d v="2019-10-21T00:00:00"/>
    <x v="94"/>
    <n v="24297927326"/>
    <s v="Ž-ŽENSKO"/>
    <d v="1988-06-01T00:00:00"/>
    <s v="Vinkovci"/>
    <s v="HRVATSKO"/>
    <s v="J.J.strossmayera 63, Otok Vinkovci"/>
    <s v="NE"/>
    <s v="SSS"/>
    <m/>
    <s v="ASISTENT KNJIGOVOĐI"/>
    <s v="ASISTENT KNJIGOVOĐI"/>
    <s v="ODREĐENO"/>
    <d v="2019-10-22T00:00:00"/>
    <s v="PUNO"/>
    <n v="40"/>
    <s v="HR4523400093212454731"/>
    <m/>
    <m/>
    <m/>
    <m/>
    <m/>
    <s v="Osijek"/>
    <m/>
    <m/>
    <m/>
    <s v="NE"/>
    <n v="3750"/>
    <n v="1"/>
    <n v="3000"/>
    <n v="275"/>
    <m/>
    <m/>
    <m/>
    <m/>
    <m/>
    <m/>
    <m/>
    <m/>
    <m/>
    <x v="0"/>
    <n v="3"/>
  </r>
  <r>
    <n v="278"/>
    <n v="26"/>
    <x v="13"/>
    <n v="95114485977"/>
    <s v="LAURA GERGELJ"/>
    <s v="SV.IVANA KRSTITELJA 15, DARDA"/>
    <x v="161"/>
    <d v="2019-10-23T00:00:00"/>
    <x v="95"/>
    <n v="24297927326"/>
    <s v="Ž-ŽENSKO"/>
    <d v="1988-06-01T00:00:00"/>
    <s v="Vinkovci"/>
    <s v="HRVATSKO"/>
    <s v="J.J.strossmayera 63, Otok Vinkovci"/>
    <s v="NE"/>
    <s v="SSS"/>
    <m/>
    <s v="ASISTENT KNJIGOVOĐI"/>
    <s v="ASISTENT KNJIGOVOĐI"/>
    <s v="ODREĐENO"/>
    <d v="2019-10-25T00:00:00"/>
    <s v="PUNO"/>
    <n v="40"/>
    <s v="HR4523400093212454731"/>
    <m/>
    <m/>
    <m/>
    <m/>
    <m/>
    <s v="Osijek"/>
    <m/>
    <m/>
    <m/>
    <s v="NE"/>
    <n v="3750"/>
    <n v="1"/>
    <n v="3000"/>
    <m/>
    <m/>
    <m/>
    <m/>
    <m/>
    <m/>
    <m/>
    <m/>
    <m/>
    <m/>
    <x v="0"/>
    <n v="4"/>
  </r>
  <r>
    <n v="279"/>
    <n v="22"/>
    <x v="10"/>
    <n v="16157428650"/>
    <s v="Zoltan Kiri"/>
    <s v="Ivana Gundulića 28"/>
    <x v="162"/>
    <d v="2019-10-07T00:00:00"/>
    <x v="96"/>
    <n v="43967381603"/>
    <s v="Ž-ŽENSKO"/>
    <d v="1999-02-25T00:00:00"/>
    <s v="OSIJEK"/>
    <s v="HRVATSKO"/>
    <s v="VJ.JAKOVA GOTOVCA 7, OSIJEK"/>
    <s v="NE"/>
    <s v="SSS"/>
    <m/>
    <s v="Telefonist-operater u call c."/>
    <s v="Telefonist-operater u call c."/>
    <s v="ODREĐENO"/>
    <d v="2019-10-31T00:00:00"/>
    <s v="PUNO"/>
    <n v="40"/>
    <s v="HR312340009323196197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03"/>
  </r>
  <r>
    <n v="280"/>
    <n v="22"/>
    <x v="10"/>
    <n v="16157428650"/>
    <s v="Zoltan Kiri"/>
    <s v="Ivana Gundulića 28"/>
    <x v="163"/>
    <d v="2019-10-07T00:00:00"/>
    <x v="92"/>
    <n v="19801410326"/>
    <s v="Ž-ŽENSKO"/>
    <d v="1979-10-05T00:00:00"/>
    <s v="NOVA GRADIŠKA "/>
    <s v="HRVATSKO"/>
    <s v="OSJEČKA 53,JOSIPOVAC"/>
    <s v="NE"/>
    <s v="SSS"/>
    <m/>
    <s v="Telefonist-operater u call c."/>
    <s v="Telefonist-operater u call c."/>
    <s v="ODREĐENO"/>
    <d v="2019-10-31T00:00:00"/>
    <s v="PUNO"/>
    <n v="40"/>
    <s v="HR7324020063208867548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04"/>
  </r>
  <r>
    <n v="281"/>
    <n v="22"/>
    <x v="10"/>
    <n v="16157428650"/>
    <s v="Zoltan Kiri"/>
    <s v="Ivana Gundulića 28"/>
    <x v="164"/>
    <d v="2019-10-07T00:00:00"/>
    <x v="97"/>
    <n v="70897654173"/>
    <s v="Ž-ŽENSKO"/>
    <d v="1978-04-07T00:00:00"/>
    <s v="OSIJEK"/>
    <s v="HRVATSKO"/>
    <s v="ULICA ANTUNA BARCA 24, TENJA"/>
    <s v="NE"/>
    <s v="SSS"/>
    <m/>
    <s v="Trgovački demomnstrator"/>
    <m/>
    <s v="NEODREĐENO"/>
    <m/>
    <s v="PUNO"/>
    <n v="40"/>
    <s v="HR3523600003245744676"/>
    <m/>
    <m/>
    <m/>
    <m/>
    <m/>
    <s v="Osijek"/>
    <m/>
    <m/>
    <m/>
    <s v="NE"/>
    <n v="4375"/>
    <n v="1"/>
    <n v="4000"/>
    <m/>
    <m/>
    <m/>
    <m/>
    <m/>
    <m/>
    <m/>
    <m/>
    <m/>
    <m/>
    <x v="0"/>
    <n v="105"/>
  </r>
  <r>
    <n v="282"/>
    <n v="22"/>
    <x v="10"/>
    <n v="16157428650"/>
    <s v="Zoltan Kiri"/>
    <s v="Ivana Gundulića 28"/>
    <x v="165"/>
    <d v="2019-10-10T00:00:00"/>
    <x v="98"/>
    <n v="49549168392"/>
    <s v="Ž-ŽENSKO"/>
    <d v="1974-10-31T00:00:00"/>
    <s v="OSIJEK"/>
    <s v="HRVATSKO"/>
    <s v="GORNJODRAVSKA OBALA 88, OSIJEK"/>
    <s v="NE"/>
    <s v="NKV"/>
    <m/>
    <s v="Telefonist-operater u call c."/>
    <s v="Telefonist-operater u call c."/>
    <s v="ODREĐENO"/>
    <d v="2019-10-31T00:00:00"/>
    <s v="PUNO"/>
    <n v="40"/>
    <s v="HR9724020063203832622"/>
    <m/>
    <m/>
    <m/>
    <m/>
    <m/>
    <s v="Osijek"/>
    <m/>
    <m/>
    <m/>
    <s v="NE"/>
    <n v="3750"/>
    <n v="1"/>
    <n v="3000"/>
    <m/>
    <m/>
    <m/>
    <m/>
    <m/>
    <m/>
    <m/>
    <m/>
    <m/>
    <m/>
    <x v="0"/>
    <n v="106"/>
  </r>
  <r>
    <n v="283"/>
    <n v="29"/>
    <x v="14"/>
    <n v="57699683738"/>
    <s v="Adrienn Kinga Német"/>
    <s v="Ante Starčevića 32, etaža B/21"/>
    <x v="166"/>
    <d v="2020-01-01T00:00:00"/>
    <x v="3"/>
    <n v="78645846484"/>
    <s v="Ž-ŽENSKO"/>
    <m/>
    <m/>
    <s v="MAĐARSKO"/>
    <m/>
    <s v="NE"/>
    <s v="SSS"/>
    <m/>
    <s v="DIREKTOR"/>
    <s v="DIREKTOR"/>
    <s v="NEODREĐENO"/>
    <m/>
    <s v="NEPUNO"/>
    <n v="8"/>
    <m/>
    <m/>
    <m/>
    <m/>
    <m/>
    <m/>
    <s v="Osijek"/>
    <m/>
    <m/>
    <m/>
    <s v="NE"/>
    <n v="1372.8"/>
    <n v="1"/>
    <n v="0"/>
    <m/>
    <m/>
    <m/>
    <m/>
    <m/>
    <m/>
    <m/>
    <m/>
    <m/>
    <m/>
    <x v="1"/>
    <n v="1"/>
  </r>
  <r>
    <n v="284"/>
    <n v="12"/>
    <x v="5"/>
    <n v="15151568161"/>
    <s v="Zoltan Buthi"/>
    <s v="K. A. Stepinca 17, 31000 Osijek"/>
    <x v="167"/>
    <d v="2019-01-01T00:00:00"/>
    <x v="99"/>
    <s v="05857155242"/>
    <s v="Ž-ŽENSKO"/>
    <d v="1980-12-25T00:00:00"/>
    <s v="KNEŽEVO"/>
    <s v="HRVATSKO"/>
    <s v="REPUBLIKE 92 B, 31204 PETRIJEVCI"/>
    <s v="NE"/>
    <s v="SSS"/>
    <m/>
    <s v="ADMINISTRATOR"/>
    <s v="ADMINISTRATOR"/>
    <s v="NEODREĐENO"/>
    <m/>
    <s v="NEPUNO"/>
    <n v="20"/>
    <s v="HR7823600003245283346"/>
    <m/>
    <m/>
    <m/>
    <m/>
    <m/>
    <s v="Osijek"/>
    <m/>
    <m/>
    <m/>
    <s v="NE"/>
    <n v="4062.51"/>
    <n v="0"/>
    <n v="3200"/>
    <m/>
    <m/>
    <m/>
    <m/>
    <m/>
    <m/>
    <m/>
    <m/>
    <m/>
    <m/>
    <x v="0"/>
    <n v="2"/>
  </r>
  <r>
    <n v="285"/>
    <n v="3"/>
    <x v="1"/>
    <s v="09677499852"/>
    <s v="Zoltan Terek"/>
    <s v="Južno Pregrađe 38, Osijek"/>
    <x v="149"/>
    <d v="2020-01-01T00:00:00"/>
    <x v="3"/>
    <n v="33945890205"/>
    <s v="M-MUŠKO"/>
    <d v="1996-07-09T00:00:00"/>
    <m/>
    <s v="HRVATSKO"/>
    <s v="ARANJ JANOŠ 13, NOVI BEZDAN, PETLOVAC"/>
    <s v="NE"/>
    <s v="SSS"/>
    <m/>
    <s v="KOMERCIJALISTA"/>
    <s v="KOMERCIJALISTA"/>
    <s v="ODREĐENO"/>
    <d v="2019-03-31T00:00:00"/>
    <s v="PUNO"/>
    <n v="40"/>
    <s v="HR5823400093214680938"/>
    <m/>
    <m/>
    <m/>
    <m/>
    <m/>
    <s v="Osijek"/>
    <m/>
    <m/>
    <m/>
    <s v="NE"/>
    <n v="5000"/>
    <n v="1"/>
    <n v="4000"/>
    <m/>
    <m/>
    <m/>
    <m/>
    <m/>
    <m/>
    <m/>
    <m/>
    <m/>
    <m/>
    <x v="1"/>
    <n v="26"/>
  </r>
  <r>
    <n v="286"/>
    <n v="22"/>
    <x v="10"/>
    <n v="16157428650"/>
    <s v="Zoltan Kiri"/>
    <s v="Ivana Gundulića 28"/>
    <x v="168"/>
    <d v="2019-10-10T00:00:00"/>
    <x v="96"/>
    <n v="55250378050"/>
    <s v="M-MUŠKO"/>
    <d v="1991-05-25T00:00:00"/>
    <s v="OSIJEK"/>
    <s v="HRVATSKO"/>
    <s v="KOLODVORSKA 10, SARVAŠ"/>
    <s v="NE"/>
    <s v="VŠS"/>
    <m/>
    <s v="Telefonist-operater u call c."/>
    <s v="Telefonist-operater u call c."/>
    <s v="ODREĐENO"/>
    <d v="2019-10-31T00:00:00"/>
    <s v="PUNO"/>
    <n v="40"/>
    <s v="HR5423400093215841033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07"/>
  </r>
  <r>
    <n v="287"/>
    <n v="22"/>
    <x v="10"/>
    <n v="16157428650"/>
    <s v="Zoltan Kiri"/>
    <s v="Ivana Gundulića 28"/>
    <x v="169"/>
    <d v="2019-10-14T00:00:00"/>
    <x v="65"/>
    <n v="43666946081"/>
    <s v="M-MUŠKO"/>
    <d v="1998-10-26T00:00:00"/>
    <s v="OSIJEK"/>
    <s v="HRVATSKO"/>
    <s v="HERCEGOVAČKA 8, VIŠNJEVAC"/>
    <s v="NE"/>
    <s v="SSS"/>
    <m/>
    <s v="Trgovački demonstrator"/>
    <s v="Trgovački demonstrator"/>
    <s v="NEODREĐENO"/>
    <m/>
    <s v="PUNO"/>
    <n v="40"/>
    <s v="HR9023600003244566009"/>
    <m/>
    <m/>
    <m/>
    <m/>
    <m/>
    <s v="Osijek"/>
    <m/>
    <m/>
    <m/>
    <s v="NE"/>
    <n v="4375"/>
    <n v="1"/>
    <n v="4000"/>
    <m/>
    <m/>
    <m/>
    <m/>
    <m/>
    <m/>
    <m/>
    <m/>
    <m/>
    <m/>
    <x v="0"/>
    <n v="108"/>
  </r>
  <r>
    <n v="288"/>
    <n v="22"/>
    <x v="10"/>
    <n v="16157428650"/>
    <s v="Zoltan Kiri"/>
    <s v="Ivana Gundulića 28"/>
    <x v="170"/>
    <d v="2019-10-16T00:00:00"/>
    <x v="100"/>
    <n v="14787735803"/>
    <s v="M-MUŠKO"/>
    <d v="1988-02-03T00:00:00"/>
    <s v="OSIJEK"/>
    <s v="HRVATSKO"/>
    <s v="RIJEČKA 4, SARVAŠ"/>
    <s v="NE"/>
    <s v="VSS"/>
    <m/>
    <s v="Telefonist-operater u call c."/>
    <s v="Telefonist-operater u call c."/>
    <s v="ODREĐENO"/>
    <m/>
    <s v="PUNO"/>
    <n v="40"/>
    <s v="HR5423400093231920723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09"/>
  </r>
  <r>
    <n v="289"/>
    <n v="22"/>
    <x v="10"/>
    <n v="16157428650"/>
    <s v="Zoltan Kiri"/>
    <s v="Ivana Gundulića 28"/>
    <x v="171"/>
    <d v="2019-10-17T00:00:00"/>
    <x v="92"/>
    <n v="95296633011"/>
    <s v="M-MUŠKO"/>
    <d v="1996-08-07T00:00:00"/>
    <s v="OSIJEK"/>
    <s v="HRVATSKO"/>
    <s v="RAKOVA 1A, ZMAJEVAC"/>
    <s v="NE"/>
    <s v="SSS"/>
    <m/>
    <s v="Trgovački demonstrator"/>
    <s v="Trgovački demonstrator"/>
    <s v="NEODREĐENO"/>
    <m/>
    <s v="PUNO"/>
    <n v="40"/>
    <m/>
    <m/>
    <m/>
    <m/>
    <m/>
    <m/>
    <s v="Osijek"/>
    <m/>
    <m/>
    <m/>
    <s v="NE"/>
    <n v="8426.4599999999991"/>
    <n v="1"/>
    <n v="6000"/>
    <m/>
    <m/>
    <m/>
    <m/>
    <m/>
    <m/>
    <m/>
    <m/>
    <m/>
    <m/>
    <x v="0"/>
    <n v="110"/>
  </r>
  <r>
    <n v="290"/>
    <n v="30"/>
    <x v="15"/>
    <n v="17119334585"/>
    <s v="MARTINA ZAVRŠKI"/>
    <s v="Gajev trg 6"/>
    <x v="172"/>
    <d v="2019-01-23T00:00:00"/>
    <x v="101"/>
    <n v="71676673364"/>
    <s v="Ž-ŽENSKO"/>
    <d v="1976-11-13T00:00:00"/>
    <s v="Osijek"/>
    <s v="HRVATSKO"/>
    <s v="MARTINA DIVALTA 181,31000 OSIJEK"/>
    <s v="NE"/>
    <s v="SSS"/>
    <m/>
    <m/>
    <m/>
    <s v="NEODREĐENO"/>
    <m/>
    <s v="PUNO"/>
    <m/>
    <m/>
    <m/>
    <m/>
    <m/>
    <m/>
    <m/>
    <m/>
    <m/>
    <m/>
    <m/>
    <m/>
    <m/>
    <m/>
    <m/>
    <m/>
    <m/>
    <m/>
    <m/>
    <m/>
    <m/>
    <m/>
    <m/>
    <m/>
    <m/>
    <x v="0"/>
    <n v="1"/>
  </r>
  <r>
    <n v="291"/>
    <n v="22"/>
    <x v="10"/>
    <n v="16157428650"/>
    <s v="Zoltan Kiri"/>
    <s v="Ivana Gundulića 28"/>
    <x v="173"/>
    <d v="2019-10-21T00:00:00"/>
    <x v="44"/>
    <n v="73717195719"/>
    <s v="Ž-ŽENSKO"/>
    <d v="1985-08-23T00:00:00"/>
    <s v="OSIJEK"/>
    <s v="HRVATSKO"/>
    <s v="ZLATNA 18,ALJMAŠ"/>
    <s v="NE"/>
    <s v="SSS"/>
    <m/>
    <s v="Telefonist-operater u call c."/>
    <s v="Telefonist-operater u call c."/>
    <s v="ODREĐENO"/>
    <d v="2019-11-30T00:00:00"/>
    <s v="PUNO"/>
    <n v="40"/>
    <s v="HR8324840083235724467"/>
    <m/>
    <m/>
    <m/>
    <m/>
    <m/>
    <s v="Osijek"/>
    <m/>
    <m/>
    <m/>
    <s v="NE"/>
    <n v="5084.22"/>
    <n v="1"/>
    <n v="3250"/>
    <m/>
    <m/>
    <m/>
    <m/>
    <m/>
    <m/>
    <m/>
    <m/>
    <m/>
    <m/>
    <x v="1"/>
    <n v="111"/>
  </r>
  <r>
    <n v="292"/>
    <n v="22"/>
    <x v="10"/>
    <n v="16157428650"/>
    <s v="Zoltan Kiri"/>
    <s v="Ivana Gundulića 28"/>
    <x v="174"/>
    <d v="2019-11-18T00:00:00"/>
    <x v="56"/>
    <n v="8074805255"/>
    <s v="Ž-ŽENSKO"/>
    <d v="2000-10-27T00:00:00"/>
    <s v="OSIJEK"/>
    <s v="HRVATSKO"/>
    <s v="M.DIVALTA 179, OSIJEK"/>
    <s v="NE"/>
    <s v="SSS"/>
    <m/>
    <s v="Telefonist-operater u call c."/>
    <s v="Telefonist-operater u call c."/>
    <s v="ODREĐENO"/>
    <m/>
    <s v="PUNO"/>
    <n v="40"/>
    <s v="HR4824810003236002081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12"/>
  </r>
  <r>
    <n v="293"/>
    <n v="22"/>
    <x v="10"/>
    <n v="16157428650"/>
    <s v="Zoltan Kiri"/>
    <s v="Ivana Gundulića 28"/>
    <x v="175"/>
    <d v="2019-11-25T00:00:00"/>
    <x v="92"/>
    <n v="36681141390"/>
    <s v="Ž-ŽENSKO"/>
    <d v="2001-08-07T00:00:00"/>
    <s v="ERDUT"/>
    <s v="HRVATSKO"/>
    <s v="KRALJA ZVONIMIRA 31"/>
    <s v="NE"/>
    <s v="SSS"/>
    <m/>
    <s v="Telefonist-operater u call c."/>
    <s v="Telefonist-operater u call c."/>
    <s v="ODREĐENO"/>
    <m/>
    <s v="PUNO"/>
    <n v="40"/>
    <s v="HR4323600003246083547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13"/>
  </r>
  <r>
    <n v="294"/>
    <n v="26"/>
    <x v="13"/>
    <n v="95114485977"/>
    <s v="LAURA GERGELJ"/>
    <s v="SV.IVANA KRSTITELJA 15, DARDA"/>
    <x v="176"/>
    <d v="2020-01-21T00:00:00"/>
    <x v="3"/>
    <n v="38072963871"/>
    <s v="Ž-ŽENSKO"/>
    <d v="2020-03-04T00:00:00"/>
    <s v="TUTTLINGEN"/>
    <m/>
    <m/>
    <m/>
    <m/>
    <m/>
    <m/>
    <m/>
    <m/>
    <m/>
    <m/>
    <m/>
    <m/>
    <m/>
    <m/>
    <m/>
    <m/>
    <m/>
    <m/>
    <m/>
    <m/>
    <m/>
    <m/>
    <n v="7600"/>
    <m/>
    <m/>
    <m/>
    <m/>
    <m/>
    <m/>
    <m/>
    <m/>
    <m/>
    <m/>
    <m/>
    <m/>
    <x v="1"/>
    <n v="7"/>
  </r>
  <r>
    <n v="295"/>
    <n v="22"/>
    <x v="10"/>
    <n v="16157428650"/>
    <s v="Zoltan Kiri"/>
    <s v="Ivana Gundulića 28"/>
    <x v="177"/>
    <d v="2019-11-26T00:00:00"/>
    <x v="102"/>
    <n v="72105749783"/>
    <s v="Ž-ŽENSKO"/>
    <d v="1993-04-14T00:00:00"/>
    <s v="OSIJEK"/>
    <s v="HRVATSKO"/>
    <m/>
    <s v="NE"/>
    <s v="SSS"/>
    <m/>
    <s v="Telefonist-operater u call c."/>
    <s v="Telefonist-operater u call c."/>
    <s v="ODREĐENO"/>
    <m/>
    <s v="PUNO"/>
    <n v="40"/>
    <s v="HR3823400093218873347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14"/>
  </r>
  <r>
    <n v="296"/>
    <n v="22"/>
    <x v="10"/>
    <n v="16157428650"/>
    <s v="Zoltan Kiri"/>
    <s v="Ivana Gundulića 28"/>
    <x v="178"/>
    <d v="2020-01-07T00:00:00"/>
    <x v="103"/>
    <n v="40752728430"/>
    <s v="M-MUŠKO"/>
    <d v="1995-03-21T00:00:00"/>
    <s v="Osijek"/>
    <s v="HRVATSKO"/>
    <s v="KRALJA PETRA KREŠIMIRA IV 33, DARDA"/>
    <s v="NE"/>
    <s v="SSS"/>
    <s v="EL.MEH ŠK OSIJEK"/>
    <s v="VOZAČ"/>
    <s v="VOZAČ"/>
    <s v="NEODREĐENO"/>
    <m/>
    <s v="PUNO"/>
    <n v="40"/>
    <s v="HR6924020063209224677"/>
    <m/>
    <m/>
    <m/>
    <m/>
    <m/>
    <s v="Osijek"/>
    <m/>
    <m/>
    <m/>
    <s v="NE"/>
    <n v="4375"/>
    <n v="1"/>
    <n v="3500"/>
    <m/>
    <m/>
    <m/>
    <m/>
    <m/>
    <m/>
    <m/>
    <m/>
    <m/>
    <m/>
    <x v="0"/>
    <n v="115"/>
  </r>
  <r>
    <n v="297"/>
    <n v="26"/>
    <x v="13"/>
    <n v="95114485977"/>
    <s v="LAURA GERGELJ"/>
    <s v="SV.IVANA KRSTITELJA 15, DARDA"/>
    <x v="179"/>
    <d v="2020-02-01T00:00:00"/>
    <x v="3"/>
    <s v="03441035142"/>
    <s v="Ž-ŽENSKO"/>
    <d v="1992-09-02T00:00:00"/>
    <s v="Sombor"/>
    <s v="HRVATSKO"/>
    <s v="ŠANDORA PETEFIJA 43, SUZA"/>
    <s v="NE"/>
    <s v="VSS"/>
    <m/>
    <s v="EKONOMIST"/>
    <s v="KNJIGOVOĐA"/>
    <s v="NEODREĐENO"/>
    <m/>
    <s v="PUNO"/>
    <n v="40"/>
    <s v="HR4823400093230806592"/>
    <m/>
    <m/>
    <m/>
    <m/>
    <m/>
    <s v="Osijek"/>
    <m/>
    <m/>
    <m/>
    <s v="NE"/>
    <n v="5000"/>
    <n v="1"/>
    <n v="5000"/>
    <m/>
    <m/>
    <m/>
    <m/>
    <m/>
    <m/>
    <m/>
    <m/>
    <m/>
    <m/>
    <x v="1"/>
    <n v="8"/>
  </r>
  <r>
    <n v="298"/>
    <n v="30"/>
    <x v="15"/>
    <n v="17119334585"/>
    <s v="MARTINA ZAVRŠKI"/>
    <s v="Gajev trg 6"/>
    <x v="180"/>
    <d v="2020-03-05T00:00:00"/>
    <x v="104"/>
    <n v="93954234538"/>
    <s v="M-MUŠKO"/>
    <d v="1981-01-20T00:00:00"/>
    <s v="ŠIBENIK"/>
    <s v="HRVATSKO"/>
    <s v="BANA JOSIPA JELAČIĆA 78C, ŠIBENIK"/>
    <s v="NE"/>
    <s v="SSS"/>
    <m/>
    <s v="KUHAR"/>
    <s v="KUHAR"/>
    <s v="NEODREĐENO"/>
    <m/>
    <s v="PUNO"/>
    <n v="40"/>
    <s v="HR6324840083235697085"/>
    <m/>
    <m/>
    <m/>
    <m/>
    <m/>
    <s v="Osijek"/>
    <m/>
    <m/>
    <m/>
    <s v="NE"/>
    <n v="5575.47"/>
    <n v="1"/>
    <n v="4335.5200000000004"/>
    <m/>
    <m/>
    <m/>
    <m/>
    <m/>
    <m/>
    <m/>
    <m/>
    <m/>
    <m/>
    <x v="0"/>
    <m/>
  </r>
  <r>
    <n v="299"/>
    <n v="26"/>
    <x v="13"/>
    <n v="95114485977"/>
    <s v="LAURA GERGELJ"/>
    <s v="SV.IVANA KRSTITELJA 15, DARDA"/>
    <x v="181"/>
    <d v="2019-09-23T00:00:00"/>
    <x v="105"/>
    <n v="10547537081"/>
    <s v="M-MUŠKO"/>
    <d v="2000-09-21T00:00:00"/>
    <s v="Osijek"/>
    <s v="HRVATSKO"/>
    <s v="ILIRSKA ULICA 49, DARDA"/>
    <s v="NE"/>
    <s v="SSS"/>
    <m/>
    <s v="EKONOMIST"/>
    <s v="KNJIGOVOĐA"/>
    <s v="ODREĐENO"/>
    <d v="2020-09-22T00:00:00"/>
    <s v="PUNO"/>
    <n v="40"/>
    <s v="HR1823400093233872623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7"/>
  </r>
  <r>
    <n v="300"/>
    <n v="32"/>
    <x v="16"/>
    <n v="15795338441"/>
    <s v="MARTINA ZAVRŠKI"/>
    <s v="Ilirska ulica 53, Darda"/>
    <x v="182"/>
    <d v="2018-11-06T00:00:00"/>
    <x v="106"/>
    <n v="96120874726"/>
    <s v="Ž-ŽENSKO"/>
    <d v="1997-02-01T00:00:00"/>
    <s v="Osijek"/>
    <s v="HRVATSKO"/>
    <s v="ILIRSKA ULICA 49, DARDA"/>
    <s v="NE"/>
    <s v="SSS"/>
    <m/>
    <s v="KUHAR"/>
    <s v="KUHAR"/>
    <s v="NEODREĐENO"/>
    <m/>
    <s v="PUNO"/>
    <n v="40"/>
    <s v="HR6123600003248172312"/>
    <m/>
    <m/>
    <m/>
    <m/>
    <m/>
    <s v="Osijek"/>
    <m/>
    <m/>
    <m/>
    <s v="NE"/>
    <n v="4062.51"/>
    <n v="1"/>
    <n v="3250"/>
    <m/>
    <m/>
    <m/>
    <m/>
    <m/>
    <m/>
    <m/>
    <m/>
    <m/>
    <m/>
    <x v="1"/>
    <m/>
  </r>
  <r>
    <n v="301"/>
    <n v="32"/>
    <x v="16"/>
    <n v="15795338441"/>
    <s v="MARTINA ZAVRŠKI"/>
    <s v="Ilirska ulica 53, Darda"/>
    <x v="183"/>
    <d v="2019-04-29T00:00:00"/>
    <x v="107"/>
    <s v="02056335179"/>
    <s v="Ž-ŽENSKO"/>
    <d v="1994-07-24T00:00:00"/>
    <s v="Osijek"/>
    <s v="HRVATSKO"/>
    <s v="ILIRSKA ULICA 53, DARDA"/>
    <s v="NE"/>
    <s v="SSS"/>
    <m/>
    <s v="KONOBAR"/>
    <s v="KONOBAR"/>
    <s v="NEODREĐENO"/>
    <m/>
    <s v="PUNO"/>
    <n v="40"/>
    <s v="HR4023400093230456469"/>
    <m/>
    <m/>
    <m/>
    <m/>
    <m/>
    <s v="Osijek"/>
    <m/>
    <m/>
    <m/>
    <s v="NE"/>
    <n v="4200"/>
    <n v="1"/>
    <n v="3360"/>
    <m/>
    <m/>
    <m/>
    <m/>
    <m/>
    <m/>
    <m/>
    <m/>
    <m/>
    <m/>
    <x v="0"/>
    <m/>
  </r>
  <r>
    <n v="302"/>
    <n v="32"/>
    <x v="16"/>
    <n v="15795338441"/>
    <s v="MARTINA ZAVRŠKI"/>
    <s v="Ilirska ulica 53, Darda"/>
    <x v="184"/>
    <d v="2017-08-18T00:00:00"/>
    <x v="108"/>
    <n v="47650763216"/>
    <s v="Ž-ŽENSKO"/>
    <d v="1997-02-02T00:00:00"/>
    <s v="Osijek"/>
    <s v="HRVATSKO"/>
    <s v="ILIRSKA ULICA 53, DARDA"/>
    <s v="NE"/>
    <s v="SSS"/>
    <m/>
    <s v="Poslovođa"/>
    <s v="Poslovođa"/>
    <s v="NEODREĐENO"/>
    <m/>
    <s v="PUNO"/>
    <n v="40"/>
    <s v="HR2023400093230325491"/>
    <m/>
    <m/>
    <m/>
    <m/>
    <m/>
    <s v="Osijek"/>
    <m/>
    <m/>
    <m/>
    <s v="NE"/>
    <n v="5682.3"/>
    <n v="1"/>
    <n v="4408.29"/>
    <m/>
    <m/>
    <m/>
    <m/>
    <m/>
    <m/>
    <m/>
    <m/>
    <m/>
    <m/>
    <x v="0"/>
    <m/>
  </r>
  <r>
    <n v="303"/>
    <n v="30"/>
    <x v="15"/>
    <n v="17119334585"/>
    <s v="MARTINA ZAVRŠKI"/>
    <s v="Gajev trg 6"/>
    <x v="184"/>
    <d v="2020-02-01T00:00:00"/>
    <x v="109"/>
    <n v="47650763217"/>
    <s v="Ž-ŽENSKO"/>
    <d v="1997-02-03T00:00:00"/>
    <s v="Osijek"/>
    <s v="HRVATSKO"/>
    <s v="ILIRSKA ULICA 53, DARDA"/>
    <s v="NE"/>
    <s v="SSS"/>
    <m/>
    <s v="Poslovođa"/>
    <s v="Poslovođa"/>
    <s v="NEODREĐENO"/>
    <m/>
    <s v="PUNO"/>
    <n v="41"/>
    <s v="HR2023400093230325491"/>
    <m/>
    <m/>
    <m/>
    <m/>
    <m/>
    <s v="Osijek"/>
    <m/>
    <m/>
    <m/>
    <s v="NE"/>
    <n v="5682.3"/>
    <n v="1"/>
    <n v="4408.29"/>
    <m/>
    <m/>
    <m/>
    <m/>
    <m/>
    <m/>
    <m/>
    <m/>
    <m/>
    <m/>
    <x v="1"/>
    <m/>
  </r>
  <r>
    <n v="304"/>
    <n v="30"/>
    <x v="15"/>
    <n v="17119334585"/>
    <s v="MARTINA ZAVRŠKI"/>
    <s v="Gajev trg 6"/>
    <x v="172"/>
    <d v="2019-01-23T00:00:00"/>
    <x v="101"/>
    <n v="71676673364"/>
    <s v="Ž-ŽENSKO"/>
    <d v="1976-11-13T00:00:00"/>
    <s v="Osijek"/>
    <s v="HRVATSKO"/>
    <s v="MARTINA DIVALTA 181, 31000 OSIJEK"/>
    <s v="NE"/>
    <s v="SSS"/>
    <m/>
    <s v="KUHAR"/>
    <s v="KUHAR"/>
    <s v="NEODREĐENO"/>
    <m/>
    <s v="PUNO"/>
    <n v="40"/>
    <s v="HR7423600003220699447"/>
    <m/>
    <m/>
    <m/>
    <m/>
    <m/>
    <s v="Osijek"/>
    <m/>
    <m/>
    <m/>
    <s v="NE"/>
    <n v="3750"/>
    <n v="1"/>
    <n v="3000"/>
    <m/>
    <m/>
    <m/>
    <m/>
    <m/>
    <m/>
    <m/>
    <m/>
    <m/>
    <m/>
    <x v="0"/>
    <m/>
  </r>
  <r>
    <n v="305"/>
    <n v="32"/>
    <x v="16"/>
    <n v="15795338441"/>
    <s v="MARTINA ZAVRŠKI"/>
    <s v="Ilirska ulica 53, Darda"/>
    <x v="183"/>
    <d v="2020-04-29T00:00:00"/>
    <x v="110"/>
    <s v="02056335179"/>
    <s v="Ž-ŽENSKO"/>
    <d v="1994-07-24T00:00:00"/>
    <s v="Osijek"/>
    <s v="HRVATSKO"/>
    <s v="ILIRSKA ULICA 53, DARDA"/>
    <s v="NE"/>
    <s v="SSS"/>
    <m/>
    <s v="KONOBAR"/>
    <s v="KONOBAR"/>
    <s v="ODREĐENO"/>
    <m/>
    <s v="PUNO"/>
    <n v="40"/>
    <s v="HR4023400093230456469"/>
    <m/>
    <m/>
    <m/>
    <m/>
    <m/>
    <s v="Osijek"/>
    <m/>
    <m/>
    <m/>
    <s v="NE"/>
    <n v="4200"/>
    <n v="1"/>
    <n v="3360"/>
    <m/>
    <m/>
    <m/>
    <m/>
    <m/>
    <m/>
    <m/>
    <m/>
    <m/>
    <m/>
    <x v="1"/>
    <m/>
  </r>
  <r>
    <n v="306"/>
    <n v="30"/>
    <x v="15"/>
    <n v="17119334585"/>
    <s v="MARTINA ZAVRŠKI"/>
    <s v="Gajev trg 6"/>
    <x v="185"/>
    <d v="2020-06-01T00:00:00"/>
    <x v="3"/>
    <n v="14683535812"/>
    <s v="Ž-ŽENSKO"/>
    <d v="1968-07-03T00:00:00"/>
    <s v="Osijek"/>
    <s v="HRVATSKO"/>
    <s v="MIRNA ULICA 7, 31207 TENJA"/>
    <s v="NE"/>
    <s v="NKV"/>
    <m/>
    <s v="POMOĆNI KUHAR"/>
    <s v="POMOĆNI KUHAR"/>
    <s v="NEODREĐENO"/>
    <m/>
    <s v="PUNO"/>
    <n v="40"/>
    <s v="HR3424020063580204911"/>
    <m/>
    <m/>
    <m/>
    <m/>
    <m/>
    <s v="Osijek"/>
    <m/>
    <m/>
    <m/>
    <s v="NE"/>
    <n v="4062.51"/>
    <n v="1"/>
    <n v="3250"/>
    <m/>
    <m/>
    <m/>
    <m/>
    <m/>
    <m/>
    <m/>
    <m/>
    <m/>
    <m/>
    <x v="1"/>
    <m/>
  </r>
  <r>
    <n v="307"/>
    <n v="22"/>
    <x v="10"/>
    <n v="16157428650"/>
    <s v="Zoltan Kiri"/>
    <s v="Ivana Gundulića 28"/>
    <x v="186"/>
    <d v="2020-01-08T00:00:00"/>
    <x v="108"/>
    <n v="87631245346"/>
    <s v="Ž-ŽENSKO"/>
    <d v="1986-06-28T00:00:00"/>
    <s v="Osijek"/>
    <s v="HRVATSKO"/>
    <s v="J.J.STROSSMAYERA 333, 31000 OSIJEK"/>
    <s v="NE"/>
    <s v="NKV"/>
    <m/>
    <s v="Telefonist-operater u call c."/>
    <s v="Telefonist-operater u call c."/>
    <s v="ODREĐENO"/>
    <m/>
    <s v="PUNO"/>
    <n v="40"/>
    <s v="HR0223900013500087986, HR6523900013222074764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16"/>
  </r>
  <r>
    <n v="308"/>
    <n v="22"/>
    <x v="10"/>
    <n v="16157428650"/>
    <s v="Zoltan Kiri"/>
    <s v="Ivana Gundulića 28"/>
    <x v="187"/>
    <d v="2020-01-15T00:00:00"/>
    <x v="81"/>
    <n v="28037142835"/>
    <s v="Ž-ŽENSKO"/>
    <d v="1984-07-21T00:00:00"/>
    <s v="Osijek"/>
    <s v="HRVATSKO"/>
    <s v="SV.LEOPOLDA MANDIĆA 4, 31000 OSIJEK"/>
    <s v="NE"/>
    <s v="VSS"/>
    <s v="PRAVNI FAK. OSIJEK"/>
    <s v="Telefonist-operater u call c."/>
    <s v="Telefonist-operater u call c."/>
    <s v="ODREĐENO"/>
    <m/>
    <s v="PUNO"/>
    <n v="40"/>
    <s v="HR0325000093203916408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17"/>
  </r>
  <r>
    <n v="309"/>
    <n v="33"/>
    <x v="17"/>
    <n v="66364254606"/>
    <s v="ZSOLT JÓZSEF BARKÓCZI"/>
    <s v="Kralja Zvonimira 61, Bilje"/>
    <x v="188"/>
    <d v="2020-06-15T00:00:00"/>
    <x v="111"/>
    <n v="14065632002"/>
    <s v="M-MUŠKO"/>
    <d v="1973-02-03T00:00:00"/>
    <s v="OSIJEK"/>
    <s v="HRVATSKO"/>
    <s v="Kralja Zvonimira 61, 31327 Bilje"/>
    <s v="NE"/>
    <s v="SSS"/>
    <m/>
    <s v="KOMERCIJALISTA"/>
    <s v="KOMERCIJALISTA"/>
    <s v="NEODREĐENO"/>
    <m/>
    <s v="NEPUNO"/>
    <n v="2"/>
    <s v="HU10402159-50526685-71521007"/>
    <m/>
    <m/>
    <m/>
    <m/>
    <m/>
    <s v="Osijek"/>
    <m/>
    <m/>
    <m/>
    <s v="NE"/>
    <n v="5682.3"/>
    <n v="1"/>
    <n v="4408.29"/>
    <m/>
    <m/>
    <m/>
    <m/>
    <m/>
    <m/>
    <m/>
    <m/>
    <m/>
    <m/>
    <x v="1"/>
    <m/>
  </r>
  <r>
    <n v="310"/>
    <n v="22"/>
    <x v="10"/>
    <n v="16157428650"/>
    <s v="Zoltan Kiri"/>
    <s v="Ivana Gundulića 28"/>
    <x v="189"/>
    <d v="2020-01-21T00:00:00"/>
    <x v="102"/>
    <n v="86750963969"/>
    <s v="Ž-ŽENSKO"/>
    <d v="1985-04-16T00:00:00"/>
    <s v="Osijek"/>
    <s v="HRVATSKO"/>
    <s v="ZAGREBAČKA 47, 31000 OSIJEK"/>
    <s v="NE"/>
    <s v="SSS"/>
    <s v="TRGOVAČKA ŠKOLA OSIJEK"/>
    <s v="Telefonist-operater u call c."/>
    <s v="Telefonist-operater u call c."/>
    <s v="ODREĐENO"/>
    <m/>
    <s v="PUNO"/>
    <n v="40"/>
    <s v="HR3123600003245091647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18"/>
  </r>
  <r>
    <n v="311"/>
    <n v="22"/>
    <x v="10"/>
    <n v="16157428650"/>
    <s v="Zoltan Kiri"/>
    <s v="Ivana Gundulića 28"/>
    <x v="190"/>
    <d v="2020-02-03T00:00:00"/>
    <x v="112"/>
    <s v="05989691992"/>
    <s v="M-MUŠKO"/>
    <d v="1997-06-28T00:00:00"/>
    <s v="Osijek"/>
    <s v="HRVATSKO"/>
    <s v="VRANSKA ULICA 12, OSIJEK"/>
    <s v="NE"/>
    <s v="SSS"/>
    <s v="OSNOVNA ŠKOLA RETFALA"/>
    <s v="Trgovački demonstrator"/>
    <s v="Trgovački demonstrator"/>
    <s v="NEODREĐENO"/>
    <m/>
    <s v="PUNO"/>
    <n v="40"/>
    <s v="HR3123600003513031934"/>
    <m/>
    <m/>
    <m/>
    <m/>
    <m/>
    <s v="Osijek"/>
    <m/>
    <m/>
    <m/>
    <s v="NE"/>
    <n v="4375"/>
    <n v="1"/>
    <n v="3500"/>
    <m/>
    <m/>
    <m/>
    <m/>
    <m/>
    <m/>
    <m/>
    <m/>
    <m/>
    <m/>
    <x v="0"/>
    <n v="119"/>
  </r>
  <r>
    <n v="312"/>
    <n v="22"/>
    <x v="10"/>
    <n v="16157428650"/>
    <s v="Zoltan Kiri"/>
    <s v="Ivana Gundulića 28"/>
    <x v="191"/>
    <d v="2020-02-03T00:00:00"/>
    <x v="92"/>
    <s v="05594910859"/>
    <s v="Ž-ŽENSKO"/>
    <d v="1986-01-04T00:00:00"/>
    <s v="Osijek"/>
    <s v="HRVATSKO"/>
    <s v="J.J.strossmayera 168, 31000 osijek"/>
    <s v="NE"/>
    <s v="SSS"/>
    <s v="srednja ekonomska osijek"/>
    <s v="Telefonist-operater u call c."/>
    <s v="Telefonist-operater u call c."/>
    <s v="ODREĐENO"/>
    <m/>
    <s v="PUNO"/>
    <n v="40"/>
    <s v="HR8323900013208968576, HR7323900013505936972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20"/>
  </r>
  <r>
    <n v="313"/>
    <n v="22"/>
    <x v="10"/>
    <n v="16157428650"/>
    <s v="Zoltan Kiri"/>
    <s v="Ivana Gundulića 28"/>
    <x v="192"/>
    <d v="2020-02-10T00:00:00"/>
    <x v="92"/>
    <n v="22210776938"/>
    <s v="Ž-ŽENSKO"/>
    <d v="1996-05-24T00:00:00"/>
    <s v="OSIJEK"/>
    <s v="HRVATSKO"/>
    <s v="MLINSKA 77,31000 OSIJEK"/>
    <s v="NE"/>
    <s v="SSS"/>
    <s v="EKONOMSKA ŠKOLA OSIJEK"/>
    <s v="Telefonist-operater u call c."/>
    <s v="Telefonist-operater u call c."/>
    <s v="ODREĐENO"/>
    <m/>
    <s v="PUNO"/>
    <n v="40"/>
    <s v="HR5124840083235850949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21"/>
  </r>
  <r>
    <n v="314"/>
    <n v="32"/>
    <x v="16"/>
    <n v="15795338441"/>
    <s v="MARTINA ZAVRŠKI"/>
    <s v="Ilirska ulica 53, Darda"/>
    <x v="193"/>
    <d v="2020-07-31T00:00:00"/>
    <x v="113"/>
    <n v="15740614143"/>
    <s v="Ž-ŽENSKO"/>
    <d v="2001-03-12T00:00:00"/>
    <s v="Osijek"/>
    <s v="HRVATSKO"/>
    <s v="Osječka 136, Josipovac"/>
    <s v="NE"/>
    <s v="SSS"/>
    <m/>
    <s v="KONOBAR"/>
    <s v="KONOBAR"/>
    <s v="ODREĐENO"/>
    <d v="2020-10-31T00:00:00"/>
    <s v="PUNO"/>
    <n v="40"/>
    <s v="HR5323600003248624379"/>
    <m/>
    <m/>
    <m/>
    <m/>
    <m/>
    <s v="Osijek"/>
    <m/>
    <m/>
    <m/>
    <s v="NE"/>
    <n v="4062.51"/>
    <n v="1"/>
    <n v="3250"/>
    <m/>
    <m/>
    <m/>
    <m/>
    <m/>
    <m/>
    <m/>
    <m/>
    <m/>
    <m/>
    <x v="1"/>
    <m/>
  </r>
  <r>
    <n v="315"/>
    <n v="34"/>
    <x v="18"/>
    <n v="21428597692"/>
    <s v="Darinka Huber"/>
    <s v="Osječka 16A, 31300 Beli Manastir"/>
    <x v="194"/>
    <d v="2020-07-04T00:00:00"/>
    <x v="102"/>
    <n v="70429569630"/>
    <s v="Ž-ŽENSKO"/>
    <d v="1989-09-19T00:00:00"/>
    <s v="OSIJEK"/>
    <s v="HRVATSKO"/>
    <s v="DUBOŠEVICA, DRAŽ, ALOJZIJE STEPINCA 64"/>
    <s v="NE"/>
    <s v="SSS"/>
    <s v="SREDNJA ŠKOLA BELI MANASTIR"/>
    <s v="FRIZER"/>
    <s v="KUHAR"/>
    <s v="ODREĐENO"/>
    <d v="2020-09-30T00:00:00"/>
    <s v="PUNO"/>
    <n v="40"/>
    <s v="HR8723400093211756642"/>
    <m/>
    <m/>
    <m/>
    <m/>
    <m/>
    <s v="BELI MANASTIR"/>
    <m/>
    <m/>
    <m/>
    <s v="NE"/>
    <n v="5835.56"/>
    <n v="1"/>
    <n v="4500"/>
    <m/>
    <m/>
    <m/>
    <m/>
    <m/>
    <m/>
    <m/>
    <m/>
    <m/>
    <m/>
    <x v="1"/>
    <n v="1"/>
  </r>
  <r>
    <n v="316"/>
    <n v="34"/>
    <x v="18"/>
    <n v="21428597692"/>
    <s v="Darinka Huber"/>
    <s v="Osječka 16A, 31300 Beli Manastir"/>
    <x v="195"/>
    <d v="2020-07-04T00:00:00"/>
    <x v="102"/>
    <n v="33075612312"/>
    <s v="Ž-ŽENSKO"/>
    <d v="1972-05-09T00:00:00"/>
    <s v="Osijek"/>
    <s v="HRVATSKO"/>
    <s v="OSJEČKA UL 178, BELI MANASTIR"/>
    <s v="NE"/>
    <s v="NKV"/>
    <s v="OSNOVNA ŠKOLA BELI MANASTIR"/>
    <s v="NKV"/>
    <s v="POMOĆNI KUHAR"/>
    <s v="ODREĐENO"/>
    <d v="2020-09-30T00:00:00"/>
    <s v="PUNO"/>
    <n v="40"/>
    <s v="HR5123400093230488281"/>
    <m/>
    <m/>
    <m/>
    <m/>
    <m/>
    <s v="BELI MANASTIR"/>
    <m/>
    <m/>
    <m/>
    <s v="NE"/>
    <n v="5000"/>
    <n v="1"/>
    <n v="4000"/>
    <m/>
    <m/>
    <m/>
    <m/>
    <m/>
    <m/>
    <m/>
    <m/>
    <m/>
    <m/>
    <x v="1"/>
    <n v="2"/>
  </r>
  <r>
    <n v="317"/>
    <n v="34"/>
    <x v="18"/>
    <n v="21428597692"/>
    <s v="Darinka Huber"/>
    <s v="Osječka 16A, 31300 Beli Manastir"/>
    <x v="196"/>
    <d v="2020-07-04T00:00:00"/>
    <x v="102"/>
    <n v="82904965345"/>
    <s v="Ž-ŽENSKO"/>
    <d v="1969-01-07T00:00:00"/>
    <s v="Osijek"/>
    <s v="HRVATSKO"/>
    <s v="KRALJA PETRA SVAČIĆA 22, BELI MANASTIR"/>
    <s v="NE"/>
    <s v="NKV"/>
    <s v="OSNOVNA ŠKOLA BM"/>
    <s v="NKV"/>
    <s v="POMOĆNI KUHAR"/>
    <s v="ODREĐENO"/>
    <d v="2020-09-30T00:00:00"/>
    <s v="PUNO"/>
    <n v="40"/>
    <s v="HR6323400093208915653"/>
    <m/>
    <m/>
    <m/>
    <m/>
    <m/>
    <s v="BELI MANASTIR"/>
    <m/>
    <m/>
    <m/>
    <s v="NE"/>
    <n v="5000"/>
    <n v="1.7"/>
    <n v="4000"/>
    <m/>
    <m/>
    <m/>
    <m/>
    <m/>
    <m/>
    <m/>
    <m/>
    <m/>
    <m/>
    <x v="1"/>
    <n v="3"/>
  </r>
  <r>
    <n v="318"/>
    <n v="34"/>
    <x v="18"/>
    <n v="21428597692"/>
    <s v="Darinka Huber"/>
    <s v="Osječka 16A, 31300 Beli Manastir"/>
    <x v="197"/>
    <d v="2020-07-04T00:00:00"/>
    <x v="114"/>
    <n v="92496072519"/>
    <s v="M-MUŠKO"/>
    <d v="1984-12-03T00:00:00"/>
    <s v="OSIJEK"/>
    <s v="HRVATSKO"/>
    <s v="VLADIMIRA NAZORA 63, BELI MANASTIR"/>
    <s v="NE"/>
    <s v="SSS"/>
    <s v="GIMNAZIJA BELI MANASTIR"/>
    <s v="GIMNAZIJA"/>
    <s v="KONOBAR"/>
    <s v="ODREĐENO"/>
    <d v="2020-09-30T00:00:00"/>
    <s v="PUNO"/>
    <n v="40"/>
    <s v="HR8723400093210254985"/>
    <m/>
    <m/>
    <m/>
    <m/>
    <m/>
    <s v="BELI MANASTIR"/>
    <m/>
    <m/>
    <m/>
    <s v="NE"/>
    <n v="4375"/>
    <n v="1"/>
    <n v="3500"/>
    <m/>
    <m/>
    <m/>
    <m/>
    <m/>
    <m/>
    <m/>
    <m/>
    <m/>
    <m/>
    <x v="0"/>
    <n v="4"/>
  </r>
  <r>
    <n v="319"/>
    <n v="34"/>
    <x v="18"/>
    <n v="21428597692"/>
    <s v="Darinka Huber"/>
    <s v="Osječka 16A, 31300 Beli Manastir"/>
    <x v="198"/>
    <d v="2020-07-04T00:00:00"/>
    <x v="102"/>
    <n v="58105064289"/>
    <s v="Ž-ŽENSKO"/>
    <d v="1998-01-14T00:00:00"/>
    <s v="OSIJEK"/>
    <s v="HRVATSKO"/>
    <s v="KRALJA ZVONIMIRA 174, ČEPIN"/>
    <s v="NE"/>
    <s v="SSS"/>
    <s v="TRGOVAČKA ŠKOLA OSIJEK"/>
    <s v="TRGOVAC"/>
    <s v="KONOBAR"/>
    <s v="ODREĐENO"/>
    <d v="2020-09-30T00:00:00"/>
    <s v="PUNO"/>
    <n v="40"/>
    <s v="HR"/>
    <m/>
    <m/>
    <m/>
    <m/>
    <m/>
    <s v="BELI MANASTIR"/>
    <m/>
    <m/>
    <m/>
    <s v="NE"/>
    <n v="4375"/>
    <n v="1"/>
    <n v="3500"/>
    <m/>
    <m/>
    <m/>
    <m/>
    <m/>
    <m/>
    <m/>
    <m/>
    <m/>
    <m/>
    <x v="1"/>
    <n v="5"/>
  </r>
  <r>
    <n v="320"/>
    <n v="22"/>
    <x v="10"/>
    <n v="16157428650"/>
    <s v="Zoltan Kiri"/>
    <s v="Ivana Gundulića 28"/>
    <x v="199"/>
    <d v="2020-03-02T00:00:00"/>
    <x v="115"/>
    <n v="93342553119"/>
    <s v="M-MUŠKO"/>
    <d v="2000-08-02T00:00:00"/>
    <s v="Osijek"/>
    <s v="HRVATSKO"/>
    <s v="ILIRSKA ULICA 44, DARDA"/>
    <s v="NE"/>
    <s v="SSS"/>
    <m/>
    <s v="EKONOMIST"/>
    <s v="Trgovački demonstrator"/>
    <s v="NEODREĐENO"/>
    <m/>
    <s v="PUNO"/>
    <n v="40"/>
    <s v="HR5123400093234154978"/>
    <m/>
    <m/>
    <m/>
    <m/>
    <m/>
    <s v="Osijek"/>
    <m/>
    <m/>
    <m/>
    <s v="NE"/>
    <n v="4375"/>
    <n v="1"/>
    <n v="3500"/>
    <m/>
    <m/>
    <m/>
    <m/>
    <m/>
    <m/>
    <m/>
    <m/>
    <m/>
    <m/>
    <x v="0"/>
    <n v="122"/>
  </r>
  <r>
    <n v="321"/>
    <n v="22"/>
    <x v="10"/>
    <n v="16157428650"/>
    <s v="Zoltan Kiri"/>
    <s v="Ivana Gundulića 28"/>
    <x v="200"/>
    <d v="2020-06-08T00:00:00"/>
    <x v="116"/>
    <n v="72974121650"/>
    <s v="Ž-ŽENSKO"/>
    <d v="1993-06-17T00:00:00"/>
    <s v="Osijek"/>
    <s v="HRVATSKO"/>
    <s v="Dr. Franje Tuđmana 2C, 33000 Beli Manastir"/>
    <s v="NE"/>
    <s v="VSS"/>
    <m/>
    <s v="Trgovački demonstrator"/>
    <s v="Trgovački demonstrator"/>
    <s v="NEODREĐENO"/>
    <m/>
    <s v="PUNO"/>
    <n v="40"/>
    <s v="HR8223400093219622656"/>
    <m/>
    <m/>
    <m/>
    <m/>
    <m/>
    <s v="Osijek"/>
    <m/>
    <m/>
    <m/>
    <s v="NE"/>
    <n v="4375"/>
    <n v="1"/>
    <n v="3500"/>
    <m/>
    <m/>
    <m/>
    <m/>
    <m/>
    <m/>
    <m/>
    <m/>
    <m/>
    <m/>
    <x v="0"/>
    <n v="123"/>
  </r>
  <r>
    <n v="322"/>
    <n v="34"/>
    <x v="18"/>
    <n v="21428597692"/>
    <s v="Darinka Huber"/>
    <s v="Osječka 16A, 31300 Beli Manastir"/>
    <x v="201"/>
    <d v="2020-07-07T00:00:00"/>
    <x v="117"/>
    <n v="39112878817"/>
    <s v="Ž-ŽENSKO"/>
    <d v="1983-09-27T00:00:00"/>
    <s v="Osijek"/>
    <s v="HRVATSKO"/>
    <s v="Sjenjak 46, Osijek"/>
    <s v="NE"/>
    <s v="SSS"/>
    <m/>
    <s v="Poslovođa"/>
    <s v="Poslovođa"/>
    <s v="NEODREĐENO"/>
    <m/>
    <s v="PUNO"/>
    <n v="40"/>
    <s v="HR1024070003205827563"/>
    <m/>
    <m/>
    <m/>
    <m/>
    <m/>
    <s v="BELI MANASTIR"/>
    <m/>
    <m/>
    <m/>
    <s v="DA"/>
    <n v="5682.3"/>
    <n v="2.7"/>
    <n v="4397.8"/>
    <m/>
    <m/>
    <m/>
    <m/>
    <m/>
    <m/>
    <m/>
    <m/>
    <m/>
    <m/>
    <x v="1"/>
    <n v="6"/>
  </r>
  <r>
    <n v="323"/>
    <n v="22"/>
    <x v="10"/>
    <n v="16157428650"/>
    <s v="Zoltan Kiri"/>
    <s v="Šetalište Petra Preradovića 5"/>
    <x v="163"/>
    <d v="2020-06-15T00:00:00"/>
    <x v="102"/>
    <n v="19801410326"/>
    <s v="Ž-ŽENSKO"/>
    <d v="1979-10-05T00:00:00"/>
    <s v="OSIJEK"/>
    <s v="HRVATSKO"/>
    <s v="Osječka 53, Josipovac"/>
    <s v="NE"/>
    <s v="SSS"/>
    <m/>
    <s v="Telefonist-operater u call c."/>
    <s v="Telefonist-operater u call c."/>
    <s v="ODREĐENO"/>
    <m/>
    <s v="PUNO"/>
    <n v="40"/>
    <s v="HR7324020063208867548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24"/>
  </r>
  <r>
    <n v="324"/>
    <n v="22"/>
    <x v="10"/>
    <n v="16157428650"/>
    <s v="Zoltan Kiri"/>
    <s v="Ivana Gundulića 28"/>
    <x v="191"/>
    <d v="2020-06-16T00:00:00"/>
    <x v="118"/>
    <s v="05594910859"/>
    <s v="Ž-ŽENSKO"/>
    <d v="1986-01-04T00:00:00"/>
    <s v="Osijek"/>
    <s v="HRVATSKO"/>
    <s v="J.J.strossmayera 168, 31000 osijek"/>
    <s v="NE"/>
    <s v="SSS"/>
    <s v="srednja ekonomska osijek"/>
    <s v="Telefonist-operater u call c."/>
    <s v="Telefonist-operater u call c."/>
    <s v="ODREĐENO"/>
    <m/>
    <s v="PUNO"/>
    <n v="40"/>
    <s v="HR8323900013208968576, HR7323900013505936972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25"/>
  </r>
  <r>
    <n v="325"/>
    <n v="22"/>
    <x v="10"/>
    <n v="16157428650"/>
    <s v="Zoltan Kiri"/>
    <s v="Ivana Gundulića 28"/>
    <x v="202"/>
    <d v="2020-06-23T00:00:00"/>
    <x v="102"/>
    <s v="05212178956"/>
    <s v="Ž-ŽENSKO"/>
    <d v="1982-08-05T00:00:00"/>
    <s v="Osijek"/>
    <s v="HRVATSKO"/>
    <s v="JOSIPA KOZARCA 59B, 31220 Višnjevac"/>
    <s v="NE"/>
    <s v="SSS"/>
    <m/>
    <s v="Telefonist-operater u call c."/>
    <s v="Telefonist-operater u call c."/>
    <s v="ODREĐENO"/>
    <m/>
    <s v="PUNO"/>
    <n v="40"/>
    <s v="HR69 23600003220874913, HR43 23600003510288849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26"/>
  </r>
  <r>
    <n v="326"/>
    <n v="22"/>
    <x v="10"/>
    <n v="16157428650"/>
    <s v="Zoltan Kiri"/>
    <s v="Ivana Gundulića 28"/>
    <x v="203"/>
    <d v="2020-06-24T00:00:00"/>
    <x v="56"/>
    <n v="64962266902"/>
    <s v="Ž-ŽENSKO"/>
    <d v="1999-04-17T00:00:00"/>
    <s v="Osijek"/>
    <s v="HRVATSKO"/>
    <s v="Kolodvorska 43, 31224 Koška"/>
    <s v="NE"/>
    <s v="SSS"/>
    <m/>
    <s v="Telefonist-operater u call c."/>
    <s v="Telefonist-operater u call c."/>
    <s v="ODREĐENO"/>
    <m/>
    <s v="PUNO"/>
    <n v="40"/>
    <s v="HR1123400093232257796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27"/>
  </r>
  <r>
    <n v="327"/>
    <n v="22"/>
    <x v="10"/>
    <n v="16157428650"/>
    <s v="Zoltan Kiri"/>
    <s v="Ivana Gundulića 28"/>
    <x v="204"/>
    <d v="2020-07-06T00:00:00"/>
    <x v="119"/>
    <n v="51819513820"/>
    <s v="Ž-ŽENSKO"/>
    <d v="2002-03-10T00:00:00"/>
    <s v="Osijek"/>
    <s v="HRVATSKO"/>
    <s v="VLADIMIRA NAZORA 30, LASLOVO"/>
    <s v="NE"/>
    <s v="SSS"/>
    <m/>
    <s v="Telefonist-operater u call c."/>
    <s v="Telefonist-operater u call c."/>
    <s v="ODREĐENO"/>
    <m/>
    <s v="PUNO"/>
    <n v="40"/>
    <s v="HR2924070003237409257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28"/>
  </r>
  <r>
    <n v="328"/>
    <n v="22"/>
    <x v="10"/>
    <n v="16157428650"/>
    <s v="Zoltan Kiri"/>
    <s v="Ivana Gundulića 28"/>
    <x v="205"/>
    <d v="2020-07-06T00:00:00"/>
    <x v="102"/>
    <s v="07232137820"/>
    <s v="Ž-ŽENSKO"/>
    <d v="2019-05-19T00:00:00"/>
    <s v="OSIJEK"/>
    <s v="HRVATSKO"/>
    <s v="TVORNIČKA 1, 31000 OSIJEK"/>
    <s v="NE"/>
    <s v="SSS"/>
    <m/>
    <s v="Telefonist-operater u call c."/>
    <s v="Telefonist-operater u call c."/>
    <s v="ODREĐENO"/>
    <m/>
    <s v="PUNO"/>
    <n v="40"/>
    <s v="HR0524020063209770969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29"/>
  </r>
  <r>
    <n v="329"/>
    <n v="22"/>
    <x v="10"/>
    <n v="16157428650"/>
    <s v="Zoltan Kiri"/>
    <s v="Ivana Gundulića 28"/>
    <x v="206"/>
    <d v="2020-07-13T00:00:00"/>
    <x v="120"/>
    <n v="51750614319"/>
    <s v="M-MUŠKO"/>
    <d v="1997-03-24T00:00:00"/>
    <s v="Osijek"/>
    <s v="HRVATSKO"/>
    <s v="KAPELSKA ULICA 98, 31000 OSIJEK"/>
    <s v="NE"/>
    <s v="SSS"/>
    <m/>
    <s v="Trgovački dem. i prodavač"/>
    <s v="Trgovački dem. i prodavač"/>
    <s v="NEODREĐENO"/>
    <m/>
    <s v="PUNO"/>
    <n v="40"/>
    <s v="HR5823600003246189492"/>
    <m/>
    <m/>
    <m/>
    <m/>
    <m/>
    <s v="Osijek"/>
    <m/>
    <m/>
    <m/>
    <s v="NE"/>
    <n v="4375"/>
    <n v="1"/>
    <n v="3500"/>
    <m/>
    <m/>
    <m/>
    <m/>
    <m/>
    <m/>
    <m/>
    <m/>
    <m/>
    <m/>
    <x v="0"/>
    <n v="130"/>
  </r>
  <r>
    <n v="330"/>
    <n v="22"/>
    <x v="10"/>
    <n v="16157428650"/>
    <s v="Zoltan Kiri"/>
    <s v="Ivana Gundulića 28"/>
    <x v="207"/>
    <d v="2020-07-14T00:00:00"/>
    <x v="121"/>
    <n v="63543566143"/>
    <s v="M-MUŠKO"/>
    <d v="1999-12-22T00:00:00"/>
    <s v="Osijek"/>
    <s v="HRVATSKO"/>
    <s v="RAKOVA 1, ZMAJEVAC"/>
    <s v="NE"/>
    <s v="SSS"/>
    <m/>
    <s v="Trgovački dem. i prodavač"/>
    <s v="Trgovački dem. i prodavač"/>
    <s v="NEODREĐENO"/>
    <m/>
    <s v="PUNO"/>
    <n v="40"/>
    <s v="HR0525000093206506272"/>
    <m/>
    <m/>
    <m/>
    <m/>
    <m/>
    <s v="Osijek"/>
    <m/>
    <m/>
    <m/>
    <s v="NE"/>
    <n v="4375"/>
    <n v="1"/>
    <n v="3500"/>
    <m/>
    <m/>
    <m/>
    <m/>
    <m/>
    <m/>
    <m/>
    <m/>
    <m/>
    <m/>
    <x v="0"/>
    <n v="131"/>
  </r>
  <r>
    <n v="331"/>
    <n v="22"/>
    <x v="10"/>
    <n v="16157428650"/>
    <s v="Zoltan Kiri"/>
    <s v="Ivana Gundulića 28"/>
    <x v="208"/>
    <d v="2020-08-07T00:00:00"/>
    <x v="122"/>
    <n v="82327969024"/>
    <s v="M-MUŠKO"/>
    <d v="1999-04-11T00:00:00"/>
    <s v="Osijek"/>
    <s v="HRVATSKO"/>
    <s v="KARDINALA A. STEPINCA 23, 31431 ČEPIN"/>
    <s v="NE"/>
    <s v="SSS"/>
    <m/>
    <s v="Trgovački dem. i prodavač"/>
    <s v="Trgovački dem. i prodavač"/>
    <s v="NEODREĐENO"/>
    <m/>
    <s v="PUNO"/>
    <n v="40"/>
    <s v="HR1125000093206320021"/>
    <m/>
    <m/>
    <m/>
    <m/>
    <m/>
    <s v="Osijek"/>
    <m/>
    <m/>
    <m/>
    <s v="NE"/>
    <n v="4375"/>
    <n v="1"/>
    <n v="3500"/>
    <m/>
    <m/>
    <m/>
    <m/>
    <m/>
    <m/>
    <m/>
    <m/>
    <m/>
    <m/>
    <x v="0"/>
    <n v="132"/>
  </r>
  <r>
    <n v="332"/>
    <n v="22"/>
    <x v="10"/>
    <n v="16157428650"/>
    <s v="Zoltan Kiri"/>
    <s v="Ivana Gundulića 28"/>
    <x v="209"/>
    <d v="2020-08-10T00:00:00"/>
    <x v="81"/>
    <n v="44917773125"/>
    <s v="M-MUŠKO"/>
    <d v="2000-02-10T00:00:00"/>
    <s v="Osijek"/>
    <s v="HRVATSKO"/>
    <s v="J.J. STROSSMAYERA 217. 3100 OSIJEK"/>
    <s v="NE"/>
    <s v="SSS"/>
    <m/>
    <s v="Telefonist-operater u call c."/>
    <s v="Telefonist-operater u call c."/>
    <s v="ODREĐENO"/>
    <m/>
    <s v="PUNO"/>
    <n v="40"/>
    <s v="HR0823600003246067299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31"/>
  </r>
  <r>
    <n v="333"/>
    <n v="22"/>
    <x v="10"/>
    <n v="16157428650"/>
    <s v="Zoltan Kiri"/>
    <s v="Ivana Gundulića 28"/>
    <x v="210"/>
    <d v="2020-09-01T00:00:00"/>
    <x v="102"/>
    <n v="34003274057"/>
    <s v="Ž-ŽENSKO"/>
    <d v="1996-05-11T00:00:00"/>
    <s v="NAŠICE"/>
    <s v="HRVATSKO"/>
    <s v="KRALJA TOMISLAVA 182B, VUKOJEVCI"/>
    <s v="NE"/>
    <s v="SSS"/>
    <m/>
    <s v="Telefonist-operater u call c."/>
    <s v="Telefonist-operater u call c."/>
    <s v="ODREĐENO"/>
    <m/>
    <s v="PUNO"/>
    <n v="40"/>
    <s v="HR5523400093218960050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32"/>
  </r>
  <r>
    <n v="334"/>
    <n v="22"/>
    <x v="10"/>
    <n v="16157428650"/>
    <s v="Zoltan Kiri"/>
    <s v="Ivana Gundulića 28"/>
    <x v="211"/>
    <d v="2020-09-01T00:00:00"/>
    <x v="102"/>
    <n v="16687376785"/>
    <s v="Ž-ŽENSKO"/>
    <d v="1983-05-10T00:00:00"/>
    <s v="NAŠICE"/>
    <s v="HRVATSKO"/>
    <s v="BRAĆE RADIĆA 59, KRŠINCI, PODGORAČ"/>
    <s v="NE"/>
    <s v="SSS"/>
    <m/>
    <s v="Telefonist-operater u call c."/>
    <s v="Telefonist-operater u call c."/>
    <s v="ODREĐENO"/>
    <m/>
    <s v="PUNO"/>
    <n v="40"/>
    <s v="HR4024070003205331256, HR8024070003530385005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33"/>
  </r>
  <r>
    <n v="335"/>
    <n v="34"/>
    <x v="18"/>
    <n v="21428597692"/>
    <s v="Darinka Huber"/>
    <s v="Osječka 16A, 31300 Beli Manastir"/>
    <x v="212"/>
    <d v="2020-09-04T00:00:00"/>
    <x v="102"/>
    <n v="64662447870"/>
    <s v="Ž-ŽENSKO"/>
    <d v="2001-12-19T00:00:00"/>
    <s v="Osijek"/>
    <s v="HRVATSKO"/>
    <s v="ALOJZIJA STEPINCA 13, 31300 BELI MANASTIR"/>
    <s v="NE"/>
    <s v="SSS"/>
    <m/>
    <s v="KONOBAR"/>
    <s v="KONOBAR"/>
    <s v="NEODREĐENO"/>
    <m/>
    <s v="PUNO"/>
    <n v="40"/>
    <s v="HR3625000093207236900"/>
    <m/>
    <m/>
    <m/>
    <m/>
    <m/>
    <s v="BELI MANASTIR"/>
    <m/>
    <m/>
    <m/>
    <s v="NE"/>
    <n v="4062.51"/>
    <n v="1"/>
    <n v="3250"/>
    <m/>
    <m/>
    <m/>
    <m/>
    <m/>
    <m/>
    <m/>
    <m/>
    <m/>
    <m/>
    <x v="1"/>
    <n v="137"/>
  </r>
  <r>
    <n v="336"/>
    <n v="22"/>
    <x v="10"/>
    <n v="16157428650"/>
    <s v="Zoltan Kiri"/>
    <s v="Ivana Gundulića 28"/>
    <x v="213"/>
    <d v="2020-09-01T00:00:00"/>
    <x v="102"/>
    <n v="23175632985"/>
    <s v="Ž-ŽENSKO"/>
    <d v="1982-03-14T00:00:00"/>
    <s v="NAŠICE"/>
    <s v="HRVATSKO"/>
    <s v="BRAĆE RADIĆA 11, KELEŠINKA"/>
    <s v="NE"/>
    <s v="SSS"/>
    <m/>
    <s v="Telefonist-operater u call c."/>
    <s v="Telefonist-operater u call c."/>
    <s v="ODREĐENO"/>
    <m/>
    <s v="PUNO"/>
    <n v="40"/>
    <s v="HR3023400093209687300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34"/>
  </r>
  <r>
    <n v="337"/>
    <n v="22"/>
    <x v="10"/>
    <n v="16157428650"/>
    <s v="Zoltan Kiri"/>
    <s v="Ivana Gundulića 28"/>
    <x v="214"/>
    <d v="2020-09-03T00:00:00"/>
    <x v="45"/>
    <n v="27417404460"/>
    <s v="M-MUŠKO"/>
    <d v="1987-03-30T00:00:00"/>
    <s v="NOVI SAD"/>
    <s v="SRPSKO"/>
    <s v="P. ŠANDORA 43, KNEŽEVI VINOGRADI"/>
    <s v="DA"/>
    <s v="SSS"/>
    <m/>
    <s v="PRODAVAČ"/>
    <s v="PRODAVAČ"/>
    <s v="ODREĐENO"/>
    <m/>
    <s v="PUNO"/>
    <n v="40"/>
    <s v="HR4623400093234617952"/>
    <m/>
    <m/>
    <m/>
    <m/>
    <m/>
    <s v="Osijek"/>
    <m/>
    <m/>
    <m/>
    <s v="NE"/>
    <n v="4375"/>
    <n v="1"/>
    <n v="3500"/>
    <m/>
    <m/>
    <m/>
    <m/>
    <m/>
    <m/>
    <m/>
    <m/>
    <m/>
    <m/>
    <x v="1"/>
    <n v="135"/>
  </r>
  <r>
    <n v="338"/>
    <n v="22"/>
    <x v="10"/>
    <n v="16157428650"/>
    <s v="Zoltan Kiri"/>
    <s v="Ivana Gundulića 28"/>
    <x v="215"/>
    <d v="2020-09-03T00:00:00"/>
    <x v="123"/>
    <n v="32225879445"/>
    <s v="Ž-ŽENSKO"/>
    <d v="1997-11-11T00:00:00"/>
    <s v="ZRENJANIN"/>
    <s v="SRPSKO"/>
    <s v="OSIJEK"/>
    <s v="DA"/>
    <s v="SSS"/>
    <m/>
    <s v="PRODAVAČ"/>
    <s v="PRODAVAČ"/>
    <s v="ODREĐENO"/>
    <m/>
    <s v="PUNO"/>
    <n v="40"/>
    <s v="HR2523400093234672553"/>
    <m/>
    <m/>
    <m/>
    <m/>
    <m/>
    <s v="Osijek"/>
    <m/>
    <m/>
    <m/>
    <s v="NE"/>
    <n v="4375"/>
    <n v="1"/>
    <n v="3500"/>
    <m/>
    <m/>
    <m/>
    <m/>
    <m/>
    <m/>
    <m/>
    <m/>
    <m/>
    <m/>
    <x v="0"/>
    <n v="136"/>
  </r>
  <r>
    <n v="339"/>
    <n v="22"/>
    <x v="10"/>
    <n v="16157428650"/>
    <s v="Zoltan Kiri"/>
    <s v="Ivana Gundulića 28"/>
    <x v="216"/>
    <d v="2020-09-08T00:00:00"/>
    <x v="102"/>
    <n v="34639907395"/>
    <s v="Ž-ŽENSKO"/>
    <d v="1989-08-14T00:00:00"/>
    <s v="Osijek"/>
    <s v="HRVATSKO"/>
    <s v="ZRINSKO FRANKOPANSKA 29, VALPOVO"/>
    <s v="NE"/>
    <s v="SSS"/>
    <m/>
    <s v="Telefonist-operater u call c."/>
    <s v="Telefonist-operater u call c."/>
    <s v="ODREĐENO"/>
    <m/>
    <s v="PUNO"/>
    <n v="40"/>
    <s v="HR3425000093200430737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38"/>
  </r>
  <r>
    <n v="340"/>
    <n v="22"/>
    <x v="10"/>
    <n v="16157428650"/>
    <s v="Zoltan Kiri"/>
    <s v="Ivana Gundulića 28"/>
    <x v="217"/>
    <d v="2020-09-18T00:00:00"/>
    <x v="124"/>
    <n v="28980512417"/>
    <s v="Ž-ŽENSKO"/>
    <d v="1989-01-25T00:00:00"/>
    <s v="Osijek"/>
    <s v="HRVATSKO"/>
    <s v="TINA UJEVIĆ 37, VALPOVO"/>
    <s v="NE"/>
    <s v="NKV"/>
    <m/>
    <s v="Telefonist-operater u call c."/>
    <s v="Telefonist-operater u call c."/>
    <s v="ODREĐENO"/>
    <m/>
    <s v="PUNO"/>
    <n v="40"/>
    <s v="HR4723400093215260323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39"/>
  </r>
  <r>
    <n v="341"/>
    <n v="22"/>
    <x v="10"/>
    <n v="16157428650"/>
    <s v="Zoltan Kiri"/>
    <s v="Ivana Gundulića 28"/>
    <x v="218"/>
    <d v="2020-09-21T00:00:00"/>
    <x v="125"/>
    <s v="08780129474"/>
    <s v="M-MUŠKO"/>
    <d v="1992-11-30T00:00:00"/>
    <s v="Osijek"/>
    <s v="HRVATSKO"/>
    <s v="BRAČKA ULICA 7, BELI MANASTIR"/>
    <s v="NE"/>
    <s v="SSS"/>
    <m/>
    <s v="Telefonist-operater u call c."/>
    <s v="Telefonist-operater u call c."/>
    <s v="ODREĐENO"/>
    <m/>
    <s v="PUNO"/>
    <n v="40"/>
    <s v="HR1223400093234647664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0"/>
  </r>
  <r>
    <n v="342"/>
    <n v="22"/>
    <x v="10"/>
    <n v="16157428650"/>
    <s v="Zoltan Kiri"/>
    <s v="Ivana Gundulića 28"/>
    <x v="219"/>
    <d v="2020-09-21T00:00:00"/>
    <x v="126"/>
    <n v="93962818071"/>
    <s v="Ž-ŽENSKO"/>
    <d v="2002-03-04T00:00:00"/>
    <s v="Osijek"/>
    <s v="HRVATSKO"/>
    <s v="IVANA GALINICA-CICE 32, POPOVAC"/>
    <s v="NE"/>
    <s v="SSS"/>
    <m/>
    <s v="Telefonist-operater u call c."/>
    <s v="Telefonist-operater u call c."/>
    <s v="ODREĐENO"/>
    <m/>
    <s v="PUNO"/>
    <n v="40"/>
    <s v="HR6723400093234651718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1"/>
  </r>
  <r>
    <n v="343"/>
    <n v="22"/>
    <x v="10"/>
    <n v="16157428650"/>
    <s v="Zoltan Kiri"/>
    <s v="Ivana Gundulića 28"/>
    <x v="220"/>
    <d v="2020-09-21T00:00:00"/>
    <x v="125"/>
    <n v="95297325085"/>
    <s v="M-MUŠKO"/>
    <d v="1991-09-18T00:00:00"/>
    <s v="Osijek"/>
    <s v="HRVATSKO"/>
    <s v="NIKOLE TESLE 36, BELI MANASTIR"/>
    <s v="NE"/>
    <s v="SSS"/>
    <m/>
    <s v="Telefonist-operater u call c."/>
    <s v="Telefonist-operater u call c."/>
    <s v="ODREĐENO"/>
    <m/>
    <s v="PUNO"/>
    <n v="40"/>
    <s v="HR3423400093233087217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2"/>
  </r>
  <r>
    <n v="344"/>
    <n v="22"/>
    <x v="10"/>
    <n v="16157428650"/>
    <s v="Zoltan Kiri"/>
    <s v="Ivana Gundulića 28"/>
    <x v="221"/>
    <d v="2020-09-21T00:00:00"/>
    <x v="127"/>
    <n v="46872110260"/>
    <s v="M-MUŠKO"/>
    <d v="1996-04-13T00:00:00"/>
    <s v="Osijek"/>
    <s v="HRVATSKO"/>
    <s v="PLANINSKA 73, BELI MANASTIR"/>
    <s v="NE"/>
    <s v="SSS"/>
    <m/>
    <s v="Telefonist-operater u call c."/>
    <s v="Telefonist-operater u call c."/>
    <s v="ODREĐENO"/>
    <m/>
    <s v="PUNO"/>
    <n v="40"/>
    <s v="HR8023900013221785725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3"/>
  </r>
  <r>
    <n v="345"/>
    <n v="22"/>
    <x v="10"/>
    <n v="16157428650"/>
    <s v="Zoltan Kiri"/>
    <s v="Ivana Gundulića 28"/>
    <x v="222"/>
    <d v="2020-09-21T00:00:00"/>
    <x v="128"/>
    <n v="89244104255"/>
    <s v="Ž-ŽENSKO"/>
    <d v="1994-02-19T00:00:00"/>
    <s v="Osijek"/>
    <s v="HRVATSKO"/>
    <s v="SVETOG KRIŽA 23, BRANJIN VRH"/>
    <s v="NE"/>
    <s v="VSS"/>
    <m/>
    <s v="Telefonist-operater u call c."/>
    <s v="Telefonist-operater u call c."/>
    <s v="ODREĐENO"/>
    <m/>
    <s v="PUNO"/>
    <n v="40"/>
    <s v="HR6323900013217670903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4"/>
  </r>
  <r>
    <n v="346"/>
    <n v="22"/>
    <x v="10"/>
    <n v="16157428650"/>
    <s v="Zoltan Kiri"/>
    <s v="Ivana Gundulića 28"/>
    <x v="223"/>
    <d v="2020-09-21T00:00:00"/>
    <x v="102"/>
    <n v="44433666966"/>
    <s v="Ž-ŽENSKO"/>
    <d v="1982-06-10T00:00:00"/>
    <s v="Osijek"/>
    <s v="HRVATSKO"/>
    <s v="KOLODVORSKA 44, KARANAC"/>
    <s v="NE"/>
    <s v="SSS"/>
    <m/>
    <s v="Telefonist-operater u call c."/>
    <s v="Telefonist-operater u call c."/>
    <s v="ODREĐENO"/>
    <m/>
    <s v="PUNO"/>
    <n v="40"/>
    <s v="HR9323400093510823442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5"/>
  </r>
  <r>
    <n v="347"/>
    <n v="22"/>
    <x v="10"/>
    <n v="16157428650"/>
    <s v="Zoltan Kiri"/>
    <s v="Ivana Gundulića 28"/>
    <x v="224"/>
    <d v="2020-09-21T00:00:00"/>
    <x v="102"/>
    <s v="02700566038"/>
    <s v="Ž-ŽENSKO"/>
    <d v="1976-09-19T00:00:00"/>
    <s v="Osijek"/>
    <s v="HRVATSKO"/>
    <s v="PLANINSKA 24E, BELI MANASTIR"/>
    <s v="NE"/>
    <s v="SSS"/>
    <m/>
    <s v="Telefonist-operater u call c."/>
    <s v="Telefonist-operater u call c."/>
    <s v="ODREĐENO"/>
    <m/>
    <s v="PUNO"/>
    <n v="40"/>
    <s v="HR2025000093207257946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6"/>
  </r>
  <r>
    <n v="348"/>
    <n v="22"/>
    <x v="10"/>
    <n v="16157428650"/>
    <s v="Zoltan Kiri"/>
    <s v="Ivana Gundulića 28"/>
    <x v="225"/>
    <d v="2020-09-21T00:00:00"/>
    <x v="102"/>
    <n v="57018957627"/>
    <s v="Ž-ŽENSKO"/>
    <d v="1996-05-25T00:00:00"/>
    <s v="Osijek"/>
    <s v="HRVATSKO"/>
    <s v="ANTE KOVAČIĆA 4, BRANJIN VRH"/>
    <s v="NE"/>
    <s v="SSS"/>
    <m/>
    <s v="Telefonist-operater u call c."/>
    <s v="Telefonist-operater u call c."/>
    <s v="ODREĐENO"/>
    <m/>
    <s v="PUNO"/>
    <n v="40"/>
    <s v="HR0923400093230212975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7"/>
  </r>
  <r>
    <n v="349"/>
    <n v="22"/>
    <x v="10"/>
    <n v="16157428650"/>
    <s v="Zoltan Kiri"/>
    <s v="Ivana Gundulića 28"/>
    <x v="226"/>
    <d v="2020-09-21T00:00:00"/>
    <x v="102"/>
    <n v="54713469938"/>
    <s v="Ž-ŽENSKO"/>
    <d v="1996-06-18T00:00:00"/>
    <s v="Osijek"/>
    <s v="HRVATSKO"/>
    <s v="VLADIMIRA NAZORA 77, PETLOVAC"/>
    <s v="NE"/>
    <s v="SSS"/>
    <m/>
    <s v="Telefonist-operater u call c."/>
    <s v="Telefonist-operater u call c."/>
    <s v="ODREĐENO"/>
    <m/>
    <s v="PUNO"/>
    <n v="40"/>
    <s v="HR0423400093234650524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8"/>
  </r>
  <r>
    <n v="350"/>
    <n v="22"/>
    <x v="10"/>
    <n v="16157428650"/>
    <s v="Zoltan Kiri"/>
    <s v="Ivana Gundulića 28"/>
    <x v="227"/>
    <d v="2020-09-21T00:00:00"/>
    <x v="129"/>
    <n v="76866047912"/>
    <s v="Ž-ŽENSKO"/>
    <d v="1975-09-04T00:00:00"/>
    <s v="Osijek"/>
    <s v="HRVATSKO"/>
    <s v="PETRA PRERADOVIĆA 56, BELI MANASTIR"/>
    <s v="NE"/>
    <s v="SSS"/>
    <m/>
    <s v="Telefonist-operater u call c."/>
    <s v="Telefonist-operater u call c."/>
    <s v="ODREĐENO"/>
    <m/>
    <s v="PUNO"/>
    <n v="40"/>
    <s v="HR4423400093207931542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9"/>
  </r>
  <r>
    <n v="351"/>
    <n v="22"/>
    <x v="10"/>
    <n v="16157428650"/>
    <s v="Zoltan Kiri"/>
    <s v="Ivana Gundulića 28"/>
    <x v="228"/>
    <d v="2020-09-22T00:00:00"/>
    <x v="56"/>
    <n v="97620591075"/>
    <s v="M-MUŠKO"/>
    <d v="1990-01-20T00:00:00"/>
    <s v="Osijek"/>
    <s v="HRVATSKO"/>
    <s v="KRALJA PETRA SVAČIĆA 22, BELI MANASTIR"/>
    <s v="NE"/>
    <s v="SSS"/>
    <m/>
    <s v="Telefonist-operater u call c."/>
    <s v="Telefonist-operater u call c."/>
    <s v="ODREĐENO"/>
    <m/>
    <s v="PUNO"/>
    <n v="40"/>
    <s v="HR3723400093211589538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50"/>
  </r>
  <r>
    <n v="352"/>
    <n v="22"/>
    <x v="10"/>
    <n v="16157428650"/>
    <s v="Zoltan Kiri"/>
    <s v="Ivana Gundulića 28"/>
    <x v="229"/>
    <d v="2020-09-22T00:00:00"/>
    <x v="102"/>
    <n v="77939122827"/>
    <s v="Ž-ŽENSKO"/>
    <d v="1992-10-09T00:00:00"/>
    <s v="Osijek"/>
    <s v="HRVATSKO"/>
    <s v="KOLODVORSKI 47, KARANAC"/>
    <s v="NE"/>
    <s v="SSS"/>
    <m/>
    <s v="Telefonist-operater u call c."/>
    <s v="Telefonist-operater u call c."/>
    <s v="ODREĐENO"/>
    <m/>
    <s v="PUNO"/>
    <n v="40"/>
    <s v="HR3123400093214470643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51"/>
  </r>
  <r>
    <n v="353"/>
    <n v="22"/>
    <x v="10"/>
    <n v="16157428650"/>
    <s v="Zoltan Kiri"/>
    <s v="Ivana Gundulića 28"/>
    <x v="230"/>
    <d v="2020-09-23T00:00:00"/>
    <x v="56"/>
    <s v="05876397989"/>
    <s v="Ž-ŽENSKO"/>
    <d v="1986-01-11T00:00:00"/>
    <s v="Osijek"/>
    <s v="HRVATSKO"/>
    <s v="MIRKOVAC 9, MIRKOVAC"/>
    <s v="NE"/>
    <s v="SSS"/>
    <m/>
    <s v="Telefonist-operater u call c."/>
    <s v="Telefonist-operater u call c."/>
    <s v="ODREĐENO"/>
    <m/>
    <s v="PUNO"/>
    <n v="40"/>
    <s v="HR4523600003510561868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52"/>
  </r>
  <r>
    <n v="354"/>
    <n v="26"/>
    <x v="13"/>
    <n v="95114485977"/>
    <s v="LAURA GERGELJ"/>
    <s v="SV.IVANA KRSTITELJA 15, DARDA"/>
    <x v="59"/>
    <d v="2020-08-18T00:00:00"/>
    <x v="3"/>
    <n v="65592272975"/>
    <s v="Ž-ŽENSKO"/>
    <d v="1972-05-03T00:00:00"/>
    <s v="Beli Manastir"/>
    <s v="HRVATSKO"/>
    <s v="KRALJA ZVONIMIRA 51A, BELI MANASTIR"/>
    <s v="NE"/>
    <s v="SSS"/>
    <m/>
    <s v="ADMINISTRATIVNI DJELATNIK"/>
    <s v="ADMINISTRATIVNI DJELATNIK"/>
    <s v="NEODREĐENO"/>
    <m/>
    <s v="PUNO"/>
    <n v="40"/>
    <m/>
    <m/>
    <m/>
    <m/>
    <m/>
    <m/>
    <s v="Osijek"/>
    <m/>
    <m/>
    <m/>
    <s v="NE"/>
    <n v="7100"/>
    <n v="1"/>
    <n v="7100"/>
    <n v="0"/>
    <m/>
    <m/>
    <n v="20"/>
    <m/>
    <m/>
    <m/>
    <m/>
    <m/>
    <m/>
    <x v="1"/>
    <n v="3"/>
  </r>
  <r>
    <n v="355"/>
    <n v="22"/>
    <x v="10"/>
    <n v="16157428650"/>
    <s v="Zoltan Kiri"/>
    <s v="Ivana Gundulića 28"/>
    <x v="92"/>
    <d v="2020-09-28T00:00:00"/>
    <x v="119"/>
    <n v="46973378536"/>
    <s v="M-MUŠKO"/>
    <d v="2000-10-30T00:00:00"/>
    <s v="Osijek"/>
    <s v="HRVATSKO"/>
    <s v="ULICA ANTUNA BARCA 21, TENJA"/>
    <s v="NE"/>
    <s v="SSS"/>
    <m/>
    <s v="Trgovački dem. i prodavač"/>
    <s v="Trgovački dem. i prodavač"/>
    <s v="NEODREĐENO"/>
    <m/>
    <s v="PUNO"/>
    <n v="40"/>
    <s v="HR1023400093233026442"/>
    <m/>
    <m/>
    <m/>
    <m/>
    <m/>
    <s v="Osijek"/>
    <m/>
    <m/>
    <m/>
    <s v="NE"/>
    <n v="4375"/>
    <n v="1"/>
    <n v="3500"/>
    <m/>
    <m/>
    <m/>
    <m/>
    <m/>
    <m/>
    <m/>
    <m/>
    <m/>
    <m/>
    <x v="0"/>
    <n v="153"/>
  </r>
  <r>
    <n v="356"/>
    <n v="22"/>
    <x v="10"/>
    <n v="16157428650"/>
    <s v="Zoltan Kiri"/>
    <s v="Ivana Gundulića 28"/>
    <x v="231"/>
    <d v="2020-09-28T00:00:00"/>
    <x v="130"/>
    <n v="36838779456"/>
    <s v="M-MUŠKO"/>
    <d v="2000-10-22T00:00:00"/>
    <s v="Osijek"/>
    <s v="HRVATSKO"/>
    <s v="VRATNIČKA ULICA 3, OSIJEK"/>
    <s v="NE"/>
    <s v="SSS"/>
    <m/>
    <s v="Trgovački dem. i prodavač"/>
    <s v="Trgovački dem. i prodavač"/>
    <s v="NEODREĐENO"/>
    <m/>
    <s v="PUNO"/>
    <n v="40"/>
    <s v="HR2625000093206704841"/>
    <m/>
    <m/>
    <m/>
    <m/>
    <m/>
    <s v="Osijek"/>
    <m/>
    <m/>
    <m/>
    <s v="NE"/>
    <n v="4375"/>
    <n v="1"/>
    <n v="3500"/>
    <m/>
    <m/>
    <m/>
    <m/>
    <m/>
    <m/>
    <m/>
    <m/>
    <m/>
    <m/>
    <x v="0"/>
    <n v="154"/>
  </r>
  <r>
    <n v="357"/>
    <n v="26"/>
    <x v="13"/>
    <n v="95114485977"/>
    <s v="LAURA GERGELJ"/>
    <s v="SV.IVANA KRSTITELJA 15, DARDA"/>
    <x v="232"/>
    <d v="2020-10-09T00:00:00"/>
    <x v="3"/>
    <n v="81101761185"/>
    <s v="Ž-ŽENSKO"/>
    <d v="1996-06-24T00:00:00"/>
    <s v="Vinkovci"/>
    <s v="HRVATSKO"/>
    <s v="ALOJZIJA STEPINCA 32, VINKOVCI"/>
    <s v="NE"/>
    <s v="SSS"/>
    <m/>
    <s v="Knjigovođa"/>
    <s v="KNJIGOVOĐA"/>
    <s v="NEODREĐENO"/>
    <m/>
    <s v="PUNO"/>
    <n v="40"/>
    <s v="HR1423400093220088801"/>
    <m/>
    <m/>
    <m/>
    <m/>
    <m/>
    <s v="Osijek"/>
    <m/>
    <m/>
    <m/>
    <s v="NE"/>
    <n v="6300"/>
    <n v="1"/>
    <n v="4000"/>
    <m/>
    <m/>
    <m/>
    <m/>
    <m/>
    <m/>
    <m/>
    <m/>
    <m/>
    <m/>
    <x v="1"/>
    <n v="9"/>
  </r>
  <r>
    <n v="358"/>
    <n v="32"/>
    <x v="16"/>
    <n v="15795338441"/>
    <s v="MARTINA ZAVRŠKI"/>
    <s v="Ilirska ulica 53, Darda"/>
    <x v="184"/>
    <d v="2020-10-09T00:00:00"/>
    <x v="3"/>
    <n v="47650763217"/>
    <s v="Ž-ŽENSKO"/>
    <d v="1997-02-03T00:00:00"/>
    <s v="Osijek"/>
    <s v="HRVATSKO"/>
    <s v="ILIRSKA ULICA 53, DARDA"/>
    <s v="NE"/>
    <s v="SSS"/>
    <m/>
    <s v="Poslovođa"/>
    <s v="Poslovođa"/>
    <s v="NEODREĐENO"/>
    <m/>
    <s v="PUNO"/>
    <n v="40"/>
    <s v="HR2023400093230325491"/>
    <m/>
    <m/>
    <m/>
    <m/>
    <m/>
    <s v="Osijek"/>
    <m/>
    <m/>
    <m/>
    <s v="NE"/>
    <n v="5682.3"/>
    <n v="1"/>
    <n v="4408.29"/>
    <m/>
    <m/>
    <m/>
    <m/>
    <m/>
    <m/>
    <m/>
    <m/>
    <m/>
    <m/>
    <x v="1"/>
    <m/>
  </r>
  <r>
    <n v="359"/>
    <n v="22"/>
    <x v="10"/>
    <n v="16157428650"/>
    <s v="Zoltan Kiri"/>
    <s v="Ivana Gundulića 28"/>
    <x v="114"/>
    <d v="2020-10-05T00:00:00"/>
    <x v="131"/>
    <n v="87058584186"/>
    <s v="Ž-ŽENSKO"/>
    <d v="1998-11-02T00:00:00"/>
    <s v="Osijek"/>
    <s v="HRVATSKO"/>
    <s v="ULICA VATROSLAVA LISINSKOG 19, VIŠNJEVAC"/>
    <s v="NE"/>
    <s v="SSS"/>
    <m/>
    <s v="Telefonist-operater u call c."/>
    <s v="Telefonist-operater u call c."/>
    <s v="ODREĐENO"/>
    <m/>
    <s v="PUNO"/>
    <n v="40"/>
    <s v="HR8523400093231527121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55"/>
  </r>
  <r>
    <n v="360"/>
    <n v="22"/>
    <x v="10"/>
    <n v="16157428650"/>
    <s v="Zoltan Kiri"/>
    <s v="Ivana Gundulića 28"/>
    <x v="233"/>
    <d v="2020-10-06T00:00:00"/>
    <x v="102"/>
    <n v="38592709269"/>
    <s v="Ž-ŽENSKO"/>
    <d v="1983-08-28T00:00:00"/>
    <s v="Osijek"/>
    <s v="HRVATSKO"/>
    <s v="KRALJA ZVONIMIRA 77, BELI MANASTIR"/>
    <s v="NE"/>
    <s v="SSS"/>
    <m/>
    <s v="Telefonist-operater u call c."/>
    <s v="Telefonist-operater u call c."/>
    <s v="ODREĐENO"/>
    <m/>
    <s v="PUNO"/>
    <n v="40"/>
    <s v="HR7823400093218728000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97"/>
  </r>
  <r>
    <n v="361"/>
    <n v="22"/>
    <x v="10"/>
    <n v="16157428650"/>
    <s v="Zoltan Kiri"/>
    <s v="Ivana Gundulića 28"/>
    <x v="234"/>
    <d v="2020-10-06T00:00:00"/>
    <x v="102"/>
    <n v="20919860131"/>
    <s v="Ž-ŽENSKO"/>
    <d v="1996-08-02T00:00:00"/>
    <s v="Osijek"/>
    <s v="HRVATSKO"/>
    <s v="ŠKOLSKA 12, PETLOVAC"/>
    <s v="NE"/>
    <s v="SSS"/>
    <m/>
    <s v="Telefonist-operater u call c."/>
    <s v="Telefonist-operater u call c."/>
    <s v="ODREĐENO"/>
    <m/>
    <s v="PUNO"/>
    <n v="40"/>
    <s v="HR9723400093230922595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98"/>
  </r>
  <r>
    <n v="362"/>
    <n v="22"/>
    <x v="10"/>
    <n v="16157428650"/>
    <s v="Zoltan Kiri"/>
    <s v="Ivana Gundulića 28"/>
    <x v="235"/>
    <d v="2020-10-09T00:00:00"/>
    <x v="45"/>
    <n v="10509169768"/>
    <s v="Ž-ŽENSKO"/>
    <d v="1989-11-14T00:00:00"/>
    <s v="PARAČIN"/>
    <s v="SRPSKO"/>
    <s v="UL. SV. MARTINA 8, BELI MANASTIR"/>
    <s v="DA"/>
    <s v="SSS"/>
    <m/>
    <s v="PRODAVAČ"/>
    <s v="PRODAVAČ"/>
    <s v="ODREĐENO"/>
    <m/>
    <s v="PUNO"/>
    <n v="40"/>
    <s v="HR2923400093234709438"/>
    <m/>
    <m/>
    <m/>
    <m/>
    <m/>
    <s v="Osijek"/>
    <m/>
    <m/>
    <m/>
    <s v="NE"/>
    <n v="4375"/>
    <n v="1"/>
    <n v="3500"/>
    <m/>
    <m/>
    <m/>
    <m/>
    <m/>
    <m/>
    <m/>
    <m/>
    <m/>
    <m/>
    <x v="1"/>
    <n v="191"/>
  </r>
  <r>
    <n v="363"/>
    <n v="22"/>
    <x v="10"/>
    <n v="16157428650"/>
    <s v="Zoltan Kiri"/>
    <s v="Ivana Gundulića 28"/>
    <x v="236"/>
    <d v="2020-10-09T00:00:00"/>
    <x v="132"/>
    <n v="14887279696"/>
    <s v="M-MUŠKO"/>
    <d v="1988-08-04T00:00:00"/>
    <s v="KIKINDA"/>
    <s v="SRPSKO"/>
    <s v="UL. SV. MARTINA 8, BELI MANASTIR"/>
    <s v="DA"/>
    <s v="SSS"/>
    <m/>
    <s v="PRODAVAČ"/>
    <s v="PRODAVAČ"/>
    <s v="ODREĐENO"/>
    <m/>
    <s v="PUNO"/>
    <n v="40"/>
    <s v="HR6423400093234709487"/>
    <m/>
    <m/>
    <m/>
    <m/>
    <m/>
    <s v="Osijek"/>
    <m/>
    <m/>
    <m/>
    <s v="NE"/>
    <n v="4375"/>
    <n v="1"/>
    <n v="3500"/>
    <m/>
    <m/>
    <m/>
    <m/>
    <m/>
    <m/>
    <m/>
    <m/>
    <m/>
    <m/>
    <x v="1"/>
    <n v="193"/>
  </r>
  <r>
    <n v="364"/>
    <n v="32"/>
    <x v="16"/>
    <n v="15795338441"/>
    <s v="MARTINA ZAVRŠKI"/>
    <s v="Ilirska ulica 53, Darda"/>
    <x v="193"/>
    <d v="2020-10-16T00:00:00"/>
    <x v="3"/>
    <n v="15740614143"/>
    <s v="Ž-ŽENSKO"/>
    <d v="2001-03-12T00:00:00"/>
    <s v="Osijek"/>
    <s v="HRVATSKO"/>
    <s v="Osječka 136, Josipovac"/>
    <s v="NE"/>
    <s v="SSS"/>
    <m/>
    <s v="KONOBAR"/>
    <s v="KONOBAR"/>
    <s v="NEODREĐENO"/>
    <d v="2020-10-31T00:00:00"/>
    <s v="PUNO"/>
    <n v="40"/>
    <s v="HR5323600003248624379"/>
    <m/>
    <m/>
    <m/>
    <m/>
    <m/>
    <s v="Osijek"/>
    <m/>
    <m/>
    <m/>
    <s v="NE"/>
    <n v="4062.51"/>
    <n v="1"/>
    <n v="3250"/>
    <m/>
    <m/>
    <m/>
    <m/>
    <m/>
    <m/>
    <m/>
    <m/>
    <m/>
    <m/>
    <x v="1"/>
    <m/>
  </r>
  <r>
    <n v="365"/>
    <n v="22"/>
    <x v="10"/>
    <n v="16157428650"/>
    <s v="Zoltan Kiri"/>
    <s v="Ivana Gundulića 28"/>
    <x v="12"/>
    <d v="2020-10-12T00:00:00"/>
    <x v="56"/>
    <n v="20112988151"/>
    <s v="Ž-ŽENSKO"/>
    <d v="1980-09-14T00:00:00"/>
    <s v="Travnik, BIH"/>
    <s v="HRVATSKO"/>
    <s v="Luke Botić 26, Tenja"/>
    <s v="NE"/>
    <s v="SSS"/>
    <m/>
    <s v="Telefonist-operater u call c."/>
    <s v="Telefonist-operater u call c."/>
    <s v="ODREĐENO"/>
    <m/>
    <s v="PUNO"/>
    <n v="40"/>
    <s v="HR3023400093218531760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95"/>
  </r>
  <r>
    <n v="366"/>
    <n v="26"/>
    <x v="13"/>
    <n v="95114485977"/>
    <s v="LAURA GERGELJ"/>
    <s v="SV.IVANA KRSTITELJA 15, DARDA"/>
    <x v="181"/>
    <d v="2020-10-21T00:00:00"/>
    <x v="3"/>
    <n v="10547537081"/>
    <s v="M-MUŠKO"/>
    <d v="2000-09-21T00:00:00"/>
    <s v="Osijek"/>
    <s v="HRVATSKO"/>
    <s v="ILIRSKA ULICA 49, DARDA"/>
    <s v="NE"/>
    <s v="SSS"/>
    <m/>
    <s v="EKONOMIST"/>
    <s v="KNJIGOVOĐA"/>
    <s v="NEODREĐENO"/>
    <m/>
    <s v="PUNO"/>
    <n v="40"/>
    <s v="HR1823400093233872623"/>
    <m/>
    <m/>
    <m/>
    <m/>
    <m/>
    <s v="Osijek"/>
    <m/>
    <m/>
    <m/>
    <s v="NE"/>
    <n v="6300"/>
    <n v="1"/>
    <n v="4622.34"/>
    <m/>
    <m/>
    <m/>
    <m/>
    <m/>
    <m/>
    <m/>
    <m/>
    <m/>
    <m/>
    <x v="1"/>
    <n v="10"/>
  </r>
  <r>
    <n v="367"/>
    <n v="22"/>
    <x v="10"/>
    <n v="16157428650"/>
    <s v="Zoltan Kiri"/>
    <s v="Ivana Gundulića 28"/>
    <x v="237"/>
    <s v="15.10.2020"/>
    <x v="102"/>
    <n v="72967372303"/>
    <s v="Ž-ŽENSKO"/>
    <s v="19.12.1990"/>
    <s v="OSIJEK"/>
    <s v="HRVATSKO"/>
    <s v="MATIJE GUPCA 7, LUČ, PETLOVAC"/>
    <s v="NE"/>
    <s v="SSS"/>
    <m/>
    <s v="Telefonist-operater u call c."/>
    <s v="Telefonist-operater u call c."/>
    <s v="ODREĐENO"/>
    <m/>
    <s v="PUNO"/>
    <n v="40"/>
    <s v="HR1123400093213162473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96"/>
  </r>
  <r>
    <n v="368"/>
    <n v="24"/>
    <x v="11"/>
    <n v="19941838505"/>
    <s v="GABOR ISTVAN JENEI"/>
    <s v="Šetalište Petra Preradovića 5, 31000 Osijek"/>
    <x v="238"/>
    <d v="2020-11-01T00:00:00"/>
    <x v="3"/>
    <n v="65686172815"/>
    <s v="M-MUŠKO"/>
    <d v="1987-07-25T00:00:00"/>
    <s v="PÉCS"/>
    <s v="MAĐARSKO"/>
    <s v="EGYENLŐSÉG UTCA 42/2"/>
    <m/>
    <s v="VSS"/>
    <m/>
    <m/>
    <s v="POSLOVODJA"/>
    <s v="NEODREĐENO"/>
    <m/>
    <s v="PUNO"/>
    <n v="40"/>
    <s v="?"/>
    <m/>
    <m/>
    <m/>
    <m/>
    <m/>
    <s v="Osijek"/>
    <m/>
    <m/>
    <m/>
    <s v="NE"/>
    <n v="5491.2"/>
    <n v="1"/>
    <m/>
    <m/>
    <m/>
    <m/>
    <m/>
    <m/>
    <m/>
    <m/>
    <m/>
    <m/>
    <m/>
    <x v="1"/>
    <n v="2"/>
  </r>
  <r>
    <n v="369"/>
    <n v="22"/>
    <x v="10"/>
    <n v="16157428650"/>
    <s v="Zoltan Kiri"/>
    <s v="Ivana Gundulića 28"/>
    <x v="239"/>
    <d v="2020-11-01T00:00:00"/>
    <x v="43"/>
    <n v="16238851829"/>
    <s v="M-MUŠKO"/>
    <d v="1966-01-18T00:00:00"/>
    <s v="OSIJEK"/>
    <s v="HRVATSKO"/>
    <s v="BRANKA RADIČEVIĆA 3"/>
    <s v="NE"/>
    <s v="SSS"/>
    <m/>
    <s v="Stručnjak zaštite na radu"/>
    <s v="Stručnjak zaštite na radu"/>
    <s v="NEODREĐENO"/>
    <m/>
    <s v="DOPUNSKO"/>
    <n v="2"/>
    <s v="HR9625000093221321675"/>
    <m/>
    <m/>
    <m/>
    <m/>
    <m/>
    <s v="Osijek"/>
    <m/>
    <m/>
    <m/>
    <s v="NE"/>
    <n v="514.54"/>
    <n v="1"/>
    <n v="300"/>
    <m/>
    <m/>
    <m/>
    <m/>
    <m/>
    <m/>
    <m/>
    <m/>
    <m/>
    <m/>
    <x v="1"/>
    <n v="197"/>
  </r>
  <r>
    <n v="370"/>
    <n v="22"/>
    <x v="10"/>
    <n v="16157428650"/>
    <s v="Zoltan Kiri"/>
    <s v="Ivana Gundulića 28"/>
    <x v="240"/>
    <d v="2020-11-02T00:00:00"/>
    <x v="102"/>
    <n v="40826379926"/>
    <s v="Ž-ŽENSKO"/>
    <d v="1968-12-16T00:00:00"/>
    <s v="OSIJEK"/>
    <s v="HRVATSKO"/>
    <s v="PODRAVSKA 2, OSIJEK"/>
    <s v="NE"/>
    <s v="SSS"/>
    <m/>
    <s v="Telefonist-operater u call c."/>
    <s v="Telefonist-operater u call c."/>
    <s v="ODREĐENO"/>
    <m/>
    <s v="PUNO"/>
    <n v="40"/>
    <s v="HR9823600003239272381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98"/>
  </r>
  <r>
    <n v="371"/>
    <n v="22"/>
    <x v="10"/>
    <n v="16157428650"/>
    <s v="Zoltan Kiri"/>
    <s v="Ivana Gundulića 28"/>
    <x v="241"/>
    <d v="2020-11-03T00:00:00"/>
    <x v="102"/>
    <n v="73342525134"/>
    <s v="Ž-ŽENSKO"/>
    <d v="1974-01-28T00:00:00"/>
    <s v="OSIJEK"/>
    <s v="HRVATSKO"/>
    <s v="VLADIMIRA NAZORA 77, LUČ"/>
    <s v="NE"/>
    <s v="SSS"/>
    <m/>
    <s v="Telefonist-operater u call c."/>
    <s v="Telefonist-operater u call c."/>
    <s v="ODREĐENO"/>
    <m/>
    <s v="PUNO"/>
    <n v="40"/>
    <s v="HR1025000093220721435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99"/>
  </r>
  <r>
    <n v="372"/>
    <n v="22"/>
    <x v="10"/>
    <n v="16157428650"/>
    <s v="Zoltan Kiri"/>
    <s v="Ivana Gundulića 28"/>
    <x v="242"/>
    <d v="2020-11-03T00:00:00"/>
    <x v="133"/>
    <n v="64018450877"/>
    <s v="Ž-ŽENSKO"/>
    <d v="1977-01-15T00:00:00"/>
    <s v="Osijek"/>
    <s v="HRVATSKO"/>
    <s v="SJENJAK 13, OSIJEK"/>
    <s v="NE"/>
    <s v="VSS"/>
    <m/>
    <s v="Telefonist-operater u call c."/>
    <s v="Telefonist-operater u call c."/>
    <s v="ODREĐENO"/>
    <m/>
    <s v="PUNO"/>
    <n v="40"/>
    <s v="HR2123600003234506411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200"/>
  </r>
  <r>
    <n v="373"/>
    <n v="35"/>
    <x v="19"/>
    <s v="06914228422"/>
    <s v="Valentin Varga"/>
    <s v="Ivana Gundulića 28"/>
    <x v="243"/>
    <d v="2020-09-01T00:00:00"/>
    <x v="3"/>
    <n v="22999527740"/>
    <s v="M-MUŠKO"/>
    <d v="1999-10-06T00:00:00"/>
    <s v="OSIJEK"/>
    <s v="HRVATSKO"/>
    <s v="HRVATSKE VOJSKE 8, BILJE"/>
    <s v="NE"/>
    <s v="SSS"/>
    <m/>
    <s v="DIREKTOR"/>
    <s v="DIREKTOR"/>
    <s v="NEODREĐENO"/>
    <m/>
    <s v="PUNO"/>
    <n v="40"/>
    <s v="HR0423400093233917010"/>
    <m/>
    <m/>
    <m/>
    <m/>
    <m/>
    <s v="Osijek"/>
    <m/>
    <m/>
    <m/>
    <s v="NE"/>
    <n v="5491.2"/>
    <n v="1"/>
    <n v="4408.29"/>
    <m/>
    <m/>
    <m/>
    <m/>
    <m/>
    <m/>
    <m/>
    <m/>
    <m/>
    <m/>
    <x v="1"/>
    <n v="1"/>
  </r>
  <r>
    <n v="374"/>
    <n v="22"/>
    <x v="10"/>
    <n v="16157428650"/>
    <s v="Zoltan Kiri"/>
    <s v="Ivana Gundulića 28"/>
    <x v="244"/>
    <d v="2020-11-04T00:00:00"/>
    <x v="102"/>
    <n v="81001608709"/>
    <s v="Ž-ŽENSKO"/>
    <d v="1992-04-02T00:00:00"/>
    <s v="OSIJEK"/>
    <s v="HRVATSKO"/>
    <s v="JOSIPA PANČIĆA 39, BELI MANASTIR"/>
    <s v="NE"/>
    <s v="SSS"/>
    <m/>
    <s v="Telefonist-operater u call c."/>
    <s v="Telefonist-operater u call c."/>
    <s v="ODREĐENO"/>
    <m/>
    <s v="PUNO"/>
    <n v="40"/>
    <s v="HR3823900013221234842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201"/>
  </r>
  <r>
    <n v="375"/>
    <n v="22"/>
    <x v="10"/>
    <n v="16157428650"/>
    <s v="Zoltan Kiri"/>
    <s v="Ivana Gundulića 28"/>
    <x v="245"/>
    <d v="2019-01-01T00:00:00"/>
    <x v="43"/>
    <s v="04017099391"/>
    <s v="Ž-ŽENSKO"/>
    <d v="1997-10-19T00:00:00"/>
    <s v="Osijek"/>
    <s v="HRVATSKO"/>
    <s v="Eugena Kvaternika 3, Valpovo"/>
    <s v="NE"/>
    <s v="SSS"/>
    <m/>
    <s v="Telefonist-operater u call c."/>
    <s v="Telefonist-operater u call c."/>
    <s v="NEODREĐENO"/>
    <m/>
    <s v="PUNO"/>
    <n v="40"/>
    <m/>
    <m/>
    <m/>
    <m/>
    <m/>
    <m/>
    <s v="Valpovo"/>
    <m/>
    <m/>
    <m/>
    <s v="NE"/>
    <n v="4062.51"/>
    <n v="1"/>
    <n v="3250"/>
    <m/>
    <m/>
    <m/>
    <m/>
    <m/>
    <m/>
    <m/>
    <m/>
    <m/>
    <m/>
    <x v="1"/>
    <n v="169"/>
  </r>
  <r>
    <n v="376"/>
    <n v="36"/>
    <x v="20"/>
    <n v="45575918003"/>
    <s v="Balázs Kulcsár"/>
    <s v="Ribarska 10"/>
    <x v="246"/>
    <d v="2021-01-01T00:00:00"/>
    <x v="3"/>
    <n v="73717195719"/>
    <s v="Ž-ŽENSKO"/>
    <d v="1985-08-23T00:00:00"/>
    <s v="Osijek"/>
    <s v="HRVATSKO"/>
    <s v="ZLATNA 18,ALJMAŠ"/>
    <s v="NE"/>
    <s v="VSS"/>
    <m/>
    <s v="ADMINISTRATOR"/>
    <s v="ADMINISTRATOR"/>
    <s v="NEODREĐENO"/>
    <m/>
    <s v="PUNO"/>
    <n v="40"/>
    <s v="HR83 24840083235724467"/>
    <m/>
    <m/>
    <m/>
    <m/>
    <m/>
    <s v="Osijek"/>
    <m/>
    <m/>
    <m/>
    <s v="NE"/>
    <n v="5084.22"/>
    <n v="1"/>
    <n v="4000"/>
    <n v="275"/>
    <m/>
    <m/>
    <m/>
    <m/>
    <m/>
    <m/>
    <m/>
    <m/>
    <m/>
    <x v="1"/>
    <n v="1"/>
  </r>
  <r>
    <n v="377"/>
    <n v="36"/>
    <x v="20"/>
    <n v="45575918003"/>
    <s v="Balázs Kulcsár"/>
    <s v="Ribarska 10"/>
    <x v="43"/>
    <d v="2021-01-01T00:00:00"/>
    <x v="3"/>
    <n v="16260284290"/>
    <s v="Ž-ŽENSKO"/>
    <d v="1978-06-18T00:00:00"/>
    <s v="Osijek"/>
    <s v="HRVATSKO"/>
    <s v="Šandora Petefija 116, Osijek"/>
    <s v="NE"/>
    <s v="SSS"/>
    <m/>
    <s v="Voditelj call centra"/>
    <s v="Voditelj call centra"/>
    <s v="NEODREĐENO"/>
    <m/>
    <s v="PUNO"/>
    <n v="40"/>
    <s v="HR90 23900013220829125"/>
    <m/>
    <m/>
    <m/>
    <m/>
    <m/>
    <s v="Osijek"/>
    <m/>
    <m/>
    <m/>
    <s v="NE"/>
    <n v="5875"/>
    <n v="1"/>
    <n v="4700"/>
    <n v="275"/>
    <m/>
    <m/>
    <m/>
    <m/>
    <m/>
    <m/>
    <m/>
    <m/>
    <m/>
    <x v="1"/>
    <n v="2"/>
  </r>
  <r>
    <n v="378"/>
    <n v="36"/>
    <x v="20"/>
    <n v="45575918003"/>
    <s v="Balázs Kulcsár"/>
    <s v="Ribarska 10"/>
    <x v="32"/>
    <d v="2021-01-01T00:00:00"/>
    <x v="3"/>
    <n v="16065838903"/>
    <s v="Ž-ŽENSKO"/>
    <d v="1982-09-22T00:00:00"/>
    <s v="Osijek"/>
    <s v="HRVATSKO"/>
    <s v="Martina Divalta 168,Osijek"/>
    <s v="NE"/>
    <s v="SSS"/>
    <m/>
    <s v="ADMINISTRATOR"/>
    <s v="ADMINISTRATOR"/>
    <s v="NEODREĐENO"/>
    <m/>
    <s v="PUNO"/>
    <n v="40"/>
    <s v="HR79 23400093219299118 "/>
    <m/>
    <m/>
    <m/>
    <m/>
    <m/>
    <s v="Osijek"/>
    <m/>
    <m/>
    <m/>
    <s v="NE"/>
    <n v="5875"/>
    <n v="1"/>
    <n v="4700"/>
    <n v="275"/>
    <m/>
    <m/>
    <m/>
    <m/>
    <m/>
    <m/>
    <m/>
    <m/>
    <m/>
    <x v="1"/>
    <n v="3"/>
  </r>
  <r>
    <n v="379"/>
    <n v="36"/>
    <x v="20"/>
    <n v="45575918003"/>
    <s v="Balázs Kulcsár"/>
    <s v="Ribarska 10"/>
    <x v="35"/>
    <d v="2021-01-04T00:00:00"/>
    <x v="3"/>
    <n v="68121059947"/>
    <s v="Ž-ŽENSKO"/>
    <d v="1964-08-23T00:00:00"/>
    <s v="Osijek"/>
    <s v="HRVATSKO"/>
    <s v="Mlinska 100, Osijek"/>
    <s v="NE"/>
    <s v="SSS"/>
    <m/>
    <s v="Telefonist-operater u call c."/>
    <s v="Telefonist-operater u call c."/>
    <s v="NEODREĐENO"/>
    <m/>
    <s v="PUNO"/>
    <n v="40"/>
    <s v="HR64 23400093205095678 "/>
    <m/>
    <m/>
    <m/>
    <m/>
    <m/>
    <s v="Osijek"/>
    <m/>
    <m/>
    <m/>
    <s v="NE"/>
    <n v="4250"/>
    <n v="1"/>
    <n v="3400"/>
    <m/>
    <m/>
    <m/>
    <m/>
    <m/>
    <m/>
    <m/>
    <m/>
    <m/>
    <m/>
    <x v="1"/>
    <n v="4"/>
  </r>
  <r>
    <n v="380"/>
    <n v="36"/>
    <x v="20"/>
    <n v="45575918003"/>
    <s v="Balázs Kulcsár"/>
    <s v="Ribarska 10"/>
    <x v="105"/>
    <d v="2021-01-04T00:00:00"/>
    <x v="3"/>
    <n v="13956960436"/>
    <s v="Ž-ŽENSKO"/>
    <d v="1979-10-06T00:00:00"/>
    <s v="Osijek"/>
    <s v="HRVATSKO"/>
    <s v="PROMINSKA 68, OSIJEK"/>
    <s v="NE"/>
    <s v="SSS"/>
    <m/>
    <s v="Telefonist-operater u call c."/>
    <s v="Telefonist-operater u call c."/>
    <s v="NEODREĐENO"/>
    <m/>
    <s v="PUNO"/>
    <n v="40"/>
    <s v="HR16 23600003248158378 "/>
    <m/>
    <m/>
    <m/>
    <m/>
    <m/>
    <s v="Osijek"/>
    <m/>
    <m/>
    <m/>
    <s v="NE"/>
    <n v="4250"/>
    <n v="1"/>
    <n v="3400"/>
    <m/>
    <m/>
    <m/>
    <m/>
    <m/>
    <m/>
    <m/>
    <m/>
    <m/>
    <m/>
    <x v="1"/>
    <n v="5"/>
  </r>
  <r>
    <n v="381"/>
    <n v="36"/>
    <x v="20"/>
    <n v="45575918003"/>
    <s v="Balázs Kulcsár"/>
    <s v="Ribarska 10"/>
    <x v="33"/>
    <d v="2021-01-04T00:00:00"/>
    <x v="3"/>
    <n v="91993718714"/>
    <s v="Ž-ŽENSKO"/>
    <d v="1967-03-14T00:00:00"/>
    <s v="Granice"/>
    <s v="HRVATSKO"/>
    <s v="Josipa Kozarca 25, Višnjevac, Osijek"/>
    <s v="NE"/>
    <s v="SSS"/>
    <m/>
    <s v="Telefonist-operater u call c."/>
    <s v="Telefonist-operater u call c."/>
    <s v="NEODREĐENO"/>
    <m/>
    <s v="PUNO"/>
    <n v="40"/>
    <s v="HR67 25000093220890935 "/>
    <m/>
    <m/>
    <m/>
    <m/>
    <m/>
    <s v="Osijek"/>
    <m/>
    <m/>
    <m/>
    <s v="NE"/>
    <n v="4250"/>
    <n v="1"/>
    <n v="3400"/>
    <m/>
    <m/>
    <m/>
    <m/>
    <m/>
    <m/>
    <m/>
    <m/>
    <m/>
    <m/>
    <x v="1"/>
    <n v="6"/>
  </r>
  <r>
    <n v="382"/>
    <n v="36"/>
    <x v="20"/>
    <n v="45575918003"/>
    <s v="Balázs Kulcsár"/>
    <s v="Ribarska 10"/>
    <x v="31"/>
    <d v="2021-01-04T00:00:00"/>
    <x v="3"/>
    <n v="46651411474"/>
    <s v="Ž-ŽENSKO"/>
    <d v="1965-12-20T00:00:00"/>
    <s v="Osijek"/>
    <s v="HRVATSKO"/>
    <s v="Psunjska 93A,Osijek"/>
    <s v="NE"/>
    <s v="SSS"/>
    <m/>
    <s v="Telefonist-operater u call c."/>
    <s v="Telefonist-operater u call c."/>
    <s v="NEODREĐENO"/>
    <m/>
    <s v="PUNO"/>
    <n v="40"/>
    <s v="HR55 24840083229977236 "/>
    <m/>
    <m/>
    <m/>
    <m/>
    <m/>
    <s v="Osijek"/>
    <m/>
    <m/>
    <m/>
    <s v="NE"/>
    <n v="4250"/>
    <n v="1"/>
    <n v="3400"/>
    <m/>
    <m/>
    <m/>
    <m/>
    <m/>
    <m/>
    <m/>
    <m/>
    <m/>
    <m/>
    <x v="1"/>
    <n v="7"/>
  </r>
  <r>
    <n v="383"/>
    <n v="36"/>
    <x v="20"/>
    <n v="45575918003"/>
    <s v="Balázs Kulcsár"/>
    <s v="Ribarska 10"/>
    <x v="77"/>
    <d v="2021-01-04T00:00:00"/>
    <x v="3"/>
    <n v="21298366100"/>
    <s v="Ž-ŽENSKO"/>
    <d v="1971-09-24T00:00:00"/>
    <s v="Kneževo"/>
    <s v="HRVATSKO"/>
    <s v="J.J.Strossmayera 230 Osijek"/>
    <s v="NE"/>
    <s v="SSS"/>
    <m/>
    <s v="Telefonist-operater u call c."/>
    <s v="Telefonist-operater u call c."/>
    <s v="NEODREĐENO"/>
    <m/>
    <s v="PUNO"/>
    <n v="40"/>
    <s v="HR30 25000093205334450 "/>
    <m/>
    <m/>
    <m/>
    <m/>
    <m/>
    <s v="Osijek"/>
    <m/>
    <m/>
    <m/>
    <s v="NE"/>
    <n v="4250"/>
    <n v="1"/>
    <n v="3400"/>
    <m/>
    <m/>
    <m/>
    <m/>
    <m/>
    <m/>
    <m/>
    <m/>
    <m/>
    <m/>
    <x v="1"/>
    <n v="8"/>
  </r>
  <r>
    <n v="384"/>
    <n v="36"/>
    <x v="20"/>
    <n v="45575918003"/>
    <s v="Balázs Kulcsár"/>
    <s v="Ribarska 10"/>
    <x v="60"/>
    <d v="2021-01-04T00:00:00"/>
    <x v="3"/>
    <n v="89289096005"/>
    <s v="Ž-ŽENSKO"/>
    <d v="1973-12-22T00:00:00"/>
    <s v="Kneževo"/>
    <s v="HRVATSKO"/>
    <s v="Braće Radić 2a,Topolje"/>
    <s v="NE"/>
    <s v="SSS"/>
    <m/>
    <s v="Telefonist-operater u call c."/>
    <s v="Telefonist-operater u call c."/>
    <s v="NEODREĐENO"/>
    <m/>
    <s v="PUNO"/>
    <n v="40"/>
    <s v="HR42 24840083236784639"/>
    <m/>
    <m/>
    <m/>
    <m/>
    <m/>
    <s v="Osijek"/>
    <m/>
    <m/>
    <m/>
    <s v="NE"/>
    <n v="4250"/>
    <n v="1"/>
    <n v="3400"/>
    <m/>
    <m/>
    <m/>
    <m/>
    <m/>
    <m/>
    <m/>
    <m/>
    <m/>
    <m/>
    <x v="1"/>
    <n v="9"/>
  </r>
  <r>
    <n v="385"/>
    <n v="36"/>
    <x v="20"/>
    <n v="45575918003"/>
    <s v="Balázs Kulcsár"/>
    <s v="Ribarska 10"/>
    <x v="25"/>
    <d v="2021-01-04T00:00:00"/>
    <x v="3"/>
    <n v="22044787722"/>
    <s v="M-MUŠKO"/>
    <d v="1995-06-29T00:00:00"/>
    <s v="Sombor"/>
    <s v="HRVATSKO"/>
    <s v="Glavna 100, Podolje, Draž"/>
    <s v="NE"/>
    <s v="SSS"/>
    <m/>
    <s v="Trgovački demonstrator"/>
    <s v="Trgovački demonstrator"/>
    <s v="NEODREĐENO"/>
    <m/>
    <s v="PUNO"/>
    <n v="40"/>
    <s v="HR17 23400093230367255 "/>
    <m/>
    <m/>
    <m/>
    <m/>
    <m/>
    <s v="Osijek"/>
    <m/>
    <m/>
    <m/>
    <s v="NE"/>
    <n v="4375"/>
    <n v="1"/>
    <n v="3500"/>
    <m/>
    <m/>
    <m/>
    <m/>
    <m/>
    <m/>
    <m/>
    <m/>
    <m/>
    <m/>
    <x v="1"/>
    <n v="10"/>
  </r>
  <r>
    <n v="386"/>
    <n v="36"/>
    <x v="20"/>
    <n v="45575918003"/>
    <s v="Balázs Kulcsár"/>
    <s v="Ribarska 10"/>
    <x v="24"/>
    <d v="2021-01-04T00:00:00"/>
    <x v="3"/>
    <n v="24461973764"/>
    <s v="Ž-ŽENSKO"/>
    <d v="1992-03-22T00:00:00"/>
    <s v="Osijek"/>
    <s v="HRVATSKO"/>
    <s v="J. Pannoniousa 9, Branjin Vrh"/>
    <s v="NE"/>
    <s v="SSS"/>
    <m/>
    <s v="Trgovački demonstrator"/>
    <s v="Trgovački demonstrator"/>
    <s v="NEODREĐENO"/>
    <m/>
    <s v="PUNO"/>
    <n v="40"/>
    <s v="HR53 23900013291005896 "/>
    <m/>
    <m/>
    <m/>
    <m/>
    <m/>
    <s v="Osijek"/>
    <m/>
    <m/>
    <m/>
    <s v="NE"/>
    <n v="4375"/>
    <n v="1"/>
    <n v="3500"/>
    <m/>
    <m/>
    <m/>
    <m/>
    <m/>
    <m/>
    <m/>
    <m/>
    <m/>
    <m/>
    <x v="1"/>
    <n v="11"/>
  </r>
  <r>
    <n v="387"/>
    <n v="36"/>
    <x v="20"/>
    <n v="45575918003"/>
    <s v="Balázs Kulcsár"/>
    <s v="Ribarska 10"/>
    <x v="23"/>
    <d v="2021-01-04T00:00:00"/>
    <x v="3"/>
    <n v="92132715760"/>
    <s v="M-MUŠKO"/>
    <d v="1990-10-30T00:00:00"/>
    <s v="Osijek"/>
    <s v="HRVATSKO"/>
    <s v="ŠANDORA PETEFIJA 57,ZMAJEVAC"/>
    <s v="NE"/>
    <s v="SSS"/>
    <m/>
    <s v="Trgovački demonstrator"/>
    <s v="Trgovački demonstrator"/>
    <s v="NEODREĐENO"/>
    <m/>
    <s v="PUNO"/>
    <n v="40"/>
    <s v="HR39 23400093219252502 "/>
    <m/>
    <m/>
    <m/>
    <m/>
    <m/>
    <s v="Osijek"/>
    <m/>
    <m/>
    <m/>
    <s v="NE"/>
    <n v="4375"/>
    <n v="1"/>
    <n v="3500"/>
    <m/>
    <m/>
    <m/>
    <m/>
    <m/>
    <m/>
    <m/>
    <m/>
    <m/>
    <m/>
    <x v="1"/>
    <n v="12"/>
  </r>
  <r>
    <n v="388"/>
    <n v="36"/>
    <x v="20"/>
    <n v="45575918003"/>
    <s v="Balázs Kulcsár"/>
    <s v="Ribarska 10"/>
    <x v="64"/>
    <d v="2021-01-04T00:00:00"/>
    <x v="3"/>
    <n v="48436445080"/>
    <s v="Ž-ŽENSKO"/>
    <d v="1993-12-03T00:00:00"/>
    <s v="Osijek"/>
    <s v="HRVATSKO"/>
    <s v="VINOGRADSKA 11,BRANJIN VRH"/>
    <s v="NE"/>
    <s v="SSS"/>
    <m/>
    <s v="Trgovački demonstrator"/>
    <s v="Trgovački demonstrator"/>
    <s v="NEODREĐENO"/>
    <m/>
    <s v="PUNO"/>
    <n v="40"/>
    <s v="HR52 23400093215341422 "/>
    <m/>
    <m/>
    <m/>
    <m/>
    <m/>
    <s v="Osijek"/>
    <m/>
    <m/>
    <m/>
    <s v="NE"/>
    <n v="4375"/>
    <n v="1"/>
    <n v="3500"/>
    <m/>
    <m/>
    <m/>
    <m/>
    <m/>
    <m/>
    <m/>
    <m/>
    <m/>
    <m/>
    <x v="1"/>
    <n v="13"/>
  </r>
  <r>
    <n v="389"/>
    <n v="36"/>
    <x v="20"/>
    <n v="45575918003"/>
    <s v="Balázs Kulcsár"/>
    <s v="Ribarska 10"/>
    <x v="27"/>
    <d v="2021-01-04T00:00:00"/>
    <x v="3"/>
    <n v="25820706885"/>
    <s v="M-MUŠKO"/>
    <d v="1996-09-04T00:00:00"/>
    <s v="Osijek"/>
    <s v="HRVATSKO"/>
    <s v="Josipa Kozarca 25, Višnjevac, Osijek"/>
    <s v="NE"/>
    <s v="SSS"/>
    <m/>
    <s v="Trgovački demonstrator"/>
    <s v="Trgovački demonstrator"/>
    <s v="NEODREĐENO"/>
    <m/>
    <s v="PUNO"/>
    <n v="40"/>
    <s v="HR70 23600003243801815 "/>
    <m/>
    <m/>
    <m/>
    <m/>
    <m/>
    <s v="Osijek"/>
    <m/>
    <m/>
    <m/>
    <s v="NE"/>
    <n v="4375"/>
    <n v="1"/>
    <n v="3500"/>
    <m/>
    <m/>
    <m/>
    <m/>
    <m/>
    <m/>
    <m/>
    <m/>
    <m/>
    <m/>
    <x v="1"/>
    <n v="14"/>
  </r>
  <r>
    <n v="390"/>
    <n v="36"/>
    <x v="20"/>
    <n v="45575918003"/>
    <s v="Balázs Kulcsár"/>
    <s v="Ribarska 10"/>
    <x v="54"/>
    <d v="2021-01-04T00:00:00"/>
    <x v="3"/>
    <n v="77889524913"/>
    <s v="M-MUŠKO"/>
    <d v="1993-03-08T00:00:00"/>
    <s v="Osijek"/>
    <s v="HRVATSKO"/>
    <s v="PETEFI ŠANDORA 43, KNEŽEVI VINOGRADI"/>
    <s v="NE"/>
    <s v="SSS"/>
    <m/>
    <s v="Trgovački demonstrator"/>
    <s v="Trgovački demonstrator"/>
    <s v="NEODREĐENO"/>
    <m/>
    <s v="PUNO"/>
    <n v="40"/>
    <s v="HR93 23400093214209858 "/>
    <m/>
    <m/>
    <m/>
    <m/>
    <m/>
    <s v="Osijek"/>
    <m/>
    <m/>
    <m/>
    <s v="NE"/>
    <n v="4375"/>
    <n v="1"/>
    <n v="3500"/>
    <m/>
    <m/>
    <m/>
    <m/>
    <m/>
    <m/>
    <m/>
    <m/>
    <m/>
    <m/>
    <x v="1"/>
    <n v="15"/>
  </r>
  <r>
    <n v="391"/>
    <n v="36"/>
    <x v="20"/>
    <n v="45575918003"/>
    <s v="Balázs Kulcsár"/>
    <s v="Ribarska 10"/>
    <x v="110"/>
    <d v="2021-01-04T00:00:00"/>
    <x v="134"/>
    <n v="56588131100"/>
    <s v="Ž-ŽENSKO"/>
    <d v="2000-01-27T00:00:00"/>
    <s v="Osijek"/>
    <s v="HRVATSKO"/>
    <s v="UL.MATIJE VLAČIĆA 24, TENJA"/>
    <s v="NE"/>
    <s v="SSS"/>
    <m/>
    <s v="Trgovački demonstrator"/>
    <s v="Trgovački demonstrator"/>
    <s v="NEODREĐENO"/>
    <m/>
    <s v="PUNO"/>
    <n v="40"/>
    <s v="HR39 23600003247347141 "/>
    <m/>
    <m/>
    <m/>
    <m/>
    <m/>
    <s v="Osijek"/>
    <m/>
    <m/>
    <m/>
    <s v="NE"/>
    <n v="4375"/>
    <n v="1"/>
    <n v="3500"/>
    <m/>
    <m/>
    <m/>
    <m/>
    <m/>
    <m/>
    <m/>
    <m/>
    <m/>
    <m/>
    <x v="0"/>
    <n v="16"/>
  </r>
  <r>
    <n v="392"/>
    <n v="36"/>
    <x v="20"/>
    <n v="45575918003"/>
    <s v="Balázs Kulcsár"/>
    <s v="Ribarska 10"/>
    <x v="44"/>
    <d v="2021-01-13T00:00:00"/>
    <x v="3"/>
    <s v="02808842683"/>
    <s v="Ž-ŽENSKO"/>
    <d v="1957-05-14T00:00:00"/>
    <s v="Vinkovci"/>
    <s v="HRVATSKO"/>
    <s v="Kralja Tomislava 6 c, Višnjeva"/>
    <s v="NE"/>
    <s v="SSS"/>
    <m/>
    <s v="Telefonist-operater u call c."/>
    <s v="Telefonist-operater u call c."/>
    <s v="NEODREĐENO"/>
    <m/>
    <s v="PUNO"/>
    <n v="40"/>
    <s v="HR77 24020063206518524"/>
    <m/>
    <m/>
    <m/>
    <m/>
    <m/>
    <s v="Osijek"/>
    <m/>
    <m/>
    <m/>
    <s v="NE"/>
    <n v="4250"/>
    <n v="1"/>
    <n v="3400"/>
    <m/>
    <m/>
    <m/>
    <m/>
    <m/>
    <m/>
    <m/>
    <m/>
    <m/>
    <m/>
    <x v="1"/>
    <n v="17"/>
  </r>
  <r>
    <n v="393"/>
    <n v="36"/>
    <x v="20"/>
    <n v="45575918003"/>
    <s v="Balázs Kulcsár"/>
    <s v="Ribarska 10"/>
    <x v="30"/>
    <d v="2021-01-19T00:00:00"/>
    <x v="3"/>
    <n v="951235574"/>
    <s v="Ž-ŽENSKO"/>
    <d v="1970-07-27T00:00:00"/>
    <s v="Osijek"/>
    <s v="HRVATSKO"/>
    <s v="Vijenac Petrove Gore 13"/>
    <s v="NE"/>
    <s v="SSS"/>
    <m/>
    <s v="Telefonist-operater u call c."/>
    <s v="Telefonist-operater u call c."/>
    <s v="NEODREĐENO"/>
    <m/>
    <s v="PUNO"/>
    <n v="40"/>
    <s v="HR6125000093206606047"/>
    <m/>
    <m/>
    <m/>
    <m/>
    <m/>
    <s v="Osijek"/>
    <m/>
    <m/>
    <m/>
    <s v="NE"/>
    <n v="4250"/>
    <n v="1.7"/>
    <n v="3400"/>
    <m/>
    <m/>
    <m/>
    <m/>
    <m/>
    <m/>
    <m/>
    <m/>
    <m/>
    <n v="0"/>
    <x v="1"/>
    <n v="18"/>
  </r>
  <r>
    <n v="394"/>
    <n v="36"/>
    <x v="20"/>
    <n v="45575918003"/>
    <s v="Balázs Kulcsár"/>
    <s v="Ribarska 10"/>
    <x v="99"/>
    <d v="2021-01-19T00:00:00"/>
    <x v="3"/>
    <n v="20968805238"/>
    <s v="Ž-ŽENSKO"/>
    <d v="1981-01-18T00:00:00"/>
    <s v="Osijek"/>
    <s v="HRVATSKO"/>
    <s v="ZMAJ JOVE JOVANOVIĆA 10,31000 OSIJEK"/>
    <s v="NE"/>
    <s v="SSS"/>
    <m/>
    <s v="Telefonist-operater u call c."/>
    <s v="Telefonist-operater u call c."/>
    <s v="NEODREĐENO"/>
    <m/>
    <s v="PUNO"/>
    <n v="40"/>
    <s v="HR14 2360 0003 2183 0443 3"/>
    <m/>
    <m/>
    <m/>
    <m/>
    <m/>
    <s v="Osijek"/>
    <m/>
    <m/>
    <m/>
    <s v="NE"/>
    <n v="4250"/>
    <n v="1"/>
    <n v="3400"/>
    <m/>
    <m/>
    <m/>
    <m/>
    <m/>
    <m/>
    <m/>
    <m/>
    <m/>
    <m/>
    <x v="1"/>
    <n v="19"/>
  </r>
  <r>
    <n v="395"/>
    <n v="36"/>
    <x v="20"/>
    <n v="45575918003"/>
    <s v="Balázs Kulcsár"/>
    <s v="Ribarska 10"/>
    <x v="47"/>
    <d v="2021-01-20T00:00:00"/>
    <x v="3"/>
    <s v="05826363901"/>
    <s v="Ž-ŽENSKO"/>
    <d v="1960-03-07T00:00:00"/>
    <s v="OSIJEK"/>
    <s v="HRVATSKO"/>
    <s v="Dr. Franje Tuđmana 14, Beli Manastir"/>
    <s v="NE"/>
    <s v="SSS"/>
    <m/>
    <s v="Telefonist-operater u call c."/>
    <s v="Telefonist-operater u call c."/>
    <s v="NEODREĐENO"/>
    <m/>
    <s v="PUNO"/>
    <n v="40"/>
    <s v="HR4025000091102013430, HR8923900013505956472"/>
    <m/>
    <m/>
    <m/>
    <m/>
    <m/>
    <s v="Osijek"/>
    <m/>
    <m/>
    <m/>
    <s v="NE"/>
    <n v="4250"/>
    <n v="1"/>
    <n v="3400"/>
    <m/>
    <m/>
    <m/>
    <m/>
    <m/>
    <m/>
    <m/>
    <m/>
    <m/>
    <m/>
    <x v="1"/>
    <n v="20"/>
  </r>
  <r>
    <n v="396"/>
    <n v="36"/>
    <x v="20"/>
    <n v="45575918003"/>
    <s v="Balázs Kulcsár"/>
    <s v="Ribarska 10"/>
    <x v="37"/>
    <d v="2021-01-20T00:00:00"/>
    <x v="135"/>
    <n v="35395242811"/>
    <s v="Ž-ŽENSKO"/>
    <d v="1977-10-06T00:00:00"/>
    <s v="Osijek"/>
    <s v="HRVATSKO"/>
    <s v="J.J. Strossmayera 82, Osijek"/>
    <s v="NE"/>
    <s v="SSS"/>
    <m/>
    <s v="Telefonist-operater u call c."/>
    <s v="Telefonist-operater u call c."/>
    <s v="NEODREĐENO"/>
    <m/>
    <s v="PUNO"/>
    <n v="40"/>
    <s v="HR6124020063203447404, HR2324020063580284358"/>
    <m/>
    <m/>
    <m/>
    <m/>
    <m/>
    <s v="Osijek"/>
    <m/>
    <m/>
    <m/>
    <s v="NE"/>
    <n v="4250"/>
    <n v="1"/>
    <n v="3400"/>
    <m/>
    <m/>
    <m/>
    <m/>
    <m/>
    <m/>
    <m/>
    <m/>
    <m/>
    <m/>
    <x v="0"/>
    <n v="21"/>
  </r>
  <r>
    <n v="397"/>
    <n v="36"/>
    <x v="20"/>
    <n v="45575918003"/>
    <s v="Balázs Kulcsár"/>
    <s v="Ribarska 10"/>
    <x v="247"/>
    <d v="2021-01-20T00:00:00"/>
    <x v="136"/>
    <n v="35070183473"/>
    <s v="Ž-ŽENSKO"/>
    <d v="1985-02-22T00:00:00"/>
    <s v="Osijek"/>
    <s v="HRVATSKO"/>
    <s v="Vlašička 5, Osijek"/>
    <s v="NE"/>
    <s v="SSS"/>
    <m/>
    <s v="Telefonist-operater u call c."/>
    <s v="Telefonist-operater u call c."/>
    <s v="NEODREĐENO"/>
    <m/>
    <s v="PUNO"/>
    <n v="40"/>
    <s v="HR6323400093232278685"/>
    <m/>
    <m/>
    <m/>
    <m/>
    <m/>
    <s v="Osijek"/>
    <m/>
    <m/>
    <m/>
    <s v="NE"/>
    <n v="4250"/>
    <n v="1"/>
    <n v="3400"/>
    <m/>
    <m/>
    <m/>
    <m/>
    <m/>
    <m/>
    <m/>
    <m/>
    <m/>
    <m/>
    <x v="0"/>
    <n v="22"/>
  </r>
  <r>
    <n v="398"/>
    <n v="36"/>
    <x v="20"/>
    <n v="45575918003"/>
    <s v="Balázs Kulcsár"/>
    <s v="Ribarska 10"/>
    <x v="248"/>
    <d v="2021-01-20T00:00:00"/>
    <x v="3"/>
    <s v="04320772518"/>
    <s v="Ž-ŽENSKO"/>
    <d v="1959-09-21T00:00:00"/>
    <s v="Osijek"/>
    <s v="HRVATSKO"/>
    <s v="Dunavska 5, Osijek"/>
    <s v="NE"/>
    <s v="SSS"/>
    <m/>
    <s v="Telefonist-operater u call c."/>
    <s v="Telefonist-operater u call c."/>
    <s v="NEODREĐENO"/>
    <m/>
    <s v="PUNO"/>
    <n v="40"/>
    <s v="HR9825000093221297389"/>
    <m/>
    <m/>
    <m/>
    <m/>
    <m/>
    <s v="Osijek"/>
    <m/>
    <m/>
    <m/>
    <s v="NE"/>
    <n v="4250"/>
    <n v="1"/>
    <n v="3400"/>
    <m/>
    <m/>
    <m/>
    <m/>
    <m/>
    <m/>
    <m/>
    <m/>
    <m/>
    <m/>
    <x v="1"/>
    <n v="23"/>
  </r>
  <r>
    <n v="399"/>
    <n v="36"/>
    <x v="20"/>
    <n v="45575918003"/>
    <s v="Balázs Kulcsár"/>
    <s v="Ribarska 10"/>
    <x v="108"/>
    <d v="2021-01-25T00:00:00"/>
    <x v="137"/>
    <n v="72094958860"/>
    <s v="Ž-ŽENSKO"/>
    <d v="1996-03-13T00:00:00"/>
    <s v="Višnjevac"/>
    <s v="HRVATSKO"/>
    <s v="IVANA MAŽURANIĆA 28, VIŠNJEVAC"/>
    <s v="NE"/>
    <s v="SSS"/>
    <m/>
    <s v="TRGOVAČKI DEMONSTRATOR"/>
    <s v="TRGOVAČKI DEMONSTARTOR"/>
    <s v="NEODREĐENO"/>
    <m/>
    <s v="PUNO"/>
    <n v="40"/>
    <s v="HR0825000093206824087"/>
    <m/>
    <m/>
    <m/>
    <m/>
    <m/>
    <s v="Osijek"/>
    <m/>
    <m/>
    <m/>
    <s v="NE"/>
    <n v="4375"/>
    <n v="1"/>
    <n v="3500"/>
    <m/>
    <m/>
    <m/>
    <m/>
    <m/>
    <m/>
    <m/>
    <m/>
    <m/>
    <m/>
    <x v="0"/>
    <n v="24"/>
  </r>
  <r>
    <n v="400"/>
    <n v="36"/>
    <x v="20"/>
    <n v="45575918003"/>
    <s v="Balázs Kulcsár"/>
    <s v="Ribarska 10"/>
    <x v="29"/>
    <d v="2021-01-25T00:00:00"/>
    <x v="138"/>
    <s v="91608925694"/>
    <s v="M-MUŠKO"/>
    <d v="1993-03-23T00:00:00"/>
    <s v="Osijek"/>
    <s v="HRVATSKO"/>
    <s v="Školska 52, Beli Manastir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n v="0"/>
    <x v="0"/>
    <n v="25"/>
  </r>
  <r>
    <n v="401"/>
    <n v="37"/>
    <x v="21"/>
    <n v="29241410238"/>
    <s v="Zoltán Károly Sinkovits"/>
    <s v="Cankarova ulica 1"/>
    <x v="249"/>
    <d v="2020-12-01T00:00:00"/>
    <x v="139"/>
    <n v="65607516186"/>
    <s v="Ž-ŽENSKO"/>
    <d v="2000-12-01T00:00:00"/>
    <s v="Osijek"/>
    <s v="HRVATSKO"/>
    <s v="Đure Đakovića 10, Darda"/>
    <s v="NE"/>
    <s v="SSS"/>
    <m/>
    <s v="Administrativni službenik"/>
    <s v="Administrativni službenik"/>
    <s v="ODREĐENO"/>
    <d v="2020-12-03T00:00:00"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"/>
  </r>
  <r>
    <n v="402"/>
    <n v="37"/>
    <x v="21"/>
    <n v="29241410238"/>
    <s v="Zoltán Károly Sinkovits"/>
    <s v="Cankarova ulica 1"/>
    <x v="250"/>
    <d v="2021-02-01T00:00:00"/>
    <x v="3"/>
    <n v="99678442480"/>
    <s v="Ž-ŽENSKO"/>
    <d v="1990-03-27T00:00:00"/>
    <s v="Osijek"/>
    <s v="HRVATSKO"/>
    <s v="Srednja 36, Batina"/>
    <s v="NE"/>
    <s v="SSS"/>
    <m/>
    <s v="Administrativni službenik"/>
    <s v="Administrativni službenik"/>
    <s v="ODREĐENO"/>
    <d v="2021-04-30T00:00:00"/>
    <s v="PUNO"/>
    <n v="40"/>
    <s v="HR0223400093212695386"/>
    <m/>
    <m/>
    <m/>
    <m/>
    <m/>
    <s v="BELI MANASTIR"/>
    <m/>
    <m/>
    <m/>
    <s v="NE"/>
    <n v="4250"/>
    <n v="1"/>
    <n v="3400"/>
    <m/>
    <m/>
    <m/>
    <m/>
    <m/>
    <m/>
    <m/>
    <m/>
    <m/>
    <m/>
    <x v="1"/>
    <n v="2"/>
  </r>
  <r>
    <n v="403"/>
    <n v="38"/>
    <x v="22"/>
    <s v="06024223998"/>
    <s v="Gyula Kovács"/>
    <s v="Ivana Gundulića 28"/>
    <x v="251"/>
    <d v="2021-02-09T00:00:00"/>
    <x v="3"/>
    <n v="45889176122"/>
    <s v="M-MUŠKO"/>
    <d v="1973-04-10T00:00:00"/>
    <s v="Bukurešt"/>
    <s v="RUMUNJSKO"/>
    <s v="MARGHITA, Jud. Bihor 254"/>
    <s v="NE"/>
    <s v="SSS"/>
    <m/>
    <s v="Direktor"/>
    <s v="Direktor"/>
    <s v="NEODREĐENO"/>
    <m/>
    <s v="NEPUNO"/>
    <n v="2"/>
    <s v="nema"/>
    <m/>
    <m/>
    <m/>
    <m/>
    <m/>
    <s v="Osijek"/>
    <m/>
    <m/>
    <m/>
    <s v="NE"/>
    <n v="300"/>
    <n v="1"/>
    <n v="185.76"/>
    <m/>
    <m/>
    <m/>
    <m/>
    <m/>
    <m/>
    <m/>
    <m/>
    <m/>
    <m/>
    <x v="1"/>
    <n v="1"/>
  </r>
  <r>
    <n v="404"/>
    <n v="12"/>
    <x v="5"/>
    <n v="15151568161"/>
    <s v="Zoltan Buthi"/>
    <s v="K. A. Stepinca 17, 31000 Osijek"/>
    <x v="167"/>
    <d v="2021-03-01T00:00:00"/>
    <x v="3"/>
    <s v="05857155242"/>
    <s v="Ž-ŽENSKO"/>
    <d v="1980-12-25T00:00:00"/>
    <s v="KNEŽEVO"/>
    <s v="HRVATSKO"/>
    <s v="REPUBLIKE 92 B, 31204 PETRIJEVCI"/>
    <s v="NE"/>
    <s v="SSS"/>
    <m/>
    <s v="ADMINISTRATOR"/>
    <s v="ADMINISTRATOR"/>
    <s v="NEODREĐENO"/>
    <m/>
    <s v="PUNO"/>
    <n v="40"/>
    <s v="HR7823600003245283346"/>
    <m/>
    <m/>
    <m/>
    <m/>
    <m/>
    <s v="Osijek"/>
    <m/>
    <m/>
    <m/>
    <s v="NE"/>
    <n v="4250"/>
    <n v="0"/>
    <n v="3200"/>
    <m/>
    <m/>
    <m/>
    <m/>
    <m/>
    <m/>
    <m/>
    <m/>
    <m/>
    <m/>
    <x v="1"/>
    <n v="2"/>
  </r>
  <r>
    <n v="405"/>
    <n v="36"/>
    <x v="20"/>
    <n v="45575918003"/>
    <s v="Balázs Kulcsár"/>
    <s v="Ribarska 10"/>
    <x v="26"/>
    <d v="2021-03-01T00:00:00"/>
    <x v="3"/>
    <n v="45227899437"/>
    <s v="M-MUŠKO"/>
    <d v="1996-08-19T00:00:00"/>
    <s v="Kneževo"/>
    <s v="HRVATSKO"/>
    <s v="Maršala Tita 129"/>
    <s v="NE"/>
    <s v="SSS"/>
    <m/>
    <s v="Trgovački dem. i prodavač"/>
    <s v="Trgovački dem. i prodavač"/>
    <s v="NEODREĐENO"/>
    <m/>
    <s v="PUNO"/>
    <n v="40"/>
    <s v="HR8123400093219290740"/>
    <m/>
    <m/>
    <m/>
    <m/>
    <m/>
    <s v="Osijek"/>
    <m/>
    <m/>
    <m/>
    <s v="NE"/>
    <n v="4375"/>
    <n v="1"/>
    <n v="3500"/>
    <m/>
    <m/>
    <m/>
    <n v="20"/>
    <m/>
    <m/>
    <m/>
    <m/>
    <m/>
    <m/>
    <x v="1"/>
    <n v="26"/>
  </r>
  <r>
    <n v="406"/>
    <n v="39"/>
    <x v="23"/>
    <n v="66024839254"/>
    <s v="Zsofi Kovacs"/>
    <s v="Ružina 41"/>
    <x v="252"/>
    <d v="2021-04-01T00:00:00"/>
    <x v="140"/>
    <n v="67883682481"/>
    <s v="Ž-ŽENSKO"/>
    <d v="1979-04-06T00:00:00"/>
    <s v="Marghita"/>
    <s v="RUMUNJSKO"/>
    <s v="Jud.BH Sat.Albis"/>
    <s v="NE"/>
    <s v="SSS"/>
    <m/>
    <s v="Direktor"/>
    <s v="Direktor"/>
    <s v="NEODREĐENO"/>
    <m/>
    <s v="PUNO"/>
    <n v="40"/>
    <s v="nema"/>
    <m/>
    <m/>
    <m/>
    <m/>
    <m/>
    <s v="Osijek"/>
    <m/>
    <m/>
    <m/>
    <s v="NE"/>
    <n v="5967.65"/>
    <n v="1"/>
    <n v="4559.17"/>
    <m/>
    <m/>
    <m/>
    <m/>
    <m/>
    <m/>
    <m/>
    <m/>
    <m/>
    <m/>
    <x v="1"/>
    <n v="1"/>
  </r>
  <r>
    <n v="407"/>
    <n v="31"/>
    <x v="24"/>
    <n v="69606074367"/>
    <s v="Marko Baban"/>
    <s v="Ulica Jela 60"/>
    <x v="253"/>
    <d v="2013-01-17T00:00:00"/>
    <x v="3"/>
    <n v="96967409573"/>
    <s v="M-MUŠKO"/>
    <d v="1988-10-14T00:00:00"/>
    <s v="Osijek"/>
    <s v="HRVATSKO"/>
    <s v="Ulica Jela 60"/>
    <s v="NE"/>
    <s v="SSS"/>
    <m/>
    <s v="Direktor"/>
    <s v="Direktor"/>
    <s v="NEODREĐENO"/>
    <m/>
    <s v="PUNO"/>
    <n v="40"/>
    <s v="HR5523600003240196886"/>
    <m/>
    <m/>
    <m/>
    <m/>
    <m/>
    <s v="Osijek"/>
    <m/>
    <m/>
    <m/>
    <s v="NE"/>
    <n v="5967.65"/>
    <n v="1"/>
    <n v="4559.17"/>
    <n v="300"/>
    <m/>
    <m/>
    <m/>
    <m/>
    <m/>
    <m/>
    <m/>
    <m/>
    <m/>
    <x v="1"/>
    <n v="1"/>
  </r>
  <r>
    <n v="408"/>
    <n v="31"/>
    <x v="24"/>
    <n v="69606074367"/>
    <s v="Marko Baban"/>
    <s v="Ulica Jela 60"/>
    <x v="254"/>
    <d v="2016-03-08T00:00:00"/>
    <x v="3"/>
    <n v="92761745667"/>
    <s v="M-MUŠKO"/>
    <d v="1986-04-14T00:00:00"/>
    <s v="Osijek"/>
    <s v="HRVATSKO"/>
    <s v="Kralja Dmitra Zvonimira 3"/>
    <s v="NE"/>
    <s v="SSS"/>
    <m/>
    <s v="Skladištar"/>
    <s v="Skladištar"/>
    <s v="NEODREĐENO"/>
    <m/>
    <s v="PUNO"/>
    <n v="40"/>
    <s v="HR4023400093214011768"/>
    <m/>
    <m/>
    <m/>
    <m/>
    <m/>
    <s v="Osijek"/>
    <m/>
    <m/>
    <m/>
    <s v="NE"/>
    <n v="6909.81"/>
    <n v="1"/>
    <n v="5207"/>
    <n v="969"/>
    <m/>
    <m/>
    <m/>
    <m/>
    <m/>
    <m/>
    <m/>
    <m/>
    <m/>
    <x v="1"/>
    <n v="2"/>
  </r>
  <r>
    <n v="409"/>
    <n v="31"/>
    <x v="24"/>
    <n v="69606074367"/>
    <s v="Marko Baban"/>
    <s v="Ulica Jela 60"/>
    <x v="255"/>
    <d v="2018-11-07T00:00:00"/>
    <x v="141"/>
    <n v="45176749364"/>
    <s v="Ž-ŽENSKO"/>
    <d v="1988-04-05T00:00:00"/>
    <s v="Osijek"/>
    <s v="HRVATSKO"/>
    <s v="Ulica Jela 60"/>
    <s v="NE"/>
    <s v="VSS"/>
    <m/>
    <s v="Administrator"/>
    <s v="Administrator"/>
    <s v="NEODREĐENO"/>
    <m/>
    <s v="PUNO"/>
    <n v="40"/>
    <s v="HR3725030073201938795"/>
    <m/>
    <m/>
    <m/>
    <m/>
    <m/>
    <s v="Osijek"/>
    <m/>
    <m/>
    <m/>
    <s v="NE"/>
    <n v="5058.1400000000003"/>
    <n v="1"/>
    <n v="4036"/>
    <n v="300"/>
    <m/>
    <m/>
    <m/>
    <m/>
    <m/>
    <m/>
    <m/>
    <m/>
    <m/>
    <x v="0"/>
    <n v="3"/>
  </r>
  <r>
    <n v="410"/>
    <n v="31"/>
    <x v="24"/>
    <n v="69606074367"/>
    <s v="Marko Baban"/>
    <s v="Ulica Jela 60"/>
    <x v="256"/>
    <d v="2021-04-19T00:00:00"/>
    <x v="142"/>
    <n v="34310439605"/>
    <s v="M-MUŠKO"/>
    <d v="1996-09-25T00:00:00"/>
    <s v="Našice"/>
    <s v="HRVATSKO"/>
    <s v="Gorica 27, 31540 Donji Miholjac"/>
    <s v="NE"/>
    <s v="NKV"/>
    <m/>
    <s v="Pomoćni skladištar"/>
    <s v="Pomoćni skladištar"/>
    <s v="ODREĐENO"/>
    <m/>
    <s v="PUNO"/>
    <n v="40"/>
    <s v="HR3223400093234467854"/>
    <m/>
    <m/>
    <m/>
    <m/>
    <m/>
    <s v="Osijek"/>
    <m/>
    <m/>
    <m/>
    <s v="NE"/>
    <n v="4907.5"/>
    <n v="1"/>
    <n v="3926"/>
    <n v="250"/>
    <m/>
    <m/>
    <m/>
    <m/>
    <m/>
    <m/>
    <m/>
    <m/>
    <m/>
    <x v="1"/>
    <n v="4"/>
  </r>
  <r>
    <n v="411"/>
    <n v="31"/>
    <x v="24"/>
    <n v="69606074367"/>
    <s v="Marko Baban"/>
    <s v="Ulica Jela 60"/>
    <x v="257"/>
    <d v="2021-04-19T00:00:00"/>
    <x v="143"/>
    <n v="88301688136"/>
    <s v="M-MUŠKO"/>
    <d v="1996-08-04T00:00:00"/>
    <s v="Osijek"/>
    <s v="HRVATSKO"/>
    <s v="Pašmanska 3, Osijek"/>
    <s v="NE"/>
    <s v="SSS"/>
    <m/>
    <s v="Pomoćni skladištar"/>
    <s v="Pomoćni skladištar"/>
    <s v="ODREĐENO"/>
    <m/>
    <s v="PUNO"/>
    <n v="40"/>
    <s v="HR2125000093206083452"/>
    <m/>
    <m/>
    <m/>
    <m/>
    <m/>
    <s v="Osijek"/>
    <m/>
    <m/>
    <m/>
    <s v="NE"/>
    <n v="4907.5"/>
    <n v="1"/>
    <n v="3926"/>
    <n v="250"/>
    <m/>
    <m/>
    <m/>
    <m/>
    <m/>
    <m/>
    <m/>
    <m/>
    <m/>
    <x v="0"/>
    <n v="5"/>
  </r>
  <r>
    <n v="412"/>
    <n v="36"/>
    <x v="20"/>
    <n v="45575918003"/>
    <s v="Balázs Kulcsár"/>
    <s v="Ribarska 10"/>
    <x v="103"/>
    <d v="2021-08-01T00:00:00"/>
    <x v="144"/>
    <n v="10828286402"/>
    <s v="Ž-ŽENSKO"/>
    <d v="1996-04-23T00:00:00"/>
    <s v="Osijek"/>
    <s v="HRVATSKO"/>
    <s v="Mirna ulica 7, 31214 Laslovo"/>
    <s v="NE"/>
    <s v="SSS"/>
    <m/>
    <s v="Telefonist-operater u call c."/>
    <s v="Telefonist-operater u call c."/>
    <s v="NEODREĐENO"/>
    <m/>
    <s v="PUNO"/>
    <n v="40"/>
    <s v="HR2525000093205745432"/>
    <m/>
    <m/>
    <m/>
    <m/>
    <m/>
    <s v="Osijek"/>
    <m/>
    <m/>
    <m/>
    <s v="NE"/>
    <n v="4250"/>
    <n v="1"/>
    <n v="3400"/>
    <m/>
    <m/>
    <m/>
    <m/>
    <m/>
    <m/>
    <m/>
    <m/>
    <m/>
    <m/>
    <x v="0"/>
    <n v="27"/>
  </r>
  <r>
    <n v="413"/>
    <n v="36"/>
    <x v="20"/>
    <n v="45575918003"/>
    <s v="Balázs Kulcsár"/>
    <s v="Ribarska 10"/>
    <x v="96"/>
    <d v="2021-04-26T00:00:00"/>
    <x v="3"/>
    <n v="65362867403"/>
    <s v="Ž-ŽENSKO"/>
    <d v="1970-11-17T00:00:00"/>
    <s v="Frankfurt"/>
    <s v="HRVATSKO"/>
    <s v="Gornjodravska obala 91B, Osijek"/>
    <s v="NE"/>
    <s v="SSS"/>
    <m/>
    <s v="Telefonist-operater u call c."/>
    <s v="Telefonist-operater u call c."/>
    <s v="ODREĐENO"/>
    <m/>
    <s v="PUNO"/>
    <n v="40"/>
    <s v="HR7424020063205408898"/>
    <m/>
    <m/>
    <m/>
    <m/>
    <m/>
    <s v="Osijek"/>
    <m/>
    <m/>
    <m/>
    <s v="NE"/>
    <n v="4250"/>
    <n v="1"/>
    <n v="3400"/>
    <m/>
    <m/>
    <m/>
    <m/>
    <m/>
    <m/>
    <m/>
    <m/>
    <m/>
    <m/>
    <x v="1"/>
    <n v="28"/>
  </r>
  <r>
    <n v="414"/>
    <n v="36"/>
    <x v="20"/>
    <n v="45575918003"/>
    <s v="Balázs Kulcsár"/>
    <s v="Ribarska 10"/>
    <x v="258"/>
    <d v="2021-12-01T00:00:00"/>
    <x v="145"/>
    <n v="93734201839"/>
    <s v="M-MUŠKO"/>
    <d v="1959-06-28T00:00:00"/>
    <s v="OSIJEK"/>
    <s v="HRVATSKO"/>
    <s v="Zeleno polje 12, Osijek"/>
    <s v="NE"/>
    <s v="SSS"/>
    <m/>
    <s v="Telefonist-operater u call c."/>
    <s v="Telefonist-operater u call c."/>
    <s v="ODREĐENO"/>
    <m/>
    <s v="PUNO"/>
    <n v="40"/>
    <s v="HR5523600003216251175"/>
    <m/>
    <m/>
    <m/>
    <m/>
    <m/>
    <s v="Osijek"/>
    <m/>
    <m/>
    <m/>
    <s v="NE"/>
    <n v="4250"/>
    <n v="1"/>
    <n v="3400"/>
    <m/>
    <m/>
    <m/>
    <m/>
    <m/>
    <m/>
    <m/>
    <m/>
    <m/>
    <m/>
    <x v="0"/>
    <n v="29"/>
  </r>
  <r>
    <n v="415"/>
    <n v="36"/>
    <x v="20"/>
    <n v="45575918003"/>
    <s v="Balázs Kulcsár"/>
    <s v="Ribarska 10"/>
    <x v="55"/>
    <d v="2021-04-26T00:00:00"/>
    <x v="3"/>
    <n v="79843816739"/>
    <s v="Ž-ŽENSKO"/>
    <d v="1975-07-10T00:00:00"/>
    <s v="Osijek"/>
    <s v="HRVATSKO"/>
    <s v="Vladimira Nazora 30, 31214 Laslovo"/>
    <s v="NE"/>
    <s v="SSS"/>
    <m/>
    <s v="Telefonist-operater u call c."/>
    <s v="Telefonist-operater u call c."/>
    <s v="ODREĐENO"/>
    <m/>
    <s v="PUNO"/>
    <n v="40"/>
    <s v="HR7523900013200063538"/>
    <m/>
    <m/>
    <m/>
    <m/>
    <m/>
    <s v="Osijek"/>
    <m/>
    <m/>
    <m/>
    <s v="NE"/>
    <n v="4250"/>
    <n v="1"/>
    <n v="3400"/>
    <m/>
    <m/>
    <m/>
    <m/>
    <m/>
    <m/>
    <m/>
    <m/>
    <m/>
    <m/>
    <x v="1"/>
    <n v="30"/>
  </r>
  <r>
    <n v="416"/>
    <n v="36"/>
    <x v="20"/>
    <n v="45575918003"/>
    <s v="Balázs Kulcsár"/>
    <s v="Ribarska 10"/>
    <x v="46"/>
    <d v="2021-04-26T00:00:00"/>
    <x v="146"/>
    <n v="56488239997"/>
    <s v="Ž-ŽENSKO"/>
    <d v="1974-08-22T00:00:00"/>
    <s v="OSIJEK"/>
    <s v="HRVATSKO"/>
    <s v="Ulica Ivana Gorana Kovačića 5, Osijek"/>
    <s v="NE"/>
    <s v="SSS"/>
    <m/>
    <s v="Telefonist-operater u call c."/>
    <s v="Telefonist-operater u call c."/>
    <s v="ODREĐENO"/>
    <m/>
    <s v="PUNO"/>
    <n v="40"/>
    <s v="HR75 23600003239233122"/>
    <m/>
    <m/>
    <m/>
    <m/>
    <m/>
    <s v="Osijek"/>
    <m/>
    <m/>
    <m/>
    <s v="NE"/>
    <n v="4250"/>
    <n v="1"/>
    <n v="3400"/>
    <m/>
    <m/>
    <m/>
    <m/>
    <m/>
    <m/>
    <m/>
    <m/>
    <m/>
    <m/>
    <x v="0"/>
    <n v="31"/>
  </r>
  <r>
    <n v="417"/>
    <n v="36"/>
    <x v="20"/>
    <n v="45575918003"/>
    <s v="Balázs Kulcsár"/>
    <s v="Ribarska 10"/>
    <x v="240"/>
    <d v="2021-04-29T00:00:00"/>
    <x v="3"/>
    <n v="40826379926"/>
    <s v="Ž-ŽENSKO"/>
    <d v="1968-12-16T00:00:00"/>
    <m/>
    <m/>
    <s v="Podravska 2, Osijek"/>
    <s v="NE"/>
    <s v="SSS"/>
    <m/>
    <s v="Telefonist-operater u call c."/>
    <s v="Telefonist-operater u call c."/>
    <s v="ODREĐENO"/>
    <m/>
    <s v="PUNO"/>
    <n v="40"/>
    <s v="HR9823600003239272381"/>
    <m/>
    <m/>
    <m/>
    <m/>
    <m/>
    <s v="Osijek"/>
    <m/>
    <m/>
    <m/>
    <s v="NE"/>
    <n v="4250"/>
    <n v="1"/>
    <n v="3400"/>
    <m/>
    <m/>
    <m/>
    <m/>
    <m/>
    <m/>
    <m/>
    <m/>
    <m/>
    <m/>
    <x v="1"/>
    <n v="32"/>
  </r>
  <r>
    <n v="418"/>
    <n v="36"/>
    <x v="20"/>
    <n v="45575918003"/>
    <s v="Balázs Kulcsár"/>
    <s v="Ribarska 10"/>
    <x v="259"/>
    <d v="2021-04-29T00:00:00"/>
    <x v="147"/>
    <n v="28251652008"/>
    <s v="Ž-ŽENSKO"/>
    <d v="1989-02-12T00:00:00"/>
    <m/>
    <m/>
    <s v="Kardinala Alojzija Stepinca 82, Bizovac"/>
    <s v="NE"/>
    <s v="SSS"/>
    <m/>
    <s v="Telefonist-operater u call c."/>
    <s v="Telefonist-operater u call c."/>
    <s v="ODREĐENO"/>
    <m/>
    <s v="PUNO"/>
    <n v="40"/>
    <s v="HR1123400093211588939"/>
    <m/>
    <m/>
    <m/>
    <m/>
    <m/>
    <s v="Osijek"/>
    <m/>
    <m/>
    <m/>
    <s v="NE"/>
    <n v="4250"/>
    <n v="1"/>
    <n v="3400"/>
    <m/>
    <m/>
    <m/>
    <m/>
    <m/>
    <m/>
    <m/>
    <m/>
    <m/>
    <m/>
    <x v="0"/>
    <n v="33"/>
  </r>
  <r>
    <n v="419"/>
    <n v="31"/>
    <x v="24"/>
    <n v="69606074367"/>
    <s v="Marko Baban"/>
    <s v="Ulica Jela 60"/>
    <x v="260"/>
    <d v="2021-05-10T00:00:00"/>
    <x v="3"/>
    <n v="16743426373"/>
    <s v="M-MUŠKO"/>
    <d v="1985-02-08T00:00:00"/>
    <m/>
    <m/>
    <s v="Kralja Tomislava 74A, Čepin"/>
    <s v="NE"/>
    <s v="SSS"/>
    <m/>
    <s v="Pomoćni skladištar"/>
    <s v="Pomoćni skladištar"/>
    <s v="ODREĐENO"/>
    <m/>
    <s v="PUNO"/>
    <n v="40"/>
    <s v="HR6925000093206514432"/>
    <m/>
    <m/>
    <m/>
    <m/>
    <m/>
    <s v="Osijek"/>
    <m/>
    <m/>
    <m/>
    <s v="NE"/>
    <n v="4907.5"/>
    <n v="1"/>
    <n v="3926"/>
    <m/>
    <m/>
    <m/>
    <m/>
    <m/>
    <m/>
    <m/>
    <m/>
    <m/>
    <m/>
    <x v="1"/>
    <n v="6"/>
  </r>
  <r>
    <n v="420"/>
    <n v="36"/>
    <x v="20"/>
    <n v="45575918003"/>
    <s v="Balázs Kulcsár"/>
    <s v="Ribarska 10"/>
    <x v="104"/>
    <d v="2021-05-14T00:00:00"/>
    <x v="117"/>
    <s v="07249139649"/>
    <s v="Ž-ŽENSKO"/>
    <d v="1968-01-14T00:00:00"/>
    <m/>
    <m/>
    <s v="Vilajska 24, Osijek"/>
    <s v="NE"/>
    <s v="SSS"/>
    <m/>
    <s v="Telefonist-operater u call c."/>
    <s v="Telefonist-operater u call c."/>
    <s v="ODREĐENO"/>
    <m/>
    <s v="PUNO"/>
    <n v="40"/>
    <s v="HR0223400093214854121"/>
    <m/>
    <m/>
    <m/>
    <m/>
    <m/>
    <s v="Osijek"/>
    <m/>
    <m/>
    <m/>
    <s v="NE"/>
    <n v="4250"/>
    <n v="1"/>
    <n v="3400"/>
    <m/>
    <m/>
    <m/>
    <m/>
    <m/>
    <m/>
    <m/>
    <m/>
    <m/>
    <m/>
    <x v="0"/>
    <n v="34"/>
  </r>
  <r>
    <n v="421"/>
    <n v="36"/>
    <x v="20"/>
    <n v="45575918003"/>
    <s v="Balázs Kulcsár"/>
    <s v="Ribarska 10"/>
    <x v="239"/>
    <d v="2021-05-24T00:00:00"/>
    <x v="3"/>
    <n v="16238851829"/>
    <s v="M-MUŠKO"/>
    <d v="1966-01-18T00:00:00"/>
    <s v="BRANKA RADIČEVIĆA 3"/>
    <s v="NE"/>
    <s v="BRANKA RADIČEVIĆA 3"/>
    <s v="NE"/>
    <s v="SSS"/>
    <m/>
    <s v="Stručnjak zaštite na radu"/>
    <s v="Stručnjak zaštite na radu"/>
    <s v="NEODREĐENO"/>
    <m/>
    <s v="DOPUNSKO"/>
    <n v="2"/>
    <s v="HR9625000093221321675"/>
    <m/>
    <m/>
    <m/>
    <m/>
    <m/>
    <s v="Osijek"/>
    <m/>
    <m/>
    <m/>
    <s v="NE"/>
    <n v="514.54"/>
    <n v="1"/>
    <n v="300"/>
    <m/>
    <m/>
    <m/>
    <m/>
    <m/>
    <m/>
    <m/>
    <m/>
    <m/>
    <n v="197"/>
    <x v="1"/>
    <n v="35"/>
  </r>
  <r>
    <n v="422"/>
    <n v="31"/>
    <x v="24"/>
    <n v="69606074367"/>
    <s v="Marko Baban"/>
    <s v="Ulica Jela 60"/>
    <x v="261"/>
    <d v="2021-05-27T00:00:00"/>
    <x v="3"/>
    <n v="53916846107"/>
    <s v="M-MUŠKO"/>
    <d v="1994-01-09T00:00:00"/>
    <m/>
    <m/>
    <s v="Stjepana Radića 123, 31431 Čepin"/>
    <s v="NE"/>
    <s v="SSS"/>
    <m/>
    <s v="Pomoćni skladištar"/>
    <s v="Pomoćni skladištar"/>
    <s v="ODREĐENO"/>
    <m/>
    <s v="PUNO"/>
    <n v="40"/>
    <s v="HR7625000093204017720"/>
    <m/>
    <m/>
    <m/>
    <m/>
    <m/>
    <s v="Osijek"/>
    <m/>
    <m/>
    <m/>
    <s v="NE"/>
    <n v="4250"/>
    <n v="1"/>
    <n v="3400"/>
    <m/>
    <m/>
    <m/>
    <m/>
    <m/>
    <m/>
    <m/>
    <m/>
    <m/>
    <m/>
    <x v="1"/>
    <n v="7"/>
  </r>
  <r>
    <n v="423"/>
    <n v="36"/>
    <x v="20"/>
    <n v="45575918003"/>
    <s v="Balázs Kulcsár"/>
    <s v="Ribarska 10"/>
    <x v="262"/>
    <d v="2021-05-24T00:00:00"/>
    <x v="3"/>
    <n v="32178953943"/>
    <s v="Ž-ŽENSKO"/>
    <d v="1981-12-24T00:00:00"/>
    <m/>
    <m/>
    <s v="Vlašička 50, Osijek"/>
    <s v="NE"/>
    <s v="NKV"/>
    <m/>
    <s v="Telefonist-operater u call c."/>
    <s v="Telefonist-operater u call c."/>
    <s v="ODREĐENO"/>
    <m/>
    <s v="PUNO"/>
    <n v="40"/>
    <s v="HR6424840083223873931"/>
    <m/>
    <m/>
    <m/>
    <m/>
    <m/>
    <s v="Osijek"/>
    <m/>
    <m/>
    <m/>
    <s v="NE"/>
    <n v="4250"/>
    <n v="1"/>
    <n v="3400"/>
    <m/>
    <m/>
    <m/>
    <m/>
    <m/>
    <m/>
    <m/>
    <m/>
    <m/>
    <m/>
    <x v="0"/>
    <n v="36"/>
  </r>
  <r>
    <n v="424"/>
    <n v="40"/>
    <x v="25"/>
    <n v="86896896888"/>
    <s v="Kristof Nobilis"/>
    <s v="RUMBACH SEBESTYEN, 0015, 1075"/>
    <x v="263"/>
    <d v="2021-06-11T00:00:00"/>
    <x v="117"/>
    <n v="87566090847"/>
    <s v="M-MUŠKO"/>
    <d v="1978-05-04T00:00:00"/>
    <m/>
    <m/>
    <s v="Put Braće Hanovića 20, 51414 Oprić Ičići"/>
    <s v="NE"/>
    <s v="VŠS"/>
    <m/>
    <s v="VODITELJ GRADILIŠTA"/>
    <s v="VODITELJ GRADILIŠTA"/>
    <s v="ODREĐENO"/>
    <m/>
    <s v="NEPUNO"/>
    <n v="5"/>
    <s v="HR2724020063203509611"/>
    <m/>
    <m/>
    <m/>
    <m/>
    <m/>
    <s v="RIJEKA"/>
    <m/>
    <m/>
    <m/>
    <s v="NE"/>
    <n v="1000"/>
    <n v="1"/>
    <n v="600"/>
    <m/>
    <m/>
    <m/>
    <m/>
    <m/>
    <m/>
    <m/>
    <m/>
    <m/>
    <m/>
    <x v="1"/>
    <n v="1"/>
  </r>
  <r>
    <n v="425"/>
    <n v="36"/>
    <x v="20"/>
    <n v="45575918003"/>
    <s v="Balázs Kulcsár"/>
    <s v="Ribarska 10"/>
    <x v="122"/>
    <d v="2021-06-21T00:00:00"/>
    <x v="148"/>
    <n v="81476803276"/>
    <s v="Ž-ŽENSKO"/>
    <d v="1980-05-29T00:00:00"/>
    <m/>
    <m/>
    <s v="Ulica sv. Roka 52, Osijek"/>
    <s v="NE"/>
    <s v="SSS"/>
    <m/>
    <s v="Trgovački dem. i prodavač"/>
    <s v="Trgovački dem. i prodavač"/>
    <s v="NEODREĐENO"/>
    <m/>
    <s v="PUNO"/>
    <n v="40"/>
    <s v="HR6123600003239542319"/>
    <m/>
    <m/>
    <m/>
    <m/>
    <m/>
    <s v="Osijek"/>
    <m/>
    <m/>
    <m/>
    <s v="NE"/>
    <n v="4375"/>
    <n v="1"/>
    <n v="3500"/>
    <m/>
    <m/>
    <m/>
    <m/>
    <m/>
    <m/>
    <m/>
    <m/>
    <m/>
    <m/>
    <x v="0"/>
    <n v="37"/>
  </r>
  <r>
    <n v="426"/>
    <n v="36"/>
    <x v="20"/>
    <n v="45575918003"/>
    <s v="Balázs Kulcsár"/>
    <s v="Ribarska 10"/>
    <x v="264"/>
    <d v="2021-07-01T00:00:00"/>
    <x v="149"/>
    <n v="72105749783"/>
    <s v="Ž-ŽENSKO"/>
    <d v="1993-04-14T00:00:00"/>
    <m/>
    <m/>
    <s v="Psunjska 93A,Osijek"/>
    <s v="NE"/>
    <s v="SSS"/>
    <m/>
    <s v="Telefonist-operater u call c."/>
    <s v="Telefonist-operater u call c."/>
    <s v="ODREĐENO"/>
    <m/>
    <s v="PUNO"/>
    <n v="40"/>
    <s v="HR3823400093218873347"/>
    <m/>
    <m/>
    <m/>
    <m/>
    <m/>
    <s v="Osijek"/>
    <m/>
    <m/>
    <m/>
    <s v="NE"/>
    <n v="4250"/>
    <n v="1"/>
    <n v="3400"/>
    <m/>
    <m/>
    <m/>
    <m/>
    <m/>
    <m/>
    <m/>
    <m/>
    <m/>
    <m/>
    <x v="0"/>
    <n v="38"/>
  </r>
  <r>
    <n v="427"/>
    <n v="36"/>
    <x v="20"/>
    <n v="45575918003"/>
    <s v="Balázs Kulcsár"/>
    <s v="Ribarska 10"/>
    <x v="163"/>
    <d v="2021-07-05T00:00:00"/>
    <x v="149"/>
    <n v="19801410326"/>
    <s v="Ž-ŽENSKO"/>
    <d v="1979-10-05T00:00:00"/>
    <m/>
    <m/>
    <s v="Osječka 53, Josipovac"/>
    <s v="NE"/>
    <s v="SSS"/>
    <m/>
    <s v="Telefonist-operater u call c."/>
    <s v="Telefonist-operater u call c."/>
    <s v="ODREĐENO"/>
    <m/>
    <s v="PUNO"/>
    <n v="40"/>
    <s v="HR7324020063208867548"/>
    <m/>
    <m/>
    <m/>
    <m/>
    <m/>
    <s v="Osijek"/>
    <m/>
    <m/>
    <m/>
    <s v="NE"/>
    <n v="4250"/>
    <n v="1"/>
    <n v="3400"/>
    <m/>
    <m/>
    <m/>
    <m/>
    <m/>
    <m/>
    <m/>
    <m/>
    <m/>
    <m/>
    <x v="0"/>
    <n v="39"/>
  </r>
  <r>
    <n v="428"/>
    <n v="26"/>
    <x v="13"/>
    <n v="95114485977"/>
    <s v="LAURA GERGELJ"/>
    <s v="SV.IVANA KRSTITELJA 15, DARDA"/>
    <x v="265"/>
    <d v="2021-07-01T00:00:00"/>
    <x v="150"/>
    <n v="85275388635"/>
    <s v="M-MUŠKO"/>
    <d v="1999-04-02T00:00:00"/>
    <m/>
    <m/>
    <s v="Kolodvorska 100, Nijemci"/>
    <s v="NE"/>
    <s v="SSS"/>
    <m/>
    <s v="EKONOMIST"/>
    <s v="KNJIGOVOĐA"/>
    <s v="ODREĐENO"/>
    <m/>
    <s v="PUNO"/>
    <n v="40"/>
    <s v="HR2223400093233768858"/>
    <m/>
    <m/>
    <m/>
    <m/>
    <m/>
    <s v="Osijek"/>
    <m/>
    <m/>
    <m/>
    <s v="NE"/>
    <m/>
    <m/>
    <m/>
    <m/>
    <m/>
    <m/>
    <m/>
    <m/>
    <m/>
    <m/>
    <m/>
    <m/>
    <m/>
    <x v="1"/>
    <n v="11"/>
  </r>
  <r>
    <n v="429"/>
    <n v="36"/>
    <x v="20"/>
    <n v="45575918003"/>
    <s v="Balázs Kulcsár"/>
    <s v="Ribarska 10"/>
    <x v="108"/>
    <d v="2021-07-23T00:00:00"/>
    <x v="20"/>
    <n v="72094958860"/>
    <s v="Ž-ŽENSKO"/>
    <d v="1996-03-13T00:00:00"/>
    <s v="IVANA MAŽURANIĆA 28, VIŠNJEVAC"/>
    <s v="NE"/>
    <s v="IVANA MAŽURANIĆA 28, VIŠNJEVAC"/>
    <s v="NE"/>
    <s v="SSS"/>
    <m/>
    <s v="TRGOVAČKI DEMONSTRATOR"/>
    <s v="TRGOVAČKI DEMONSTARTOR"/>
    <s v="ODREĐENO"/>
    <m/>
    <s v="PUNO"/>
    <n v="40"/>
    <s v="HR0825000093206824087"/>
    <m/>
    <m/>
    <m/>
    <m/>
    <m/>
    <s v="Osijek"/>
    <m/>
    <m/>
    <m/>
    <s v="NE"/>
    <n v="4375"/>
    <n v="1"/>
    <n v="3500"/>
    <m/>
    <m/>
    <m/>
    <m/>
    <m/>
    <m/>
    <m/>
    <m/>
    <m/>
    <n v="24"/>
    <x v="0"/>
    <n v="40"/>
  </r>
  <r>
    <n v="430"/>
    <n v="36"/>
    <x v="20"/>
    <n v="45575918003"/>
    <s v="Balázs Kulcsár"/>
    <s v="Ribarska 10"/>
    <x v="266"/>
    <d v="2021-08-02T00:00:00"/>
    <x v="145"/>
    <n v="68536464458"/>
    <s v="Ž-ŽENSKO"/>
    <d v="1995-02-05T00:00:00"/>
    <m/>
    <m/>
    <s v="Umaška 17, Osijek"/>
    <s v="NE"/>
    <s v="SSS"/>
    <m/>
    <s v="Telefonist-operater u call c."/>
    <s v="Telefonist-operater u call c."/>
    <s v="ODREĐENO"/>
    <m/>
    <s v="PUNO"/>
    <n v="40"/>
    <s v="HR1825000093205371235"/>
    <m/>
    <m/>
    <m/>
    <m/>
    <m/>
    <s v="Osijek"/>
    <m/>
    <m/>
    <m/>
    <s v="NE"/>
    <n v="4250"/>
    <n v="1"/>
    <n v="3400"/>
    <m/>
    <m/>
    <m/>
    <m/>
    <m/>
    <m/>
    <m/>
    <m/>
    <m/>
    <m/>
    <x v="0"/>
    <n v="41"/>
  </r>
  <r>
    <n v="431"/>
    <n v="16"/>
    <x v="8"/>
    <n v="18241574410"/>
    <s v="LASZLO TIBOR"/>
    <s v="Ivana Gundulića 28"/>
    <x v="20"/>
    <d v="2021-08-01T00:00:00"/>
    <x v="3"/>
    <s v="60536718657"/>
    <s v="M-MUŠKO"/>
    <d v="1973-06-19T00:00:00"/>
    <m/>
    <s v="HRVATSKO"/>
    <s v="Ivana Meštrovića 43, Darda"/>
    <s v="NE"/>
    <s v="SSS"/>
    <m/>
    <s v="Poslovođa"/>
    <s v="Poslovođa"/>
    <s v="NEODREĐENO"/>
    <m/>
    <s v="PUNO"/>
    <n v="40"/>
    <m/>
    <m/>
    <m/>
    <m/>
    <m/>
    <m/>
    <s v="Osijek"/>
    <m/>
    <m/>
    <m/>
    <s v="NE"/>
    <n v="10097.59"/>
    <n v="1"/>
    <n v="7000"/>
    <n v="5000"/>
    <m/>
    <m/>
    <m/>
    <m/>
    <m/>
    <m/>
    <m/>
    <m/>
    <n v="0"/>
    <x v="1"/>
    <n v="63"/>
  </r>
  <r>
    <n v="432"/>
    <n v="31"/>
    <x v="24"/>
    <n v="69606074367"/>
    <s v="Marko Baban"/>
    <s v="Ulica Jela 60"/>
    <x v="267"/>
    <d v="2021-08-30T00:00:00"/>
    <x v="3"/>
    <n v="56132493710"/>
    <s v="M-MUŠKO"/>
    <d v="1986-10-21T00:00:00"/>
    <m/>
    <m/>
    <s v="Kralja Tomislava 11, Brođanci"/>
    <s v="NE"/>
    <s v="SSS"/>
    <m/>
    <s v="Skladištar"/>
    <s v="Skladištar"/>
    <s v="ODREĐENO"/>
    <m/>
    <s v="PUNO"/>
    <n v="40"/>
    <s v="HR6123400093231399707, HR3723400093510746365"/>
    <m/>
    <m/>
    <m/>
    <m/>
    <m/>
    <s v="Osijek"/>
    <m/>
    <m/>
    <m/>
    <s v="NE"/>
    <n v="4987.5"/>
    <n v="1"/>
    <n v="3990"/>
    <m/>
    <m/>
    <m/>
    <m/>
    <m/>
    <m/>
    <m/>
    <m/>
    <m/>
    <m/>
    <x v="1"/>
    <n v="8"/>
  </r>
  <r>
    <n v="433"/>
    <n v="41"/>
    <x v="26"/>
    <n v="65917576492"/>
    <s v="Marija Baković"/>
    <s v="XIV. Trokut 8D"/>
    <x v="268"/>
    <d v="2021-08-25T00:00:00"/>
    <x v="3"/>
    <s v="04477668092"/>
    <s v="Ž-ŽENSKO"/>
    <d v="1990-08-15T00:00:00"/>
    <m/>
    <m/>
    <s v="XIV. Trokut 8D"/>
    <s v="NE"/>
    <s v="VSS"/>
    <m/>
    <s v="Poslovođa"/>
    <s v="Poslovođa"/>
    <s v="NEODREĐENO"/>
    <m/>
    <s v="PUNO"/>
    <n v="40"/>
    <m/>
    <m/>
    <m/>
    <m/>
    <m/>
    <m/>
    <s v="Osijek"/>
    <m/>
    <m/>
    <m/>
    <s v="NE"/>
    <n v="5967.65"/>
    <n v="1"/>
    <n v="4559.17"/>
    <m/>
    <m/>
    <m/>
    <m/>
    <m/>
    <m/>
    <m/>
    <m/>
    <m/>
    <m/>
    <x v="1"/>
    <n v="1"/>
  </r>
  <r>
    <n v="434"/>
    <n v="36"/>
    <x v="20"/>
    <n v="45575918003"/>
    <s v="Balázs Kulcsár"/>
    <s v="Ribarska 10"/>
    <x v="269"/>
    <d v="2021-09-01T00:00:00"/>
    <x v="145"/>
    <n v="37668929985"/>
    <s v="Ž-ŽENSKO"/>
    <d v="1993-05-29T00:00:00"/>
    <m/>
    <m/>
    <s v="Vijenac Petrove Gore 3, Osijek"/>
    <s v="NE"/>
    <s v="SSS"/>
    <m/>
    <s v="Telefonist-operater u call c."/>
    <s v="Telefonist-operater u call c."/>
    <s v="ODREĐENO"/>
    <d v="2021-09-30T00:00:00"/>
    <s v="PUNO"/>
    <n v="40"/>
    <s v="HR7323400093235376588"/>
    <m/>
    <m/>
    <m/>
    <m/>
    <m/>
    <s v="Osijek"/>
    <m/>
    <m/>
    <m/>
    <s v="NE"/>
    <n v="4250"/>
    <n v="1"/>
    <n v="3400"/>
    <m/>
    <m/>
    <m/>
    <m/>
    <m/>
    <m/>
    <m/>
    <m/>
    <m/>
    <m/>
    <x v="0"/>
    <n v="42"/>
  </r>
  <r>
    <n v="435"/>
    <n v="36"/>
    <x v="20"/>
    <n v="45575918003"/>
    <s v="Balázs Kulcsár"/>
    <s v="Ribarska 10"/>
    <x v="270"/>
    <d v="2021-09-06T00:00:00"/>
    <x v="145"/>
    <n v="97747809634"/>
    <s v="Ž-ŽENSKO"/>
    <d v="2001-01-04T00:00:00"/>
    <m/>
    <m/>
    <s v="Ulica Franje Jungerta 30, Josipovac"/>
    <s v="NE"/>
    <s v="SSS"/>
    <m/>
    <s v="Telefonist-operater u call c."/>
    <s v="Telefonist-operater u call c."/>
    <s v="ODREĐENO"/>
    <m/>
    <s v="PUNO"/>
    <n v="40"/>
    <s v="HR5423400093235250927"/>
    <m/>
    <m/>
    <m/>
    <m/>
    <m/>
    <s v="Osijek"/>
    <m/>
    <m/>
    <m/>
    <s v="NE"/>
    <n v="4250"/>
    <n v="1"/>
    <n v="3400"/>
    <m/>
    <m/>
    <m/>
    <m/>
    <m/>
    <m/>
    <m/>
    <m/>
    <m/>
    <m/>
    <x v="0"/>
    <n v="43"/>
  </r>
  <r>
    <n v="436"/>
    <n v="42"/>
    <x v="27"/>
    <n v="24279864703"/>
    <s v="Robert Verebi"/>
    <s v="Kralja Zvonimira 61, Bilje"/>
    <x v="271"/>
    <d v="2021-02-15T00:00:00"/>
    <x v="3"/>
    <n v="93577206463"/>
    <s v="M-MUŠKO"/>
    <d v="1978-06-14T00:00:00"/>
    <m/>
    <m/>
    <s v="Gornjodravska obala 80, Osijek"/>
    <s v="NE"/>
    <s v="SSS"/>
    <m/>
    <s v="Komercijalista"/>
    <s v="Komercijalista"/>
    <s v="NEODREĐENO"/>
    <m/>
    <s v="PUNO"/>
    <n v="40"/>
    <s v="HR86 24070003207063042"/>
    <m/>
    <m/>
    <m/>
    <m/>
    <m/>
    <s v="Osijek"/>
    <m/>
    <m/>
    <m/>
    <s v="NE"/>
    <n v="4250"/>
    <n v="1"/>
    <n v="3400"/>
    <m/>
    <m/>
    <m/>
    <m/>
    <m/>
    <m/>
    <m/>
    <m/>
    <m/>
    <m/>
    <x v="1"/>
    <n v="1"/>
  </r>
  <r>
    <n v="437"/>
    <n v="42"/>
    <x v="27"/>
    <n v="24279864703"/>
    <s v="Robert Verebi"/>
    <s v="Kralja Zvonimira 61, Bilje"/>
    <x v="272"/>
    <d v="2021-10-01T00:00:00"/>
    <x v="3"/>
    <n v="93461065246"/>
    <s v="M-MUŠKO"/>
    <d v="1974-05-07T00:00:00"/>
    <m/>
    <m/>
    <s v="M.R. Štefanika 1221/60, Slovačka"/>
    <s v="NE"/>
    <s v="VSS"/>
    <m/>
    <s v="Poslovođa"/>
    <s v="Poslovođa"/>
    <s v="NEODREĐENO"/>
    <m/>
    <s v="NEPUNO"/>
    <n v="5"/>
    <m/>
    <m/>
    <m/>
    <m/>
    <m/>
    <m/>
    <s v="Osijek"/>
    <m/>
    <m/>
    <m/>
    <s v="NE"/>
    <n v="38225.85"/>
    <n v="1"/>
    <n v="25000"/>
    <m/>
    <m/>
    <m/>
    <m/>
    <m/>
    <m/>
    <m/>
    <m/>
    <m/>
    <m/>
    <x v="1"/>
    <n v="2"/>
  </r>
  <r>
    <n v="438"/>
    <n v="36"/>
    <x v="20"/>
    <n v="45575918003"/>
    <s v="Balázs Kulcsár"/>
    <s v="Ribarska 10"/>
    <x v="46"/>
    <d v="2021-09-27T00:00:00"/>
    <x v="3"/>
    <n v="56488239997"/>
    <s v="Ž-ŽENSKO"/>
    <d v="1974-08-22T00:00:00"/>
    <s v="OSIJEK"/>
    <s v="HRVATSKO"/>
    <s v="Ulica Ivana Gorana Kovačića 5, Osijek"/>
    <s v="NE"/>
    <s v="SSS"/>
    <m/>
    <s v="Telefonist-operater u call c."/>
    <s v="Telefonist-operater u call c."/>
    <s v="ODREĐENO"/>
    <m/>
    <s v="PUNO"/>
    <n v="40"/>
    <s v="HR75 23600003239233122"/>
    <m/>
    <m/>
    <m/>
    <m/>
    <m/>
    <s v="Osijek"/>
    <m/>
    <m/>
    <m/>
    <s v="NE"/>
    <n v="4250"/>
    <n v="1"/>
    <n v="3400"/>
    <m/>
    <m/>
    <m/>
    <m/>
    <m/>
    <m/>
    <m/>
    <m/>
    <m/>
    <m/>
    <x v="1"/>
    <n v="44"/>
  </r>
  <r>
    <n v="439"/>
    <n v="31"/>
    <x v="24"/>
    <n v="69606074367"/>
    <s v="Marko Baban"/>
    <s v="Ulica Jela 60"/>
    <x v="273"/>
    <d v="2021-10-08T00:00:00"/>
    <x v="3"/>
    <n v="80734706102"/>
    <s v="M-MUŠKO"/>
    <d v="2003-09-28T00:00:00"/>
    <m/>
    <m/>
    <s v="Vladimira Nazora 32, Čepinski Martinci"/>
    <s v="NE"/>
    <s v="SSS"/>
    <m/>
    <s v="Pomoćni skladištar"/>
    <s v="Pomoćni skladištar"/>
    <s v="NEODREĐENO"/>
    <m/>
    <s v="PUNO"/>
    <n v="40"/>
    <s v="HR26 23400093235473755"/>
    <m/>
    <m/>
    <m/>
    <m/>
    <m/>
    <s v="Osijek"/>
    <m/>
    <m/>
    <m/>
    <s v="NE"/>
    <n v="4250"/>
    <n v="1"/>
    <n v="3400"/>
    <m/>
    <m/>
    <m/>
    <m/>
    <m/>
    <m/>
    <m/>
    <m/>
    <m/>
    <m/>
    <x v="1"/>
    <n v="9"/>
  </r>
  <r>
    <n v="440"/>
    <n v="36"/>
    <x v="20"/>
    <n v="45575918003"/>
    <s v="Balázs Kulcsár"/>
    <s v="Ribarska 10"/>
    <x v="274"/>
    <d v="2021-11-08T00:00:00"/>
    <x v="3"/>
    <n v="77737288895"/>
    <s v="Ž-ŽENSKO"/>
    <d v="1998-12-29T00:00:00"/>
    <s v="Osijek"/>
    <s v="HRVATSKO"/>
    <s v="Žumberačka ulica 66, Osijek"/>
    <s v="NE"/>
    <s v="SSS"/>
    <m/>
    <s v="Trgovački demonstrator"/>
    <s v="Trgovački demonstrator"/>
    <s v="NEODREĐENO"/>
    <m/>
    <s v="PUNO"/>
    <n v="40"/>
    <s v="HR1425000093206910503"/>
    <m/>
    <m/>
    <m/>
    <m/>
    <m/>
    <s v="Osijek"/>
    <m/>
    <m/>
    <m/>
    <s v="NE"/>
    <n v="4375"/>
    <n v="1"/>
    <n v="3500"/>
    <m/>
    <m/>
    <m/>
    <m/>
    <m/>
    <m/>
    <m/>
    <m/>
    <m/>
    <m/>
    <x v="1"/>
    <n v="45"/>
  </r>
  <r>
    <n v="441"/>
    <n v="36"/>
    <x v="20"/>
    <n v="45575918003"/>
    <s v="Balázs Kulcsár"/>
    <s v="Ribarska 10"/>
    <x v="275"/>
    <d v="2021-11-09T00:00:00"/>
    <x v="145"/>
    <n v="71095766112"/>
    <s v="Ž-ŽENSKO"/>
    <d v="1966-01-20T00:00:00"/>
    <s v="Osijek"/>
    <s v="HRVATSKO"/>
    <s v="Porečka 20, Osijek"/>
    <s v="NE"/>
    <s v="SSS"/>
    <m/>
    <s v="Telefonist-operater u call c."/>
    <s v="Telefonist-operater u call c."/>
    <s v="ODREĐENO"/>
    <m/>
    <s v="PUNO"/>
    <n v="40"/>
    <s v="HR8725000093206019893"/>
    <m/>
    <m/>
    <m/>
    <m/>
    <m/>
    <s v="Osijek"/>
    <m/>
    <m/>
    <m/>
    <s v="NE"/>
    <n v="4250"/>
    <n v="1"/>
    <n v="3400"/>
    <m/>
    <m/>
    <m/>
    <m/>
    <m/>
    <m/>
    <m/>
    <m/>
    <m/>
    <m/>
    <x v="0"/>
    <n v="46"/>
  </r>
  <r>
    <n v="442"/>
    <n v="36"/>
    <x v="20"/>
    <n v="45575918003"/>
    <s v="Balázs Kulcsár"/>
    <s v="Ribarska 10"/>
    <x v="276"/>
    <d v="2021-11-09T00:00:00"/>
    <x v="145"/>
    <s v="00788868224"/>
    <s v="Ž-ŽENSKO"/>
    <d v="2001-10-06T00:00:00"/>
    <s v="Osijek"/>
    <s v="HRVATSKO"/>
    <s v="Kneza Branimira 45, Bilje"/>
    <s v="NE"/>
    <s v="SSS"/>
    <m/>
    <s v="Telefonist-operater u call c."/>
    <s v="Telefonist-operater u call c."/>
    <s v="ODREĐENO"/>
    <m/>
    <s v="PUNO"/>
    <n v="40"/>
    <s v="HR0524020063210582374"/>
    <m/>
    <m/>
    <m/>
    <m/>
    <m/>
    <s v="Osijek"/>
    <m/>
    <m/>
    <m/>
    <s v="NE"/>
    <n v="4250"/>
    <n v="1"/>
    <n v="3400"/>
    <m/>
    <m/>
    <m/>
    <m/>
    <m/>
    <m/>
    <m/>
    <m/>
    <m/>
    <m/>
    <x v="0"/>
    <n v="47"/>
  </r>
  <r>
    <n v="443"/>
    <n v="36"/>
    <x v="20"/>
    <n v="45575918003"/>
    <s v="Balázs Kulcsár"/>
    <s v="Ribarska 10"/>
    <x v="106"/>
    <d v="2021-11-24T00:00:00"/>
    <x v="145"/>
    <n v="81985727746"/>
    <s v="Ž-ŽENSKO"/>
    <d v="1982-12-05T00:00:00"/>
    <s v="Osijek"/>
    <s v="HRVATSKO"/>
    <s v="Dr. Franje Tuđmana 10, Laslovo"/>
    <s v="NE"/>
    <s v="SSS"/>
    <m/>
    <s v="Telefonist-operater u call c."/>
    <s v="Telefonist-operater u call c."/>
    <s v="ODREĐENO"/>
    <m/>
    <s v="PUNO"/>
    <n v="40"/>
    <s v="HR03242840083213018110"/>
    <m/>
    <m/>
    <m/>
    <m/>
    <m/>
    <s v="Osijek"/>
    <m/>
    <m/>
    <m/>
    <s v="NE"/>
    <n v="4250"/>
    <n v="1"/>
    <n v="3400"/>
    <m/>
    <m/>
    <m/>
    <m/>
    <m/>
    <m/>
    <m/>
    <m/>
    <m/>
    <m/>
    <x v="0"/>
    <n v="48"/>
  </r>
  <r>
    <n v="444"/>
    <n v="31"/>
    <x v="24"/>
    <n v="69606074367"/>
    <s v="Marko Baban"/>
    <s v="Ulica Jela 60"/>
    <x v="277"/>
    <d v="2021-12-01T00:00:00"/>
    <x v="3"/>
    <n v="71363300467"/>
    <s v="M-MUŠKO"/>
    <d v="1992-12-09T00:00:00"/>
    <s v="Osijek"/>
    <s v="HRVATSKO"/>
    <s v="Kardinala a. S 25, 31000 Čepin"/>
    <s v="NE"/>
    <s v="SSS"/>
    <m/>
    <s v="vozač"/>
    <s v="vozač"/>
    <s v="ODREĐENO"/>
    <m/>
    <s v="PUNO"/>
    <n v="40"/>
    <s v="HR97 2484 0083 2353 3155 9"/>
    <m/>
    <m/>
    <m/>
    <m/>
    <m/>
    <s v="Osijek"/>
    <m/>
    <m/>
    <m/>
    <s v="NE"/>
    <n v="5243.59"/>
    <n v="1"/>
    <n v="6000"/>
    <m/>
    <m/>
    <m/>
    <m/>
    <m/>
    <m/>
    <m/>
    <m/>
    <m/>
    <m/>
    <x v="1"/>
    <n v="10"/>
  </r>
  <r>
    <n v="445"/>
    <n v="43"/>
    <x v="28"/>
    <n v="69769519663"/>
    <s v="ZSANETT OLÁH"/>
    <s v="Ulica Lorenza Jägera 2"/>
    <x v="278"/>
    <d v="2022-01-01T00:00:00"/>
    <x v="3"/>
    <n v="18397042959"/>
    <s v="M-MUŠKO"/>
    <d v="1981-09-12T00:00:00"/>
    <s v="Budimpešta"/>
    <s v="MAĐARSKO"/>
    <s v="Ulica Lorenza Jagera 2, Osijek"/>
    <s v="NE"/>
    <s v="VSS"/>
    <m/>
    <s v="Direktor"/>
    <s v="Direktor"/>
    <s v="NEODREĐENO"/>
    <m/>
    <s v="NEPUNO"/>
    <n v="10"/>
    <s v="HU94103000021060143600016848 "/>
    <m/>
    <m/>
    <m/>
    <m/>
    <m/>
    <s v="Osijek"/>
    <m/>
    <m/>
    <m/>
    <s v="NE"/>
    <n v="4844.99"/>
    <n v="1"/>
    <n v="3000"/>
    <m/>
    <m/>
    <m/>
    <m/>
    <m/>
    <m/>
    <m/>
    <m/>
    <m/>
    <m/>
    <x v="1"/>
    <n v="1"/>
  </r>
  <r>
    <n v="446"/>
    <n v="36"/>
    <x v="20"/>
    <n v="45575918003"/>
    <s v="Balázs Kulcsár"/>
    <s v="Ribarska 10"/>
    <x v="279"/>
    <d v="2021-12-10T00:00:00"/>
    <x v="134"/>
    <n v="68391532944"/>
    <s v="M-MUŠKO"/>
    <d v="1998-07-17T00:00:00"/>
    <s v="Nova Gradiška"/>
    <s v="HRVATSKO"/>
    <s v="Braće Radića 8, Rešetari"/>
    <s v="NE"/>
    <s v="SSS"/>
    <m/>
    <s v="Trgovački demonstrator"/>
    <s v="Trgovački demonstrator"/>
    <s v="NEODREĐENO"/>
    <m/>
    <s v="PUNO"/>
    <n v="40"/>
    <s v="HR1323400093234856099"/>
    <m/>
    <m/>
    <m/>
    <m/>
    <m/>
    <s v="Osijek"/>
    <m/>
    <m/>
    <m/>
    <s v="NE"/>
    <n v="5000"/>
    <n v="1"/>
    <n v="4000"/>
    <m/>
    <m/>
    <m/>
    <m/>
    <m/>
    <m/>
    <m/>
    <m/>
    <m/>
    <m/>
    <x v="0"/>
    <n v="49"/>
  </r>
  <r>
    <n v="447"/>
    <n v="43"/>
    <x v="28"/>
    <n v="69769519663"/>
    <s v="ZSANETT OLÁH"/>
    <s v="Ulica Lorenza Jägera 2"/>
    <x v="280"/>
    <d v="2022-02-01T00:00:00"/>
    <x v="3"/>
    <n v="22345663938"/>
    <s v="Ž-ŽENSKO"/>
    <d v="1991-08-28T00:00:00"/>
    <s v="Opatija"/>
    <s v="HRVATSKO"/>
    <s v="Eugena Kumičića 10, Opatija"/>
    <s v="NE"/>
    <s v="SSS"/>
    <m/>
    <s v="Recepcionarka"/>
    <s v="Recepcionarka"/>
    <s v="NEODREĐENO"/>
    <m/>
    <s v="PUNO"/>
    <n v="40"/>
    <s v="HR9024020063207107565"/>
    <m/>
    <m/>
    <m/>
    <m/>
    <m/>
    <s v="Opatija"/>
    <m/>
    <m/>
    <m/>
    <s v="NE"/>
    <n v="8906.25"/>
    <n v="1"/>
    <m/>
    <m/>
    <m/>
    <m/>
    <m/>
    <m/>
    <m/>
    <m/>
    <m/>
    <m/>
    <m/>
    <x v="1"/>
    <n v="2"/>
  </r>
  <r>
    <n v="448"/>
    <n v="43"/>
    <x v="28"/>
    <n v="69769519663"/>
    <s v="ZSANETT OLÁH"/>
    <s v="Ulica Lorenza Jägera 2"/>
    <x v="281"/>
    <d v="2022-02-01T00:00:00"/>
    <x v="3"/>
    <n v="21160565120"/>
    <s v="Ž-ŽENSKO"/>
    <d v="1956-12-10T00:00:00"/>
    <s v="Matulji"/>
    <s v="HRVATSKO"/>
    <s v="Kvarnerska cesta 23A, Matulji"/>
    <s v="NE"/>
    <s v="KV"/>
    <m/>
    <s v="Spremačica"/>
    <s v="Spremačica"/>
    <s v="NEODREĐENO"/>
    <m/>
    <s v="NEPUNO"/>
    <n v="20"/>
    <s v="HR5724020063205118010"/>
    <m/>
    <m/>
    <m/>
    <m/>
    <m/>
    <s v="Opatija"/>
    <m/>
    <m/>
    <m/>
    <s v="NE"/>
    <n v="7812.51"/>
    <m/>
    <m/>
    <m/>
    <m/>
    <m/>
    <m/>
    <m/>
    <m/>
    <m/>
    <m/>
    <m/>
    <m/>
    <x v="1"/>
    <n v="3"/>
  </r>
  <r>
    <n v="449"/>
    <n v="43"/>
    <x v="28"/>
    <n v="69769519663"/>
    <s v="ZSANETT OLÁH"/>
    <s v="Ulica Lorenza Jägera 2"/>
    <x v="282"/>
    <d v="2022-02-01T00:00:00"/>
    <x v="3"/>
    <s v="00735131412"/>
    <s v="Ž-ŽENSKO"/>
    <d v="1961-12-04T00:00:00"/>
    <s v="Matulji"/>
    <s v="HRVATSKO"/>
    <s v="Perasov put 8, Matulji"/>
    <s v="NE"/>
    <s v="SSS"/>
    <m/>
    <s v="Konobar"/>
    <s v="Konobar"/>
    <s v="NEODREĐENO"/>
    <m/>
    <s v="PUNO"/>
    <n v="40"/>
    <s v="HR6723600003222494946"/>
    <m/>
    <m/>
    <m/>
    <m/>
    <m/>
    <s v="Opatija"/>
    <m/>
    <m/>
    <m/>
    <s v="NE"/>
    <n v="7403.85"/>
    <m/>
    <m/>
    <m/>
    <m/>
    <m/>
    <m/>
    <m/>
    <m/>
    <m/>
    <m/>
    <m/>
    <m/>
    <x v="1"/>
    <n v="4"/>
  </r>
  <r>
    <n v="450"/>
    <n v="43"/>
    <x v="28"/>
    <n v="69769519663"/>
    <s v="ZSANETT OLÁH"/>
    <s v="Ulica Lorenza Jägera 2"/>
    <x v="283"/>
    <d v="2022-02-01T00:00:00"/>
    <x v="3"/>
    <n v="19931594248"/>
    <s v="Ž-ŽENSKO"/>
    <d v="1986-10-26T00:00:00"/>
    <s v="Matulji"/>
    <s v="HRVATSKO"/>
    <s v="Šmogorska cesta 11, Matulji"/>
    <s v="NE"/>
    <s v="SSS"/>
    <m/>
    <s v="Konobar"/>
    <s v="Konobar"/>
    <s v="ODREĐENO"/>
    <d v="2022-10-31T00:00:00"/>
    <s v="PUNO"/>
    <n v="40"/>
    <s v="HR8124020063203809921"/>
    <m/>
    <m/>
    <m/>
    <m/>
    <m/>
    <s v="Opatija"/>
    <m/>
    <m/>
    <m/>
    <s v="NE"/>
    <n v="7812.51"/>
    <m/>
    <m/>
    <m/>
    <m/>
    <m/>
    <m/>
    <m/>
    <m/>
    <m/>
    <m/>
    <m/>
    <m/>
    <x v="1"/>
    <n v="5"/>
  </r>
  <r>
    <n v="451"/>
    <n v="43"/>
    <x v="28"/>
    <n v="69769519663"/>
    <s v="ZSANETT OLÁH"/>
    <s v="Ulica Lorenza Jägera 2"/>
    <x v="284"/>
    <d v="2022-02-01T00:00:00"/>
    <x v="3"/>
    <n v="63697758667"/>
    <s v="Ž-ŽENSKO"/>
    <d v="1971-10-17T00:00:00"/>
    <s v="Opatija"/>
    <s v="HRVATSKO"/>
    <s v="Dragi 11, Pobri"/>
    <s v="NE"/>
    <s v="SSS"/>
    <m/>
    <s v="Konobar"/>
    <s v="Konobaer"/>
    <s v="NEODREĐENO"/>
    <m/>
    <s v="PUNO"/>
    <n v="40"/>
    <s v="HR0823400093230461798"/>
    <m/>
    <m/>
    <m/>
    <m/>
    <m/>
    <s v="Opatija"/>
    <m/>
    <m/>
    <m/>
    <s v="NE"/>
    <n v="7343.75"/>
    <m/>
    <m/>
    <m/>
    <m/>
    <m/>
    <m/>
    <m/>
    <m/>
    <m/>
    <m/>
    <m/>
    <m/>
    <x v="1"/>
    <n v="6"/>
  </r>
  <r>
    <n v="452"/>
    <n v="43"/>
    <x v="28"/>
    <n v="69769519663"/>
    <s v="ZSANETT OLÁH"/>
    <s v="Ulica Lorenza Jägera 2"/>
    <x v="285"/>
    <d v="2022-02-01T00:00:00"/>
    <x v="3"/>
    <s v="06449653872"/>
    <s v="M-MUŠKO"/>
    <d v="1963-01-18T00:00:00"/>
    <s v="Rijeka"/>
    <s v="HRVATSKO"/>
    <s v="Svilno 50, Rijeka"/>
    <s v="NE"/>
    <s v="SSS"/>
    <m/>
    <s v="Domar"/>
    <s v="Domar"/>
    <s v="NEODREĐENO"/>
    <m/>
    <s v="PUNO"/>
    <n v="40"/>
    <s v="HR1424020063200965147"/>
    <m/>
    <m/>
    <m/>
    <m/>
    <m/>
    <s v="Opatija"/>
    <m/>
    <m/>
    <m/>
    <s v="NE"/>
    <n v="9047.93"/>
    <m/>
    <m/>
    <m/>
    <m/>
    <m/>
    <m/>
    <m/>
    <m/>
    <m/>
    <m/>
    <m/>
    <m/>
    <x v="1"/>
    <n v="7"/>
  </r>
  <r>
    <n v="453"/>
    <n v="43"/>
    <x v="28"/>
    <n v="69769519663"/>
    <s v="ZSANETT OLÁH"/>
    <s v="Ulica Lorenza Jägera 2"/>
    <x v="286"/>
    <d v="2022-02-01T00:00:00"/>
    <x v="3"/>
    <n v="30481056361"/>
    <s v="Ž-ŽENSKO"/>
    <d v="1982-01-31T00:00:00"/>
    <s v="Seget"/>
    <s v="HRVATSKO"/>
    <s v="Kralja Tomislava 124, Seget"/>
    <s v="NE"/>
    <s v="VSS"/>
    <m/>
    <s v="Recepcionarka"/>
    <s v="Recepcionarka"/>
    <s v="NEODREĐENO"/>
    <m/>
    <s v="PUNO"/>
    <n v="40"/>
    <s v="HR4723400093218010176"/>
    <m/>
    <m/>
    <m/>
    <m/>
    <m/>
    <s v="Opatija"/>
    <m/>
    <m/>
    <m/>
    <s v="NE"/>
    <n v="8906.25"/>
    <m/>
    <m/>
    <m/>
    <m/>
    <m/>
    <m/>
    <m/>
    <m/>
    <m/>
    <m/>
    <m/>
    <m/>
    <x v="1"/>
    <n v="8"/>
  </r>
  <r>
    <n v="454"/>
    <n v="36"/>
    <x v="20"/>
    <n v="45575918003"/>
    <s v="Balázs Kulcsár"/>
    <s v="Ribarska 10"/>
    <x v="287"/>
    <d v="2022-02-01T00:00:00"/>
    <x v="3"/>
    <n v="46284686058"/>
    <s v="M-MUŠKO"/>
    <d v="1993-08-02T00:00:00"/>
    <s v="Osijek"/>
    <s v="HRVATSKO"/>
    <s v="Sljemenska ulica 26"/>
    <s v="NE"/>
    <s v="SSS"/>
    <m/>
    <s v="Trgovački demonstrator"/>
    <s v="Trgovački demonstrator"/>
    <s v="NEODREĐENO"/>
    <m/>
    <s v="PUNO"/>
    <n v="40"/>
    <s v="HR8823600003236594682"/>
    <m/>
    <m/>
    <m/>
    <m/>
    <m/>
    <s v="Osijek"/>
    <m/>
    <m/>
    <m/>
    <s v="NE"/>
    <n v="4687.5"/>
    <n v="1"/>
    <n v="3750"/>
    <m/>
    <m/>
    <m/>
    <m/>
    <m/>
    <m/>
    <m/>
    <m/>
    <m/>
    <m/>
    <x v="1"/>
    <n v="50"/>
  </r>
  <r>
    <n v="455"/>
    <n v="31"/>
    <x v="24"/>
    <n v="69606074367"/>
    <s v="Marko Baban"/>
    <s v="Ulica Jela 60"/>
    <x v="288"/>
    <d v="2022-02-07T00:00:00"/>
    <x v="151"/>
    <n v="86900494395"/>
    <s v="M-MUŠKO"/>
    <d v="1986-06-26T00:00:00"/>
    <s v="Osijek"/>
    <s v="HRVATSKO"/>
    <s v="Pretra zrinskog 5, 31207 Tenja"/>
    <s v="NE"/>
    <s v="SSS"/>
    <m/>
    <s v="POMOĆNI SKLADIŠTAR"/>
    <s v="POMOĆNI SKLADIŠTAR"/>
    <s v="ODREĐENO"/>
    <d v="2022-02-23T00:00:00"/>
    <s v="PUNO"/>
    <n v="40"/>
    <s v="HR6823400093212019951"/>
    <m/>
    <m/>
    <m/>
    <m/>
    <m/>
    <s v="TENJA"/>
    <m/>
    <m/>
    <m/>
    <s v="NE"/>
    <n v="4907.5"/>
    <n v="1"/>
    <n v="5000"/>
    <m/>
    <m/>
    <m/>
    <m/>
    <m/>
    <m/>
    <m/>
    <m/>
    <m/>
    <m/>
    <x v="1"/>
    <n v="10"/>
  </r>
  <r>
    <n v="456"/>
    <n v="43"/>
    <x v="28"/>
    <n v="69769519663"/>
    <s v="ZSANETT OLÁH"/>
    <s v="Ulica Lorenza Jägera 2"/>
    <x v="289"/>
    <d v="2022-02-14T00:00:00"/>
    <x v="3"/>
    <n v="24481536796"/>
    <s v="M-MUŠKO"/>
    <d v="1970-05-13T00:00:00"/>
    <s v="Nagykovácsi"/>
    <s v="MAĐARSKO"/>
    <s v="Arany János u. 7/a, Nagykovácsi"/>
    <s v="NE"/>
    <s v="VSS"/>
    <m/>
    <s v="Voditelj Poslovnice"/>
    <s v="Voditelj poslovnice"/>
    <s v="NEODREĐENO"/>
    <m/>
    <s v="PUNO"/>
    <n v="40"/>
    <s v="nema jos"/>
    <m/>
    <m/>
    <m/>
    <m/>
    <m/>
    <s v="Opatija"/>
    <m/>
    <m/>
    <m/>
    <s v="NE"/>
    <n v="20503.87"/>
    <n v="1"/>
    <n v="13590"/>
    <m/>
    <m/>
    <m/>
    <m/>
    <m/>
    <m/>
    <m/>
    <m/>
    <m/>
    <m/>
    <x v="1"/>
    <n v="9"/>
  </r>
  <r>
    <n v="457"/>
    <n v="44"/>
    <x v="29"/>
    <n v="31521842055"/>
    <s v="Robert Verebi"/>
    <s v="Ribarska 10"/>
    <x v="271"/>
    <d v="2022-03-07T00:00:00"/>
    <x v="3"/>
    <n v="93577206463"/>
    <s v="M-MUŠKO"/>
    <d v="1978-06-14T00:00:00"/>
    <s v="Osijek"/>
    <s v="HRVATSKO"/>
    <s v="Gornjodravska obala 80, Osijek"/>
    <s v="NE"/>
    <s v="SSS"/>
    <m/>
    <s v="Komercijalista"/>
    <s v="Komercijalista"/>
    <s v="NEODREĐENO"/>
    <m/>
    <s v="NEPUNO"/>
    <n v="10"/>
    <s v="HR86 24070003207063042"/>
    <m/>
    <m/>
    <m/>
    <m/>
    <m/>
    <s v="Osijek"/>
    <m/>
    <m/>
    <m/>
    <s v="NE"/>
    <n v="1062.5"/>
    <n v="1"/>
    <n v="850"/>
    <m/>
    <m/>
    <m/>
    <m/>
    <m/>
    <m/>
    <m/>
    <m/>
    <m/>
    <m/>
    <x v="1"/>
    <n v="1"/>
  </r>
  <r>
    <n v="458"/>
    <n v="26"/>
    <x v="13"/>
    <n v="95114485977"/>
    <s v="LAURA GERGELJ"/>
    <s v="SV.IVANA KRSTITELJA 15, DARDA"/>
    <x v="290"/>
    <d v="2022-03-02T00:00:00"/>
    <x v="152"/>
    <n v="81424777579"/>
    <s v="Ž-ŽENSKO"/>
    <d v="1984-09-30T00:00:00"/>
    <s v="Osijek"/>
    <s v="HRVATSKO"/>
    <s v="RAJNA 7, ZMAJEVAC"/>
    <s v="NE"/>
    <s v="SSS"/>
    <m/>
    <s v="ADMINISTRATIVNI REFE"/>
    <s v="ADMINISTRATIVNI REFE"/>
    <s v="ODREĐENO"/>
    <m/>
    <s v="PUNO"/>
    <n v="40"/>
    <s v="HR73 23400093230755993"/>
    <m/>
    <m/>
    <m/>
    <m/>
    <m/>
    <s v="Osijek"/>
    <m/>
    <m/>
    <m/>
    <s v="NE"/>
    <n v="4687.5"/>
    <n v="1"/>
    <n v="3750"/>
    <m/>
    <m/>
    <m/>
    <m/>
    <m/>
    <m/>
    <m/>
    <m/>
    <m/>
    <m/>
    <x v="0"/>
    <n v="12"/>
  </r>
  <r>
    <n v="459"/>
    <n v="26"/>
    <x v="13"/>
    <n v="95114485977"/>
    <s v="LAURA GERGELJ"/>
    <s v="SV.IVANA KRSTITELJA 15, DARDA"/>
    <x v="290"/>
    <d v="2022-03-07T00:00:00"/>
    <x v="153"/>
    <n v="81424777579"/>
    <s v="Ž-ŽENSKO"/>
    <d v="1984-09-30T00:00:00"/>
    <s v="Osijek"/>
    <s v="HRVATSKO"/>
    <s v="RAJNA 7, ZMAJEVAC"/>
    <s v="NE"/>
    <s v="SSS"/>
    <m/>
    <s v="Administrativni referent"/>
    <s v="Administrativni referent"/>
    <s v="ODREĐENO"/>
    <m/>
    <s v="PUNO"/>
    <n v="40"/>
    <s v="HR73 23400093230755993"/>
    <m/>
    <m/>
    <m/>
    <m/>
    <m/>
    <s v="Osijek"/>
    <m/>
    <m/>
    <m/>
    <s v="NE"/>
    <n v="4687.5"/>
    <n v="1"/>
    <n v="3750"/>
    <m/>
    <m/>
    <m/>
    <m/>
    <m/>
    <m/>
    <m/>
    <m/>
    <m/>
    <m/>
    <x v="0"/>
    <n v="13"/>
  </r>
  <r>
    <n v="460"/>
    <n v="43"/>
    <x v="28"/>
    <n v="69769519663"/>
    <s v="ZSANETT OLÁH"/>
    <s v="Ulica Lorenza Jägera 2"/>
    <x v="291"/>
    <d v="2022-04-06T00:00:00"/>
    <x v="3"/>
    <n v="61380711034"/>
    <s v="M-MUŠKO"/>
    <d v="1971-08-31T00:00:00"/>
    <s v="Pirok"/>
    <s v="MAKEDONSKO"/>
    <s v="Put Vrutki 13, Opatija"/>
    <s v="NE"/>
    <s v="NKV"/>
    <m/>
    <s v="Konobar"/>
    <s v="Konobar"/>
    <s v="ODREĐENO"/>
    <d v="2023-01-06T00:00:00"/>
    <s v="PUNO"/>
    <n v="40"/>
    <s v="HR9723900013207908793"/>
    <m/>
    <m/>
    <m/>
    <m/>
    <m/>
    <s v="Opatija"/>
    <m/>
    <m/>
    <m/>
    <s v="NE"/>
    <n v="6562.5"/>
    <n v="1"/>
    <n v="5000"/>
    <m/>
    <m/>
    <m/>
    <m/>
    <m/>
    <m/>
    <m/>
    <m/>
    <m/>
    <m/>
    <x v="1"/>
    <n v="10"/>
  </r>
  <r>
    <n v="461"/>
    <n v="36"/>
    <x v="20"/>
    <n v="45575918003"/>
    <s v="Balázs Kulcsár"/>
    <s v="Ribarska 10"/>
    <x v="258"/>
    <d v="2022-04-22T00:00:00"/>
    <x v="3"/>
    <n v="93734201839"/>
    <s v="M-MUŠKO"/>
    <d v="1959-06-28T00:00:00"/>
    <s v="Bijelo Brdo"/>
    <s v="HRVATSKO"/>
    <s v="Zeleno polje 12, Osijek"/>
    <s v="NE"/>
    <s v="SSS"/>
    <m/>
    <s v="Telefonist-operater u call c."/>
    <s v="Telefonist-operater u call c."/>
    <s v="ODREĐENO"/>
    <d v="2022-05-31T00:00:00"/>
    <s v="PUNO"/>
    <n v="40"/>
    <s v="HR5523600003216251175"/>
    <m/>
    <m/>
    <m/>
    <m/>
    <m/>
    <s v="Osijek"/>
    <m/>
    <m/>
    <m/>
    <s v="NE"/>
    <n v="4687.5"/>
    <n v="1"/>
    <n v="3750"/>
    <m/>
    <m/>
    <m/>
    <m/>
    <m/>
    <m/>
    <m/>
    <m/>
    <m/>
    <m/>
    <x v="1"/>
    <n v="51"/>
  </r>
  <r>
    <n v="462"/>
    <n v="36"/>
    <x v="20"/>
    <n v="45575918003"/>
    <s v="Balázs Kulcsár"/>
    <s v="Ribarska 10"/>
    <x v="269"/>
    <d v="2022-04-25T00:00:00"/>
    <x v="3"/>
    <n v="37668929985"/>
    <s v="Ž-ŽENSKO"/>
    <d v="1993-05-29T00:00:00"/>
    <s v="Osijek"/>
    <s v="HRVATSKO"/>
    <s v="Vijenac Petrove Gore 3, Osijek"/>
    <s v="NE"/>
    <s v="SSS"/>
    <m/>
    <s v="Telefonist-operater u call c."/>
    <s v="Telefonist-operater u call c."/>
    <s v="ODREĐENO"/>
    <d v="2022-05-31T00:00:00"/>
    <s v="PUNO"/>
    <n v="40"/>
    <s v="HR7323400093235376588"/>
    <m/>
    <m/>
    <m/>
    <m/>
    <m/>
    <s v="Osijek"/>
    <m/>
    <m/>
    <m/>
    <s v="NE"/>
    <n v="4687.5"/>
    <n v="1"/>
    <n v="3750"/>
    <m/>
    <m/>
    <m/>
    <m/>
    <m/>
    <m/>
    <m/>
    <m/>
    <m/>
    <m/>
    <x v="1"/>
    <n v="52"/>
  </r>
  <r>
    <n v="463"/>
    <n v="36"/>
    <x v="20"/>
    <n v="45575918003"/>
    <s v="Balázs Kulcsár"/>
    <s v="Ribarska 10"/>
    <x v="292"/>
    <d v="2022-04-25T00:00:00"/>
    <x v="3"/>
    <n v="51677950252"/>
    <s v="Ž-ŽENSKO"/>
    <d v="1992-02-03T00:00:00"/>
    <s v="Mohač"/>
    <s v="HRVATSKO"/>
    <s v="Kneževačka ulica 3, Branjin Vrh"/>
    <s v="NE"/>
    <s v="SSS"/>
    <m/>
    <s v="Telefonist-operater u call c."/>
    <s v="Telefonist-operater u call c."/>
    <s v="ODREĐENO"/>
    <d v="2022-05-31T00:00:00"/>
    <s v="PUNO"/>
    <n v="40"/>
    <s v="HR1923400093215227071"/>
    <m/>
    <m/>
    <m/>
    <m/>
    <m/>
    <s v="Osijek"/>
    <m/>
    <m/>
    <m/>
    <s v="NE"/>
    <n v="4687.5"/>
    <n v="1"/>
    <n v="3750"/>
    <m/>
    <m/>
    <m/>
    <m/>
    <m/>
    <m/>
    <m/>
    <m/>
    <m/>
    <m/>
    <x v="1"/>
    <n v="53"/>
  </r>
  <r>
    <n v="464"/>
    <n v="42"/>
    <x v="27"/>
    <n v="24279864703"/>
    <s v="Robert Verebi"/>
    <s v="Kralja Zvonimira 61, Bilje"/>
    <x v="272"/>
    <d v="2022-04-01T00:00:00"/>
    <x v="3"/>
    <n v="93461065246"/>
    <s v="M-MUŠKO"/>
    <d v="1974-05-07T00:00:00"/>
    <m/>
    <m/>
    <s v="M.R. Štefanika 1221/60, Slovačka"/>
    <s v="NE"/>
    <s v="VSS"/>
    <m/>
    <s v="Poslovođa"/>
    <s v="Poslovođa"/>
    <s v="NEODREĐENO"/>
    <m/>
    <s v="PUNO"/>
    <n v="40"/>
    <m/>
    <m/>
    <m/>
    <m/>
    <m/>
    <m/>
    <m/>
    <m/>
    <m/>
    <m/>
    <m/>
    <n v="38914.74"/>
    <m/>
    <m/>
    <m/>
    <m/>
    <m/>
    <m/>
    <m/>
    <m/>
    <m/>
    <m/>
    <m/>
    <m/>
    <x v="1"/>
    <n v="3"/>
  </r>
  <r>
    <n v="465"/>
    <n v="36"/>
    <x v="20"/>
    <n v="45575918003"/>
    <s v="Balázs Kulcsár"/>
    <s v="Ribarska 10"/>
    <x v="293"/>
    <d v="2022-04-26T00:00:00"/>
    <x v="3"/>
    <n v="37139447881"/>
    <s v="Ž-ŽENSKO"/>
    <d v="2003-03-07T00:00:00"/>
    <s v="Osijek"/>
    <s v="HRVATSKO"/>
    <s v="Ulica Nikole Šubića Zrinjskog 32, Višnjevac"/>
    <s v="NE"/>
    <s v="SSS"/>
    <m/>
    <s v="Telefonist-operater u call c."/>
    <s v="Telefonist-operater u call c."/>
    <s v="ODREĐENO"/>
    <d v="2022-05-31T00:00:00"/>
    <s v="PUNO"/>
    <n v="40"/>
    <s v="HR3424840083237078596"/>
    <m/>
    <m/>
    <m/>
    <m/>
    <m/>
    <s v="Osijek"/>
    <m/>
    <m/>
    <m/>
    <s v="NE"/>
    <n v="4687.5"/>
    <n v="1"/>
    <n v="3750"/>
    <m/>
    <m/>
    <m/>
    <m/>
    <m/>
    <m/>
    <m/>
    <m/>
    <m/>
    <m/>
    <x v="1"/>
    <n v="54"/>
  </r>
  <r>
    <n v="466"/>
    <n v="36"/>
    <x v="20"/>
    <n v="45575918003"/>
    <s v="Balázs Kulcsár"/>
    <s v="Ribarska 10"/>
    <x v="294"/>
    <d v="2022-04-28T00:00:00"/>
    <x v="3"/>
    <n v="92468677273"/>
    <s v="Ž-ŽENSKO"/>
    <d v="1984-12-08T00:00:00"/>
    <s v="Osijek"/>
    <s v="HRVATSKO"/>
    <s v="Ivana Gundulića 3A, Osijek"/>
    <s v="NE"/>
    <s v="VKV"/>
    <m/>
    <s v="Telefonist-operater u call c."/>
    <s v="Telefonist-operater u call c."/>
    <s v="ODREĐENO"/>
    <d v="2022-05-13T00:00:00"/>
    <s v="PUNO"/>
    <n v="40"/>
    <s v="HR8523400093230335670"/>
    <m/>
    <m/>
    <m/>
    <m/>
    <m/>
    <s v="Osijek"/>
    <m/>
    <m/>
    <m/>
    <s v="NE"/>
    <n v="4687.5"/>
    <n v="1"/>
    <n v="3750"/>
    <m/>
    <m/>
    <m/>
    <m/>
    <m/>
    <m/>
    <m/>
    <m/>
    <m/>
    <m/>
    <x v="1"/>
    <n v="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48">
  <r>
    <m/>
    <x v="0"/>
    <n v="0"/>
    <n v="1"/>
    <x v="0"/>
    <n v="40919552412"/>
    <e v="#REF!"/>
    <s v="J.J. Strossmayera 333, 31000 Osijek"/>
    <x v="0"/>
    <x v="0"/>
    <d v="2016-12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AKTIVAN"/>
    <n v="0"/>
  </r>
  <r>
    <n v="1"/>
    <x v="1"/>
    <n v="1"/>
    <n v="3"/>
    <x v="1"/>
    <s v="09677499852"/>
    <s v="Zoltan Terek"/>
    <s v="Južno Pregrađe 38, Osijek"/>
    <x v="1"/>
    <x v="1"/>
    <d v="2020-07-06T00:00:00"/>
    <n v="39112878817"/>
    <s v="Ž-ŽENSKO"/>
    <d v="1983-09-27T00:00:00"/>
    <s v="OSIJEK"/>
    <s v="HRVATSKO"/>
    <s v="TENJA"/>
    <s v="NE"/>
    <s v="SSS"/>
    <m/>
    <s v="ADMINISTRATOR"/>
    <s v="ADMINISTRATOR"/>
    <s v="NEODREĐENO"/>
    <m/>
    <s v="PUNO"/>
    <n v="40"/>
    <m/>
    <m/>
    <m/>
    <m/>
    <m/>
    <m/>
    <s v="Osijek"/>
    <m/>
    <m/>
    <m/>
    <s v="DA"/>
    <n v="3276"/>
    <m/>
    <m/>
    <n v="789"/>
    <m/>
    <m/>
    <m/>
    <m/>
    <m/>
    <m/>
    <m/>
    <m/>
    <m/>
    <s v="NEAKTIVAN"/>
    <n v="1"/>
  </r>
  <r>
    <n v="2"/>
    <x v="1"/>
    <n v="2"/>
    <n v="3"/>
    <x v="1"/>
    <s v="09677499852"/>
    <s v="Zoltan Terek"/>
    <s v="Južno Pregrađe 38, Osijek"/>
    <x v="2"/>
    <x v="2"/>
    <d v="2017-04-30T00:00:00"/>
    <n v="16492860682"/>
    <s v="M-MUŠKO"/>
    <d v="1961-06-28T00:00:00"/>
    <s v="OSIJEK"/>
    <s v="HRVATSKO"/>
    <s v="OSIJEK"/>
    <s v="NE"/>
    <s v="SSS"/>
    <m/>
    <s v="KOMERCIJALISTA"/>
    <s v="KOMERCIJALA"/>
    <s v="ODREĐENO"/>
    <d v="2017-04-30T00:00:00"/>
    <s v="PUNO"/>
    <n v="40"/>
    <m/>
    <m/>
    <m/>
    <m/>
    <m/>
    <m/>
    <s v="Osijek"/>
    <m/>
    <m/>
    <m/>
    <s v="NE"/>
    <n v="3276"/>
    <m/>
    <m/>
    <m/>
    <m/>
    <m/>
    <m/>
    <m/>
    <m/>
    <m/>
    <m/>
    <m/>
    <m/>
    <s v="NEAKTIVAN"/>
    <n v="2"/>
  </r>
  <r>
    <n v="3"/>
    <x v="2"/>
    <n v="3"/>
    <n v="3"/>
    <x v="1"/>
    <s v="09677499852"/>
    <s v="Zoltan Terek"/>
    <s v="Južno Pregrađe 38, Osijek"/>
    <x v="3"/>
    <x v="3"/>
    <m/>
    <n v="60374543571"/>
    <s v="M-MUŠKO"/>
    <d v="1967-12-03T00:00:00"/>
    <s v="POŽEGA"/>
    <s v="HRVATSKO"/>
    <s v="FERIČANCI"/>
    <s v="NE"/>
    <s v="SSS"/>
    <m/>
    <s v="KOMERCIJALIST "/>
    <s v="KOMERCIJALA NA TERENU"/>
    <s v="NEODREĐENO"/>
    <m/>
    <s v="PUNO"/>
    <n v="40"/>
    <m/>
    <m/>
    <m/>
    <m/>
    <m/>
    <m/>
    <s v="Osijek"/>
    <m/>
    <m/>
    <m/>
    <s v="NE"/>
    <n v="5089.67"/>
    <n v="1"/>
    <n v="4000"/>
    <m/>
    <m/>
    <m/>
    <n v="20"/>
    <m/>
    <m/>
    <m/>
    <m/>
    <m/>
    <m/>
    <s v="AKTIVAN"/>
    <n v="3"/>
  </r>
  <r>
    <n v="4"/>
    <x v="1"/>
    <n v="4"/>
    <n v="3"/>
    <x v="1"/>
    <s v="09677499852"/>
    <s v="Zoltan Terek"/>
    <s v="Južno Pregrađe 38, Osijek"/>
    <x v="4"/>
    <x v="4"/>
    <d v="2018-04-30T00:00:00"/>
    <n v="71227367665"/>
    <s v="M-MUŠKO"/>
    <d v="1974-05-16T00:00:00"/>
    <s v="ZAGREB"/>
    <s v="HRVATSKO"/>
    <s v="SUHOPOLJE"/>
    <s v="NE"/>
    <s v="SSS"/>
    <m/>
    <s v="KOMERCIJALIST "/>
    <s v="KOMERCIJALA NA TERENU"/>
    <s v="NEODREĐENO"/>
    <m/>
    <s v="PUNO"/>
    <n v="40"/>
    <m/>
    <m/>
    <m/>
    <m/>
    <m/>
    <m/>
    <s v="Osijek"/>
    <m/>
    <m/>
    <m/>
    <s v="NE"/>
    <n v="3439.8"/>
    <m/>
    <m/>
    <m/>
    <m/>
    <m/>
    <n v="20"/>
    <m/>
    <m/>
    <m/>
    <m/>
    <m/>
    <m/>
    <s v="NEAKTIVAN"/>
    <n v="4"/>
  </r>
  <r>
    <n v="5"/>
    <x v="1"/>
    <n v="5"/>
    <n v="3"/>
    <x v="1"/>
    <s v="09677499852"/>
    <s v="Zoltan Terek"/>
    <s v="Južno Pregrađe 38, Osijek"/>
    <x v="5"/>
    <x v="4"/>
    <d v="2018-08-31T00:00:00"/>
    <n v="43576534952"/>
    <s v="M-MUŠKO"/>
    <d v="1968-03-26T00:00:00"/>
    <s v="OSIJEK"/>
    <s v="HRVATSKO"/>
    <s v="SUZA"/>
    <s v="NE"/>
    <s v="SSS"/>
    <m/>
    <s v="KOMERCIJALIST "/>
    <s v="KOMERCIJALA NA TERENU"/>
    <s v="NEODREĐENO"/>
    <m/>
    <s v="PUNO"/>
    <n v="40"/>
    <m/>
    <m/>
    <m/>
    <m/>
    <m/>
    <m/>
    <s v="Osijek"/>
    <m/>
    <m/>
    <m/>
    <s v="NE"/>
    <n v="3820"/>
    <m/>
    <m/>
    <m/>
    <m/>
    <m/>
    <n v="20"/>
    <m/>
    <m/>
    <m/>
    <m/>
    <m/>
    <m/>
    <s v="NEAKTIVAN"/>
    <n v="5"/>
  </r>
  <r>
    <n v="6"/>
    <x v="1"/>
    <n v="6"/>
    <n v="3"/>
    <x v="1"/>
    <s v="09677499852"/>
    <s v="Zoltan Terek"/>
    <s v="Južno Pregrađe 38, Osijek"/>
    <x v="6"/>
    <x v="3"/>
    <d v="2017-07-28T00:00:00"/>
    <n v="92077518820"/>
    <s v="M-MUŠKO"/>
    <d v="1982-07-14T00:00:00"/>
    <s v="VILJEVO"/>
    <s v="HRVATSKO"/>
    <s v="VILJEVO"/>
    <s v="NE"/>
    <s v="SSS"/>
    <m/>
    <s v="KOMERCIJALIST "/>
    <s v="KOMERCIJALA NA TERENU"/>
    <s v="NEODREĐENO"/>
    <m/>
    <s v="NEPUNO"/>
    <n v="20"/>
    <m/>
    <m/>
    <m/>
    <m/>
    <m/>
    <m/>
    <s v="Osijek"/>
    <m/>
    <m/>
    <m/>
    <s v="NE"/>
    <n v="3276"/>
    <m/>
    <m/>
    <m/>
    <m/>
    <m/>
    <m/>
    <m/>
    <m/>
    <m/>
    <m/>
    <m/>
    <m/>
    <s v="NEAKTIVAN"/>
    <n v="6"/>
  </r>
  <r>
    <n v="1"/>
    <x v="1"/>
    <n v="7"/>
    <n v="6"/>
    <x v="2"/>
    <n v="28718529165"/>
    <s v="Anita Szalai"/>
    <s v="J.J. Strossmayera 333, 31000 Osijek"/>
    <x v="7"/>
    <x v="5"/>
    <d v="2017-12-31T00:00:00"/>
    <n v="60253869864"/>
    <s v="Ž-ŽENSKO"/>
    <d v="1983-01-06T00:00:00"/>
    <s v="OSIJEK"/>
    <s v="HRVATSKO"/>
    <s v="Frankopanska 190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5"/>
    <m/>
    <m/>
    <n v="8"/>
    <s v="18.12.2017.-29.12.2017."/>
    <m/>
    <n v="-3"/>
    <s v="NEAKTIVAN"/>
    <n v="1"/>
  </r>
  <r>
    <n v="2"/>
    <x v="1"/>
    <n v="8"/>
    <n v="6"/>
    <x v="2"/>
    <n v="28718529165"/>
    <s v="Anita Szalai"/>
    <s v="J.J. Strossmayera 333, 31000 Osijek"/>
    <x v="8"/>
    <x v="6"/>
    <d v="2017-11-07T00:00:00"/>
    <n v="66048944249"/>
    <s v="M-MUŠKO"/>
    <d v="1981-10-25T00:00:00"/>
    <s v="OSIJEK"/>
    <s v="HRVATSKO"/>
    <s v="Sjenjak 48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5"/>
    <m/>
    <m/>
    <n v="9"/>
    <s v="18.12.2017.-02.01.2018."/>
    <m/>
    <n v="-4"/>
    <s v="NEAKTIVAN"/>
    <n v="2"/>
  </r>
  <r>
    <n v="3"/>
    <x v="1"/>
    <n v="9"/>
    <n v="6"/>
    <x v="2"/>
    <n v="28718529165"/>
    <s v="Anita Szalai"/>
    <s v="J.J. Strossmayera 333, 31000 Osijek"/>
    <x v="9"/>
    <x v="7"/>
    <d v="2017-11-09T00:00:00"/>
    <n v="67658425556"/>
    <s v="M-MUŠKO"/>
    <d v="1996-03-25T00:00:00"/>
    <s v="ZAGREB"/>
    <s v="HRVATSKO"/>
    <s v="Jovana Gojkovića 6 A, Osijek"/>
    <s v="NE"/>
    <s v="SSS"/>
    <m/>
    <s v="Trgovački dem. i prodavač"/>
    <s v="Trgovački dem. i prodavač"/>
    <s v="NEODREĐENO"/>
    <m/>
    <s v="PUNO"/>
    <n v="40"/>
    <m/>
    <m/>
    <m/>
    <m/>
    <m/>
    <m/>
    <s v="RAZNA MJESTA"/>
    <m/>
    <m/>
    <m/>
    <s v="NE"/>
    <n v="4375"/>
    <n v="1"/>
    <n v="3500"/>
    <m/>
    <m/>
    <m/>
    <n v="4"/>
    <m/>
    <m/>
    <n v="9"/>
    <s v="18.12.2017.-02.01.2018."/>
    <m/>
    <n v="-5"/>
    <s v="NEAKTIVAN"/>
    <n v="3"/>
  </r>
  <r>
    <n v="4"/>
    <x v="1"/>
    <n v="10"/>
    <n v="6"/>
    <x v="2"/>
    <n v="28718529165"/>
    <s v="Anita Szalai"/>
    <s v="J.J. Strossmayera 333, 31000 Osijek"/>
    <x v="10"/>
    <x v="7"/>
    <d v="2017-12-31T00:00:00"/>
    <n v="18058630382"/>
    <s v="M-MUŠKO"/>
    <d v="1995-07-16T00:00:00"/>
    <s v="OSIJEK"/>
    <s v="HRVATSKO"/>
    <s v="I.G. Kovačića 25, Donji Miholjac"/>
    <s v="NE"/>
    <s v="SSS"/>
    <m/>
    <s v="Trgovački dem. i prodavač"/>
    <s v="Trgovački dem. i prodavač"/>
    <s v="NEODREĐENO"/>
    <m/>
    <s v="PUNO"/>
    <n v="40"/>
    <m/>
    <m/>
    <m/>
    <m/>
    <m/>
    <m/>
    <s v="RAZNA MJESTA"/>
    <m/>
    <m/>
    <m/>
    <s v="NE"/>
    <n v="4375"/>
    <n v="1"/>
    <n v="3500"/>
    <m/>
    <m/>
    <m/>
    <n v="4"/>
    <m/>
    <m/>
    <n v="9"/>
    <s v="18.12.2017.-02.01.2018."/>
    <m/>
    <n v="-5"/>
    <s v="NEAKTIVAN"/>
    <n v="4"/>
  </r>
  <r>
    <n v="5"/>
    <x v="1"/>
    <n v="11"/>
    <n v="6"/>
    <x v="2"/>
    <n v="28718529165"/>
    <s v="Anita Szalai"/>
    <s v="J.J. Strossmayera 333, 31000 Osijek"/>
    <x v="11"/>
    <x v="8"/>
    <d v="2017-12-31T00:00:00"/>
    <s v="09559707905"/>
    <s v="Ž-ŽENSKO"/>
    <d v="1988-05-04T00:00:00"/>
    <s v="OSIJEK"/>
    <s v="HRVATSKO"/>
    <s v="Duga Ulica 9, Briješće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29.12.2017."/>
    <m/>
    <n v="-4"/>
    <s v="NEAKTIVAN"/>
    <n v="5"/>
  </r>
  <r>
    <n v="6"/>
    <x v="1"/>
    <n v="12"/>
    <n v="6"/>
    <x v="2"/>
    <n v="28718529165"/>
    <s v="Anita Szalai"/>
    <s v="J.J. Strossmayera 333, 31000 Osijek"/>
    <x v="12"/>
    <x v="9"/>
    <d v="2017-12-31T00:00:00"/>
    <n v="20112988151"/>
    <s v="Ž-ŽENSKO"/>
    <d v="1980-09-14T00:00:00"/>
    <s v="Travnik, BIH"/>
    <s v="HRVATSKO"/>
    <s v="Luke Botić 25, Tenja"/>
    <s v="NE"/>
    <s v="V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29.12.2017."/>
    <m/>
    <n v="-4"/>
    <s v="NEAKTIVAN"/>
    <n v="6"/>
  </r>
  <r>
    <n v="7"/>
    <x v="1"/>
    <n v="13"/>
    <n v="6"/>
    <x v="2"/>
    <n v="28718529165"/>
    <s v="Anita Szalai"/>
    <s v="J.J. Strossmayera 333, 31000 Osijek"/>
    <x v="13"/>
    <x v="10"/>
    <d v="2017-12-31T00:00:00"/>
    <n v="46438404550"/>
    <s v="Ž-ŽENSKO"/>
    <d v="1988-04-08T00:00:00"/>
    <s v="OSIJEK"/>
    <s v="HRVATSKO"/>
    <s v="Duga 50 A, Ivanovac, Antun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29.12.2017."/>
    <m/>
    <n v="-4"/>
    <s v="NEAKTIVAN"/>
    <n v="7"/>
  </r>
  <r>
    <n v="8"/>
    <x v="1"/>
    <n v="14"/>
    <n v="6"/>
    <x v="2"/>
    <n v="28718529165"/>
    <s v="Anita Szalai"/>
    <s v="J.J. Strossmayera 333, 31000 Osijek"/>
    <x v="14"/>
    <x v="10"/>
    <d v="2017-12-31T00:00:00"/>
    <s v="01420891136"/>
    <s v="Ž-ŽENSKO"/>
    <d v="1995-04-03T00:00:00"/>
    <s v="OSIJEK"/>
    <s v="HRVATSKO"/>
    <s v="Sjenjak 46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29.12.2017."/>
    <m/>
    <n v="-4"/>
    <s v="NEAKTIVAN"/>
    <n v="8"/>
  </r>
  <r>
    <n v="9"/>
    <x v="1"/>
    <n v="15"/>
    <n v="6"/>
    <x v="2"/>
    <n v="28718529165"/>
    <s v="Anita Szalai"/>
    <s v="J.J. Strossmayera 333, 31000 Osijek"/>
    <x v="15"/>
    <x v="11"/>
    <d v="2017-12-31T00:00:00"/>
    <s v="71740309634"/>
    <s v="Ž-ŽENSKO"/>
    <d v="1989-06-25T00:00:00"/>
    <s v="OSIJEK"/>
    <s v="HRVATSKO"/>
    <s v="Umaška 8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31.12.2017."/>
    <m/>
    <n v="-4"/>
    <s v="NEAKTIVAN"/>
    <n v="9"/>
  </r>
  <r>
    <n v="10"/>
    <x v="1"/>
    <n v="16"/>
    <n v="6"/>
    <x v="2"/>
    <n v="28718529165"/>
    <s v="Anita Szalai"/>
    <s v="J.J. Strossmayera 333, 31000 Osijek"/>
    <x v="16"/>
    <x v="12"/>
    <d v="2017-11-28T00:00:00"/>
    <s v="17153736363"/>
    <s v="M-MUŠKO"/>
    <d v="1990-05-31T00:00:00"/>
    <s v="OSIJEK"/>
    <s v="HRVATSKO"/>
    <s v="Ulica Augusta Šenoe 7, Biz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m/>
    <n v="2620.8000000000002"/>
    <m/>
    <m/>
    <m/>
    <n v="3"/>
    <m/>
    <m/>
    <n v="9"/>
    <s v="18.12.2017.-02.01.2018."/>
    <m/>
    <n v="-6"/>
    <s v="NEAKTIVAN"/>
    <n v="10"/>
  </r>
  <r>
    <n v="11"/>
    <x v="1"/>
    <n v="17"/>
    <n v="6"/>
    <x v="2"/>
    <n v="28718529165"/>
    <s v="Anita Szalai"/>
    <s v="J.J. Strossmayera 333, 31000 Osijek"/>
    <x v="17"/>
    <x v="13"/>
    <d v="2017-12-31T00:00:00"/>
    <s v="04752700030"/>
    <s v="Ž-ŽENSKO"/>
    <d v="1998-12-16T00:00:00"/>
    <s v="OSIJEK"/>
    <s v="HRVATSKO"/>
    <s v="Petefi Šandora 33, Kotlina, Kneževi Vinograd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3"/>
    <m/>
    <m/>
    <n v="9"/>
    <s v="18.12.2017.-02.01.2018."/>
    <m/>
    <n v="-6"/>
    <s v="NEAKTIVAN"/>
    <n v="11"/>
  </r>
  <r>
    <n v="12"/>
    <x v="1"/>
    <n v="18"/>
    <n v="6"/>
    <x v="2"/>
    <n v="28718529165"/>
    <s v="Anita Szalai"/>
    <s v="J.J. Strossmayera 333, 31000 Osijek"/>
    <x v="18"/>
    <x v="14"/>
    <d v="2017-12-31T00:00:00"/>
    <s v="09788459842"/>
    <s v="M-MUŠKO"/>
    <d v="1991-11-04T00:00:00"/>
    <s v="Našice"/>
    <s v="HRVATSKO"/>
    <s v="Kolodvorska 78 A, Feričanci"/>
    <s v="NE"/>
    <s v="VŠ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3"/>
    <m/>
    <m/>
    <n v="8"/>
    <s v="18.12.2017.-29.12.2017."/>
    <m/>
    <n v="-5"/>
    <s v="NEAKTIVAN"/>
    <n v="12"/>
  </r>
  <r>
    <n v="13"/>
    <x v="1"/>
    <n v="19"/>
    <n v="6"/>
    <x v="2"/>
    <n v="28718529165"/>
    <s v="Anita Szalai"/>
    <s v="J.J. Strossmayera 333, 31000 Osijek"/>
    <x v="19"/>
    <x v="15"/>
    <d v="2017-12-31T00:00:00"/>
    <s v="19240198595"/>
    <s v="M-MUŠKO"/>
    <d v="1998-07-09T00:00:00"/>
    <s v="OSIJEK"/>
    <s v="HRVATSKO"/>
    <s v="Krstova 6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n v="0"/>
    <s v="NEAKTIVAN"/>
    <n v="13"/>
  </r>
  <r>
    <n v="14"/>
    <x v="1"/>
    <n v="20"/>
    <n v="6"/>
    <x v="2"/>
    <n v="28718529165"/>
    <s v="Anita Szalai"/>
    <s v="J.J. Strossmayera 333, 31000 Osijek"/>
    <x v="20"/>
    <x v="16"/>
    <d v="2017-12-31T00:00:00"/>
    <s v="60536718657"/>
    <s v="M-MUŠKO"/>
    <d v="1973-06-19T00:00:00"/>
    <m/>
    <s v="HRVATSKO"/>
    <s v="Ivana Meštrovića 43, Darda"/>
    <s v="NE"/>
    <s v="SSS"/>
    <m/>
    <s v="Poslovođa"/>
    <s v="Poslovođa"/>
    <s v="NEODREĐENO"/>
    <m/>
    <s v="PUNO"/>
    <n v="40"/>
    <m/>
    <m/>
    <m/>
    <m/>
    <m/>
    <m/>
    <s v="Osijek"/>
    <m/>
    <m/>
    <m/>
    <s v="NE"/>
    <n v="7590.92"/>
    <m/>
    <n v="5500"/>
    <m/>
    <m/>
    <m/>
    <m/>
    <m/>
    <m/>
    <m/>
    <m/>
    <m/>
    <n v="0"/>
    <s v="NEAKTIVAN"/>
    <n v="14"/>
  </r>
  <r>
    <m/>
    <x v="2"/>
    <n v="21"/>
    <m/>
    <x v="3"/>
    <e v="#N/A"/>
    <e v="#N/A"/>
    <e v="#N/A"/>
    <x v="21"/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AKTIVAN"/>
    <n v="0"/>
  </r>
  <r>
    <n v="1"/>
    <x v="1"/>
    <n v="22"/>
    <n v="9"/>
    <x v="4"/>
    <n v="46869408875"/>
    <s v="Rudolf Gergelj"/>
    <s v="J.J. Strossmayera 333, 31000 Osijek"/>
    <x v="22"/>
    <x v="18"/>
    <d v="2018-05-24T00:00:00"/>
    <s v="38288739117"/>
    <s v="Ž-ŽENSKO"/>
    <d v="1968-04-15T00:00:00"/>
    <s v="OSIJEK"/>
    <s v="HRVATSKO"/>
    <s v="Maršala Tita 132., Zma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8426.4599999999991"/>
    <n v="1"/>
    <n v="6000"/>
    <m/>
    <m/>
    <m/>
    <n v="20"/>
    <n v="12"/>
    <s v="28.07.2018-15.08.2018"/>
    <n v="12"/>
    <s v="14.12.2018-31.12.2018"/>
    <m/>
    <n v="0"/>
    <s v="NEAKTIVAN"/>
    <n v="2"/>
  </r>
  <r>
    <n v="2"/>
    <x v="1"/>
    <n v="23"/>
    <n v="9"/>
    <x v="4"/>
    <n v="46869408875"/>
    <s v="Rudolf Gergelj"/>
    <s v="J.J. Strossmayera 333, 31000 Osijek"/>
    <x v="23"/>
    <x v="18"/>
    <d v="2018-05-24T00:00:00"/>
    <s v="92132715760"/>
    <s v="M-MUŠKO"/>
    <d v="1993-03-10T00:00:00"/>
    <s v="OSIJEK"/>
    <s v="HRVATSKO"/>
    <s v="Šandora Petefija 57. Zma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2100"/>
    <m/>
    <m/>
    <n v="20"/>
    <n v="12"/>
    <s v="28.07.2018-15.08.2018"/>
    <n v="12"/>
    <s v="14.12.2018-31.12.2018"/>
    <m/>
    <n v="0"/>
    <s v="NEAKTIVAN"/>
    <n v="3"/>
  </r>
  <r>
    <n v="3"/>
    <x v="1"/>
    <n v="24"/>
    <n v="9"/>
    <x v="4"/>
    <n v="46869408875"/>
    <s v="Rudolf Gergelj"/>
    <s v="J.J. Strossmayera 333, 31000 Osijek"/>
    <x v="24"/>
    <x v="18"/>
    <d v="2018-05-24T00:00:00"/>
    <n v="24461973764"/>
    <s v="Ž-ŽENSKO"/>
    <d v="1993-03-11T00:00:00"/>
    <s v="OSIJEK"/>
    <s v="HRVATSKO"/>
    <s v="J.Pannoniusa 9., Branjin Vrh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600"/>
    <m/>
    <m/>
    <n v="20"/>
    <n v="12"/>
    <s v="28.07.2018-15.08.2018"/>
    <n v="12"/>
    <s v="14.12.2018-31.12.2018"/>
    <m/>
    <n v="0"/>
    <s v="NEAKTIVAN"/>
    <n v="4"/>
  </r>
  <r>
    <n v="4"/>
    <x v="1"/>
    <n v="25"/>
    <n v="9"/>
    <x v="4"/>
    <n v="46869408875"/>
    <s v="Rudolf Gergelj"/>
    <s v="J.J. Strossmayera 333, 31000 Osijek"/>
    <x v="25"/>
    <x v="18"/>
    <d v="2018-05-24T00:00:00"/>
    <s v="22044787722"/>
    <s v="M-MUŠKO"/>
    <d v="1993-03-12T00:00:00"/>
    <s v="OSIJEK"/>
    <s v="HRVATSKO"/>
    <s v="Glavna 100., Podolje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1000"/>
    <m/>
    <m/>
    <n v="20"/>
    <n v="12"/>
    <s v="28.07.2018-15.08.2018"/>
    <n v="12"/>
    <s v="14.12.2018-31.12.2018"/>
    <m/>
    <n v="0"/>
    <s v="NEAKTIVAN"/>
    <n v="5"/>
  </r>
  <r>
    <n v="5"/>
    <x v="1"/>
    <n v="26"/>
    <n v="9"/>
    <x v="4"/>
    <n v="46869408875"/>
    <s v="Rudolf Gergelj"/>
    <s v="J.J. Strossmayera 333, 31000 Osijek"/>
    <x v="26"/>
    <x v="18"/>
    <d v="2018-05-24T00:00:00"/>
    <s v="45227899437"/>
    <s v="M-MUŠKO"/>
    <d v="1993-03-13T00:00:00"/>
    <s v="OSIJEK"/>
    <s v="HRVATSKO"/>
    <s v="Maršala Tita 129., Suza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2000"/>
    <m/>
    <m/>
    <n v="20"/>
    <n v="12"/>
    <s v="28.07.2018-15.08.2018"/>
    <n v="12"/>
    <s v="14.12.2018-31.12.2018"/>
    <m/>
    <n v="0"/>
    <s v="NEAKTIVAN"/>
    <n v="6"/>
  </r>
  <r>
    <n v="6"/>
    <x v="1"/>
    <n v="27"/>
    <n v="9"/>
    <x v="4"/>
    <n v="46869408875"/>
    <s v="Rudolf Gergelj"/>
    <s v="J.J. Strossmayera 333, 31000 Osijek"/>
    <x v="27"/>
    <x v="18"/>
    <d v="2018-04-30T00:00:00"/>
    <s v="25820706885"/>
    <s v="M-MUŠKO"/>
    <d v="1993-03-20T00:00:00"/>
    <s v="OSIJEK"/>
    <s v="HRVATSKO"/>
    <s v="Josipa Kozarca 25., Višn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100"/>
    <m/>
    <m/>
    <n v="20"/>
    <n v="12"/>
    <s v="28.07.2018-15.08.2018"/>
    <n v="12"/>
    <s v="14.12.2018-31.12.2018"/>
    <m/>
    <n v="0"/>
    <s v="NEAKTIVAN"/>
    <n v="13"/>
  </r>
  <r>
    <n v="7"/>
    <x v="1"/>
    <n v="28"/>
    <n v="9"/>
    <x v="4"/>
    <n v="46869408875"/>
    <s v="Rudolf Gergelj"/>
    <s v="J.J. Strossmayera 333, 31000 Osijek"/>
    <x v="28"/>
    <x v="18"/>
    <d v="2018-04-12T00:00:00"/>
    <s v="32205914112"/>
    <s v="Ž-ŽENSKO"/>
    <d v="1993-12-24T00:00:00"/>
    <s v="OSIJEK"/>
    <s v="HRVATSKO"/>
    <s v="Adolfa Waldingera 4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n v="20"/>
    <n v="12"/>
    <s v="28.07.2018-15.08.2018"/>
    <n v="12"/>
    <s v="14.12.2018-31.12.2018"/>
    <m/>
    <n v="0"/>
    <s v="NEAKTIVAN"/>
    <n v="14"/>
  </r>
  <r>
    <n v="8"/>
    <x v="1"/>
    <n v="29"/>
    <n v="9"/>
    <x v="4"/>
    <n v="46869408875"/>
    <s v="Rudolf Gergelj"/>
    <s v="J.J. Strossmayera 333, 31000 Osijek"/>
    <x v="29"/>
    <x v="18"/>
    <d v="2018-04-30T00:00:00"/>
    <s v="91608925694"/>
    <s v="M-MUŠKO"/>
    <d v="1993-03-23T00:00:00"/>
    <s v="OSIJEK"/>
    <s v="HRVATSKO"/>
    <s v="Školska 52.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s v="NEAKTIVAN"/>
    <n v="16"/>
  </r>
  <r>
    <n v="9"/>
    <x v="1"/>
    <n v="30"/>
    <n v="9"/>
    <x v="4"/>
    <n v="46869408875"/>
    <s v="Rudolf Gergelj"/>
    <s v="J.J. Strossmayera 333, 31000 Osijek"/>
    <x v="30"/>
    <x v="18"/>
    <d v="2018-05-31T00:00:00"/>
    <s v="00951235574"/>
    <s v="M-MUŠKO"/>
    <d v="1993-03-25T00:00:00"/>
    <s v="OSIJEK"/>
    <s v="HRVATSKO"/>
    <s v="Vijenac Petrove Gore 13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18"/>
  </r>
  <r>
    <n v="10"/>
    <x v="1"/>
    <n v="31"/>
    <n v="9"/>
    <x v="4"/>
    <n v="46869408875"/>
    <s v="Rudolf Gergelj"/>
    <s v="J.J. Strossmayera 333, 31000 Osijek"/>
    <x v="31"/>
    <x v="18"/>
    <d v="2018-05-31T00:00:00"/>
    <s v="46651411474"/>
    <s v="Ž-ŽENSKO"/>
    <d v="1993-03-26T00:00:00"/>
    <s v="OSIJEK"/>
    <s v="HRVATSKO"/>
    <s v="Psunjska 93 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19"/>
  </r>
  <r>
    <n v="11"/>
    <x v="1"/>
    <n v="32"/>
    <n v="9"/>
    <x v="4"/>
    <n v="46869408875"/>
    <s v="Rudolf Gergelj"/>
    <s v="J.J. Strossmayera 333, 31000 Osijek"/>
    <x v="32"/>
    <x v="18"/>
    <d v="2018-05-31T00:00:00"/>
    <s v="16065838903"/>
    <s v="Ž-ŽENSKO"/>
    <d v="1993-03-27T00:00:00"/>
    <s v="OSIJEK"/>
    <s v="HRVATSKO"/>
    <s v="Martina Divalta 168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5093.03"/>
    <n v="1"/>
    <n v="4000"/>
    <n v="250"/>
    <m/>
    <m/>
    <n v="20"/>
    <n v="12"/>
    <s v="28.07.2018-15.08.2018"/>
    <n v="12"/>
    <s v="14.12.2018-31.12.2018"/>
    <m/>
    <n v="0"/>
    <s v="NEAKTIVAN"/>
    <n v="20"/>
  </r>
  <r>
    <n v="12"/>
    <x v="1"/>
    <n v="33"/>
    <n v="9"/>
    <x v="4"/>
    <n v="46869408875"/>
    <s v="Rudolf Gergelj"/>
    <s v="J.J. Strossmayera 333, 31000 Osijek"/>
    <x v="33"/>
    <x v="18"/>
    <d v="2018-05-31T00:00:00"/>
    <s v="91993718714"/>
    <s v="Ž-ŽENSKO"/>
    <d v="1993-03-28T00:00:00"/>
    <s v="OSIJEK"/>
    <s v="HRVATSKO"/>
    <s v="Josipa Kozarca 25., Višnje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21"/>
  </r>
  <r>
    <n v="13"/>
    <x v="1"/>
    <n v="34"/>
    <n v="9"/>
    <x v="4"/>
    <n v="46869408875"/>
    <s v="Rudolf Gergelj"/>
    <s v="J.J. Strossmayera 333, 31000 Osijek"/>
    <x v="34"/>
    <x v="18"/>
    <d v="2018-05-24T00:00:00"/>
    <s v="95416188835"/>
    <s v="Ž-ŽENSKO"/>
    <d v="1993-03-30T00:00:00"/>
    <s v="OSIJEK"/>
    <s v="HRVATSKO"/>
    <s v="Bosanska 13 b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23"/>
  </r>
  <r>
    <n v="14"/>
    <x v="1"/>
    <n v="35"/>
    <n v="9"/>
    <x v="4"/>
    <n v="46869408875"/>
    <s v="Rudolf Gergelj"/>
    <s v="J.J. Strossmayera 333, 31000 Osijek"/>
    <x v="35"/>
    <x v="18"/>
    <d v="2018-05-31T00:00:00"/>
    <s v="68121059947"/>
    <s v="Ž-ŽENSKO"/>
    <d v="1993-03-31T00:00:00"/>
    <s v="OSIJEK"/>
    <s v="HRVATSKO"/>
    <s v="Mlinska 100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24"/>
  </r>
  <r>
    <n v="15"/>
    <x v="1"/>
    <n v="36"/>
    <n v="9"/>
    <x v="4"/>
    <n v="46869408875"/>
    <s v="Rudolf Gergelj"/>
    <s v="J.J. Strossmayera 333, 31000 Osijek"/>
    <x v="36"/>
    <x v="18"/>
    <d v="2018-05-31T00:00:00"/>
    <s v="19036979307"/>
    <s v="Ž-ŽENSKO"/>
    <d v="1993-04-01T00:00:00"/>
    <s v="OSIJEK"/>
    <s v="HRVATSKO"/>
    <s v="Vijenac Dinare 5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25"/>
  </r>
  <r>
    <n v="16"/>
    <x v="1"/>
    <n v="37"/>
    <n v="9"/>
    <x v="4"/>
    <n v="46869408875"/>
    <s v="Rudolf Gergelj"/>
    <s v="J.J. Strossmayera 333, 31000 Osijek"/>
    <x v="37"/>
    <x v="18"/>
    <d v="2018-05-24T00:00:00"/>
    <s v="35395242811"/>
    <s v="Ž-ŽENSKO"/>
    <d v="1993-04-02T00:00:00"/>
    <s v="OSIJEK"/>
    <s v="HRVATSKO"/>
    <s v="J.J.Strossmayera 82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26"/>
  </r>
  <r>
    <n v="17"/>
    <x v="1"/>
    <n v="38"/>
    <n v="9"/>
    <x v="4"/>
    <n v="46869408875"/>
    <s v="Rudolf Gergelj"/>
    <s v="J.J. Strossmayera 333, 31000 Osijek"/>
    <x v="38"/>
    <x v="18"/>
    <d v="2018-05-31T00:00:00"/>
    <s v="73208771167"/>
    <s v="Ž-ŽENSKO"/>
    <d v="1993-04-03T00:00:00"/>
    <s v="OSIJEK"/>
    <s v="HRVATSKO"/>
    <s v="Osječka 188.,Tenj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27"/>
  </r>
  <r>
    <n v="18"/>
    <x v="1"/>
    <n v="39"/>
    <n v="9"/>
    <x v="4"/>
    <n v="46869408875"/>
    <s v="Rudolf Gergelj"/>
    <s v="J.J. Strossmayera 333, 31000 Osijek"/>
    <x v="39"/>
    <x v="18"/>
    <d v="2018-08-31T00:00:00"/>
    <s v="48678345053"/>
    <s v="Ž-ŽENSKO"/>
    <d v="1962-07-12T00:00:00"/>
    <s v="OSIJEK"/>
    <s v="HRVATSKO"/>
    <s v="Čvrsnička 21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29"/>
  </r>
  <r>
    <n v="19"/>
    <x v="1"/>
    <n v="40"/>
    <n v="9"/>
    <x v="4"/>
    <n v="46869408875"/>
    <s v="Rudolf Gergelj"/>
    <s v="J.J. Strossmayera 333, 31000 Osijek"/>
    <x v="40"/>
    <x v="18"/>
    <d v="2018-08-31T00:00:00"/>
    <s v="33617093868"/>
    <s v="Ž-ŽENSKO"/>
    <d v="1993-04-06T00:00:00"/>
    <s v="OSIJEK"/>
    <s v="HRVATSKO"/>
    <s v="Šećeranska 47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30"/>
  </r>
  <r>
    <n v="20"/>
    <x v="1"/>
    <n v="41"/>
    <n v="9"/>
    <x v="4"/>
    <n v="46869408875"/>
    <s v="Rudolf Gergelj"/>
    <s v="J.J. Strossmayera 333, 31000 Osijek"/>
    <x v="41"/>
    <x v="18"/>
    <d v="2018-05-31T00:00:00"/>
    <s v="63681749207"/>
    <s v="M-MUŠKO"/>
    <d v="1993-04-07T00:00:00"/>
    <s v="OSIJEK"/>
    <s v="HRVATSKO"/>
    <s v="Kralja Tomislava 147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31"/>
  </r>
  <r>
    <n v="21"/>
    <x v="1"/>
    <n v="42"/>
    <n v="9"/>
    <x v="4"/>
    <n v="46869408875"/>
    <s v="Rudolf Gergelj"/>
    <s v="J.J. Strossmayera 333, 31000 Osijek"/>
    <x v="42"/>
    <x v="18"/>
    <d v="2018-05-31T00:00:00"/>
    <s v="04668761853"/>
    <s v="Ž-ŽENSKO"/>
    <d v="1993-04-08T00:00:00"/>
    <s v="OSIJEK"/>
    <s v="HRVATSKO"/>
    <s v="Trg Ante Starčevića 4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32"/>
  </r>
  <r>
    <n v="22"/>
    <x v="1"/>
    <n v="43"/>
    <n v="9"/>
    <x v="4"/>
    <n v="46869408875"/>
    <s v="Rudolf Gergelj"/>
    <s v="J.J. Strossmayera 333, 31000 Osijek"/>
    <x v="43"/>
    <x v="18"/>
    <d v="2018-05-31T00:00:00"/>
    <s v="16260284290"/>
    <s v="Ž-ŽENSKO"/>
    <d v="1993-04-10T00:00:00"/>
    <s v="OSIJEK"/>
    <s v="HRVATSKO"/>
    <s v="Šandor Petefija 116."/>
    <s v="NE"/>
    <s v="SSS"/>
    <m/>
    <s v="Voditelj call centra"/>
    <s v="Voditelj call centra"/>
    <s v="NEODREĐENO"/>
    <m/>
    <s v="PUNO"/>
    <n v="40"/>
    <m/>
    <m/>
    <m/>
    <m/>
    <m/>
    <m/>
    <s v="Osijek"/>
    <m/>
    <m/>
    <m/>
    <s v="NE"/>
    <n v="4375"/>
    <n v="2.7"/>
    <n v="3500"/>
    <m/>
    <m/>
    <m/>
    <n v="20"/>
    <n v="12"/>
    <s v="28.07.2018-15.08.2018"/>
    <n v="12"/>
    <s v="14.12.2018-31.12.2018"/>
    <m/>
    <n v="0"/>
    <s v="NEAKTIVAN"/>
    <n v="34"/>
  </r>
  <r>
    <n v="23"/>
    <x v="1"/>
    <n v="44"/>
    <n v="9"/>
    <x v="4"/>
    <n v="46869408875"/>
    <s v="Rudolf Gergelj"/>
    <s v="J.J. Strossmayera 333, 31000 Osijek"/>
    <x v="44"/>
    <x v="18"/>
    <d v="2018-05-31T00:00:00"/>
    <s v="02808842683"/>
    <s v="Ž-ŽENSKO"/>
    <d v="1993-04-11T00:00:00"/>
    <s v="OSIJEK"/>
    <s v="HRVATSKO"/>
    <s v="Kralja Tomislava 6 c, Višnjev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35"/>
  </r>
  <r>
    <n v="2"/>
    <x v="1"/>
    <n v="45"/>
    <n v="9"/>
    <x v="4"/>
    <n v="46869408875"/>
    <s v="Rudolf Gergelj"/>
    <s v="J.J. Strossmayera 333, 31000 Osijek"/>
    <x v="45"/>
    <x v="18"/>
    <d v="2018-05-31T00:00:00"/>
    <s v="99900276984"/>
    <s v="Ž-ŽENSKO"/>
    <d v="1993-04-15T00:00:00"/>
    <s v="OSIJEK"/>
    <s v="HRVATSKO"/>
    <s v="Kralja Petra Krešimira IV. 83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39"/>
  </r>
  <r>
    <n v="24"/>
    <x v="1"/>
    <n v="46"/>
    <n v="9"/>
    <x v="4"/>
    <n v="46869408875"/>
    <s v="Rudolf Gergelj"/>
    <s v="J.J. Strossmayera 333, 31000 Osijek"/>
    <x v="46"/>
    <x v="18"/>
    <d v="2018-05-31T00:00:00"/>
    <s v="56488239997"/>
    <s v="Ž-ŽENSKO"/>
    <d v="1993-04-16T00:00:00"/>
    <s v="OSIJEK"/>
    <s v="HRVATSKO"/>
    <s v="Ribarska 31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2.7"/>
    <n v="2751.84"/>
    <m/>
    <m/>
    <m/>
    <n v="20"/>
    <n v="12"/>
    <s v="28.07.2018-15.08.2018"/>
    <n v="12"/>
    <s v="14.12.2018-31.12.2018"/>
    <m/>
    <n v="0"/>
    <s v="NEAKTIVAN"/>
    <n v="40"/>
  </r>
  <r>
    <n v="25"/>
    <x v="1"/>
    <n v="47"/>
    <n v="9"/>
    <x v="4"/>
    <n v="46869408875"/>
    <s v="Rudolf Gergelj"/>
    <s v="J.J. Strossmayera 333, 31000 Osijek"/>
    <x v="47"/>
    <x v="18"/>
    <d v="2018-05-31T00:00:00"/>
    <s v="05826363901"/>
    <s v="Ž-ŽENSKO"/>
    <d v="1993-04-18T00:00:00"/>
    <s v="OSIJEK"/>
    <s v="HRVATSKO"/>
    <s v="Dr.F.Tuđmana 14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42"/>
  </r>
  <r>
    <n v="26"/>
    <x v="1"/>
    <n v="48"/>
    <n v="9"/>
    <x v="4"/>
    <n v="46869408875"/>
    <s v="Rudolf Gergelj"/>
    <s v="J.J. Strossmayera 333, 31000 Osijek"/>
    <x v="48"/>
    <x v="18"/>
    <d v="2018-05-31T00:00:00"/>
    <s v="07065659312"/>
    <s v="Ž-ŽENSKO"/>
    <d v="1993-04-20T00:00:00"/>
    <s v="OSIJEK"/>
    <s v="HRVATSKO"/>
    <s v="Šandora Petefija 126, Lug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5084.22"/>
    <n v="1"/>
    <n v="4000"/>
    <n v="747"/>
    <m/>
    <m/>
    <n v="20"/>
    <n v="12"/>
    <s v="28.07.2018-15.08.2018"/>
    <n v="12"/>
    <s v="14.12.2018-31.12.2018"/>
    <m/>
    <n v="0"/>
    <s v="NEAKTIVAN"/>
    <n v="44"/>
  </r>
  <r>
    <n v="27"/>
    <x v="1"/>
    <n v="49"/>
    <n v="9"/>
    <x v="4"/>
    <n v="46869408875"/>
    <s v="Rudolf Gergelj"/>
    <s v="J.J. Strossmayera 333, 31000 Osijek"/>
    <x v="49"/>
    <x v="18"/>
    <d v="2018-08-31T00:00:00"/>
    <s v="69008705416"/>
    <s v="Ž-ŽENSKO"/>
    <d v="1993-04-12T00:00:00"/>
    <s v="OSIJEK"/>
    <s v="HRVATSKO"/>
    <s v="Vinogratska 6, Laslovo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45"/>
  </r>
  <r>
    <n v="28"/>
    <x v="1"/>
    <n v="50"/>
    <n v="9"/>
    <x v="4"/>
    <n v="46869408875"/>
    <s v="Rudolf Gergelj"/>
    <s v="J.J. Strossmayera 333, 31000 Osijek"/>
    <x v="50"/>
    <x v="18"/>
    <d v="2018-05-31T00:00:00"/>
    <s v="68319591111"/>
    <s v="Ž-ŽENSKO"/>
    <d v="1993-05-01T00:00:00"/>
    <s v="OSIJEK"/>
    <s v="HRVATSKO"/>
    <s v="Viška 32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55"/>
  </r>
  <r>
    <n v="29"/>
    <x v="1"/>
    <n v="51"/>
    <n v="9"/>
    <x v="4"/>
    <n v="46869408875"/>
    <s v="Rudolf Gergelj"/>
    <s v="J.J. Strossmayera 333, 31000 Osijek"/>
    <x v="51"/>
    <x v="18"/>
    <d v="2018-08-06T00:00:00"/>
    <s v="28217102839"/>
    <s v="Ž-ŽENSKO"/>
    <d v="1993-05-07T00:00:00"/>
    <s v="OSIJEK"/>
    <s v="HRVATSKO"/>
    <s v="Sjenjak 34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61"/>
  </r>
  <r>
    <n v="30"/>
    <x v="1"/>
    <n v="52"/>
    <n v="9"/>
    <x v="4"/>
    <n v="46869408875"/>
    <s v="Rudolf Gergelj"/>
    <s v="J.J. Strossmayera 333, 31000 Osijek"/>
    <x v="52"/>
    <x v="18"/>
    <d v="2018-05-31T00:00:00"/>
    <s v="01764937555"/>
    <s v="Ž-ŽENSKO"/>
    <d v="1993-05-10T00:00:00"/>
    <s v="OSIJEK"/>
    <s v="HRVATSKO"/>
    <s v="Creska 10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64"/>
  </r>
  <r>
    <n v="31"/>
    <x v="1"/>
    <n v="53"/>
    <n v="9"/>
    <x v="4"/>
    <n v="46869408875"/>
    <s v="Rudolf Gergelj"/>
    <s v="J.J. Strossmayera 333, 31000 Osijek"/>
    <x v="53"/>
    <x v="18"/>
    <d v="2018-05-24T00:00:00"/>
    <s v="85912850218"/>
    <s v="Ž-ŽENSKO"/>
    <d v="1997-07-31T00:00:00"/>
    <s v="OSIJEK"/>
    <s v="HRVATSKO"/>
    <s v="Vezir 7, Komletinc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20"/>
    <n v="12"/>
    <s v="28.07.2018-15.08.2018"/>
    <n v="12"/>
    <s v="14.12.2018-31.12.2018"/>
    <m/>
    <n v="0"/>
    <s v="NEAKTIVAN"/>
    <n v="48"/>
  </r>
  <r>
    <n v="32"/>
    <x v="1"/>
    <n v="54"/>
    <n v="9"/>
    <x v="4"/>
    <n v="46869408875"/>
    <s v="Rudolf Gergelj"/>
    <s v="J.J. Strossmayera 333, 31000 Osijek"/>
    <x v="54"/>
    <x v="18"/>
    <d v="2018-05-24T00:00:00"/>
    <s v="77889524913"/>
    <s v="M-MUŠKO"/>
    <d v="1993-03-16T00:00:00"/>
    <s v="OSIJEK"/>
    <s v="HRVATSKO"/>
    <s v="Petefi Šandora 43.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439.8"/>
    <n v="1"/>
    <n v="2751.84"/>
    <n v="248.16"/>
    <m/>
    <m/>
    <n v="20"/>
    <n v="12"/>
    <s v="28.07.2018-15.08.2018"/>
    <n v="12"/>
    <s v="14.12.2018-31.12.2018"/>
    <m/>
    <n v="0"/>
    <s v="NEAKTIVAN"/>
    <n v="9"/>
  </r>
  <r>
    <n v="33"/>
    <x v="1"/>
    <n v="55"/>
    <n v="9"/>
    <x v="4"/>
    <n v="46869408875"/>
    <s v="Rudolf Gergelj"/>
    <s v="J.J. Strossmayera 333, 31000 Osijek"/>
    <x v="55"/>
    <x v="18"/>
    <d v="2018-05-31T00:00:00"/>
    <n v="79843816739"/>
    <s v="Ž-ŽENSKO"/>
    <d v="1975-07-10T00:00:00"/>
    <s v="OSIJEK"/>
    <s v="HRVATSKO"/>
    <s v="VLADIMIRA NAZORA 30, LASLOVO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3750"/>
    <n v="2.7"/>
    <n v="3000"/>
    <m/>
    <m/>
    <m/>
    <n v="20"/>
    <n v="12"/>
    <s v="28.07.2018-15.08.2018"/>
    <n v="12"/>
    <s v="14.12.2018-31.12.2018"/>
    <m/>
    <n v="0"/>
    <s v="NEAKTIVAN"/>
    <n v="67"/>
  </r>
  <r>
    <n v="34"/>
    <x v="1"/>
    <n v="56"/>
    <n v="9"/>
    <x v="4"/>
    <n v="46869408875"/>
    <s v="Rudolf Gergelj"/>
    <s v="J.J. Strossmayera 333, 31000 Osijek"/>
    <x v="56"/>
    <x v="18"/>
    <d v="2018-05-24T00:00:00"/>
    <s v="80464281272"/>
    <s v="Ž-ŽENSKO"/>
    <d v="1994-10-17T00:00:00"/>
    <s v="OSIJEK"/>
    <s v="HRVATSKO"/>
    <s v="Šandora Petefija 46, Lug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s v="NEAKTIVAN"/>
    <n v="49"/>
  </r>
  <r>
    <n v="35"/>
    <x v="1"/>
    <n v="57"/>
    <n v="9"/>
    <x v="4"/>
    <n v="46869408875"/>
    <s v="Rudolf Gergelj"/>
    <s v="J.J. Strossmayera 333, 31000 Osijek"/>
    <x v="7"/>
    <x v="18"/>
    <d v="2018-03-05T00:00:00"/>
    <n v="60253869864"/>
    <s v="Ž-ŽENSKO"/>
    <d v="2017-01-06T00:00:00"/>
    <s v="OSIJEK"/>
    <s v="HRVATSKO"/>
    <s v="FRANKOPANSKA 190, 31000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68"/>
  </r>
  <r>
    <n v="36"/>
    <x v="1"/>
    <n v="58"/>
    <n v="9"/>
    <x v="4"/>
    <n v="46869408875"/>
    <s v="Rudolf Gergelj"/>
    <s v="J.J. Strossmayera 333, 31000 Osijek"/>
    <x v="10"/>
    <x v="18"/>
    <d v="2018-05-24T00:00:00"/>
    <n v="18058630382"/>
    <s v="M-MUŠKO"/>
    <d v="1995-07-16T00:00:00"/>
    <s v="OSIJEK"/>
    <s v="HRVATSKO"/>
    <s v="IVANA GORANA KOVAČIĆA 25, DONJI MIHOLJAC"/>
    <s v="NE"/>
    <s v="SSS"/>
    <m/>
    <s v="Trgovački dem. i prodavač"/>
    <s v="Trgovački dem. i prodavač"/>
    <s v="NEODREĐENO"/>
    <m/>
    <s v="PUNO"/>
    <n v="40"/>
    <m/>
    <m/>
    <m/>
    <m/>
    <m/>
    <m/>
    <s v="RAZNA MJESTA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s v="NEAKTIVAN"/>
    <n v="71"/>
  </r>
  <r>
    <n v="37"/>
    <x v="1"/>
    <n v="59"/>
    <n v="9"/>
    <x v="4"/>
    <n v="46869408875"/>
    <s v="Rudolf Gergelj"/>
    <s v="J.J. Strossmayera 333, 31000 Osijek"/>
    <x v="11"/>
    <x v="18"/>
    <d v="2018-01-03T00:00:00"/>
    <s v="09559707905"/>
    <s v="Ž-ŽENSKO"/>
    <d v="1988-05-04T00:00:00"/>
    <m/>
    <s v="HRVATSKO"/>
    <s v="Duga Ulica 9, Briješće, Osijek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4"/>
    <m/>
    <m/>
    <n v="9"/>
    <s v="18.12.2017.-02.01.2018."/>
    <m/>
    <n v="-5"/>
    <s v="NEAKTIVAN"/>
    <n v="73"/>
  </r>
  <r>
    <n v="38"/>
    <x v="1"/>
    <n v="60"/>
    <n v="9"/>
    <x v="4"/>
    <n v="46869408875"/>
    <s v="Rudolf Gergelj"/>
    <s v="J.J. Strossmayera 333, 31000 Osijek"/>
    <x v="12"/>
    <x v="18"/>
    <d v="2018-05-31T00:00:00"/>
    <n v="20112988151"/>
    <s v="Ž-ŽENSKO"/>
    <d v="1980-09-14T00:00:00"/>
    <m/>
    <s v="HRVATSKO"/>
    <s v="Luke Botić 25, Tenja"/>
    <m/>
    <s v="V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3.07.2018-04.08.2018"/>
    <n v="12"/>
    <s v="14.12.2018-31.12.2018"/>
    <m/>
    <n v="0"/>
    <s v="NEAKTIVAN"/>
    <n v="72"/>
  </r>
  <r>
    <n v="39"/>
    <x v="1"/>
    <n v="61"/>
    <n v="9"/>
    <x v="4"/>
    <n v="46869408875"/>
    <s v="Rudolf Gergelj"/>
    <s v="J.J. Strossmayera 333, 31000 Osijek"/>
    <x v="13"/>
    <x v="18"/>
    <d v="2018-05-31T00:00:00"/>
    <n v="46438404550"/>
    <s v="Ž-ŽENSKO"/>
    <d v="1988-04-08T00:00:00"/>
    <s v="OSIJEK"/>
    <s v="HRVATSKO"/>
    <s v="Duga 50 A, Ivanovac, Antunovac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74"/>
  </r>
  <r>
    <n v="40"/>
    <x v="1"/>
    <n v="62"/>
    <n v="9"/>
    <x v="4"/>
    <n v="46869408875"/>
    <s v="Rudolf Gergelj"/>
    <s v="J.J. Strossmayera 333, 31000 Osijek"/>
    <x v="14"/>
    <x v="18"/>
    <d v="2018-01-03T00:00:00"/>
    <s v="01420891136"/>
    <s v="Ž-ŽENSKO"/>
    <d v="1995-04-03T00:00:00"/>
    <s v="OSIJEK"/>
    <s v="HRVATSKO"/>
    <s v="Sjenjak 46, Osijek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4"/>
    <m/>
    <m/>
    <n v="9"/>
    <s v="18.12.2017.-02.01.2018."/>
    <m/>
    <n v="-5"/>
    <s v="NEAKTIVAN"/>
    <n v="75"/>
  </r>
  <r>
    <n v="41"/>
    <x v="1"/>
    <n v="63"/>
    <n v="9"/>
    <x v="4"/>
    <n v="46869408875"/>
    <s v="Rudolf Gergelj"/>
    <s v="J.J. Strossmayera 333, 31000 Osijek"/>
    <x v="15"/>
    <x v="18"/>
    <d v="2018-05-31T00:00:00"/>
    <s v="71740309634"/>
    <s v="Ž-ŽENSKO"/>
    <d v="1989-06-25T00:00:00"/>
    <s v="OSIJEK"/>
    <s v="HRVATSKO"/>
    <s v="Umaška 8, Osijek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76"/>
  </r>
  <r>
    <n v="42"/>
    <x v="1"/>
    <n v="64"/>
    <n v="9"/>
    <x v="4"/>
    <n v="46869408875"/>
    <s v="Rudolf Gergelj"/>
    <s v="J.J. Strossmayera 333, 31000 Osijek"/>
    <x v="17"/>
    <x v="18"/>
    <d v="2018-02-16T00:00:00"/>
    <s v="04752700030"/>
    <s v="Ž-ŽENSKO"/>
    <d v="1998-12-16T00:00:00"/>
    <m/>
    <s v="HRVATSKO"/>
    <s v="Petefi Šandora 33, Kotlina, Kneževi Vinogradi"/>
    <m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20"/>
    <n v="12"/>
    <s v="28.07.2018-15.08.2018"/>
    <n v="12"/>
    <s v="14.12.2018-31.12.2018"/>
    <m/>
    <n v="0"/>
    <s v="NEAKTIVAN"/>
    <n v="78"/>
  </r>
  <r>
    <n v="43"/>
    <x v="1"/>
    <n v="65"/>
    <n v="9"/>
    <x v="4"/>
    <n v="46869408875"/>
    <s v="Rudolf Gergelj"/>
    <s v="J.J. Strossmayera 333, 31000 Osijek"/>
    <x v="18"/>
    <x v="18"/>
    <d v="2018-01-23T00:00:00"/>
    <s v="09788459842"/>
    <s v="M-MUŠKO"/>
    <d v="1991-11-04T00:00:00"/>
    <s v="Našice"/>
    <s v="HRVATSKO"/>
    <s v="Kolodvorska 78 A, Feričanci"/>
    <m/>
    <s v="VŠ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m/>
    <m/>
    <m/>
    <m/>
    <m/>
    <m/>
    <m/>
    <s v="NEAKTIVAN"/>
    <n v="79"/>
  </r>
  <r>
    <n v="44"/>
    <x v="1"/>
    <n v="66"/>
    <n v="9"/>
    <x v="4"/>
    <n v="46869408875"/>
    <s v="Rudolf Gergelj"/>
    <s v="J.J. Strossmayera 333, 31000 Osijek"/>
    <x v="19"/>
    <x v="18"/>
    <d v="2018-02-06T00:00:00"/>
    <s v="19240198595"/>
    <s v="M-MUŠKO"/>
    <d v="1998-07-09T00:00:00"/>
    <s v="OSIJEK"/>
    <s v="HRVATSKO"/>
    <s v="Krstova 6, Osijek"/>
    <m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20"/>
    <n v="12"/>
    <s v="28.07.2018-15.08.2018"/>
    <n v="12"/>
    <s v="14.12.2018-31.12.2018"/>
    <m/>
    <n v="0"/>
    <s v="NEAKTIVAN"/>
    <n v="80"/>
  </r>
  <r>
    <n v="45"/>
    <x v="1"/>
    <n v="67"/>
    <n v="9"/>
    <x v="4"/>
    <n v="46869408875"/>
    <s v="Rudolf Gergelj"/>
    <s v="J.J. Strossmayera 333, 31000 Osijek"/>
    <x v="20"/>
    <x v="18"/>
    <d v="2021-07-31T00:00:00"/>
    <s v="60536718657"/>
    <s v="M-MUŠKO"/>
    <d v="1973-06-19T00:00:00"/>
    <m/>
    <s v="HRVATSKO"/>
    <s v="Ivana Meštrovića 43, Darda"/>
    <m/>
    <s v="SSS"/>
    <m/>
    <s v="Poslovođa"/>
    <s v="Poslovođa"/>
    <s v="NEODREĐENO"/>
    <m/>
    <s v="PUNO"/>
    <n v="40"/>
    <m/>
    <m/>
    <m/>
    <m/>
    <m/>
    <m/>
    <s v="Osijek"/>
    <m/>
    <m/>
    <m/>
    <s v="NE"/>
    <n v="10097.59"/>
    <n v="1"/>
    <n v="7000"/>
    <n v="5000"/>
    <m/>
    <m/>
    <n v="20"/>
    <n v="12"/>
    <s v="28.07.2018-15.08.2018"/>
    <n v="12"/>
    <s v="14.12.2018-31.12.2018"/>
    <m/>
    <n v="0"/>
    <s v="NEAKTIVAN"/>
    <n v="81"/>
  </r>
  <r>
    <n v="46"/>
    <x v="1"/>
    <n v="68"/>
    <n v="9"/>
    <x v="4"/>
    <n v="46869408875"/>
    <s v="Rudolf Gergelj"/>
    <s v="J.J. Strossmayera 333, 31000 Osijek"/>
    <x v="57"/>
    <x v="18"/>
    <d v="2018-08-06T00:00:00"/>
    <n v="94678362128"/>
    <s v="Ž-ŽENSKO"/>
    <d v="1986-01-03T00:00:00"/>
    <s v="OSIJEK"/>
    <s v="HRVATSKO"/>
    <s v="Šandora Petefia 99, Vardarac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84"/>
  </r>
  <r>
    <n v="1"/>
    <x v="1"/>
    <n v="69"/>
    <n v="12"/>
    <x v="5"/>
    <n v="15151568161"/>
    <s v="Zoltan Buthi"/>
    <s v="K. A. Stepinca 17, 31000 Osijek"/>
    <x v="58"/>
    <x v="19"/>
    <d v="2018-09-30T00:00:00"/>
    <n v="40306045066"/>
    <s v="M-MUŠKO"/>
    <d v="1974-03-15T00:00:00"/>
    <m/>
    <s v="HRVATSKO"/>
    <s v="Sjenjak 123, Osijek"/>
    <s v="NE"/>
    <s v="VSS"/>
    <m/>
    <s v="Komercijalist"/>
    <s v="Komercijalist"/>
    <s v="NEODREĐENO"/>
    <m/>
    <s v="NEPUNO"/>
    <n v="20"/>
    <m/>
    <m/>
    <m/>
    <m/>
    <m/>
    <m/>
    <s v="Osijek"/>
    <m/>
    <m/>
    <m/>
    <s v="NE"/>
    <n v="3276"/>
    <n v="1"/>
    <n v="2620.8000000000002"/>
    <n v="0"/>
    <m/>
    <m/>
    <m/>
    <m/>
    <m/>
    <m/>
    <m/>
    <m/>
    <m/>
    <s v="NEAKTIVAN"/>
    <n v="1"/>
  </r>
  <r>
    <n v="7"/>
    <x v="1"/>
    <n v="70"/>
    <n v="3"/>
    <x v="1"/>
    <s v="09677499852"/>
    <s v="Zoltan Terek"/>
    <s v="Južno Pregrađe 38, Osijek"/>
    <x v="59"/>
    <x v="20"/>
    <d v="2018-05-11T00:00:00"/>
    <n v="65592272975"/>
    <s v="Ž-ŽENSKO"/>
    <d v="1972-05-03T00:00:00"/>
    <s v="Beli Manastir"/>
    <s v="HRVATSKO"/>
    <s v="KRALJA ZVONIMIRA 51A, BELI MANASTIR"/>
    <s v="NE"/>
    <s v="SSS"/>
    <m/>
    <s v="ADMINISTRATIVNI DJELATNIK"/>
    <s v="ADMINISTRATIVNI DJELATNIK"/>
    <s v="ODREĐENO"/>
    <d v="2018-07-05T00:00:00"/>
    <s v="PUNO"/>
    <n v="40"/>
    <m/>
    <m/>
    <m/>
    <m/>
    <m/>
    <m/>
    <s v="Osijek"/>
    <m/>
    <m/>
    <m/>
    <s v="NE"/>
    <n v="3750"/>
    <n v="1"/>
    <n v="3000"/>
    <n v="0"/>
    <m/>
    <m/>
    <n v="20"/>
    <m/>
    <m/>
    <m/>
    <m/>
    <m/>
    <m/>
    <s v="NEAKTIVAN"/>
    <n v="7"/>
  </r>
  <r>
    <n v="47"/>
    <x v="1"/>
    <n v="71"/>
    <n v="9"/>
    <x v="4"/>
    <n v="46869408875"/>
    <s v="Rudolf Gergelj"/>
    <s v="J.J. Strossmayera 333, 31000 Osijek"/>
    <x v="60"/>
    <x v="21"/>
    <d v="2018-05-31T00:00:00"/>
    <n v="89289096005"/>
    <s v="Ž-ŽENSKO"/>
    <d v="1973-12-22T00:00:00"/>
    <s v="Kneževo"/>
    <s v="HRVATSKO"/>
    <s v="Vatroslava lisinskog 19, Višnjevac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n v="19"/>
    <n v="12"/>
    <s v="28.07.2018-15.08.2018"/>
    <n v="12"/>
    <s v="14.12.2018-31.12.2018"/>
    <m/>
    <n v="0"/>
    <s v="NEAKTIVAN"/>
    <n v="85"/>
  </r>
  <r>
    <n v="48"/>
    <x v="1"/>
    <n v="72"/>
    <n v="9"/>
    <x v="4"/>
    <n v="46869408875"/>
    <s v="Rudolf Gergelj"/>
    <s v="J.J. Strossmayera 333, 31000 Osijek"/>
    <x v="61"/>
    <x v="22"/>
    <d v="2018-01-10T00:00:00"/>
    <n v="20741692268"/>
    <s v="Ž-ŽENSKO"/>
    <d v="1980-07-31T00:00:00"/>
    <s v="OSIJEK"/>
    <s v="HRVATSKO"/>
    <s v="Šandora Petefija 309 B, Lug"/>
    <s v="NE"/>
    <s v="NKV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m/>
    <m/>
    <m/>
    <m/>
    <m/>
    <m/>
    <m/>
    <s v="NEAKTIVAN"/>
    <n v="86"/>
  </r>
  <r>
    <n v="49"/>
    <x v="1"/>
    <n v="73"/>
    <n v="9"/>
    <x v="4"/>
    <n v="46869408875"/>
    <s v="Rudolf Gergelj"/>
    <s v="J.J. Strossmayera 333, 31000 Osijek"/>
    <x v="62"/>
    <x v="21"/>
    <d v="2018-05-24T00:00:00"/>
    <n v="15592850730"/>
    <s v="Ž-ŽENSKO"/>
    <d v="1997-05-20T00:00:00"/>
    <s v="Vinkovci"/>
    <s v="HRVATSKO"/>
    <s v="Vladimira Nazora 68, Kompletinci, Otok"/>
    <s v="NE"/>
    <s v="SSS"/>
    <m/>
    <s v="Trgovački dem. i prodavač"/>
    <s v="Trgovački dem. i prodavač"/>
    <s v="NEODREĐENO"/>
    <m/>
    <s v="PUNO"/>
    <n v="40"/>
    <m/>
    <m/>
    <m/>
    <m/>
    <m/>
    <m/>
    <m/>
    <m/>
    <m/>
    <m/>
    <m/>
    <n v="3750"/>
    <n v="1"/>
    <n v="3000"/>
    <m/>
    <m/>
    <m/>
    <n v="19"/>
    <n v="12"/>
    <s v="28.07.2018-15.08.2018"/>
    <n v="12"/>
    <s v="14.12.2018-31.12.2018"/>
    <m/>
    <n v="0"/>
    <s v="NEAKTIVAN"/>
    <n v="66"/>
  </r>
  <r>
    <n v="50"/>
    <x v="1"/>
    <n v="74"/>
    <n v="9"/>
    <x v="4"/>
    <n v="46869408875"/>
    <s v="Rudolf Gergelj"/>
    <s v="J.J. Strossmayera 333, 31000 Osijek"/>
    <x v="63"/>
    <x v="21"/>
    <d v="2018-05-24T00:00:00"/>
    <s v="00090687640"/>
    <s v="M-MUŠKO"/>
    <d v="1996-04-01T00:00:00"/>
    <s v="Vinkovci"/>
    <s v="HRVATSKO"/>
    <s v="Kolodvorska 72, Nijemci"/>
    <s v="NE"/>
    <s v="SSS"/>
    <m/>
    <s v="Trgovački dem. i prodavač"/>
    <s v="Trgovački dem. i prodavač"/>
    <s v="NEODREĐENO"/>
    <m/>
    <s v="PUNO"/>
    <n v="40"/>
    <m/>
    <m/>
    <m/>
    <m/>
    <m/>
    <m/>
    <m/>
    <m/>
    <m/>
    <m/>
    <m/>
    <n v="3750"/>
    <n v="1"/>
    <n v="3000"/>
    <m/>
    <m/>
    <m/>
    <n v="19"/>
    <n v="12"/>
    <s v="28.07.2018-15.08.2018"/>
    <n v="12"/>
    <s v="14.12.2018-31.12.2018"/>
    <m/>
    <n v="0"/>
    <s v="NEAKTIVAN"/>
    <n v="82"/>
  </r>
  <r>
    <n v="51"/>
    <x v="1"/>
    <n v="75"/>
    <n v="9"/>
    <x v="4"/>
    <n v="46869408875"/>
    <s v="Rudolf Gergelj"/>
    <s v="J.J. Strossmayera 333, 31000 Osijek"/>
    <x v="64"/>
    <x v="23"/>
    <d v="2018-05-24T00:00:00"/>
    <s v="48436445080"/>
    <s v="Ž-ŽENSKO"/>
    <d v="1993-12-03T00:00:00"/>
    <s v="OSIJEK"/>
    <s v="HRVATSKO"/>
    <s v="Vinogradska 11, Branjin Vrh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19"/>
    <n v="12"/>
    <s v="28.07.2018-15.08.2018"/>
    <n v="12"/>
    <s v="14.12.2018-31.12.2018"/>
    <m/>
    <n v="0"/>
    <s v="NEAKTIVAN"/>
    <n v="83"/>
  </r>
  <r>
    <n v="52"/>
    <x v="1"/>
    <n v="76"/>
    <n v="9"/>
    <x v="4"/>
    <n v="46869408875"/>
    <s v="Rudolf Gergelj"/>
    <s v="J.J. Strossmayera 333, 31000 Osijek"/>
    <x v="65"/>
    <x v="23"/>
    <d v="2018-01-19T00:00:00"/>
    <n v="10755405746"/>
    <s v="M-MUŠKO"/>
    <d v="1978-06-23T00:00:00"/>
    <s v="OSIJEK"/>
    <s v="HRVATSKO"/>
    <s v="Alojzija Stepinca 2, Beli Manastir"/>
    <s v="NE"/>
    <s v="SSS"/>
    <m/>
    <s v="Trgovački dem. i prodavač"/>
    <s v="Trgovački dem. i prodavač"/>
    <s v="NEODREĐENO"/>
    <d v="2018-01-19T00:00:00"/>
    <s v="PUNO"/>
    <n v="40"/>
    <m/>
    <m/>
    <m/>
    <m/>
    <m/>
    <m/>
    <m/>
    <s v="Otkaz radnika"/>
    <m/>
    <m/>
    <m/>
    <n v="3750"/>
    <n v="1"/>
    <n v="3000"/>
    <m/>
    <m/>
    <m/>
    <m/>
    <m/>
    <m/>
    <m/>
    <m/>
    <m/>
    <n v="0"/>
    <s v="NEAKTIVAN"/>
    <n v="87"/>
  </r>
  <r>
    <n v="53"/>
    <x v="1"/>
    <n v="77"/>
    <n v="9"/>
    <x v="4"/>
    <n v="46869408875"/>
    <s v="Rudolf Gergelj"/>
    <s v="J.J. Strossmayera 333, 31000 Osijek"/>
    <x v="66"/>
    <x v="23"/>
    <d v="2018-06-05T00:00:00"/>
    <n v="27081082594"/>
    <s v="Ž-ŽENSKO"/>
    <d v="1972-02-12T00:00:00"/>
    <s v="OSIJEK"/>
    <s v="HRVATSKO"/>
    <s v="J.J. Strossmayera 188, Osijek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n v="19"/>
    <n v="12"/>
    <s v="28.07.2018-15.08.2018"/>
    <n v="12"/>
    <s v="14.12.2018-31.12.2018"/>
    <m/>
    <n v="0"/>
    <s v="NEAKTIVAN"/>
    <n v="88"/>
  </r>
  <r>
    <n v="54"/>
    <x v="1"/>
    <n v="78"/>
    <n v="9"/>
    <x v="4"/>
    <n v="46869408875"/>
    <s v="Rudolf Gergelj"/>
    <s v="J.J. Strossmayera 333, 31000 Osijek"/>
    <x v="67"/>
    <x v="24"/>
    <d v="2018-08-31T00:00:00"/>
    <n v="24048586201"/>
    <s v="Ž-ŽENSKO"/>
    <d v="1997-10-24T00:00:00"/>
    <s v="OSIJEK"/>
    <s v="HRVATSKO"/>
    <s v="Plješevička 7, Osijek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n v="18"/>
    <n v="12"/>
    <s v="28.07.2018-15.08.2018"/>
    <n v="12"/>
    <s v="14.12.2018-31.12.2018"/>
    <m/>
    <n v="0"/>
    <s v="NEAKTIVAN"/>
    <n v="89"/>
  </r>
  <r>
    <n v="55"/>
    <x v="1"/>
    <n v="79"/>
    <n v="9"/>
    <x v="4"/>
    <n v="46869408875"/>
    <s v="Rudolf Gergelj"/>
    <s v="J.J. Strossmayera 333, 31000 Osijek"/>
    <x v="68"/>
    <x v="25"/>
    <d v="2018-05-08T00:00:00"/>
    <n v="96761552820"/>
    <s v="Ž-ŽENSKO"/>
    <d v="1964-05-18T00:00:00"/>
    <s v="OSIJEK"/>
    <s v="HRVATSKO"/>
    <s v="Biljske Satnije ZNG RH 34, Bilje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.7"/>
    <n v="2751.84"/>
    <m/>
    <m/>
    <m/>
    <n v="18"/>
    <n v="12"/>
    <s v="28.07.2018-15.08.2018"/>
    <n v="12"/>
    <s v="14.12.2018-31.12.2018"/>
    <m/>
    <n v="0"/>
    <s v="NEAKTIVAN"/>
    <n v="90"/>
  </r>
  <r>
    <n v="56"/>
    <x v="1"/>
    <n v="80"/>
    <n v="9"/>
    <x v="4"/>
    <n v="46869408875"/>
    <s v="Rudolf Gergelj"/>
    <s v="J.J. Strossmayera 333, 31000 Osijek"/>
    <x v="16"/>
    <x v="25"/>
    <d v="2018-05-31T00:00:00"/>
    <s v="17153736363"/>
    <s v="M-MUŠKO"/>
    <d v="1990-05-31T00:00:00"/>
    <s v="OSIJEK"/>
    <s v="HRVATSKO"/>
    <s v="Ulica Augusta Šenoe 7, Biz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n v="18"/>
    <n v="12"/>
    <s v="28.07.2018-15.08.2018"/>
    <n v="12"/>
    <s v="14.12.2018-31.12.2018"/>
    <m/>
    <n v="0"/>
    <s v="NEAKTIVAN"/>
    <n v="91"/>
  </r>
  <r>
    <n v="57"/>
    <x v="1"/>
    <n v="81"/>
    <n v="9"/>
    <x v="4"/>
    <n v="46869408875"/>
    <s v="Rudolf Gergelj"/>
    <s v="J.J. Strossmayera 333, 31000 Osijek"/>
    <x v="69"/>
    <x v="26"/>
    <d v="2018-03-02T00:00:00"/>
    <n v="55473296794"/>
    <s v="Ž-ŽENSKO"/>
    <d v="1997-10-29T00:00:00"/>
    <s v="Doboj, BIH"/>
    <s v="HRVATSKO"/>
    <s v="Ulica Josipa Reihl-Kira 1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m/>
    <n v="3750"/>
    <n v="1"/>
    <n v="3000"/>
    <m/>
    <m/>
    <m/>
    <n v="18"/>
    <n v="12"/>
    <s v="28.07.2018-15.08.2018"/>
    <n v="12"/>
    <s v="14.12.2018-31.12.2018"/>
    <m/>
    <n v="0"/>
    <s v="NEAKTIVAN"/>
    <n v="92"/>
  </r>
  <r>
    <n v="58"/>
    <x v="1"/>
    <n v="82"/>
    <n v="9"/>
    <x v="4"/>
    <n v="46869408875"/>
    <s v="Rudolf Gergelj"/>
    <s v="J.J. Strossmayera 333, 31000 Osijek"/>
    <x v="70"/>
    <x v="27"/>
    <d v="2018-05-31T00:00:00"/>
    <n v="90926163669"/>
    <s v="Ž-ŽENSKO"/>
    <d v="1988-04-08T00:00:00"/>
    <s v="OSIJEK"/>
    <s v="HRVATSKO"/>
    <s v="Sjenjak 11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n v="16"/>
    <n v="12"/>
    <s v="28.07.2018-15.08.2018"/>
    <n v="12"/>
    <s v="14.12.2018-31.12.2018"/>
    <m/>
    <m/>
    <s v="NEAKTIVAN"/>
    <n v="94"/>
  </r>
  <r>
    <n v="59"/>
    <x v="1"/>
    <n v="83"/>
    <n v="9"/>
    <x v="4"/>
    <n v="46869408875"/>
    <s v="Rudolf Gergelj"/>
    <s v="J.J. Strossmayera 333, 31000 Osijek"/>
    <x v="71"/>
    <x v="27"/>
    <d v="2018-05-24T00:00:00"/>
    <n v="46616191748"/>
    <s v="Ž-ŽENSKO"/>
    <d v="1994-02-24T00:00:00"/>
    <s v="OSIJEK"/>
    <s v="HRVATSKO"/>
    <s v="Krstova Ulica 78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m/>
    <n v="3750"/>
    <n v="1"/>
    <n v="3000"/>
    <m/>
    <m/>
    <m/>
    <n v="16"/>
    <n v="12"/>
    <s v="28.07.2018-15.08.2018"/>
    <n v="12"/>
    <s v="14.12.2018-31.12.2018"/>
    <m/>
    <m/>
    <s v="NEAKTIVAN"/>
    <n v="93"/>
  </r>
  <r>
    <n v="60"/>
    <x v="1"/>
    <n v="84"/>
    <n v="9"/>
    <x v="4"/>
    <n v="46869408875"/>
    <s v="Rudolf Gergelj"/>
    <s v="J.J. Strossmayera 333, 31000 Osijek"/>
    <x v="72"/>
    <x v="28"/>
    <d v="2018-05-24T00:00:00"/>
    <n v="32686911736"/>
    <s v="M-MUŠKO"/>
    <d v="1996-02-19T00:00:00"/>
    <s v="OSIJEK"/>
    <s v="HRVATSKO"/>
    <s v="Ištvana Vencela 2, Gajić, Draž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m/>
    <n v="3750"/>
    <n v="1"/>
    <n v="3000"/>
    <m/>
    <m/>
    <m/>
    <n v="16"/>
    <n v="12"/>
    <s v="28.07.2018-15.08.2018"/>
    <n v="12"/>
    <s v="14.12.2018-31.12.2018"/>
    <m/>
    <m/>
    <s v="NEAKTIVAN"/>
    <n v="95"/>
  </r>
  <r>
    <n v="61"/>
    <x v="1"/>
    <n v="85"/>
    <n v="9"/>
    <x v="4"/>
    <n v="46869408875"/>
    <s v="Rudolf Gergelj"/>
    <s v="J.J. Strossmayera 333, 31000 Osijek"/>
    <x v="73"/>
    <x v="29"/>
    <d v="2018-05-31T00:00:00"/>
    <n v="91673634768"/>
    <s v="Ž-ŽENSKO"/>
    <d v="1997-08-13T00:00:00"/>
    <s v="OSIJEK"/>
    <s v="HRVATSKO"/>
    <s v="Školska 100, Antun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s v="NEAKTIVAN"/>
    <n v="96"/>
  </r>
  <r>
    <n v="1"/>
    <x v="1"/>
    <n v="86"/>
    <n v="7"/>
    <x v="6"/>
    <n v="67091284267"/>
    <s v="Laszlo Szabo-Kocsis"/>
    <s v="J.J. Strossmayera 333, 31000 Osijek"/>
    <x v="74"/>
    <x v="30"/>
    <d v="2018-05-29T00:00:00"/>
    <n v="20893134129"/>
    <s v="M-MUŠKO"/>
    <d v="1975-03-04T00:00:00"/>
    <s v="Sremska Mitrovica, SRB"/>
    <s v="HRVATSKO"/>
    <s v="Crni put 58, Višnjevac, Osijek"/>
    <s v="NE"/>
    <s v="VSS"/>
    <m/>
    <s v="Komercijalist"/>
    <s v="Komercijalist"/>
    <s v="NEODREĐENO"/>
    <m/>
    <s v="PUNO"/>
    <n v="40"/>
    <m/>
    <m/>
    <m/>
    <m/>
    <m/>
    <m/>
    <s v="Osijek"/>
    <m/>
    <m/>
    <m/>
    <m/>
    <n v="4125"/>
    <n v="1"/>
    <n v="3300"/>
    <m/>
    <m/>
    <m/>
    <m/>
    <m/>
    <m/>
    <m/>
    <m/>
    <m/>
    <m/>
    <s v="NEAKTIVAN"/>
    <m/>
  </r>
  <r>
    <n v="62"/>
    <x v="1"/>
    <n v="87"/>
    <n v="9"/>
    <x v="4"/>
    <n v="46869408875"/>
    <s v="Rudolf Gergelj"/>
    <s v="J.J. Strossmayera 333, 31000 Osijek"/>
    <x v="75"/>
    <x v="31"/>
    <d v="2018-05-31T00:00:00"/>
    <n v="40041577579"/>
    <s v="Ž-ŽENSKO"/>
    <d v="1979-12-26T00:00:00"/>
    <s v="OSIJEK"/>
    <s v="HRVATSKO"/>
    <s v="J.J. Strossmayera 216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s v="NEAKTIVAN"/>
    <n v="97"/>
  </r>
  <r>
    <n v="8"/>
    <x v="1"/>
    <n v="88"/>
    <n v="3"/>
    <x v="1"/>
    <s v="09677499852"/>
    <s v="Zoltan Terek"/>
    <s v="Južno Pregrađe 38, Osijek"/>
    <x v="76"/>
    <x v="32"/>
    <d v="2018-11-30T00:00:00"/>
    <s v="01107438327"/>
    <s v="Ž-ŽENSKO"/>
    <d v="1982-09-19T00:00:00"/>
    <m/>
    <s v="HRVATSKO"/>
    <s v="Sutlanska 3, Osijek"/>
    <s v="NE"/>
    <s v="VSS"/>
    <m/>
    <s v="Administrativni referent"/>
    <s v="ADMINISTRATIVNI DJELATNIK"/>
    <s v="ODREĐENO"/>
    <d v="2018-11-30T00:00:00"/>
    <s v="PUNO"/>
    <n v="40"/>
    <m/>
    <m/>
    <m/>
    <m/>
    <m/>
    <m/>
    <s v="Osijek"/>
    <m/>
    <m/>
    <m/>
    <s v="NE"/>
    <n v="5950.6"/>
    <n v="1"/>
    <n v="4500"/>
    <m/>
    <m/>
    <m/>
    <m/>
    <m/>
    <m/>
    <m/>
    <m/>
    <m/>
    <m/>
    <s v="NEAKTIVAN"/>
    <n v="8"/>
  </r>
  <r>
    <n v="63"/>
    <x v="1"/>
    <n v="89"/>
    <n v="9"/>
    <x v="4"/>
    <n v="46869408875"/>
    <s v="Rudolf Gergelj"/>
    <s v="J.J. Strossmayera 333, 31000 Osijek"/>
    <x v="77"/>
    <x v="33"/>
    <d v="2018-05-31T00:00:00"/>
    <n v="21298366100"/>
    <s v="Ž-ŽENSKO"/>
    <d v="1971-09-24T00:00:00"/>
    <s v="Kneževo"/>
    <s v="HRVATSKO"/>
    <s v="J.J.STROSSMAYERA 230 OSIJEK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48"/>
    <m/>
    <m/>
    <m/>
    <m/>
    <m/>
    <m/>
    <m/>
    <m/>
    <m/>
    <m/>
    <s v="NEAKTIVAN"/>
    <n v="98"/>
  </r>
  <r>
    <n v="1"/>
    <x v="2"/>
    <n v="90"/>
    <n v="15"/>
    <x v="7"/>
    <s v="085005325176"/>
    <s v="Zoran Francisković"/>
    <s v="Koprivnička 25 a, 31000 Osijek"/>
    <x v="78"/>
    <x v="33"/>
    <m/>
    <n v="37804110038"/>
    <s v="M-MUŠKO"/>
    <d v="1972-03-18T00:00:00"/>
    <s v="OSIJEK"/>
    <s v="HRVATSKO"/>
    <s v="Koprivnička 25a, 31000 Osijek"/>
    <s v="NE"/>
    <s v="SSS"/>
    <m/>
    <s v="Keramičar"/>
    <s v="Keramičar"/>
    <s v="NEODREĐENO"/>
    <m/>
    <s v="PUNO"/>
    <n v="40"/>
    <s v="HR61 2340 0093 2029 7065 6"/>
    <m/>
    <m/>
    <m/>
    <m/>
    <m/>
    <s v="Osijek"/>
    <m/>
    <m/>
    <m/>
    <m/>
    <n v="5213"/>
    <n v="1"/>
    <m/>
    <m/>
    <m/>
    <m/>
    <m/>
    <m/>
    <m/>
    <m/>
    <m/>
    <m/>
    <m/>
    <s v="AKTIVAN"/>
    <m/>
  </r>
  <r>
    <n v="2"/>
    <x v="1"/>
    <n v="91"/>
    <n v="15"/>
    <x v="7"/>
    <s v="085005325176"/>
    <s v="Zoran Francisković"/>
    <s v="Koprivnička 25 a, 31000 Osijek"/>
    <x v="79"/>
    <x v="33"/>
    <d v="2022-11-30T00:00:00"/>
    <n v="68539395396"/>
    <s v="M-MUŠKO"/>
    <d v="1977-05-12T00:00:00"/>
    <s v="OSIJEK"/>
    <s v="HRVATSKO"/>
    <s v="Hrvatske Republike 18, 31000 Osijek"/>
    <s v="NE"/>
    <s v="SSS"/>
    <m/>
    <s v="Keramičar"/>
    <s v="Keramičar"/>
    <s v="NEODREĐENO"/>
    <d v="2022-11-30T00:00:00"/>
    <s v="PUNO"/>
    <n v="40"/>
    <s v="HR54 2500 0093 2049 6435 1"/>
    <m/>
    <m/>
    <m/>
    <m/>
    <m/>
    <s v="Osijek"/>
    <m/>
    <m/>
    <m/>
    <m/>
    <n v="4200"/>
    <n v="1"/>
    <m/>
    <m/>
    <m/>
    <m/>
    <m/>
    <m/>
    <m/>
    <m/>
    <m/>
    <m/>
    <m/>
    <s v="NEAKTIVAN"/>
    <m/>
  </r>
  <r>
    <n v="64"/>
    <x v="1"/>
    <n v="92"/>
    <n v="9"/>
    <x v="4"/>
    <n v="46869408875"/>
    <s v="Rudolf Gergelj"/>
    <s v="J.J. Strossmayera 333, 31000 Osijek"/>
    <x v="80"/>
    <x v="34"/>
    <d v="2018-05-31T00:00:00"/>
    <n v="22669024508"/>
    <s v="Ž-ŽENSKO"/>
    <d v="1997-12-27T00:00:00"/>
    <s v="OSIJEK"/>
    <s v="HRVATSKO"/>
    <s v="CRKVENA ULICA 16, 31000 OSIJEK"/>
    <s v="NE"/>
    <s v="SSS"/>
    <m/>
    <s v="Telefonist-operater u call c."/>
    <s v="Telefonist-operater u call c."/>
    <s v="NEODREĐENO"/>
    <m/>
    <s v="PUNO"/>
    <n v="40"/>
    <s v="HR94 2340 0093 2324 7707 4"/>
    <m/>
    <m/>
    <m/>
    <m/>
    <m/>
    <s v="Osijek"/>
    <m/>
    <m/>
    <m/>
    <m/>
    <n v="3439.8"/>
    <n v="1"/>
    <n v="2751.84"/>
    <m/>
    <m/>
    <m/>
    <m/>
    <m/>
    <m/>
    <m/>
    <m/>
    <m/>
    <m/>
    <s v="NEAKTIVAN"/>
    <n v="99"/>
  </r>
  <r>
    <n v="65"/>
    <x v="1"/>
    <n v="93"/>
    <n v="9"/>
    <x v="4"/>
    <n v="46869408875"/>
    <s v="Rudolf Gergelj"/>
    <s v="J.J. Strossmayera 333, 31000 Osijek"/>
    <x v="81"/>
    <x v="35"/>
    <d v="2018-05-31T00:00:00"/>
    <n v="27422215847"/>
    <s v="Ž-ŽENSKO"/>
    <d v="1996-04-27T00:00:00"/>
    <m/>
    <s v="HRVATSKO"/>
    <s v="Zagrebačka 31, Našice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s v="NEAKTIVAN"/>
    <n v="100"/>
  </r>
  <r>
    <n v="1"/>
    <x v="1"/>
    <n v="94"/>
    <n v="16"/>
    <x v="8"/>
    <n v="18241574410"/>
    <s v="LASZLO TIBOR"/>
    <s v="Ivana Gundulića 28"/>
    <x v="22"/>
    <x v="36"/>
    <d v="2018-12-31T00:00:00"/>
    <s v="38288739117"/>
    <s v="Ž-ŽENSKO"/>
    <d v="1968-04-15T00:00:00"/>
    <s v="OSIJEK"/>
    <s v="HRVATSKO"/>
    <s v="Maršala Tita 132., Zma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8426.4599999999991"/>
    <n v="1"/>
    <n v="6000"/>
    <m/>
    <m/>
    <m/>
    <n v="20"/>
    <n v="12"/>
    <s v="28.07.2018-15.08.2018"/>
    <n v="12"/>
    <s v="14.12.2018-31.12.2018"/>
    <m/>
    <n v="0"/>
    <s v="NEAKTIVAN"/>
    <n v="2"/>
  </r>
  <r>
    <n v="2"/>
    <x v="1"/>
    <n v="95"/>
    <n v="16"/>
    <x v="8"/>
    <n v="18241574410"/>
    <s v="LASZLO TIBOR"/>
    <s v="Ivana Gundulića 28"/>
    <x v="23"/>
    <x v="36"/>
    <d v="2018-12-31T00:00:00"/>
    <s v="92132715760"/>
    <s v="M-MUŠKO"/>
    <d v="1993-03-10T00:00:00"/>
    <s v="OSIJEK"/>
    <s v="HRVATSKO"/>
    <s v="Šandora Petefija 57. Zmajevac"/>
    <s v="NE"/>
    <s v="SSS"/>
    <m/>
    <s v="Trgovački dem. i prodavač"/>
    <s v="Trgovački dem. i prodavač"/>
    <s v="NEODREĐENO"/>
    <m/>
    <s v="PUNO"/>
    <n v="40"/>
    <s v="HR39 2340 0093 2192 5250 2"/>
    <s v="03580970793"/>
    <m/>
    <m/>
    <m/>
    <m/>
    <s v="Osijek"/>
    <m/>
    <m/>
    <m/>
    <s v="NE"/>
    <n v="3750"/>
    <n v="1"/>
    <n v="3000"/>
    <n v="2100"/>
    <m/>
    <m/>
    <n v="20"/>
    <n v="12"/>
    <s v="28.07.2018-15.08.2018"/>
    <n v="12"/>
    <s v="14.12.2018-31.12.2018"/>
    <m/>
    <n v="0"/>
    <s v="NEAKTIVAN"/>
    <n v="3"/>
  </r>
  <r>
    <n v="3"/>
    <x v="1"/>
    <n v="96"/>
    <n v="16"/>
    <x v="8"/>
    <n v="18241574410"/>
    <s v="LASZLO TIBOR"/>
    <s v="Ivana Gundulića 28"/>
    <x v="24"/>
    <x v="36"/>
    <d v="2018-12-31T00:00:00"/>
    <n v="24461973764"/>
    <s v="Ž-ŽENSKO"/>
    <d v="1993-03-11T00:00:00"/>
    <s v="OSIJEK"/>
    <s v="HRVATSKO"/>
    <s v="J.Pannoniusa 9., Branjin Vrh"/>
    <s v="NE"/>
    <s v="SSS"/>
    <m/>
    <s v="Trgovački dem. i prodavač"/>
    <s v="Trgovački dem. i prodavač"/>
    <s v="NEODREĐENO"/>
    <m/>
    <s v="PUNO"/>
    <n v="40"/>
    <s v="HR53 2390 0013 2910 0589 6"/>
    <s v="03579621740"/>
    <m/>
    <m/>
    <m/>
    <m/>
    <s v="Osijek"/>
    <m/>
    <m/>
    <m/>
    <s v="NE"/>
    <n v="3750"/>
    <n v="1"/>
    <n v="3000"/>
    <n v="600"/>
    <m/>
    <m/>
    <n v="20"/>
    <n v="12"/>
    <s v="28.07.2018-15.08.2018"/>
    <n v="12"/>
    <s v="14.12.2018-31.12.2018"/>
    <m/>
    <n v="0"/>
    <s v="NEAKTIVAN"/>
    <n v="4"/>
  </r>
  <r>
    <n v="4"/>
    <x v="1"/>
    <n v="97"/>
    <n v="16"/>
    <x v="8"/>
    <n v="18241574410"/>
    <s v="LASZLO TIBOR"/>
    <s v="Ivana Gundulića 28"/>
    <x v="25"/>
    <x v="36"/>
    <d v="2018-12-31T00:00:00"/>
    <s v="22044787722"/>
    <s v="M-MUŠKO"/>
    <d v="1993-03-12T00:00:00"/>
    <s v="OSIJEK"/>
    <s v="HRVATSKO"/>
    <s v="Glavna 100., Podolje"/>
    <s v="NE"/>
    <s v="SSS"/>
    <m/>
    <s v="Trgovački dem. i prodavač"/>
    <s v="Trgovački dem. i prodavač"/>
    <s v="NEODREĐENO"/>
    <m/>
    <s v="PUNO"/>
    <n v="40"/>
    <s v="HR17 2340 0093 2303 6725 5"/>
    <s v="03593234902"/>
    <m/>
    <m/>
    <m/>
    <m/>
    <s v="Osijek"/>
    <m/>
    <m/>
    <m/>
    <s v="NE"/>
    <n v="3750"/>
    <n v="1"/>
    <n v="3000"/>
    <n v="1000"/>
    <m/>
    <m/>
    <n v="20"/>
    <n v="12"/>
    <s v="28.07.2018-15.08.2018"/>
    <n v="12"/>
    <s v="14.12.2018-31.12.2018"/>
    <m/>
    <n v="0"/>
    <s v="NEAKTIVAN"/>
    <n v="5"/>
  </r>
  <r>
    <n v="5"/>
    <x v="1"/>
    <n v="98"/>
    <n v="16"/>
    <x v="8"/>
    <n v="18241574410"/>
    <s v="LASZLO TIBOR"/>
    <s v="Ivana Gundulića 28"/>
    <x v="26"/>
    <x v="36"/>
    <d v="2018-12-31T00:00:00"/>
    <s v="45227899437"/>
    <s v="M-MUŠKO"/>
    <d v="1993-03-13T00:00:00"/>
    <s v="OSIJEK"/>
    <s v="HRVATSKO"/>
    <s v="Maršala Tita 129., Suza"/>
    <s v="NE"/>
    <s v="SSS"/>
    <m/>
    <s v="Trgovački dem. i prodavač"/>
    <s v="Trgovački dem. i prodavač"/>
    <s v="NEODREĐENO"/>
    <m/>
    <s v="PUNO"/>
    <n v="40"/>
    <s v="HR81 2340 0093 2192 9074 0"/>
    <s v="03581190304"/>
    <m/>
    <m/>
    <m/>
    <m/>
    <s v="Osijek"/>
    <m/>
    <m/>
    <m/>
    <s v="NE"/>
    <n v="3750"/>
    <n v="1"/>
    <n v="3000"/>
    <n v="2000"/>
    <m/>
    <m/>
    <n v="20"/>
    <n v="12"/>
    <s v="28.07.2018-15.08.2018"/>
    <n v="12"/>
    <s v="14.12.2018-31.12.2018"/>
    <m/>
    <n v="0"/>
    <s v="NEAKTIVAN"/>
    <n v="6"/>
  </r>
  <r>
    <n v="6"/>
    <x v="1"/>
    <n v="99"/>
    <n v="16"/>
    <x v="8"/>
    <n v="18241574410"/>
    <s v="LASZLO TIBOR"/>
    <s v="Ivana Gundulića 28"/>
    <x v="30"/>
    <x v="37"/>
    <d v="2018-12-31T00:00:00"/>
    <s v="00951235574"/>
    <s v="M-MUŠKO"/>
    <d v="1993-03-25T00:00:00"/>
    <s v="OSIJEK"/>
    <s v="HRVATSKO"/>
    <s v="Vijenac Petrove Gore 13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18"/>
  </r>
  <r>
    <n v="7"/>
    <x v="1"/>
    <n v="100"/>
    <n v="16"/>
    <x v="8"/>
    <n v="18241574410"/>
    <s v="LASZLO TIBOR"/>
    <s v="Ivana Gundulića 28"/>
    <x v="31"/>
    <x v="37"/>
    <d v="2018-12-31T00:00:00"/>
    <s v="46651411474"/>
    <s v="Ž-ŽENSKO"/>
    <d v="1993-03-26T00:00:00"/>
    <s v="OSIJEK"/>
    <s v="HRVATSKO"/>
    <s v="Psunjska 93 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19"/>
  </r>
  <r>
    <n v="8"/>
    <x v="1"/>
    <n v="101"/>
    <n v="16"/>
    <x v="8"/>
    <n v="18241574410"/>
    <s v="LASZLO TIBOR"/>
    <s v="Ivana Gundulića 28"/>
    <x v="32"/>
    <x v="37"/>
    <d v="2018-12-31T00:00:00"/>
    <s v="16065838903"/>
    <s v="Ž-ŽENSKO"/>
    <d v="1993-03-27T00:00:00"/>
    <s v="OSIJEK"/>
    <s v="HRVATSKO"/>
    <s v="Martina Divalta 168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5093.03"/>
    <n v="1"/>
    <n v="4000"/>
    <n v="250"/>
    <m/>
    <m/>
    <n v="20"/>
    <n v="12"/>
    <s v="28.07.2018-15.08.2018"/>
    <n v="12"/>
    <s v="14.12.2018-31.12.2018"/>
    <m/>
    <n v="0"/>
    <s v="NEAKTIVAN"/>
    <n v="20"/>
  </r>
  <r>
    <n v="9"/>
    <x v="1"/>
    <n v="102"/>
    <n v="16"/>
    <x v="8"/>
    <n v="18241574410"/>
    <s v="LASZLO TIBOR"/>
    <s v="Ivana Gundulića 28"/>
    <x v="33"/>
    <x v="37"/>
    <d v="2018-12-31T00:00:00"/>
    <s v="91993718714"/>
    <s v="Ž-ŽENSKO"/>
    <d v="1993-03-28T00:00:00"/>
    <s v="OSIJEK"/>
    <s v="HRVATSKO"/>
    <s v="Josipa Kozarca 25., Višnje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21"/>
  </r>
  <r>
    <n v="10"/>
    <x v="1"/>
    <n v="103"/>
    <n v="16"/>
    <x v="8"/>
    <n v="18241574410"/>
    <s v="LASZLO TIBOR"/>
    <s v="Ivana Gundulića 28"/>
    <x v="35"/>
    <x v="37"/>
    <d v="2018-12-31T00:00:00"/>
    <s v="68121059947"/>
    <s v="Ž-ŽENSKO"/>
    <d v="1993-03-31T00:00:00"/>
    <s v="OSIJEK"/>
    <s v="HRVATSKO"/>
    <s v="Mlinska 100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24"/>
  </r>
  <r>
    <n v="11"/>
    <x v="1"/>
    <n v="104"/>
    <n v="16"/>
    <x v="8"/>
    <n v="18241574410"/>
    <s v="LASZLO TIBOR"/>
    <s v="Ivana Gundulića 28"/>
    <x v="36"/>
    <x v="37"/>
    <d v="2018-12-31T00:00:00"/>
    <s v="19036979307"/>
    <s v="Ž-ŽENSKO"/>
    <d v="1993-04-01T00:00:00"/>
    <s v="OSIJEK"/>
    <s v="HRVATSKO"/>
    <s v="Vijenac Dinare 5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25"/>
  </r>
  <r>
    <n v="12"/>
    <x v="1"/>
    <n v="105"/>
    <n v="16"/>
    <x v="8"/>
    <n v="18241574410"/>
    <s v="LASZLO TIBOR"/>
    <s v="Ivana Gundulića 28"/>
    <x v="80"/>
    <x v="37"/>
    <d v="2018-06-01T00:00:00"/>
    <n v="22669024508"/>
    <s v="Ž-ŽENSKO"/>
    <d v="1997-12-27T00:00:00"/>
    <s v="OSIJEK"/>
    <s v="HRVATSKO"/>
    <s v="CRKVENA ULICA 16, 31000 OSIJEK"/>
    <s v="NE"/>
    <s v="SSS"/>
    <m/>
    <s v="Telefonist-operater u call c."/>
    <s v="Telefonist-operater u call c."/>
    <s v="NEODREĐENO"/>
    <m/>
    <s v="PUNO"/>
    <n v="40"/>
    <s v="HR94 2340 0093 2324 7707 4"/>
    <m/>
    <m/>
    <m/>
    <m/>
    <m/>
    <s v="Osijek"/>
    <m/>
    <m/>
    <m/>
    <m/>
    <n v="3439.8"/>
    <n v="1"/>
    <n v="2751.84"/>
    <m/>
    <m/>
    <m/>
    <m/>
    <m/>
    <m/>
    <m/>
    <m/>
    <m/>
    <m/>
    <s v="NEAKTIVAN"/>
    <n v="99"/>
  </r>
  <r>
    <n v="13"/>
    <x v="1"/>
    <n v="106"/>
    <n v="16"/>
    <x v="8"/>
    <n v="18241574410"/>
    <s v="LASZLO TIBOR"/>
    <s v="Ivana Gundulića 28"/>
    <x v="41"/>
    <x v="37"/>
    <d v="2018-11-23T00:00:00"/>
    <n v="63681749207"/>
    <s v="M-MUŠKO"/>
    <d v="1993-04-07T00:00:00"/>
    <s v="OSIJEK"/>
    <s v="HRVATSKO"/>
    <s v="Kralja Tomislava 147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31"/>
  </r>
  <r>
    <n v="14"/>
    <x v="1"/>
    <n v="107"/>
    <n v="16"/>
    <x v="8"/>
    <n v="18241574410"/>
    <s v="LASZLO TIBOR"/>
    <s v="Ivana Gundulića 28"/>
    <x v="82"/>
    <x v="38"/>
    <d v="2018-12-31T00:00:00"/>
    <n v="93260758620"/>
    <s v="Ž-ŽENSKO"/>
    <d v="1976-12-22T00:00:00"/>
    <s v="OSIJEK"/>
    <s v="HRVATSKO"/>
    <s v="bilje, lug , šandora petefija 114 a"/>
    <s v="NE"/>
    <s v="SSS"/>
    <m/>
    <s v="Telefonist-operater u call c."/>
    <s v="Telefonist-operater u call c."/>
    <s v="NEODREĐENO"/>
    <m/>
    <s v="PUNO"/>
    <n v="40"/>
    <s v="HR2923600003238444952"/>
    <m/>
    <m/>
    <m/>
    <m/>
    <m/>
    <s v="Osijek"/>
    <m/>
    <m/>
    <m/>
    <m/>
    <n v="3439.8"/>
    <n v="2.7"/>
    <n v="2751.81"/>
    <m/>
    <m/>
    <m/>
    <m/>
    <m/>
    <m/>
    <m/>
    <m/>
    <m/>
    <m/>
    <s v="NEAKTIVAN"/>
    <n v="102"/>
  </r>
  <r>
    <n v="15"/>
    <x v="1"/>
    <n v="108"/>
    <n v="16"/>
    <x v="8"/>
    <n v="18241574410"/>
    <s v="LASZLO TIBOR"/>
    <s v="Ivana Gundulića 28"/>
    <x v="42"/>
    <x v="37"/>
    <d v="2018-12-31T00:00:00"/>
    <s v="04668761853"/>
    <s v="Ž-ŽENSKO"/>
    <d v="1993-04-08T00:00:00"/>
    <s v="OSIJEK"/>
    <s v="HRVATSKO"/>
    <s v="Trg Ante Starčevića 4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32"/>
  </r>
  <r>
    <n v="1"/>
    <x v="1"/>
    <n v="109"/>
    <n v="17"/>
    <x v="9"/>
    <n v="7942284015"/>
    <s v="DOMOKOS ISTVAN"/>
    <s v="VRTNA 35,  BRIJEŠĆE"/>
    <x v="83"/>
    <x v="39"/>
    <d v="2018-06-15T00:00:00"/>
    <n v="56939657606"/>
    <s v="Ž-ŽENSKO"/>
    <d v="1959-11-15T00:00:00"/>
    <s v="OSIJEK"/>
    <s v="HRVATSKO"/>
    <s v="BRIJEŠĆE, VRTNA 35"/>
    <s v="NE"/>
    <s v="SSS"/>
    <m/>
    <s v="Komercijalist"/>
    <s v="Komercijalist"/>
    <s v="NEODREĐENO"/>
    <m/>
    <s v="PUNO"/>
    <n v="40"/>
    <s v="HR4823600003211476379"/>
    <m/>
    <m/>
    <m/>
    <m/>
    <m/>
    <s v="Osijek"/>
    <m/>
    <m/>
    <m/>
    <m/>
    <n v="4180.8900000000003"/>
    <n v="1"/>
    <m/>
    <m/>
    <m/>
    <m/>
    <m/>
    <m/>
    <m/>
    <m/>
    <m/>
    <m/>
    <m/>
    <s v="AKTIVAN"/>
    <n v="2"/>
  </r>
  <r>
    <n v="16"/>
    <x v="1"/>
    <n v="110"/>
    <n v="16"/>
    <x v="8"/>
    <n v="18241574410"/>
    <s v="LASZLO TIBOR"/>
    <s v="Ivana Gundulića 28"/>
    <x v="43"/>
    <x v="37"/>
    <d v="2018-12-31T00:00:00"/>
    <s v="16260284290"/>
    <s v="Ž-ŽENSKO"/>
    <d v="1993-04-10T00:00:00"/>
    <s v="OSIJEK"/>
    <s v="HRVATSKO"/>
    <s v="Šandor Petefija 116."/>
    <s v="NE"/>
    <s v="SSS"/>
    <m/>
    <s v="Voditelj call centra"/>
    <s v="Voditelj call centra"/>
    <s v="NEODREĐENO"/>
    <m/>
    <s v="PUNO"/>
    <n v="40"/>
    <m/>
    <m/>
    <m/>
    <m/>
    <m/>
    <m/>
    <s v="Osijek"/>
    <m/>
    <m/>
    <m/>
    <s v="NE"/>
    <n v="4375"/>
    <n v="2.7"/>
    <n v="3500"/>
    <m/>
    <m/>
    <m/>
    <n v="20"/>
    <n v="12"/>
    <s v="28.07.2018-15.08.2018"/>
    <n v="12"/>
    <s v="14.12.2018-31.12.2018"/>
    <m/>
    <n v="0"/>
    <s v="NEAKTIVAN"/>
    <n v="34"/>
  </r>
  <r>
    <n v="17"/>
    <x v="1"/>
    <n v="111"/>
    <n v="16"/>
    <x v="8"/>
    <n v="18241574410"/>
    <s v="LASZLO TIBOR"/>
    <s v="Ivana Gundulića 28"/>
    <x v="44"/>
    <x v="37"/>
    <d v="2018-12-31T00:00:00"/>
    <s v="02808842683"/>
    <s v="Ž-ŽENSKO"/>
    <d v="1993-04-11T00:00:00"/>
    <s v="OSIJEK"/>
    <s v="HRVATSKO"/>
    <s v="Kralja Tomislava 6 c, Višnjev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35"/>
  </r>
  <r>
    <n v="18"/>
    <x v="1"/>
    <n v="112"/>
    <n v="16"/>
    <x v="8"/>
    <n v="18241574410"/>
    <s v="LASZLO TIBOR"/>
    <s v="Ivana Gundulića 28"/>
    <x v="45"/>
    <x v="37"/>
    <d v="2018-12-31T00:00:00"/>
    <s v="99900276984"/>
    <s v="Ž-ŽENSKO"/>
    <d v="1993-04-15T00:00:00"/>
    <s v="OSIJEK"/>
    <s v="HRVATSKO"/>
    <s v="Kralja Petra Krešimira IV. 83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39"/>
  </r>
  <r>
    <n v="19"/>
    <x v="1"/>
    <n v="113"/>
    <n v="16"/>
    <x v="8"/>
    <n v="18241574410"/>
    <s v="LASZLO TIBOR"/>
    <s v="Ivana Gundulića 28"/>
    <x v="46"/>
    <x v="37"/>
    <d v="2018-12-31T00:00:00"/>
    <s v="56488239997"/>
    <s v="Ž-ŽENSKO"/>
    <d v="1993-04-16T00:00:00"/>
    <s v="OSIJEK"/>
    <s v="HRVATSKO"/>
    <s v="Ribarska 31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2.7"/>
    <n v="2751.84"/>
    <m/>
    <m/>
    <m/>
    <n v="20"/>
    <n v="12"/>
    <s v="28.07.2018-15.08.2018"/>
    <n v="12"/>
    <s v="14.12.2018-31.12.2018"/>
    <m/>
    <n v="0"/>
    <s v="NEAKTIVAN"/>
    <n v="40"/>
  </r>
  <r>
    <n v="20"/>
    <x v="1"/>
    <n v="114"/>
    <n v="16"/>
    <x v="8"/>
    <n v="18241574410"/>
    <s v="LASZLO TIBOR"/>
    <s v="Ivana Gundulića 28"/>
    <x v="47"/>
    <x v="37"/>
    <d v="2018-12-31T00:00:00"/>
    <s v="05826363901"/>
    <s v="Ž-ŽENSKO"/>
    <d v="1993-04-18T00:00:00"/>
    <s v="OSIJEK"/>
    <s v="HRVATSKO"/>
    <s v="Dr.F.Tuđmana 14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42"/>
  </r>
  <r>
    <n v="21"/>
    <x v="1"/>
    <n v="115"/>
    <n v="16"/>
    <x v="8"/>
    <n v="18241574410"/>
    <s v="LASZLO TIBOR"/>
    <s v="Ivana Gundulića 28"/>
    <x v="48"/>
    <x v="37"/>
    <d v="2018-12-31T00:00:00"/>
    <s v="07065659312"/>
    <s v="Ž-ŽENSKO"/>
    <d v="1993-04-20T00:00:00"/>
    <s v="OSIJEK"/>
    <s v="HRVATSKO"/>
    <s v="Šandora Petefija 126, Lug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5084.22"/>
    <n v="1"/>
    <n v="4000"/>
    <n v="747"/>
    <m/>
    <m/>
    <n v="20"/>
    <n v="12"/>
    <s v="28.07.2018-15.08.2018"/>
    <n v="12"/>
    <s v="14.12.2018-31.12.2018"/>
    <m/>
    <n v="0"/>
    <s v="NEAKTIVAN"/>
    <n v="44"/>
  </r>
  <r>
    <n v="22"/>
    <x v="1"/>
    <n v="116"/>
    <n v="16"/>
    <x v="8"/>
    <n v="18241574410"/>
    <s v="LASZLO TIBOR"/>
    <s v="Ivana Gundulića 28"/>
    <x v="84"/>
    <x v="40"/>
    <d v="2018-07-06T00:00:00"/>
    <n v="72020445194"/>
    <s v="Ž-ŽENSKO"/>
    <d v="1995-02-21T00:00:00"/>
    <s v="OSIJEK"/>
    <s v="HRVATSKO"/>
    <s v="TITUŠA BREZOVAČKOG 25, TENJA"/>
    <s v="NE"/>
    <s v="NKV"/>
    <m/>
    <s v="Telefonist-operater u call c."/>
    <s v="Telefonist-operater u call c."/>
    <s v="NEODREĐENO"/>
    <m/>
    <s v="PUNO"/>
    <n v="40"/>
    <s v="HR18 2340 0093 2319 6288 7"/>
    <n v="3605681095"/>
    <m/>
    <m/>
    <m/>
    <m/>
    <s v="Osijek"/>
    <m/>
    <m/>
    <m/>
    <m/>
    <n v="3439.8"/>
    <n v="1"/>
    <n v="2751.48"/>
    <m/>
    <m/>
    <m/>
    <m/>
    <m/>
    <m/>
    <m/>
    <m/>
    <m/>
    <m/>
    <s v="NEAKTIVAN"/>
    <n v="101"/>
  </r>
  <r>
    <n v="23"/>
    <x v="1"/>
    <n v="117"/>
    <n v="16"/>
    <x v="8"/>
    <n v="18241574410"/>
    <s v="LASZLO TIBOR"/>
    <s v="Ivana Gundulića 28"/>
    <x v="52"/>
    <x v="37"/>
    <d v="2018-12-31T00:00:00"/>
    <s v="01764937555"/>
    <s v="Ž-ŽENSKO"/>
    <d v="1993-05-10T00:00:00"/>
    <s v="OSIJEK"/>
    <s v="HRVATSKO"/>
    <s v="Creska 10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64"/>
  </r>
  <r>
    <n v="24"/>
    <x v="1"/>
    <n v="118"/>
    <n v="16"/>
    <x v="8"/>
    <n v="18241574410"/>
    <s v="LASZLO TIBOR"/>
    <s v="Ivana Gundulića 28"/>
    <x v="53"/>
    <x v="36"/>
    <d v="2018-12-31T00:00:00"/>
    <s v="85912850218"/>
    <s v="Ž-ŽENSKO"/>
    <d v="1997-07-31T00:00:00"/>
    <s v="OSIJEK"/>
    <s v="HRVATSKO"/>
    <s v="Vezir 7, Komletinci"/>
    <s v="NE"/>
    <s v="SSS"/>
    <m/>
    <s v="Trgovački dem. i prodavač"/>
    <s v="Trgovački dem. i prodavač"/>
    <s v="NEODREĐENO"/>
    <m/>
    <s v="PUNO"/>
    <n v="40"/>
    <s v="HR88 2340 0093 2310 0792 3"/>
    <s v="03598798970"/>
    <m/>
    <m/>
    <m/>
    <m/>
    <s v="Osijek"/>
    <m/>
    <m/>
    <m/>
    <s v="NE"/>
    <n v="3750"/>
    <n v="1"/>
    <n v="3000"/>
    <m/>
    <m/>
    <m/>
    <n v="20"/>
    <n v="12"/>
    <s v="28.07.2018-15.08.2018"/>
    <n v="12"/>
    <s v="14.12.2018-31.12.2018"/>
    <m/>
    <n v="0"/>
    <s v="NEAKTIVAN"/>
    <n v="48"/>
  </r>
  <r>
    <n v="25"/>
    <x v="1"/>
    <n v="119"/>
    <n v="16"/>
    <x v="8"/>
    <n v="18241574410"/>
    <s v="LASZLO TIBOR"/>
    <s v="Ivana Gundulića 28"/>
    <x v="54"/>
    <x v="36"/>
    <d v="2018-12-31T00:00:00"/>
    <s v="77889524913"/>
    <s v="M-MUŠKO"/>
    <d v="1993-03-16T00:00:00"/>
    <s v="OSIJEK"/>
    <s v="HRVATSKO"/>
    <s v="Petefi Šandora 43."/>
    <s v="NE"/>
    <s v="SSS"/>
    <m/>
    <s v="Trgovački dem. i prodavač"/>
    <s v="Trgovački dem. i prodavač"/>
    <s v="NEODREĐENO"/>
    <m/>
    <s v="PUNO"/>
    <n v="40"/>
    <s v="HR93 2340 0093 2142 0985 8"/>
    <s v="03531254798"/>
    <m/>
    <m/>
    <m/>
    <m/>
    <s v="Osijek"/>
    <m/>
    <m/>
    <m/>
    <s v="NE"/>
    <n v="3439.8"/>
    <n v="1"/>
    <n v="2751.84"/>
    <n v="248.16"/>
    <m/>
    <m/>
    <n v="20"/>
    <n v="12"/>
    <s v="28.07.2018-15.08.2018"/>
    <n v="12"/>
    <s v="14.12.2018-31.12.2018"/>
    <m/>
    <n v="0"/>
    <s v="NEAKTIVAN"/>
    <n v="9"/>
  </r>
  <r>
    <n v="26"/>
    <x v="1"/>
    <n v="120"/>
    <n v="16"/>
    <x v="8"/>
    <n v="18241574410"/>
    <s v="LASZLO TIBOR"/>
    <s v="Ivana Gundulića 28"/>
    <x v="55"/>
    <x v="37"/>
    <d v="2018-12-31T00:00:00"/>
    <n v="79843816739"/>
    <s v="Ž-ŽENSKO"/>
    <d v="1975-07-10T00:00:00"/>
    <s v="OSIJEK"/>
    <s v="HRVATSKO"/>
    <s v="VLADIMIRA NAZORA 30, LASLOVO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3750"/>
    <n v="2.7"/>
    <n v="3000"/>
    <m/>
    <m/>
    <m/>
    <n v="20"/>
    <n v="12"/>
    <s v="28.07.2018-15.08.2018"/>
    <n v="12"/>
    <s v="14.12.2018-31.12.2018"/>
    <m/>
    <n v="0"/>
    <s v="NEAKTIVAN"/>
    <n v="67"/>
  </r>
  <r>
    <n v="27"/>
    <x v="1"/>
    <n v="121"/>
    <n v="16"/>
    <x v="8"/>
    <n v="18241574410"/>
    <s v="LASZLO TIBOR"/>
    <s v="Ivana Gundulića 28"/>
    <x v="57"/>
    <x v="41"/>
    <d v="2018-12-31T00:00:00"/>
    <n v="94678362128"/>
    <s v="Ž-ŽENSKO"/>
    <d v="1986-01-03T00:00:00"/>
    <s v="OSIJEK"/>
    <s v="HRVATSKO"/>
    <s v="Šandora Petefia 99, Vardarac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m/>
    <m/>
    <m/>
    <m/>
    <m/>
    <m/>
    <n v="0"/>
    <s v="NEAKTIVAN"/>
    <n v="84"/>
  </r>
  <r>
    <n v="28"/>
    <x v="1"/>
    <n v="122"/>
    <n v="16"/>
    <x v="8"/>
    <n v="18241574410"/>
    <s v="LASZLO TIBOR"/>
    <s v="Ivana Gundulića 28"/>
    <x v="62"/>
    <x v="36"/>
    <d v="2018-08-03T00:00:00"/>
    <n v="15592850730"/>
    <s v="Ž-ŽENSKO"/>
    <d v="1997-05-20T00:00:00"/>
    <s v="Vinkovci"/>
    <s v="HRVATSKO"/>
    <s v="Vladimira Nazora 68, Kompletinci, Otok"/>
    <s v="NE"/>
    <s v="SSS"/>
    <m/>
    <s v="Trgovački dem. i prodavač"/>
    <s v="Trgovački dem. i prodavač"/>
    <s v="NEODREĐENO"/>
    <m/>
    <s v="PUNO"/>
    <n v="40"/>
    <s v="HR77 2340 0093 2321 2323 3"/>
    <s v="03608414989"/>
    <m/>
    <m/>
    <m/>
    <m/>
    <m/>
    <m/>
    <m/>
    <m/>
    <m/>
    <n v="3750"/>
    <n v="1"/>
    <n v="3000"/>
    <m/>
    <m/>
    <m/>
    <n v="19"/>
    <n v="12"/>
    <s v="28.07.2018-15.08.2018"/>
    <n v="12"/>
    <s v="14.12.2018-31.12.2018"/>
    <m/>
    <n v="0"/>
    <s v="NEAKTIVAN"/>
    <n v="66"/>
  </r>
  <r>
    <n v="29"/>
    <x v="1"/>
    <n v="123"/>
    <n v="16"/>
    <x v="8"/>
    <n v="18241574410"/>
    <s v="LASZLO TIBOR"/>
    <s v="Ivana Gundulića 28"/>
    <x v="51"/>
    <x v="41"/>
    <d v="2018-12-31T00:00:00"/>
    <n v="28217102839"/>
    <s v="Ž-ŽENSKO"/>
    <d v="1993-05-07T00:00:00"/>
    <s v="OSIJEK"/>
    <s v="HRVATSKO"/>
    <s v="Sjenjak 34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m/>
    <m/>
    <m/>
    <m/>
    <m/>
    <m/>
    <n v="0"/>
    <s v="NEAKTIVAN"/>
    <n v="61"/>
  </r>
  <r>
    <n v="30"/>
    <x v="1"/>
    <n v="124"/>
    <n v="16"/>
    <x v="8"/>
    <n v="18241574410"/>
    <s v="LASZLO TIBOR"/>
    <s v="Ivana Gundulića 28"/>
    <x v="63"/>
    <x v="36"/>
    <d v="2018-08-03T00:00:00"/>
    <s v="00090687640"/>
    <s v="M-MUŠKO"/>
    <d v="1996-04-01T00:00:00"/>
    <s v="Vinkovci"/>
    <s v="HRVATSKO"/>
    <s v="Kolodvorska 72, Nijemci"/>
    <s v="NE"/>
    <s v="SSS"/>
    <m/>
    <s v="Trgovački dem. i prodavač"/>
    <s v="Trgovački dem. i prodavač"/>
    <s v="NEODREĐENO"/>
    <m/>
    <s v="PUNO"/>
    <n v="40"/>
    <s v="HR15 2340 0093 2200 4804 3"/>
    <s v="03586775245"/>
    <m/>
    <m/>
    <m/>
    <m/>
    <m/>
    <m/>
    <m/>
    <m/>
    <m/>
    <n v="3750"/>
    <n v="1"/>
    <n v="3000"/>
    <m/>
    <m/>
    <m/>
    <n v="19"/>
    <n v="12"/>
    <s v="28.07.2018-15.08.2018"/>
    <n v="12"/>
    <s v="14.12.2018-31.12.2018"/>
    <m/>
    <n v="0"/>
    <s v="NEAKTIVAN"/>
    <n v="82"/>
  </r>
  <r>
    <n v="31"/>
    <x v="1"/>
    <n v="125"/>
    <n v="16"/>
    <x v="8"/>
    <n v="18241574410"/>
    <s v="LASZLO TIBOR"/>
    <s v="Ivana Gundulića 28"/>
    <x v="12"/>
    <x v="37"/>
    <d v="2018-12-31T00:00:00"/>
    <n v="20112988151"/>
    <s v="Ž-ŽENSKO"/>
    <d v="1980-09-14T00:00:00"/>
    <m/>
    <s v="HRVATSKO"/>
    <s v="Luke Botić 25, Tenja"/>
    <m/>
    <s v="V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3.07.2018-04.08.2018"/>
    <n v="12"/>
    <s v="14.12.2018-31.12.2018"/>
    <m/>
    <n v="0"/>
    <s v="NEAKTIVAN"/>
    <n v="72"/>
  </r>
  <r>
    <n v="9"/>
    <x v="1"/>
    <n v="126"/>
    <n v="3"/>
    <x v="1"/>
    <s v="09677499852"/>
    <s v="Zoltan Terek"/>
    <s v="Južno Pregrađe 38, Osijek"/>
    <x v="85"/>
    <x v="42"/>
    <d v="2018-08-02T00:00:00"/>
    <n v="20215394460"/>
    <s v="M-MUŠKO"/>
    <d v="2018-11-08T00:00:00"/>
    <s v="OSIJEK"/>
    <s v="HRVATSKO"/>
    <s v="PAŠKA 85, OSIJEK"/>
    <s v="NE"/>
    <s v="SSS"/>
    <m/>
    <s v="PRODAVAČ"/>
    <s v="PRO"/>
    <s v="NEODREĐENO"/>
    <m/>
    <s v="PUNO"/>
    <n v="40"/>
    <s v="HR8423600003246496417"/>
    <m/>
    <m/>
    <m/>
    <m/>
    <m/>
    <s v="Osijek"/>
    <m/>
    <m/>
    <m/>
    <s v="NE"/>
    <n v="5950.61"/>
    <n v="1"/>
    <n v="4500"/>
    <m/>
    <m/>
    <m/>
    <m/>
    <m/>
    <m/>
    <m/>
    <m/>
    <m/>
    <m/>
    <s v="NEAKTIVAN"/>
    <n v="9"/>
  </r>
  <r>
    <n v="32"/>
    <x v="1"/>
    <n v="127"/>
    <n v="16"/>
    <x v="8"/>
    <n v="18241574410"/>
    <s v="LASZLO TIBOR"/>
    <s v="Ivana Gundulića 28"/>
    <x v="38"/>
    <x v="37"/>
    <d v="2018-08-07T00:00:00"/>
    <n v="73208771167"/>
    <s v="Ž-ŽENSKO"/>
    <d v="1993-04-03T00:00:00"/>
    <s v="OSIJEK"/>
    <s v="HRVATSKO"/>
    <s v="Osječka 188.,Tenj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27"/>
  </r>
  <r>
    <n v="33"/>
    <x v="1"/>
    <n v="128"/>
    <n v="16"/>
    <x v="8"/>
    <n v="18241574410"/>
    <s v="LASZLO TIBOR"/>
    <s v="Ivana Gundulića 28"/>
    <x v="86"/>
    <x v="43"/>
    <d v="2018-12-31T00:00:00"/>
    <s v="04017099391"/>
    <s v="Ž-ŽENSKO"/>
    <d v="1997-10-19T00:00:00"/>
    <s v="OSIJEK"/>
    <s v="HRVATSKO"/>
    <s v="Matije Gupca 131, Cret Bizovački"/>
    <s v="NE"/>
    <s v="SSS"/>
    <m/>
    <s v="Telefonist-operater u call c."/>
    <s v="Telefonist-operater u call c."/>
    <s v="ODREĐENO"/>
    <d v="2018-09-09T00:00:00"/>
    <s v="PUNO"/>
    <n v="40"/>
    <s v="HR4123400093230758121"/>
    <m/>
    <m/>
    <m/>
    <m/>
    <m/>
    <s v="Osijek"/>
    <m/>
    <m/>
    <m/>
    <s v="NE"/>
    <n v="3439.8"/>
    <n v="1"/>
    <n v="2751.84"/>
    <m/>
    <m/>
    <m/>
    <m/>
    <m/>
    <m/>
    <m/>
    <m/>
    <m/>
    <m/>
    <s v="NEAKTIVAN"/>
    <n v="103"/>
  </r>
  <r>
    <n v="34"/>
    <x v="1"/>
    <n v="129"/>
    <n v="16"/>
    <x v="8"/>
    <n v="18241574410"/>
    <s v="LASZLO TIBOR"/>
    <s v="Ivana Gundulića 28"/>
    <x v="15"/>
    <x v="37"/>
    <d v="2018-12-31T00:00:00"/>
    <s v="71740309634"/>
    <s v="Ž-ŽENSKO"/>
    <d v="1989-06-25T00:00:00"/>
    <s v="OSIJEK"/>
    <s v="HRVATSKO"/>
    <s v="Ljudevita Gaja 17, Tenja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76"/>
  </r>
  <r>
    <n v="10"/>
    <x v="1"/>
    <n v="130"/>
    <n v="3"/>
    <x v="1"/>
    <s v="09677499852"/>
    <s v="Zoltan Terek"/>
    <s v="Južno Pregrađe 38, Osijek"/>
    <x v="87"/>
    <x v="44"/>
    <d v="2018-11-30T00:00:00"/>
    <s v="04165702988"/>
    <s v="M-MUŠKO"/>
    <d v="1983-04-09T00:00:00"/>
    <s v="OSIJEK"/>
    <s v="HRVATSKO"/>
    <s v="ŠANDORA PETEFIJA 323, LUG"/>
    <m/>
    <s v="SSS"/>
    <s v="PRVA STREDNJA ŠKOLA BELI MANASTIR"/>
    <s v="Komercijalist"/>
    <s v="KOMERCIJALISTA"/>
    <s v="NEODREĐENO"/>
    <m/>
    <s v="PUNO"/>
    <n v="40"/>
    <m/>
    <m/>
    <m/>
    <m/>
    <m/>
    <m/>
    <s v="Osijek"/>
    <m/>
    <m/>
    <m/>
    <s v="NE"/>
    <n v="6250"/>
    <n v="1"/>
    <n v="5000"/>
    <m/>
    <m/>
    <m/>
    <m/>
    <m/>
    <m/>
    <m/>
    <m/>
    <m/>
    <m/>
    <s v="NEAKTIVAN"/>
    <n v="10"/>
  </r>
  <r>
    <n v="35"/>
    <x v="1"/>
    <n v="131"/>
    <n v="16"/>
    <x v="8"/>
    <n v="18241574410"/>
    <s v="LASZLO TIBOR"/>
    <s v="Ivana Gundulića 28"/>
    <x v="60"/>
    <x v="37"/>
    <d v="2018-12-31T00:00:00"/>
    <n v="89289096005"/>
    <s v="Ž-ŽENSKO"/>
    <d v="1973-12-22T00:00:00"/>
    <s v="Kneževo"/>
    <s v="HRVATSKO"/>
    <s v="Vatroslava lisinskog 19, Višnjevac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n v="19"/>
    <n v="12"/>
    <s v="28.07.2018-15.08.2018"/>
    <n v="12"/>
    <s v="14.12.2018-31.12.2018"/>
    <m/>
    <n v="0"/>
    <s v="NEAKTIVAN"/>
    <n v="85"/>
  </r>
  <r>
    <n v="36"/>
    <x v="1"/>
    <n v="132"/>
    <n v="16"/>
    <x v="8"/>
    <n v="18241574410"/>
    <s v="LASZLO TIBOR"/>
    <s v="Ivana Gundulića 28"/>
    <x v="50"/>
    <x v="37"/>
    <d v="2018-08-31T00:00:00"/>
    <s v="68319591111"/>
    <s v="Ž-ŽENSKO"/>
    <d v="1993-05-01T00:00:00"/>
    <s v="OSIJEK"/>
    <s v="HRVATSKO"/>
    <s v="Viška 32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55"/>
  </r>
  <r>
    <n v="37"/>
    <x v="1"/>
    <n v="133"/>
    <n v="16"/>
    <x v="8"/>
    <n v="18241574410"/>
    <s v="LASZLO TIBOR"/>
    <s v="Ivana Gundulića 28"/>
    <x v="16"/>
    <x v="37"/>
    <d v="2018-09-18T00:00:00"/>
    <s v="17153736363"/>
    <s v="M-MUŠKO"/>
    <d v="1990-05-31T00:00:00"/>
    <s v="OSIJEK"/>
    <s v="HRVATSKO"/>
    <s v="Ulica Augusta Šenoe 7, Bizovac"/>
    <s v="NE"/>
    <s v="SSS"/>
    <m/>
    <s v="Telefonist-operater u call c."/>
    <s v="Telefonist-operater u call c."/>
    <s v="ODREĐENO"/>
    <m/>
    <s v="PUNO"/>
    <n v="40"/>
    <m/>
    <m/>
    <m/>
    <m/>
    <m/>
    <m/>
    <s v="Osijek"/>
    <m/>
    <m/>
    <m/>
    <m/>
    <n v="3439.8"/>
    <n v="1"/>
    <n v="2751.84"/>
    <m/>
    <m/>
    <m/>
    <n v="18"/>
    <n v="12"/>
    <s v="28.07.2018-15.08.2018"/>
    <n v="12"/>
    <s v="14.12.2018-31.12.2018"/>
    <m/>
    <n v="0"/>
    <s v="NEAKTIVAN"/>
    <n v="91"/>
  </r>
  <r>
    <n v="38"/>
    <x v="1"/>
    <n v="134"/>
    <n v="16"/>
    <x v="8"/>
    <n v="18241574410"/>
    <s v="LASZLO TIBOR"/>
    <s v="Ivana Gundulića 28"/>
    <x v="39"/>
    <x v="45"/>
    <d v="2018-12-31T00:00:00"/>
    <s v="48678345053"/>
    <s v="Ž-ŽENSKO"/>
    <d v="1962-07-12T00:00:00"/>
    <s v="OSIJEK"/>
    <s v="HRVATSKO"/>
    <s v="Čvrsnička 21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m/>
    <m/>
    <m/>
    <m/>
    <m/>
    <m/>
    <m/>
    <s v="NEAKTIVAN"/>
    <n v="29"/>
  </r>
  <r>
    <n v="39"/>
    <x v="1"/>
    <n v="135"/>
    <n v="16"/>
    <x v="8"/>
    <n v="18241574410"/>
    <s v="LASZLO TIBOR"/>
    <s v="Ivana Gundulića 28"/>
    <x v="64"/>
    <x v="36"/>
    <d v="2018-12-31T00:00:00"/>
    <s v="48436445080"/>
    <s v="Ž-ŽENSKO"/>
    <d v="1993-12-03T00:00:00"/>
    <s v="OSIJEK"/>
    <s v="HRVATSKO"/>
    <s v="Vinogradska 11, Branjin Vrh"/>
    <s v="NE"/>
    <s v="SSS"/>
    <m/>
    <s v="Trgovački dem. i prodavač"/>
    <s v="Trgovački dem. i prodavač"/>
    <s v="NEODREĐENO"/>
    <m/>
    <s v="PUNO"/>
    <n v="40"/>
    <s v="HR52 2340 0093 2153 4142 2"/>
    <s v="03552441201"/>
    <m/>
    <m/>
    <m/>
    <m/>
    <s v="Osijek"/>
    <m/>
    <m/>
    <m/>
    <s v="NE"/>
    <n v="3750"/>
    <n v="1"/>
    <n v="3000"/>
    <m/>
    <m/>
    <m/>
    <n v="19"/>
    <n v="12"/>
    <s v="28.07.2018-15.08.2018"/>
    <n v="12"/>
    <s v="14.12.2018-31.12.2018"/>
    <m/>
    <n v="0"/>
    <s v="NEAKTIVAN"/>
    <n v="83"/>
  </r>
  <r>
    <n v="40"/>
    <x v="1"/>
    <n v="136"/>
    <n v="16"/>
    <x v="8"/>
    <n v="18241574410"/>
    <s v="LASZLO TIBOR"/>
    <s v="Ivana Gundulića 28"/>
    <x v="37"/>
    <x v="45"/>
    <d v="2018-12-31T00:00:00"/>
    <s v="35395242811"/>
    <s v="Ž-ŽENSKO"/>
    <d v="1993-04-02T00:00:00"/>
    <s v="OSIJEK"/>
    <s v="HRVATSKO"/>
    <s v="J.J.Strossmayera 82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105"/>
  </r>
  <r>
    <n v="41"/>
    <x v="1"/>
    <n v="137"/>
    <n v="16"/>
    <x v="8"/>
    <n v="18241574410"/>
    <s v="LASZLO TIBOR"/>
    <s v="Ivana Gundulića 28"/>
    <x v="56"/>
    <x v="36"/>
    <d v="2018-09-27T00:00:00"/>
    <s v="80464281272"/>
    <s v="Ž-ŽENSKO"/>
    <d v="1994-10-17T00:00:00"/>
    <s v="OSIJEK"/>
    <s v="HRVATSKO"/>
    <s v="Šandora Petefija 46, Lug"/>
    <s v="NE"/>
    <s v="SSS"/>
    <m/>
    <s v="Trgovački dem. i prodavač"/>
    <s v="Trgovački dem. i prodavač"/>
    <s v="NEODREĐENO"/>
    <m/>
    <s v="PUNO"/>
    <n v="40"/>
    <s v="HR25 2340 0093 2186 3350 6"/>
    <s v="03580150148"/>
    <m/>
    <m/>
    <m/>
    <m/>
    <s v="Osijek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s v="NEAKTIVAN"/>
    <n v="49"/>
  </r>
  <r>
    <n v="42"/>
    <x v="1"/>
    <n v="138"/>
    <n v="16"/>
    <x v="8"/>
    <n v="18241574410"/>
    <s v="LASZLO TIBOR"/>
    <s v="Ivana Gundulića 28"/>
    <x v="27"/>
    <x v="44"/>
    <d v="2018-12-31T00:00:00"/>
    <s v="25820706885"/>
    <s v="M-MUŠKO"/>
    <d v="1993-03-20T00:00:00"/>
    <s v="OSIJEK"/>
    <s v="HRVATSKO"/>
    <s v="Josipa Kozarca 25., Višn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100"/>
    <m/>
    <m/>
    <n v="20"/>
    <n v="12"/>
    <s v="28.07.2018-15.08.2018"/>
    <n v="12"/>
    <s v="14.12.2018-31.12.2018"/>
    <m/>
    <n v="0"/>
    <s v="NEAKTIVAN"/>
    <n v="13"/>
  </r>
  <r>
    <n v="43"/>
    <x v="1"/>
    <n v="139"/>
    <n v="16"/>
    <x v="8"/>
    <n v="18241574410"/>
    <s v="LASZLO TIBOR"/>
    <s v="Ivana Gundulića 28"/>
    <x v="70"/>
    <x v="37"/>
    <d v="2018-12-31T00:00:00"/>
    <n v="90926163669"/>
    <s v="Ž-ŽENSKO"/>
    <d v="1988-04-08T00:00:00"/>
    <s v="OSIJEK"/>
    <s v="HRVATSKO"/>
    <s v="Sjenjak 11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n v="16"/>
    <n v="12"/>
    <s v="28.07.2018-15.08.2018"/>
    <n v="12"/>
    <s v="14.12.2018-31.12.2018"/>
    <m/>
    <m/>
    <s v="NEAKTIVAN"/>
    <n v="94"/>
  </r>
  <r>
    <n v="44"/>
    <x v="2"/>
    <n v="140"/>
    <n v="16"/>
    <x v="8"/>
    <n v="18241574410"/>
    <s v="LASZLO TIBOR"/>
    <s v="Ivana Gundulića 28"/>
    <x v="88"/>
    <x v="45"/>
    <m/>
    <n v="31571736608"/>
    <s v="Ž-ŽENSKO"/>
    <d v="1982-02-28T00:00:00"/>
    <s v="OSIJEK"/>
    <s v="HRVATSKO"/>
    <s v="VUKOVARSKA 270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M"/>
    <n v="4375"/>
    <n v="1"/>
    <n v="3500"/>
    <m/>
    <m/>
    <m/>
    <m/>
    <m/>
    <m/>
    <m/>
    <m/>
    <m/>
    <m/>
    <s v="AKTIVAN"/>
    <n v="104"/>
  </r>
  <r>
    <n v="45"/>
    <x v="1"/>
    <n v="141"/>
    <n v="16"/>
    <x v="8"/>
    <n v="18241574410"/>
    <s v="LASZLO TIBOR"/>
    <s v="Ivana Gundulića 28"/>
    <x v="71"/>
    <x v="36"/>
    <d v="2018-12-31T00:00:00"/>
    <n v="46616191748"/>
    <s v="Ž-ŽENSKO"/>
    <d v="1994-02-24T00:00:00"/>
    <s v="OSIJEK"/>
    <s v="HRVATSKO"/>
    <s v="Krstova Ulica 78, Osijek"/>
    <s v="NE"/>
    <s v="SSS"/>
    <m/>
    <s v="Trgovački dem. i prodavač"/>
    <s v="Trgovački dem. i prodavač"/>
    <s v="NEODREĐENO"/>
    <m/>
    <s v="PUNO"/>
    <n v="40"/>
    <s v="HR64 2340 0093 2156 8866 0"/>
    <s v="03548720045"/>
    <m/>
    <m/>
    <m/>
    <m/>
    <s v="Osijek"/>
    <m/>
    <m/>
    <m/>
    <m/>
    <n v="3750"/>
    <n v="1"/>
    <n v="3000"/>
    <m/>
    <m/>
    <m/>
    <n v="16"/>
    <n v="12"/>
    <s v="28.07.2018-15.08.2018"/>
    <n v="12"/>
    <s v="14.12.2018-31.12.2018"/>
    <m/>
    <m/>
    <s v="NEAKTIVAN"/>
    <n v="93"/>
  </r>
  <r>
    <n v="46"/>
    <x v="1"/>
    <n v="142"/>
    <n v="16"/>
    <x v="8"/>
    <n v="18241574410"/>
    <s v="LASZLO TIBOR"/>
    <s v="Ivana Gundulića 28"/>
    <x v="72"/>
    <x v="36"/>
    <d v="2018-12-31T00:00:00"/>
    <n v="32686911736"/>
    <s v="M-MUŠKO"/>
    <d v="1996-02-19T00:00:00"/>
    <s v="OSIJEK"/>
    <s v="HRVATSKO"/>
    <s v="Ištvana Vencela 2, Gajić, Draž"/>
    <s v="NE"/>
    <s v="SSS"/>
    <m/>
    <s v="Trgovački dem. i prodavač"/>
    <s v="Trgovački dem. i prodavač"/>
    <s v="NEODREĐENO"/>
    <m/>
    <s v="PUNO"/>
    <n v="40"/>
    <s v="HR27 2500 0093 2059 5627 4"/>
    <s v="03594416980"/>
    <m/>
    <m/>
    <m/>
    <m/>
    <s v="Osijek"/>
    <m/>
    <m/>
    <m/>
    <m/>
    <n v="3750"/>
    <n v="1"/>
    <n v="3000"/>
    <m/>
    <m/>
    <m/>
    <n v="16"/>
    <n v="12"/>
    <s v="28.07.2018-15.08.2018"/>
    <n v="12"/>
    <s v="14.12.2018-31.12.2018"/>
    <m/>
    <m/>
    <s v="NEAKTIVAN"/>
    <n v="95"/>
  </r>
  <r>
    <n v="47"/>
    <x v="1"/>
    <n v="143"/>
    <n v="16"/>
    <x v="8"/>
    <n v="18241574410"/>
    <s v="LASZLO TIBOR"/>
    <s v="Ivana Gundulića 28"/>
    <x v="73"/>
    <x v="37"/>
    <d v="2018-12-31T00:00:00"/>
    <n v="91673634768"/>
    <s v="Ž-ŽENSKO"/>
    <d v="1997-08-13T00:00:00"/>
    <s v="OSIJEK"/>
    <s v="HRVATSKO"/>
    <s v="Školska 100, Antun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s v="NEAKTIVAN"/>
    <n v="96"/>
  </r>
  <r>
    <n v="48"/>
    <x v="1"/>
    <n v="144"/>
    <n v="16"/>
    <x v="8"/>
    <n v="18241574410"/>
    <s v="LASZLO TIBOR"/>
    <s v="Ivana Gundulića 28"/>
    <x v="89"/>
    <x v="46"/>
    <d v="2018-12-31T00:00:00"/>
    <n v="74541092706"/>
    <s v="M-MUŠKO"/>
    <d v="1995-12-25T00:00:00"/>
    <s v="OSIJEK"/>
    <s v="HRVATSKO"/>
    <s v="SLAVONSKA 77, JOSIPOVAC"/>
    <s v="NE"/>
    <s v="SSS"/>
    <m/>
    <s v="Trgovački dem. i prodavač"/>
    <s v="Trgovački dem. i prodavač"/>
    <s v="NEODREĐENO"/>
    <m/>
    <s v="PUNO"/>
    <n v="40"/>
    <s v="HR2223600003245244972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06"/>
  </r>
  <r>
    <n v="49"/>
    <x v="1"/>
    <n v="145"/>
    <n v="16"/>
    <x v="8"/>
    <n v="18241574410"/>
    <s v="LASZLO TIBOR"/>
    <s v="Ivana Gundulića 28"/>
    <x v="75"/>
    <x v="37"/>
    <d v="2018-12-31T00:00:00"/>
    <n v="40041577579"/>
    <s v="Ž-ŽENSKO"/>
    <d v="1979-12-26T00:00:00"/>
    <s v="OSIJEK"/>
    <s v="HRVATSKO"/>
    <s v="J.J. Strossmayera 216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s v="NEAKTIVAN"/>
    <n v="97"/>
  </r>
  <r>
    <n v="2"/>
    <x v="2"/>
    <n v="146"/>
    <n v="12"/>
    <x v="5"/>
    <n v="15151568161"/>
    <s v="Zoltan Buthi"/>
    <s v="K. A. Stepinca 17, 31000 Osijek"/>
    <x v="58"/>
    <x v="47"/>
    <m/>
    <n v="40306045066"/>
    <s v="M-MUŠKO"/>
    <d v="1974-03-15T00:00:00"/>
    <m/>
    <s v="HRVATSKO"/>
    <s v="Sjenjak 123, Osijek"/>
    <s v="NE"/>
    <s v="VSS"/>
    <m/>
    <s v="Komercijalist"/>
    <s v="Komercijalist"/>
    <s v="NEODREĐENO"/>
    <m/>
    <s v="PUNO"/>
    <n v="40"/>
    <m/>
    <m/>
    <m/>
    <m/>
    <m/>
    <m/>
    <s v="Osijek"/>
    <m/>
    <m/>
    <m/>
    <s v="NE"/>
    <n v="3439.8"/>
    <n v="1"/>
    <n v="2751.84"/>
    <n v="0"/>
    <m/>
    <m/>
    <m/>
    <m/>
    <m/>
    <m/>
    <m/>
    <m/>
    <m/>
    <s v="AKTIVAN"/>
    <n v="103"/>
  </r>
  <r>
    <n v="50"/>
    <x v="1"/>
    <n v="147"/>
    <n v="16"/>
    <x v="8"/>
    <n v="18241574410"/>
    <s v="LASZLO TIBOR"/>
    <s v="Ivana Gundulića 28"/>
    <x v="77"/>
    <x v="37"/>
    <d v="2018-12-31T00:00:00"/>
    <n v="21298366100"/>
    <s v="Ž-ŽENSKO"/>
    <d v="1971-09-24T00:00:00"/>
    <s v="Kneževo"/>
    <s v="HRVATSKO"/>
    <s v="J.J.STROSSMAYERA 230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48"/>
    <m/>
    <m/>
    <m/>
    <m/>
    <m/>
    <m/>
    <m/>
    <m/>
    <m/>
    <m/>
    <s v="NEAKTIVAN"/>
    <n v="98"/>
  </r>
  <r>
    <n v="41"/>
    <x v="1"/>
    <n v="148"/>
    <n v="16"/>
    <x v="8"/>
    <n v="18241574410"/>
    <s v="LASZLO TIBOR"/>
    <s v="Ivana Gundulića 28"/>
    <x v="81"/>
    <x v="37"/>
    <d v="2018-12-31T00:00:00"/>
    <n v="27422215847"/>
    <s v="Ž-ŽENSKO"/>
    <d v="1996-04-27T00:00:00"/>
    <m/>
    <s v="HRVATSKO"/>
    <s v="Zagrebačka 31, Našice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48"/>
    <m/>
    <m/>
    <m/>
    <m/>
    <m/>
    <m/>
    <m/>
    <m/>
    <m/>
    <m/>
    <s v="NEAKTIVAN"/>
    <n v="100"/>
  </r>
  <r>
    <n v="52"/>
    <x v="1"/>
    <n v="149"/>
    <n v="16"/>
    <x v="8"/>
    <n v="18241574410"/>
    <s v="LASZLO TIBOR"/>
    <s v="Ivana Gundulića 28"/>
    <x v="13"/>
    <x v="37"/>
    <d v="2018-09-30T00:00:00"/>
    <n v="46438404550"/>
    <s v="Ž-ŽENSKO"/>
    <d v="1988-04-08T00:00:00"/>
    <s v="OSIJEK"/>
    <s v="HRVATSKO"/>
    <s v="Duga 50 A, Ivanovac, Antunovac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74"/>
  </r>
  <r>
    <n v="53"/>
    <x v="1"/>
    <n v="150"/>
    <n v="16"/>
    <x v="8"/>
    <n v="18241574410"/>
    <s v="LASZLO TIBOR"/>
    <s v="Ivana Gundulića 28"/>
    <x v="90"/>
    <x v="48"/>
    <d v="2018-12-31T00:00:00"/>
    <n v="37394837225"/>
    <s v="Ž-ŽENSKO"/>
    <d v="1996-03-11T00:00:00"/>
    <s v="OSIJEK"/>
    <s v="HRVATSKO"/>
    <s v="A.G.MATOŠA 5, DARDA"/>
    <s v="NE"/>
    <s v="SSS"/>
    <m/>
    <s v="Telefonist-operater u call c."/>
    <s v="Telefonist-operater u call c."/>
    <s v="ODREĐENO"/>
    <d v="2018-11-03T00:00:00"/>
    <s v="PUNO"/>
    <n v="40"/>
    <s v="HR4423400093230236595"/>
    <m/>
    <m/>
    <m/>
    <m/>
    <m/>
    <s v="DARDA"/>
    <m/>
    <m/>
    <m/>
    <s v="NE"/>
    <n v="3439.8"/>
    <n v="1"/>
    <n v="2751.84"/>
    <m/>
    <m/>
    <m/>
    <m/>
    <m/>
    <m/>
    <m/>
    <m/>
    <m/>
    <m/>
    <s v="NEAKTIVAN"/>
    <n v="107"/>
  </r>
  <r>
    <n v="54"/>
    <x v="1"/>
    <n v="151"/>
    <n v="16"/>
    <x v="8"/>
    <n v="18241574410"/>
    <s v="LASZLO TIBOR"/>
    <s v="Ivana Gundulića 28"/>
    <x v="66"/>
    <x v="40"/>
    <d v="2018-12-31T00:00:00"/>
    <n v="27081082594"/>
    <s v="Ž-ŽENSKO"/>
    <d v="1972-02-12T00:00:00"/>
    <s v="OSIJEK"/>
    <s v="HRVATSKO"/>
    <s v="J.J. Strossmayera 188, Osijek"/>
    <s v="NE"/>
    <s v="SSS"/>
    <m/>
    <s v="Telefonist-operater u call c."/>
    <s v="Telefonist-operater u call c."/>
    <s v="NEODREĐENO"/>
    <m/>
    <s v="PUNO"/>
    <n v="40"/>
    <s v="HR06 2340 0093 2308 4517 8"/>
    <m/>
    <m/>
    <m/>
    <m/>
    <m/>
    <s v="Osijek"/>
    <m/>
    <m/>
    <m/>
    <m/>
    <n v="3439.8"/>
    <n v="1"/>
    <n v="2751.84"/>
    <m/>
    <m/>
    <m/>
    <n v="19"/>
    <n v="12"/>
    <s v="28.07.2018-15.08.2018"/>
    <n v="12"/>
    <s v="14.12.2018-31.12.2018"/>
    <m/>
    <n v="0"/>
    <s v="NEAKTIVAN"/>
    <n v="88"/>
  </r>
  <r>
    <n v="11"/>
    <x v="1"/>
    <n v="152"/>
    <n v="3"/>
    <x v="1"/>
    <s v="09677499852"/>
    <s v="Zoltan Terek"/>
    <s v="Južno Pregrađe 38, Osijek"/>
    <x v="91"/>
    <x v="48"/>
    <d v="2018-12-31T00:00:00"/>
    <n v="12344487939"/>
    <s v="Ž-ŽENSKO"/>
    <d v="1974-11-16T00:00:00"/>
    <s v="OSIJEK"/>
    <s v="HRVATSKO"/>
    <s v="VUKOVARSKA CESTA 103, 31000 OSIJEK"/>
    <s v="NE"/>
    <s v="SSS"/>
    <m/>
    <s v="ADMINISTRATOR"/>
    <s v="ADMINISTRATOR"/>
    <s v="ODREĐENO"/>
    <d v="2018-12-31T00:00:00"/>
    <s v="PUNO"/>
    <n v="40"/>
    <s v="?"/>
    <m/>
    <m/>
    <m/>
    <m/>
    <m/>
    <s v="Osijek"/>
    <m/>
    <m/>
    <m/>
    <s v="NE"/>
    <n v="6808.18"/>
    <n v="1"/>
    <n v="5000"/>
    <m/>
    <m/>
    <m/>
    <m/>
    <m/>
    <m/>
    <m/>
    <m/>
    <m/>
    <m/>
    <s v="NEAKTIVAN"/>
    <n v="11"/>
  </r>
  <r>
    <n v="55"/>
    <x v="1"/>
    <n v="153"/>
    <n v="16"/>
    <x v="8"/>
    <n v="18241574410"/>
    <s v="LASZLO TIBOR"/>
    <s v="Ivana Gundulića 28"/>
    <x v="10"/>
    <x v="36"/>
    <d v="2018-10-11T00:00:00"/>
    <n v="18058630382"/>
    <s v="M-MUŠKO"/>
    <d v="1995-07-16T00:00:00"/>
    <s v="OSIJEK"/>
    <s v="HRVATSKO"/>
    <s v="IVANA GORANA KOVAČIĆA 25, DONJI MIHOLJAC"/>
    <s v="NE"/>
    <s v="SSS"/>
    <m/>
    <s v="Trgovački dem. i prodavač"/>
    <s v="Trgovački dem. i prodavač"/>
    <s v="NEODREĐENO"/>
    <m/>
    <s v="PUNO"/>
    <n v="40"/>
    <s v="HR31 2390 0013 2208 1689 8"/>
    <s v="03595038930"/>
    <m/>
    <m/>
    <m/>
    <m/>
    <s v="RAZNA MJESTA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s v="NEAKTIVAN"/>
    <n v="71"/>
  </r>
  <r>
    <n v="56"/>
    <x v="1"/>
    <n v="154"/>
    <n v="16"/>
    <x v="8"/>
    <n v="18241574410"/>
    <s v="LASZLO TIBOR"/>
    <s v="Ivana Gundulića 28"/>
    <x v="92"/>
    <x v="49"/>
    <d v="2018-11-20T00:00:00"/>
    <n v="46973378536"/>
    <s v="M-MUŠKO"/>
    <d v="2000-10-30T00:00:00"/>
    <s v="OSIJEK"/>
    <s v="HRVATSKO"/>
    <s v="ANTUNA BARCA 21, TENJA"/>
    <s v="NE"/>
    <s v="SSS"/>
    <m/>
    <s v="Trgovački dem. i prodavač"/>
    <s v="Trgovački dem. i prodavač"/>
    <s v="ODREĐENO"/>
    <m/>
    <s v="PUNO"/>
    <n v="40"/>
    <s v="?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08"/>
  </r>
  <r>
    <n v="57"/>
    <x v="1"/>
    <n v="155"/>
    <n v="16"/>
    <x v="8"/>
    <n v="18241574410"/>
    <s v="LASZLO TIBOR"/>
    <s v="Ivana Gundulića 28"/>
    <x v="93"/>
    <x v="50"/>
    <d v="2018-12-31T00:00:00"/>
    <n v="89349780831"/>
    <s v="Ž-ŽENSKO"/>
    <d v="1996-07-05T00:00:00"/>
    <s v="OSIJEK"/>
    <s v="HRVATSKO"/>
    <s v="VUKOVARSKA ULICA 27, KLISA"/>
    <s v="NE"/>
    <s v="SSS"/>
    <m/>
    <s v="Trgovački dem. i prodavač"/>
    <s v="Trgovački dem. i prodavač"/>
    <s v="NEODREĐENO"/>
    <m/>
    <s v="PUNO"/>
    <n v="40"/>
    <s v="HR4923400093230922683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09"/>
  </r>
  <r>
    <n v="58"/>
    <x v="1"/>
    <n v="156"/>
    <n v="16"/>
    <x v="8"/>
    <n v="18241574410"/>
    <s v="LASZLO TIBOR"/>
    <s v="Ivana Gundulića 28"/>
    <x v="94"/>
    <x v="51"/>
    <d v="2018-12-31T00:00:00"/>
    <n v="75824709921"/>
    <s v="M-MUŠKO"/>
    <d v="2018-06-01T00:00:00"/>
    <s v="OSIJEK"/>
    <s v="HRVATSKO"/>
    <s v="TRNAVAČKA ULICA 9, DONJI ANDRIJEVCI"/>
    <s v="NE"/>
    <s v="SSS"/>
    <m/>
    <s v="Trgovački dem. i prodavač"/>
    <s v="Trgovački dem. i prodavač"/>
    <s v="NEODREĐENO"/>
    <m/>
    <s v="PUNO"/>
    <n v="40"/>
    <s v="HR9423400093111282364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10"/>
  </r>
  <r>
    <n v="59"/>
    <x v="1"/>
    <n v="157"/>
    <n v="16"/>
    <x v="8"/>
    <n v="18241574410"/>
    <s v="LASZLO TIBOR"/>
    <s v="Ivana Gundulića 28"/>
    <x v="95"/>
    <x v="52"/>
    <d v="2018-11-20T00:00:00"/>
    <n v="45155987025"/>
    <s v="M-MUŠKO"/>
    <d v="1974-10-07T00:00:00"/>
    <s v="OSIJEK"/>
    <s v="HRVATSKO"/>
    <s v="ULICA KESTENOVA 65, 31000 OSIJEK"/>
    <s v="NE"/>
    <s v="SSS"/>
    <m/>
    <s v="Trgovački dem. i prodavač"/>
    <s v="Trgovački dem. i prodavač"/>
    <s v="NEODREĐENO"/>
    <m/>
    <s v="PUNO"/>
    <n v="40"/>
    <s v="HR04 2340 0093 2198 0545 0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11"/>
  </r>
  <r>
    <n v="60"/>
    <x v="1"/>
    <n v="158"/>
    <n v="16"/>
    <x v="8"/>
    <n v="18241574410"/>
    <s v="LASZLO TIBOR"/>
    <s v="Ivana Gundulića 28"/>
    <x v="96"/>
    <x v="53"/>
    <d v="2018-12-31T00:00:00"/>
    <n v="65362867403"/>
    <s v="Ž-ŽENSKO"/>
    <d v="1970-11-17T00:00:00"/>
    <s v="NJEMAČKA"/>
    <s v="HRVATSKO"/>
    <s v="GORNJOGRADSKA OBALA 91B"/>
    <s v="NE"/>
    <s v="SSS"/>
    <m/>
    <s v="Telefonist-operater u call c."/>
    <s v="Telefonist-operater u call c."/>
    <s v="ODREĐENO"/>
    <d v="2018-12-31T00:00:00"/>
    <s v="PUNO"/>
    <n v="40"/>
    <s v="HR7424020063205408898"/>
    <m/>
    <m/>
    <m/>
    <m/>
    <m/>
    <s v="Osijek"/>
    <m/>
    <m/>
    <m/>
    <s v="NE"/>
    <n v="3439.8"/>
    <n v="1"/>
    <n v="2751.84"/>
    <m/>
    <m/>
    <m/>
    <m/>
    <m/>
    <m/>
    <m/>
    <m/>
    <m/>
    <m/>
    <s v="NEAKTIVAN"/>
    <n v="112"/>
  </r>
  <r>
    <n v="61"/>
    <x v="1"/>
    <n v="159"/>
    <n v="16"/>
    <x v="8"/>
    <n v="18241574410"/>
    <s v="LASZLO TIBOR"/>
    <s v="Ivana Gundulića 28"/>
    <x v="97"/>
    <x v="54"/>
    <d v="2018-12-31T00:00:00"/>
    <n v="26136427629"/>
    <s v="M-MUŠKO"/>
    <d v="1992-01-16T00:00:00"/>
    <s v="OSIJEK"/>
    <s v="HRVATSKO"/>
    <s v="VIJENAC JAKOVA GOTOVCA 6, 31000 OSIJEK"/>
    <s v="NE"/>
    <s v="SSS"/>
    <m/>
    <s v="Trgovački dem. i prodavač"/>
    <s v="Trgovački dem. i prodavač"/>
    <s v="ODREĐENO"/>
    <d v="2019-02-28T00:00:00"/>
    <s v="PUNO"/>
    <n v="40"/>
    <s v="HR65 2500 0093 1201 7984 8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13"/>
  </r>
  <r>
    <n v="1"/>
    <x v="1"/>
    <n v="160"/>
    <n v="22"/>
    <x v="10"/>
    <n v="16157428650"/>
    <s v="Zoltan Kiri"/>
    <s v="Ivana Gundulića 28"/>
    <x v="23"/>
    <x v="55"/>
    <d v="2020-12-24T00:00:00"/>
    <s v="92132715760"/>
    <s v="M-MUŠKO"/>
    <d v="1990-10-30T00:00:00"/>
    <s v="OSIJEK"/>
    <s v="HRVATSKO"/>
    <s v="Šandora Petefija 57. Zmajevac"/>
    <s v="NE"/>
    <s v="SSS"/>
    <m/>
    <s v="Trgovački dem. i prodavač"/>
    <s v="Trgovački dem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s v="AKTIVAN"/>
    <n v="1"/>
  </r>
  <r>
    <n v="2"/>
    <x v="1"/>
    <n v="161"/>
    <n v="22"/>
    <x v="10"/>
    <n v="16157428650"/>
    <s v="Zoltan Kiri"/>
    <s v="Ivana Gundulića 28"/>
    <x v="27"/>
    <x v="55"/>
    <d v="2020-12-24T00:00:00"/>
    <s v="25820706885"/>
    <s v="M-MUŠKO"/>
    <d v="1996-09-04T00:00:00"/>
    <s v="OSIJEK"/>
    <s v="HRVATSKO"/>
    <s v="Josipa Kozarca 25., Višn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n v="100"/>
    <m/>
    <m/>
    <m/>
    <m/>
    <m/>
    <m/>
    <m/>
    <m/>
    <m/>
    <s v="AKTIVAN"/>
    <n v="2"/>
  </r>
  <r>
    <n v="4"/>
    <x v="1"/>
    <n v="162"/>
    <n v="22"/>
    <x v="10"/>
    <n v="16157428650"/>
    <s v="Zoltan Kiri"/>
    <s v="Ivana Gundulića 28"/>
    <x v="30"/>
    <x v="55"/>
    <d v="2020-12-13T00:00:00"/>
    <s v=".00951235574"/>
    <s v="Ž-ŽENSKO"/>
    <d v="1970-07-27T00:00:00"/>
    <s v="OSIJEK"/>
    <s v="HRVATSKO"/>
    <s v="Vijenac Petrove Gore 13,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4"/>
  </r>
  <r>
    <n v="5"/>
    <x v="1"/>
    <n v="163"/>
    <n v="22"/>
    <x v="10"/>
    <n v="16157428650"/>
    <s v="Zoltan Kiri"/>
    <s v="Ivana Gundulića 28"/>
    <x v="31"/>
    <x v="55"/>
    <d v="2020-12-13T00:00:00"/>
    <n v="46651411474"/>
    <s v="Ž-ŽENSKO"/>
    <d v="1965-12-20T00:00:00"/>
    <s v="OSIJEK"/>
    <s v="HRVATSKO"/>
    <s v="Psunjska 93A,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5"/>
  </r>
  <r>
    <n v="6"/>
    <x v="1"/>
    <n v="164"/>
    <n v="22"/>
    <x v="10"/>
    <n v="16157428650"/>
    <s v="Zoltan Kiri"/>
    <s v="Ivana Gundulića 28"/>
    <x v="32"/>
    <x v="55"/>
    <d v="2020-12-31T00:00:00"/>
    <n v="16065838903"/>
    <s v="Ž-ŽENSKO"/>
    <d v="1982-09-22T00:00:00"/>
    <s v="OSIJEK"/>
    <s v="HRVATSKO"/>
    <s v="Martina Divalta 168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6200.61"/>
    <n v="1"/>
    <n v="4700"/>
    <n v="250"/>
    <m/>
    <m/>
    <m/>
    <m/>
    <m/>
    <m/>
    <m/>
    <m/>
    <m/>
    <s v="AKTIVAN"/>
    <n v="6"/>
  </r>
  <r>
    <n v="7"/>
    <x v="1"/>
    <n v="165"/>
    <n v="22"/>
    <x v="10"/>
    <n v="16157428650"/>
    <s v="Zoltan Kiri"/>
    <s v="Ivana Gundulića 28"/>
    <x v="33"/>
    <x v="55"/>
    <d v="2020-12-13T00:00:00"/>
    <s v="91993718714"/>
    <s v="Ž-ŽENSKO"/>
    <d v="1967-03-14T00:00:00"/>
    <s v="Granice"/>
    <s v="HRVATSKO"/>
    <s v="Josipa Kozarca 25., Višnje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7"/>
  </r>
  <r>
    <n v="8"/>
    <x v="1"/>
    <n v="166"/>
    <n v="22"/>
    <x v="10"/>
    <n v="16157428650"/>
    <s v="Zoltan Kiri"/>
    <s v="Ivana Gundulića 28"/>
    <x v="35"/>
    <x v="55"/>
    <d v="2020-12-13T00:00:00"/>
    <s v="68121059947"/>
    <s v="Ž-ŽENSKO"/>
    <d v="1964-08-23T00:00:00"/>
    <s v="OSIJEK"/>
    <s v="HRVATSKO"/>
    <s v="Mlinska 100.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8"/>
  </r>
  <r>
    <n v="9"/>
    <x v="1"/>
    <n v="167"/>
    <n v="22"/>
    <x v="10"/>
    <n v="16157428650"/>
    <s v="Zoltan Kiri"/>
    <s v="Ivana Gundulića 28"/>
    <x v="37"/>
    <x v="55"/>
    <d v="2020-12-13T00:00:00"/>
    <n v="35395242811"/>
    <s v="Ž-ŽENSKO"/>
    <d v="1977-10-06T00:00:00"/>
    <s v="OSIJEK"/>
    <s v="HRVATSKO"/>
    <s v="J.J. Strossmayera 82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9"/>
  </r>
  <r>
    <n v="10"/>
    <x v="1"/>
    <n v="168"/>
    <n v="22"/>
    <x v="10"/>
    <n v="16157428650"/>
    <s v="Zoltan Kiri"/>
    <s v="Ivana Gundulića 28"/>
    <x v="47"/>
    <x v="55"/>
    <d v="2020-12-13T00:00:00"/>
    <s v="05826363901"/>
    <s v="Ž-ŽENSKO"/>
    <d v="1960-03-07T00:00:00"/>
    <s v="B.Manastir"/>
    <s v="HRVATSKO"/>
    <s v="Dr.F.Tuđmana 14,Beli Manastir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0"/>
  </r>
  <r>
    <n v="11"/>
    <x v="1"/>
    <n v="169"/>
    <n v="22"/>
    <x v="10"/>
    <n v="16157428650"/>
    <s v="Zoltan Kiri"/>
    <s v="Ivana Gundulića 28"/>
    <x v="46"/>
    <x v="55"/>
    <d v="2020-12-13T00:00:00"/>
    <s v="56488239997"/>
    <s v="Ž-ŽENSKO"/>
    <d v="1974-08-22T00:00:00"/>
    <s v="Dornbirn, AUT"/>
    <s v="HRVATSKO"/>
    <s v="Ul. I.G.Kovačića 5,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1"/>
  </r>
  <r>
    <n v="12"/>
    <x v="1"/>
    <n v="170"/>
    <n v="22"/>
    <x v="10"/>
    <n v="16157428650"/>
    <s v="Zoltan Kiri"/>
    <s v="Ivana Gundulića 28"/>
    <x v="82"/>
    <x v="55"/>
    <d v="2020-12-13T00:00:00"/>
    <n v="93260758620"/>
    <s v="Ž-ŽENSKO"/>
    <d v="1976-12-22T00:00:00"/>
    <s v="OSIJEK"/>
    <s v="HRVATSKO"/>
    <s v="Š.Petefija 114 A. Lug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2"/>
  </r>
  <r>
    <n v="12"/>
    <x v="1"/>
    <n v="171"/>
    <n v="22"/>
    <x v="10"/>
    <n v="16157428650"/>
    <s v="Zoltan Kiri"/>
    <s v="Ivana Gundulića 28"/>
    <x v="15"/>
    <x v="55"/>
    <d v="2020-12-13T00:00:00"/>
    <s v="71740309634"/>
    <s v="Ž-ŽENSKO"/>
    <d v="1989-06-25T00:00:00"/>
    <s v="OSIJEK"/>
    <s v="HRVATSKO"/>
    <s v="Ljudevita Gaja 17,Tenj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2"/>
  </r>
  <r>
    <n v="13"/>
    <x v="1"/>
    <n v="172"/>
    <n v="22"/>
    <x v="10"/>
    <n v="16157428650"/>
    <s v="Zoltan Kiri"/>
    <s v="Ivana Gundulića 28"/>
    <x v="44"/>
    <x v="55"/>
    <d v="2020-12-13T00:00:00"/>
    <s v="02808842683"/>
    <s v="Ž-ŽENSKO"/>
    <d v="1957-05-14T00:00:00"/>
    <s v="Vinkovci"/>
    <s v="HRVATSKO"/>
    <s v="K. Tomislava 6 C, Višnjevac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3"/>
  </r>
  <r>
    <n v="14"/>
    <x v="1"/>
    <n v="173"/>
    <n v="22"/>
    <x v="10"/>
    <n v="16157428650"/>
    <s v="Zoltan Kiri"/>
    <s v="Ivana Gundulića 28"/>
    <x v="77"/>
    <x v="55"/>
    <d v="2020-12-13T00:00:00"/>
    <n v="21298366100"/>
    <s v="Ž-ŽENSKO"/>
    <d v="1971-09-24T00:00:00"/>
    <s v="Kneževo"/>
    <s v="HRVATSKO"/>
    <s v="J.J.Strossmayera 230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4"/>
  </r>
  <r>
    <n v="15"/>
    <x v="1"/>
    <n v="174"/>
    <n v="22"/>
    <x v="10"/>
    <n v="16157428650"/>
    <s v="Zoltan Kiri"/>
    <s v="Ivana Gundulića 28"/>
    <x v="98"/>
    <x v="55"/>
    <d v="2020-12-13T00:00:00"/>
    <s v="99900276984"/>
    <s v="Ž-ŽENSKO"/>
    <d v="1978-05-19T00:00:00"/>
    <s v="Kiskunhalas, HUN"/>
    <s v="HRVATSKO"/>
    <s v="Kralja Petra Krešimira IV. 83,Dard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5"/>
  </r>
  <r>
    <n v="16"/>
    <x v="1"/>
    <n v="175"/>
    <n v="22"/>
    <x v="10"/>
    <n v="16157428650"/>
    <s v="Zoltan Kiri"/>
    <s v="Ivana Gundulića 28"/>
    <x v="70"/>
    <x v="55"/>
    <d v="2020-12-13T00:00:00"/>
    <n v="90926163669"/>
    <s v="Ž-ŽENSKO"/>
    <d v="1988-04-08T00:00:00"/>
    <s v="OSIJEK"/>
    <s v="HRVATSKO"/>
    <s v="Sjenjak 11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6"/>
  </r>
  <r>
    <n v="17"/>
    <x v="1"/>
    <n v="176"/>
    <n v="22"/>
    <x v="10"/>
    <n v="16157428650"/>
    <s v="Zoltan Kiri"/>
    <s v="Ivana Gundulića 28"/>
    <x v="60"/>
    <x v="55"/>
    <d v="2020-12-13T00:00:00"/>
    <n v="89289096005"/>
    <s v="Ž-ŽENSKO"/>
    <d v="1973-12-22T00:00:00"/>
    <s v="Kneževo"/>
    <s v="HRVATSKO"/>
    <s v="Braće Radić 2a,Topolje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7"/>
  </r>
  <r>
    <n v="18"/>
    <x v="1"/>
    <n v="177"/>
    <n v="22"/>
    <x v="10"/>
    <n v="16157428650"/>
    <s v="Zoltan Kiri"/>
    <s v="Ivana Gundulića 28"/>
    <x v="55"/>
    <x v="55"/>
    <d v="2020-12-13T00:00:00"/>
    <n v="79843816739"/>
    <s v="Ž-ŽENSKO"/>
    <d v="1975-07-10T00:00:00"/>
    <s v="OSIJEK"/>
    <s v="HRVATSKO"/>
    <s v="Vladimira Nazora 30,Laslovo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4835"/>
    <n v="1"/>
    <n v="3380"/>
    <m/>
    <m/>
    <m/>
    <m/>
    <m/>
    <m/>
    <m/>
    <m/>
    <m/>
    <m/>
    <s v="AKTIVAN"/>
    <n v="18"/>
  </r>
  <r>
    <n v="19"/>
    <x v="1"/>
    <n v="178"/>
    <n v="22"/>
    <x v="10"/>
    <n v="16157428650"/>
    <s v="Zoltan Kiri"/>
    <s v="Ivana Gundulića 28"/>
    <x v="54"/>
    <x v="55"/>
    <d v="2020-12-24T00:00:00"/>
    <s v="77889524913"/>
    <s v="M-MUŠKO"/>
    <d v="1993-03-08T00:00:00"/>
    <s v="OSIJEK"/>
    <s v="HRVATSKO"/>
    <s v="Petefi Šandora 43, Kneževi Vinograd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s v="AKTIVAN"/>
    <n v="19"/>
  </r>
  <r>
    <n v="20"/>
    <x v="1"/>
    <n v="179"/>
    <n v="22"/>
    <x v="10"/>
    <n v="16157428650"/>
    <s v="Zoltan Kiri"/>
    <s v="Ivana Gundulića 28"/>
    <x v="64"/>
    <x v="55"/>
    <d v="2020-12-24T00:00:00"/>
    <n v="48436445080"/>
    <s v="Ž-ŽENSKO"/>
    <d v="1993-12-03T00:00:00"/>
    <s v="OSIJEK"/>
    <s v="HRVATSKO"/>
    <s v="Vinogradska 11, Branjin Vrh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s v="AKTIVAN"/>
    <n v="20"/>
  </r>
  <r>
    <n v="21"/>
    <x v="1"/>
    <n v="180"/>
    <n v="22"/>
    <x v="10"/>
    <n v="16157428650"/>
    <s v="Zoltan Kiri"/>
    <s v="Ivana Gundulića 28"/>
    <x v="99"/>
    <x v="56"/>
    <d v="2020-12-13T00:00:00"/>
    <n v="20968805238"/>
    <s v="Ž-ŽENSKO"/>
    <d v="1981-01-18T00:00:00"/>
    <s v="OSIJEK"/>
    <s v="HRVATSKO"/>
    <s v="ZMAJ JOVE JOVANOVIĆA 10,31000 OSIJEK"/>
    <s v="NE"/>
    <s v="SSS"/>
    <m/>
    <m/>
    <s v="Telefonist-operater u call c."/>
    <s v="NEODREĐENO"/>
    <m/>
    <s v="PUNO"/>
    <n v="40"/>
    <s v="HR14 2360 0003 2183 0443 3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21"/>
  </r>
  <r>
    <n v="22"/>
    <x v="1"/>
    <n v="181"/>
    <n v="22"/>
    <x v="10"/>
    <n v="16157428650"/>
    <s v="Zoltan Kiri"/>
    <s v="Ivana Gundulića 28"/>
    <x v="100"/>
    <x v="57"/>
    <d v="2020-12-13T00:00:00"/>
    <n v="35070183473"/>
    <s v="Ž-ŽENSKO"/>
    <d v="1985-02-22T00:00:00"/>
    <m/>
    <s v="HRVATSKO"/>
    <s v="SAVSKA 4 TENJA"/>
    <s v="NE"/>
    <s v="VSS"/>
    <s v="PRAVNI FAK. OSIJEK"/>
    <s v="Telefonist-operater u call c."/>
    <s v="Telefonist-operater u call c."/>
    <s v="ODREĐENO"/>
    <d v="2019-05-31T00:00:00"/>
    <s v="PUNO"/>
    <n v="40"/>
    <s v="HR6323400093232278685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22"/>
  </r>
  <r>
    <n v="23"/>
    <x v="1"/>
    <n v="182"/>
    <n v="22"/>
    <x v="10"/>
    <n v="16157428650"/>
    <s v="Zoltan Kiri"/>
    <s v="Ivana Gundulića 28"/>
    <x v="101"/>
    <x v="58"/>
    <d v="2020-12-13T00:00:00"/>
    <s v="04320775218"/>
    <s v="Ž-ŽENSKO"/>
    <d v="1959-09-21T00:00:00"/>
    <s v="OSIJEK"/>
    <s v="HRVATSKO"/>
    <s v="DUNAVSKA 5, 31000 OSIJEK"/>
    <s v="NE"/>
    <s v="VŠS"/>
    <m/>
    <s v="Telefonist-operater u call c."/>
    <s v="Telefonist-operater u call c."/>
    <s v="ODREĐENO"/>
    <d v="2019-05-31T00:00:00"/>
    <s v="PUNO"/>
    <n v="40"/>
    <s v="HR9825000093221297389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23"/>
  </r>
  <r>
    <n v="24"/>
    <x v="1"/>
    <n v="183"/>
    <n v="22"/>
    <x v="10"/>
    <n v="16157428650"/>
    <s v="Zoltan Kiri"/>
    <s v="Ivana Gundulića 28"/>
    <x v="102"/>
    <x v="59"/>
    <d v="2020-12-13T00:00:00"/>
    <n v="93734201839"/>
    <s v="M-MUŠKO"/>
    <d v="1959-06-28T00:00:00"/>
    <m/>
    <s v="HRVATSKO"/>
    <s v="ZELENO POLJE 12, 31000 OSIJEK"/>
    <s v="NE"/>
    <s v="SSS"/>
    <m/>
    <s v="Telefonist-operater u call c."/>
    <s v="Telefonist-operater u call c."/>
    <s v="ODREĐENO"/>
    <d v="2019-05-31T00:00:00"/>
    <s v="PUNO"/>
    <n v="40"/>
    <s v="HR5523600003216251175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24"/>
  </r>
  <r>
    <n v="25"/>
    <x v="1"/>
    <n v="184"/>
    <n v="22"/>
    <x v="10"/>
    <n v="16157428650"/>
    <s v="Zoltan Kiri"/>
    <s v="Ivana Gundulića 28"/>
    <x v="103"/>
    <x v="60"/>
    <d v="2020-12-13T00:00:00"/>
    <n v="10828286402"/>
    <s v="Ž-ŽENSKO"/>
    <d v="1996-04-23T00:00:00"/>
    <m/>
    <s v="HRVATSKO"/>
    <s v="MIRNA ULICA 7, LASLOVO"/>
    <s v="NE"/>
    <s v="SSS"/>
    <m/>
    <s v="Telefonist-operater u call c."/>
    <s v="Telefonist-operater u call c."/>
    <s v="ODREĐENO"/>
    <d v="2019-06-30T00:00:00"/>
    <s v="PUNO"/>
    <n v="40"/>
    <s v="HR2525000093205745432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25"/>
  </r>
  <r>
    <n v="26"/>
    <x v="1"/>
    <n v="185"/>
    <n v="22"/>
    <x v="10"/>
    <n v="16157428650"/>
    <s v="Zoltan Kiri"/>
    <s v="Ivana Gundulića 28"/>
    <x v="104"/>
    <x v="61"/>
    <d v="2020-12-13T00:00:00"/>
    <n v="7249139649"/>
    <s v="Ž-ŽENSKO"/>
    <d v="1968-01-14T00:00:00"/>
    <m/>
    <s v="HRVATSKO"/>
    <s v="VILAJSKA 24, 31000 OSIJEK"/>
    <s v="NE"/>
    <s v="SSS"/>
    <m/>
    <s v="Telefonist-operater u call c."/>
    <s v="Telefonist-operater u call c."/>
    <s v="NEODREĐENO"/>
    <m/>
    <s v="PUNO"/>
    <n v="40"/>
    <s v="HR0223400093214854121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26"/>
  </r>
  <r>
    <n v="27"/>
    <x v="1"/>
    <n v="186"/>
    <n v="22"/>
    <x v="10"/>
    <n v="16157428650"/>
    <s v="Zoltan Kiri"/>
    <s v="Ivana Gundulića 28"/>
    <x v="105"/>
    <x v="62"/>
    <d v="2020-12-13T00:00:00"/>
    <n v="13956960436"/>
    <s v="Ž-ŽENSKO"/>
    <d v="1979-10-06T00:00:00"/>
    <m/>
    <s v="HRVATSKO"/>
    <s v="PROMINSKA 68, OSIJEK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27"/>
  </r>
  <r>
    <n v="28"/>
    <x v="1"/>
    <n v="187"/>
    <n v="22"/>
    <x v="10"/>
    <n v="16157428650"/>
    <s v="Zoltan Kiri"/>
    <s v="Ivana Gundulića 28"/>
    <x v="106"/>
    <x v="63"/>
    <d v="2020-12-13T00:00:00"/>
    <n v="81985727746"/>
    <s v="Ž-ŽENSKO"/>
    <d v="1982-12-05T00:00:00"/>
    <m/>
    <s v="HRVATSKO"/>
    <s v="DR.FRANJE TUĐMANA 10,LASLOVO"/>
    <s v="NE"/>
    <s v="SSS"/>
    <m/>
    <s v="Telefonist-operater u call c."/>
    <s v="Telefonist-operater u call c."/>
    <s v="NEODREĐENO"/>
    <m/>
    <s v="PUNO"/>
    <n v="40"/>
    <s v="HR0324840083213018110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28"/>
  </r>
  <r>
    <n v="29"/>
    <x v="1"/>
    <n v="188"/>
    <n v="22"/>
    <x v="10"/>
    <n v="16157428650"/>
    <s v="Zoltan Kiri"/>
    <s v="Ivana Gundulića 28"/>
    <x v="107"/>
    <x v="64"/>
    <d v="2020-12-24T00:00:00"/>
    <n v="77737288895"/>
    <s v="Ž-ŽENSKO"/>
    <d v="1998-12-29T00:00:00"/>
    <s v="OSIJEK"/>
    <s v="HRVATSKO"/>
    <s v="ŽUMBERAČKA 66, OSIJEK"/>
    <s v="NE"/>
    <s v="SSS"/>
    <m/>
    <s v="Trgovački demonstrator"/>
    <s v="Trgovački demonstrator"/>
    <s v="NEODREĐENO"/>
    <m/>
    <s v="PUNO"/>
    <n v="40"/>
    <s v="HR125000093206910503"/>
    <m/>
    <m/>
    <m/>
    <m/>
    <m/>
    <s v="Osijek"/>
    <m/>
    <m/>
    <m/>
    <s v="NE"/>
    <n v="5093.03"/>
    <n v="1"/>
    <n v="4000"/>
    <m/>
    <m/>
    <m/>
    <m/>
    <m/>
    <m/>
    <m/>
    <m/>
    <m/>
    <m/>
    <s v="AKTIVAN"/>
    <n v="29"/>
  </r>
  <r>
    <n v="30"/>
    <x v="1"/>
    <n v="189"/>
    <n v="22"/>
    <x v="10"/>
    <n v="16157428650"/>
    <s v="Zoltan Kiri"/>
    <s v="Ivana Gundulića 28"/>
    <x v="108"/>
    <x v="65"/>
    <d v="2020-12-24T00:00:00"/>
    <n v="72094958860"/>
    <s v="Ž-ŽENSKO"/>
    <d v="1996-03-13T00:00:00"/>
    <s v="VIŠNJEVAC"/>
    <s v="HRVATSKO"/>
    <s v="IVANA MAŽURANIĆA 28, VIŠNJEVAC"/>
    <s v="NE"/>
    <s v="SSS"/>
    <m/>
    <s v="Trgovački demonstrator"/>
    <s v="TRGOVAČKI DEMONSTARTOR"/>
    <s v="NEODREĐENO"/>
    <m/>
    <s v="PUNO"/>
    <n v="40"/>
    <s v="HR0825000093206824087"/>
    <m/>
    <m/>
    <m/>
    <m/>
    <m/>
    <s v="Osijek"/>
    <m/>
    <m/>
    <m/>
    <s v="NE"/>
    <n v="4375"/>
    <n v="1"/>
    <n v="4000"/>
    <m/>
    <m/>
    <m/>
    <m/>
    <m/>
    <m/>
    <m/>
    <m/>
    <m/>
    <m/>
    <s v="AKTIVAN"/>
    <n v="30"/>
  </r>
  <r>
    <n v="31"/>
    <x v="1"/>
    <n v="190"/>
    <n v="22"/>
    <x v="10"/>
    <n v="16157428650"/>
    <s v="Zoltan Kiri"/>
    <s v="Ivana Gundulića 28"/>
    <x v="109"/>
    <x v="66"/>
    <d v="2020-12-24T00:00:00"/>
    <n v="35671171883"/>
    <s v="M-MUŠKO"/>
    <d v="1993-08-20T00:00:00"/>
    <s v="VUKOVAR"/>
    <s v="HRVATSKO"/>
    <s v="SAJMIŠTE 98, VUKOVAR"/>
    <s v="NE"/>
    <s v="SSS"/>
    <m/>
    <s v="PREVODITELJ"/>
    <s v="PREVODITELJ ASISTENT"/>
    <s v="NEODREĐENO"/>
    <m/>
    <s v="PUNO"/>
    <n v="40"/>
    <s v="HR5124020063207404602"/>
    <m/>
    <m/>
    <m/>
    <m/>
    <m/>
    <s v="Osijek"/>
    <m/>
    <m/>
    <m/>
    <s v="NE"/>
    <n v="8426.4599999999991"/>
    <n v="1"/>
    <n v="5997.76"/>
    <m/>
    <m/>
    <m/>
    <m/>
    <m/>
    <m/>
    <m/>
    <m/>
    <m/>
    <m/>
    <s v="AKTIVAN"/>
    <n v="31"/>
  </r>
  <r>
    <n v="32"/>
    <x v="1"/>
    <n v="191"/>
    <n v="22"/>
    <x v="10"/>
    <n v="16157428650"/>
    <s v="Zoltan Kiri"/>
    <s v="Ivana Gundulića 28"/>
    <x v="110"/>
    <x v="67"/>
    <d v="2020-12-24T00:00:00"/>
    <n v="56588131100"/>
    <s v="Ž-ŽENSKO"/>
    <d v="2000-01-27T00:00:00"/>
    <s v="OSIJEK"/>
    <s v="HRVATSKO"/>
    <s v="Ulica Matije Vlačića 24, 31207 Tenja"/>
    <s v="NE"/>
    <s v="SSS"/>
    <m/>
    <s v="Trgovački demonstrator"/>
    <s v="Trgovački demonstrator"/>
    <s v="NEODREĐENO"/>
    <m/>
    <s v="PUNO"/>
    <n v="40"/>
    <s v="HR3923600003247347141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32"/>
  </r>
  <r>
    <n v="33"/>
    <x v="1"/>
    <n v="192"/>
    <n v="22"/>
    <x v="10"/>
    <n v="16157428650"/>
    <s v="Zoltan Kiri"/>
    <s v="Ivana Gundulića 28"/>
    <x v="89"/>
    <x v="68"/>
    <d v="2020-12-18T00:00:00"/>
    <n v="74541092706"/>
    <s v="M-MUŠKO"/>
    <d v="1995-12-25T00:00:00"/>
    <s v="OSIJEK"/>
    <s v="HRVATSKO"/>
    <s v="Slavonska 7,Josipovac"/>
    <s v="NE"/>
    <s v="SSS"/>
    <m/>
    <s v="Trgovački dem. i prodavač"/>
    <s v="Trgovački dem. i prodavač"/>
    <s v="NEODREĐENO"/>
    <m/>
    <s v="PUNO"/>
    <n v="40"/>
    <s v="HR2223600003245244972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33"/>
  </r>
  <r>
    <n v="34"/>
    <x v="1"/>
    <n v="193"/>
    <n v="22"/>
    <x v="10"/>
    <n v="16157428650"/>
    <s v="Zoltan Kiri"/>
    <s v="Ivana Gundulića 28"/>
    <x v="111"/>
    <x v="69"/>
    <d v="2020-12-18T00:00:00"/>
    <n v="46379256051"/>
    <s v="M-MUŠKO"/>
    <d v="1997-08-06T00:00:00"/>
    <s v="OSIJEK"/>
    <s v="HRVATSKO"/>
    <s v="VLADIMIRA NAZORA 12, BIZOVAC"/>
    <s v="NE"/>
    <s v="SSS"/>
    <m/>
    <s v="Trgovački dem. i prodavač"/>
    <s v="Trgovački dem. i prodavač"/>
    <s v="NEODREĐENO"/>
    <m/>
    <s v="PUNO"/>
    <n v="40"/>
    <s v="HR1923400093230764046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34"/>
  </r>
  <r>
    <n v="35"/>
    <x v="1"/>
    <n v="194"/>
    <n v="22"/>
    <x v="10"/>
    <n v="16157428650"/>
    <s v="Zoltan Kiri"/>
    <s v="Ivana Gundulića 28"/>
    <x v="29"/>
    <x v="70"/>
    <d v="2021-01-10T00:00:00"/>
    <n v="91608925694"/>
    <s v="M-MUŠKO"/>
    <d v="1988-12-06T00:00:00"/>
    <s v="OSIJEK"/>
    <s v="HRVATSKO"/>
    <s v="Školska 52, 31300 Beli Manastir"/>
    <s v="NE"/>
    <s v="SSS"/>
    <m/>
    <s v="Trgovački dem. i prodavač"/>
    <s v="Trgovački dem. i prodavač"/>
    <s v="NEODREĐENO"/>
    <m/>
    <s v="PUNO"/>
    <n v="40"/>
    <s v="HR5523600003247539689"/>
    <m/>
    <m/>
    <m/>
    <m/>
    <m/>
    <s v="Osijek"/>
    <m/>
    <m/>
    <m/>
    <s v="NE"/>
    <n v="4375"/>
    <n v="1"/>
    <n v="3500"/>
    <m/>
    <m/>
    <m/>
    <m/>
    <m/>
    <m/>
    <m/>
    <m/>
    <m/>
    <n v="0"/>
    <s v="AKTIVAN"/>
    <n v="35"/>
  </r>
  <r>
    <n v="36"/>
    <x v="1"/>
    <n v="195"/>
    <n v="22"/>
    <x v="10"/>
    <n v="16157428650"/>
    <s v="Zoltan Kiri"/>
    <s v="Ivana Gundulića 28"/>
    <x v="112"/>
    <x v="71"/>
    <d v="2020-12-18T00:00:00"/>
    <n v="94031727263"/>
    <s v="M-MUŠKO"/>
    <d v="1985-01-16T00:00:00"/>
    <s v="SUBOTICA"/>
    <s v="SRPSKO"/>
    <s v="UL. SV. MARTINA 8, BELI MANASTIR"/>
    <s v="DA"/>
    <s v="SSS"/>
    <m/>
    <s v="PRODAVAČ"/>
    <s v="PRODAVAČ"/>
    <s v="ODREĐENO"/>
    <m/>
    <s v="PUNO"/>
    <n v="40"/>
    <s v="HR3423400093234708960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92"/>
  </r>
  <r>
    <n v="37"/>
    <x v="1"/>
    <n v="196"/>
    <n v="22"/>
    <x v="10"/>
    <n v="16157428650"/>
    <s v="Zoltan Kiri"/>
    <s v="Ivana Gundulića 28"/>
    <x v="113"/>
    <x v="71"/>
    <d v="2020-12-18T00:00:00"/>
    <s v="03924299709"/>
    <s v="M-MUŠKO"/>
    <d v="1994-07-22T00:00:00"/>
    <s v="ZRENJANIN"/>
    <s v="SRPSKO"/>
    <s v="UL. SV. MARTINA 8, BELI MANASTIR"/>
    <s v="DA"/>
    <s v="SSS"/>
    <m/>
    <s v="PRODAVAČ"/>
    <s v="PRODAVAČ"/>
    <s v="ODREĐENO"/>
    <m/>
    <s v="PUNO"/>
    <n v="40"/>
    <s v="HR1623400093234709575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94"/>
  </r>
  <r>
    <n v="38"/>
    <x v="1"/>
    <n v="197"/>
    <n v="22"/>
    <x v="10"/>
    <n v="16157428650"/>
    <s v="Zoltan Kiri"/>
    <s v="Ivana Gundulića 28"/>
    <x v="114"/>
    <x v="72"/>
    <d v="2020-12-18T00:00:00"/>
    <n v="87058584186"/>
    <s v="Ž-ŽENSKO"/>
    <d v="1998-11-02T00:00:00"/>
    <s v="OSIJEK"/>
    <s v="HRVATSKO"/>
    <s v="ULICA VATROSLAVA LISINSKOG 19, VIŠNJEVAC"/>
    <s v="NE"/>
    <s v="SSS"/>
    <m/>
    <s v="Telefonist-operater u call c."/>
    <s v="Telefonist-operater u call c."/>
    <s v="ODREĐENO"/>
    <m/>
    <s v="PUNO"/>
    <n v="40"/>
    <s v="HR8523400093231527121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55"/>
  </r>
  <r>
    <n v="1"/>
    <x v="1"/>
    <n v="198"/>
    <n v="22"/>
    <x v="10"/>
    <n v="16157428650"/>
    <s v="Zoltan Kiri"/>
    <s v="Ivana Gundulića 28"/>
    <x v="22"/>
    <x v="55"/>
    <d v="2019-06-30T00:00:00"/>
    <s v="38288739117"/>
    <s v="Ž-ŽENSKO"/>
    <d v="1968-04-15T00:00:00"/>
    <s v="Zmajevac, Kneževi Vinogradi"/>
    <s v="HRVATSKO"/>
    <s v="Maršala Tita 132., Zmajevac"/>
    <s v="NE"/>
    <s v="SSS"/>
    <m/>
    <s v="Trgovački dem. i prodavač"/>
    <s v="Trgovački dem i prodavač"/>
    <s v="NEODREĐENO"/>
    <m/>
    <s v="PUNO"/>
    <n v="40"/>
    <m/>
    <m/>
    <m/>
    <m/>
    <m/>
    <m/>
    <s v="Osijek"/>
    <m/>
    <m/>
    <m/>
    <s v="NE"/>
    <n v="8426.4599999999991"/>
    <n v="1"/>
    <n v="6000"/>
    <m/>
    <m/>
    <m/>
    <m/>
    <m/>
    <m/>
    <m/>
    <m/>
    <m/>
    <m/>
    <s v="NEAKTIVAN"/>
    <n v="1"/>
  </r>
  <r>
    <n v="39"/>
    <x v="1"/>
    <n v="199"/>
    <n v="22"/>
    <x v="10"/>
    <n v="16157428650"/>
    <s v="Zoltan Kiri"/>
    <s v="Ivana Gundulića 28"/>
    <x v="24"/>
    <x v="55"/>
    <d v="2020-12-24T00:00:00"/>
    <n v="24461973764"/>
    <s v="Ž-ŽENSKO"/>
    <d v="1992-03-22T00:00:00"/>
    <s v="OSIJEK"/>
    <s v="HRVATSKO"/>
    <s v="J.Pannoniusa 9., Branjin Vrh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s v="AKTIVAN"/>
    <n v="39"/>
  </r>
  <r>
    <n v="40"/>
    <x v="1"/>
    <n v="200"/>
    <n v="22"/>
    <x v="10"/>
    <n v="16157428650"/>
    <s v="Zoltan Kiri"/>
    <s v="Ivana Gundulića 28"/>
    <x v="25"/>
    <x v="55"/>
    <d v="2020-12-24T00:00:00"/>
    <s v="22044787722"/>
    <s v="M-MUŠKO"/>
    <d v="1995-06-29T00:00:00"/>
    <s v="Sombor"/>
    <s v="HRVATSKO"/>
    <s v="Glavna 100, Podolje, Draž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s v="AKTIVAN"/>
    <n v="40"/>
  </r>
  <r>
    <n v="40"/>
    <x v="1"/>
    <n v="201"/>
    <n v="22"/>
    <x v="10"/>
    <n v="16157428650"/>
    <s v="Zoltan Kiri"/>
    <s v="Ivana Gundulića 28"/>
    <x v="26"/>
    <x v="55"/>
    <d v="2020-12-24T00:00:00"/>
    <s v="45227899437"/>
    <s v="M-MUŠKO"/>
    <d v="1996-08-19T00:00:00"/>
    <s v="Sombor"/>
    <s v="HRVATSKO"/>
    <s v="Maršala Tita 129, Suza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s v="AKTIVAN"/>
    <n v="40"/>
  </r>
  <r>
    <n v="62"/>
    <x v="1"/>
    <n v="202"/>
    <n v="16"/>
    <x v="8"/>
    <n v="18241574410"/>
    <s v="LASZLO TIBOR"/>
    <s v="Ivana Gundulića 28"/>
    <x v="115"/>
    <x v="73"/>
    <d v="2018-12-15T00:00:00"/>
    <n v="33875064692"/>
    <s v="M-MUŠKO"/>
    <d v="1999-06-26T00:00:00"/>
    <s v="OSIJEK"/>
    <s v="HRVATSKO"/>
    <s v="JABLANIÉKA 1, 31000 OSIJEK"/>
    <s v="NE"/>
    <s v="SSS"/>
    <m/>
    <s v="Trgovački dem. i prodavač"/>
    <s v="Trgovački dem. i prodavač"/>
    <s v="ODREĐENO"/>
    <d v="2018-03-10T00:00:00"/>
    <s v="PUNO"/>
    <n v="40"/>
    <s v="HR4923600003247060811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14"/>
  </r>
  <r>
    <n v="12"/>
    <x v="2"/>
    <n v="203"/>
    <n v="3"/>
    <x v="1"/>
    <s v="09677499852"/>
    <s v="Zoltan Terek"/>
    <s v="Južno Pregrađe 38, Osijek"/>
    <x v="76"/>
    <x v="53"/>
    <m/>
    <s v="01107438327"/>
    <s v="Ž-ŽENSKO"/>
    <d v="1982-09-19T00:00:00"/>
    <m/>
    <s v="HRVATSKO"/>
    <s v="Sutlanska 3, Osijek"/>
    <s v="NE"/>
    <s v="VSS"/>
    <m/>
    <s v="Administrativni referent"/>
    <s v="ADMINISTRATIVNI DJELATNIK"/>
    <s v="NEODREĐENO"/>
    <d v="2018-11-30T00:00:00"/>
    <s v="PUNO"/>
    <n v="40"/>
    <m/>
    <m/>
    <m/>
    <m/>
    <m/>
    <m/>
    <s v="Osijek"/>
    <m/>
    <m/>
    <m/>
    <s v="NE"/>
    <n v="8430.2999999999993"/>
    <n v="1"/>
    <n v="6000"/>
    <m/>
    <m/>
    <m/>
    <m/>
    <m/>
    <m/>
    <m/>
    <m/>
    <m/>
    <m/>
    <s v="AKTIVAN"/>
    <n v="11"/>
  </r>
  <r>
    <n v="13"/>
    <x v="2"/>
    <n v="204"/>
    <n v="3"/>
    <x v="1"/>
    <s v="09677499852"/>
    <s v="Zoltan Terek"/>
    <s v="Južno Pregrađe 38, Osijek"/>
    <x v="87"/>
    <x v="53"/>
    <m/>
    <s v="04165702988"/>
    <s v="M-MUŠKO"/>
    <d v="1983-04-09T00:00:00"/>
    <s v="OSIJEK"/>
    <s v="HRVATSKO"/>
    <s v="ŠANDORA PETEFIJA 323, LUG"/>
    <m/>
    <s v="SSS"/>
    <s v="PRVA STREDNJA ŠKOLA BELI MANASTIR"/>
    <s v="Komercijalist"/>
    <s v="KOMERCIJALISTA"/>
    <s v="NEODREĐENO"/>
    <m/>
    <s v="PUNO"/>
    <n v="40"/>
    <s v="HR6723600003247172910"/>
    <m/>
    <m/>
    <m/>
    <m/>
    <m/>
    <s v="Osijek"/>
    <m/>
    <m/>
    <m/>
    <s v="NE"/>
    <n v="6250"/>
    <n v="1"/>
    <n v="5000"/>
    <m/>
    <m/>
    <m/>
    <m/>
    <m/>
    <m/>
    <m/>
    <m/>
    <m/>
    <m/>
    <s v="AKTIVAN"/>
    <n v="13"/>
  </r>
  <r>
    <n v="14"/>
    <x v="1"/>
    <n v="205"/>
    <n v="3"/>
    <x v="1"/>
    <s v="09677499852"/>
    <s v="Zoltan Terek"/>
    <s v="Južno Pregrađe 38, Osijek"/>
    <x v="91"/>
    <x v="55"/>
    <d v="2019-04-30T00:00:00"/>
    <n v="12344487939"/>
    <s v="Ž-ŽENSKO"/>
    <d v="1974-11-16T00:00:00"/>
    <s v="OSIJEK"/>
    <s v="HRVATSKO"/>
    <s v="VUKOVARSKA CESTA 103, 31000 OSIJEK"/>
    <s v="NE"/>
    <s v="SSS"/>
    <m/>
    <s v="ADMINISTRATOR"/>
    <s v="ADMINISTRATOR"/>
    <s v="ODREĐENO"/>
    <d v="2018-03-31T00:00:00"/>
    <s v="PUNO"/>
    <n v="40"/>
    <s v="?"/>
    <m/>
    <m/>
    <m/>
    <m/>
    <m/>
    <s v="Osijek"/>
    <m/>
    <m/>
    <m/>
    <s v="NE"/>
    <n v="6808.18"/>
    <n v="1"/>
    <n v="5000"/>
    <m/>
    <m/>
    <m/>
    <m/>
    <m/>
    <m/>
    <m/>
    <m/>
    <m/>
    <m/>
    <s v="NEAKTIVAN"/>
    <n v="14"/>
  </r>
  <r>
    <n v="41"/>
    <x v="1"/>
    <n v="206"/>
    <n v="22"/>
    <x v="10"/>
    <n v="16157428650"/>
    <s v="Zoltan Kiri"/>
    <s v="Ivana Gundulića 28"/>
    <x v="96"/>
    <x v="55"/>
    <d v="2020-09-23T00:00:00"/>
    <n v="65362867403"/>
    <s v="Ž-ŽENSKO"/>
    <d v="1970-11-17T00:00:00"/>
    <s v="Frankfurt"/>
    <s v="HRVATSKO"/>
    <s v="Gornjodravska obala 91B, Osijek"/>
    <s v="NE"/>
    <s v="SSS"/>
    <m/>
    <s v="Telefonist-operater u call c."/>
    <s v="Telefonist-operater u call c."/>
    <s v="ODREĐENO"/>
    <d v="2019-01-31T00:00:00"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1"/>
  </r>
  <r>
    <n v="42"/>
    <x v="1"/>
    <n v="207"/>
    <n v="22"/>
    <x v="10"/>
    <n v="16157428650"/>
    <s v="Zoltan Kiri"/>
    <s v="Ivana Gundulića 28"/>
    <x v="36"/>
    <x v="55"/>
    <d v="2019-09-16T00:00:00"/>
    <s v="19036979307"/>
    <s v="Ž-ŽENSKO"/>
    <d v="1975-01-14T00:00:00"/>
    <s v="OSIJEK"/>
    <s v="HRVATSKO"/>
    <s v="Vijenac Dinare 5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2"/>
  </r>
  <r>
    <n v="43"/>
    <x v="1"/>
    <n v="208"/>
    <n v="22"/>
    <x v="10"/>
    <n v="16157428650"/>
    <s v="Zoltan Kiri"/>
    <s v="Ivana Gundulića 28"/>
    <x v="39"/>
    <x v="55"/>
    <d v="2019-12-30T00:00:00"/>
    <n v="48678345053"/>
    <s v="Ž-ŽENSKO"/>
    <d v="1962-07-12T00:00:00"/>
    <s v="OSIJEK"/>
    <s v="HRVATSKO"/>
    <s v="Čvrsnička 21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43"/>
  </r>
  <r>
    <n v="44"/>
    <x v="1"/>
    <n v="209"/>
    <n v="22"/>
    <x v="10"/>
    <n v="16157428650"/>
    <s v="Zoltan Kiri"/>
    <s v="Ivana Gundulića 28"/>
    <x v="51"/>
    <x v="55"/>
    <d v="2019-08-26T00:00:00"/>
    <n v="28217102839"/>
    <s v="Ž-ŽENSKO"/>
    <d v="1959-09-04T00:00:00"/>
    <s v="Banja Luka, BIh"/>
    <s v="HRVATSKO"/>
    <s v="Sjenjak 34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4"/>
  </r>
  <r>
    <n v="45"/>
    <x v="1"/>
    <n v="210"/>
    <n v="22"/>
    <x v="10"/>
    <n v="16157428650"/>
    <s v="Zoltan Kiri"/>
    <s v="Ivana Gundulića 28"/>
    <x v="52"/>
    <x v="55"/>
    <d v="2019-09-24T00:00:00"/>
    <s v="01764937555"/>
    <s v="Ž-ŽENSKO"/>
    <d v="1963-02-26T00:00:00"/>
    <s v="OSIJEK"/>
    <s v="HRVATSKO"/>
    <s v="Creska 10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5"/>
  </r>
  <r>
    <n v="46"/>
    <x v="1"/>
    <n v="211"/>
    <n v="22"/>
    <x v="10"/>
    <n v="16157428650"/>
    <s v="Zoltan Kiri"/>
    <s v="Ivana Gundulića 28"/>
    <x v="73"/>
    <x v="55"/>
    <d v="2019-04-30T00:00:00"/>
    <n v="91673634768"/>
    <s v="Ž-ŽENSKO"/>
    <d v="1997-08-13T00:00:00"/>
    <s v="OSIJEK"/>
    <s v="HRVATSKO"/>
    <s v="Školska 100, Antun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6"/>
  </r>
  <r>
    <n v="15"/>
    <x v="1"/>
    <n v="212"/>
    <n v="3"/>
    <x v="1"/>
    <s v="09677499852"/>
    <s v="Zoltan Terek"/>
    <s v="Južno Pregrađe 38, Osijek"/>
    <x v="116"/>
    <x v="74"/>
    <d v="2019-04-30T00:00:00"/>
    <n v="64253340535"/>
    <s v="M-MUŠKO"/>
    <d v="1984-06-29T00:00:00"/>
    <s v="OSIJEK"/>
    <s v="HRVATSKO"/>
    <s v="A.STEPINCA 2, B. MANASTIR"/>
    <s v="NE"/>
    <s v="SSS"/>
    <m/>
    <m/>
    <s v="KOMERCIJALISTA"/>
    <s v="ODREĐENO"/>
    <d v="2019-04-30T00:00:00"/>
    <s v="PUNO"/>
    <n v="40"/>
    <s v="HR0624120093233018547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15"/>
  </r>
  <r>
    <n v="47"/>
    <x v="1"/>
    <n v="213"/>
    <n v="22"/>
    <x v="10"/>
    <n v="16157428650"/>
    <s v="Zoltan Kiri"/>
    <s v="Ivana Gundulića 28"/>
    <x v="75"/>
    <x v="55"/>
    <d v="2019-09-26T00:00:00"/>
    <n v="40041577579"/>
    <s v="Ž-ŽENSKO"/>
    <d v="1979-12-26T00:00:00"/>
    <s v="OSIJEK"/>
    <s v="HRVATSKO"/>
    <s v="J.J. Strossmayera 216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7"/>
  </r>
  <r>
    <n v="1"/>
    <x v="1"/>
    <n v="214"/>
    <n v="24"/>
    <x v="11"/>
    <n v="19941838505"/>
    <s v="GABOR ISTVAN JENEI"/>
    <s v="Šetalište Petra Preradovića 5, 31000 Osijek"/>
    <x v="117"/>
    <x v="74"/>
    <d v="2020-10-31T00:00:00"/>
    <n v="85123028571"/>
    <s v="M-MUŠKO"/>
    <d v="1982-02-26T00:00:00"/>
    <s v="PÉCS"/>
    <s v="MAĐARSKO"/>
    <s v="CSIKOSVÖLGY UTCA 6, 7761 KOZÁRMISLENY"/>
    <s v="NE"/>
    <s v="SSS"/>
    <m/>
    <m/>
    <s v="POSLOVODJA"/>
    <s v="NEODREĐENO"/>
    <m/>
    <s v="PUNO"/>
    <n v="40"/>
    <s v="?"/>
    <m/>
    <m/>
    <m/>
    <m/>
    <m/>
    <s v="Osijek"/>
    <m/>
    <m/>
    <m/>
    <s v="NE"/>
    <n v="5491.2"/>
    <n v="1"/>
    <m/>
    <m/>
    <m/>
    <m/>
    <m/>
    <m/>
    <m/>
    <m/>
    <m/>
    <m/>
    <m/>
    <s v="AKTIVAN"/>
    <n v="1"/>
  </r>
  <r>
    <n v="48"/>
    <x v="1"/>
    <n v="215"/>
    <n v="22"/>
    <x v="10"/>
    <n v="16157428650"/>
    <s v="Zoltan Kiri"/>
    <s v="Ivana Gundulića 28"/>
    <x v="81"/>
    <x v="55"/>
    <d v="2019-04-23T00:00:00"/>
    <n v="27422215847"/>
    <s v="Ž-ŽENSKO"/>
    <d v="1996-04-27T00:00:00"/>
    <s v="OSIJEK"/>
    <s v="HRVATSKO"/>
    <s v="Zagrebačka 31,31500 Našice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8"/>
  </r>
  <r>
    <n v="49"/>
    <x v="1"/>
    <n v="216"/>
    <n v="22"/>
    <x v="10"/>
    <n v="16157428650"/>
    <s v="Zoltan Kiri"/>
    <s v="Ivana Gundulića 28"/>
    <x v="118"/>
    <x v="55"/>
    <d v="2019-09-30T00:00:00"/>
    <s v="04668761853"/>
    <s v="Ž-ŽENSKO"/>
    <d v="1973-02-04T00:00:00"/>
    <s v="OSIJEK"/>
    <s v="HRVATSKO"/>
    <s v="Trg Ante Starčevića 4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9"/>
  </r>
  <r>
    <n v="50"/>
    <x v="1"/>
    <n v="217"/>
    <n v="22"/>
    <x v="10"/>
    <n v="16157428650"/>
    <s v="Zoltan Kiri"/>
    <s v="Ivana Gundulića 28"/>
    <x v="43"/>
    <x v="55"/>
    <d v="2020-12-31T00:00:00"/>
    <n v="16260284290"/>
    <s v="Ž-ŽENSKO"/>
    <d v="1978-06-18T00:00:00"/>
    <s v="OSIJEK"/>
    <s v="HRVATSKO"/>
    <s v="Šandora Petefija 116, Osijek"/>
    <s v="NE"/>
    <s v="SSS"/>
    <m/>
    <s v="Voditelj call centra"/>
    <s v="Voditelj call centra"/>
    <s v="NEODREĐENO"/>
    <m/>
    <s v="PUNO"/>
    <n v="40"/>
    <m/>
    <m/>
    <m/>
    <m/>
    <m/>
    <m/>
    <s v="Osijek"/>
    <m/>
    <m/>
    <m/>
    <s v="NE"/>
    <n v="5875"/>
    <n v="1"/>
    <n v="4200"/>
    <m/>
    <m/>
    <m/>
    <m/>
    <m/>
    <m/>
    <m/>
    <m/>
    <m/>
    <m/>
    <s v="AKTIVAN"/>
    <n v="50"/>
  </r>
  <r>
    <n v="52"/>
    <x v="1"/>
    <n v="218"/>
    <n v="22"/>
    <x v="10"/>
    <n v="16157428650"/>
    <s v="Zoltan Kiri"/>
    <s v="Ivana Gundulića 28"/>
    <x v="48"/>
    <x v="55"/>
    <d v="2019-10-29T00:00:00"/>
    <n v="7065659312"/>
    <s v="Ž-ŽENSKO"/>
    <d v="1983-08-07T00:00:00"/>
    <s v="OSIJEK"/>
    <s v="HRVATSKO"/>
    <s v="Šandora Petefija 126,Lug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5084.22"/>
    <n v="1"/>
    <n v="4000"/>
    <n v="747"/>
    <m/>
    <m/>
    <m/>
    <m/>
    <m/>
    <m/>
    <m/>
    <m/>
    <m/>
    <s v="NEAKTIVAN"/>
    <n v="52"/>
  </r>
  <r>
    <n v="1"/>
    <x v="2"/>
    <n v="219"/>
    <n v="25"/>
    <x v="12"/>
    <n v="15728896207"/>
    <s v="VEZAJ KRISTINA"/>
    <s v="BOSUTSKO 13, 31000 OSIJEK"/>
    <x v="119"/>
    <x v="75"/>
    <m/>
    <n v="70729208004"/>
    <s v="Ž-ŽENSKO"/>
    <d v="1974-02-01T00:00:00"/>
    <s v="OSIJEK"/>
    <s v="HRVATSKO"/>
    <s v="BOSUTSKO 13, 31000 OSIJEK"/>
    <s v="NE"/>
    <s v="SSS"/>
    <m/>
    <m/>
    <s v="Direktor i voditelj ugost.-turist. Poslova"/>
    <s v="NEODREĐENO"/>
    <m/>
    <s v="PUNO"/>
    <n v="40"/>
    <m/>
    <m/>
    <m/>
    <m/>
    <m/>
    <m/>
    <s v="Osijek"/>
    <m/>
    <m/>
    <m/>
    <s v="NE"/>
    <n v="5491.2"/>
    <n v="1"/>
    <n v="4500"/>
    <m/>
    <m/>
    <m/>
    <m/>
    <m/>
    <m/>
    <m/>
    <m/>
    <m/>
    <m/>
    <s v="AKTIVAN"/>
    <n v="1"/>
  </r>
  <r>
    <n v="1"/>
    <x v="1"/>
    <n v="220"/>
    <n v="26"/>
    <x v="13"/>
    <n v="95114485977"/>
    <s v="LAURA GERGELJ"/>
    <s v="SV.IVANA KRSTITELJA 15, DARDA"/>
    <x v="59"/>
    <x v="76"/>
    <d v="2019-05-16T00:00:00"/>
    <n v="65592272975"/>
    <s v="Ž-ŽENSKO"/>
    <d v="1972-05-03T00:00:00"/>
    <s v="Beli Manastir"/>
    <s v="HRVATSKO"/>
    <s v="KRALJA ZVONIMIRA 51A, BELI MANASTIR"/>
    <s v="NE"/>
    <s v="SSS"/>
    <m/>
    <s v="ADMINISTRATIVNI DJELATNIK"/>
    <s v="ADMINISTRATIVNI DJELATNIK"/>
    <s v="ODREĐENO"/>
    <d v="2019-05-16T00:00:00"/>
    <s v="PUNO"/>
    <n v="40"/>
    <m/>
    <m/>
    <m/>
    <m/>
    <m/>
    <m/>
    <s v="Osijek"/>
    <m/>
    <m/>
    <m/>
    <s v="NE"/>
    <n v="5923.12"/>
    <n v="1"/>
    <n v="4000"/>
    <n v="0"/>
    <m/>
    <m/>
    <n v="20"/>
    <m/>
    <m/>
    <m/>
    <m/>
    <m/>
    <m/>
    <s v="NEAKTIVAN"/>
    <n v="1"/>
  </r>
  <r>
    <n v="53"/>
    <x v="1"/>
    <n v="221"/>
    <n v="22"/>
    <x v="10"/>
    <n v="16157428650"/>
    <s v="Zoltan Kiri"/>
    <s v="Ivana Gundulića 28"/>
    <x v="53"/>
    <x v="55"/>
    <d v="2020-02-17T00:00:00"/>
    <n v="85912850218"/>
    <s v="Ž-ŽENSKO"/>
    <d v="1997-07-31T00:00:00"/>
    <s v="Kiseljak, BIH"/>
    <s v="HRVATSKO"/>
    <s v="Vezir 7, Komletinc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53"/>
  </r>
  <r>
    <n v="54"/>
    <x v="1"/>
    <n v="222"/>
    <n v="22"/>
    <x v="10"/>
    <n v="16157428650"/>
    <s v="Zoltan Kiri"/>
    <s v="Ivana Gundulića 28"/>
    <x v="71"/>
    <x v="55"/>
    <d v="2019-09-09T00:00:00"/>
    <n v="46616191748"/>
    <s v="Ž-ŽENSKO"/>
    <d v="1994-02-24T00:00:00"/>
    <s v="OSIJEK"/>
    <s v="HRVATSKO"/>
    <s v="Krstova Ulica 78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54"/>
  </r>
  <r>
    <n v="55"/>
    <x v="1"/>
    <n v="223"/>
    <n v="22"/>
    <x v="10"/>
    <n v="16157428650"/>
    <s v="Zoltan Kiri"/>
    <s v="Ivana Gundulića 28"/>
    <x v="72"/>
    <x v="55"/>
    <d v="2020-01-02T00:00:00"/>
    <n v="32686911736"/>
    <s v="M-MUŠKO"/>
    <d v="1996-02-19T00:00:00"/>
    <s v="OSIJEK"/>
    <s v="HRVATSKO"/>
    <s v="Ištvana Vencela 2, Gajić, Draž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55"/>
  </r>
  <r>
    <n v="56"/>
    <x v="1"/>
    <n v="224"/>
    <n v="22"/>
    <x v="10"/>
    <n v="16157428650"/>
    <s v="Zoltan Kiri"/>
    <s v="Ivana Gundulića 28"/>
    <x v="97"/>
    <x v="55"/>
    <d v="2019-01-22T00:00:00"/>
    <n v="26136427629"/>
    <s v="M-MUŠKO"/>
    <d v="1992-01-16T00:00:00"/>
    <s v="Zabok"/>
    <s v="HRVATSKO"/>
    <s v="Vijenac Jakova Gotovca 6 Osijek"/>
    <s v="NE"/>
    <s v="SSS"/>
    <m/>
    <s v="Trgovački dem. i prodavač"/>
    <s v="Trgovački dem. i prodavač"/>
    <s v="ODREĐENO"/>
    <d v="2019-03-10T00:00:00"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56"/>
  </r>
  <r>
    <n v="16"/>
    <x v="1"/>
    <n v="225"/>
    <n v="3"/>
    <x v="1"/>
    <s v="09677499852"/>
    <s v="Zoltan Terek"/>
    <s v="Južno Pregrađe 38, Osijek"/>
    <x v="120"/>
    <x v="77"/>
    <d v="2019-09-30T00:00:00"/>
    <n v="67836602395"/>
    <s v="M-MUŠKO"/>
    <d v="1982-08-07T00:00:00"/>
    <m/>
    <s v="HRVATSKO"/>
    <s v="STJEPANA RADIĆA 128, VIROVITICA"/>
    <s v="NE"/>
    <s v="VSS"/>
    <m/>
    <s v="Komercijalist"/>
    <s v="KOMERCIJALNI POSLOVI"/>
    <s v="ODREĐENO"/>
    <d v="2019-06-30T00:00:00"/>
    <s v="PUNO"/>
    <n v="40"/>
    <s v="HR9123400093205858xxx"/>
    <m/>
    <m/>
    <m/>
    <m/>
    <m/>
    <s v="Virovitica"/>
    <m/>
    <m/>
    <m/>
    <s v="NE"/>
    <n v="3750"/>
    <n v="1"/>
    <n v="3000"/>
    <m/>
    <m/>
    <m/>
    <m/>
    <m/>
    <m/>
    <m/>
    <m/>
    <m/>
    <m/>
    <s v="NEAKTIVAN"/>
    <n v="16"/>
  </r>
  <r>
    <n v="57"/>
    <x v="1"/>
    <n v="226"/>
    <n v="22"/>
    <x v="10"/>
    <n v="16157428650"/>
    <s v="Zoltan Kiri"/>
    <s v="Ivana Gundulića 28"/>
    <x v="93"/>
    <x v="55"/>
    <d v="2020-01-02T00:00:00"/>
    <n v="89349780831"/>
    <s v="Ž-ŽENSKO"/>
    <d v="1996-07-05T00:00:00"/>
    <s v="Beograd"/>
    <s v="HRVATSKO"/>
    <s v="Vukovarska ulica 27,Klisa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57"/>
  </r>
  <r>
    <n v="58"/>
    <x v="1"/>
    <n v="227"/>
    <n v="22"/>
    <x v="10"/>
    <n v="16157428650"/>
    <s v="Zoltan Kiri"/>
    <s v="Ivana Gundulića 28"/>
    <x v="94"/>
    <x v="55"/>
    <d v="2019-11-07T00:00:00"/>
    <n v="75824709921"/>
    <s v="M-MUŠKO"/>
    <d v="1995-06-01T00:00:00"/>
    <s v="Sl. Brod"/>
    <s v="HRVATSKO"/>
    <s v="Trnanačka 9,Donji Andrijevc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58"/>
  </r>
  <r>
    <n v="59"/>
    <x v="1"/>
    <n v="228"/>
    <n v="22"/>
    <x v="10"/>
    <n v="16157428650"/>
    <s v="Zoltan Kiri"/>
    <s v="Ivana Gundulića 28"/>
    <x v="89"/>
    <x v="55"/>
    <d v="2020-03-12T00:00:00"/>
    <n v="74541092706"/>
    <s v="M-MUŠKO"/>
    <d v="1995-12-25T00:00:00"/>
    <s v="OSIJEK"/>
    <s v="HRVATSKO"/>
    <s v="Slavonska 7,Josipo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59"/>
  </r>
  <r>
    <n v="60"/>
    <x v="1"/>
    <n v="229"/>
    <n v="22"/>
    <x v="10"/>
    <n v="16157428650"/>
    <s v="Zoltan Kiri"/>
    <s v="Ivana Gundulića 28"/>
    <x v="90"/>
    <x v="55"/>
    <d v="2019-01-31T00:00:00"/>
    <n v="37394837225"/>
    <s v="Ž-ŽENSKO"/>
    <d v="1996-03-11T00:00:00"/>
    <s v="OSIJEK"/>
    <s v="HRVATSKO"/>
    <s v="A.G.MATOŠA 5, DARDA"/>
    <s v="NE"/>
    <s v="SSS"/>
    <m/>
    <s v="Telefonist-operater u call c."/>
    <s v="Telefonist-operater u call c."/>
    <s v="ODREĐENO"/>
    <d v="2019-01-31T00:00:00"/>
    <s v="PUNO"/>
    <n v="40"/>
    <s v="HR4423400093230236595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60"/>
  </r>
  <r>
    <n v="61"/>
    <x v="1"/>
    <n v="230"/>
    <n v="22"/>
    <x v="10"/>
    <n v="16157428650"/>
    <s v="Zoltan Kiri"/>
    <s v="Ivana Gundulića 28"/>
    <x v="66"/>
    <x v="55"/>
    <d v="2019-03-31T00:00:00"/>
    <n v="27081082594"/>
    <s v="Ž-ŽENSKO"/>
    <d v="1972-02-12T00:00:00"/>
    <s v="OSIJEK"/>
    <s v="HRVATSKO"/>
    <s v="J.J. Strossmayera 188, Osijek"/>
    <s v="NE"/>
    <s v="SSS"/>
    <m/>
    <s v="Telefonist-operater u call c."/>
    <s v="Telefonist-operater u call c."/>
    <s v="ODREĐENO"/>
    <d v="2018-02-28T00:00:00"/>
    <s v="PUNO"/>
    <n v="40"/>
    <m/>
    <m/>
    <m/>
    <m/>
    <m/>
    <m/>
    <s v="Osijek"/>
    <m/>
    <m/>
    <m/>
    <s v="NE"/>
    <n v="3750"/>
    <n v="1"/>
    <n v="3000"/>
    <m/>
    <m/>
    <m/>
    <n v="19"/>
    <n v="12"/>
    <m/>
    <m/>
    <m/>
    <m/>
    <n v="0"/>
    <s v="NEAKTIVAN"/>
    <n v="61"/>
  </r>
  <r>
    <n v="62"/>
    <x v="1"/>
    <n v="231"/>
    <n v="22"/>
    <x v="10"/>
    <n v="16157428650"/>
    <s v="Zoltan Kiri"/>
    <s v="Ivana Gundulića 28"/>
    <x v="121"/>
    <x v="78"/>
    <d v="2019-01-31T00:00:00"/>
    <s v="01418314890"/>
    <s v="Ž-ŽENSKO"/>
    <d v="1979-03-04T00:00:00"/>
    <s v="OSIJEK"/>
    <s v="HRVATSKO"/>
    <s v="PAVLA PEJAČEVIĆA 22, 31000 OSIJEK"/>
    <s v="NE"/>
    <s v="SSS"/>
    <s v="MEDICINSKA ŠJKOLA OSIJE"/>
    <s v="Telefonist-operater u call c."/>
    <s v="Telefonist-operater u call c."/>
    <s v="ODREĐENO"/>
    <d v="2019-01-31T00:00:00"/>
    <s v="PUNO"/>
    <n v="40"/>
    <s v="HR2323400093213726215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62"/>
  </r>
  <r>
    <n v="17"/>
    <x v="1"/>
    <n v="232"/>
    <n v="3"/>
    <x v="1"/>
    <s v="09677499852"/>
    <s v="Zoltan Terek"/>
    <s v="Južno Pregrađe 38, Osijek"/>
    <x v="116"/>
    <x v="79"/>
    <d v="2020-01-20T00:00:00"/>
    <n v="64253340535"/>
    <s v="M-MUŠKO"/>
    <d v="1984-06-29T00:00:00"/>
    <m/>
    <s v="HRVATSKO"/>
    <s v="A. STEPINCA 2, B. MANASTIR"/>
    <s v="NE"/>
    <s v="SSS"/>
    <m/>
    <s v="KOMERCIJALISTA"/>
    <s v="KOMERCIJALNI POSLOVI"/>
    <s v="ODREĐENO"/>
    <d v="2019-05-31T00:00:00"/>
    <s v="PUNO"/>
    <n v="40"/>
    <s v="HR0624120093233018547"/>
    <m/>
    <m/>
    <m/>
    <m/>
    <m/>
    <s v="Osijek"/>
    <m/>
    <m/>
    <m/>
    <s v="NE"/>
    <n v="3750"/>
    <n v="1"/>
    <n v="3000"/>
    <m/>
    <m/>
    <m/>
    <m/>
    <m/>
    <m/>
    <m/>
    <m/>
    <m/>
    <m/>
    <s v="AKTIVAN"/>
    <n v="15"/>
  </r>
  <r>
    <n v="63"/>
    <x v="1"/>
    <n v="233"/>
    <n v="22"/>
    <x v="10"/>
    <n v="16157428650"/>
    <s v="Zoltan Kiri"/>
    <s v="Ivana Gundulića 28"/>
    <x v="122"/>
    <x v="77"/>
    <d v="2020-09-11T00:00:00"/>
    <n v="81476803276"/>
    <s v="Ž-ŽENSKO"/>
    <d v="1980-05-29T00:00:00"/>
    <s v="OSIJEK"/>
    <s v="HRVATSKO"/>
    <s v="ULICA SV.ROKA 52"/>
    <s v="NE"/>
    <s v="SSS"/>
    <m/>
    <s v="Trgovački demonstrator"/>
    <s v="Trgovački demonstrator"/>
    <s v="NEODREĐENO"/>
    <d v="2020-09-11T00:00:00"/>
    <s v="PUNO"/>
    <n v="40"/>
    <m/>
    <m/>
    <m/>
    <m/>
    <m/>
    <m/>
    <s v="Osijek"/>
    <m/>
    <m/>
    <m/>
    <s v="NE"/>
    <n v="4375"/>
    <n v="1"/>
    <n v="4000"/>
    <m/>
    <m/>
    <m/>
    <m/>
    <m/>
    <m/>
    <m/>
    <m/>
    <m/>
    <m/>
    <s v="NEAKTIVAN"/>
    <n v="63"/>
  </r>
  <r>
    <n v="64"/>
    <x v="1"/>
    <n v="234"/>
    <n v="22"/>
    <x v="10"/>
    <n v="16157428650"/>
    <s v="Zoltan Kiri"/>
    <s v="Ivana Gundulića 28"/>
    <x v="123"/>
    <x v="80"/>
    <d v="2019-02-04T00:00:00"/>
    <n v="88382913187"/>
    <s v="M-MUŠKO"/>
    <d v="1996-06-04T00:00:00"/>
    <s v="OSIJEK"/>
    <s v="HRVATSKO"/>
    <s v="PETRA KREŠIMIRA 10, KOŠKA"/>
    <s v="NE"/>
    <s v="SSS"/>
    <s v="PUČKO OTV.UČILIŠTE"/>
    <s v="Trgovački demonstrator"/>
    <s v="Trgovački demonstrator"/>
    <s v="ODREĐENO"/>
    <d v="2019-04-21T00:00:00"/>
    <s v="PUNO"/>
    <n v="40"/>
    <s v="HR5723600003246599335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64"/>
  </r>
  <r>
    <n v="65"/>
    <x v="1"/>
    <n v="235"/>
    <n v="22"/>
    <x v="10"/>
    <n v="16157428650"/>
    <s v="Zoltan Kiri"/>
    <s v="Ivana Gundulića 28"/>
    <x v="124"/>
    <x v="81"/>
    <d v="2019-09-09T00:00:00"/>
    <n v="70061804961"/>
    <s v="M-MUŠKO"/>
    <d v="1998-01-08T00:00:00"/>
    <s v="OSIJEK"/>
    <s v="HRVATSKO"/>
    <s v="ULICA MARKA MARULIĆA 4, JOSIPOVAC OSIJEK"/>
    <s v="NE"/>
    <s v="SSS"/>
    <m/>
    <m/>
    <s v="Trgovački demonstrator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65"/>
  </r>
  <r>
    <n v="2"/>
    <x v="1"/>
    <n v="236"/>
    <n v="26"/>
    <x v="13"/>
    <n v="95114485977"/>
    <s v="LAURA GERGELJ"/>
    <s v="SV.IVANA KRSTITELJA 15, DARDA"/>
    <x v="59"/>
    <x v="82"/>
    <d v="2020-08-17T00:00:00"/>
    <n v="65592272975"/>
    <s v="Ž-ŽENSKO"/>
    <d v="1972-05-03T00:00:00"/>
    <s v="Beli Manastir"/>
    <s v="HRVATSKO"/>
    <s v="KRALJA ZVONIMIRA 51A, BELI MANASTIR"/>
    <s v="NE"/>
    <s v="SSS"/>
    <m/>
    <s v="ADMINISTRATIVNI DJELATNIK"/>
    <s v="ADMINISTRATIVNI DJELATNIK"/>
    <s v="ODREĐENO"/>
    <d v="2019-08-16T00:00:00"/>
    <s v="PUNO"/>
    <n v="40"/>
    <m/>
    <m/>
    <m/>
    <m/>
    <m/>
    <m/>
    <s v="Osijek"/>
    <m/>
    <m/>
    <m/>
    <s v="NE"/>
    <n v="5923.12"/>
    <n v="1"/>
    <n v="4000"/>
    <n v="0"/>
    <m/>
    <m/>
    <n v="20"/>
    <m/>
    <m/>
    <m/>
    <m/>
    <m/>
    <m/>
    <s v="NEAKTIVAN"/>
    <n v="2"/>
  </r>
  <r>
    <n v="65"/>
    <x v="1"/>
    <n v="237"/>
    <n v="22"/>
    <x v="10"/>
    <n v="16157428650"/>
    <s v="Zoltan Kiri"/>
    <s v="Ivana Gundulića 28"/>
    <x v="125"/>
    <x v="83"/>
    <d v="2019-04-30T00:00:00"/>
    <n v="49675744742"/>
    <s v="Ž-ŽENSKO"/>
    <d v="1989-04-13T00:00:00"/>
    <s v="OSIJEK"/>
    <s v="HRVATSKO"/>
    <s v="A.CESARCA 31, BELI MANASTIR"/>
    <s v="NE"/>
    <s v="SSS"/>
    <m/>
    <m/>
    <s v="Trgovački demonstrator"/>
    <s v="ODREĐENO"/>
    <d v="2019-04-30T00:00:00"/>
    <s v="PUNO"/>
    <n v="40"/>
    <s v="HR87 2340 0093 2133 2290 1"/>
    <m/>
    <m/>
    <m/>
    <m/>
    <m/>
    <s v="ZMAJEVAC"/>
    <m/>
    <m/>
    <m/>
    <s v="NE"/>
    <n v="6755.35"/>
    <n v="1"/>
    <n v="5000"/>
    <m/>
    <m/>
    <m/>
    <m/>
    <m/>
    <m/>
    <m/>
    <m/>
    <m/>
    <m/>
    <s v="NEAKTIVAN"/>
    <n v="65"/>
  </r>
  <r>
    <n v="67"/>
    <x v="1"/>
    <n v="238"/>
    <n v="22"/>
    <x v="10"/>
    <n v="16157428650"/>
    <s v="Zoltan Kiri"/>
    <s v="Šetalište Petra Preradovića 5"/>
    <x v="96"/>
    <x v="74"/>
    <d v="2020-09-23T00:00:00"/>
    <n v="65362867403"/>
    <s v="Ž-ŽENSKO"/>
    <d v="1970-11-17T00:00:00"/>
    <s v="Frankfurt"/>
    <s v="HRVATSKO"/>
    <s v="Gornjodravska obala 91B, Osijek"/>
    <s v="NE"/>
    <s v="SSS"/>
    <s v="Telefonist-operater u call c."/>
    <m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67"/>
  </r>
  <r>
    <n v="68"/>
    <x v="1"/>
    <n v="239"/>
    <n v="22"/>
    <x v="10"/>
    <n v="16157428650"/>
    <s v="Zoltan Kiri"/>
    <s v="Ivana Gundulića 28"/>
    <x v="121"/>
    <x v="78"/>
    <d v="2020-12-13T00:00:00"/>
    <s v="01418314890"/>
    <s v="Ž-ŽENSKO"/>
    <d v="1979-03-04T00:00:00"/>
    <s v="OSIJEK"/>
    <s v="HRVATSKO"/>
    <s v="PLJEŠEVIČKA 41 OSIJEK"/>
    <s v="NE"/>
    <s v="SSS"/>
    <s v="MEDICINSKA ŠJKOLA OSIJE"/>
    <s v="Telefonist-operater u call c."/>
    <s v="Telefonist-operater u call c."/>
    <s v="NEODREĐENO"/>
    <m/>
    <s v="PUNO"/>
    <n v="40"/>
    <s v="HR2323400093213726215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68"/>
  </r>
  <r>
    <n v="69"/>
    <x v="1"/>
    <n v="240"/>
    <n v="22"/>
    <x v="10"/>
    <n v="16157428650"/>
    <s v="Zoltan Kiri"/>
    <s v="Ivana Gundulića 28"/>
    <x v="90"/>
    <x v="55"/>
    <d v="2020-12-13T00:00:00"/>
    <n v="37394837225"/>
    <s v="Ž-ŽENSKO"/>
    <d v="1996-03-11T00:00:00"/>
    <s v="OSIJEK"/>
    <s v="HRVATSKO"/>
    <s v="A.G.MATOŠA 5, DARDA"/>
    <s v="NE"/>
    <s v="SSS"/>
    <m/>
    <s v="Telefonist-operater u call c."/>
    <s v="Telefonist-operater u call c."/>
    <s v="NEODREĐENO"/>
    <m/>
    <s v="PUNO"/>
    <n v="40"/>
    <s v="HR4423400093230236595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69"/>
  </r>
  <r>
    <n v="70"/>
    <x v="1"/>
    <n v="241"/>
    <n v="22"/>
    <x v="10"/>
    <n v="16157428650"/>
    <s v="Zoltan Kiri"/>
    <s v="Ivana Gundulića 28"/>
    <x v="126"/>
    <x v="84"/>
    <d v="2019-09-09T00:00:00"/>
    <n v="63856633557"/>
    <s v="Ž-ŽENSKO"/>
    <d v="1993-01-28T00:00:00"/>
    <s v="OSIJEK"/>
    <s v="HRVATSKO"/>
    <s v="BOSUTSKA 13,31000 OSIJEK"/>
    <s v="NE"/>
    <s v="SSS"/>
    <m/>
    <s v="Telefonist-operater u call c."/>
    <s v="Telefonist-operater u call c."/>
    <s v="ODREĐENO"/>
    <m/>
    <s v="PUNO"/>
    <n v="40"/>
    <s v="HR1725000093205110517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70"/>
  </r>
  <r>
    <n v="71"/>
    <x v="1"/>
    <n v="242"/>
    <n v="22"/>
    <x v="10"/>
    <n v="16157428650"/>
    <s v="Zoltan Kiri"/>
    <s v="Ivana Gundulića 28"/>
    <x v="127"/>
    <x v="85"/>
    <d v="2019-05-02T00:00:00"/>
    <n v="6846340645"/>
    <s v="Ž-ŽENSKO"/>
    <d v="1986-07-25T00:00:00"/>
    <s v="OSIJEK"/>
    <s v="HRVATSKO"/>
    <s v="TREŠANJSKA 45, BRIJEST"/>
    <s v="NE"/>
    <s v="NKV"/>
    <m/>
    <s v="Telefonist-operater u call c."/>
    <s v="Telefonist-operater u call c."/>
    <s v="ODREĐENO"/>
    <d v="2019-03-31T00:00:00"/>
    <s v="PUNO"/>
    <n v="40"/>
    <s v="HR9725000093222001336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71"/>
  </r>
  <r>
    <n v="72"/>
    <x v="1"/>
    <n v="243"/>
    <n v="22"/>
    <x v="10"/>
    <n v="16157428650"/>
    <s v="Zoltan Kiri"/>
    <s v="Ivana Gundulića 28"/>
    <x v="128"/>
    <x v="86"/>
    <d v="2018-04-12T00:00:00"/>
    <n v="22398538860"/>
    <s v="M-MUŠKO"/>
    <d v="1994-11-30T00:00:00"/>
    <s v="OSIJEK"/>
    <s v="HRVATSKO"/>
    <s v="BOSUTSKA 17, 31000 OSIJEK"/>
    <s v="NE"/>
    <s v="SSS"/>
    <m/>
    <s v="Trgovački demonstrator"/>
    <s v="Trgovački demonstrator"/>
    <s v="ODREĐENO"/>
    <d v="2019-03-25T00:00:00"/>
    <s v="PUNO"/>
    <n v="40"/>
    <s v="HR5524020063208050065"/>
    <m/>
    <m/>
    <m/>
    <m/>
    <m/>
    <s v="Osijek"/>
    <m/>
    <m/>
    <m/>
    <s v="NE"/>
    <n v="4375"/>
    <m/>
    <n v="3500"/>
    <m/>
    <m/>
    <m/>
    <m/>
    <m/>
    <m/>
    <m/>
    <m/>
    <m/>
    <m/>
    <s v="NEAKTIVAN"/>
    <n v="72"/>
  </r>
  <r>
    <n v="73"/>
    <x v="1"/>
    <n v="244"/>
    <n v="22"/>
    <x v="10"/>
    <n v="16157428650"/>
    <s v="Zoltan Kiri"/>
    <s v="Ivana Gundulića 28"/>
    <x v="129"/>
    <x v="77"/>
    <d v="2019-08-31T00:00:00"/>
    <s v="06901289862"/>
    <s v="Ž-ŽENSKO"/>
    <d v="1986-12-24T00:00:00"/>
    <s v="OSIJEK"/>
    <s v="HRVATSKO"/>
    <s v="ČVRSNIČKA 17, OSIJEK"/>
    <s v="NE"/>
    <s v="SSS"/>
    <m/>
    <s v="Telefonist-operater u call c."/>
    <s v="Telefonist-operater u call c."/>
    <s v="ODREĐENO"/>
    <d v="2019-04-30T00:00:00"/>
    <s v="PUNO"/>
    <n v="40"/>
    <s v="HR41236000003244298492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73"/>
  </r>
  <r>
    <n v="74"/>
    <x v="1"/>
    <n v="245"/>
    <n v="22"/>
    <x v="10"/>
    <n v="16157428650"/>
    <s v="Zoltan Kiri"/>
    <s v="Ivana Gundulića 28"/>
    <x v="130"/>
    <x v="87"/>
    <d v="2019-04-15T00:00:00"/>
    <n v="90178627877"/>
    <s v="Ž-ŽENSKO"/>
    <d v="2019-06-01T00:00:00"/>
    <m/>
    <s v="HRVATSKO"/>
    <s v="OSIJEČKA 30, SARVAŠ"/>
    <s v="NE"/>
    <s v="SSS"/>
    <m/>
    <s v="Telefonist-operater u call c."/>
    <s v="Telefonist-operater u call c."/>
    <s v="ODREĐENO"/>
    <d v="2019-05-31T00:00:00"/>
    <s v="PUNO"/>
    <n v="40"/>
    <s v="HR9023400093231383956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74"/>
  </r>
  <r>
    <n v="75"/>
    <x v="1"/>
    <n v="246"/>
    <n v="22"/>
    <x v="10"/>
    <n v="16157428650"/>
    <s v="Zoltan Kiri"/>
    <s v="Ivana Gundulića 28"/>
    <x v="131"/>
    <x v="88"/>
    <d v="2019-05-31T00:00:00"/>
    <n v="19504503963"/>
    <s v="Ž-ŽENSKO"/>
    <d v="1996-09-20T00:00:00"/>
    <m/>
    <s v="HRVATSKO"/>
    <s v="ULICA ANTUNA KANIŽLIĆA 14, OSIJEK"/>
    <s v="NE"/>
    <s v="SSS"/>
    <m/>
    <s v="Telefonist-operater u call c."/>
    <s v="Telefonist-operater u call c."/>
    <s v="ODREĐENO"/>
    <d v="2019-05-31T00:00:00"/>
    <s v="PUNO"/>
    <n v="40"/>
    <s v="HR2723600003244566076 HR0323600003513787432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75"/>
  </r>
  <r>
    <n v="76"/>
    <x v="1"/>
    <n v="247"/>
    <n v="22"/>
    <x v="10"/>
    <n v="16157428650"/>
    <s v="Zoltan Kiri"/>
    <s v="Ivana Gundulića 28"/>
    <x v="132"/>
    <x v="89"/>
    <d v="2019-05-06T00:00:00"/>
    <n v="28411895669"/>
    <s v="Ž-ŽENSKO"/>
    <d v="2019-04-23T00:00:00"/>
    <m/>
    <s v="HRVATSKO"/>
    <s v="J.J.STROSSMAYERA 62 VIŠNJEVAC"/>
    <s v="NE"/>
    <s v="SSS"/>
    <m/>
    <s v="Telefonist-operater u call c."/>
    <s v="Telefonist-operater u call c."/>
    <s v="ODREĐENO"/>
    <d v="2015-05-31T00:00:00"/>
    <s v="PUNO"/>
    <n v="40"/>
    <s v="HR3823400093214278651  HR8723400093510784459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76"/>
  </r>
  <r>
    <n v="77"/>
    <x v="1"/>
    <n v="248"/>
    <n v="22"/>
    <x v="10"/>
    <n v="16157428650"/>
    <s v="Zoltan Kiri"/>
    <s v="Ivana Gundulića 28"/>
    <x v="133"/>
    <x v="57"/>
    <d v="2019-04-25T00:00:00"/>
    <n v="28667022761"/>
    <s v="Ž-ŽENSKO"/>
    <d v="1985-07-22T00:00:00"/>
    <m/>
    <s v="HRVATSKO"/>
    <s v="ANTE STARČEVIĆA 43 C , VIŠNJEVAC"/>
    <s v="NE"/>
    <s v="SSS"/>
    <m/>
    <s v="Telefonist-operater u call c."/>
    <s v="Telefonist-operater u call c."/>
    <s v="ODREĐENO"/>
    <d v="2019-05-31T00:00:00"/>
    <s v="PUNO"/>
    <n v="40"/>
    <s v="HR8123400093207422305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77"/>
  </r>
  <r>
    <n v="78"/>
    <x v="1"/>
    <n v="249"/>
    <n v="22"/>
    <x v="10"/>
    <n v="16157428650"/>
    <s v="Zoltan Kiri"/>
    <s v="Ivana Gundulića 28"/>
    <x v="134"/>
    <x v="90"/>
    <d v="2019-08-31T00:00:00"/>
    <n v="95564302024"/>
    <s v="M-MUŠKO"/>
    <d v="1980-10-24T00:00:00"/>
    <m/>
    <s v="HRVATSKO"/>
    <s v="RIBARSKA ULICA 13, KOPAČEVO"/>
    <s v="NE"/>
    <s v="SSS"/>
    <m/>
    <s v="Trgovački demonstrator"/>
    <s v="Trgovački demonstrator"/>
    <s v="ODREĐENO"/>
    <d v="2019-08-31T00:00:00"/>
    <s v="PUNO"/>
    <n v="40"/>
    <s v="HR"/>
    <m/>
    <m/>
    <m/>
    <m/>
    <m/>
    <s v="Osijek"/>
    <m/>
    <m/>
    <m/>
    <s v="NE"/>
    <n v="8426.4699999999993"/>
    <n v="1"/>
    <n v="6000"/>
    <m/>
    <m/>
    <s v="promjena plaće sa 4000 na 6000 sa 01.09"/>
    <m/>
    <m/>
    <m/>
    <m/>
    <m/>
    <m/>
    <m/>
    <s v="NEAKTIVAN"/>
    <n v="78"/>
  </r>
  <r>
    <n v="79"/>
    <x v="1"/>
    <n v="250"/>
    <n v="22"/>
    <x v="10"/>
    <n v="16157428650"/>
    <s v="Zoltan Kiri"/>
    <s v="Ivana Gundulića 28"/>
    <x v="135"/>
    <x v="91"/>
    <d v="2019-07-31T00:00:00"/>
    <s v="00702169000"/>
    <s v="Ž-ŽENSKO"/>
    <d v="1981-07-23T00:00:00"/>
    <m/>
    <s v="HRVATSKO"/>
    <s v="TRPANJSKA 11, OSIJEK"/>
    <s v="NE"/>
    <s v="SSS"/>
    <m/>
    <s v="Telefonist-operater u call c."/>
    <s v="Telefonist-operater u call c."/>
    <s v="ODREĐENO"/>
    <d v="2019-05-31T00:00:00"/>
    <s v="PUNO"/>
    <n v="40"/>
    <s v="HR6424840083230680227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79"/>
  </r>
  <r>
    <n v="80"/>
    <x v="1"/>
    <n v="251"/>
    <n v="22"/>
    <x v="10"/>
    <n v="16157428650"/>
    <s v="Zoltan Kiri"/>
    <s v="Ivana Gundulića 28"/>
    <x v="136"/>
    <x v="91"/>
    <d v="2019-06-30T00:00:00"/>
    <s v="06278539417"/>
    <s v="Ž-ŽENSKO"/>
    <d v="1987-11-26T00:00:00"/>
    <m/>
    <s v="HRVATSKO"/>
    <s v="DALMATINSKA 26 JOSIPOVAC"/>
    <s v="NE"/>
    <s v="SSS"/>
    <m/>
    <s v="Telefonist-operater u call c."/>
    <s v="Telefonist-operater u call c."/>
    <s v="ODREĐENO"/>
    <d v="2019-05-31T00:00:00"/>
    <s v="PUNO"/>
    <n v="40"/>
    <s v="HR2723900013221554752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80"/>
  </r>
  <r>
    <n v="81"/>
    <x v="1"/>
    <n v="252"/>
    <n v="22"/>
    <x v="10"/>
    <n v="16157428650"/>
    <s v="Zoltan Kiri"/>
    <s v="Ivana Gundulića 28"/>
    <x v="137"/>
    <x v="92"/>
    <d v="2020-12-13T00:00:00"/>
    <n v="61923614848"/>
    <s v="Ž-ŽENSKO"/>
    <d v="1990-08-31T00:00:00"/>
    <s v="OSIJEK"/>
    <s v="HRVATSKO"/>
    <s v="J.J.STROSSMAJERA 151, Osijek"/>
    <s v="NE"/>
    <s v="SSS"/>
    <m/>
    <s v="Telefonist-operater u call c."/>
    <s v="Telefonist-operater u call c."/>
    <s v="ODREĐENO"/>
    <d v="2019-05-31T00:00:00"/>
    <s v="PUNO"/>
    <n v="40"/>
    <s v="HR5423400093213574725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81"/>
  </r>
  <r>
    <n v="82"/>
    <x v="1"/>
    <n v="253"/>
    <n v="22"/>
    <x v="10"/>
    <n v="16157428650"/>
    <s v="Zoltan Kiri"/>
    <s v="Ivana Gundulića 28"/>
    <x v="138"/>
    <x v="93"/>
    <d v="2019-05-17T00:00:00"/>
    <n v="20738620097"/>
    <s v="M-MUŠKO"/>
    <d v="1981-02-16T00:00:00"/>
    <m/>
    <s v="HRVATSKO"/>
    <s v="VJ.KRALJEVE SUTJESKE 4, OSIJEK"/>
    <s v="NE"/>
    <s v="SSS"/>
    <m/>
    <s v="Telefonist-operater u call c."/>
    <s v="Telefonist-operater u call c."/>
    <s v="ODREĐENO"/>
    <d v="2019-05-31T00:00:00"/>
    <s v="PUNO"/>
    <n v="40"/>
    <s v="HR0823600003223569895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82"/>
  </r>
  <r>
    <n v="83"/>
    <x v="1"/>
    <n v="254"/>
    <n v="22"/>
    <x v="10"/>
    <n v="16157428650"/>
    <s v="Zoltan Kiri"/>
    <s v="Ivana Gundulića 28"/>
    <x v="139"/>
    <x v="94"/>
    <d v="2019-05-31T00:00:00"/>
    <s v="05974952372"/>
    <s v="Ž-ŽENSKO"/>
    <d v="1998-08-18T00:00:00"/>
    <m/>
    <s v="HRVATSKO"/>
    <s v="K.A.STEPINCA 8, 31000 OSIJEK"/>
    <s v="NE"/>
    <s v="SSS"/>
    <m/>
    <s v="Telefonist-operater u call c."/>
    <s v="Telefonist-operater u call c."/>
    <s v="ODREĐENO"/>
    <d v="2019-05-31T00:00:00"/>
    <s v="PUNO"/>
    <n v="40"/>
    <s v="HR6124070003207074065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83"/>
  </r>
  <r>
    <n v="84"/>
    <x v="1"/>
    <n v="255"/>
    <n v="22"/>
    <x v="10"/>
    <n v="16157428650"/>
    <s v="Zoltan Kiri"/>
    <s v="Ivana Gundulića 28"/>
    <x v="140"/>
    <x v="95"/>
    <d v="2020-08-31T00:00:00"/>
    <n v="8869661100"/>
    <s v="Ž-ŽENSKO"/>
    <d v="1987-04-04T00:00:00"/>
    <m/>
    <s v="HRVATSKO"/>
    <s v="VIJENAC PETROVE GORE, OSIJEK"/>
    <s v="NE"/>
    <s v="SSS"/>
    <m/>
    <s v="Telefonist-operater u call c."/>
    <s v="Telefonist-operater u call c."/>
    <s v="ODREĐENO"/>
    <d v="2019-05-31T00:00:00"/>
    <s v="PUNO"/>
    <n v="40"/>
    <s v="HR1823900013215908932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84"/>
  </r>
  <r>
    <n v="85"/>
    <x v="1"/>
    <n v="256"/>
    <n v="22"/>
    <x v="10"/>
    <n v="16157428650"/>
    <s v="Zoltan Kiri"/>
    <s v="Ivana Gundulića 28"/>
    <x v="141"/>
    <x v="96"/>
    <d v="2019-09-30T00:00:00"/>
    <n v="49752439242"/>
    <s v="Ž-ŽENSKO"/>
    <d v="2000-02-15T00:00:00"/>
    <m/>
    <s v="HRVATSKO"/>
    <s v="VRTNA ULICA 44, BRIJEŠĆE"/>
    <s v="NE"/>
    <s v="SSS"/>
    <m/>
    <s v="Telefonist-operater u call c."/>
    <s v="Telefonist-operater u call c."/>
    <s v="ODREĐENO"/>
    <d v="2019-06-30T00:00:00"/>
    <s v="PUNO"/>
    <n v="40"/>
    <s v="HR6023400093218604455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85"/>
  </r>
  <r>
    <n v="3"/>
    <x v="1"/>
    <n v="257"/>
    <n v="15"/>
    <x v="7"/>
    <s v="085005325176"/>
    <s v="Zoran Francisković"/>
    <s v="Koprivnička 25 a, 31000 Osijek"/>
    <x v="142"/>
    <x v="62"/>
    <d v="2020-06-29T00:00:00"/>
    <n v="97376823782"/>
    <s v="M-MUŠKO"/>
    <d v="1964-10-12T00:00:00"/>
    <s v="OSIJEK"/>
    <s v="HRVATSKO"/>
    <s v="Olimpije 13, 31000 Osijek "/>
    <s v="NE"/>
    <s v="NKV"/>
    <m/>
    <s v="Keramičar"/>
    <s v="Keramičar"/>
    <s v="NEODREĐENO"/>
    <d v="2020-06-29T00:00:00"/>
    <s v="PUNO"/>
    <n v="40"/>
    <s v="HR652484083223276975"/>
    <m/>
    <m/>
    <m/>
    <m/>
    <m/>
    <s v="Osijek"/>
    <m/>
    <m/>
    <m/>
    <m/>
    <n v="4200"/>
    <n v="1"/>
    <m/>
    <m/>
    <m/>
    <m/>
    <m/>
    <m/>
    <m/>
    <m/>
    <m/>
    <m/>
    <m/>
    <s v="AKTIVAN"/>
    <m/>
  </r>
  <r>
    <n v="86"/>
    <x v="1"/>
    <n v="258"/>
    <n v="22"/>
    <x v="10"/>
    <n v="16157428650"/>
    <s v="Zoltan Kiri"/>
    <s v="Ivana Gundulića 28"/>
    <x v="143"/>
    <x v="97"/>
    <d v="2019-06-03T00:00:00"/>
    <n v="11971211274"/>
    <s v="Ž-ŽENSKO"/>
    <d v="1980-12-08T00:00:00"/>
    <m/>
    <s v="HRVATSKO"/>
    <s v="ŠKOLSKA 18, VIŠNJEVAC"/>
    <s v="NE"/>
    <s v="SSS"/>
    <m/>
    <s v="Telefonist-operater u call c."/>
    <s v="Telefonist-operater u call c."/>
    <s v="ODREĐENO"/>
    <d v="2019-06-30T00:00:00"/>
    <s v="PUNO"/>
    <n v="40"/>
    <s v="HR9024070003205889367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86"/>
  </r>
  <r>
    <n v="87"/>
    <x v="1"/>
    <n v="259"/>
    <n v="22"/>
    <x v="10"/>
    <n v="16157428650"/>
    <s v="Zoltan Kiri"/>
    <s v="Ivana Gundulića 28"/>
    <x v="144"/>
    <x v="96"/>
    <d v="2019-05-31T00:00:00"/>
    <n v="71786069922"/>
    <s v="Ž-ŽENSKO"/>
    <s v="17.05.1994."/>
    <m/>
    <s v="HRVATSKO"/>
    <s v="LJUDEVITA GAJA 109, N.GRADIŠKA"/>
    <s v="NE"/>
    <s v="SSS"/>
    <m/>
    <s v="Telefonist-operater u call c."/>
    <s v="Telefonist-operater u call c."/>
    <s v="ODREĐENO"/>
    <d v="2019-08-25T00:00:00"/>
    <s v="PUNO"/>
    <n v="40"/>
    <s v="HR3823400093231248704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87"/>
  </r>
  <r>
    <n v="88"/>
    <x v="1"/>
    <n v="260"/>
    <n v="22"/>
    <x v="10"/>
    <n v="16157428650"/>
    <s v="Zoltan Kiri"/>
    <s v="Ivana Gundulića 28"/>
    <x v="145"/>
    <x v="98"/>
    <d v="2019-09-26T00:00:00"/>
    <n v="12378528119"/>
    <s v="Ž-ŽENSKO"/>
    <d v="1977-02-15T00:00:00"/>
    <m/>
    <s v="HRVATSKO"/>
    <s v="Umaška 8, Osijek"/>
    <s v="NE"/>
    <s v="SSS"/>
    <m/>
    <s v="Telefonist-operater u call c."/>
    <s v="Telefonist-operater u call c."/>
    <s v="ODREĐENO"/>
    <d v="2019-06-03T00:00:00"/>
    <s v="PUNO"/>
    <n v="40"/>
    <s v="HR4323600003234980000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88"/>
  </r>
  <r>
    <n v="89"/>
    <x v="1"/>
    <n v="261"/>
    <n v="22"/>
    <x v="10"/>
    <n v="16157428650"/>
    <s v="Zoltan Kiri"/>
    <s v="Ivana Gundulića 28"/>
    <x v="146"/>
    <x v="99"/>
    <d v="2019-11-30T00:00:00"/>
    <n v="71570040716"/>
    <s v="Ž-ŽENSKO"/>
    <d v="1981-08-03T00:00:00"/>
    <m/>
    <s v="HRVATSKO"/>
    <s v="JOSIPOVAC, OSIJEČKA 112"/>
    <s v="NE"/>
    <s v="SSS"/>
    <m/>
    <s v="Telefonist-operater u call c."/>
    <s v="Telefonist-operater u call c."/>
    <s v="ODREĐENO"/>
    <d v="2019-07-31T00:00:00"/>
    <s v="PUNO"/>
    <n v="40"/>
    <s v="HR2324070003205439038"/>
    <m/>
    <m/>
    <m/>
    <m/>
    <m/>
    <s v="Osijek"/>
    <m/>
    <m/>
    <m/>
    <s v="NE"/>
    <n v="3750"/>
    <n v="2.7"/>
    <n v="3000"/>
    <m/>
    <m/>
    <m/>
    <m/>
    <m/>
    <m/>
    <m/>
    <m/>
    <m/>
    <m/>
    <s v="NEAKTIVAN"/>
    <n v="89"/>
  </r>
  <r>
    <n v="90"/>
    <x v="1"/>
    <n v="262"/>
    <n v="22"/>
    <x v="10"/>
    <n v="16157428650"/>
    <s v="Zoltan Kiri"/>
    <s v="Ivana Gundulića 28"/>
    <x v="147"/>
    <x v="100"/>
    <d v="2020-12-24T00:00:00"/>
    <n v="37440200087"/>
    <s v="M-MUŠKO"/>
    <d v="1970-01-31T00:00:00"/>
    <s v="OSIJEK"/>
    <s v="HRVATSKO"/>
    <s v="TRG SLOBODE 7 BELI MANASTIR"/>
    <s v="NE"/>
    <s v="SSS"/>
    <m/>
    <s v="Trgovački demonstrator"/>
    <s v="Trgovački demonstrator"/>
    <s v="ODREĐENO"/>
    <d v="2019-09-30T00:00:00"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90"/>
  </r>
  <r>
    <n v="91"/>
    <x v="1"/>
    <n v="263"/>
    <n v="22"/>
    <x v="10"/>
    <n v="16157428650"/>
    <s v="Zoltan Kiri"/>
    <s v="Ivana Gundulića 28"/>
    <x v="148"/>
    <x v="101"/>
    <d v="2020-08-31T00:00:00"/>
    <n v="20384352697"/>
    <s v="M-MUŠKO"/>
    <d v="1996-09-17T00:00:00"/>
    <m/>
    <s v="HRVATSKO"/>
    <s v="TRENKOVA 5, 34000 POŽEGA"/>
    <s v="NE"/>
    <s v="SSS"/>
    <m/>
    <s v="Telefonist-operater u call c."/>
    <s v="Telefonist-operater u call c."/>
    <s v="ODREĐENO"/>
    <d v="2019-08-31T00:00:00"/>
    <s v="PUNO"/>
    <n v="40"/>
    <s v="HR4823600003252831823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91"/>
  </r>
  <r>
    <n v="18"/>
    <x v="1"/>
    <n v="264"/>
    <n v="3"/>
    <x v="1"/>
    <s v="09677499852"/>
    <s v="Zoltan Terek"/>
    <s v="Južno Pregrađe 38, Osijek"/>
    <x v="149"/>
    <x v="102"/>
    <d v="2019-12-31T00:00:00"/>
    <n v="33945890205"/>
    <s v="M-MUŠKO"/>
    <d v="1996-07-09T00:00:00"/>
    <m/>
    <s v="HRVATSKO"/>
    <s v="ARANJ JANOŠ 13, NOVI BEZDAN, PETLOVAC"/>
    <s v="NE"/>
    <s v="SSS"/>
    <m/>
    <s v="KOMERCIJALISTA"/>
    <s v="KOMERCIJALISTA"/>
    <s v="ODREĐENO"/>
    <d v="2019-12-31T00:00:00"/>
    <s v="PUNO"/>
    <n v="40"/>
    <s v="HR5823400093214680938"/>
    <m/>
    <m/>
    <m/>
    <m/>
    <m/>
    <s v="Osijek"/>
    <m/>
    <m/>
    <m/>
    <s v="NE"/>
    <n v="3750"/>
    <n v="1"/>
    <n v="3000"/>
    <m/>
    <m/>
    <m/>
    <m/>
    <m/>
    <m/>
    <m/>
    <m/>
    <m/>
    <m/>
    <s v="AKTIVAN"/>
    <n v="24"/>
  </r>
  <r>
    <n v="92"/>
    <x v="1"/>
    <n v="265"/>
    <n v="22"/>
    <x v="10"/>
    <n v="16157428650"/>
    <s v="Zoltan Kiri"/>
    <s v="Ivana Gundulića 28"/>
    <x v="150"/>
    <x v="103"/>
    <d v="2020-03-29T00:00:00"/>
    <n v="79304023231"/>
    <s v="M-MUŠKO"/>
    <d v="2000-05-25T00:00:00"/>
    <m/>
    <s v="HRVATSKO"/>
    <s v="PETEFI ŠANDORA 24, LUG"/>
    <s v="NE"/>
    <s v="SSS"/>
    <m/>
    <s v="Trgovački demonstrator"/>
    <s v="Trgovački demonstrator"/>
    <s v="ODREĐENO"/>
    <d v="2019-10-14T00:00:00"/>
    <s v="PUNO"/>
    <n v="40"/>
    <s v="HR8123400093233689711"/>
    <m/>
    <m/>
    <m/>
    <m/>
    <m/>
    <s v="Osijek"/>
    <m/>
    <m/>
    <m/>
    <s v="NE"/>
    <n v="8426.4699999999993"/>
    <n v="1"/>
    <n v="6000"/>
    <m/>
    <m/>
    <m/>
    <m/>
    <m/>
    <m/>
    <m/>
    <m/>
    <m/>
    <m/>
    <s v="NEAKTIVAN"/>
    <n v="92"/>
  </r>
  <r>
    <n v="93"/>
    <x v="1"/>
    <n v="266"/>
    <n v="22"/>
    <x v="10"/>
    <n v="16157428650"/>
    <s v="Zoltan Kiri"/>
    <s v="Ivana Gundulića 28"/>
    <x v="151"/>
    <x v="104"/>
    <d v="2019-08-31T00:00:00"/>
    <n v="93607450725"/>
    <s v="Ž-ŽENSKO"/>
    <d v="1992-11-19T00:00:00"/>
    <m/>
    <s v="HRVATSKO"/>
    <s v="AUGUSTA CESARCA 97, B.MANASTIR"/>
    <s v="NE"/>
    <s v="VSS"/>
    <m/>
    <s v="Telefonist-operater u call c."/>
    <s v="Telefonist-operater u call c."/>
    <s v="ODREĐENO"/>
    <d v="2019-08-31T00:00:00"/>
    <s v="PUNO"/>
    <n v="40"/>
    <s v="HR0923400093217812107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93"/>
  </r>
  <r>
    <n v="94"/>
    <x v="1"/>
    <n v="267"/>
    <n v="22"/>
    <x v="10"/>
    <n v="16157428650"/>
    <s v="Zoltan Kiri"/>
    <s v="Ivana Gundulića 28"/>
    <x v="149"/>
    <x v="105"/>
    <d v="2019-08-01T00:00:00"/>
    <n v="33945890205"/>
    <s v="M-MUŠKO"/>
    <d v="1996-07-09T00:00:00"/>
    <m/>
    <s v="HRVATSKO"/>
    <s v="ARANJ JANOŠ 13, NOVI BEZDAN, PETLOVAC"/>
    <s v="NE"/>
    <s v="SSS"/>
    <m/>
    <s v="Trgovački demonstrator"/>
    <s v="Trgovački demonstrator"/>
    <s v="ODREĐENO"/>
    <d v="2019-10-29T00:00:00"/>
    <s v="PUNO"/>
    <n v="40"/>
    <s v="HR5823400093214680938"/>
    <m/>
    <m/>
    <m/>
    <m/>
    <m/>
    <s v="Osijek"/>
    <m/>
    <m/>
    <m/>
    <s v="NE"/>
    <n v="8426.4699999999993"/>
    <n v="1"/>
    <n v="6000"/>
    <m/>
    <m/>
    <m/>
    <m/>
    <m/>
    <m/>
    <m/>
    <m/>
    <m/>
    <m/>
    <s v="NEAKTIVAN"/>
    <n v="94"/>
  </r>
  <r>
    <n v="95"/>
    <x v="1"/>
    <n v="268"/>
    <n v="22"/>
    <x v="10"/>
    <n v="16157428650"/>
    <s v="Zoltan Kiri"/>
    <s v="Ivana Gundulića 28"/>
    <x v="152"/>
    <x v="106"/>
    <d v="2019-08-30T00:00:00"/>
    <n v="61386713412"/>
    <s v="M-MUŠKO"/>
    <d v="1998-02-05T00:00:00"/>
    <m/>
    <s v="HRVATSKO"/>
    <s v="POŠTANSKA 31, JOSIPOVAC"/>
    <s v="NE"/>
    <s v="SSS"/>
    <m/>
    <s v="Trgovački demonstrator"/>
    <s v="Trgovački demonstrator"/>
    <s v="ODREĐENO"/>
    <d v="2019-11-17T00:00:00"/>
    <s v="PUNO"/>
    <n v="40"/>
    <s v="HR4724020063209657499"/>
    <m/>
    <m/>
    <m/>
    <m/>
    <m/>
    <s v="Osijek"/>
    <m/>
    <m/>
    <m/>
    <s v="NE"/>
    <n v="5093.03"/>
    <n v="1"/>
    <n v="4000"/>
    <m/>
    <m/>
    <m/>
    <m/>
    <m/>
    <m/>
    <m/>
    <m/>
    <m/>
    <m/>
    <s v="NEAKTIVAN"/>
    <n v="95"/>
  </r>
  <r>
    <n v="96"/>
    <x v="1"/>
    <n v="269"/>
    <n v="22"/>
    <x v="10"/>
    <n v="16157428650"/>
    <s v="Zoltan Kiri"/>
    <s v="Ivana Gundulića 28"/>
    <x v="153"/>
    <x v="107"/>
    <d v="2019-09-30T00:00:00"/>
    <n v="67957505499"/>
    <s v="Ž-ŽENSKO"/>
    <d v="2019-09-30T00:00:00"/>
    <m/>
    <s v="HRVATSKO"/>
    <s v="RETFALA NOVA 4, 31000 OSIJEK"/>
    <s v="NE"/>
    <s v="SSS"/>
    <m/>
    <s v="Telefonist-operater u call c."/>
    <s v="Telefonist-operater u call c."/>
    <s v="ODREĐENO"/>
    <d v="2019-09-30T00:00:00"/>
    <s v="PUNO"/>
    <n v="40"/>
    <s v="HR7023400093233296768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96"/>
  </r>
  <r>
    <n v="19"/>
    <x v="2"/>
    <n v="270"/>
    <n v="3"/>
    <x v="1"/>
    <s v="09677499852"/>
    <s v="Zoltan Terek"/>
    <s v="Južno Pregrađe 38, Osijek"/>
    <x v="154"/>
    <x v="108"/>
    <m/>
    <n v="15373856424"/>
    <s v="M-MUŠKO"/>
    <d v="1994-05-17T00:00:00"/>
    <s v="OSIJEK"/>
    <s v="HRVATSKO"/>
    <s v="JOSIPA KOZARCA 16, VIŠNJEVAC"/>
    <s v="NE"/>
    <s v="VSS"/>
    <m/>
    <s v="KOMERCIJALISTA"/>
    <s v="KOMERCIJALISTA"/>
    <s v="ODREĐENO"/>
    <d v="2019-01-09T00:00:00"/>
    <s v="PUNO"/>
    <n v="40"/>
    <s v="HR7423400093233916332"/>
    <m/>
    <m/>
    <m/>
    <m/>
    <m/>
    <s v="Osijek"/>
    <m/>
    <m/>
    <m/>
    <s v="NE"/>
    <n v="4375"/>
    <n v="1"/>
    <n v="3000"/>
    <m/>
    <m/>
    <m/>
    <m/>
    <m/>
    <m/>
    <m/>
    <m/>
    <m/>
    <m/>
    <s v="AKTIVAN"/>
    <n v="25"/>
  </r>
  <r>
    <n v="97"/>
    <x v="1"/>
    <n v="271"/>
    <n v="22"/>
    <x v="10"/>
    <n v="16157428650"/>
    <s v="Zoltan Kiri"/>
    <s v="Ivana Gundulića 28"/>
    <x v="155"/>
    <x v="61"/>
    <d v="2019-10-10T00:00:00"/>
    <n v="85522191923"/>
    <s v="M-MUŠKO"/>
    <d v="1992-12-04T00:00:00"/>
    <m/>
    <s v="HRVATSKO"/>
    <s v="kralja tomislava 81, čepin"/>
    <s v="NE"/>
    <s v="SSS"/>
    <m/>
    <s v="Trgovački demonstrator"/>
    <s v="Trgovački demonstrator"/>
    <s v="NEODREĐENO"/>
    <m/>
    <s v="PUNO"/>
    <n v="40"/>
    <s v="HR5725000093203881389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97"/>
  </r>
  <r>
    <n v="98"/>
    <x v="1"/>
    <n v="272"/>
    <n v="22"/>
    <x v="10"/>
    <n v="16157428650"/>
    <s v="Zoltan Kiri"/>
    <s v="Ivana Gundulića 28"/>
    <x v="156"/>
    <x v="109"/>
    <d v="2020-07-02T00:00:00"/>
    <n v="86034825742"/>
    <s v="M-MUŠKO"/>
    <d v="1999-12-20T00:00:00"/>
    <m/>
    <s v="HRVATSKO"/>
    <s v="Josipa Kozarca 25, Višnjevac, Osijek"/>
    <s v="NE"/>
    <s v="SSS"/>
    <m/>
    <s v="Trgovački demomstrator"/>
    <s v="Trgovački demonstrator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98"/>
  </r>
  <r>
    <n v="99"/>
    <x v="1"/>
    <n v="273"/>
    <n v="22"/>
    <x v="10"/>
    <n v="16157428650"/>
    <s v="Zoltan Kiri"/>
    <s v="Ivana Gundulića 28"/>
    <x v="157"/>
    <x v="64"/>
    <d v="2019-10-02T00:00:00"/>
    <n v="78322261498"/>
    <s v="M-MUŠKO"/>
    <d v="1984-09-03T00:00:00"/>
    <m/>
    <s v="HRVATSKO"/>
    <s v="ĆIRIĆEVA 27, BOBOTA"/>
    <s v="NE"/>
    <s v="SSS"/>
    <m/>
    <s v="Trgovački demonstrator"/>
    <s v="Trgovački demonstrator"/>
    <s v="NEODREĐENO"/>
    <m/>
    <s v="PUNO"/>
    <n v="40"/>
    <m/>
    <m/>
    <m/>
    <m/>
    <m/>
    <m/>
    <s v="Osijek"/>
    <m/>
    <m/>
    <m/>
    <s v="NE"/>
    <n v="5093.03"/>
    <n v="1"/>
    <n v="4000"/>
    <m/>
    <m/>
    <m/>
    <m/>
    <m/>
    <m/>
    <m/>
    <m/>
    <m/>
    <m/>
    <s v="NEAKTIVAN"/>
    <n v="99"/>
  </r>
  <r>
    <n v="100"/>
    <x v="1"/>
    <n v="274"/>
    <n v="22"/>
    <x v="10"/>
    <n v="16157428650"/>
    <s v="Zoltan Kiri"/>
    <s v="Ivana Gundulića 28"/>
    <x v="158"/>
    <x v="64"/>
    <d v="2019-12-31T00:00:00"/>
    <n v="11182815520"/>
    <s v="Ž-ŽENSKO"/>
    <d v="1995-03-17T00:00:00"/>
    <m/>
    <s v="HRVATSKO"/>
    <s v="MATIJE GUPCA 24, BISTRINCI"/>
    <s v="NE"/>
    <s v="SSS"/>
    <m/>
    <s v="TRG.DEMONSTRATOR"/>
    <s v="Trg.demonstrator"/>
    <s v="NEODREĐENO"/>
    <m/>
    <s v="PUNO"/>
    <n v="40"/>
    <s v="HR5123400093219199809"/>
    <m/>
    <m/>
    <m/>
    <m/>
    <m/>
    <s v="Osijek"/>
    <m/>
    <m/>
    <m/>
    <s v="NE"/>
    <n v="5093.03"/>
    <n v="1"/>
    <n v="4000"/>
    <m/>
    <m/>
    <m/>
    <m/>
    <m/>
    <m/>
    <m/>
    <m/>
    <m/>
    <m/>
    <s v="NEAKTIVAN"/>
    <n v="100"/>
  </r>
  <r>
    <n v="101"/>
    <x v="1"/>
    <n v="275"/>
    <n v="22"/>
    <x v="10"/>
    <n v="16157428650"/>
    <s v="Zoltan Kiri"/>
    <s v="Ivana Gundulića 28"/>
    <x v="159"/>
    <x v="102"/>
    <d v="2020-03-31T00:00:00"/>
    <s v="07232137820"/>
    <s v="Ž-ŽENSKO"/>
    <d v="2019-05-19T00:00:00"/>
    <s v="OSIJEK"/>
    <s v="HRVATSKO"/>
    <s v="TVORNIČKA 1, 31000 OSIJEK"/>
    <s v="NE"/>
    <s v="SSS"/>
    <m/>
    <s v="Telefonist-operater u call c."/>
    <s v="Telefonist-operater u call c."/>
    <s v="ODREĐENO"/>
    <d v="2019-10-31T00:00:00"/>
    <s v="PUNO"/>
    <n v="40"/>
    <s v="HR0524020063209770969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01"/>
  </r>
  <r>
    <n v="102"/>
    <x v="1"/>
    <n v="276"/>
    <n v="22"/>
    <x v="10"/>
    <n v="16157428650"/>
    <s v="Zoltan Kiri"/>
    <s v="Ivana Gundulića 28"/>
    <x v="160"/>
    <x v="102"/>
    <d v="2019-11-08T00:00:00"/>
    <n v="43885343400"/>
    <s v="Ž-ŽENSKO"/>
    <d v="1972-11-24T00:00:00"/>
    <m/>
    <s v="HRVATSKO"/>
    <s v="HRVATSKE REPUBLIKE 13, KNEŽEVI VINOGRADI"/>
    <s v="NE"/>
    <s v="SSS"/>
    <m/>
    <s v="ADMINISTRATOR"/>
    <s v="ADMINISTRATOR"/>
    <s v="NEODREĐENO"/>
    <m/>
    <s v="PUNO"/>
    <n v="40"/>
    <s v="HR4923400093207279321"/>
    <m/>
    <m/>
    <m/>
    <m/>
    <m/>
    <s v="Osijek"/>
    <m/>
    <m/>
    <m/>
    <s v="NE"/>
    <n v="5084.22"/>
    <n v="1"/>
    <n v="4000"/>
    <m/>
    <m/>
    <m/>
    <m/>
    <m/>
    <m/>
    <m/>
    <m/>
    <m/>
    <m/>
    <s v="NEAKTIVAN"/>
    <n v="102"/>
  </r>
  <r>
    <n v="3"/>
    <x v="1"/>
    <n v="277"/>
    <n v="26"/>
    <x v="13"/>
    <n v="95114485977"/>
    <s v="LAURA GERGELJ"/>
    <s v="SV.IVANA KRSTITELJA 15, DARDA"/>
    <x v="161"/>
    <x v="110"/>
    <d v="2019-10-22T00:00:00"/>
    <n v="24297927326"/>
    <s v="Ž-ŽENSKO"/>
    <d v="1988-06-01T00:00:00"/>
    <s v="Vinkovci"/>
    <s v="HRVATSKO"/>
    <s v="J.J.strossmayera 63, Otok Vinkovci"/>
    <s v="NE"/>
    <s v="SSS"/>
    <m/>
    <s v="ASISTENT KNJIGOVOĐI"/>
    <s v="ASISTENT KNJIGOVOĐI"/>
    <s v="ODREĐENO"/>
    <d v="2019-10-22T00:00:00"/>
    <s v="PUNO"/>
    <n v="40"/>
    <s v="HR4523400093212454731"/>
    <m/>
    <m/>
    <m/>
    <m/>
    <m/>
    <s v="Osijek"/>
    <m/>
    <m/>
    <m/>
    <s v="NE"/>
    <n v="3750"/>
    <n v="1"/>
    <n v="3000"/>
    <n v="275"/>
    <m/>
    <m/>
    <m/>
    <m/>
    <m/>
    <m/>
    <m/>
    <m/>
    <m/>
    <s v="NEAKTIVAN"/>
    <n v="3"/>
  </r>
  <r>
    <n v="4"/>
    <x v="1"/>
    <n v="278"/>
    <n v="26"/>
    <x v="13"/>
    <n v="95114485977"/>
    <s v="LAURA GERGELJ"/>
    <s v="SV.IVANA KRSTITELJA 15, DARDA"/>
    <x v="161"/>
    <x v="111"/>
    <d v="2019-10-25T00:00:00"/>
    <n v="24297927326"/>
    <s v="Ž-ŽENSKO"/>
    <d v="1988-06-01T00:00:00"/>
    <s v="Vinkovci"/>
    <s v="HRVATSKO"/>
    <s v="J.J.strossmayera 63, Otok Vinkovci"/>
    <s v="NE"/>
    <s v="SSS"/>
    <m/>
    <s v="ASISTENT KNJIGOVOĐI"/>
    <s v="ASISTENT KNJIGOVOĐI"/>
    <s v="ODREĐENO"/>
    <d v="2019-10-25T00:00:00"/>
    <s v="PUNO"/>
    <n v="40"/>
    <s v="HR4523400093212454731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"/>
  </r>
  <r>
    <n v="103"/>
    <x v="1"/>
    <n v="279"/>
    <n v="22"/>
    <x v="10"/>
    <n v="16157428650"/>
    <s v="Zoltan Kiri"/>
    <s v="Ivana Gundulića 28"/>
    <x v="162"/>
    <x v="112"/>
    <d v="2020-01-03T00:00:00"/>
    <n v="43967381603"/>
    <s v="Ž-ŽENSKO"/>
    <d v="1999-02-25T00:00:00"/>
    <s v="OSIJEK"/>
    <s v="HRVATSKO"/>
    <s v="VJ.JAKOVA GOTOVCA 7, OSIJEK"/>
    <s v="NE"/>
    <s v="SSS"/>
    <m/>
    <s v="Telefonist-operater u call c."/>
    <s v="Telefonist-operater u call c."/>
    <s v="ODREĐENO"/>
    <d v="2019-10-31T00:00:00"/>
    <s v="PUNO"/>
    <n v="40"/>
    <s v="HR312340009323196197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03"/>
  </r>
  <r>
    <n v="104"/>
    <x v="1"/>
    <n v="280"/>
    <n v="22"/>
    <x v="10"/>
    <n v="16157428650"/>
    <s v="Zoltan Kiri"/>
    <s v="Ivana Gundulića 28"/>
    <x v="163"/>
    <x v="112"/>
    <d v="2020-03-31T00:00:00"/>
    <n v="19801410326"/>
    <s v="Ž-ŽENSKO"/>
    <d v="1979-10-05T00:00:00"/>
    <s v="NOVA GRADIŠKA "/>
    <s v="HRVATSKO"/>
    <s v="OSJEČKA 53,JOSIPOVAC"/>
    <s v="NE"/>
    <s v="SSS"/>
    <m/>
    <s v="Telefonist-operater u call c."/>
    <s v="Telefonist-operater u call c."/>
    <s v="ODREĐENO"/>
    <d v="2019-10-31T00:00:00"/>
    <s v="PUNO"/>
    <n v="40"/>
    <s v="HR7324020063208867548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04"/>
  </r>
  <r>
    <n v="105"/>
    <x v="1"/>
    <n v="281"/>
    <n v="22"/>
    <x v="10"/>
    <n v="16157428650"/>
    <s v="Zoltan Kiri"/>
    <s v="Ivana Gundulića 28"/>
    <x v="164"/>
    <x v="112"/>
    <d v="2019-11-23T00:00:00"/>
    <n v="70897654173"/>
    <s v="Ž-ŽENSKO"/>
    <d v="1978-04-07T00:00:00"/>
    <s v="OSIJEK"/>
    <s v="HRVATSKO"/>
    <s v="ULICA ANTUNA BARCA 24, TENJA"/>
    <s v="NE"/>
    <s v="SSS"/>
    <m/>
    <s v="Trgovački demomnstrator"/>
    <m/>
    <s v="NEODREĐENO"/>
    <m/>
    <s v="PUNO"/>
    <n v="40"/>
    <s v="HR3523600003245744676"/>
    <m/>
    <m/>
    <m/>
    <m/>
    <m/>
    <s v="Osijek"/>
    <m/>
    <m/>
    <m/>
    <s v="NE"/>
    <n v="4375"/>
    <n v="1"/>
    <n v="4000"/>
    <m/>
    <m/>
    <m/>
    <m/>
    <m/>
    <m/>
    <m/>
    <m/>
    <m/>
    <m/>
    <s v="NEAKTIVAN"/>
    <n v="105"/>
  </r>
  <r>
    <n v="106"/>
    <x v="1"/>
    <n v="282"/>
    <n v="22"/>
    <x v="10"/>
    <n v="16157428650"/>
    <s v="Zoltan Kiri"/>
    <s v="Ivana Gundulića 28"/>
    <x v="165"/>
    <x v="113"/>
    <d v="2019-10-17T00:00:00"/>
    <n v="49549168392"/>
    <s v="Ž-ŽENSKO"/>
    <d v="1974-10-31T00:00:00"/>
    <s v="OSIJEK"/>
    <s v="HRVATSKO"/>
    <s v="GORNJODRAVSKA OBALA 88, OSIJEK"/>
    <s v="NE"/>
    <s v="NKV"/>
    <m/>
    <s v="Telefonist-operater u call c."/>
    <s v="Telefonist-operater u call c."/>
    <s v="ODREĐENO"/>
    <d v="2019-10-31T00:00:00"/>
    <s v="PUNO"/>
    <n v="40"/>
    <s v="HR9724020063203832622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106"/>
  </r>
  <r>
    <n v="1"/>
    <x v="2"/>
    <n v="283"/>
    <n v="29"/>
    <x v="14"/>
    <n v="57699683738"/>
    <s v="Adrienn Kinga Német"/>
    <s v="Ante Starčevića 32, etaža B/21"/>
    <x v="166"/>
    <x v="114"/>
    <m/>
    <n v="78645846484"/>
    <s v="Ž-ŽENSKO"/>
    <m/>
    <m/>
    <s v="MAĐARSKO"/>
    <m/>
    <s v="NE"/>
    <s v="SSS"/>
    <m/>
    <s v="DIREKTOR"/>
    <s v="DIREKTOR"/>
    <s v="NEODREĐENO"/>
    <m/>
    <s v="NEPUNO"/>
    <n v="8"/>
    <m/>
    <m/>
    <m/>
    <m/>
    <m/>
    <m/>
    <s v="Osijek"/>
    <m/>
    <m/>
    <m/>
    <s v="NE"/>
    <n v="1372.8"/>
    <n v="1"/>
    <n v="0"/>
    <m/>
    <m/>
    <m/>
    <m/>
    <m/>
    <m/>
    <m/>
    <m/>
    <m/>
    <m/>
    <s v="AKTIVAN"/>
    <n v="1"/>
  </r>
  <r>
    <n v="3"/>
    <x v="1"/>
    <n v="284"/>
    <n v="12"/>
    <x v="5"/>
    <n v="15151568161"/>
    <s v="Zoltan Buthi"/>
    <s v="K. A. Stepinca 17, 31000 Osijek"/>
    <x v="167"/>
    <x v="55"/>
    <d v="2021-02-28T00:00:00"/>
    <s v="05857155242"/>
    <s v="Ž-ŽENSKO"/>
    <d v="1980-12-25T00:00:00"/>
    <s v="KNEŽEVO"/>
    <s v="HRVATSKO"/>
    <s v="REPUBLIKE 92 B, 31204 PETRIJEVCI"/>
    <s v="NE"/>
    <s v="SSS"/>
    <m/>
    <s v="ADMINISTRATOR"/>
    <s v="ADMINISTRATOR"/>
    <s v="NEODREĐENO"/>
    <m/>
    <s v="NEPUNO"/>
    <n v="20"/>
    <s v="HR7823600003245283346"/>
    <m/>
    <m/>
    <m/>
    <m/>
    <m/>
    <s v="Osijek"/>
    <m/>
    <m/>
    <m/>
    <s v="NE"/>
    <n v="4062.51"/>
    <n v="0"/>
    <n v="3200"/>
    <m/>
    <m/>
    <m/>
    <m/>
    <m/>
    <m/>
    <m/>
    <m/>
    <m/>
    <m/>
    <s v="NEAKTIVAN"/>
    <n v="2"/>
  </r>
  <r>
    <n v="20"/>
    <x v="2"/>
    <n v="285"/>
    <n v="3"/>
    <x v="1"/>
    <s v="09677499852"/>
    <s v="Zoltan Terek"/>
    <s v="Južno Pregrađe 38, Osijek"/>
    <x v="149"/>
    <x v="114"/>
    <m/>
    <n v="33945890205"/>
    <s v="M-MUŠKO"/>
    <d v="1996-07-09T00:00:00"/>
    <m/>
    <s v="HRVATSKO"/>
    <s v="ARANJ JANOŠ 13, NOVI BEZDAN, PETLOVAC"/>
    <s v="NE"/>
    <s v="SSS"/>
    <m/>
    <s v="KOMERCIJALISTA"/>
    <s v="KOMERCIJALISTA"/>
    <s v="ODREĐENO"/>
    <d v="2019-03-31T00:00:00"/>
    <s v="PUNO"/>
    <n v="40"/>
    <s v="HR5823400093214680938"/>
    <m/>
    <m/>
    <m/>
    <m/>
    <m/>
    <s v="Osijek"/>
    <m/>
    <m/>
    <m/>
    <s v="NE"/>
    <n v="5000"/>
    <n v="1"/>
    <n v="4000"/>
    <m/>
    <m/>
    <m/>
    <m/>
    <m/>
    <m/>
    <m/>
    <m/>
    <m/>
    <m/>
    <s v="AKTIVAN"/>
    <n v="26"/>
  </r>
  <r>
    <n v="107"/>
    <x v="1"/>
    <n v="286"/>
    <n v="22"/>
    <x v="10"/>
    <n v="16157428650"/>
    <s v="Zoltan Kiri"/>
    <s v="Ivana Gundulića 28"/>
    <x v="168"/>
    <x v="113"/>
    <d v="2020-01-03T00:00:00"/>
    <n v="55250378050"/>
    <s v="M-MUŠKO"/>
    <d v="1991-05-25T00:00:00"/>
    <s v="OSIJEK"/>
    <s v="HRVATSKO"/>
    <s v="KOLODVORSKA 10, SARVAŠ"/>
    <s v="NE"/>
    <s v="VŠS"/>
    <m/>
    <s v="Telefonist-operater u call c."/>
    <s v="Telefonist-operater u call c."/>
    <s v="ODREĐENO"/>
    <d v="2019-10-31T00:00:00"/>
    <s v="PUNO"/>
    <n v="40"/>
    <s v="HR5423400093215841033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07"/>
  </r>
  <r>
    <n v="108"/>
    <x v="1"/>
    <n v="287"/>
    <n v="22"/>
    <x v="10"/>
    <n v="16157428650"/>
    <s v="Zoltan Kiri"/>
    <s v="Ivana Gundulića 28"/>
    <x v="169"/>
    <x v="115"/>
    <d v="2019-11-07T00:00:00"/>
    <n v="43666946081"/>
    <s v="M-MUŠKO"/>
    <d v="1998-10-26T00:00:00"/>
    <s v="OSIJEK"/>
    <s v="HRVATSKO"/>
    <s v="HERCEGOVAČKA 8, VIŠNJEVAC"/>
    <s v="NE"/>
    <s v="SSS"/>
    <m/>
    <s v="Trgovački demonstrator"/>
    <s v="Trgovački demonstrator"/>
    <s v="NEODREĐENO"/>
    <m/>
    <s v="PUNO"/>
    <n v="40"/>
    <s v="HR9023600003244566009"/>
    <m/>
    <m/>
    <m/>
    <m/>
    <m/>
    <s v="Osijek"/>
    <m/>
    <m/>
    <m/>
    <s v="NE"/>
    <n v="4375"/>
    <n v="1"/>
    <n v="4000"/>
    <m/>
    <m/>
    <m/>
    <m/>
    <m/>
    <m/>
    <m/>
    <m/>
    <m/>
    <m/>
    <s v="NEAKTIVAN"/>
    <n v="108"/>
  </r>
  <r>
    <n v="109"/>
    <x v="1"/>
    <n v="288"/>
    <n v="22"/>
    <x v="10"/>
    <n v="16157428650"/>
    <s v="Zoltan Kiri"/>
    <s v="Ivana Gundulića 28"/>
    <x v="170"/>
    <x v="116"/>
    <d v="2020-03-13T00:00:00"/>
    <n v="14787735803"/>
    <s v="M-MUŠKO"/>
    <d v="1988-02-03T00:00:00"/>
    <s v="OSIJEK"/>
    <s v="HRVATSKO"/>
    <s v="RIJEČKA 4, SARVAŠ"/>
    <s v="NE"/>
    <s v="VSS"/>
    <m/>
    <s v="Telefonist-operater u call c."/>
    <s v="Telefonist-operater u call c."/>
    <s v="ODREĐENO"/>
    <m/>
    <s v="PUNO"/>
    <n v="40"/>
    <s v="HR5423400093231920723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09"/>
  </r>
  <r>
    <n v="110"/>
    <x v="1"/>
    <n v="289"/>
    <n v="22"/>
    <x v="10"/>
    <n v="16157428650"/>
    <s v="Zoltan Kiri"/>
    <s v="Ivana Gundulića 28"/>
    <x v="171"/>
    <x v="117"/>
    <d v="2020-03-31T00:00:00"/>
    <n v="95296633011"/>
    <s v="M-MUŠKO"/>
    <d v="1996-08-07T00:00:00"/>
    <s v="OSIJEK"/>
    <s v="HRVATSKO"/>
    <s v="RAKOVA 1A, ZMAJEVAC"/>
    <s v="NE"/>
    <s v="SSS"/>
    <m/>
    <s v="Trgovački demonstrator"/>
    <s v="Trgovački demonstrator"/>
    <s v="NEODREĐENO"/>
    <m/>
    <s v="PUNO"/>
    <n v="40"/>
    <m/>
    <m/>
    <m/>
    <m/>
    <m/>
    <m/>
    <s v="Osijek"/>
    <m/>
    <m/>
    <m/>
    <s v="NE"/>
    <n v="8426.4599999999991"/>
    <n v="1"/>
    <n v="6000"/>
    <m/>
    <m/>
    <m/>
    <m/>
    <m/>
    <m/>
    <m/>
    <m/>
    <m/>
    <m/>
    <s v="NEAKTIVAN"/>
    <n v="110"/>
  </r>
  <r>
    <n v="1"/>
    <x v="1"/>
    <n v="290"/>
    <n v="30"/>
    <x v="15"/>
    <n v="17119334585"/>
    <s v="MARTINA ZAVRŠKI"/>
    <s v="Gajev trg 6"/>
    <x v="172"/>
    <x v="118"/>
    <d v="2020-02-07T00:00:00"/>
    <n v="71676673364"/>
    <s v="Ž-ŽENSKO"/>
    <d v="1976-11-13T00:00:00"/>
    <s v="Osijek"/>
    <s v="HRVATSKO"/>
    <s v="MARTINA DIVALTA 181,31000 OSIJEK"/>
    <s v="NE"/>
    <s v="SSS"/>
    <m/>
    <m/>
    <m/>
    <s v="NEODREĐENO"/>
    <m/>
    <s v="PUNO"/>
    <m/>
    <m/>
    <m/>
    <m/>
    <m/>
    <m/>
    <m/>
    <m/>
    <m/>
    <m/>
    <m/>
    <m/>
    <m/>
    <m/>
    <m/>
    <m/>
    <m/>
    <m/>
    <m/>
    <m/>
    <m/>
    <m/>
    <m/>
    <m/>
    <m/>
    <s v="NEAKTIVAN"/>
    <n v="1"/>
  </r>
  <r>
    <n v="111"/>
    <x v="1"/>
    <n v="291"/>
    <n v="22"/>
    <x v="10"/>
    <n v="16157428650"/>
    <s v="Zoltan Kiri"/>
    <s v="Ivana Gundulića 28"/>
    <x v="173"/>
    <x v="110"/>
    <d v="2020-12-31T00:00:00"/>
    <n v="73717195719"/>
    <s v="Ž-ŽENSKO"/>
    <d v="1985-08-23T00:00:00"/>
    <s v="OSIJEK"/>
    <s v="HRVATSKO"/>
    <s v="ZLATNA 18,ALJMAŠ"/>
    <s v="NE"/>
    <s v="SSS"/>
    <m/>
    <s v="Telefonist-operater u call c."/>
    <s v="Telefonist-operater u call c."/>
    <s v="ODREĐENO"/>
    <d v="2019-11-30T00:00:00"/>
    <s v="PUNO"/>
    <n v="40"/>
    <s v="HR8324840083235724467"/>
    <m/>
    <m/>
    <m/>
    <m/>
    <m/>
    <s v="Osijek"/>
    <m/>
    <m/>
    <m/>
    <s v="NE"/>
    <n v="5084.22"/>
    <n v="1"/>
    <n v="3250"/>
    <m/>
    <m/>
    <m/>
    <m/>
    <m/>
    <m/>
    <m/>
    <m/>
    <m/>
    <m/>
    <s v="AKTIVAN"/>
    <n v="111"/>
  </r>
  <r>
    <n v="112"/>
    <x v="1"/>
    <n v="292"/>
    <n v="22"/>
    <x v="10"/>
    <n v="16157428650"/>
    <s v="Zoltan Kiri"/>
    <s v="Ivana Gundulića 28"/>
    <x v="174"/>
    <x v="119"/>
    <d v="2020-10-31T00:00:00"/>
    <n v="8074805255"/>
    <s v="Ž-ŽENSKO"/>
    <d v="2000-10-27T00:00:00"/>
    <s v="OSIJEK"/>
    <s v="HRVATSKO"/>
    <s v="M.DIVALTA 179, OSIJEK"/>
    <s v="NE"/>
    <s v="SSS"/>
    <m/>
    <s v="Telefonist-operater u call c."/>
    <s v="Telefonist-operater u call c."/>
    <s v="ODREĐENO"/>
    <m/>
    <s v="PUNO"/>
    <n v="40"/>
    <s v="HR4824810003236002081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12"/>
  </r>
  <r>
    <n v="113"/>
    <x v="1"/>
    <n v="293"/>
    <n v="22"/>
    <x v="10"/>
    <n v="16157428650"/>
    <s v="Zoltan Kiri"/>
    <s v="Ivana Gundulića 28"/>
    <x v="175"/>
    <x v="65"/>
    <d v="2020-03-31T00:00:00"/>
    <n v="36681141390"/>
    <s v="Ž-ŽENSKO"/>
    <d v="2001-08-07T00:00:00"/>
    <s v="ERDUT"/>
    <s v="HRVATSKO"/>
    <s v="KRALJA ZVONIMIRA 31"/>
    <s v="NE"/>
    <s v="SSS"/>
    <m/>
    <s v="Telefonist-operater u call c."/>
    <s v="Telefonist-operater u call c."/>
    <s v="ODREĐENO"/>
    <m/>
    <s v="PUNO"/>
    <n v="40"/>
    <s v="HR4323600003246083547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13"/>
  </r>
  <r>
    <n v="5"/>
    <x v="2"/>
    <n v="294"/>
    <n v="26"/>
    <x v="13"/>
    <n v="95114485977"/>
    <s v="LAURA GERGELJ"/>
    <s v="SV.IVANA KRSTITELJA 15, DARDA"/>
    <x v="176"/>
    <x v="120"/>
    <m/>
    <n v="38072963871"/>
    <s v="Ž-ŽENSKO"/>
    <d v="2020-03-04T00:00:00"/>
    <s v="TUTTLINGEN"/>
    <m/>
    <m/>
    <m/>
    <m/>
    <m/>
    <m/>
    <m/>
    <m/>
    <m/>
    <m/>
    <m/>
    <m/>
    <m/>
    <m/>
    <m/>
    <m/>
    <m/>
    <m/>
    <m/>
    <m/>
    <m/>
    <m/>
    <n v="8500"/>
    <m/>
    <n v="6005.42"/>
    <m/>
    <m/>
    <m/>
    <m/>
    <m/>
    <m/>
    <m/>
    <m/>
    <m/>
    <m/>
    <s v="AKTIVAN"/>
    <n v="7"/>
  </r>
  <r>
    <n v="114"/>
    <x v="1"/>
    <n v="295"/>
    <n v="22"/>
    <x v="10"/>
    <n v="16157428650"/>
    <s v="Zoltan Kiri"/>
    <s v="Ivana Gundulića 28"/>
    <x v="177"/>
    <x v="121"/>
    <d v="2020-11-30T00:00:00"/>
    <n v="72105749783"/>
    <s v="Ž-ŽENSKO"/>
    <d v="1993-04-14T00:00:00"/>
    <s v="OSIJEK"/>
    <s v="HRVATSKO"/>
    <m/>
    <s v="NE"/>
    <s v="SSS"/>
    <m/>
    <s v="Telefonist-operater u call c."/>
    <s v="Telefonist-operater u call c."/>
    <s v="ODREĐENO"/>
    <m/>
    <s v="PUNO"/>
    <n v="40"/>
    <s v="HR3823400093218873347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14"/>
  </r>
  <r>
    <n v="115"/>
    <x v="1"/>
    <n v="296"/>
    <n v="22"/>
    <x v="10"/>
    <n v="16157428650"/>
    <s v="Zoltan Kiri"/>
    <s v="Ivana Gundulića 28"/>
    <x v="178"/>
    <x v="122"/>
    <d v="2020-07-17T00:00:00"/>
    <n v="40752728430"/>
    <s v="M-MUŠKO"/>
    <d v="1995-03-21T00:00:00"/>
    <s v="Osijek"/>
    <s v="HRVATSKO"/>
    <s v="KRALJA PETRA KREŠIMIRA IV 33, DARDA"/>
    <s v="NE"/>
    <s v="SSS"/>
    <s v="EL.MEH ŠK OSIJEK"/>
    <s v="VOZAČ"/>
    <s v="VOZAČ"/>
    <s v="NEODREĐENO"/>
    <m/>
    <s v="PUNO"/>
    <n v="40"/>
    <s v="HR6924020063209224677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15"/>
  </r>
  <r>
    <n v="6"/>
    <x v="2"/>
    <n v="297"/>
    <n v="26"/>
    <x v="13"/>
    <n v="95114485977"/>
    <s v="LAURA GERGELJ"/>
    <s v="SV.IVANA KRSTITELJA 15, DARDA"/>
    <x v="179"/>
    <x v="123"/>
    <m/>
    <s v="03441035142"/>
    <s v="Ž-ŽENSKO"/>
    <d v="1992-09-02T00:00:00"/>
    <s v="Sombor"/>
    <s v="HRVATSKO"/>
    <s v="ŠANDORA PETEFIJA 43, SUZA"/>
    <s v="NE"/>
    <s v="VSS"/>
    <m/>
    <s v="EKONOMIST"/>
    <s v="KNJIGOVOĐA"/>
    <s v="NEODREĐENO"/>
    <m/>
    <s v="PUNO"/>
    <n v="40"/>
    <s v="HR4823400093230806592"/>
    <m/>
    <m/>
    <m/>
    <m/>
    <m/>
    <s v="Osijek"/>
    <m/>
    <m/>
    <m/>
    <s v="NE"/>
    <n v="6300"/>
    <n v="1"/>
    <n v="4821.2"/>
    <m/>
    <m/>
    <m/>
    <m/>
    <m/>
    <m/>
    <m/>
    <m/>
    <m/>
    <m/>
    <s v="AKTIVAN"/>
    <n v="8"/>
  </r>
  <r>
    <n v="2"/>
    <x v="1"/>
    <n v="298"/>
    <n v="30"/>
    <x v="15"/>
    <n v="17119334585"/>
    <s v="MARTINA ZAVRŠKI"/>
    <s v="Gajev trg 6"/>
    <x v="180"/>
    <x v="124"/>
    <d v="2020-09-04T00:00:00"/>
    <n v="93954234538"/>
    <s v="M-MUŠKO"/>
    <d v="1981-01-20T00:00:00"/>
    <s v="ŠIBENIK"/>
    <s v="HRVATSKO"/>
    <s v="BANA JOSIPA JELAČIĆA 78C, ŠIBENIK"/>
    <s v="NE"/>
    <s v="SSS"/>
    <m/>
    <s v="KUHAR"/>
    <s v="KUHAR"/>
    <s v="NEODREĐENO"/>
    <m/>
    <s v="PUNO"/>
    <n v="40"/>
    <s v="HR6324840083235697085"/>
    <m/>
    <m/>
    <m/>
    <m/>
    <m/>
    <s v="Osijek"/>
    <m/>
    <m/>
    <m/>
    <s v="NE"/>
    <n v="5575.47"/>
    <n v="1"/>
    <n v="4335.5200000000004"/>
    <m/>
    <m/>
    <m/>
    <m/>
    <m/>
    <m/>
    <m/>
    <m/>
    <m/>
    <m/>
    <s v="NEAKTIVAN"/>
    <m/>
  </r>
  <r>
    <n v="7"/>
    <x v="1"/>
    <n v="299"/>
    <n v="26"/>
    <x v="13"/>
    <n v="95114485977"/>
    <s v="LAURA GERGELJ"/>
    <s v="SV.IVANA KRSTITELJA 15, DARDA"/>
    <x v="181"/>
    <x v="125"/>
    <d v="2020-09-22T00:00:00"/>
    <n v="10547537081"/>
    <s v="M-MUŠKO"/>
    <d v="2000-09-21T00:00:00"/>
    <s v="Osijek"/>
    <s v="HRVATSKO"/>
    <s v="ILIRSKA ULICA 49, DARDA"/>
    <s v="NE"/>
    <s v="SSS"/>
    <m/>
    <s v="EKONOMIST"/>
    <s v="KNJIGOVOĐA"/>
    <s v="ODREĐENO"/>
    <d v="2020-09-22T00:00:00"/>
    <s v="PUNO"/>
    <n v="40"/>
    <s v="HR1823400093233872623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7"/>
  </r>
  <r>
    <n v="1"/>
    <x v="1"/>
    <n v="300"/>
    <n v="32"/>
    <x v="16"/>
    <n v="15795338441"/>
    <s v="MARTINA ZAVRŠKI"/>
    <s v="Ilirska ulica 53, Darda"/>
    <x v="182"/>
    <x v="126"/>
    <d v="2020-03-18T00:00:00"/>
    <n v="96120874726"/>
    <s v="Ž-ŽENSKO"/>
    <d v="1997-02-01T00:00:00"/>
    <s v="Osijek"/>
    <s v="HRVATSKO"/>
    <s v="ILIRSKA ULICA 49, DARDA"/>
    <s v="NE"/>
    <s v="SSS"/>
    <m/>
    <s v="KUHAR"/>
    <s v="KUHAR"/>
    <s v="NEODREĐENO"/>
    <m/>
    <s v="PUNO"/>
    <n v="40"/>
    <s v="HR6123600003248172312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m/>
  </r>
  <r>
    <n v="2"/>
    <x v="1"/>
    <n v="301"/>
    <n v="32"/>
    <x v="16"/>
    <n v="15795338441"/>
    <s v="MARTINA ZAVRŠKI"/>
    <s v="Ilirska ulica 53, Darda"/>
    <x v="183"/>
    <x v="90"/>
    <d v="2020-04-28T00:00:00"/>
    <s v="02056335179"/>
    <s v="Ž-ŽENSKO"/>
    <d v="1994-07-24T00:00:00"/>
    <s v="Osijek"/>
    <s v="HRVATSKO"/>
    <s v="ILIRSKA ULICA 53, DARDA"/>
    <s v="NE"/>
    <s v="SSS"/>
    <m/>
    <s v="KONOBAR"/>
    <s v="KONOBAR"/>
    <s v="NEODREĐENO"/>
    <m/>
    <s v="PUNO"/>
    <n v="40"/>
    <s v="HR4023400093230456469"/>
    <m/>
    <m/>
    <m/>
    <m/>
    <m/>
    <s v="Osijek"/>
    <m/>
    <m/>
    <m/>
    <s v="NE"/>
    <n v="4200"/>
    <n v="1"/>
    <n v="3360"/>
    <m/>
    <m/>
    <m/>
    <m/>
    <m/>
    <m/>
    <m/>
    <m/>
    <m/>
    <m/>
    <s v="NEAKTIVAN"/>
    <m/>
  </r>
  <r>
    <n v="3"/>
    <x v="1"/>
    <n v="302"/>
    <n v="32"/>
    <x v="16"/>
    <n v="15795338441"/>
    <s v="MARTINA ZAVRŠKI"/>
    <s v="Ilirska ulica 53, Darda"/>
    <x v="184"/>
    <x v="127"/>
    <d v="2020-01-31T00:00:00"/>
    <n v="47650763216"/>
    <s v="Ž-ŽENSKO"/>
    <d v="1997-02-02T00:00:00"/>
    <s v="Osijek"/>
    <s v="HRVATSKO"/>
    <s v="ILIRSKA ULICA 53, DARDA"/>
    <s v="NE"/>
    <s v="SSS"/>
    <m/>
    <s v="Poslovođa"/>
    <s v="Poslovođa"/>
    <s v="NEODREĐENO"/>
    <m/>
    <s v="PUNO"/>
    <n v="40"/>
    <s v="HR2023400093230325491"/>
    <m/>
    <m/>
    <m/>
    <m/>
    <m/>
    <s v="Osijek"/>
    <m/>
    <m/>
    <m/>
    <s v="NE"/>
    <n v="5682.3"/>
    <n v="1"/>
    <n v="4408.29"/>
    <m/>
    <m/>
    <m/>
    <m/>
    <m/>
    <m/>
    <m/>
    <m/>
    <m/>
    <m/>
    <s v="NEAKTIVAN"/>
    <m/>
  </r>
  <r>
    <n v="3"/>
    <x v="1"/>
    <n v="303"/>
    <n v="30"/>
    <x v="15"/>
    <n v="17119334585"/>
    <s v="MARTINA ZAVRŠKI"/>
    <s v="Gajev trg 6"/>
    <x v="184"/>
    <x v="123"/>
    <d v="2020-10-08T00:00:00"/>
    <n v="47650763217"/>
    <s v="Ž-ŽENSKO"/>
    <d v="1997-02-03T00:00:00"/>
    <s v="Osijek"/>
    <s v="HRVATSKO"/>
    <s v="ILIRSKA ULICA 53, DARDA"/>
    <s v="NE"/>
    <s v="SSS"/>
    <m/>
    <s v="Poslovođa"/>
    <s v="Poslovođa"/>
    <s v="NEODREĐENO"/>
    <m/>
    <s v="PUNO"/>
    <n v="41"/>
    <s v="HR2023400093230325491"/>
    <m/>
    <m/>
    <m/>
    <m/>
    <m/>
    <s v="Osijek"/>
    <m/>
    <m/>
    <m/>
    <s v="NE"/>
    <n v="5682.3"/>
    <n v="1"/>
    <n v="4408.29"/>
    <m/>
    <m/>
    <m/>
    <m/>
    <m/>
    <m/>
    <m/>
    <m/>
    <m/>
    <m/>
    <s v="AKTIVAN"/>
    <m/>
  </r>
  <r>
    <n v="4"/>
    <x v="1"/>
    <n v="304"/>
    <n v="30"/>
    <x v="15"/>
    <n v="17119334585"/>
    <s v="MARTINA ZAVRŠKI"/>
    <s v="Gajev trg 6"/>
    <x v="172"/>
    <x v="118"/>
    <d v="2020-02-07T00:00:00"/>
    <n v="71676673364"/>
    <s v="Ž-ŽENSKO"/>
    <d v="1976-11-13T00:00:00"/>
    <s v="Osijek"/>
    <s v="HRVATSKO"/>
    <s v="MARTINA DIVALTA 181, 31000 OSIJEK"/>
    <s v="NE"/>
    <s v="SSS"/>
    <m/>
    <s v="KUHAR"/>
    <s v="KUHAR"/>
    <s v="NEODREĐENO"/>
    <m/>
    <s v="PUNO"/>
    <n v="40"/>
    <s v="HR7423600003220699447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m/>
  </r>
  <r>
    <n v="4"/>
    <x v="1"/>
    <n v="305"/>
    <n v="32"/>
    <x v="16"/>
    <n v="15795338441"/>
    <s v="MARTINA ZAVRŠKI"/>
    <s v="Ilirska ulica 53, Darda"/>
    <x v="183"/>
    <x v="128"/>
    <d v="2020-05-28T00:00:00"/>
    <s v="02056335179"/>
    <s v="Ž-ŽENSKO"/>
    <d v="1994-07-24T00:00:00"/>
    <s v="Osijek"/>
    <s v="HRVATSKO"/>
    <s v="ILIRSKA ULICA 53, DARDA"/>
    <s v="NE"/>
    <s v="SSS"/>
    <m/>
    <s v="KONOBAR"/>
    <s v="KONOBAR"/>
    <s v="ODREĐENO"/>
    <m/>
    <s v="PUNO"/>
    <n v="40"/>
    <s v="HR4023400093230456469"/>
    <m/>
    <m/>
    <m/>
    <m/>
    <m/>
    <s v="Osijek"/>
    <m/>
    <m/>
    <m/>
    <s v="NE"/>
    <n v="4200"/>
    <n v="1"/>
    <n v="3360"/>
    <m/>
    <m/>
    <m/>
    <m/>
    <m/>
    <m/>
    <m/>
    <m/>
    <m/>
    <m/>
    <s v="AKTIVAN"/>
    <m/>
  </r>
  <r>
    <n v="5"/>
    <x v="2"/>
    <n v="306"/>
    <n v="30"/>
    <x v="15"/>
    <n v="17119334585"/>
    <s v="MARTINA ZAVRŠKI"/>
    <s v="Gajev trg 6"/>
    <x v="185"/>
    <x v="129"/>
    <m/>
    <n v="14683535812"/>
    <s v="Ž-ŽENSKO"/>
    <d v="1968-07-03T00:00:00"/>
    <s v="Osijek"/>
    <s v="HRVATSKO"/>
    <s v="MIRNA ULICA 7, 31207 TENJA"/>
    <s v="NE"/>
    <s v="NKV"/>
    <m/>
    <s v="POMOĆNI KUHAR"/>
    <s v="POMOĆNI KUHAR"/>
    <s v="NEODREĐENO"/>
    <m/>
    <s v="PUNO"/>
    <n v="40"/>
    <s v="HR3424020063580204911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m/>
  </r>
  <r>
    <n v="116"/>
    <x v="1"/>
    <n v="307"/>
    <n v="22"/>
    <x v="10"/>
    <n v="16157428650"/>
    <s v="Zoltan Kiri"/>
    <s v="Ivana Gundulića 28"/>
    <x v="186"/>
    <x v="130"/>
    <d v="2020-01-31T00:00:00"/>
    <n v="87631245346"/>
    <s v="Ž-ŽENSKO"/>
    <d v="1986-06-28T00:00:00"/>
    <s v="Osijek"/>
    <s v="HRVATSKO"/>
    <s v="J.J.STROSSMAYERA 333, 31000 OSIJEK"/>
    <s v="NE"/>
    <s v="NKV"/>
    <m/>
    <s v="Telefonist-operater u call c."/>
    <s v="Telefonist-operater u call c."/>
    <s v="ODREĐENO"/>
    <m/>
    <s v="PUNO"/>
    <n v="40"/>
    <s v="HR0223900013500087986, HR6523900013222074764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16"/>
  </r>
  <r>
    <n v="117"/>
    <x v="1"/>
    <n v="308"/>
    <n v="22"/>
    <x v="10"/>
    <n v="16157428650"/>
    <s v="Zoltan Kiri"/>
    <s v="Ivana Gundulića 28"/>
    <x v="187"/>
    <x v="131"/>
    <d v="2020-08-31T00:00:00"/>
    <n v="28037142835"/>
    <s v="Ž-ŽENSKO"/>
    <d v="1984-07-21T00:00:00"/>
    <s v="Osijek"/>
    <s v="HRVATSKO"/>
    <s v="SV.LEOPOLDA MANDIĆA 4, 31000 OSIJEK"/>
    <s v="NE"/>
    <s v="VSS"/>
    <s v="PRAVNI FAK. OSIJEK"/>
    <s v="Telefonist-operater u call c."/>
    <s v="Telefonist-operater u call c."/>
    <s v="ODREĐENO"/>
    <m/>
    <s v="PUNO"/>
    <n v="40"/>
    <s v="HR0325000093203916408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17"/>
  </r>
  <r>
    <n v="1"/>
    <x v="1"/>
    <n v="309"/>
    <n v="33"/>
    <x v="17"/>
    <n v="66364254606"/>
    <s v="ZSOLT JÓZSEF BARKÓCZI"/>
    <s v="Kralja Zvonimira 61, Bilje"/>
    <x v="188"/>
    <x v="132"/>
    <d v="2020-08-18T00:00:00"/>
    <n v="14065632002"/>
    <s v="M-MUŠKO"/>
    <d v="1973-02-03T00:00:00"/>
    <s v="OSIJEK"/>
    <s v="HRVATSKO"/>
    <s v="Kralja Zvonimira 61, 31327 Bilje"/>
    <s v="NE"/>
    <s v="SSS"/>
    <m/>
    <s v="KOMERCIJALISTA"/>
    <s v="KOMERCIJALISTA"/>
    <s v="NEODREĐENO"/>
    <m/>
    <s v="NEPUNO"/>
    <n v="2"/>
    <s v="HU10402159-50526685-71521007"/>
    <m/>
    <m/>
    <m/>
    <m/>
    <m/>
    <s v="Osijek"/>
    <m/>
    <m/>
    <m/>
    <s v="NE"/>
    <n v="5682.3"/>
    <n v="1"/>
    <n v="4408.29"/>
    <m/>
    <m/>
    <m/>
    <m/>
    <m/>
    <m/>
    <m/>
    <m/>
    <m/>
    <m/>
    <s v="AKTIVAN"/>
    <m/>
  </r>
  <r>
    <n v="118"/>
    <x v="1"/>
    <n v="310"/>
    <n v="22"/>
    <x v="10"/>
    <n v="16157428650"/>
    <s v="Zoltan Kiri"/>
    <s v="Ivana Gundulića 28"/>
    <x v="189"/>
    <x v="120"/>
    <d v="2020-11-30T00:00:00"/>
    <n v="86750963969"/>
    <s v="Ž-ŽENSKO"/>
    <d v="1985-04-16T00:00:00"/>
    <s v="Osijek"/>
    <s v="HRVATSKO"/>
    <s v="ZAGREBAČKA 47, 31000 OSIJEK"/>
    <s v="NE"/>
    <s v="SSS"/>
    <s v="TRGOVAČKA ŠKOLA OSIJEK"/>
    <s v="Telefonist-operater u call c."/>
    <s v="Telefonist-operater u call c."/>
    <s v="ODREĐENO"/>
    <m/>
    <s v="PUNO"/>
    <n v="40"/>
    <s v="HR3123600003245091647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18"/>
  </r>
  <r>
    <n v="119"/>
    <x v="1"/>
    <n v="311"/>
    <n v="22"/>
    <x v="10"/>
    <n v="16157428650"/>
    <s v="Zoltan Kiri"/>
    <s v="Ivana Gundulića 28"/>
    <x v="190"/>
    <x v="133"/>
    <d v="2020-11-26T00:00:00"/>
    <s v="05989691992"/>
    <s v="M-MUŠKO"/>
    <d v="1997-06-28T00:00:00"/>
    <s v="Osijek"/>
    <s v="HRVATSKO"/>
    <s v="VRANSKA ULICA 12, OSIJEK"/>
    <s v="NE"/>
    <s v="SSS"/>
    <s v="OSNOVNA ŠKOLA RETFALA"/>
    <s v="Trgovački demonstrator"/>
    <s v="Trgovački demonstrator"/>
    <s v="NEODREĐENO"/>
    <m/>
    <s v="PUNO"/>
    <n v="40"/>
    <s v="HR3123600003513031934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19"/>
  </r>
  <r>
    <n v="120"/>
    <x v="1"/>
    <n v="312"/>
    <n v="22"/>
    <x v="10"/>
    <n v="16157428650"/>
    <s v="Zoltan Kiri"/>
    <s v="Ivana Gundulića 28"/>
    <x v="191"/>
    <x v="133"/>
    <d v="2020-03-31T00:00:00"/>
    <s v="05594910859"/>
    <s v="Ž-ŽENSKO"/>
    <d v="1986-01-04T00:00:00"/>
    <s v="Osijek"/>
    <s v="HRVATSKO"/>
    <s v="J.J.strossmayera 168, 31000 osijek"/>
    <s v="NE"/>
    <s v="SSS"/>
    <s v="srednja ekonomska osijek"/>
    <s v="Telefonist-operater u call c."/>
    <s v="Telefonist-operater u call c."/>
    <s v="ODREĐENO"/>
    <m/>
    <s v="PUNO"/>
    <n v="40"/>
    <s v="HR8323900013208968576, HR7323900013505936972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20"/>
  </r>
  <r>
    <n v="121"/>
    <x v="1"/>
    <n v="313"/>
    <n v="22"/>
    <x v="10"/>
    <n v="16157428650"/>
    <s v="Zoltan Kiri"/>
    <s v="Ivana Gundulića 28"/>
    <x v="192"/>
    <x v="134"/>
    <d v="2020-03-31T00:00:00"/>
    <n v="22210776938"/>
    <s v="Ž-ŽENSKO"/>
    <d v="1996-05-24T00:00:00"/>
    <s v="OSIJEK"/>
    <s v="HRVATSKO"/>
    <s v="MLINSKA 77,31000 OSIJEK"/>
    <s v="NE"/>
    <s v="SSS"/>
    <s v="EKONOMSKA ŠKOLA OSIJEK"/>
    <s v="Telefonist-operater u call c."/>
    <s v="Telefonist-operater u call c."/>
    <s v="ODREĐENO"/>
    <m/>
    <s v="PUNO"/>
    <n v="40"/>
    <s v="HR5124840083235850949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21"/>
  </r>
  <r>
    <n v="5"/>
    <x v="1"/>
    <n v="314"/>
    <n v="32"/>
    <x v="16"/>
    <n v="15795338441"/>
    <s v="MARTINA ZAVRŠKI"/>
    <s v="Ilirska ulica 53, Darda"/>
    <x v="193"/>
    <x v="135"/>
    <d v="2020-10-16T00:00:00"/>
    <n v="15740614143"/>
    <s v="Ž-ŽENSKO"/>
    <d v="2001-03-12T00:00:00"/>
    <s v="Osijek"/>
    <s v="HRVATSKO"/>
    <s v="Osječka 136, Josipovac"/>
    <s v="NE"/>
    <s v="SSS"/>
    <m/>
    <s v="KONOBAR"/>
    <s v="KONOBAR"/>
    <s v="ODREĐENO"/>
    <d v="2020-10-31T00:00:00"/>
    <s v="PUNO"/>
    <n v="40"/>
    <s v="HR5323600003248624379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m/>
  </r>
  <r>
    <n v="1"/>
    <x v="1"/>
    <n v="315"/>
    <n v="34"/>
    <x v="18"/>
    <n v="21428597692"/>
    <s v="Darinka Huber"/>
    <s v="Osječka 16A, 31300 Beli Manastir"/>
    <x v="194"/>
    <x v="136"/>
    <d v="2020-11-30T00:00:00"/>
    <n v="70429569630"/>
    <s v="Ž-ŽENSKO"/>
    <d v="1989-09-19T00:00:00"/>
    <s v="OSIJEK"/>
    <s v="HRVATSKO"/>
    <s v="DUBOŠEVICA, DRAŽ, ALOJZIJE STEPINCA 64"/>
    <s v="NE"/>
    <s v="SSS"/>
    <s v="SREDNJA ŠKOLA BELI MANASTIR"/>
    <s v="FRIZER"/>
    <s v="KUHAR"/>
    <s v="ODREĐENO"/>
    <d v="2020-09-30T00:00:00"/>
    <s v="PUNO"/>
    <n v="40"/>
    <s v="HR8723400093211756642"/>
    <m/>
    <m/>
    <m/>
    <m/>
    <m/>
    <s v="BELI MANASTIR"/>
    <m/>
    <m/>
    <m/>
    <s v="NE"/>
    <n v="5835.56"/>
    <n v="1"/>
    <n v="4500"/>
    <m/>
    <m/>
    <m/>
    <m/>
    <m/>
    <m/>
    <m/>
    <m/>
    <m/>
    <m/>
    <s v="AKTIVAN"/>
    <n v="1"/>
  </r>
  <r>
    <n v="2"/>
    <x v="1"/>
    <n v="316"/>
    <n v="34"/>
    <x v="18"/>
    <n v="21428597692"/>
    <s v="Darinka Huber"/>
    <s v="Osječka 16A, 31300 Beli Manastir"/>
    <x v="195"/>
    <x v="136"/>
    <d v="2020-11-30T00:00:00"/>
    <n v="33075612312"/>
    <s v="Ž-ŽENSKO"/>
    <d v="1972-05-09T00:00:00"/>
    <s v="Osijek"/>
    <s v="HRVATSKO"/>
    <s v="OSJEČKA UL 178, BELI MANASTIR"/>
    <s v="NE"/>
    <s v="NKV"/>
    <s v="OSNOVNA ŠKOLA BELI MANASTIR"/>
    <s v="NKV"/>
    <s v="POMOĆNI KUHAR"/>
    <s v="ODREĐENO"/>
    <d v="2020-09-30T00:00:00"/>
    <s v="PUNO"/>
    <n v="40"/>
    <s v="HR5123400093230488281"/>
    <m/>
    <m/>
    <m/>
    <m/>
    <m/>
    <s v="BELI MANASTIR"/>
    <m/>
    <m/>
    <m/>
    <s v="NE"/>
    <n v="5000"/>
    <n v="1"/>
    <n v="4000"/>
    <m/>
    <m/>
    <m/>
    <m/>
    <m/>
    <m/>
    <m/>
    <m/>
    <m/>
    <m/>
    <s v="AKTIVAN"/>
    <n v="2"/>
  </r>
  <r>
    <n v="3"/>
    <x v="1"/>
    <n v="317"/>
    <n v="34"/>
    <x v="18"/>
    <n v="21428597692"/>
    <s v="Darinka Huber"/>
    <s v="Osječka 16A, 31300 Beli Manastir"/>
    <x v="196"/>
    <x v="136"/>
    <d v="2020-11-30T00:00:00"/>
    <n v="82904965345"/>
    <s v="Ž-ŽENSKO"/>
    <d v="1969-01-07T00:00:00"/>
    <s v="Osijek"/>
    <s v="HRVATSKO"/>
    <s v="KRALJA PETRA SVAČIĆA 22, BELI MANASTIR"/>
    <s v="NE"/>
    <s v="NKV"/>
    <s v="OSNOVNA ŠKOLA BM"/>
    <s v="NKV"/>
    <s v="POMOĆNI KUHAR"/>
    <s v="ODREĐENO"/>
    <d v="2020-09-30T00:00:00"/>
    <s v="PUNO"/>
    <n v="40"/>
    <s v="HR6323400093208915653"/>
    <m/>
    <m/>
    <m/>
    <m/>
    <m/>
    <s v="BELI MANASTIR"/>
    <m/>
    <m/>
    <m/>
    <s v="NE"/>
    <n v="5000"/>
    <n v="1.7"/>
    <n v="4000"/>
    <m/>
    <m/>
    <m/>
    <m/>
    <m/>
    <m/>
    <m/>
    <m/>
    <m/>
    <m/>
    <s v="AKTIVAN"/>
    <n v="3"/>
  </r>
  <r>
    <n v="4"/>
    <x v="1"/>
    <n v="318"/>
    <n v="34"/>
    <x v="18"/>
    <n v="21428597692"/>
    <s v="Darinka Huber"/>
    <s v="Osječka 16A, 31300 Beli Manastir"/>
    <x v="197"/>
    <x v="136"/>
    <d v="2020-09-07T00:00:00"/>
    <n v="92496072519"/>
    <s v="M-MUŠKO"/>
    <d v="1984-12-03T00:00:00"/>
    <s v="OSIJEK"/>
    <s v="HRVATSKO"/>
    <s v="VLADIMIRA NAZORA 63, BELI MANASTIR"/>
    <s v="NE"/>
    <s v="SSS"/>
    <s v="GIMNAZIJA BELI MANASTIR"/>
    <s v="GIMNAZIJA"/>
    <s v="KONOBAR"/>
    <s v="ODREĐENO"/>
    <d v="2020-09-30T00:00:00"/>
    <s v="PUNO"/>
    <n v="40"/>
    <s v="HR8723400093210254985"/>
    <m/>
    <m/>
    <m/>
    <m/>
    <m/>
    <s v="BELI MANASTIR"/>
    <m/>
    <m/>
    <m/>
    <s v="NE"/>
    <n v="4375"/>
    <n v="1"/>
    <n v="3500"/>
    <m/>
    <m/>
    <m/>
    <m/>
    <m/>
    <m/>
    <m/>
    <m/>
    <m/>
    <m/>
    <s v="NEAKTIVAN"/>
    <n v="4"/>
  </r>
  <r>
    <n v="5"/>
    <x v="1"/>
    <n v="319"/>
    <n v="34"/>
    <x v="18"/>
    <n v="21428597692"/>
    <s v="Darinka Huber"/>
    <s v="Osječka 16A, 31300 Beli Manastir"/>
    <x v="198"/>
    <x v="136"/>
    <d v="2020-11-30T00:00:00"/>
    <n v="58105064289"/>
    <s v="Ž-ŽENSKO"/>
    <d v="1998-01-14T00:00:00"/>
    <s v="OSIJEK"/>
    <s v="HRVATSKO"/>
    <s v="KRALJA ZVONIMIRA 174, ČEPIN"/>
    <s v="NE"/>
    <s v="SSS"/>
    <s v="TRGOVAČKA ŠKOLA OSIJEK"/>
    <s v="TRGOVAC"/>
    <s v="KONOBAR"/>
    <s v="ODREĐENO"/>
    <d v="2020-09-30T00:00:00"/>
    <s v="PUNO"/>
    <n v="40"/>
    <s v="HR"/>
    <m/>
    <m/>
    <m/>
    <m/>
    <m/>
    <s v="BELI MANASTIR"/>
    <m/>
    <m/>
    <m/>
    <s v="NE"/>
    <n v="4375"/>
    <n v="1"/>
    <n v="3500"/>
    <m/>
    <m/>
    <m/>
    <m/>
    <m/>
    <m/>
    <m/>
    <m/>
    <m/>
    <m/>
    <s v="AKTIVAN"/>
    <n v="5"/>
  </r>
  <r>
    <n v="122"/>
    <x v="1"/>
    <n v="320"/>
    <n v="22"/>
    <x v="10"/>
    <n v="16157428650"/>
    <s v="Zoltan Kiri"/>
    <s v="Ivana Gundulića 28"/>
    <x v="199"/>
    <x v="66"/>
    <d v="2020-07-09T00:00:00"/>
    <n v="93342553119"/>
    <s v="M-MUŠKO"/>
    <d v="2000-08-02T00:00:00"/>
    <s v="Osijek"/>
    <s v="HRVATSKO"/>
    <s v="ILIRSKA ULICA 44, DARDA"/>
    <s v="NE"/>
    <s v="SSS"/>
    <m/>
    <s v="EKONOMIST"/>
    <s v="Trgovački demonstrator"/>
    <s v="NEODREĐENO"/>
    <m/>
    <s v="PUNO"/>
    <n v="40"/>
    <s v="HR5123400093234154978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22"/>
  </r>
  <r>
    <n v="123"/>
    <x v="1"/>
    <n v="321"/>
    <n v="22"/>
    <x v="10"/>
    <n v="16157428650"/>
    <s v="Zoltan Kiri"/>
    <s v="Ivana Gundulića 28"/>
    <x v="200"/>
    <x v="67"/>
    <d v="2020-06-17T00:00:00"/>
    <n v="72974121650"/>
    <s v="Ž-ŽENSKO"/>
    <d v="1993-06-17T00:00:00"/>
    <s v="Osijek"/>
    <s v="HRVATSKO"/>
    <s v="Dr. Franje Tuđmana 2C, 33000 Beli Manastir"/>
    <s v="NE"/>
    <s v="VSS"/>
    <m/>
    <s v="Trgovački demonstrator"/>
    <s v="Trgovački demonstrator"/>
    <s v="NEODREĐENO"/>
    <m/>
    <s v="PUNO"/>
    <n v="40"/>
    <s v="HR8223400093219622656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23"/>
  </r>
  <r>
    <n v="6"/>
    <x v="1"/>
    <n v="322"/>
    <n v="34"/>
    <x v="18"/>
    <n v="21428597692"/>
    <s v="Darinka Huber"/>
    <s v="Osječka 16A, 31300 Beli Manastir"/>
    <x v="201"/>
    <x v="137"/>
    <d v="2021-06-30T00:00:00"/>
    <n v="39112878817"/>
    <s v="Ž-ŽENSKO"/>
    <d v="1983-09-27T00:00:00"/>
    <s v="Osijek"/>
    <s v="HRVATSKO"/>
    <s v="Sjenjak 46, Osijek"/>
    <s v="NE"/>
    <s v="SSS"/>
    <m/>
    <s v="Poslovođa"/>
    <s v="Poslovođa"/>
    <s v="NEODREĐENO"/>
    <m/>
    <s v="PUNO"/>
    <n v="40"/>
    <s v="HR1024070003205827563"/>
    <m/>
    <m/>
    <m/>
    <m/>
    <m/>
    <s v="BELI MANASTIR"/>
    <m/>
    <m/>
    <m/>
    <s v="DA"/>
    <n v="5682.3"/>
    <n v="2.7"/>
    <n v="4397.8"/>
    <m/>
    <m/>
    <m/>
    <m/>
    <m/>
    <m/>
    <m/>
    <m/>
    <m/>
    <m/>
    <s v="AKTIVAN"/>
    <n v="6"/>
  </r>
  <r>
    <n v="124"/>
    <x v="1"/>
    <n v="323"/>
    <n v="22"/>
    <x v="10"/>
    <n v="16157428650"/>
    <s v="Zoltan Kiri"/>
    <s v="Šetalište Petra Preradovića 5"/>
    <x v="163"/>
    <x v="132"/>
    <d v="2020-11-30T00:00:00"/>
    <n v="19801410326"/>
    <s v="Ž-ŽENSKO"/>
    <d v="1979-10-05T00:00:00"/>
    <s v="OSIJEK"/>
    <s v="HRVATSKO"/>
    <s v="Osječka 53, Josipovac"/>
    <s v="NE"/>
    <s v="SSS"/>
    <m/>
    <s v="Telefonist-operater u call c."/>
    <s v="Telefonist-operater u call c."/>
    <s v="ODREĐENO"/>
    <m/>
    <s v="PUNO"/>
    <n v="40"/>
    <s v="HR7324020063208867548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24"/>
  </r>
  <r>
    <n v="125"/>
    <x v="1"/>
    <n v="324"/>
    <n v="22"/>
    <x v="10"/>
    <n v="16157428650"/>
    <s v="Zoltan Kiri"/>
    <s v="Ivana Gundulića 28"/>
    <x v="191"/>
    <x v="138"/>
    <d v="2020-07-16T00:00:00"/>
    <s v="05594910859"/>
    <s v="Ž-ŽENSKO"/>
    <d v="1986-01-04T00:00:00"/>
    <s v="Osijek"/>
    <s v="HRVATSKO"/>
    <s v="J.J.strossmayera 168, 31000 osijek"/>
    <s v="NE"/>
    <s v="SSS"/>
    <s v="srednja ekonomska osijek"/>
    <s v="Telefonist-operater u call c."/>
    <s v="Telefonist-operater u call c."/>
    <s v="ODREĐENO"/>
    <m/>
    <s v="PUNO"/>
    <n v="40"/>
    <s v="HR8323900013208968576, HR7323900013505936972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25"/>
  </r>
  <r>
    <n v="126"/>
    <x v="1"/>
    <n v="325"/>
    <n v="22"/>
    <x v="10"/>
    <n v="16157428650"/>
    <s v="Zoltan Kiri"/>
    <s v="Ivana Gundulića 28"/>
    <x v="202"/>
    <x v="139"/>
    <d v="2020-11-30T00:00:00"/>
    <s v="05212178956"/>
    <s v="Ž-ŽENSKO"/>
    <d v="1982-08-05T00:00:00"/>
    <s v="Osijek"/>
    <s v="HRVATSKO"/>
    <s v="JOSIPA KOZARCA 59B, 31220 Višnjevac"/>
    <s v="NE"/>
    <s v="SSS"/>
    <m/>
    <s v="Telefonist-operater u call c."/>
    <s v="Telefonist-operater u call c."/>
    <s v="ODREĐENO"/>
    <m/>
    <s v="PUNO"/>
    <n v="40"/>
    <s v="HR69 23600003220874913, HR43 23600003510288849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26"/>
  </r>
  <r>
    <n v="127"/>
    <x v="1"/>
    <n v="326"/>
    <n v="22"/>
    <x v="10"/>
    <n v="16157428650"/>
    <s v="Zoltan Kiri"/>
    <s v="Ivana Gundulića 28"/>
    <x v="203"/>
    <x v="140"/>
    <d v="2020-10-31T00:00:00"/>
    <n v="64962266902"/>
    <s v="Ž-ŽENSKO"/>
    <d v="1999-04-17T00:00:00"/>
    <s v="Osijek"/>
    <s v="HRVATSKO"/>
    <s v="Kolodvorska 43, 31224 Koška"/>
    <s v="NE"/>
    <s v="SSS"/>
    <m/>
    <s v="Telefonist-operater u call c."/>
    <s v="Telefonist-operater u call c."/>
    <s v="ODREĐENO"/>
    <m/>
    <s v="PUNO"/>
    <n v="40"/>
    <s v="HR1123400093232257796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27"/>
  </r>
  <r>
    <n v="128"/>
    <x v="1"/>
    <n v="327"/>
    <n v="22"/>
    <x v="10"/>
    <n v="16157428650"/>
    <s v="Zoltan Kiri"/>
    <s v="Ivana Gundulića 28"/>
    <x v="204"/>
    <x v="68"/>
    <d v="2020-09-30T00:00:00"/>
    <n v="51819513820"/>
    <s v="Ž-ŽENSKO"/>
    <d v="2002-03-10T00:00:00"/>
    <s v="Osijek"/>
    <s v="HRVATSKO"/>
    <s v="VLADIMIRA NAZORA 30, LASLOVO"/>
    <s v="NE"/>
    <s v="SSS"/>
    <m/>
    <s v="Telefonist-operater u call c."/>
    <s v="Telefonist-operater u call c."/>
    <s v="ODREĐENO"/>
    <m/>
    <s v="PUNO"/>
    <n v="40"/>
    <s v="HR2924070003237409257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28"/>
  </r>
  <r>
    <n v="129"/>
    <x v="1"/>
    <n v="328"/>
    <n v="22"/>
    <x v="10"/>
    <n v="16157428650"/>
    <s v="Zoltan Kiri"/>
    <s v="Ivana Gundulića 28"/>
    <x v="205"/>
    <x v="68"/>
    <d v="2020-11-30T00:00:00"/>
    <s v="07232137820"/>
    <s v="Ž-ŽENSKO"/>
    <d v="2019-05-19T00:00:00"/>
    <s v="OSIJEK"/>
    <s v="HRVATSKO"/>
    <s v="TVORNIČKA 1, 31000 OSIJEK"/>
    <s v="NE"/>
    <s v="SSS"/>
    <m/>
    <s v="Telefonist-operater u call c."/>
    <s v="Telefonist-operater u call c."/>
    <s v="ODREĐENO"/>
    <m/>
    <s v="PUNO"/>
    <n v="40"/>
    <s v="HR0524020063209770969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29"/>
  </r>
  <r>
    <n v="130"/>
    <x v="1"/>
    <n v="329"/>
    <n v="22"/>
    <x v="10"/>
    <n v="16157428650"/>
    <s v="Zoltan Kiri"/>
    <s v="Ivana Gundulića 28"/>
    <x v="206"/>
    <x v="141"/>
    <d v="2020-09-25T00:00:00"/>
    <n v="51750614319"/>
    <s v="M-MUŠKO"/>
    <d v="1997-03-24T00:00:00"/>
    <s v="Osijek"/>
    <s v="HRVATSKO"/>
    <s v="KAPELSKA ULICA 98, 31000 OSIJEK"/>
    <s v="NE"/>
    <s v="SSS"/>
    <m/>
    <s v="Trgovački dem. i prodavač"/>
    <s v="Trgovački dem. i prodavač"/>
    <s v="NEODREĐENO"/>
    <m/>
    <s v="PUNO"/>
    <n v="40"/>
    <s v="HR5823600003246189492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30"/>
  </r>
  <r>
    <n v="131"/>
    <x v="1"/>
    <n v="330"/>
    <n v="22"/>
    <x v="10"/>
    <n v="16157428650"/>
    <s v="Zoltan Kiri"/>
    <s v="Ivana Gundulića 28"/>
    <x v="207"/>
    <x v="142"/>
    <d v="2020-07-30T00:00:00"/>
    <n v="63543566143"/>
    <s v="M-MUŠKO"/>
    <d v="1999-12-22T00:00:00"/>
    <s v="Osijek"/>
    <s v="HRVATSKO"/>
    <s v="RAKOVA 1, ZMAJEVAC"/>
    <s v="NE"/>
    <s v="SSS"/>
    <m/>
    <s v="Trgovački dem. i prodavač"/>
    <s v="Trgovački dem. i prodavač"/>
    <s v="NEODREĐENO"/>
    <m/>
    <s v="PUNO"/>
    <n v="40"/>
    <s v="HR0525000093206506272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31"/>
  </r>
  <r>
    <n v="132"/>
    <x v="1"/>
    <n v="331"/>
    <n v="22"/>
    <x v="10"/>
    <n v="16157428650"/>
    <s v="Zoltan Kiri"/>
    <s v="Ivana Gundulića 28"/>
    <x v="208"/>
    <x v="143"/>
    <d v="2020-10-09T00:00:00"/>
    <n v="82327969024"/>
    <s v="M-MUŠKO"/>
    <d v="1999-04-11T00:00:00"/>
    <s v="Osijek"/>
    <s v="HRVATSKO"/>
    <s v="KARDINALA A. STEPINCA 23, 31431 ČEPIN"/>
    <s v="NE"/>
    <s v="SSS"/>
    <m/>
    <s v="Trgovački dem. i prodavač"/>
    <s v="Trgovački dem. i prodavač"/>
    <s v="NEODREĐENO"/>
    <m/>
    <s v="PUNO"/>
    <n v="40"/>
    <s v="HR1125000093206320021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32"/>
  </r>
  <r>
    <n v="133"/>
    <x v="1"/>
    <n v="332"/>
    <n v="22"/>
    <x v="10"/>
    <n v="16157428650"/>
    <s v="Zoltan Kiri"/>
    <s v="Ivana Gundulića 28"/>
    <x v="209"/>
    <x v="144"/>
    <d v="2020-08-31T00:00:00"/>
    <n v="44917773125"/>
    <s v="M-MUŠKO"/>
    <d v="2000-02-10T00:00:00"/>
    <s v="Osijek"/>
    <s v="HRVATSKO"/>
    <s v="J.J. STROSSMAYERA 217. 3100 OSIJEK"/>
    <s v="NE"/>
    <s v="SSS"/>
    <m/>
    <s v="Telefonist-operater u call c."/>
    <s v="Telefonist-operater u call c."/>
    <s v="ODREĐENO"/>
    <m/>
    <s v="PUNO"/>
    <n v="40"/>
    <s v="HR0823600003246067299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31"/>
  </r>
  <r>
    <n v="134"/>
    <x v="1"/>
    <n v="333"/>
    <n v="22"/>
    <x v="10"/>
    <n v="16157428650"/>
    <s v="Zoltan Kiri"/>
    <s v="Ivana Gundulića 28"/>
    <x v="210"/>
    <x v="145"/>
    <d v="2020-11-30T00:00:00"/>
    <n v="34003274057"/>
    <s v="Ž-ŽENSKO"/>
    <d v="1996-05-11T00:00:00"/>
    <s v="NAŠICE"/>
    <s v="HRVATSKO"/>
    <s v="KRALJA TOMISLAVA 182B, VUKOJEVCI"/>
    <s v="NE"/>
    <s v="SSS"/>
    <m/>
    <s v="Telefonist-operater u call c."/>
    <s v="Telefonist-operater u call c."/>
    <s v="ODREĐENO"/>
    <m/>
    <s v="PUNO"/>
    <n v="40"/>
    <s v="HR5523400093218960050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32"/>
  </r>
  <r>
    <n v="135"/>
    <x v="1"/>
    <n v="334"/>
    <n v="22"/>
    <x v="10"/>
    <n v="16157428650"/>
    <s v="Zoltan Kiri"/>
    <s v="Ivana Gundulića 28"/>
    <x v="211"/>
    <x v="145"/>
    <d v="2020-11-30T00:00:00"/>
    <n v="16687376785"/>
    <s v="Ž-ŽENSKO"/>
    <d v="1983-05-10T00:00:00"/>
    <s v="NAŠICE"/>
    <s v="HRVATSKO"/>
    <s v="BRAĆE RADIĆA 59, KRŠINCI, PODGORAČ"/>
    <s v="NE"/>
    <s v="SSS"/>
    <m/>
    <s v="Telefonist-operater u call c."/>
    <s v="Telefonist-operater u call c."/>
    <s v="ODREĐENO"/>
    <m/>
    <s v="PUNO"/>
    <n v="40"/>
    <s v="HR4024070003205331256, HR8024070003530385005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33"/>
  </r>
  <r>
    <n v="7"/>
    <x v="1"/>
    <n v="335"/>
    <n v="34"/>
    <x v="18"/>
    <n v="21428597692"/>
    <s v="Darinka Huber"/>
    <s v="Osječka 16A, 31300 Beli Manastir"/>
    <x v="212"/>
    <x v="146"/>
    <d v="2020-11-30T00:00:00"/>
    <n v="64662447870"/>
    <s v="Ž-ŽENSKO"/>
    <d v="2001-12-19T00:00:00"/>
    <s v="Osijek"/>
    <s v="HRVATSKO"/>
    <s v="ALOJZIJA STEPINCA 13, 31300 BELI MANASTIR"/>
    <s v="NE"/>
    <s v="SSS"/>
    <m/>
    <s v="KONOBAR"/>
    <s v="KONOBAR"/>
    <s v="NEODREĐENO"/>
    <m/>
    <s v="PUNO"/>
    <n v="40"/>
    <s v="HR3625000093207236900"/>
    <m/>
    <m/>
    <m/>
    <m/>
    <m/>
    <s v="BELI MANASTIR"/>
    <m/>
    <m/>
    <m/>
    <s v="NE"/>
    <n v="4062.51"/>
    <n v="1"/>
    <n v="3250"/>
    <m/>
    <m/>
    <m/>
    <m/>
    <m/>
    <m/>
    <m/>
    <m/>
    <m/>
    <m/>
    <s v="AKTIVAN"/>
    <n v="137"/>
  </r>
  <r>
    <n v="136"/>
    <x v="1"/>
    <n v="336"/>
    <n v="22"/>
    <x v="10"/>
    <n v="16157428650"/>
    <s v="Zoltan Kiri"/>
    <s v="Ivana Gundulića 28"/>
    <x v="213"/>
    <x v="145"/>
    <d v="2020-11-30T00:00:00"/>
    <n v="23175632985"/>
    <s v="Ž-ŽENSKO"/>
    <d v="1982-03-14T00:00:00"/>
    <s v="NAŠICE"/>
    <s v="HRVATSKO"/>
    <s v="BRAĆE RADIĆA 11, KELEŠINKA"/>
    <s v="NE"/>
    <s v="SSS"/>
    <m/>
    <s v="Telefonist-operater u call c."/>
    <s v="Telefonist-operater u call c."/>
    <s v="ODREĐENO"/>
    <m/>
    <s v="PUNO"/>
    <n v="40"/>
    <s v="HR3023400093209687300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34"/>
  </r>
  <r>
    <n v="137"/>
    <x v="1"/>
    <n v="337"/>
    <n v="22"/>
    <x v="10"/>
    <n v="16157428650"/>
    <s v="Zoltan Kiri"/>
    <s v="Ivana Gundulića 28"/>
    <x v="214"/>
    <x v="147"/>
    <d v="2020-12-18T00:00:00"/>
    <n v="27417404460"/>
    <s v="M-MUŠKO"/>
    <d v="1987-03-30T00:00:00"/>
    <s v="NOVI SAD"/>
    <s v="SRPSKO"/>
    <s v="P. ŠANDORA 43, KNEŽEVI VINOGRADI"/>
    <s v="DA"/>
    <s v="SSS"/>
    <m/>
    <s v="PRODAVAČ"/>
    <s v="PRODAVAČ"/>
    <s v="ODREĐENO"/>
    <m/>
    <s v="PUNO"/>
    <n v="40"/>
    <s v="HR4623400093234617952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35"/>
  </r>
  <r>
    <n v="138"/>
    <x v="1"/>
    <n v="338"/>
    <n v="22"/>
    <x v="10"/>
    <n v="16157428650"/>
    <s v="Zoltan Kiri"/>
    <s v="Ivana Gundulića 28"/>
    <x v="215"/>
    <x v="147"/>
    <d v="2020-11-20T00:00:00"/>
    <n v="32225879445"/>
    <s v="Ž-ŽENSKO"/>
    <d v="1997-11-11T00:00:00"/>
    <s v="ZRENJANIN"/>
    <s v="SRPSKO"/>
    <s v="OSIJEK"/>
    <s v="DA"/>
    <s v="SSS"/>
    <m/>
    <s v="PRODAVAČ"/>
    <s v="PRODAVAČ"/>
    <s v="ODREĐENO"/>
    <m/>
    <s v="PUNO"/>
    <n v="40"/>
    <s v="HR2523400093234672553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36"/>
  </r>
  <r>
    <n v="139"/>
    <x v="1"/>
    <n v="339"/>
    <n v="22"/>
    <x v="10"/>
    <n v="16157428650"/>
    <s v="Zoltan Kiri"/>
    <s v="Ivana Gundulića 28"/>
    <x v="216"/>
    <x v="148"/>
    <d v="2020-11-30T00:00:00"/>
    <n v="34639907395"/>
    <s v="Ž-ŽENSKO"/>
    <d v="1989-08-14T00:00:00"/>
    <s v="Osijek"/>
    <s v="HRVATSKO"/>
    <s v="ZRINSKO FRANKOPANSKA 29, VALPOVO"/>
    <s v="NE"/>
    <s v="SSS"/>
    <m/>
    <s v="Telefonist-operater u call c."/>
    <s v="Telefonist-operater u call c."/>
    <s v="ODREĐENO"/>
    <m/>
    <s v="PUNO"/>
    <n v="40"/>
    <s v="HR3425000093200430737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38"/>
  </r>
  <r>
    <n v="140"/>
    <x v="1"/>
    <n v="340"/>
    <n v="22"/>
    <x v="10"/>
    <n v="16157428650"/>
    <s v="Zoltan Kiri"/>
    <s v="Ivana Gundulića 28"/>
    <x v="217"/>
    <x v="149"/>
    <d v="2020-10-21T00:00:00"/>
    <n v="28980512417"/>
    <s v="Ž-ŽENSKO"/>
    <d v="1989-01-25T00:00:00"/>
    <s v="Osijek"/>
    <s v="HRVATSKO"/>
    <s v="TINA UJEVIĆ 37, VALPOVO"/>
    <s v="NE"/>
    <s v="NKV"/>
    <m/>
    <s v="Telefonist-operater u call c."/>
    <s v="Telefonist-operater u call c."/>
    <s v="ODREĐENO"/>
    <m/>
    <s v="PUNO"/>
    <n v="40"/>
    <s v="HR4723400093215260323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39"/>
  </r>
  <r>
    <n v="141"/>
    <x v="1"/>
    <n v="341"/>
    <n v="22"/>
    <x v="10"/>
    <n v="16157428650"/>
    <s v="Zoltan Kiri"/>
    <s v="Ivana Gundulića 28"/>
    <x v="218"/>
    <x v="150"/>
    <d v="2020-09-28T00:00:00"/>
    <s v="08780129474"/>
    <s v="M-MUŠKO"/>
    <d v="1992-11-30T00:00:00"/>
    <s v="Osijek"/>
    <s v="HRVATSKO"/>
    <s v="BRAČKA ULICA 7, BELI MANASTIR"/>
    <s v="NE"/>
    <s v="SSS"/>
    <m/>
    <s v="Telefonist-operater u call c."/>
    <s v="Telefonist-operater u call c."/>
    <s v="ODREĐENO"/>
    <m/>
    <s v="PUNO"/>
    <n v="40"/>
    <s v="HR1223400093234647664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0"/>
  </r>
  <r>
    <n v="142"/>
    <x v="1"/>
    <n v="342"/>
    <n v="22"/>
    <x v="10"/>
    <n v="16157428650"/>
    <s v="Zoltan Kiri"/>
    <s v="Ivana Gundulića 28"/>
    <x v="219"/>
    <x v="150"/>
    <d v="2020-10-19T00:00:00"/>
    <n v="93962818071"/>
    <s v="Ž-ŽENSKO"/>
    <d v="2002-03-04T00:00:00"/>
    <s v="Osijek"/>
    <s v="HRVATSKO"/>
    <s v="IVANA GALINICA-CICE 32, POPOVAC"/>
    <s v="NE"/>
    <s v="SSS"/>
    <m/>
    <s v="Telefonist-operater u call c."/>
    <s v="Telefonist-operater u call c."/>
    <s v="ODREĐENO"/>
    <m/>
    <s v="PUNO"/>
    <n v="40"/>
    <s v="HR6723400093234651718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1"/>
  </r>
  <r>
    <n v="143"/>
    <x v="1"/>
    <n v="343"/>
    <n v="22"/>
    <x v="10"/>
    <n v="16157428650"/>
    <s v="Zoltan Kiri"/>
    <s v="Ivana Gundulića 28"/>
    <x v="220"/>
    <x v="150"/>
    <d v="2020-09-28T00:00:00"/>
    <n v="95297325085"/>
    <s v="M-MUŠKO"/>
    <d v="1991-09-18T00:00:00"/>
    <s v="Osijek"/>
    <s v="HRVATSKO"/>
    <s v="NIKOLE TESLE 36, BELI MANASTIR"/>
    <s v="NE"/>
    <s v="SSS"/>
    <m/>
    <s v="Telefonist-operater u call c."/>
    <s v="Telefonist-operater u call c."/>
    <s v="ODREĐENO"/>
    <m/>
    <s v="PUNO"/>
    <n v="40"/>
    <s v="HR3423400093233087217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2"/>
  </r>
  <r>
    <n v="144"/>
    <x v="1"/>
    <n v="344"/>
    <n v="22"/>
    <x v="10"/>
    <n v="16157428650"/>
    <s v="Zoltan Kiri"/>
    <s v="Ivana Gundulića 28"/>
    <x v="221"/>
    <x v="150"/>
    <d v="2020-10-28T00:00:00"/>
    <n v="46872110260"/>
    <s v="M-MUŠKO"/>
    <d v="1996-04-13T00:00:00"/>
    <s v="Osijek"/>
    <s v="HRVATSKO"/>
    <s v="PLANINSKA 73, BELI MANASTIR"/>
    <s v="NE"/>
    <s v="SSS"/>
    <m/>
    <s v="Telefonist-operater u call c."/>
    <s v="Telefonist-operater u call c."/>
    <s v="ODREĐENO"/>
    <m/>
    <s v="PUNO"/>
    <n v="40"/>
    <s v="HR8023900013221785725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3"/>
  </r>
  <r>
    <n v="145"/>
    <x v="1"/>
    <n v="345"/>
    <n v="22"/>
    <x v="10"/>
    <n v="16157428650"/>
    <s v="Zoltan Kiri"/>
    <s v="Ivana Gundulića 28"/>
    <x v="222"/>
    <x v="150"/>
    <d v="2020-10-27T00:00:00"/>
    <n v="89244104255"/>
    <s v="Ž-ŽENSKO"/>
    <d v="1994-02-19T00:00:00"/>
    <s v="Osijek"/>
    <s v="HRVATSKO"/>
    <s v="SVETOG KRIŽA 23, BRANJIN VRH"/>
    <s v="NE"/>
    <s v="VSS"/>
    <m/>
    <s v="Telefonist-operater u call c."/>
    <s v="Telefonist-operater u call c."/>
    <s v="ODREĐENO"/>
    <m/>
    <s v="PUNO"/>
    <n v="40"/>
    <s v="HR6323900013217670903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4"/>
  </r>
  <r>
    <n v="146"/>
    <x v="1"/>
    <n v="346"/>
    <n v="22"/>
    <x v="10"/>
    <n v="16157428650"/>
    <s v="Zoltan Kiri"/>
    <s v="Ivana Gundulića 28"/>
    <x v="223"/>
    <x v="150"/>
    <d v="2020-11-30T00:00:00"/>
    <n v="44433666966"/>
    <s v="Ž-ŽENSKO"/>
    <d v="1982-06-10T00:00:00"/>
    <s v="Osijek"/>
    <s v="HRVATSKO"/>
    <s v="KOLODVORSKA 44, KARANAC"/>
    <s v="NE"/>
    <s v="SSS"/>
    <m/>
    <s v="Telefonist-operater u call c."/>
    <s v="Telefonist-operater u call c."/>
    <s v="ODREĐENO"/>
    <m/>
    <s v="PUNO"/>
    <n v="40"/>
    <s v="HR9323400093510823442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5"/>
  </r>
  <r>
    <n v="147"/>
    <x v="1"/>
    <n v="347"/>
    <n v="22"/>
    <x v="10"/>
    <n v="16157428650"/>
    <s v="Zoltan Kiri"/>
    <s v="Ivana Gundulića 28"/>
    <x v="224"/>
    <x v="150"/>
    <d v="2020-11-30T00:00:00"/>
    <s v="02700566038"/>
    <s v="Ž-ŽENSKO"/>
    <d v="1976-09-19T00:00:00"/>
    <s v="Osijek"/>
    <s v="HRVATSKO"/>
    <s v="PLANINSKA 24E, BELI MANASTIR"/>
    <s v="NE"/>
    <s v="SSS"/>
    <m/>
    <s v="Telefonist-operater u call c."/>
    <s v="Telefonist-operater u call c."/>
    <s v="ODREĐENO"/>
    <m/>
    <s v="PUNO"/>
    <n v="40"/>
    <s v="HR2025000093207257946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6"/>
  </r>
  <r>
    <n v="148"/>
    <x v="1"/>
    <n v="348"/>
    <n v="22"/>
    <x v="10"/>
    <n v="16157428650"/>
    <s v="Zoltan Kiri"/>
    <s v="Ivana Gundulića 28"/>
    <x v="225"/>
    <x v="150"/>
    <d v="2020-11-30T00:00:00"/>
    <n v="57018957627"/>
    <s v="Ž-ŽENSKO"/>
    <d v="1996-05-25T00:00:00"/>
    <s v="Osijek"/>
    <s v="HRVATSKO"/>
    <s v="ANTE KOVAČIĆA 4, BRANJIN VRH"/>
    <s v="NE"/>
    <s v="SSS"/>
    <m/>
    <s v="Telefonist-operater u call c."/>
    <s v="Telefonist-operater u call c."/>
    <s v="ODREĐENO"/>
    <m/>
    <s v="PUNO"/>
    <n v="40"/>
    <s v="HR0923400093230212975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7"/>
  </r>
  <r>
    <n v="149"/>
    <x v="1"/>
    <n v="349"/>
    <n v="22"/>
    <x v="10"/>
    <n v="16157428650"/>
    <s v="Zoltan Kiri"/>
    <s v="Ivana Gundulića 28"/>
    <x v="226"/>
    <x v="150"/>
    <d v="2020-11-30T00:00:00"/>
    <n v="54713469938"/>
    <s v="Ž-ŽENSKO"/>
    <d v="1996-06-18T00:00:00"/>
    <s v="Osijek"/>
    <s v="HRVATSKO"/>
    <s v="VLADIMIRA NAZORA 77, PETLOVAC"/>
    <s v="NE"/>
    <s v="SSS"/>
    <m/>
    <s v="Telefonist-operater u call c."/>
    <s v="Telefonist-operater u call c."/>
    <s v="ODREĐENO"/>
    <m/>
    <s v="PUNO"/>
    <n v="40"/>
    <s v="HR0423400093234650524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8"/>
  </r>
  <r>
    <n v="150"/>
    <x v="1"/>
    <n v="350"/>
    <n v="22"/>
    <x v="10"/>
    <n v="16157428650"/>
    <s v="Zoltan Kiri"/>
    <s v="Ivana Gundulića 28"/>
    <x v="227"/>
    <x v="150"/>
    <d v="2020-11-05T00:00:00"/>
    <n v="76866047912"/>
    <s v="Ž-ŽENSKO"/>
    <d v="1975-09-04T00:00:00"/>
    <s v="Osijek"/>
    <s v="HRVATSKO"/>
    <s v="PETRA PRERADOVIĆA 56, BELI MANASTIR"/>
    <s v="NE"/>
    <s v="SSS"/>
    <m/>
    <s v="Telefonist-operater u call c."/>
    <s v="Telefonist-operater u call c."/>
    <s v="ODREĐENO"/>
    <m/>
    <s v="PUNO"/>
    <n v="40"/>
    <s v="HR4423400093207931542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9"/>
  </r>
  <r>
    <n v="151"/>
    <x v="1"/>
    <n v="351"/>
    <n v="22"/>
    <x v="10"/>
    <n v="16157428650"/>
    <s v="Zoltan Kiri"/>
    <s v="Ivana Gundulića 28"/>
    <x v="228"/>
    <x v="151"/>
    <d v="2020-10-31T00:00:00"/>
    <n v="97620591075"/>
    <s v="M-MUŠKO"/>
    <d v="1990-01-20T00:00:00"/>
    <s v="Osijek"/>
    <s v="HRVATSKO"/>
    <s v="KRALJA PETRA SVAČIĆA 22, BELI MANASTIR"/>
    <s v="NE"/>
    <s v="SSS"/>
    <m/>
    <s v="Telefonist-operater u call c."/>
    <s v="Telefonist-operater u call c."/>
    <s v="ODREĐENO"/>
    <m/>
    <s v="PUNO"/>
    <n v="40"/>
    <s v="HR3723400093211589538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50"/>
  </r>
  <r>
    <n v="152"/>
    <x v="1"/>
    <n v="352"/>
    <n v="22"/>
    <x v="10"/>
    <n v="16157428650"/>
    <s v="Zoltan Kiri"/>
    <s v="Ivana Gundulića 28"/>
    <x v="229"/>
    <x v="151"/>
    <d v="2020-11-30T00:00:00"/>
    <n v="77939122827"/>
    <s v="Ž-ŽENSKO"/>
    <d v="1992-10-09T00:00:00"/>
    <s v="Osijek"/>
    <s v="HRVATSKO"/>
    <s v="KOLODVORSKI 47, KARANAC"/>
    <s v="NE"/>
    <s v="SSS"/>
    <m/>
    <s v="Telefonist-operater u call c."/>
    <s v="Telefonist-operater u call c."/>
    <s v="ODREĐENO"/>
    <m/>
    <s v="PUNO"/>
    <n v="40"/>
    <s v="HR3123400093214470643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51"/>
  </r>
  <r>
    <n v="153"/>
    <x v="1"/>
    <n v="353"/>
    <n v="22"/>
    <x v="10"/>
    <n v="16157428650"/>
    <s v="Zoltan Kiri"/>
    <s v="Ivana Gundulića 28"/>
    <x v="230"/>
    <x v="152"/>
    <d v="2020-10-31T00:00:00"/>
    <s v="05876397989"/>
    <s v="Ž-ŽENSKO"/>
    <d v="1986-01-11T00:00:00"/>
    <s v="Osijek"/>
    <s v="HRVATSKO"/>
    <s v="MIRKOVAC 9, MIRKOVAC"/>
    <s v="NE"/>
    <s v="SSS"/>
    <m/>
    <s v="Telefonist-operater u call c."/>
    <s v="Telefonist-operater u call c."/>
    <s v="ODREĐENO"/>
    <m/>
    <s v="PUNO"/>
    <n v="40"/>
    <s v="HR4523600003510561868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52"/>
  </r>
  <r>
    <n v="8"/>
    <x v="2"/>
    <n v="354"/>
    <n v="26"/>
    <x v="13"/>
    <n v="95114485977"/>
    <s v="LAURA GERGELJ"/>
    <s v="SV.IVANA KRSTITELJA 15, DARDA"/>
    <x v="59"/>
    <x v="153"/>
    <m/>
    <n v="65592272975"/>
    <s v="Ž-ŽENSKO"/>
    <d v="1972-05-03T00:00:00"/>
    <s v="Beli Manastir"/>
    <s v="HRVATSKO"/>
    <s v="KRALJA ZVONIMIRA 51A, BELI MANASTIR"/>
    <s v="NE"/>
    <s v="SSS"/>
    <m/>
    <s v="ADMINISTRATIVNI DJELATNIK"/>
    <s v="ADMINISTRATIVNI DJELATNIK"/>
    <s v="NEODREĐENO"/>
    <m/>
    <s v="PUNO"/>
    <n v="40"/>
    <m/>
    <m/>
    <m/>
    <m/>
    <m/>
    <m/>
    <s v="Osijek"/>
    <m/>
    <m/>
    <m/>
    <s v="NE"/>
    <n v="8300"/>
    <n v="1"/>
    <n v="5327.2"/>
    <n v="0"/>
    <m/>
    <m/>
    <n v="20"/>
    <m/>
    <m/>
    <m/>
    <m/>
    <m/>
    <m/>
    <s v="AKTIVAN"/>
    <n v="3"/>
  </r>
  <r>
    <n v="154"/>
    <x v="1"/>
    <n v="355"/>
    <n v="22"/>
    <x v="10"/>
    <n v="16157428650"/>
    <s v="Zoltan Kiri"/>
    <s v="Ivana Gundulića 28"/>
    <x v="92"/>
    <x v="154"/>
    <d v="2020-09-30T00:00:00"/>
    <n v="46973378536"/>
    <s v="M-MUŠKO"/>
    <d v="2000-10-30T00:00:00"/>
    <s v="Osijek"/>
    <s v="HRVATSKO"/>
    <s v="ULICA ANTUNA BARCA 21, TENJA"/>
    <s v="NE"/>
    <s v="SSS"/>
    <m/>
    <s v="Trgovački dem. i prodavač"/>
    <s v="Trgovački dem. i prodavač"/>
    <s v="NEODREĐENO"/>
    <m/>
    <s v="PUNO"/>
    <n v="40"/>
    <s v="HR1023400093233026442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53"/>
  </r>
  <r>
    <n v="156"/>
    <x v="1"/>
    <n v="356"/>
    <n v="22"/>
    <x v="10"/>
    <n v="16157428650"/>
    <s v="Zoltan Kiri"/>
    <s v="Ivana Gundulića 28"/>
    <x v="231"/>
    <x v="154"/>
    <d v="2020-11-21T00:00:00"/>
    <n v="36838779456"/>
    <s v="M-MUŠKO"/>
    <d v="2000-10-22T00:00:00"/>
    <s v="Osijek"/>
    <s v="HRVATSKO"/>
    <s v="VRATNIČKA ULICA 3, OSIJEK"/>
    <s v="NE"/>
    <s v="SSS"/>
    <m/>
    <s v="Trgovački dem. i prodavač"/>
    <s v="Trgovački dem. i prodavač"/>
    <s v="NEODREĐENO"/>
    <m/>
    <s v="PUNO"/>
    <n v="40"/>
    <s v="HR2625000093206704841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54"/>
  </r>
  <r>
    <n v="9"/>
    <x v="2"/>
    <n v="357"/>
    <n v="26"/>
    <x v="13"/>
    <n v="95114485977"/>
    <s v="LAURA GERGELJ"/>
    <s v="SV.IVANA KRSTITELJA 15, DARDA"/>
    <x v="232"/>
    <x v="71"/>
    <m/>
    <n v="81101761185"/>
    <s v="Ž-ŽENSKO"/>
    <d v="1996-06-24T00:00:00"/>
    <s v="Vinkovci"/>
    <s v="HRVATSKO"/>
    <s v="ALOJZIJA STEPINCA 32, VINKOVCI"/>
    <s v="NE"/>
    <s v="SSS"/>
    <m/>
    <s v="Knjigovođa"/>
    <s v="KNJIGOVOĐA"/>
    <s v="NEODREĐENO"/>
    <m/>
    <s v="PUNO"/>
    <n v="40"/>
    <s v="HR1423400093220088801"/>
    <m/>
    <m/>
    <m/>
    <m/>
    <m/>
    <s v="Osijek"/>
    <m/>
    <m/>
    <m/>
    <s v="NE"/>
    <n v="6300"/>
    <n v="1"/>
    <n v="4821.6000000000004"/>
    <m/>
    <m/>
    <m/>
    <m/>
    <m/>
    <m/>
    <m/>
    <m/>
    <m/>
    <m/>
    <s v="AKTIVAN"/>
    <n v="9"/>
  </r>
  <r>
    <n v="6"/>
    <x v="2"/>
    <n v="358"/>
    <n v="32"/>
    <x v="16"/>
    <n v="15795338441"/>
    <s v="MARTINA ZAVRŠKI"/>
    <s v="Ilirska ulica 53, Darda"/>
    <x v="184"/>
    <x v="71"/>
    <m/>
    <n v="47650763217"/>
    <s v="Ž-ŽENSKO"/>
    <d v="1997-02-03T00:00:00"/>
    <s v="Osijek"/>
    <s v="HRVATSKO"/>
    <s v="ILIRSKA ULICA 53, DARDA"/>
    <s v="NE"/>
    <s v="SSS"/>
    <m/>
    <s v="Poslovođa"/>
    <s v="Poslovođa"/>
    <s v="NEODREĐENO"/>
    <m/>
    <s v="PUNO"/>
    <n v="40"/>
    <s v="HR2023400093230325491"/>
    <m/>
    <m/>
    <m/>
    <m/>
    <m/>
    <s v="Osijek"/>
    <m/>
    <m/>
    <m/>
    <s v="NE"/>
    <n v="5682.3"/>
    <n v="1"/>
    <n v="4408.29"/>
    <m/>
    <m/>
    <m/>
    <m/>
    <m/>
    <m/>
    <m/>
    <m/>
    <m/>
    <m/>
    <s v="AKTIVAN"/>
    <m/>
  </r>
  <r>
    <n v="157"/>
    <x v="1"/>
    <n v="359"/>
    <n v="22"/>
    <x v="10"/>
    <n v="16157428650"/>
    <s v="Zoltan Kiri"/>
    <s v="Ivana Gundulića 28"/>
    <x v="114"/>
    <x v="155"/>
    <d v="2020-10-23T00:00:00"/>
    <n v="87058584186"/>
    <s v="Ž-ŽENSKO"/>
    <d v="1998-11-02T00:00:00"/>
    <s v="Osijek"/>
    <s v="HRVATSKO"/>
    <s v="ULICA VATROSLAVA LISINSKOG 19, VIŠNJEVAC"/>
    <s v="NE"/>
    <s v="SSS"/>
    <m/>
    <s v="Telefonist-operater u call c."/>
    <s v="Telefonist-operater u call c."/>
    <s v="ODREĐENO"/>
    <m/>
    <s v="PUNO"/>
    <n v="40"/>
    <s v="HR8523400093231527121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55"/>
  </r>
  <r>
    <n v="158"/>
    <x v="1"/>
    <n v="360"/>
    <n v="22"/>
    <x v="10"/>
    <n v="16157428650"/>
    <s v="Zoltan Kiri"/>
    <s v="Ivana Gundulića 28"/>
    <x v="233"/>
    <x v="156"/>
    <d v="2020-11-30T00:00:00"/>
    <n v="38592709269"/>
    <s v="Ž-ŽENSKO"/>
    <d v="1983-08-28T00:00:00"/>
    <s v="Osijek"/>
    <s v="HRVATSKO"/>
    <s v="KRALJA ZVONIMIRA 77, BELI MANASTIR"/>
    <s v="NE"/>
    <s v="SSS"/>
    <m/>
    <s v="Telefonist-operater u call c."/>
    <s v="Telefonist-operater u call c."/>
    <s v="ODREĐENO"/>
    <m/>
    <s v="PUNO"/>
    <n v="40"/>
    <s v="HR7823400093218728000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97"/>
  </r>
  <r>
    <n v="159"/>
    <x v="1"/>
    <n v="361"/>
    <n v="22"/>
    <x v="10"/>
    <n v="16157428650"/>
    <s v="Zoltan Kiri"/>
    <s v="Ivana Gundulića 28"/>
    <x v="234"/>
    <x v="156"/>
    <d v="2020-11-30T00:00:00"/>
    <n v="20919860131"/>
    <s v="Ž-ŽENSKO"/>
    <d v="1996-08-02T00:00:00"/>
    <s v="Osijek"/>
    <s v="HRVATSKO"/>
    <s v="ŠKOLSKA 12, PETLOVAC"/>
    <s v="NE"/>
    <s v="SSS"/>
    <m/>
    <s v="Telefonist-operater u call c."/>
    <s v="Telefonist-operater u call c."/>
    <s v="ODREĐENO"/>
    <m/>
    <s v="PUNO"/>
    <n v="40"/>
    <s v="HR9723400093230922595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98"/>
  </r>
  <r>
    <n v="160"/>
    <x v="1"/>
    <n v="362"/>
    <n v="22"/>
    <x v="10"/>
    <n v="16157428650"/>
    <s v="Zoltan Kiri"/>
    <s v="Ivana Gundulića 28"/>
    <x v="235"/>
    <x v="71"/>
    <d v="2020-12-18T00:00:00"/>
    <n v="10509169768"/>
    <s v="Ž-ŽENSKO"/>
    <d v="1989-11-14T00:00:00"/>
    <s v="PARAČIN"/>
    <s v="SRPSKO"/>
    <s v="UL. SV. MARTINA 8, BELI MANASTIR"/>
    <s v="DA"/>
    <s v="SSS"/>
    <m/>
    <s v="PRODAVAČ"/>
    <s v="PRODAVAČ"/>
    <s v="ODREĐENO"/>
    <m/>
    <s v="PUNO"/>
    <n v="40"/>
    <s v="HR2923400093234709438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91"/>
  </r>
  <r>
    <n v="161"/>
    <x v="1"/>
    <n v="363"/>
    <n v="22"/>
    <x v="10"/>
    <n v="16157428650"/>
    <s v="Zoltan Kiri"/>
    <s v="Ivana Gundulića 28"/>
    <x v="236"/>
    <x v="71"/>
    <d v="2020-12-08T00:00:00"/>
    <n v="14887279696"/>
    <s v="M-MUŠKO"/>
    <d v="1988-08-04T00:00:00"/>
    <s v="KIKINDA"/>
    <s v="SRPSKO"/>
    <s v="UL. SV. MARTINA 8, BELI MANASTIR"/>
    <s v="DA"/>
    <s v="SSS"/>
    <m/>
    <s v="PRODAVAČ"/>
    <s v="PRODAVAČ"/>
    <s v="ODREĐENO"/>
    <m/>
    <s v="PUNO"/>
    <n v="40"/>
    <s v="HR6423400093234709487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93"/>
  </r>
  <r>
    <n v="7"/>
    <x v="2"/>
    <n v="364"/>
    <n v="32"/>
    <x v="16"/>
    <n v="15795338441"/>
    <s v="MARTINA ZAVRŠKI"/>
    <s v="Ilirska ulica 53, Darda"/>
    <x v="193"/>
    <x v="157"/>
    <m/>
    <n v="15740614143"/>
    <s v="Ž-ŽENSKO"/>
    <d v="2001-03-12T00:00:00"/>
    <s v="Osijek"/>
    <s v="HRVATSKO"/>
    <s v="Osječka 136, Josipovac"/>
    <s v="NE"/>
    <s v="SSS"/>
    <m/>
    <s v="KONOBAR"/>
    <s v="KONOBAR"/>
    <s v="NEODREĐENO"/>
    <d v="2020-10-31T00:00:00"/>
    <s v="PUNO"/>
    <n v="40"/>
    <s v="HR5323600003248624379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m/>
  </r>
  <r>
    <n v="162"/>
    <x v="1"/>
    <n v="365"/>
    <n v="22"/>
    <x v="10"/>
    <n v="16157428650"/>
    <s v="Zoltan Kiri"/>
    <s v="Ivana Gundulića 28"/>
    <x v="12"/>
    <x v="158"/>
    <d v="2020-10-31T00:00:00"/>
    <n v="20112988151"/>
    <s v="Ž-ŽENSKO"/>
    <d v="1980-09-14T00:00:00"/>
    <s v="Travnik, BIH"/>
    <s v="HRVATSKO"/>
    <s v="Luke Botić 26, Tenja"/>
    <s v="NE"/>
    <s v="SSS"/>
    <m/>
    <s v="Telefonist-operater u call c."/>
    <s v="Telefonist-operater u call c."/>
    <s v="ODREĐENO"/>
    <m/>
    <s v="PUNO"/>
    <n v="40"/>
    <s v="HR3023400093218531760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95"/>
  </r>
  <r>
    <n v="10"/>
    <x v="2"/>
    <n v="366"/>
    <n v="26"/>
    <x v="13"/>
    <n v="95114485977"/>
    <s v="LAURA GERGELJ"/>
    <s v="SV.IVANA KRSTITELJA 15, DARDA"/>
    <x v="181"/>
    <x v="159"/>
    <m/>
    <n v="10547537081"/>
    <s v="M-MUŠKO"/>
    <d v="2000-09-21T00:00:00"/>
    <s v="Osijek"/>
    <s v="HRVATSKO"/>
    <s v="ILIRSKA ULICA 49, DARDA"/>
    <s v="NE"/>
    <s v="SSS"/>
    <m/>
    <s v="EKONOMIST"/>
    <s v="KNJIGOVOĐA"/>
    <s v="NEODREĐENO"/>
    <m/>
    <s v="PUNO"/>
    <n v="40"/>
    <s v="HR1823400093233872623"/>
    <m/>
    <m/>
    <m/>
    <m/>
    <m/>
    <s v="Osijek"/>
    <m/>
    <m/>
    <m/>
    <s v="NE"/>
    <n v="6300"/>
    <n v="1"/>
    <n v="4804.96"/>
    <m/>
    <m/>
    <m/>
    <m/>
    <m/>
    <m/>
    <m/>
    <m/>
    <m/>
    <m/>
    <s v="AKTIVAN"/>
    <n v="10"/>
  </r>
  <r>
    <n v="163"/>
    <x v="1"/>
    <n v="367"/>
    <n v="22"/>
    <x v="10"/>
    <n v="16157428650"/>
    <s v="Zoltan Kiri"/>
    <s v="Ivana Gundulića 28"/>
    <x v="237"/>
    <x v="160"/>
    <d v="2020-11-30T00:00:00"/>
    <n v="72967372303"/>
    <s v="Ž-ŽENSKO"/>
    <s v="19.12.1990"/>
    <s v="OSIJEK"/>
    <s v="HRVATSKO"/>
    <s v="MATIJE GUPCA 7, LUČ, PETLOVAC"/>
    <s v="NE"/>
    <s v="SSS"/>
    <m/>
    <s v="Telefonist-operater u call c."/>
    <s v="Telefonist-operater u call c."/>
    <s v="ODREĐENO"/>
    <m/>
    <s v="PUNO"/>
    <n v="40"/>
    <s v="HR1123400093213162473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96"/>
  </r>
  <r>
    <n v="2"/>
    <x v="2"/>
    <n v="368"/>
    <n v="24"/>
    <x v="11"/>
    <n v="19941838505"/>
    <s v="GABOR ISTVAN JENEI"/>
    <s v="Šetalište Petra Preradovića 5, 31000 Osijek"/>
    <x v="238"/>
    <x v="161"/>
    <m/>
    <n v="65686172815"/>
    <s v="M-MUŠKO"/>
    <d v="1987-07-25T00:00:00"/>
    <s v="PÉCS"/>
    <s v="MAĐARSKO"/>
    <s v="EGYENLŐSÉG UTCA 42/2"/>
    <m/>
    <s v="VSS"/>
    <m/>
    <m/>
    <s v="POSLOVODJA"/>
    <s v="NEODREĐENO"/>
    <m/>
    <s v="PUNO"/>
    <n v="40"/>
    <s v="?"/>
    <m/>
    <m/>
    <m/>
    <m/>
    <m/>
    <s v="Osijek"/>
    <m/>
    <m/>
    <m/>
    <s v="NE"/>
    <n v="5491.2"/>
    <n v="1"/>
    <m/>
    <m/>
    <m/>
    <m/>
    <m/>
    <m/>
    <m/>
    <m/>
    <m/>
    <m/>
    <m/>
    <s v="AKTIVAN"/>
    <n v="2"/>
  </r>
  <r>
    <n v="164"/>
    <x v="1"/>
    <n v="369"/>
    <n v="22"/>
    <x v="10"/>
    <n v="16157428650"/>
    <s v="Zoltan Kiri"/>
    <s v="Ivana Gundulića 28"/>
    <x v="239"/>
    <x v="161"/>
    <d v="2020-12-13T00:00:00"/>
    <n v="16238851829"/>
    <s v="M-MUŠKO"/>
    <d v="1966-01-18T00:00:00"/>
    <s v="OSIJEK"/>
    <s v="HRVATSKO"/>
    <s v="BRANKA RADIČEVIĆA 3"/>
    <s v="NE"/>
    <s v="SSS"/>
    <m/>
    <s v="Stručnjak zaštite na radu"/>
    <s v="Stručnjak zaštite na radu"/>
    <s v="NEODREĐENO"/>
    <m/>
    <s v="DOPUNSKO"/>
    <n v="2"/>
    <s v="HR9625000093221321675"/>
    <m/>
    <m/>
    <m/>
    <m/>
    <m/>
    <s v="Osijek"/>
    <m/>
    <m/>
    <m/>
    <s v="NE"/>
    <n v="514.54"/>
    <n v="1"/>
    <n v="300"/>
    <m/>
    <m/>
    <m/>
    <m/>
    <m/>
    <m/>
    <m/>
    <m/>
    <m/>
    <m/>
    <s v="AKTIVAN"/>
    <n v="197"/>
  </r>
  <r>
    <n v="165"/>
    <x v="1"/>
    <n v="370"/>
    <n v="22"/>
    <x v="10"/>
    <n v="16157428650"/>
    <s v="Zoltan Kiri"/>
    <s v="Ivana Gundulića 28"/>
    <x v="240"/>
    <x v="162"/>
    <d v="2020-11-30T00:00:00"/>
    <n v="40826379926"/>
    <s v="Ž-ŽENSKO"/>
    <d v="1968-12-16T00:00:00"/>
    <s v="OSIJEK"/>
    <s v="HRVATSKO"/>
    <s v="PODRAVSKA 2, OSIJEK"/>
    <s v="NE"/>
    <s v="SSS"/>
    <m/>
    <s v="Telefonist-operater u call c."/>
    <s v="Telefonist-operater u call c."/>
    <s v="ODREĐENO"/>
    <m/>
    <s v="PUNO"/>
    <n v="40"/>
    <s v="HR9823600003239272381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98"/>
  </r>
  <r>
    <n v="166"/>
    <x v="1"/>
    <n v="371"/>
    <n v="22"/>
    <x v="10"/>
    <n v="16157428650"/>
    <s v="Zoltan Kiri"/>
    <s v="Ivana Gundulića 28"/>
    <x v="241"/>
    <x v="163"/>
    <d v="2020-11-30T00:00:00"/>
    <n v="73342525134"/>
    <s v="Ž-ŽENSKO"/>
    <d v="1974-01-28T00:00:00"/>
    <s v="OSIJEK"/>
    <s v="HRVATSKO"/>
    <s v="VLADIMIRA NAZORA 77, LUČ"/>
    <s v="NE"/>
    <s v="SSS"/>
    <m/>
    <s v="Telefonist-operater u call c."/>
    <s v="Telefonist-operater u call c."/>
    <s v="ODREĐENO"/>
    <m/>
    <s v="PUNO"/>
    <n v="40"/>
    <s v="HR1025000093220721435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99"/>
  </r>
  <r>
    <n v="168"/>
    <x v="1"/>
    <n v="372"/>
    <n v="22"/>
    <x v="10"/>
    <n v="16157428650"/>
    <s v="Zoltan Kiri"/>
    <s v="Ivana Gundulića 28"/>
    <x v="242"/>
    <x v="163"/>
    <d v="2020-11-06T00:00:00"/>
    <n v="64018450877"/>
    <s v="Ž-ŽENSKO"/>
    <d v="1977-01-15T00:00:00"/>
    <s v="Osijek"/>
    <s v="HRVATSKO"/>
    <s v="SJENJAK 13, OSIJEK"/>
    <s v="NE"/>
    <s v="VSS"/>
    <m/>
    <s v="Telefonist-operater u call c."/>
    <s v="Telefonist-operater u call c."/>
    <s v="ODREĐENO"/>
    <m/>
    <s v="PUNO"/>
    <n v="40"/>
    <s v="HR2123600003234506411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200"/>
  </r>
  <r>
    <n v="1"/>
    <x v="2"/>
    <n v="373"/>
    <n v="35"/>
    <x v="19"/>
    <s v="06914228422"/>
    <s v="Valentin Varga"/>
    <s v="Ivana Gundulića 28"/>
    <x v="243"/>
    <x v="145"/>
    <m/>
    <n v="22999527740"/>
    <s v="M-MUŠKO"/>
    <d v="1999-10-06T00:00:00"/>
    <s v="OSIJEK"/>
    <s v="HRVATSKO"/>
    <s v="HRVATSKE VOJSKE 8, BILJE"/>
    <s v="NE"/>
    <s v="SSS"/>
    <m/>
    <s v="DIREKTOR"/>
    <s v="DIREKTOR"/>
    <s v="NEODREĐENO"/>
    <m/>
    <s v="PUNO"/>
    <n v="40"/>
    <s v="HR0423400093233917010"/>
    <m/>
    <m/>
    <m/>
    <m/>
    <m/>
    <s v="Osijek"/>
    <m/>
    <m/>
    <m/>
    <s v="NE"/>
    <n v="5491.2"/>
    <n v="1"/>
    <n v="4408.29"/>
    <m/>
    <m/>
    <m/>
    <m/>
    <m/>
    <m/>
    <m/>
    <m/>
    <m/>
    <m/>
    <s v="AKTIVAN"/>
    <n v="1"/>
  </r>
  <r>
    <n v="168"/>
    <x v="1"/>
    <n v="374"/>
    <n v="22"/>
    <x v="10"/>
    <n v="16157428650"/>
    <s v="Zoltan Kiri"/>
    <s v="Ivana Gundulića 28"/>
    <x v="244"/>
    <x v="164"/>
    <d v="2020-11-30T00:00:00"/>
    <n v="81001608709"/>
    <s v="Ž-ŽENSKO"/>
    <d v="1992-04-02T00:00:00"/>
    <s v="OSIJEK"/>
    <s v="HRVATSKO"/>
    <s v="JOSIPA PANČIĆA 39, BELI MANASTIR"/>
    <s v="NE"/>
    <s v="SSS"/>
    <m/>
    <s v="Telefonist-operater u call c."/>
    <s v="Telefonist-operater u call c."/>
    <s v="ODREĐENO"/>
    <m/>
    <s v="PUNO"/>
    <n v="40"/>
    <s v="HR3823900013221234842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201"/>
  </r>
  <r>
    <n v="169"/>
    <x v="1"/>
    <n v="375"/>
    <n v="22"/>
    <x v="10"/>
    <n v="16157428650"/>
    <s v="Zoltan Kiri"/>
    <s v="Ivana Gundulića 28"/>
    <x v="245"/>
    <x v="55"/>
    <d v="2020-12-13T00:00:00"/>
    <s v="04017099391"/>
    <s v="Ž-ŽENSKO"/>
    <d v="1997-10-19T00:00:00"/>
    <s v="Osijek"/>
    <s v="HRVATSKO"/>
    <s v="Eugena Kvaternika 3, Valpovo"/>
    <s v="NE"/>
    <s v="SSS"/>
    <m/>
    <s v="Telefonist-operater u call c."/>
    <s v="Telefonist-operater u call c."/>
    <s v="NEODREĐENO"/>
    <m/>
    <s v="PUNO"/>
    <n v="40"/>
    <m/>
    <m/>
    <m/>
    <m/>
    <m/>
    <m/>
    <s v="Valpovo"/>
    <m/>
    <m/>
    <m/>
    <s v="NE"/>
    <n v="4062.51"/>
    <n v="1"/>
    <n v="3250"/>
    <m/>
    <m/>
    <m/>
    <m/>
    <m/>
    <m/>
    <m/>
    <m/>
    <m/>
    <m/>
    <s v="AKTIVAN"/>
    <n v="169"/>
  </r>
  <r>
    <n v="1"/>
    <x v="2"/>
    <n v="376"/>
    <n v="36"/>
    <x v="20"/>
    <n v="45575918003"/>
    <s v="Balázs Kulcsár"/>
    <s v="Ribarska 10"/>
    <x v="246"/>
    <x v="165"/>
    <m/>
    <n v="73717195719"/>
    <s v="Ž-ŽENSKO"/>
    <d v="1985-08-23T00:00:00"/>
    <s v="Osijek"/>
    <s v="HRVATSKO"/>
    <s v="ZLATNA 18,ALJMAŠ"/>
    <s v="NE"/>
    <s v="VSS"/>
    <m/>
    <s v="ADMINISTRATOR"/>
    <s v="ADMINISTRATOR"/>
    <s v="NEODREĐENO"/>
    <m/>
    <s v="PUNO"/>
    <n v="40"/>
    <s v="HR83 24840083235724467"/>
    <m/>
    <m/>
    <m/>
    <m/>
    <m/>
    <s v="Osijek"/>
    <m/>
    <m/>
    <m/>
    <s v="NE"/>
    <n v="5084.22"/>
    <n v="1"/>
    <n v="4000"/>
    <n v="275"/>
    <m/>
    <m/>
    <m/>
    <m/>
    <m/>
    <m/>
    <m/>
    <m/>
    <m/>
    <s v="AKTIVAN"/>
    <n v="1"/>
  </r>
  <r>
    <n v="2"/>
    <x v="2"/>
    <n v="377"/>
    <n v="36"/>
    <x v="20"/>
    <n v="45575918003"/>
    <s v="Balázs Kulcsár"/>
    <s v="Ribarska 10"/>
    <x v="43"/>
    <x v="165"/>
    <m/>
    <n v="16260284290"/>
    <s v="Ž-ŽENSKO"/>
    <d v="1978-06-18T00:00:00"/>
    <s v="Osijek"/>
    <s v="HRVATSKO"/>
    <s v="Šandora Petefija 116, Osijek"/>
    <s v="NE"/>
    <s v="SSS"/>
    <m/>
    <s v="Voditelj call centra"/>
    <s v="Voditelj call centra"/>
    <s v="NEODREĐENO"/>
    <m/>
    <s v="PUNO"/>
    <n v="40"/>
    <s v="HR90 23900013220829125"/>
    <m/>
    <m/>
    <m/>
    <m/>
    <m/>
    <s v="Osijek"/>
    <m/>
    <m/>
    <m/>
    <s v="NE"/>
    <n v="5875"/>
    <n v="1"/>
    <n v="4700"/>
    <n v="275"/>
    <m/>
    <m/>
    <m/>
    <m/>
    <m/>
    <m/>
    <m/>
    <m/>
    <m/>
    <s v="AKTIVAN"/>
    <n v="2"/>
  </r>
  <r>
    <n v="3"/>
    <x v="2"/>
    <n v="378"/>
    <n v="36"/>
    <x v="20"/>
    <n v="45575918003"/>
    <s v="Balázs Kulcsár"/>
    <s v="Ribarska 10"/>
    <x v="32"/>
    <x v="165"/>
    <m/>
    <n v="16065838903"/>
    <s v="Ž-ŽENSKO"/>
    <d v="1982-09-22T00:00:00"/>
    <s v="Osijek"/>
    <s v="HRVATSKO"/>
    <s v="Martina Divalta 168,Osijek"/>
    <s v="NE"/>
    <s v="SSS"/>
    <m/>
    <s v="ADMINISTRATOR"/>
    <s v="ADMINISTRATOR"/>
    <s v="NEODREĐENO"/>
    <m/>
    <s v="PUNO"/>
    <n v="40"/>
    <s v="HR79 23400093219299118 "/>
    <m/>
    <m/>
    <m/>
    <m/>
    <m/>
    <s v="Osijek"/>
    <m/>
    <m/>
    <m/>
    <s v="NE"/>
    <n v="5875"/>
    <n v="1"/>
    <n v="4700"/>
    <n v="275"/>
    <m/>
    <m/>
    <m/>
    <m/>
    <m/>
    <m/>
    <m/>
    <m/>
    <m/>
    <s v="AKTIVAN"/>
    <n v="3"/>
  </r>
  <r>
    <n v="4"/>
    <x v="2"/>
    <n v="379"/>
    <n v="36"/>
    <x v="20"/>
    <n v="45575918003"/>
    <s v="Balázs Kulcsár"/>
    <s v="Ribarska 10"/>
    <x v="35"/>
    <x v="166"/>
    <m/>
    <n v="68121059947"/>
    <s v="Ž-ŽENSKO"/>
    <d v="1964-08-23T00:00:00"/>
    <s v="Osijek"/>
    <s v="HRVATSKO"/>
    <s v="Mlinska 100, Osijek"/>
    <s v="NE"/>
    <s v="SSS"/>
    <m/>
    <s v="Telefonist-operater u call c."/>
    <s v="Telefonist-operater u call c."/>
    <s v="NEODREĐENO"/>
    <m/>
    <s v="PUNO"/>
    <n v="40"/>
    <s v="HR64 23400093205095678 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4"/>
  </r>
  <r>
    <n v="5"/>
    <x v="2"/>
    <n v="380"/>
    <n v="36"/>
    <x v="20"/>
    <n v="45575918003"/>
    <s v="Balázs Kulcsár"/>
    <s v="Ribarska 10"/>
    <x v="105"/>
    <x v="166"/>
    <m/>
    <n v="13956960436"/>
    <s v="Ž-ŽENSKO"/>
    <d v="1979-10-06T00:00:00"/>
    <s v="Osijek"/>
    <s v="HRVATSKO"/>
    <s v="PROMINSKA 68, OSIJEK"/>
    <s v="NE"/>
    <s v="SSS"/>
    <m/>
    <s v="Telefonist-operater u call c."/>
    <s v="Telefonist-operater u call c."/>
    <s v="NEODREĐENO"/>
    <m/>
    <s v="PUNO"/>
    <n v="40"/>
    <s v="HR16 23600003248158378 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5"/>
  </r>
  <r>
    <n v="6"/>
    <x v="2"/>
    <n v="381"/>
    <n v="36"/>
    <x v="20"/>
    <n v="45575918003"/>
    <s v="Balázs Kulcsár"/>
    <s v="Ribarska 10"/>
    <x v="33"/>
    <x v="166"/>
    <m/>
    <n v="91993718714"/>
    <s v="Ž-ŽENSKO"/>
    <d v="1967-03-14T00:00:00"/>
    <s v="Granice"/>
    <s v="HRVATSKO"/>
    <s v="Josipa Kozarca 25, Višnjevac, Osijek"/>
    <s v="NE"/>
    <s v="SSS"/>
    <m/>
    <s v="Telefonist-operater u call c."/>
    <s v="Telefonist-operater u call c."/>
    <s v="NEODREĐENO"/>
    <m/>
    <s v="PUNO"/>
    <n v="40"/>
    <s v="HR67 25000093220890935 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6"/>
  </r>
  <r>
    <n v="7"/>
    <x v="2"/>
    <n v="382"/>
    <n v="36"/>
    <x v="20"/>
    <n v="45575918003"/>
    <s v="Balázs Kulcsár"/>
    <s v="Ribarska 10"/>
    <x v="31"/>
    <x v="166"/>
    <m/>
    <n v="46651411474"/>
    <s v="Ž-ŽENSKO"/>
    <d v="1965-12-20T00:00:00"/>
    <s v="Osijek"/>
    <s v="HRVATSKO"/>
    <s v="Psunjska 93A,Osijek"/>
    <s v="NE"/>
    <s v="SSS"/>
    <m/>
    <s v="Telefonist-operater u call c."/>
    <s v="Telefonist-operater u call c."/>
    <s v="NEODREĐENO"/>
    <m/>
    <s v="PUNO"/>
    <n v="40"/>
    <s v="HR55 24840083229977236 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7"/>
  </r>
  <r>
    <n v="8"/>
    <x v="2"/>
    <n v="383"/>
    <n v="36"/>
    <x v="20"/>
    <n v="45575918003"/>
    <s v="Balázs Kulcsár"/>
    <s v="Ribarska 10"/>
    <x v="77"/>
    <x v="166"/>
    <m/>
    <n v="21298366100"/>
    <s v="Ž-ŽENSKO"/>
    <d v="1971-09-24T00:00:00"/>
    <s v="Kneževo"/>
    <s v="HRVATSKO"/>
    <s v="J.J.Strossmayera 230 Osijek"/>
    <s v="NE"/>
    <s v="SSS"/>
    <m/>
    <s v="Telefonist-operater u call c."/>
    <s v="Telefonist-operater u call c."/>
    <s v="NEODREĐENO"/>
    <m/>
    <s v="PUNO"/>
    <n v="40"/>
    <s v="HR30 25000093205334450 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8"/>
  </r>
  <r>
    <n v="9"/>
    <x v="2"/>
    <n v="384"/>
    <n v="36"/>
    <x v="20"/>
    <n v="45575918003"/>
    <s v="Balázs Kulcsár"/>
    <s v="Ribarska 10"/>
    <x v="60"/>
    <x v="166"/>
    <m/>
    <n v="89289096005"/>
    <s v="Ž-ŽENSKO"/>
    <d v="1973-12-22T00:00:00"/>
    <s v="Kneževo"/>
    <s v="HRVATSKO"/>
    <s v="Braće Radić 2a,Topolje"/>
    <s v="NE"/>
    <s v="SSS"/>
    <m/>
    <s v="Telefonist-operater u call c."/>
    <s v="Telefonist-operater u call c."/>
    <s v="NEODREĐENO"/>
    <m/>
    <s v="PUNO"/>
    <n v="40"/>
    <s v="HR42 24840083236784639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9"/>
  </r>
  <r>
    <n v="10"/>
    <x v="2"/>
    <n v="385"/>
    <n v="36"/>
    <x v="20"/>
    <n v="45575918003"/>
    <s v="Balázs Kulcsár"/>
    <s v="Ribarska 10"/>
    <x v="25"/>
    <x v="166"/>
    <m/>
    <n v="22044787722"/>
    <s v="M-MUŠKO"/>
    <d v="1995-06-29T00:00:00"/>
    <s v="Sombor"/>
    <s v="HRVATSKO"/>
    <s v="Glavna 100, Podolje, Draž"/>
    <s v="NE"/>
    <s v="SSS"/>
    <m/>
    <s v="Trgovački demonstrator"/>
    <s v="Trgovački demonstrator"/>
    <s v="NEODREĐENO"/>
    <m/>
    <s v="PUNO"/>
    <n v="40"/>
    <s v="HR17 23400093230367255 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0"/>
  </r>
  <r>
    <n v="11"/>
    <x v="2"/>
    <n v="386"/>
    <n v="36"/>
    <x v="20"/>
    <n v="45575918003"/>
    <s v="Balázs Kulcsár"/>
    <s v="Ribarska 10"/>
    <x v="24"/>
    <x v="166"/>
    <m/>
    <n v="24461973764"/>
    <s v="Ž-ŽENSKO"/>
    <d v="1992-03-22T00:00:00"/>
    <s v="Osijek"/>
    <s v="HRVATSKO"/>
    <s v="J. Pannoniousa 9, Branjin Vrh"/>
    <s v="NE"/>
    <s v="SSS"/>
    <m/>
    <s v="Trgovački demonstrator"/>
    <s v="Trgovački demonstrator"/>
    <s v="NEODREĐENO"/>
    <m/>
    <s v="PUNO"/>
    <n v="40"/>
    <s v="HR53 23900013291005896 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1"/>
  </r>
  <r>
    <n v="12"/>
    <x v="2"/>
    <n v="387"/>
    <n v="36"/>
    <x v="20"/>
    <n v="45575918003"/>
    <s v="Balázs Kulcsár"/>
    <s v="Ribarska 10"/>
    <x v="23"/>
    <x v="166"/>
    <m/>
    <n v="92132715760"/>
    <s v="M-MUŠKO"/>
    <d v="1990-10-30T00:00:00"/>
    <s v="Osijek"/>
    <s v="HRVATSKO"/>
    <s v="ŠANDORA PETEFIJA 57,ZMAJEVAC"/>
    <s v="NE"/>
    <s v="SSS"/>
    <m/>
    <s v="Trgovački demonstrator"/>
    <s v="Trgovački demonstrator"/>
    <s v="NEODREĐENO"/>
    <m/>
    <s v="PUNO"/>
    <n v="40"/>
    <s v="HR39 23400093219252502 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2"/>
  </r>
  <r>
    <n v="13"/>
    <x v="1"/>
    <n v="388"/>
    <n v="36"/>
    <x v="20"/>
    <n v="45575918003"/>
    <s v="Balázs Kulcsár"/>
    <s v="Ribarska 10"/>
    <x v="64"/>
    <x v="166"/>
    <d v="2022-05-05T00:00:00"/>
    <n v="48436445080"/>
    <s v="Ž-ŽENSKO"/>
    <d v="1993-12-03T00:00:00"/>
    <s v="Osijek"/>
    <s v="HRVATSKO"/>
    <s v="VINOGRADSKA 11,BRANJIN VRH"/>
    <s v="NE"/>
    <s v="SSS"/>
    <m/>
    <s v="Trgovački demonstrator"/>
    <s v="Trgovački demonstrator"/>
    <s v="NEODREĐENO"/>
    <d v="2022-05-05T00:00:00"/>
    <s v="PUNO"/>
    <n v="40"/>
    <s v="HR52 23400093215341422 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3"/>
  </r>
  <r>
    <n v="14"/>
    <x v="2"/>
    <n v="389"/>
    <n v="36"/>
    <x v="20"/>
    <n v="45575918003"/>
    <s v="Balázs Kulcsár"/>
    <s v="Ribarska 10"/>
    <x v="27"/>
    <x v="166"/>
    <m/>
    <n v="25820706885"/>
    <s v="M-MUŠKO"/>
    <d v="1996-09-04T00:00:00"/>
    <s v="Osijek"/>
    <s v="HRVATSKO"/>
    <s v="Josipa Kozarca 25, Višnjevac, Osijek"/>
    <s v="NE"/>
    <s v="SSS"/>
    <m/>
    <s v="Trgovački demonstrator"/>
    <s v="Trgovački demonstrator"/>
    <s v="NEODREĐENO"/>
    <m/>
    <s v="PUNO"/>
    <n v="40"/>
    <s v="HR70 23600003243801815 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4"/>
  </r>
  <r>
    <n v="15"/>
    <x v="2"/>
    <n v="390"/>
    <n v="36"/>
    <x v="20"/>
    <n v="45575918003"/>
    <s v="Balázs Kulcsár"/>
    <s v="Ribarska 10"/>
    <x v="54"/>
    <x v="166"/>
    <m/>
    <n v="77889524913"/>
    <s v="M-MUŠKO"/>
    <d v="1993-03-08T00:00:00"/>
    <s v="Osijek"/>
    <s v="HRVATSKO"/>
    <s v="PETEFI ŠANDORA 43, KNEŽEVI VINOGRADI"/>
    <s v="NE"/>
    <s v="SSS"/>
    <m/>
    <s v="Trgovački demonstrator"/>
    <s v="Trgovački demonstrator"/>
    <s v="NEODREĐENO"/>
    <m/>
    <s v="PUNO"/>
    <n v="40"/>
    <s v="HR93 23400093214209858 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5"/>
  </r>
  <r>
    <n v="16"/>
    <x v="1"/>
    <n v="391"/>
    <n v="36"/>
    <x v="20"/>
    <n v="45575918003"/>
    <s v="Balázs Kulcsár"/>
    <s v="Ribarska 10"/>
    <x v="110"/>
    <x v="166"/>
    <d v="2022-01-24T00:00:00"/>
    <n v="56588131100"/>
    <s v="Ž-ŽENSKO"/>
    <d v="2000-01-27T00:00:00"/>
    <s v="Osijek"/>
    <s v="HRVATSKO"/>
    <s v="UL.MATIJE VLAČIĆA 24, TENJA"/>
    <s v="NE"/>
    <s v="SSS"/>
    <m/>
    <s v="Trgovački demonstrator"/>
    <s v="Trgovački demonstrator"/>
    <s v="NEODREĐENO"/>
    <m/>
    <s v="PUNO"/>
    <n v="40"/>
    <s v="HR39 23600003247347141 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6"/>
  </r>
  <r>
    <n v="17"/>
    <x v="2"/>
    <n v="392"/>
    <n v="36"/>
    <x v="20"/>
    <n v="45575918003"/>
    <s v="Balázs Kulcsár"/>
    <s v="Ribarska 10"/>
    <x v="44"/>
    <x v="167"/>
    <m/>
    <s v="02808842683"/>
    <s v="Ž-ŽENSKO"/>
    <d v="1957-05-14T00:00:00"/>
    <s v="Vinkovci"/>
    <s v="HRVATSKO"/>
    <s v="Kralja Tomislava 6 c, Višnjeva"/>
    <s v="NE"/>
    <s v="SSS"/>
    <m/>
    <s v="Telefonist-operater u call c."/>
    <s v="Telefonist-operater u call c."/>
    <s v="NEODREĐENO"/>
    <m/>
    <s v="PUNO"/>
    <n v="40"/>
    <s v="HR77 24020063206518524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17"/>
  </r>
  <r>
    <n v="18"/>
    <x v="2"/>
    <n v="393"/>
    <n v="36"/>
    <x v="20"/>
    <n v="45575918003"/>
    <s v="Balázs Kulcsár"/>
    <s v="Ribarska 10"/>
    <x v="30"/>
    <x v="168"/>
    <m/>
    <n v="951235574"/>
    <s v="Ž-ŽENSKO"/>
    <d v="1970-07-27T00:00:00"/>
    <s v="Osijek"/>
    <s v="HRVATSKO"/>
    <s v="Vijenac Petrove Gore 13"/>
    <s v="NE"/>
    <s v="SSS"/>
    <m/>
    <s v="Telefonist-operater u call c."/>
    <s v="Telefonist-operater u call c."/>
    <s v="NEODREĐENO"/>
    <m/>
    <s v="PUNO"/>
    <n v="40"/>
    <s v="HR6125000093206606047"/>
    <m/>
    <m/>
    <m/>
    <m/>
    <m/>
    <s v="Osijek"/>
    <m/>
    <m/>
    <m/>
    <s v="NE"/>
    <n v="4250"/>
    <n v="1.7"/>
    <n v="3400"/>
    <m/>
    <m/>
    <m/>
    <m/>
    <m/>
    <m/>
    <m/>
    <m/>
    <m/>
    <n v="0"/>
    <s v="AKTIVAN"/>
    <n v="18"/>
  </r>
  <r>
    <n v="19"/>
    <x v="2"/>
    <n v="394"/>
    <n v="36"/>
    <x v="20"/>
    <n v="45575918003"/>
    <s v="Balázs Kulcsár"/>
    <s v="Ribarska 10"/>
    <x v="99"/>
    <x v="168"/>
    <m/>
    <n v="20968805238"/>
    <s v="Ž-ŽENSKO"/>
    <d v="1981-01-18T00:00:00"/>
    <s v="Osijek"/>
    <s v="HRVATSKO"/>
    <s v="ZMAJ JOVE JOVANOVIĆA 10,31000 OSIJEK"/>
    <s v="NE"/>
    <s v="SSS"/>
    <m/>
    <s v="Telefonist-operater u call c."/>
    <s v="Telefonist-operater u call c."/>
    <s v="NEODREĐENO"/>
    <m/>
    <s v="PUNO"/>
    <n v="40"/>
    <s v="HR14 2360 0003 2183 0443 3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19"/>
  </r>
  <r>
    <n v="20"/>
    <x v="2"/>
    <n v="395"/>
    <n v="36"/>
    <x v="20"/>
    <n v="45575918003"/>
    <s v="Balázs Kulcsár"/>
    <s v="Ribarska 10"/>
    <x v="47"/>
    <x v="169"/>
    <m/>
    <s v="05826363901"/>
    <s v="Ž-ŽENSKO"/>
    <d v="1960-03-07T00:00:00"/>
    <s v="OSIJEK"/>
    <s v="HRVATSKO"/>
    <s v="Dr. Franje Tuđmana 14, Beli Manastir"/>
    <s v="NE"/>
    <s v="SSS"/>
    <m/>
    <s v="Telefonist-operater u call c."/>
    <s v="Telefonist-operater u call c."/>
    <s v="NEODREĐENO"/>
    <m/>
    <s v="PUNO"/>
    <n v="40"/>
    <s v="HR4025000091102013430, HR8923900013505956472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20"/>
  </r>
  <r>
    <n v="21"/>
    <x v="1"/>
    <n v="396"/>
    <n v="36"/>
    <x v="20"/>
    <n v="45575918003"/>
    <s v="Balázs Kulcsár"/>
    <s v="Ribarska 10"/>
    <x v="37"/>
    <x v="169"/>
    <d v="2021-02-05T00:00:00"/>
    <n v="35395242811"/>
    <s v="Ž-ŽENSKO"/>
    <d v="1977-10-06T00:00:00"/>
    <s v="Osijek"/>
    <s v="HRVATSKO"/>
    <s v="J.J. Strossmayera 82, Osijek"/>
    <s v="NE"/>
    <s v="SSS"/>
    <m/>
    <s v="Telefonist-operater u call c."/>
    <s v="Telefonist-operater u call c."/>
    <s v="NEODREĐENO"/>
    <m/>
    <s v="PUNO"/>
    <n v="40"/>
    <s v="HR6124020063203447404, HR2324020063580284358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21"/>
  </r>
  <r>
    <n v="22"/>
    <x v="1"/>
    <n v="397"/>
    <n v="36"/>
    <x v="20"/>
    <n v="45575918003"/>
    <s v="Balázs Kulcsár"/>
    <s v="Ribarska 10"/>
    <x v="247"/>
    <x v="169"/>
    <d v="2021-07-14T00:00:00"/>
    <n v="35070183473"/>
    <s v="Ž-ŽENSKO"/>
    <d v="1985-02-22T00:00:00"/>
    <s v="Osijek"/>
    <s v="HRVATSKO"/>
    <s v="Vlašička 5, Osijek"/>
    <s v="NE"/>
    <s v="SSS"/>
    <m/>
    <s v="Telefonist-operater u call c."/>
    <s v="Telefonist-operater u call c."/>
    <s v="NEODREĐENO"/>
    <m/>
    <s v="PUNO"/>
    <n v="40"/>
    <s v="HR6323400093232278685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22"/>
  </r>
  <r>
    <n v="23"/>
    <x v="2"/>
    <n v="398"/>
    <n v="36"/>
    <x v="20"/>
    <n v="45575918003"/>
    <s v="Balázs Kulcsár"/>
    <s v="Ribarska 10"/>
    <x v="248"/>
    <x v="169"/>
    <m/>
    <s v="04320772518"/>
    <s v="Ž-ŽENSKO"/>
    <d v="1959-09-21T00:00:00"/>
    <s v="Osijek"/>
    <s v="HRVATSKO"/>
    <s v="Dunavska 5, Osijek"/>
    <s v="NE"/>
    <s v="SSS"/>
    <m/>
    <s v="Telefonist-operater u call c."/>
    <s v="Telefonist-operater u call c."/>
    <s v="NEODREĐENO"/>
    <m/>
    <s v="PUNO"/>
    <n v="40"/>
    <s v="HR9825000093221297389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23"/>
  </r>
  <r>
    <n v="24"/>
    <x v="1"/>
    <n v="399"/>
    <n v="36"/>
    <x v="20"/>
    <n v="45575918003"/>
    <s v="Balázs Kulcsár"/>
    <s v="Ribarska 10"/>
    <x v="108"/>
    <x v="170"/>
    <d v="2021-07-18T00:00:00"/>
    <n v="72094958860"/>
    <s v="Ž-ŽENSKO"/>
    <d v="1996-03-13T00:00:00"/>
    <s v="Višnjevac"/>
    <s v="HRVATSKO"/>
    <s v="IVANA MAŽURANIĆA 28, VIŠNJEVAC"/>
    <s v="NE"/>
    <s v="SSS"/>
    <m/>
    <s v="TRGOVAČKI DEMONSTRATOR"/>
    <s v="TRGOVAČKI DEMONSTARTOR"/>
    <s v="NEODREĐENO"/>
    <m/>
    <s v="PUNO"/>
    <n v="40"/>
    <s v="HR0825000093206824087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24"/>
  </r>
  <r>
    <n v="25"/>
    <x v="1"/>
    <n v="400"/>
    <n v="36"/>
    <x v="20"/>
    <n v="45575918003"/>
    <s v="Balázs Kulcsár"/>
    <s v="Ribarska 10"/>
    <x v="29"/>
    <x v="170"/>
    <d v="2022-01-28T00:00:00"/>
    <s v="91608925694"/>
    <s v="M-MUŠKO"/>
    <d v="1993-03-23T00:00:00"/>
    <s v="Osijek"/>
    <s v="HRVATSKO"/>
    <s v="Školska 52, Beli Manastir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n v="0"/>
    <s v="NEAKTIVAN"/>
    <n v="25"/>
  </r>
  <r>
    <n v="1"/>
    <x v="1"/>
    <n v="401"/>
    <n v="37"/>
    <x v="21"/>
    <n v="29241410238"/>
    <s v="Zoltán Károly Sinkovits"/>
    <s v="Cankarova ulica 1"/>
    <x v="249"/>
    <x v="171"/>
    <d v="2020-12-03T00:00:00"/>
    <n v="65607516186"/>
    <s v="Ž-ŽENSKO"/>
    <d v="2000-12-01T00:00:00"/>
    <s v="Osijek"/>
    <s v="HRVATSKO"/>
    <s v="Đure Đakovića 10, Darda"/>
    <s v="NE"/>
    <s v="SSS"/>
    <m/>
    <s v="Administrativni službenik"/>
    <s v="Administrativni službenik"/>
    <s v="ODREĐENO"/>
    <d v="2020-12-03T00:00:00"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"/>
  </r>
  <r>
    <n v="2"/>
    <x v="2"/>
    <n v="402"/>
    <n v="37"/>
    <x v="21"/>
    <n v="29241410238"/>
    <s v="Zoltán Károly Sinkovits"/>
    <s v="Cankarova ulica 1"/>
    <x v="250"/>
    <x v="172"/>
    <m/>
    <n v="99678442480"/>
    <s v="Ž-ŽENSKO"/>
    <d v="1990-03-27T00:00:00"/>
    <s v="Osijek"/>
    <s v="HRVATSKO"/>
    <s v="Srednja 36, Batina"/>
    <s v="NE"/>
    <s v="SSS"/>
    <m/>
    <s v="Administrativni službenik"/>
    <s v="Administrativni službenik"/>
    <s v="ODREĐENO"/>
    <d v="2021-04-30T00:00:00"/>
    <s v="PUNO"/>
    <n v="40"/>
    <s v="HR0223400093212695386"/>
    <m/>
    <m/>
    <m/>
    <m/>
    <m/>
    <s v="BELI MANASTIR"/>
    <m/>
    <m/>
    <m/>
    <s v="NE"/>
    <n v="4250"/>
    <n v="1"/>
    <n v="3400"/>
    <m/>
    <m/>
    <m/>
    <m/>
    <m/>
    <m/>
    <m/>
    <m/>
    <m/>
    <m/>
    <s v="AKTIVAN"/>
    <n v="2"/>
  </r>
  <r>
    <n v="1"/>
    <x v="2"/>
    <n v="403"/>
    <n v="38"/>
    <x v="22"/>
    <s v="06024223998"/>
    <s v="Gyula Kovács"/>
    <s v="Ivana Gundulića 28"/>
    <x v="251"/>
    <x v="173"/>
    <m/>
    <n v="45889176122"/>
    <s v="M-MUŠKO"/>
    <d v="1973-04-10T00:00:00"/>
    <s v="Bukurešt"/>
    <s v="RUMUNJSKO"/>
    <s v="MARGHITA, Jud. Bihor 254"/>
    <s v="NE"/>
    <s v="SSS"/>
    <m/>
    <s v="Direktor"/>
    <s v="Direktor"/>
    <s v="NEODREĐENO"/>
    <m/>
    <s v="NEPUNO"/>
    <n v="2"/>
    <s v="nema"/>
    <m/>
    <m/>
    <m/>
    <m/>
    <m/>
    <s v="Osijek"/>
    <m/>
    <m/>
    <m/>
    <s v="NE"/>
    <n v="300"/>
    <n v="1"/>
    <n v="185.76"/>
    <m/>
    <m/>
    <m/>
    <m/>
    <m/>
    <m/>
    <m/>
    <m/>
    <m/>
    <m/>
    <s v="AKTIVAN"/>
    <n v="1"/>
  </r>
  <r>
    <n v="3"/>
    <x v="2"/>
    <n v="404"/>
    <n v="12"/>
    <x v="5"/>
    <n v="15151568161"/>
    <s v="Zoltan Buthi"/>
    <s v="K. A. Stepinca 17, 31000 Osijek"/>
    <x v="167"/>
    <x v="174"/>
    <m/>
    <s v="05857155242"/>
    <s v="Ž-ŽENSKO"/>
    <d v="1980-12-25T00:00:00"/>
    <s v="KNEŽEVO"/>
    <s v="HRVATSKO"/>
    <s v="REPUBLIKE 92 B, 31204 PETRIJEVCI"/>
    <s v="NE"/>
    <s v="SSS"/>
    <m/>
    <s v="ADMINISTRATOR"/>
    <s v="ADMINISTRATOR"/>
    <s v="NEODREĐENO"/>
    <m/>
    <s v="PUNO"/>
    <n v="40"/>
    <s v="HR7823600003245283346"/>
    <m/>
    <m/>
    <m/>
    <m/>
    <m/>
    <s v="Osijek"/>
    <m/>
    <m/>
    <m/>
    <s v="NE"/>
    <n v="4250"/>
    <n v="0"/>
    <n v="3200"/>
    <m/>
    <m/>
    <m/>
    <m/>
    <m/>
    <m/>
    <m/>
    <m/>
    <m/>
    <m/>
    <s v="AKTIVAN"/>
    <n v="2"/>
  </r>
  <r>
    <n v="26"/>
    <x v="2"/>
    <n v="405"/>
    <n v="36"/>
    <x v="20"/>
    <n v="45575918003"/>
    <s v="Balázs Kulcsár"/>
    <s v="Ribarska 10"/>
    <x v="26"/>
    <x v="174"/>
    <m/>
    <n v="45227899437"/>
    <s v="M-MUŠKO"/>
    <d v="1996-08-19T00:00:00"/>
    <s v="Kneževo"/>
    <s v="HRVATSKO"/>
    <s v="Maršala Tita 129"/>
    <s v="NE"/>
    <s v="SSS"/>
    <m/>
    <s v="Trgovački dem. i prodavač"/>
    <s v="Trgovački dem. i prodavač"/>
    <s v="NEODREĐENO"/>
    <m/>
    <s v="PUNO"/>
    <n v="40"/>
    <s v="HR8123400093219290740"/>
    <m/>
    <m/>
    <m/>
    <m/>
    <m/>
    <s v="Osijek"/>
    <m/>
    <m/>
    <m/>
    <s v="NE"/>
    <n v="4375"/>
    <n v="1"/>
    <n v="3500"/>
    <m/>
    <m/>
    <m/>
    <n v="20"/>
    <m/>
    <m/>
    <m/>
    <m/>
    <m/>
    <m/>
    <s v="AKTIVAN"/>
    <n v="26"/>
  </r>
  <r>
    <n v="1"/>
    <x v="1"/>
    <n v="406"/>
    <n v="39"/>
    <x v="23"/>
    <n v="66024839254"/>
    <s v="Zsofi Kovacs"/>
    <s v="Ružina 41"/>
    <x v="252"/>
    <x v="175"/>
    <d v="2021-11-30T00:00:00"/>
    <n v="67883682481"/>
    <s v="Ž-ŽENSKO"/>
    <d v="1979-04-06T00:00:00"/>
    <s v="Marghita"/>
    <s v="RUMUNJSKO"/>
    <s v="Jud.BH Sat.Albis"/>
    <s v="NE"/>
    <s v="SSS"/>
    <m/>
    <s v="Direktor"/>
    <s v="Direktor"/>
    <s v="NEODREĐENO"/>
    <m/>
    <s v="PUNO"/>
    <n v="40"/>
    <s v="nema"/>
    <m/>
    <m/>
    <m/>
    <m/>
    <m/>
    <s v="Osijek"/>
    <m/>
    <m/>
    <m/>
    <s v="NE"/>
    <n v="5967.65"/>
    <n v="1"/>
    <n v="4559.17"/>
    <m/>
    <m/>
    <m/>
    <m/>
    <m/>
    <m/>
    <m/>
    <m/>
    <m/>
    <m/>
    <s v="AKTIVAN"/>
    <n v="1"/>
  </r>
  <r>
    <n v="1"/>
    <x v="2"/>
    <n v="407"/>
    <n v="31"/>
    <x v="24"/>
    <n v="69606074367"/>
    <s v="Marko Baban"/>
    <s v="Ulica Jela 60"/>
    <x v="253"/>
    <x v="176"/>
    <m/>
    <n v="96967409573"/>
    <s v="M-MUŠKO"/>
    <d v="1988-10-14T00:00:00"/>
    <s v="Osijek"/>
    <s v="HRVATSKO"/>
    <s v="Ulica Jela 60"/>
    <s v="NE"/>
    <s v="SSS"/>
    <m/>
    <s v="Direktor"/>
    <s v="Direktor"/>
    <s v="NEODREĐENO"/>
    <m/>
    <s v="PUNO"/>
    <n v="40"/>
    <s v="HR5523600003240196886"/>
    <m/>
    <m/>
    <m/>
    <m/>
    <m/>
    <s v="Osijek"/>
    <m/>
    <m/>
    <m/>
    <s v="NE"/>
    <n v="5967.65"/>
    <n v="1"/>
    <n v="4559.17"/>
    <n v="300"/>
    <m/>
    <m/>
    <m/>
    <m/>
    <m/>
    <m/>
    <m/>
    <m/>
    <m/>
    <s v="AKTIVAN"/>
    <n v="1"/>
  </r>
  <r>
    <n v="2"/>
    <x v="2"/>
    <n v="408"/>
    <n v="31"/>
    <x v="24"/>
    <n v="69606074367"/>
    <s v="Marko Baban"/>
    <s v="Ulica Jela 60"/>
    <x v="254"/>
    <x v="177"/>
    <m/>
    <n v="92761745667"/>
    <s v="M-MUŠKO"/>
    <d v="1986-04-14T00:00:00"/>
    <s v="Osijek"/>
    <s v="HRVATSKO"/>
    <s v="Kralja Dmitra Zvonimira 3"/>
    <s v="NE"/>
    <s v="SSS"/>
    <m/>
    <s v="Skladištar"/>
    <s v="Skladištar"/>
    <s v="NEODREĐENO"/>
    <m/>
    <s v="PUNO"/>
    <n v="40"/>
    <s v="HR4023400093214011768"/>
    <m/>
    <m/>
    <m/>
    <m/>
    <m/>
    <s v="Osijek"/>
    <m/>
    <m/>
    <m/>
    <s v="NE"/>
    <n v="6909.81"/>
    <n v="1"/>
    <n v="5207"/>
    <n v="969"/>
    <m/>
    <m/>
    <m/>
    <m/>
    <m/>
    <m/>
    <m/>
    <m/>
    <m/>
    <s v="AKTIVAN"/>
    <n v="2"/>
  </r>
  <r>
    <n v="3"/>
    <x v="1"/>
    <n v="409"/>
    <n v="31"/>
    <x v="24"/>
    <n v="69606074367"/>
    <s v="Marko Baban"/>
    <s v="Ulica Jela 60"/>
    <x v="255"/>
    <x v="178"/>
    <d v="2021-04-19T00:00:00"/>
    <n v="45176749364"/>
    <s v="Ž-ŽENSKO"/>
    <d v="1988-04-05T00:00:00"/>
    <s v="Osijek"/>
    <s v="HRVATSKO"/>
    <s v="Ulica Jela 60"/>
    <s v="NE"/>
    <s v="VSS"/>
    <m/>
    <s v="Administrator"/>
    <s v="Administrator"/>
    <s v="NEODREĐENO"/>
    <m/>
    <s v="PUNO"/>
    <n v="40"/>
    <s v="HR3725030073201938795"/>
    <m/>
    <m/>
    <m/>
    <m/>
    <m/>
    <s v="Osijek"/>
    <m/>
    <m/>
    <m/>
    <s v="NE"/>
    <n v="5058.1400000000003"/>
    <n v="1"/>
    <n v="4036"/>
    <n v="300"/>
    <m/>
    <m/>
    <m/>
    <m/>
    <m/>
    <m/>
    <m/>
    <m/>
    <m/>
    <s v="NEAKTIVAN"/>
    <n v="3"/>
  </r>
  <r>
    <n v="4"/>
    <x v="1"/>
    <n v="410"/>
    <n v="31"/>
    <x v="24"/>
    <n v="69606074367"/>
    <s v="Marko Baban"/>
    <s v="Ulica Jela 60"/>
    <x v="256"/>
    <x v="179"/>
    <d v="2021-05-13T00:00:00"/>
    <n v="34310439605"/>
    <s v="M-MUŠKO"/>
    <d v="1996-09-25T00:00:00"/>
    <s v="Našice"/>
    <s v="HRVATSKO"/>
    <s v="Gorica 27, 31540 Donji Miholjac"/>
    <s v="NE"/>
    <s v="NKV"/>
    <m/>
    <s v="Pomoćni skladištar"/>
    <s v="Pomoćni skladištar"/>
    <s v="ODREĐENO"/>
    <m/>
    <s v="PUNO"/>
    <n v="40"/>
    <s v="HR3223400093234467854"/>
    <m/>
    <m/>
    <m/>
    <m/>
    <m/>
    <s v="Osijek"/>
    <m/>
    <m/>
    <m/>
    <s v="NE"/>
    <n v="4907.5"/>
    <n v="1"/>
    <n v="3926"/>
    <n v="250"/>
    <m/>
    <m/>
    <m/>
    <m/>
    <m/>
    <m/>
    <m/>
    <m/>
    <m/>
    <s v="AKTIVAN"/>
    <n v="4"/>
  </r>
  <r>
    <n v="5"/>
    <x v="1"/>
    <n v="411"/>
    <n v="31"/>
    <x v="24"/>
    <n v="69606074367"/>
    <s v="Marko Baban"/>
    <s v="Ulica Jela 60"/>
    <x v="257"/>
    <x v="179"/>
    <d v="2021-05-06T00:00:00"/>
    <n v="88301688136"/>
    <s v="M-MUŠKO"/>
    <d v="1996-08-04T00:00:00"/>
    <s v="Osijek"/>
    <s v="HRVATSKO"/>
    <s v="Pašmanska 3, Osijek"/>
    <s v="NE"/>
    <s v="SSS"/>
    <m/>
    <s v="Pomoćni skladištar"/>
    <s v="Pomoćni skladištar"/>
    <s v="ODREĐENO"/>
    <m/>
    <s v="PUNO"/>
    <n v="40"/>
    <s v="HR2125000093206083452"/>
    <m/>
    <m/>
    <m/>
    <m/>
    <m/>
    <s v="Osijek"/>
    <m/>
    <m/>
    <m/>
    <s v="NE"/>
    <n v="4907.5"/>
    <n v="1"/>
    <n v="3926"/>
    <n v="250"/>
    <m/>
    <m/>
    <m/>
    <m/>
    <m/>
    <m/>
    <m/>
    <m/>
    <m/>
    <s v="NEAKTIVAN"/>
    <n v="5"/>
  </r>
  <r>
    <n v="27"/>
    <x v="1"/>
    <n v="412"/>
    <n v="36"/>
    <x v="20"/>
    <n v="45575918003"/>
    <s v="Balázs Kulcsár"/>
    <s v="Ribarska 10"/>
    <x v="103"/>
    <x v="180"/>
    <d v="2021-12-31T00:00:00"/>
    <n v="10828286402"/>
    <s v="Ž-ŽENSKO"/>
    <d v="1996-04-23T00:00:00"/>
    <s v="Osijek"/>
    <s v="HRVATSKO"/>
    <s v="Mirna ulica 7, 31214 Laslovo"/>
    <s v="NE"/>
    <s v="SSS"/>
    <m/>
    <s v="Telefonist-operater u call c."/>
    <s v="Telefonist-operater u call c."/>
    <s v="NEODREĐENO"/>
    <m/>
    <s v="PUNO"/>
    <n v="40"/>
    <s v="HR2525000093205745432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27"/>
  </r>
  <r>
    <n v="28"/>
    <x v="2"/>
    <n v="413"/>
    <n v="36"/>
    <x v="20"/>
    <n v="45575918003"/>
    <s v="Balázs Kulcsár"/>
    <s v="Ribarska 10"/>
    <x v="96"/>
    <x v="181"/>
    <m/>
    <n v="65362867403"/>
    <s v="Ž-ŽENSKO"/>
    <d v="1970-11-17T00:00:00"/>
    <s v="Frankfurt"/>
    <s v="HRVATSKO"/>
    <s v="Gornjodravska obala 91B, Osijek"/>
    <s v="NE"/>
    <s v="SSS"/>
    <m/>
    <s v="Telefonist-operater u call c."/>
    <s v="Telefonist-operater u call c."/>
    <s v="ODREĐENO"/>
    <m/>
    <s v="PUNO"/>
    <n v="40"/>
    <s v="HR7424020063205408898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28"/>
  </r>
  <r>
    <n v="29"/>
    <x v="1"/>
    <n v="414"/>
    <n v="36"/>
    <x v="20"/>
    <n v="45575918003"/>
    <s v="Balázs Kulcsár"/>
    <s v="Ribarska 10"/>
    <x v="258"/>
    <x v="182"/>
    <d v="2021-12-10T00:00:00"/>
    <n v="93734201839"/>
    <s v="M-MUŠKO"/>
    <d v="1959-06-28T00:00:00"/>
    <s v="OSIJEK"/>
    <s v="HRVATSKO"/>
    <s v="Zeleno polje 12, Osijek"/>
    <s v="NE"/>
    <s v="SSS"/>
    <m/>
    <s v="Telefonist-operater u call c."/>
    <s v="Telefonist-operater u call c."/>
    <s v="ODREĐENO"/>
    <m/>
    <s v="PUNO"/>
    <n v="40"/>
    <s v="HR5523600003216251175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29"/>
  </r>
  <r>
    <n v="30"/>
    <x v="2"/>
    <n v="415"/>
    <n v="36"/>
    <x v="20"/>
    <n v="45575918003"/>
    <s v="Balázs Kulcsár"/>
    <s v="Ribarska 10"/>
    <x v="55"/>
    <x v="181"/>
    <m/>
    <n v="79843816739"/>
    <s v="Ž-ŽENSKO"/>
    <d v="1975-07-10T00:00:00"/>
    <s v="Osijek"/>
    <s v="HRVATSKO"/>
    <s v="Vladimira Nazora 30, 31214 Laslovo"/>
    <s v="NE"/>
    <s v="SSS"/>
    <m/>
    <s v="Telefonist-operater u call c."/>
    <s v="Telefonist-operater u call c."/>
    <s v="ODREĐENO"/>
    <m/>
    <s v="PUNO"/>
    <n v="40"/>
    <s v="HR7523900013200063538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30"/>
  </r>
  <r>
    <n v="31"/>
    <x v="1"/>
    <n v="416"/>
    <n v="36"/>
    <x v="20"/>
    <n v="45575918003"/>
    <s v="Balázs Kulcsár"/>
    <s v="Ribarska 10"/>
    <x v="46"/>
    <x v="181"/>
    <d v="2021-05-19T00:00:00"/>
    <n v="56488239997"/>
    <s v="Ž-ŽENSKO"/>
    <d v="1974-08-22T00:00:00"/>
    <s v="OSIJEK"/>
    <s v="HRVATSKO"/>
    <s v="Ulica Ivana Gorana Kovačića 5, Osijek"/>
    <s v="NE"/>
    <s v="SSS"/>
    <m/>
    <s v="Telefonist-operater u call c."/>
    <s v="Telefonist-operater u call c."/>
    <s v="ODREĐENO"/>
    <m/>
    <s v="PUNO"/>
    <n v="40"/>
    <s v="HR75 23600003239233122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31"/>
  </r>
  <r>
    <n v="32"/>
    <x v="2"/>
    <n v="417"/>
    <n v="36"/>
    <x v="20"/>
    <n v="45575918003"/>
    <s v="Balázs Kulcsár"/>
    <s v="Ribarska 10"/>
    <x v="240"/>
    <x v="183"/>
    <m/>
    <n v="40826379926"/>
    <s v="Ž-ŽENSKO"/>
    <d v="1968-12-16T00:00:00"/>
    <m/>
    <m/>
    <s v="Podravska 2, Osijek"/>
    <s v="NE"/>
    <s v="SSS"/>
    <m/>
    <s v="Telefonist-operater u call c."/>
    <s v="Telefonist-operater u call c."/>
    <s v="ODREĐENO"/>
    <m/>
    <s v="PUNO"/>
    <n v="40"/>
    <s v="HR9823600003239272381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32"/>
  </r>
  <r>
    <n v="33"/>
    <x v="1"/>
    <n v="418"/>
    <n v="36"/>
    <x v="20"/>
    <n v="45575918003"/>
    <s v="Balázs Kulcsár"/>
    <s v="Ribarska 10"/>
    <x v="259"/>
    <x v="183"/>
    <d v="2021-05-07T00:00:00"/>
    <n v="28251652008"/>
    <s v="Ž-ŽENSKO"/>
    <d v="1989-02-12T00:00:00"/>
    <m/>
    <m/>
    <s v="Kardinala Alojzija Stepinca 82, Bizovac"/>
    <s v="NE"/>
    <s v="SSS"/>
    <m/>
    <s v="Telefonist-operater u call c."/>
    <s v="Telefonist-operater u call c."/>
    <s v="ODREĐENO"/>
    <m/>
    <s v="PUNO"/>
    <n v="40"/>
    <s v="HR1123400093211588939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33"/>
  </r>
  <r>
    <n v="6"/>
    <x v="2"/>
    <n v="419"/>
    <n v="31"/>
    <x v="24"/>
    <n v="69606074367"/>
    <s v="Marko Baban"/>
    <s v="Ulica Jela 60"/>
    <x v="260"/>
    <x v="184"/>
    <m/>
    <n v="16743426373"/>
    <s v="M-MUŠKO"/>
    <d v="1985-02-08T00:00:00"/>
    <m/>
    <m/>
    <s v="Kralja Tomislava 74A, Čepin"/>
    <s v="NE"/>
    <s v="SSS"/>
    <m/>
    <s v="Pomoćni skladištar"/>
    <s v="Pomoćni skladištar"/>
    <s v="ODREĐENO"/>
    <m/>
    <s v="PUNO"/>
    <n v="40"/>
    <s v="HR6925000093206514432"/>
    <m/>
    <m/>
    <m/>
    <m/>
    <m/>
    <s v="Osijek"/>
    <m/>
    <m/>
    <m/>
    <s v="NE"/>
    <n v="4907.5"/>
    <n v="1"/>
    <n v="3926"/>
    <m/>
    <m/>
    <m/>
    <m/>
    <m/>
    <m/>
    <m/>
    <m/>
    <m/>
    <m/>
    <s v="AKTIVAN"/>
    <n v="6"/>
  </r>
  <r>
    <n v="34"/>
    <x v="1"/>
    <n v="420"/>
    <n v="36"/>
    <x v="20"/>
    <n v="45575918003"/>
    <s v="Balázs Kulcsár"/>
    <s v="Ribarska 10"/>
    <x v="104"/>
    <x v="185"/>
    <d v="2021-06-30T00:00:00"/>
    <s v="07249139649"/>
    <s v="Ž-ŽENSKO"/>
    <d v="1968-01-14T00:00:00"/>
    <m/>
    <m/>
    <s v="Vilajska 24, Osijek"/>
    <s v="NE"/>
    <s v="SSS"/>
    <m/>
    <s v="Telefonist-operater u call c."/>
    <s v="Telefonist-operater u call c."/>
    <s v="ODREĐENO"/>
    <m/>
    <s v="PUNO"/>
    <n v="40"/>
    <s v="HR0223400093214854121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34"/>
  </r>
  <r>
    <n v="35"/>
    <x v="2"/>
    <n v="421"/>
    <n v="36"/>
    <x v="20"/>
    <n v="45575918003"/>
    <s v="Balázs Kulcsár"/>
    <s v="Ribarska 10"/>
    <x v="239"/>
    <x v="186"/>
    <m/>
    <n v="16238851829"/>
    <s v="M-MUŠKO"/>
    <d v="1966-01-18T00:00:00"/>
    <s v="BRANKA RADIČEVIĆA 3"/>
    <s v="NE"/>
    <s v="BRANKA RADIČEVIĆA 3"/>
    <s v="NE"/>
    <s v="SSS"/>
    <m/>
    <s v="Stručnjak zaštite na radu"/>
    <s v="Stručnjak zaštite na radu"/>
    <s v="NEODREĐENO"/>
    <m/>
    <s v="DOPUNSKO"/>
    <n v="2"/>
    <s v="HR9625000093221321675"/>
    <m/>
    <m/>
    <m/>
    <m/>
    <m/>
    <s v="Osijek"/>
    <m/>
    <m/>
    <m/>
    <s v="NE"/>
    <n v="514.54"/>
    <n v="1"/>
    <n v="300"/>
    <m/>
    <m/>
    <m/>
    <m/>
    <m/>
    <m/>
    <m/>
    <m/>
    <m/>
    <n v="197"/>
    <s v="AKTIVAN"/>
    <n v="35"/>
  </r>
  <r>
    <n v="7"/>
    <x v="2"/>
    <n v="422"/>
    <n v="31"/>
    <x v="24"/>
    <n v="69606074367"/>
    <s v="Marko Baban"/>
    <s v="Ulica Jela 60"/>
    <x v="261"/>
    <x v="187"/>
    <m/>
    <n v="53916846107"/>
    <s v="M-MUŠKO"/>
    <d v="1994-01-09T00:00:00"/>
    <m/>
    <m/>
    <s v="Stjepana Radića 123, 31431 Čepin"/>
    <s v="NE"/>
    <s v="SSS"/>
    <m/>
    <s v="Pomoćni skladištar"/>
    <s v="Pomoćni skladištar"/>
    <s v="ODREĐENO"/>
    <m/>
    <s v="PUNO"/>
    <n v="40"/>
    <s v="HR7625000093204017720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7"/>
  </r>
  <r>
    <n v="36"/>
    <x v="2"/>
    <n v="423"/>
    <n v="36"/>
    <x v="20"/>
    <n v="45575918003"/>
    <s v="Balázs Kulcsár"/>
    <s v="Ribarska 10"/>
    <x v="262"/>
    <x v="186"/>
    <m/>
    <n v="32178953943"/>
    <s v="Ž-ŽENSKO"/>
    <d v="1981-12-24T00:00:00"/>
    <m/>
    <m/>
    <s v="Vlašička 50, Osijek"/>
    <s v="NE"/>
    <s v="NKV"/>
    <m/>
    <s v="Telefonist-operater u call c."/>
    <s v="Telefonist-operater u call c."/>
    <s v="ODREĐENO"/>
    <m/>
    <s v="PUNO"/>
    <n v="40"/>
    <s v="HR6424840083223873931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36"/>
  </r>
  <r>
    <n v="1"/>
    <x v="1"/>
    <n v="424"/>
    <n v="40"/>
    <x v="25"/>
    <n v="86896896888"/>
    <s v="Kristof Nobilis"/>
    <s v="RUMBACH SEBESTYEN, 0015, 1075"/>
    <x v="263"/>
    <x v="188"/>
    <d v="2021-06-30T00:00:00"/>
    <n v="87566090847"/>
    <s v="M-MUŠKO"/>
    <d v="1978-05-04T00:00:00"/>
    <m/>
    <m/>
    <s v="Put Braće Hanovića 20, 51414 Oprić Ičići"/>
    <s v="NE"/>
    <s v="VŠS"/>
    <m/>
    <s v="VODITELJ GRADILIŠTA"/>
    <s v="VODITELJ GRADILIŠTA"/>
    <s v="ODREĐENO"/>
    <m/>
    <s v="NEPUNO"/>
    <n v="5"/>
    <s v="HR2724020063203509611"/>
    <m/>
    <m/>
    <m/>
    <m/>
    <m/>
    <s v="RIJEKA"/>
    <m/>
    <m/>
    <m/>
    <s v="NE"/>
    <n v="1000"/>
    <n v="1"/>
    <n v="600"/>
    <m/>
    <m/>
    <m/>
    <m/>
    <m/>
    <m/>
    <m/>
    <m/>
    <m/>
    <m/>
    <s v="AKTIVAN"/>
    <n v="1"/>
  </r>
  <r>
    <n v="37"/>
    <x v="1"/>
    <n v="425"/>
    <n v="36"/>
    <x v="20"/>
    <n v="45575918003"/>
    <s v="Balázs Kulcsár"/>
    <s v="Ribarska 10"/>
    <x v="122"/>
    <x v="189"/>
    <d v="2021-10-29T00:00:00"/>
    <n v="81476803276"/>
    <s v="Ž-ŽENSKO"/>
    <d v="1980-05-29T00:00:00"/>
    <m/>
    <m/>
    <s v="Ulica sv. Roka 52, Osijek"/>
    <s v="NE"/>
    <s v="SSS"/>
    <m/>
    <s v="Trgovački dem. i prodavač"/>
    <s v="Trgovački dem. i prodavač"/>
    <s v="NEODREĐENO"/>
    <m/>
    <s v="PUNO"/>
    <n v="40"/>
    <s v="HR6123600003239542319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37"/>
  </r>
  <r>
    <n v="38"/>
    <x v="1"/>
    <n v="426"/>
    <n v="36"/>
    <x v="20"/>
    <n v="45575918003"/>
    <s v="Balázs Kulcsár"/>
    <s v="Ribarska 10"/>
    <x v="264"/>
    <x v="190"/>
    <d v="2021-08-31T00:00:00"/>
    <n v="72105749783"/>
    <s v="Ž-ŽENSKO"/>
    <d v="1993-04-14T00:00:00"/>
    <m/>
    <m/>
    <s v="Psunjska 93A,Osijek"/>
    <s v="NE"/>
    <s v="SSS"/>
    <m/>
    <s v="Telefonist-operater u call c."/>
    <s v="Telefonist-operater u call c."/>
    <s v="ODREĐENO"/>
    <m/>
    <s v="PUNO"/>
    <n v="40"/>
    <s v="HR3823400093218873347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38"/>
  </r>
  <r>
    <n v="39"/>
    <x v="1"/>
    <n v="427"/>
    <n v="36"/>
    <x v="20"/>
    <n v="45575918003"/>
    <s v="Balázs Kulcsár"/>
    <s v="Ribarska 10"/>
    <x v="163"/>
    <x v="191"/>
    <d v="2021-08-31T00:00:00"/>
    <n v="19801410326"/>
    <s v="Ž-ŽENSKO"/>
    <d v="1979-10-05T00:00:00"/>
    <m/>
    <m/>
    <s v="Osječka 53, Josipovac"/>
    <s v="NE"/>
    <s v="SSS"/>
    <m/>
    <s v="Telefonist-operater u call c."/>
    <s v="Telefonist-operater u call c."/>
    <s v="ODREĐENO"/>
    <m/>
    <s v="PUNO"/>
    <n v="40"/>
    <s v="HR7324020063208867548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39"/>
  </r>
  <r>
    <n v="11"/>
    <x v="1"/>
    <n v="428"/>
    <n v="26"/>
    <x v="13"/>
    <n v="95114485977"/>
    <s v="LAURA GERGELJ"/>
    <s v="SV.IVANA KRSTITELJA 15, DARDA"/>
    <x v="265"/>
    <x v="190"/>
    <d v="2021-07-30T00:00:00"/>
    <n v="85275388635"/>
    <s v="M-MUŠKO"/>
    <d v="1999-04-02T00:00:00"/>
    <m/>
    <m/>
    <s v="Kolodvorska 100, Nijemci"/>
    <s v="NE"/>
    <s v="SSS"/>
    <m/>
    <s v="EKONOMIST"/>
    <s v="KNJIGOVOĐA"/>
    <s v="ODREĐENO"/>
    <m/>
    <s v="PUNO"/>
    <n v="40"/>
    <s v="HR2223400093233768858"/>
    <m/>
    <m/>
    <m/>
    <m/>
    <m/>
    <s v="Osijek"/>
    <m/>
    <m/>
    <m/>
    <s v="NE"/>
    <m/>
    <m/>
    <m/>
    <m/>
    <m/>
    <m/>
    <m/>
    <m/>
    <m/>
    <m/>
    <m/>
    <m/>
    <m/>
    <s v="AKTIVAN"/>
    <n v="11"/>
  </r>
  <r>
    <n v="40"/>
    <x v="1"/>
    <n v="429"/>
    <n v="36"/>
    <x v="20"/>
    <n v="45575918003"/>
    <s v="Balázs Kulcsár"/>
    <s v="Ribarska 10"/>
    <x v="108"/>
    <x v="192"/>
    <d v="2021-07-31T00:00:00"/>
    <n v="72094958860"/>
    <s v="Ž-ŽENSKO"/>
    <d v="1996-03-13T00:00:00"/>
    <s v="IVANA MAŽURANIĆA 28, VIŠNJEVAC"/>
    <s v="NE"/>
    <s v="IVANA MAŽURANIĆA 28, VIŠNJEVAC"/>
    <s v="NE"/>
    <s v="SSS"/>
    <m/>
    <s v="TRGOVAČKI DEMONSTRATOR"/>
    <s v="TRGOVAČKI DEMONSTARTOR"/>
    <s v="ODREĐENO"/>
    <m/>
    <s v="PUNO"/>
    <n v="40"/>
    <s v="HR0825000093206824087"/>
    <m/>
    <m/>
    <m/>
    <m/>
    <m/>
    <s v="Osijek"/>
    <m/>
    <m/>
    <m/>
    <s v="NE"/>
    <n v="4375"/>
    <n v="1"/>
    <n v="3500"/>
    <m/>
    <m/>
    <m/>
    <m/>
    <m/>
    <m/>
    <m/>
    <m/>
    <m/>
    <n v="24"/>
    <s v="NEAKTIVAN"/>
    <n v="40"/>
  </r>
  <r>
    <n v="41"/>
    <x v="1"/>
    <n v="430"/>
    <n v="36"/>
    <x v="20"/>
    <n v="45575918003"/>
    <s v="Balázs Kulcsár"/>
    <s v="Ribarska 10"/>
    <x v="266"/>
    <x v="193"/>
    <d v="2021-12-10T00:00:00"/>
    <n v="68536464458"/>
    <s v="Ž-ŽENSKO"/>
    <d v="1995-02-05T00:00:00"/>
    <m/>
    <m/>
    <s v="Umaška 17, Osijek"/>
    <s v="NE"/>
    <s v="SSS"/>
    <m/>
    <s v="Telefonist-operater u call c."/>
    <s v="Telefonist-operater u call c."/>
    <s v="ODREĐENO"/>
    <m/>
    <s v="PUNO"/>
    <n v="40"/>
    <s v="HR1825000093205371235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41"/>
  </r>
  <r>
    <n v="63"/>
    <x v="2"/>
    <n v="431"/>
    <n v="16"/>
    <x v="8"/>
    <n v="18241574410"/>
    <s v="LASZLO TIBOR"/>
    <s v="Ivana Gundulića 28"/>
    <x v="20"/>
    <x v="180"/>
    <m/>
    <s v="60536718657"/>
    <s v="M-MUŠKO"/>
    <d v="1973-06-19T00:00:00"/>
    <m/>
    <s v="HRVATSKO"/>
    <s v="Ivana Meštrovića 43, Darda"/>
    <s v="NE"/>
    <s v="SSS"/>
    <m/>
    <s v="Poslovođa"/>
    <s v="Poslovođa"/>
    <s v="NEODREĐENO"/>
    <m/>
    <s v="PUNO"/>
    <n v="40"/>
    <m/>
    <m/>
    <m/>
    <m/>
    <m/>
    <m/>
    <s v="Osijek"/>
    <m/>
    <m/>
    <m/>
    <s v="NE"/>
    <n v="10097.59"/>
    <n v="1"/>
    <n v="7000"/>
    <n v="5000"/>
    <m/>
    <m/>
    <m/>
    <m/>
    <m/>
    <m/>
    <m/>
    <m/>
    <n v="0"/>
    <s v="AKTIVAN"/>
    <n v="63"/>
  </r>
  <r>
    <n v="8"/>
    <x v="2"/>
    <n v="432"/>
    <n v="31"/>
    <x v="24"/>
    <n v="69606074367"/>
    <s v="Marko Baban"/>
    <s v="Ulica Jela 60"/>
    <x v="267"/>
    <x v="194"/>
    <m/>
    <n v="56132493710"/>
    <s v="M-MUŠKO"/>
    <d v="1986-10-21T00:00:00"/>
    <m/>
    <m/>
    <s v="Kralja Tomislava 11, Brođanci"/>
    <s v="NE"/>
    <s v="SSS"/>
    <m/>
    <s v="Skladištar"/>
    <s v="Skladištar"/>
    <s v="ODREĐENO"/>
    <m/>
    <s v="PUNO"/>
    <n v="40"/>
    <s v="HR6123400093231399707, HR3723400093510746365"/>
    <m/>
    <m/>
    <m/>
    <m/>
    <m/>
    <s v="Osijek"/>
    <m/>
    <m/>
    <m/>
    <s v="NE"/>
    <n v="4987.5"/>
    <n v="1"/>
    <n v="3990"/>
    <m/>
    <m/>
    <m/>
    <m/>
    <m/>
    <m/>
    <m/>
    <m/>
    <m/>
    <m/>
    <s v="AKTIVAN"/>
    <n v="8"/>
  </r>
  <r>
    <n v="1"/>
    <x v="2"/>
    <n v="433"/>
    <n v="41"/>
    <x v="26"/>
    <n v="65917576492"/>
    <s v="Marija Baković"/>
    <s v="XIV. Trokut 8D"/>
    <x v="268"/>
    <x v="195"/>
    <m/>
    <s v="04477668092"/>
    <s v="Ž-ŽENSKO"/>
    <d v="1990-08-15T00:00:00"/>
    <m/>
    <m/>
    <s v="XIV. Trokut 8D"/>
    <s v="NE"/>
    <s v="VSS"/>
    <m/>
    <s v="Poslovođa"/>
    <s v="Poslovođa"/>
    <s v="NEODREĐENO"/>
    <m/>
    <s v="PUNO"/>
    <n v="40"/>
    <m/>
    <m/>
    <m/>
    <m/>
    <m/>
    <m/>
    <s v="Osijek"/>
    <m/>
    <m/>
    <m/>
    <s v="NE"/>
    <n v="5967.65"/>
    <n v="1"/>
    <n v="4559.17"/>
    <m/>
    <m/>
    <m/>
    <m/>
    <m/>
    <m/>
    <m/>
    <m/>
    <m/>
    <m/>
    <s v="AKTIVAN"/>
    <n v="1"/>
  </r>
  <r>
    <n v="42"/>
    <x v="1"/>
    <n v="434"/>
    <n v="36"/>
    <x v="20"/>
    <n v="45575918003"/>
    <s v="Balázs Kulcsár"/>
    <s v="Ribarska 10"/>
    <x v="269"/>
    <x v="196"/>
    <d v="2021-12-10T00:00:00"/>
    <n v="37668929985"/>
    <s v="Ž-ŽENSKO"/>
    <d v="1993-05-29T00:00:00"/>
    <m/>
    <m/>
    <s v="Vijenac Petrove Gore 3, Osijek"/>
    <s v="NE"/>
    <s v="SSS"/>
    <m/>
    <s v="Telefonist-operater u call c."/>
    <s v="Telefonist-operater u call c."/>
    <s v="ODREĐENO"/>
    <d v="2021-09-30T00:00:00"/>
    <s v="PUNO"/>
    <n v="40"/>
    <s v="HR7323400093235376588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42"/>
  </r>
  <r>
    <n v="43"/>
    <x v="1"/>
    <n v="435"/>
    <n v="36"/>
    <x v="20"/>
    <n v="45575918003"/>
    <s v="Balázs Kulcsár"/>
    <s v="Ribarska 10"/>
    <x v="270"/>
    <x v="197"/>
    <d v="2021-12-10T00:00:00"/>
    <n v="97747809634"/>
    <s v="Ž-ŽENSKO"/>
    <d v="2001-01-04T00:00:00"/>
    <m/>
    <m/>
    <s v="Ulica Franje Jungerta 30, Josipovac"/>
    <s v="NE"/>
    <s v="SSS"/>
    <m/>
    <s v="Telefonist-operater u call c."/>
    <s v="Telefonist-operater u call c."/>
    <s v="ODREĐENO"/>
    <m/>
    <s v="PUNO"/>
    <n v="40"/>
    <s v="HR5423400093235250927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43"/>
  </r>
  <r>
    <n v="1"/>
    <x v="2"/>
    <n v="436"/>
    <n v="42"/>
    <x v="27"/>
    <n v="24279864703"/>
    <s v="Robert Verebi"/>
    <s v="Kralja Zvonimira 61, Bilje"/>
    <x v="271"/>
    <x v="198"/>
    <m/>
    <n v="93577206463"/>
    <s v="M-MUŠKO"/>
    <d v="1978-06-14T00:00:00"/>
    <m/>
    <m/>
    <s v="Gornjodravska obala 80, Osijek"/>
    <s v="NE"/>
    <s v="SSS"/>
    <m/>
    <s v="Komercijalista"/>
    <s v="Komercijalista"/>
    <s v="NEODREĐENO"/>
    <m/>
    <s v="PUNO"/>
    <n v="40"/>
    <s v="HR86 24070003207063042"/>
    <m/>
    <m/>
    <m/>
    <m/>
    <m/>
    <s v="Osijek"/>
    <m/>
    <m/>
    <m/>
    <s v="NE"/>
    <n v="700"/>
    <n v="1"/>
    <n v="3400"/>
    <m/>
    <m/>
    <m/>
    <m/>
    <m/>
    <m/>
    <m/>
    <m/>
    <m/>
    <m/>
    <s v="AKTIVAN"/>
    <n v="1"/>
  </r>
  <r>
    <n v="2"/>
    <x v="2"/>
    <n v="437"/>
    <n v="42"/>
    <x v="27"/>
    <n v="24279864703"/>
    <s v="Robert Verebi"/>
    <s v="Kralja Zvonimira 61, Bilje"/>
    <x v="272"/>
    <x v="199"/>
    <m/>
    <n v="93461065246"/>
    <s v="M-MUŠKO"/>
    <d v="1974-05-07T00:00:00"/>
    <m/>
    <m/>
    <s v="M.R. Štefanika 1221/60, Slovačka"/>
    <s v="NE"/>
    <s v="VSS"/>
    <m/>
    <s v="Poslovođa"/>
    <s v="Poslovođa"/>
    <s v="NEODREĐENO"/>
    <m/>
    <s v="NEPUNO"/>
    <n v="5"/>
    <m/>
    <m/>
    <m/>
    <m/>
    <m/>
    <m/>
    <s v="Osijek"/>
    <m/>
    <m/>
    <m/>
    <s v="NE"/>
    <n v="38225.85"/>
    <n v="1"/>
    <n v="25000"/>
    <m/>
    <m/>
    <m/>
    <m/>
    <m/>
    <m/>
    <m/>
    <m/>
    <m/>
    <m/>
    <s v="AKTIVAN"/>
    <n v="2"/>
  </r>
  <r>
    <n v="44"/>
    <x v="2"/>
    <n v="438"/>
    <n v="36"/>
    <x v="20"/>
    <n v="45575918003"/>
    <s v="Balázs Kulcsár"/>
    <s v="Ribarska 10"/>
    <x v="46"/>
    <x v="200"/>
    <m/>
    <n v="56488239997"/>
    <s v="Ž-ŽENSKO"/>
    <d v="1974-08-22T00:00:00"/>
    <s v="OSIJEK"/>
    <s v="HRVATSKO"/>
    <s v="Ulica Ivana Gorana Kovačića 5, Osijek"/>
    <s v="NE"/>
    <s v="SSS"/>
    <m/>
    <s v="Telefonist-operater u call c."/>
    <s v="Telefonist-operater u call c."/>
    <s v="ODREĐENO"/>
    <m/>
    <s v="PUNO"/>
    <n v="40"/>
    <s v="HR75 23600003239233122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44"/>
  </r>
  <r>
    <n v="9"/>
    <x v="2"/>
    <n v="439"/>
    <n v="31"/>
    <x v="24"/>
    <n v="69606074367"/>
    <s v="Marko Baban"/>
    <s v="Ulica Jela 60"/>
    <x v="273"/>
    <x v="201"/>
    <m/>
    <n v="80734706102"/>
    <s v="M-MUŠKO"/>
    <d v="2003-09-28T00:00:00"/>
    <m/>
    <m/>
    <s v="Vladimira Nazora 32, Čepinski Martinci"/>
    <s v="NE"/>
    <s v="SSS"/>
    <m/>
    <s v="Pomoćni skladištar"/>
    <s v="Pomoćni skladištar"/>
    <s v="NEODREĐENO"/>
    <m/>
    <s v="PUNO"/>
    <n v="40"/>
    <s v="HR26 23400093235473755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9"/>
  </r>
  <r>
    <n v="45"/>
    <x v="2"/>
    <n v="440"/>
    <n v="36"/>
    <x v="20"/>
    <n v="45575918003"/>
    <s v="Balázs Kulcsár"/>
    <s v="Ribarska 10"/>
    <x v="274"/>
    <x v="202"/>
    <m/>
    <n v="77737288895"/>
    <s v="Ž-ŽENSKO"/>
    <d v="1998-12-29T00:00:00"/>
    <s v="Osijek"/>
    <s v="HRVATSKO"/>
    <s v="Žumberačka ulica 66, Osijek"/>
    <s v="NE"/>
    <s v="SSS"/>
    <m/>
    <s v="Trgovački demonstrator"/>
    <s v="Trgovački demonstrator"/>
    <s v="NEODREĐENO"/>
    <m/>
    <s v="PUNO"/>
    <n v="40"/>
    <s v="HR1425000093206910503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45"/>
  </r>
  <r>
    <n v="46"/>
    <x v="1"/>
    <n v="441"/>
    <n v="36"/>
    <x v="20"/>
    <n v="45575918003"/>
    <s v="Balázs Kulcsár"/>
    <s v="Ribarska 10"/>
    <x v="275"/>
    <x v="203"/>
    <d v="2021-12-10T00:00:00"/>
    <n v="71095766112"/>
    <s v="Ž-ŽENSKO"/>
    <d v="1966-01-20T00:00:00"/>
    <s v="Osijek"/>
    <s v="HRVATSKO"/>
    <s v="Porečka 20, Osijek"/>
    <s v="NE"/>
    <s v="SSS"/>
    <m/>
    <s v="Telefonist-operater u call c."/>
    <s v="Telefonist-operater u call c."/>
    <s v="ODREĐENO"/>
    <m/>
    <s v="PUNO"/>
    <n v="40"/>
    <s v="HR8725000093206019893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46"/>
  </r>
  <r>
    <n v="47"/>
    <x v="1"/>
    <n v="442"/>
    <n v="36"/>
    <x v="20"/>
    <n v="45575918003"/>
    <s v="Balázs Kulcsár"/>
    <s v="Ribarska 10"/>
    <x v="276"/>
    <x v="203"/>
    <d v="2021-12-10T00:00:00"/>
    <s v="00788868224"/>
    <s v="Ž-ŽENSKO"/>
    <d v="2001-10-06T00:00:00"/>
    <s v="Osijek"/>
    <s v="HRVATSKO"/>
    <s v="Kneza Branimira 45, Bilje"/>
    <s v="NE"/>
    <s v="SSS"/>
    <m/>
    <s v="Telefonist-operater u call c."/>
    <s v="Telefonist-operater u call c."/>
    <s v="ODREĐENO"/>
    <m/>
    <s v="PUNO"/>
    <n v="40"/>
    <s v="HR0524020063210582374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47"/>
  </r>
  <r>
    <n v="48"/>
    <x v="1"/>
    <n v="443"/>
    <n v="36"/>
    <x v="20"/>
    <n v="45575918003"/>
    <s v="Balázs Kulcsár"/>
    <s v="Ribarska 10"/>
    <x v="106"/>
    <x v="204"/>
    <d v="2021-12-10T00:00:00"/>
    <n v="81985727746"/>
    <s v="Ž-ŽENSKO"/>
    <d v="1982-12-05T00:00:00"/>
    <s v="Osijek"/>
    <s v="HRVATSKO"/>
    <s v="Dr. Franje Tuđmana 10, Laslovo"/>
    <s v="NE"/>
    <s v="SSS"/>
    <m/>
    <s v="Telefonist-operater u call c."/>
    <s v="Telefonist-operater u call c."/>
    <s v="ODREĐENO"/>
    <m/>
    <s v="PUNO"/>
    <n v="40"/>
    <s v="HR03242840083213018110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48"/>
  </r>
  <r>
    <n v="10"/>
    <x v="2"/>
    <n v="444"/>
    <n v="31"/>
    <x v="24"/>
    <n v="69606074367"/>
    <s v="Marko Baban"/>
    <s v="Ulica Jela 60"/>
    <x v="277"/>
    <x v="182"/>
    <m/>
    <n v="71363300467"/>
    <s v="M-MUŠKO"/>
    <d v="1992-12-09T00:00:00"/>
    <s v="Osijek"/>
    <s v="HRVATSKO"/>
    <s v="Kardinala a. S 25, 31000 Čepin"/>
    <s v="NE"/>
    <s v="SSS"/>
    <m/>
    <s v="vozač"/>
    <s v="vozač"/>
    <s v="ODREĐENO"/>
    <m/>
    <s v="PUNO"/>
    <n v="40"/>
    <s v="HR97 2484 0083 2353 3155 9"/>
    <m/>
    <m/>
    <m/>
    <m/>
    <m/>
    <s v="Osijek"/>
    <m/>
    <m/>
    <m/>
    <s v="NE"/>
    <n v="5243.59"/>
    <n v="1"/>
    <n v="6000"/>
    <m/>
    <m/>
    <m/>
    <m/>
    <m/>
    <m/>
    <m/>
    <m/>
    <m/>
    <m/>
    <s v="AKTIVAN"/>
    <n v="10"/>
  </r>
  <r>
    <n v="1"/>
    <x v="1"/>
    <n v="445"/>
    <n v="43"/>
    <x v="28"/>
    <n v="69769519663"/>
    <s v="RÓBERT PETRÁS"/>
    <s v="Ulica Lorenza Jägera 2"/>
    <x v="278"/>
    <x v="205"/>
    <d v="2022-08-01T00:00:00"/>
    <n v="18397042959"/>
    <s v="M-MUŠKO"/>
    <d v="1981-09-12T00:00:00"/>
    <s v="Budimpešta"/>
    <s v="MAĐARSKO"/>
    <s v="Ulica Lorenza Jagera 2, Osijek"/>
    <s v="NE"/>
    <s v="VSS"/>
    <m/>
    <s v="Direktor"/>
    <s v="Direktor"/>
    <s v="NEODREĐENO"/>
    <m/>
    <s v="NEPUNO"/>
    <n v="10"/>
    <s v="HU94103000021060143600016848 "/>
    <m/>
    <m/>
    <m/>
    <m/>
    <m/>
    <s v="Osijek"/>
    <m/>
    <m/>
    <m/>
    <s v="NE"/>
    <n v="4844.99"/>
    <n v="1"/>
    <n v="3000"/>
    <m/>
    <m/>
    <m/>
    <m/>
    <m/>
    <m/>
    <m/>
    <m/>
    <m/>
    <m/>
    <s v="AKTIVAN"/>
    <n v="1"/>
  </r>
  <r>
    <n v="49"/>
    <x v="1"/>
    <n v="446"/>
    <n v="36"/>
    <x v="20"/>
    <n v="45575918003"/>
    <s v="Balázs Kulcsár"/>
    <s v="Ribarska 10"/>
    <x v="279"/>
    <x v="206"/>
    <d v="2022-01-24T00:00:00"/>
    <n v="68391532944"/>
    <s v="M-MUŠKO"/>
    <d v="1998-07-17T00:00:00"/>
    <s v="Nova Gradiška"/>
    <s v="HRVATSKO"/>
    <s v="Braće Radića 8, Rešetari"/>
    <s v="NE"/>
    <s v="SSS"/>
    <m/>
    <s v="Trgovački demonstrator"/>
    <s v="Trgovački demonstrator"/>
    <s v="NEODREĐENO"/>
    <m/>
    <s v="PUNO"/>
    <n v="40"/>
    <s v="HR1323400093234856099"/>
    <m/>
    <m/>
    <m/>
    <m/>
    <m/>
    <s v="Osijek"/>
    <m/>
    <m/>
    <m/>
    <s v="NE"/>
    <n v="5000"/>
    <n v="1"/>
    <n v="4000"/>
    <m/>
    <m/>
    <m/>
    <m/>
    <m/>
    <m/>
    <m/>
    <m/>
    <m/>
    <m/>
    <s v="NEAKTIVAN"/>
    <n v="49"/>
  </r>
  <r>
    <n v="2"/>
    <x v="2"/>
    <n v="447"/>
    <n v="43"/>
    <x v="28"/>
    <n v="69769519663"/>
    <s v="RÓBERT PETRÁS"/>
    <s v="Ulica Lorenza Jägera 2"/>
    <x v="280"/>
    <x v="207"/>
    <m/>
    <n v="22345663938"/>
    <s v="Ž-ŽENSKO"/>
    <d v="1991-08-28T00:00:00"/>
    <s v="Opatija"/>
    <s v="HRVATSKO"/>
    <s v="Eugena Kumičića 10, Opatija"/>
    <s v="NE"/>
    <s v="SSS"/>
    <m/>
    <s v="Recepcionarka"/>
    <s v="Recepcionarka"/>
    <s v="NEODREĐENO"/>
    <m/>
    <s v="PUNO"/>
    <n v="40"/>
    <s v="HR9024020063207107565"/>
    <m/>
    <m/>
    <m/>
    <m/>
    <m/>
    <s v="Opatija"/>
    <m/>
    <m/>
    <m/>
    <s v="NE"/>
    <n v="8906.25"/>
    <n v="1"/>
    <m/>
    <m/>
    <m/>
    <m/>
    <m/>
    <m/>
    <m/>
    <m/>
    <m/>
    <m/>
    <m/>
    <s v="AKTIVAN"/>
    <n v="2"/>
  </r>
  <r>
    <n v="3"/>
    <x v="2"/>
    <n v="448"/>
    <n v="43"/>
    <x v="28"/>
    <n v="69769519663"/>
    <s v="RÓBERT PETRÁS"/>
    <s v="Ulica Lorenza Jägera 2"/>
    <x v="281"/>
    <x v="207"/>
    <m/>
    <n v="21160565120"/>
    <s v="Ž-ŽENSKO"/>
    <d v="1956-12-10T00:00:00"/>
    <s v="Matulji"/>
    <s v="HRVATSKO"/>
    <s v="Kvarnerska cesta 23A, Matulji"/>
    <s v="NE"/>
    <s v="KV"/>
    <m/>
    <s v="Spremačica"/>
    <s v="Spremačica"/>
    <s v="NEODREĐENO"/>
    <m/>
    <s v="NEPUNO"/>
    <n v="20"/>
    <s v="HR5724020063205118010"/>
    <m/>
    <m/>
    <m/>
    <m/>
    <m/>
    <s v="Opatija"/>
    <m/>
    <m/>
    <m/>
    <s v="NE"/>
    <n v="7812.51"/>
    <m/>
    <m/>
    <m/>
    <m/>
    <m/>
    <m/>
    <m/>
    <m/>
    <m/>
    <m/>
    <m/>
    <m/>
    <s v="AKTIVAN"/>
    <n v="3"/>
  </r>
  <r>
    <n v="4"/>
    <x v="2"/>
    <n v="449"/>
    <n v="43"/>
    <x v="28"/>
    <n v="69769519663"/>
    <s v="RÓBERT PETRÁS"/>
    <s v="Ulica Lorenza Jägera 2"/>
    <x v="282"/>
    <x v="207"/>
    <m/>
    <s v="00735131412"/>
    <s v="Ž-ŽENSKO"/>
    <d v="1961-12-04T00:00:00"/>
    <s v="Matulji"/>
    <s v="HRVATSKO"/>
    <s v="Perasov put 8, Matulji"/>
    <s v="NE"/>
    <s v="SSS"/>
    <m/>
    <s v="Konobar"/>
    <s v="Konobar"/>
    <s v="NEODREĐENO"/>
    <m/>
    <s v="PUNO"/>
    <n v="40"/>
    <s v="HR6723600003222494946"/>
    <m/>
    <m/>
    <m/>
    <m/>
    <m/>
    <s v="Opatija"/>
    <m/>
    <m/>
    <m/>
    <s v="NE"/>
    <n v="7403.85"/>
    <m/>
    <m/>
    <m/>
    <m/>
    <m/>
    <m/>
    <m/>
    <m/>
    <m/>
    <m/>
    <m/>
    <m/>
    <s v="AKTIVAN"/>
    <n v="4"/>
  </r>
  <r>
    <n v="5"/>
    <x v="2"/>
    <n v="450"/>
    <n v="43"/>
    <x v="28"/>
    <n v="69769519663"/>
    <s v="RÓBERT PETRÁS"/>
    <s v="Ulica Lorenza Jägera 2"/>
    <x v="283"/>
    <x v="207"/>
    <m/>
    <n v="19931594248"/>
    <s v="Ž-ŽENSKO"/>
    <d v="1986-10-26T00:00:00"/>
    <s v="Matulji"/>
    <s v="HRVATSKO"/>
    <s v="Šmogorska cesta 11, Matulji"/>
    <s v="NE"/>
    <s v="SSS"/>
    <m/>
    <s v="Konobar"/>
    <s v="Konobar"/>
    <s v="ODREĐENO"/>
    <d v="2022-10-31T00:00:00"/>
    <s v="PUNO"/>
    <n v="40"/>
    <s v="HR8124020063203809921"/>
    <m/>
    <m/>
    <m/>
    <m/>
    <m/>
    <s v="Opatija"/>
    <m/>
    <m/>
    <m/>
    <s v="NE"/>
    <n v="7812.51"/>
    <m/>
    <m/>
    <m/>
    <m/>
    <m/>
    <m/>
    <m/>
    <m/>
    <m/>
    <m/>
    <m/>
    <m/>
    <s v="AKTIVAN"/>
    <n v="5"/>
  </r>
  <r>
    <n v="6"/>
    <x v="2"/>
    <n v="451"/>
    <n v="43"/>
    <x v="28"/>
    <n v="69769519663"/>
    <s v="RÓBERT PETRÁS"/>
    <s v="Ulica Lorenza Jägera 2"/>
    <x v="284"/>
    <x v="207"/>
    <m/>
    <n v="63697758667"/>
    <s v="Ž-ŽENSKO"/>
    <d v="1971-10-17T00:00:00"/>
    <s v="Opatija"/>
    <s v="HRVATSKO"/>
    <s v="Dragi 11, Pobri"/>
    <s v="NE"/>
    <s v="SSS"/>
    <m/>
    <s v="Konobar"/>
    <s v="Konobar"/>
    <s v="NEODREĐENO"/>
    <m/>
    <s v="PUNO"/>
    <n v="40"/>
    <s v="HR0823400093230461798"/>
    <m/>
    <m/>
    <m/>
    <m/>
    <m/>
    <s v="Opatija"/>
    <m/>
    <m/>
    <m/>
    <s v="NE"/>
    <n v="7343.75"/>
    <m/>
    <m/>
    <m/>
    <m/>
    <m/>
    <m/>
    <m/>
    <m/>
    <m/>
    <m/>
    <m/>
    <m/>
    <s v="AKTIVAN"/>
    <n v="6"/>
  </r>
  <r>
    <n v="7"/>
    <x v="2"/>
    <n v="452"/>
    <n v="43"/>
    <x v="28"/>
    <n v="69769519663"/>
    <s v="RÓBERT PETRÁS"/>
    <s v="Ulica Lorenza Jägera 2"/>
    <x v="285"/>
    <x v="207"/>
    <m/>
    <s v="06449653872"/>
    <s v="M-MUŠKO"/>
    <d v="1963-01-18T00:00:00"/>
    <s v="Rijeka"/>
    <s v="HRVATSKO"/>
    <s v="Svilno 50, Rijeka"/>
    <s v="NE"/>
    <s v="SSS"/>
    <m/>
    <s v="Domar"/>
    <s v="Domar"/>
    <s v="NEODREĐENO"/>
    <m/>
    <s v="PUNO"/>
    <n v="40"/>
    <s v="HR1424020063200965147"/>
    <m/>
    <m/>
    <m/>
    <m/>
    <m/>
    <s v="Opatija"/>
    <m/>
    <m/>
    <m/>
    <s v="NE"/>
    <n v="9047.93"/>
    <m/>
    <m/>
    <m/>
    <m/>
    <m/>
    <m/>
    <m/>
    <m/>
    <m/>
    <m/>
    <m/>
    <m/>
    <s v="AKTIVAN"/>
    <n v="7"/>
  </r>
  <r>
    <n v="8"/>
    <x v="1"/>
    <n v="453"/>
    <n v="43"/>
    <x v="28"/>
    <n v="69769519663"/>
    <s v="RÓBERT PETRÁS"/>
    <s v="Ulica Lorenza Jägera 2"/>
    <x v="286"/>
    <x v="207"/>
    <d v="2022-05-11T00:00:00"/>
    <n v="30481056361"/>
    <s v="Ž-ŽENSKO"/>
    <d v="1982-01-31T00:00:00"/>
    <s v="Seget"/>
    <s v="HRVATSKO"/>
    <s v="Kralja Tomislava 124, Seget"/>
    <s v="NE"/>
    <s v="VSS"/>
    <m/>
    <s v="Recepcionarka"/>
    <s v="Recepcionarka"/>
    <s v="NEODREĐENO"/>
    <m/>
    <s v="PUNO"/>
    <n v="40"/>
    <s v="HR4723400093218010176"/>
    <m/>
    <m/>
    <m/>
    <m/>
    <m/>
    <s v="Opatija"/>
    <m/>
    <m/>
    <m/>
    <s v="NE"/>
    <n v="8906.25"/>
    <m/>
    <m/>
    <m/>
    <m/>
    <m/>
    <m/>
    <m/>
    <m/>
    <m/>
    <m/>
    <m/>
    <m/>
    <s v="NEAKTIVAN"/>
    <n v="8"/>
  </r>
  <r>
    <n v="50"/>
    <x v="2"/>
    <n v="454"/>
    <n v="36"/>
    <x v="20"/>
    <n v="45575918003"/>
    <s v="Balázs Kulcsár"/>
    <s v="Ribarska 10"/>
    <x v="287"/>
    <x v="207"/>
    <m/>
    <n v="46284686058"/>
    <s v="M-MUŠKO"/>
    <d v="1993-08-02T00:00:00"/>
    <s v="Osijek"/>
    <s v="HRVATSKO"/>
    <s v="Sljemenska ulica 26"/>
    <s v="NE"/>
    <s v="SSS"/>
    <m/>
    <s v="Trgovački demonstrator"/>
    <s v="Trgovački demonstrator"/>
    <s v="NEODREĐENO"/>
    <m/>
    <s v="PUNO"/>
    <n v="40"/>
    <s v="HR8823600003236594682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0"/>
  </r>
  <r>
    <n v="11"/>
    <x v="1"/>
    <n v="455"/>
    <n v="31"/>
    <x v="24"/>
    <n v="69606074367"/>
    <s v="Marko Baban"/>
    <s v="Ulica Jela 60"/>
    <x v="288"/>
    <x v="208"/>
    <d v="2022-02-23T00:00:00"/>
    <n v="86900494395"/>
    <s v="M-MUŠKO"/>
    <d v="1986-06-26T00:00:00"/>
    <s v="Osijek"/>
    <s v="HRVATSKO"/>
    <s v="Pretra zrinskog 5, 31207 Tenja"/>
    <s v="NE"/>
    <s v="SSS"/>
    <m/>
    <s v="POMOĆNI SKLADIŠTAR"/>
    <s v="POMOĆNI SKLADIŠTAR"/>
    <s v="ODREĐENO"/>
    <d v="2022-02-23T00:00:00"/>
    <s v="PUNO"/>
    <n v="40"/>
    <s v="HR6823400093212019951"/>
    <m/>
    <m/>
    <m/>
    <m/>
    <m/>
    <s v="TENJA"/>
    <m/>
    <m/>
    <m/>
    <s v="NE"/>
    <n v="4907.5"/>
    <n v="1"/>
    <n v="5000"/>
    <m/>
    <m/>
    <m/>
    <m/>
    <m/>
    <m/>
    <m/>
    <m/>
    <m/>
    <m/>
    <s v="AKTIVAN"/>
    <n v="10"/>
  </r>
  <r>
    <n v="9"/>
    <x v="2"/>
    <n v="456"/>
    <n v="43"/>
    <x v="28"/>
    <n v="69769519663"/>
    <s v="RÓBERT PETRÁS"/>
    <s v="Ulica Lorenza Jägera 2"/>
    <x v="289"/>
    <x v="209"/>
    <m/>
    <n v="24481536796"/>
    <s v="M-MUŠKO"/>
    <d v="1970-05-13T00:00:00"/>
    <s v="Nagykovácsi"/>
    <s v="MAĐARSKO"/>
    <s v="Arany János u. 7/a, Nagykovácsi"/>
    <s v="NE"/>
    <s v="VSS"/>
    <m/>
    <s v="Voditelj Poslovnice"/>
    <s v="Voditelj poslovnice"/>
    <s v="NEODREĐENO"/>
    <m/>
    <s v="PUNO"/>
    <n v="40"/>
    <s v="nema jos"/>
    <m/>
    <m/>
    <m/>
    <m/>
    <m/>
    <s v="Opatija"/>
    <m/>
    <m/>
    <m/>
    <s v="NE"/>
    <n v="20503.87"/>
    <n v="1"/>
    <n v="13590"/>
    <m/>
    <m/>
    <m/>
    <m/>
    <m/>
    <m/>
    <m/>
    <m/>
    <m/>
    <m/>
    <s v="AKTIVAN"/>
    <n v="9"/>
  </r>
  <r>
    <n v="1"/>
    <x v="2"/>
    <n v="457"/>
    <n v="44"/>
    <x v="29"/>
    <n v="31521842055"/>
    <s v="Robert Verebi"/>
    <s v="Ribarska 10"/>
    <x v="271"/>
    <x v="210"/>
    <m/>
    <n v="93577206463"/>
    <s v="M-MUŠKO"/>
    <d v="1978-06-14T00:00:00"/>
    <s v="Osijek"/>
    <s v="HRVATSKO"/>
    <s v="Gornjodravska obala 80, Osijek"/>
    <s v="NE"/>
    <s v="SSS"/>
    <m/>
    <s v="Komercijalista"/>
    <s v="Komercijalista"/>
    <s v="NEODREĐENO"/>
    <m/>
    <s v="NEPUNO"/>
    <n v="10"/>
    <s v="HR86 24070003207063042"/>
    <m/>
    <m/>
    <m/>
    <m/>
    <m/>
    <s v="Osijek"/>
    <m/>
    <m/>
    <m/>
    <s v="NE"/>
    <n v="165"/>
    <n v="1"/>
    <n v="132"/>
    <m/>
    <m/>
    <m/>
    <m/>
    <m/>
    <m/>
    <m/>
    <m/>
    <m/>
    <m/>
    <s v="AKTIVAN"/>
    <n v="1"/>
  </r>
  <r>
    <n v="12"/>
    <x v="1"/>
    <n v="458"/>
    <n v="26"/>
    <x v="13"/>
    <n v="95114485977"/>
    <s v="LAURA GERGELJ"/>
    <s v="SV.IVANA KRSTITELJA 15, DARDA"/>
    <x v="290"/>
    <x v="211"/>
    <d v="2022-03-04T00:00:00"/>
    <n v="81424777579"/>
    <s v="Ž-ŽENSKO"/>
    <d v="1984-09-30T00:00:00"/>
    <s v="Osijek"/>
    <s v="HRVATSKO"/>
    <s v="RAJNA 7, ZMAJEVAC"/>
    <s v="NE"/>
    <s v="SSS"/>
    <m/>
    <s v="ADMINISTRATIVNI REFE"/>
    <s v="ADMINISTRATIVNI REFE"/>
    <s v="ODREĐENO"/>
    <m/>
    <s v="PUNO"/>
    <n v="40"/>
    <s v="HR73 23400093230755993"/>
    <m/>
    <m/>
    <m/>
    <m/>
    <m/>
    <s v="Osijek"/>
    <m/>
    <m/>
    <m/>
    <s v="NE"/>
    <n v="4687.5"/>
    <n v="1"/>
    <n v="3750"/>
    <m/>
    <m/>
    <m/>
    <m/>
    <m/>
    <m/>
    <m/>
    <m/>
    <m/>
    <m/>
    <s v="NEAKTIVAN"/>
    <n v="12"/>
  </r>
  <r>
    <n v="13"/>
    <x v="1"/>
    <n v="459"/>
    <n v="26"/>
    <x v="13"/>
    <n v="95114485977"/>
    <s v="LAURA GERGELJ"/>
    <s v="SV.IVANA KRSTITELJA 15, DARDA"/>
    <x v="290"/>
    <x v="210"/>
    <d v="2022-03-09T00:00:00"/>
    <n v="81424777579"/>
    <s v="Ž-ŽENSKO"/>
    <d v="1984-09-30T00:00:00"/>
    <s v="Osijek"/>
    <s v="HRVATSKO"/>
    <s v="RAJNA 7, ZMAJEVAC"/>
    <s v="NE"/>
    <s v="SSS"/>
    <m/>
    <s v="Administrativni referent"/>
    <s v="Administrativni referent"/>
    <s v="ODREĐENO"/>
    <m/>
    <s v="PUNO"/>
    <n v="40"/>
    <s v="HR73 23400093230755993"/>
    <m/>
    <m/>
    <m/>
    <m/>
    <m/>
    <s v="Osijek"/>
    <m/>
    <m/>
    <m/>
    <s v="NE"/>
    <n v="4687.5"/>
    <n v="1"/>
    <n v="3750"/>
    <m/>
    <m/>
    <m/>
    <m/>
    <m/>
    <m/>
    <m/>
    <m/>
    <m/>
    <m/>
    <s v="NEAKTIVAN"/>
    <n v="13"/>
  </r>
  <r>
    <n v="10"/>
    <x v="1"/>
    <n v="460"/>
    <n v="43"/>
    <x v="28"/>
    <n v="69769519663"/>
    <s v="RÓBERT PETRÁS"/>
    <s v="Ulica Lorenza Jägera 2"/>
    <x v="291"/>
    <x v="212"/>
    <d v="2023-01-06T00:00:00"/>
    <n v="61380711034"/>
    <s v="M-MUŠKO"/>
    <d v="1971-08-31T00:00:00"/>
    <s v="Pirok"/>
    <s v="MAKEDONSKO"/>
    <s v="Put Vrutki 13, Opatija"/>
    <s v="DA"/>
    <s v="NKV"/>
    <m/>
    <s v="Konobar"/>
    <s v="Konobar"/>
    <s v="ODREĐENO"/>
    <d v="2023-01-06T00:00:00"/>
    <s v="PUNO"/>
    <n v="40"/>
    <s v="HR9723900013207908793"/>
    <m/>
    <m/>
    <m/>
    <m/>
    <m/>
    <s v="Opatija"/>
    <m/>
    <m/>
    <m/>
    <s v="NE"/>
    <n v="6562.5"/>
    <n v="1"/>
    <n v="5000"/>
    <m/>
    <m/>
    <m/>
    <m/>
    <m/>
    <m/>
    <m/>
    <m/>
    <m/>
    <m/>
    <s v="AKTIVAN"/>
    <n v="10"/>
  </r>
  <r>
    <n v="51"/>
    <x v="2"/>
    <n v="461"/>
    <n v="36"/>
    <x v="20"/>
    <n v="45575918003"/>
    <s v="Balázs Kulcsár"/>
    <s v="Ribarska 10"/>
    <x v="258"/>
    <x v="213"/>
    <m/>
    <n v="93734201839"/>
    <s v="M-MUŠKO"/>
    <d v="1959-06-28T00:00:00"/>
    <s v="Bijelo Brdo"/>
    <s v="HRVATSKO"/>
    <s v="Zeleno polje 12, Osijek"/>
    <s v="NE"/>
    <s v="SSS"/>
    <m/>
    <s v="Telefonist-operater u call c."/>
    <s v="Telefonist-operater u call c."/>
    <s v="ODREĐENO"/>
    <d v="2022-05-31T00:00:00"/>
    <s v="PUNO"/>
    <n v="40"/>
    <s v="HR5523600003216251175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1"/>
  </r>
  <r>
    <n v="52"/>
    <x v="2"/>
    <n v="462"/>
    <n v="36"/>
    <x v="20"/>
    <n v="45575918003"/>
    <s v="Balázs Kulcsár"/>
    <s v="Ribarska 10"/>
    <x v="269"/>
    <x v="214"/>
    <m/>
    <n v="37668929985"/>
    <s v="Ž-ŽENSKO"/>
    <d v="1993-05-29T00:00:00"/>
    <s v="Osijek"/>
    <s v="HRVATSKO"/>
    <s v="Vijenac Petrove Gore 3, Osijek"/>
    <s v="NE"/>
    <s v="SSS"/>
    <m/>
    <s v="Telefonist-operater u call c."/>
    <s v="Telefonist-operater u call c."/>
    <s v="ODREĐENO"/>
    <d v="2022-05-31T00:00:00"/>
    <s v="PUNO"/>
    <n v="40"/>
    <s v="HR7323400093235376588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2"/>
  </r>
  <r>
    <n v="53"/>
    <x v="2"/>
    <n v="463"/>
    <n v="36"/>
    <x v="20"/>
    <n v="45575918003"/>
    <s v="Balázs Kulcsár"/>
    <s v="Ribarska 10"/>
    <x v="292"/>
    <x v="214"/>
    <m/>
    <n v="51677950252"/>
    <s v="Ž-ŽENSKO"/>
    <d v="1992-02-03T00:00:00"/>
    <s v="Mohač"/>
    <s v="HRVATSKO"/>
    <s v="Kneževačka ulica 3, Branjin Vrh"/>
    <s v="NE"/>
    <s v="SSS"/>
    <m/>
    <s v="Telefonist-operater u call c."/>
    <s v="Telefonist-operater u call c."/>
    <s v="ODREĐENO"/>
    <d v="2022-05-31T00:00:00"/>
    <s v="PUNO"/>
    <n v="40"/>
    <s v="HR1923400093215227071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3"/>
  </r>
  <r>
    <n v="3"/>
    <x v="2"/>
    <n v="464"/>
    <n v="42"/>
    <x v="27"/>
    <n v="24279864703"/>
    <s v="Robert Verebi"/>
    <s v="Kralja Zvonimira 61, Bilje"/>
    <x v="272"/>
    <x v="215"/>
    <m/>
    <n v="93461065246"/>
    <s v="M-MUŠKO"/>
    <d v="1974-05-07T00:00:00"/>
    <m/>
    <m/>
    <s v="M.R. Štefanika 1221/60, Slovačka"/>
    <s v="NE"/>
    <s v="VSS"/>
    <m/>
    <s v="Poslovođa"/>
    <s v="Poslovođa"/>
    <s v="NEODREĐENO"/>
    <m/>
    <s v="PUNO"/>
    <n v="40"/>
    <m/>
    <m/>
    <m/>
    <m/>
    <m/>
    <m/>
    <m/>
    <m/>
    <m/>
    <m/>
    <m/>
    <n v="5458.69"/>
    <m/>
    <n v="3500"/>
    <m/>
    <m/>
    <m/>
    <m/>
    <m/>
    <m/>
    <m/>
    <m/>
    <m/>
    <m/>
    <s v="AKTIVAN"/>
    <n v="3"/>
  </r>
  <r>
    <n v="54"/>
    <x v="1"/>
    <n v="465"/>
    <n v="36"/>
    <x v="20"/>
    <n v="45575918003"/>
    <s v="Balázs Kulcsár"/>
    <s v="Ribarska 10"/>
    <x v="293"/>
    <x v="216"/>
    <d v="2022-05-31T00:00:00"/>
    <n v="37139447881"/>
    <s v="Ž-ŽENSKO"/>
    <d v="2003-03-07T00:00:00"/>
    <s v="Osijek"/>
    <s v="HRVATSKO"/>
    <s v="Ulica Nikole Šubića Zrinjskog 32, Višnjevac"/>
    <s v="NE"/>
    <s v="SSS"/>
    <m/>
    <s v="Telefonist-operater u call c."/>
    <s v="Telefonist-operater u call c."/>
    <s v="ODREĐENO"/>
    <d v="2022-05-31T00:00:00"/>
    <s v="PUNO"/>
    <n v="40"/>
    <s v="HR3424840083237078596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4"/>
  </r>
  <r>
    <n v="55"/>
    <x v="2"/>
    <n v="466"/>
    <n v="36"/>
    <x v="20"/>
    <n v="45575918003"/>
    <s v="Balázs Kulcsár"/>
    <s v="Ribarska 10"/>
    <x v="294"/>
    <x v="217"/>
    <m/>
    <n v="92468677273"/>
    <s v="Ž-ŽENSKO"/>
    <d v="1984-12-08T00:00:00"/>
    <s v="Osijek"/>
    <s v="HRVATSKO"/>
    <s v="Ivana Gundulića 3A, Osijek"/>
    <s v="NE"/>
    <s v="VKV"/>
    <m/>
    <s v="Telefonist-operater u call c."/>
    <s v="Telefonist-operater u call c."/>
    <s v="ODREĐENO"/>
    <d v="2022-05-13T00:00:00"/>
    <s v="PUNO"/>
    <n v="40"/>
    <s v="HR8523400093230335670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5"/>
  </r>
  <r>
    <n v="56"/>
    <x v="2"/>
    <n v="467"/>
    <n v="36"/>
    <x v="20"/>
    <n v="45575918003"/>
    <s v="Balázs Kulcsár"/>
    <s v="Ribarska 10"/>
    <x v="103"/>
    <x v="218"/>
    <m/>
    <n v="10828286402"/>
    <s v="Ž-ŽENSKO"/>
    <d v="1996-04-23T00:00:00"/>
    <s v="Osijek"/>
    <s v="HRVATSKO"/>
    <s v="Mirna ulica 7, Laslovo"/>
    <s v="NE"/>
    <s v="SSS"/>
    <m/>
    <s v="Telefonist-operater u call c."/>
    <s v="Telefonist-operater u call c."/>
    <s v="ODREĐENO"/>
    <d v="2022-05-31T00:00:00"/>
    <s v="PUNO"/>
    <n v="40"/>
    <s v="HR2525000093205745432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6"/>
  </r>
  <r>
    <n v="57"/>
    <x v="2"/>
    <n v="468"/>
    <n v="36"/>
    <x v="20"/>
    <n v="45575918003"/>
    <s v="Balázs Kulcsár"/>
    <s v="Ribarska 10"/>
    <x v="295"/>
    <x v="219"/>
    <m/>
    <n v="78772903113"/>
    <s v="Ž-ŽENSKO"/>
    <d v="1967-06-17T00:00:00"/>
    <s v="Osijek"/>
    <s v="HRVATSKO"/>
    <s v="Ulica Šandora Perofija 73, Osijek"/>
    <s v="NE"/>
    <s v="SSS"/>
    <m/>
    <s v="Telefonist-operater u call c."/>
    <s v="Telefonist-operater u call c."/>
    <s v="ODREĐENO"/>
    <d v="2022-05-31T00:00:00"/>
    <s v="PUNO"/>
    <n v="40"/>
    <s v="HR0623400093214010925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7"/>
  </r>
  <r>
    <n v="58"/>
    <x v="2"/>
    <n v="469"/>
    <n v="36"/>
    <x v="20"/>
    <n v="45575918003"/>
    <s v="Balázs Kulcsár"/>
    <s v="Ribarska 10"/>
    <x v="296"/>
    <x v="220"/>
    <m/>
    <n v="96452309874"/>
    <s v="M-MUŠKO"/>
    <d v="1999-10-02T00:00:00"/>
    <s v="OSIJEK"/>
    <s v="HRVATSKO"/>
    <s v="Murterska 40, Osijek"/>
    <s v="NE"/>
    <s v="SSS"/>
    <m/>
    <s v="Telefonist-operater u call c."/>
    <s v="Telefonist-operater u call c."/>
    <s v="ODREĐENO"/>
    <d v="2022-05-31T00:00:00"/>
    <s v="PUNO"/>
    <n v="40"/>
    <s v="HR2723600003245557513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8"/>
  </r>
  <r>
    <n v="11"/>
    <x v="2"/>
    <n v="470"/>
    <n v="43"/>
    <x v="28"/>
    <n v="69769519663"/>
    <s v="RÓBERT PETRÁS"/>
    <s v="Ulica Lorenza Jägera 2"/>
    <x v="297"/>
    <x v="221"/>
    <m/>
    <n v="12102304439"/>
    <s v="M-MUŠKO"/>
    <d v="1949-12-19T00:00:00"/>
    <s v="Vinkovci"/>
    <s v="HRVATSKO"/>
    <s v="Andrije Štagnera 50, Opatija"/>
    <s v="NE"/>
    <s v="SSS"/>
    <m/>
    <s v="Kuhar"/>
    <s v="Kuhar"/>
    <s v="NEODREĐENO"/>
    <m/>
    <s v="NEPUNO"/>
    <n v="20"/>
    <s v="HR4224020063204509993"/>
    <m/>
    <m/>
    <m/>
    <m/>
    <m/>
    <s v="Opatija"/>
    <m/>
    <m/>
    <m/>
    <s v="NE"/>
    <n v="5000"/>
    <n v="1"/>
    <n v="4000"/>
    <n v="332"/>
    <m/>
    <m/>
    <m/>
    <m/>
    <m/>
    <m/>
    <m/>
    <m/>
    <m/>
    <s v="AKTIVAN"/>
    <n v="11"/>
  </r>
  <r>
    <n v="12"/>
    <x v="2"/>
    <n v="471"/>
    <n v="43"/>
    <x v="28"/>
    <n v="69769519663"/>
    <s v="RÓBERT PETRÁS"/>
    <s v="Ulica Lorenza Jägera 2"/>
    <x v="298"/>
    <x v="221"/>
    <m/>
    <n v="45721917402"/>
    <s v="Ž-ŽENSKO"/>
    <d v="1991-07-17T00:00:00"/>
    <s v="Rijeka"/>
    <s v="HRVATSKO"/>
    <s v="Antona Raspora 2, Opatija"/>
    <s v="NE"/>
    <s v="SSS"/>
    <m/>
    <s v="Recepcionarka"/>
    <s v="Recepcionarka"/>
    <s v="NEODREĐENO"/>
    <m/>
    <s v="PUNO"/>
    <n v="40"/>
    <s v="HR4624020063208986180"/>
    <m/>
    <m/>
    <m/>
    <m/>
    <m/>
    <s v="Opatija"/>
    <m/>
    <m/>
    <m/>
    <s v="NE"/>
    <n v="6562.51"/>
    <n v="1"/>
    <n v="5000"/>
    <m/>
    <m/>
    <m/>
    <m/>
    <m/>
    <m/>
    <m/>
    <m/>
    <m/>
    <m/>
    <s v="AKTIVAN"/>
    <n v="12"/>
  </r>
  <r>
    <n v="13"/>
    <x v="2"/>
    <n v="472"/>
    <n v="43"/>
    <x v="28"/>
    <n v="69769519663"/>
    <s v="RÓBERT PETRÁS"/>
    <s v="Ulica Lorenza Jägera 2"/>
    <x v="299"/>
    <x v="221"/>
    <m/>
    <n v="49915950825"/>
    <s v="M-MUŠKO"/>
    <d v="1983-10-15T00:00:00"/>
    <s v="Rijeka"/>
    <s v="HRVATSKO"/>
    <s v="Tihovac 6, Rijeka"/>
    <s v="NE"/>
    <s v="VSS"/>
    <m/>
    <s v="Nočni recepcionar"/>
    <s v="Nočni recepcionar"/>
    <s v="NEODREĐENO"/>
    <m/>
    <s v="PUNO"/>
    <n v="40"/>
    <s v="HR0624020063204404135"/>
    <m/>
    <m/>
    <m/>
    <m/>
    <m/>
    <s v="Opatija"/>
    <m/>
    <m/>
    <m/>
    <s v="NE"/>
    <n v="6619.18"/>
    <n v="1"/>
    <n v="5000"/>
    <n v="570"/>
    <m/>
    <m/>
    <m/>
    <m/>
    <m/>
    <m/>
    <m/>
    <m/>
    <m/>
    <s v="AKTIVAN"/>
    <n v="13"/>
  </r>
  <r>
    <n v="14"/>
    <x v="1"/>
    <n v="473"/>
    <n v="43"/>
    <x v="28"/>
    <n v="69769519663"/>
    <s v="RÓBERT PETRÁS"/>
    <s v="Ulica Lorenza Jägera 2"/>
    <x v="300"/>
    <x v="221"/>
    <d v="2022-05-19T00:00:00"/>
    <n v="80417442000"/>
    <s v="Ž-ŽENSKO"/>
    <d v="1963-08-05T00:00:00"/>
    <s v="Račenci"/>
    <s v="HRVATSKO"/>
    <s v="Franca Prešerna 20, Rijeka"/>
    <s v="NE"/>
    <s v="SSS"/>
    <m/>
    <s v="Čistačica "/>
    <s v="Čistačica"/>
    <s v="ODREĐENO"/>
    <d v="2022-06-06T00:00:00"/>
    <s v="PUNO"/>
    <n v="40"/>
    <s v="HR5624020063203592606, HR8624020063580120943"/>
    <m/>
    <m/>
    <m/>
    <m/>
    <m/>
    <s v="Opatija"/>
    <m/>
    <m/>
    <m/>
    <s v="NE"/>
    <n v="6619.18"/>
    <n v="1"/>
    <n v="5000"/>
    <n v="570"/>
    <m/>
    <m/>
    <m/>
    <m/>
    <m/>
    <m/>
    <m/>
    <m/>
    <m/>
    <s v="AKTIVAN"/>
    <n v="14"/>
  </r>
  <r>
    <n v="15"/>
    <x v="1"/>
    <n v="474"/>
    <n v="43"/>
    <x v="28"/>
    <n v="69769519663"/>
    <s v="RÓBERT PETRÁS"/>
    <s v="Ulica Lorenza Jägera 2"/>
    <x v="301"/>
    <x v="221"/>
    <d v="2022-10-31T00:00:00"/>
    <n v="40690069180"/>
    <s v="Ž-ŽENSKO"/>
    <d v="1972-10-31T00:00:00"/>
    <s v="Tetovo"/>
    <s v="MAKEDONSKO"/>
    <s v="Put Vrutki 13, Opatija"/>
    <s v="DA"/>
    <s v="SSS"/>
    <m/>
    <s v="Konobar "/>
    <s v="Konobar"/>
    <s v="ODREĐENO"/>
    <d v="2022-10-31T00:00:00"/>
    <s v="PUNO"/>
    <n v="40"/>
    <s v="HR4923400093230637115"/>
    <m/>
    <m/>
    <m/>
    <m/>
    <m/>
    <s v="Opatija"/>
    <m/>
    <m/>
    <m/>
    <s v="NE"/>
    <n v="6562.51"/>
    <n v="1"/>
    <n v="5000"/>
    <m/>
    <m/>
    <m/>
    <m/>
    <m/>
    <m/>
    <m/>
    <m/>
    <m/>
    <m/>
    <s v="AKTIVAN"/>
    <n v="15"/>
  </r>
  <r>
    <n v="16"/>
    <x v="1"/>
    <n v="475"/>
    <n v="43"/>
    <x v="28"/>
    <n v="69769519663"/>
    <s v="RÓBERT PETRÁS"/>
    <s v="Ulica Lorenza Jägera 2"/>
    <x v="302"/>
    <x v="221"/>
    <d v="2022-10-31T00:00:00"/>
    <n v="99609890264"/>
    <s v="M-MUŠKO"/>
    <d v="2000-12-30T00:00:00"/>
    <s v="Tetovo"/>
    <s v="HRVATSKO"/>
    <s v="Put Vrutki 13, Opatija"/>
    <s v="NE"/>
    <s v="SSS"/>
    <m/>
    <s v="Konobar"/>
    <s v="Konobar"/>
    <s v="ODREĐENO"/>
    <d v="2022-10-31T00:00:00"/>
    <s v="PUNO"/>
    <n v="40"/>
    <s v="HR9423400093233393433"/>
    <m/>
    <m/>
    <m/>
    <m/>
    <m/>
    <s v="Opatija"/>
    <m/>
    <m/>
    <m/>
    <s v="NE"/>
    <n v="6562.51"/>
    <n v="1"/>
    <n v="5000"/>
    <m/>
    <m/>
    <m/>
    <m/>
    <m/>
    <m/>
    <m/>
    <m/>
    <m/>
    <m/>
    <s v="AKTIVAN"/>
    <n v="16"/>
  </r>
  <r>
    <n v="59"/>
    <x v="1"/>
    <n v="476"/>
    <n v="36"/>
    <x v="20"/>
    <n v="45575918003"/>
    <s v="Balázs Kulcsár"/>
    <s v="Ribarska 10"/>
    <x v="303"/>
    <x v="221"/>
    <d v="2022-05-31T00:00:00"/>
    <n v="29561943281"/>
    <s v="Ž-ŽENSKO"/>
    <d v="1987-04-25T00:00:00"/>
    <s v="Osijek"/>
    <s v="HRVATSKO"/>
    <s v="Šandora Petefija 1C, Darda"/>
    <s v="NE"/>
    <s v="VSS"/>
    <m/>
    <s v="Telefonist-operater u call c."/>
    <s v="Telefonist-operater u call c."/>
    <s v="ODREĐENO"/>
    <d v="2022-05-31T00:00:00"/>
    <s v="PUNO"/>
    <n v="40"/>
    <s v="HR7824840083232070664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9"/>
  </r>
  <r>
    <n v="17"/>
    <x v="2"/>
    <n v="477"/>
    <n v="43"/>
    <x v="28"/>
    <n v="69769519663"/>
    <s v="RÓBERT PETRÁS"/>
    <s v="Ulica Lorenza Jägera 2"/>
    <x v="304"/>
    <x v="222"/>
    <m/>
    <n v="56204314712"/>
    <s v="M-MUŠKO"/>
    <d v="1980-08-17T00:00:00"/>
    <s v="Rijeka"/>
    <s v="HRVATSKO"/>
    <s v="Janka Polića Kamova 34, Rijeka"/>
    <s v="NE"/>
    <s v="SSS"/>
    <m/>
    <s v="Recepcionar"/>
    <s v="Recepcionar"/>
    <s v="ODREĐENO"/>
    <d v="2022-06-16T00:00:00"/>
    <s v="PUNO"/>
    <n v="40"/>
    <s v="HR8924070003232314125"/>
    <m/>
    <m/>
    <m/>
    <m/>
    <m/>
    <s v="Opatija"/>
    <m/>
    <m/>
    <m/>
    <s v="NE"/>
    <n v="6619.18"/>
    <n v="1"/>
    <n v="5000"/>
    <n v="570"/>
    <m/>
    <m/>
    <m/>
    <m/>
    <m/>
    <m/>
    <m/>
    <m/>
    <m/>
    <s v="AKTIVAN"/>
    <n v="17"/>
  </r>
  <r>
    <n v="60"/>
    <x v="1"/>
    <n v="478"/>
    <n v="36"/>
    <x v="20"/>
    <n v="45575918003"/>
    <s v="Balázs Kulcsár"/>
    <s v="Ribarska 10"/>
    <x v="305"/>
    <x v="223"/>
    <d v="2022-05-20T00:00:00"/>
    <n v="32886816635"/>
    <s v="Ž-ŽENSKO"/>
    <d v="1984-10-11T00:00:00"/>
    <s v="Osijek"/>
    <s v="HRVATSKO"/>
    <s v="Ulica Ljudevita Posavskog 33, Osijek"/>
    <s v="NE"/>
    <s v="SSS"/>
    <m/>
    <s v="Telefonist-operater u call c."/>
    <s v="Telefonist-operater u call c."/>
    <s v="ODREĐENO"/>
    <d v="2022-06-30T00:00:00"/>
    <s v="PUNO"/>
    <n v="40"/>
    <s v="HR0323400093209708156, HR6523400093510622477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0"/>
  </r>
  <r>
    <n v="61"/>
    <x v="2"/>
    <n v="479"/>
    <n v="36"/>
    <x v="20"/>
    <n v="45575918003"/>
    <s v="Balázs Kulcsár"/>
    <s v="Ribarska 10"/>
    <x v="306"/>
    <x v="224"/>
    <m/>
    <n v="31460617590"/>
    <s v="M-MUŠKO"/>
    <d v="1997-02-06T00:00:00"/>
    <s v="Osijek"/>
    <s v="HRVATSKO"/>
    <s v="Woodrova Wilsona 113, Osijek"/>
    <s v="NE"/>
    <s v="SSS"/>
    <m/>
    <s v="Trgovački demonstrator"/>
    <s v="Trgovački demonstrator"/>
    <s v="NEODREĐENO"/>
    <m/>
    <s v="PUNO"/>
    <n v="40"/>
    <s v="HR9623900013221072099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1"/>
  </r>
  <r>
    <n v="62"/>
    <x v="2"/>
    <n v="480"/>
    <n v="36"/>
    <x v="20"/>
    <n v="45575918003"/>
    <s v="Balázs Kulcsár"/>
    <s v="Ribarska 10"/>
    <x v="307"/>
    <x v="224"/>
    <m/>
    <n v="85474229456"/>
    <s v="Ž-ŽENSKO"/>
    <d v="1997-04-08T00:00:00"/>
    <s v="Osijek"/>
    <s v="HRVATSKO"/>
    <s v="Opatijska 41, Osijek"/>
    <s v="NE"/>
    <s v="SSS"/>
    <m/>
    <s v="Telefonist-operater u call c."/>
    <s v="Telefonist-operater u call c."/>
    <s v="ODREĐENO"/>
    <d v="2022-06-30T00:00:00"/>
    <s v="PUNO"/>
    <n v="40"/>
    <s v="HR5823400093235424388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2"/>
  </r>
  <r>
    <n v="1"/>
    <x v="2"/>
    <n v="481"/>
    <n v="45"/>
    <x v="30"/>
    <n v="42856087628"/>
    <s v="DÓRA DENKE- TAKÁCS"/>
    <s v="Virić VII 18"/>
    <x v="308"/>
    <x v="223"/>
    <m/>
    <n v="62680965250"/>
    <s v="Ž-ŽENSKO"/>
    <d v="1992-06-12T00:00:00"/>
    <s v="Szigetvár"/>
    <s v="MAĐARSKO"/>
    <s v="BAJCSY-ZSILINSZKY UTCA 67, BARCS"/>
    <s v="NE"/>
    <s v="SSS"/>
    <m/>
    <s v="Poslovođa"/>
    <s v="Poslovođa"/>
    <s v="NEODREĐENO"/>
    <m/>
    <s v="PUNO"/>
    <n v="40"/>
    <m/>
    <m/>
    <m/>
    <m/>
    <m/>
    <m/>
    <m/>
    <m/>
    <m/>
    <m/>
    <s v="NE"/>
    <n v="6199.05"/>
    <n v="1"/>
    <m/>
    <m/>
    <m/>
    <m/>
    <m/>
    <m/>
    <m/>
    <m/>
    <m/>
    <m/>
    <m/>
    <m/>
    <m/>
  </r>
  <r>
    <n v="63"/>
    <x v="2"/>
    <n v="482"/>
    <n v="36"/>
    <x v="20"/>
    <n v="45575918003"/>
    <s v="Balázs Kulcsár"/>
    <s v="Ribarska 10"/>
    <x v="309"/>
    <x v="225"/>
    <m/>
    <n v="18596946138"/>
    <s v="Ž-ŽENSKO"/>
    <d v="1990-09-17T00:00:00"/>
    <s v="Slavonski Brod"/>
    <s v="HRVATSKO"/>
    <s v="Sjenjak 39, Osijek"/>
    <s v="NE"/>
    <s v="VSS"/>
    <m/>
    <s v="Telefonist-operater u call c."/>
    <s v="Telefonist-operater u call c."/>
    <s v="ODREĐENO"/>
    <d v="2022-06-30T00:00:00"/>
    <s v="PUNO"/>
    <n v="40"/>
    <s v="HR6123400093215817918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3"/>
  </r>
  <r>
    <n v="1"/>
    <x v="2"/>
    <n v="483"/>
    <n v="45"/>
    <x v="30"/>
    <n v="42856087628"/>
    <s v="DÓRA DENKE- TAKÁCS"/>
    <s v="Virić VII 18"/>
    <x v="310"/>
    <x v="225"/>
    <m/>
    <n v="32151281297"/>
    <s v="M-MUŠKO"/>
    <d v="1978-12-17T00:00:00"/>
    <s v="Pécs"/>
    <s v="MAĐARSKO"/>
    <s v="Horváth Kázmér utca 2, 1. em. 4a, 7700 Mohács"/>
    <s v="NE"/>
    <s v="SSS"/>
    <m/>
    <m/>
    <s v="komercijalist"/>
    <s v="NEODREĐENO"/>
    <m/>
    <s v="PUNO"/>
    <n v="40"/>
    <m/>
    <m/>
    <m/>
    <m/>
    <m/>
    <m/>
    <m/>
    <m/>
    <m/>
    <m/>
    <m/>
    <n v="4687.5"/>
    <m/>
    <n v="3750"/>
    <m/>
    <m/>
    <m/>
    <m/>
    <m/>
    <m/>
    <m/>
    <m/>
    <m/>
    <m/>
    <m/>
    <m/>
  </r>
  <r>
    <n v="64"/>
    <x v="2"/>
    <n v="484"/>
    <n v="36"/>
    <x v="20"/>
    <n v="45575918003"/>
    <s v="Balázs Kulcsár"/>
    <s v="Ribarska 10"/>
    <x v="311"/>
    <x v="226"/>
    <m/>
    <n v="80373498320"/>
    <s v="Ž-ŽENSKO"/>
    <d v="1970-08-17T00:00:00"/>
    <s v="Osijek"/>
    <s v="HRVATSKO"/>
    <s v="Ulica Sv. Roka 1, Osijek"/>
    <s v="NE"/>
    <s v="VSS"/>
    <m/>
    <s v="Telefonist-operater u call c."/>
    <s v="Telefonist-operater u call c."/>
    <s v="ODREĐENO"/>
    <d v="2022-06-30T00:00:00"/>
    <s v="PUNO"/>
    <n v="40"/>
    <s v="HR4223400093212632004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4"/>
  </r>
  <r>
    <n v="65"/>
    <x v="2"/>
    <n v="485"/>
    <n v="36"/>
    <x v="20"/>
    <n v="45575918003"/>
    <s v="Balázs Kulcsár"/>
    <s v="Ribarska 10"/>
    <x v="312"/>
    <x v="227"/>
    <m/>
    <n v="82818036206"/>
    <s v="M-MUŠKO"/>
    <d v="1990-09-30T00:00:00"/>
    <s v="Osijek"/>
    <s v="HRVATSKO"/>
    <s v="Kapelska ulica 50, Osijek"/>
    <s v="NE"/>
    <s v="SSS"/>
    <m/>
    <s v="Trgovački demonstrator"/>
    <s v="Trgovački demonstrator"/>
    <s v="NEODREĐENO"/>
    <m/>
    <s v="PUNO"/>
    <n v="40"/>
    <s v="HR9323900013221139762, HR6223900013506028641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5"/>
  </r>
  <r>
    <n v="66"/>
    <x v="2"/>
    <n v="486"/>
    <n v="36"/>
    <x v="20"/>
    <n v="45575918003"/>
    <s v="Balázs Kulcsár"/>
    <s v="Ribarska 10"/>
    <x v="313"/>
    <x v="228"/>
    <m/>
    <n v="91921804792"/>
    <s v="M-MUŠKO"/>
    <d v="1993-11-23T00:00:00"/>
    <s v="Osijek"/>
    <s v="HRVATSKO"/>
    <s v="Sljemenska ulica 29A, Osijek"/>
    <s v="NE"/>
    <s v="SSS"/>
    <m/>
    <s v="Telefonist-operater u call c."/>
    <s v="Telefonist-operater u call c."/>
    <s v="ODREĐENO"/>
    <d v="2022-07-15T00:00:00"/>
    <s v="PUNO"/>
    <n v="40"/>
    <s v="HR3524840083235001614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6"/>
  </r>
  <r>
    <n v="67"/>
    <x v="1"/>
    <n v="487"/>
    <n v="36"/>
    <x v="20"/>
    <n v="45575918003"/>
    <s v="Balázs Kulcsár"/>
    <s v="Ribarska 10"/>
    <x v="314"/>
    <x v="228"/>
    <d v="2022-07-07T00:00:00"/>
    <n v="87959597677"/>
    <s v="Ž-ŽENSKO"/>
    <d v="1994-09-08T00:00:00"/>
    <s v="Vojnić"/>
    <s v="HRVATSKO"/>
    <s v="Psunjska 107, Osijek"/>
    <s v="NE"/>
    <s v="SSS"/>
    <m/>
    <s v="Telefonist-operater u call c."/>
    <s v="Telefonist-operater u call c."/>
    <s v="ODREĐENO"/>
    <m/>
    <s v="PUNO"/>
    <n v="40"/>
    <s v="HR1723400093231487508"/>
    <m/>
    <m/>
    <m/>
    <m/>
    <m/>
    <s v="Osijek"/>
    <m/>
    <m/>
    <m/>
    <s v="NE"/>
    <n v="4687.5"/>
    <n v="1"/>
    <n v="3750"/>
    <m/>
    <m/>
    <m/>
    <m/>
    <m/>
    <m/>
    <m/>
    <m/>
    <m/>
    <m/>
    <s v="NEAKTIVAN"/>
    <n v="67"/>
  </r>
  <r>
    <n v="68"/>
    <x v="2"/>
    <n v="488"/>
    <n v="36"/>
    <x v="20"/>
    <n v="45575918003"/>
    <s v="Balázs Kulcsár"/>
    <s v="Ribarska 10"/>
    <x v="315"/>
    <x v="229"/>
    <m/>
    <s v="0810985190102"/>
    <s v="M-MUŠKO"/>
    <d v="1985-10-08T00:00:00"/>
    <s v="Zenica"/>
    <s v="Bosansko"/>
    <s v="Ilička ulica 7/5, Brčko"/>
    <s v="DA"/>
    <s v="SSS"/>
    <m/>
    <s v="Trgovački Putnik"/>
    <s v="Trgovački putnik"/>
    <s v="ODREĐENO"/>
    <d v="2023-08-01T00:00:00"/>
    <s v="PUNO"/>
    <n v="40"/>
    <m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8"/>
  </r>
  <r>
    <n v="69"/>
    <x v="2"/>
    <n v="489"/>
    <n v="36"/>
    <x v="20"/>
    <n v="45575918003"/>
    <s v="Balázs Kulcsár"/>
    <s v="Ribarska 10"/>
    <x v="316"/>
    <x v="230"/>
    <m/>
    <n v="34562649333"/>
    <s v="Ž-ŽENSKO"/>
    <d v="1965-10-14T00:00:00"/>
    <s v="Đurđenovac"/>
    <s v="HRVATSKO"/>
    <s v="Zagrebačka Ulica 44, Višnjevac"/>
    <s v="NE"/>
    <s v="SSS"/>
    <m/>
    <s v="Telefonist-operater u call c."/>
    <s v="Telefonist-operater u call c."/>
    <s v="ODREĐENO"/>
    <m/>
    <s v="PUNO"/>
    <n v="40"/>
    <s v="HR3123400093236152956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9"/>
  </r>
  <r>
    <n v="70"/>
    <x v="2"/>
    <n v="490"/>
    <n v="36"/>
    <x v="20"/>
    <n v="45575918003"/>
    <s v="Balázs Kulcsár"/>
    <s v="Ribarska 10"/>
    <x v="317"/>
    <x v="229"/>
    <m/>
    <n v="2512995186509"/>
    <s v="Ž-ŽENSKO"/>
    <d v="1995-12-25T00:00:00"/>
    <s v="Maoča"/>
    <s v="Bosansko"/>
    <s v="Čamila Šiljarića 149, Brčko"/>
    <s v="DA"/>
    <s v="SSS"/>
    <m/>
    <s v="Trgovački Putnik"/>
    <s v="Trgovački Putnik"/>
    <s v="ODREĐENO"/>
    <d v="2023-08-01T00:00:00"/>
    <s v="PUNO"/>
    <n v="40"/>
    <m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70"/>
  </r>
  <r>
    <n v="71"/>
    <x v="2"/>
    <n v="491"/>
    <n v="36"/>
    <x v="20"/>
    <n v="45575918003"/>
    <s v="Balázs Kulcsár"/>
    <s v="Ribarska 10"/>
    <x v="318"/>
    <x v="229"/>
    <m/>
    <n v="1906001180048"/>
    <s v="M-MUŠKO"/>
    <d v="2001-06-19T00:00:00"/>
    <s v="Tuzla"/>
    <s v="Bosansko"/>
    <s v="Suljo Kahirman 28, Brčko"/>
    <s v="DA"/>
    <s v="SSS"/>
    <m/>
    <s v="Trgovački Putnik"/>
    <s v="Trgovački Putnik"/>
    <s v="ODREĐENO"/>
    <d v="2023-08-01T00:00:00"/>
    <s v="PUNO"/>
    <n v="40"/>
    <m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71"/>
  </r>
  <r>
    <n v="72"/>
    <x v="2"/>
    <n v="492"/>
    <n v="36"/>
    <x v="20"/>
    <n v="45575918003"/>
    <s v="Balázs Kulcsár"/>
    <s v="Ribarska 10"/>
    <x v="122"/>
    <x v="231"/>
    <m/>
    <n v="81476803276"/>
    <s v="Ž-ŽENSKO"/>
    <d v="1980-05-29T00:00:00"/>
    <s v="Osijek"/>
    <s v="HRVATSKO"/>
    <s v="Ulica sv. Roka 52, Osijek"/>
    <s v="NE"/>
    <s v="SSS"/>
    <m/>
    <s v="Trgovački demonstrator"/>
    <s v="Trgovački demonstrator"/>
    <s v="NEODREĐENO"/>
    <m/>
    <s v="PUNO"/>
    <n v="40"/>
    <s v="HR6123600003239542319"/>
    <m/>
    <m/>
    <m/>
    <m/>
    <m/>
    <s v="Osijek"/>
    <m/>
    <m/>
    <m/>
    <s v="NE"/>
    <n v="7425"/>
    <n v="1"/>
    <n v="5500"/>
    <m/>
    <m/>
    <m/>
    <m/>
    <m/>
    <m/>
    <m/>
    <m/>
    <m/>
    <m/>
    <s v="AKTIVAN"/>
    <n v="72"/>
  </r>
  <r>
    <n v="18"/>
    <x v="2"/>
    <n v="493"/>
    <n v="43"/>
    <x v="28"/>
    <n v="69769519663"/>
    <s v="RÓBERT PETRÁS"/>
    <s v="Ulica Lorenza Jägera 2"/>
    <x v="319"/>
    <x v="232"/>
    <m/>
    <n v="99064659100"/>
    <s v="M-MUŠKO"/>
    <d v="1987-01-14T00:00:00"/>
    <s v="Opatija"/>
    <s v="HRVATSKO"/>
    <s v="Šmiti 6, Poljane"/>
    <s v="NE"/>
    <s v="SSS"/>
    <m/>
    <s v="Recepcionar"/>
    <s v="Recepcionar"/>
    <s v="NEODREĐENO"/>
    <m/>
    <s v="PUNO"/>
    <n v="40"/>
    <s v="HR2424020063207503349"/>
    <m/>
    <m/>
    <m/>
    <m/>
    <m/>
    <s v="Opatija"/>
    <m/>
    <m/>
    <m/>
    <s v="NE"/>
    <m/>
    <n v="1"/>
    <n v="5000"/>
    <n v="452"/>
    <m/>
    <m/>
    <m/>
    <m/>
    <m/>
    <m/>
    <m/>
    <m/>
    <m/>
    <s v="AKTIVAN"/>
    <n v="18"/>
  </r>
  <r>
    <n v="19"/>
    <x v="1"/>
    <n v="494"/>
    <n v="43"/>
    <x v="28"/>
    <n v="69769519663"/>
    <s v="RÓBERT PETRÁS"/>
    <s v="Ulica Lorenza Jägera 2"/>
    <x v="320"/>
    <x v="232"/>
    <d v="2022-11-25T00:00:00"/>
    <n v="98698921160"/>
    <s v="Ž-ŽENSKO"/>
    <d v="1992-09-27T00:00:00"/>
    <s v="Opatija"/>
    <s v="HRVATSKO"/>
    <s v="Andrije Hebranga 18 G, Karlovac"/>
    <s v="NE"/>
    <s v="SSS"/>
    <m/>
    <s v="Spremačica"/>
    <s v="Spremačica"/>
    <s v="ODREĐENO"/>
    <d v="2022-11-25T00:00:00"/>
    <s v="PUNO"/>
    <n v="40"/>
    <s v="HR6023400093230057439"/>
    <m/>
    <m/>
    <m/>
    <m/>
    <m/>
    <s v="Opatija"/>
    <m/>
    <m/>
    <m/>
    <s v="NE"/>
    <n v="6610.82"/>
    <n v="1"/>
    <n v="5000"/>
    <n v="570"/>
    <m/>
    <m/>
    <m/>
    <m/>
    <m/>
    <m/>
    <m/>
    <m/>
    <m/>
    <s v="NEAKTIVAN"/>
    <n v="19"/>
  </r>
  <r>
    <n v="73"/>
    <x v="2"/>
    <n v="495"/>
    <n v="36"/>
    <x v="20"/>
    <n v="45575918003"/>
    <s v="Balázs Kulcsár"/>
    <s v="Ribarska 10"/>
    <x v="321"/>
    <x v="233"/>
    <m/>
    <n v="61603995429"/>
    <s v="Ž-ŽENSKO"/>
    <d v="2004-02-14T00:00:00"/>
    <s v="Osijek"/>
    <s v="HRVATSKO"/>
    <s v="Dr. Franje Tuđmana 8, Ivanovac"/>
    <s v="NE"/>
    <s v="SSS"/>
    <m/>
    <s v="Telefonist-operater u call c."/>
    <s v="Telefonist-operater u call c."/>
    <s v="ODREĐENO"/>
    <m/>
    <s v="PUNO"/>
    <n v="40"/>
    <s v="HR7424020063211350633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73"/>
  </r>
  <r>
    <n v="20"/>
    <x v="1"/>
    <n v="496"/>
    <n v="43"/>
    <x v="28"/>
    <n v="69769519663"/>
    <s v="RÓBERT PETRÁS"/>
    <s v="Ulica Lorenza Jägera 2"/>
    <x v="322"/>
    <x v="234"/>
    <d v="2022-12-31T00:00:00"/>
    <n v="36882923668"/>
    <s v="Ž-ŽENSKO"/>
    <d v="2001-07-16T00:00:00"/>
    <s v="Rijeka"/>
    <s v="HRVATSKO"/>
    <s v="Mihaćeva Draga 31B, Rijeka"/>
    <s v="NE"/>
    <s v="NKV"/>
    <m/>
    <s v="Spremačica"/>
    <s v="Spremačica"/>
    <s v="ODREĐENO"/>
    <d v="2022-10-13T00:00:00"/>
    <s v="PUNO"/>
    <n v="40"/>
    <s v="HR4124020063581137343"/>
    <m/>
    <m/>
    <m/>
    <m/>
    <m/>
    <s v="Opatija"/>
    <m/>
    <m/>
    <m/>
    <s v="NE"/>
    <n v="6619.18"/>
    <n v="1"/>
    <n v="5000"/>
    <n v="570"/>
    <m/>
    <m/>
    <m/>
    <m/>
    <m/>
    <m/>
    <m/>
    <m/>
    <m/>
    <s v="AKTIVAN"/>
    <n v="20"/>
  </r>
  <r>
    <n v="21"/>
    <x v="1"/>
    <n v="497"/>
    <n v="43"/>
    <x v="28"/>
    <n v="69769519663"/>
    <s v="RÓBERT PETRÁS"/>
    <s v="Ulica Lorenza Jägera 2"/>
    <x v="323"/>
    <x v="234"/>
    <d v="2022-12-31T00:00:00"/>
    <s v="04357281854"/>
    <s v="Ž-ŽENSKO"/>
    <d v="2003-06-12T00:00:00"/>
    <s v="Rijeka"/>
    <s v="HRVATSKO"/>
    <s v="Velebitska 6, Rijeka"/>
    <s v="NE"/>
    <s v="SSS"/>
    <m/>
    <s v="Spremačica"/>
    <s v="Spremačica"/>
    <s v="ODREĐENO"/>
    <d v="2022-10-13T00:00:00"/>
    <s v="PUNO"/>
    <n v="40"/>
    <s v="HR1924020063210319931"/>
    <m/>
    <m/>
    <m/>
    <m/>
    <m/>
    <s v="Opatija"/>
    <m/>
    <m/>
    <m/>
    <s v="NE"/>
    <n v="6619.18"/>
    <n v="1"/>
    <n v="5000"/>
    <n v="570"/>
    <m/>
    <m/>
    <m/>
    <m/>
    <m/>
    <m/>
    <m/>
    <m/>
    <m/>
    <s v="AKTIVAN"/>
    <n v="21"/>
  </r>
  <r>
    <n v="74"/>
    <x v="2"/>
    <n v="498"/>
    <n v="36"/>
    <x v="20"/>
    <n v="45575918003"/>
    <s v="Balázs Kulcsár"/>
    <s v="Ribarska 10"/>
    <x v="324"/>
    <x v="235"/>
    <m/>
    <n v="99592785797"/>
    <s v="Ž-ŽENSKO"/>
    <d v="1968-02-06T00:00:00"/>
    <s v="Vukovar"/>
    <s v="HRVATSKO"/>
    <s v="Sjenjak 33, Osijek"/>
    <s v="NE"/>
    <s v="SSS"/>
    <m/>
    <s v="Telefonist-operater u call c."/>
    <s v="Telefonist-operater u call c."/>
    <s v="ODREĐENO"/>
    <m/>
    <s v="PUNO"/>
    <n v="40"/>
    <s v="HR5023600003236113179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74"/>
  </r>
  <r>
    <n v="75"/>
    <x v="2"/>
    <n v="499"/>
    <n v="36"/>
    <x v="20"/>
    <n v="45575918003"/>
    <s v="Balázs Kulcsár"/>
    <s v="Ribarska 10"/>
    <x v="325"/>
    <x v="236"/>
    <m/>
    <n v="68936482621"/>
    <s v="Ž-ŽENSKO"/>
    <d v="1982-10-21T00:00:00"/>
    <s v="Čepin"/>
    <s v="HRVATSKO"/>
    <s v="Dr. Franje Tuđmana 8, Ivanovac"/>
    <s v="NE"/>
    <s v="SSS"/>
    <m/>
    <s v="Telefonist-operater u call c."/>
    <s v="Telefonist-operater u call c."/>
    <s v="ODREĐENO"/>
    <d v="2022-10-31T00:00:00"/>
    <s v="PUNO"/>
    <n v="40"/>
    <s v="HR8424020063208198729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75"/>
  </r>
  <r>
    <n v="76"/>
    <x v="2"/>
    <n v="500"/>
    <n v="36"/>
    <x v="20"/>
    <n v="45575918003"/>
    <s v="Balázs Kulcsár"/>
    <s v="Ribarska 10"/>
    <x v="326"/>
    <x v="236"/>
    <m/>
    <n v="33301831570"/>
    <s v="Ž-ŽENSKO"/>
    <d v="1972-07-11T00:00:00"/>
    <s v="Osijek"/>
    <s v="HRVATSKO"/>
    <s v="Ul Hrvatske Republike 37, Osijek"/>
    <s v="NE"/>
    <s v="SSS"/>
    <m/>
    <s v="Telefonist-operater u call c."/>
    <s v="Telefonist-operater u call c."/>
    <s v="ODREĐENO"/>
    <d v="2022-10-31T00:00:00"/>
    <s v="PUNO"/>
    <n v="40"/>
    <s v="HR6623600003223035254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76"/>
  </r>
  <r>
    <n v="77"/>
    <x v="2"/>
    <n v="501"/>
    <n v="36"/>
    <x v="20"/>
    <n v="45575918003"/>
    <s v="Balázs Kulcsár"/>
    <s v="Ribarska 10"/>
    <x v="327"/>
    <x v="236"/>
    <m/>
    <n v="52434021652"/>
    <s v="Ž-ŽENSKO"/>
    <d v="1986-02-09T00:00:00"/>
    <s v="Osijek"/>
    <s v="HRVATSKO"/>
    <s v="Ljudevita Gaja 23, Darda"/>
    <s v="NE"/>
    <s v="SSS"/>
    <m/>
    <s v="Telefonist-operater u call c."/>
    <s v="Telefonist-operater u call c."/>
    <s v="ODREĐENO"/>
    <d v="2022-10-31T00:00:00"/>
    <s v="PUNO"/>
    <n v="40"/>
    <s v="HR2723400093209071016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77"/>
  </r>
  <r>
    <n v="1"/>
    <x v="2"/>
    <n v="502"/>
    <n v="46"/>
    <x v="31"/>
    <n v="81938384478"/>
    <s v="Ilonka Horvat"/>
    <s v="Petefi Šandora 31"/>
    <x v="328"/>
    <x v="237"/>
    <m/>
    <n v="80146813683"/>
    <s v="Ž-ŽENSKO"/>
    <d v="1982-12-24T00:00:00"/>
    <s v="Osijek"/>
    <s v="HRVATSKO"/>
    <s v="SUZA, PETEFI ŠANDORA 25"/>
    <s v="NE"/>
    <s v="SSS"/>
    <m/>
    <s v="PRODAVAČ"/>
    <s v="PRODAVAČ"/>
    <s v="ODREĐENO"/>
    <d v="2022-12-31T00:00:00"/>
    <s v="NEPUNO"/>
    <n v="20"/>
    <s v="HR7423400093110125417"/>
    <m/>
    <m/>
    <m/>
    <m/>
    <m/>
    <s v="Suza"/>
    <m/>
    <m/>
    <m/>
    <s v="NE"/>
    <n v="350"/>
    <n v="1"/>
    <n v="280"/>
    <m/>
    <m/>
    <m/>
    <m/>
    <m/>
    <m/>
    <m/>
    <m/>
    <m/>
    <m/>
    <m/>
    <m/>
  </r>
  <r>
    <n v="2"/>
    <x v="2"/>
    <n v="503"/>
    <n v="46"/>
    <x v="31"/>
    <n v="81938384478"/>
    <s v="Ilonka Horvat"/>
    <s v="Petefi Šandora 31"/>
    <x v="329"/>
    <x v="238"/>
    <m/>
    <s v="05523151006"/>
    <s v="Ž-ŽENSKO"/>
    <d v="1973-04-05T00:00:00"/>
    <m/>
    <s v="HRVATSKO"/>
    <s v="Suza, Kosuta Lajoša 7"/>
    <s v="NE"/>
    <s v="SSS"/>
    <m/>
    <s v="pomoćni radnik"/>
    <m/>
    <s v="NEODREĐENO"/>
    <m/>
    <s v="NEPUNO"/>
    <n v="20"/>
    <s v="HR3523400093232728299"/>
    <m/>
    <m/>
    <m/>
    <m/>
    <m/>
    <s v="Suza"/>
    <m/>
    <m/>
    <m/>
    <m/>
    <n v="350"/>
    <m/>
    <n v="280"/>
    <m/>
    <m/>
    <m/>
    <m/>
    <m/>
    <m/>
    <m/>
    <m/>
    <m/>
    <m/>
    <m/>
    <m/>
  </r>
  <r>
    <n v="3"/>
    <x v="2"/>
    <n v="504"/>
    <n v="46"/>
    <x v="31"/>
    <n v="81938384478"/>
    <s v="Ilonka Horvat"/>
    <s v="Petefi Šandora 31"/>
    <x v="330"/>
    <x v="238"/>
    <m/>
    <n v="83739291274"/>
    <s v="Ž-ŽENSKO"/>
    <d v="1998-11-15T00:00:00"/>
    <s v="Osijek"/>
    <s v="HRVATSKO"/>
    <s v="Suza, Kosuta Lajoša"/>
    <s v="NE"/>
    <s v="NKV"/>
    <m/>
    <s v="POMOĆNI RADNIK"/>
    <m/>
    <s v="ODREĐENO"/>
    <m/>
    <s v="NEPUNO"/>
    <n v="20"/>
    <m/>
    <m/>
    <m/>
    <m/>
    <m/>
    <m/>
    <m/>
    <m/>
    <m/>
    <m/>
    <m/>
    <n v="350"/>
    <m/>
    <n v="280"/>
    <m/>
    <m/>
    <m/>
    <m/>
    <m/>
    <m/>
    <m/>
    <m/>
    <m/>
    <m/>
    <m/>
    <m/>
  </r>
  <r>
    <n v="4"/>
    <x v="1"/>
    <n v="505"/>
    <n v="46"/>
    <x v="31"/>
    <n v="81938384478"/>
    <s v="Ilonka Horvat"/>
    <s v="Petefi Šandora 31"/>
    <x v="331"/>
    <x v="239"/>
    <s v="12.11.2022."/>
    <n v="83522450528"/>
    <s v="Ž-ŽENSKO"/>
    <d v="2004-09-02T00:00:00"/>
    <s v="Osijek"/>
    <s v="HRVATSKO"/>
    <s v="SUZA, PETEFI ŠANDORA 31"/>
    <s v="NE"/>
    <s v="SSS"/>
    <m/>
    <s v="PRODAVAČ"/>
    <s v="PRODAVAČ"/>
    <s v="ODREĐENO"/>
    <d v="2022-11-12T00:00:00"/>
    <s v="NEPUNO"/>
    <n v="20"/>
    <m/>
    <m/>
    <m/>
    <m/>
    <m/>
    <m/>
    <m/>
    <m/>
    <m/>
    <m/>
    <m/>
    <n v="2343.75"/>
    <m/>
    <m/>
    <m/>
    <m/>
    <m/>
    <m/>
    <m/>
    <m/>
    <m/>
    <m/>
    <m/>
    <m/>
    <m/>
    <m/>
  </r>
  <r>
    <n v="5"/>
    <x v="1"/>
    <n v="506"/>
    <n v="46"/>
    <x v="31"/>
    <n v="81938384478"/>
    <s v="Ilonka Horvat"/>
    <s v="Petefi Šandora 31"/>
    <x v="332"/>
    <x v="240"/>
    <d v="2022-11-05T00:00:00"/>
    <n v="45674678823"/>
    <s v="Ž-ŽENSKO"/>
    <d v="1986-09-17T00:00:00"/>
    <s v="OSIJEK"/>
    <s v="HRVATSKO"/>
    <m/>
    <s v="NE"/>
    <s v="SSS"/>
    <m/>
    <s v="PRODAVAČ"/>
    <s v="PRODAVAČ"/>
    <s v="ODREĐENO"/>
    <d v="2022-11-05T00:00:00"/>
    <s v="NEPUNO"/>
    <n v="20"/>
    <m/>
    <m/>
    <m/>
    <m/>
    <m/>
    <m/>
    <m/>
    <m/>
    <m/>
    <m/>
    <m/>
    <n v="2343.75"/>
    <m/>
    <m/>
    <m/>
    <m/>
    <m/>
    <m/>
    <m/>
    <m/>
    <m/>
    <m/>
    <m/>
    <m/>
    <m/>
    <m/>
  </r>
  <r>
    <n v="6"/>
    <x v="1"/>
    <n v="507"/>
    <n v="46"/>
    <x v="31"/>
    <n v="81938384478"/>
    <s v="Ilonka Horvat"/>
    <s v="Petefi Šandora 31"/>
    <x v="332"/>
    <x v="239"/>
    <s v="12.11.2022."/>
    <n v="45674678823"/>
    <s v="Ž-ŽENSKO"/>
    <d v="1986-09-17T00:00:00"/>
    <s v="OSIJEK"/>
    <s v="HRVATSKO"/>
    <m/>
    <s v="NE"/>
    <s v="SSS"/>
    <m/>
    <s v="PRODAVAČ"/>
    <s v="PRODAVAČ"/>
    <s v="ODREĐENO"/>
    <d v="2022-11-12T00:00:00"/>
    <s v="PUNO"/>
    <n v="40"/>
    <m/>
    <m/>
    <m/>
    <m/>
    <m/>
    <m/>
    <m/>
    <m/>
    <m/>
    <m/>
    <m/>
    <n v="4687.5"/>
    <m/>
    <m/>
    <m/>
    <m/>
    <m/>
    <m/>
    <m/>
    <m/>
    <m/>
    <m/>
    <m/>
    <m/>
    <m/>
    <m/>
  </r>
  <r>
    <n v="1"/>
    <x v="2"/>
    <n v="508"/>
    <n v="36"/>
    <x v="20"/>
    <n v="45575918003"/>
    <s v="Balázs Kulcsár"/>
    <s v="Ribarska 10"/>
    <x v="333"/>
    <x v="241"/>
    <m/>
    <n v="91135491200"/>
    <s v="Ž-ŽENSKO"/>
    <d v="2000-02-22T00:00:00"/>
    <s v="Osijek"/>
    <s v="HRVATSKO"/>
    <s v="Bosanska 24, Višnjevac"/>
    <s v="NE"/>
    <s v="SSS"/>
    <m/>
    <s v="Telefonist-operater u call c."/>
    <s v="Telefonist-operater u call c."/>
    <s v="ODREĐENO"/>
    <m/>
    <s v="PUNO"/>
    <n v="40"/>
    <s v="HR2824840083236803709"/>
    <m/>
    <m/>
    <m/>
    <m/>
    <m/>
    <s v="Osijek"/>
    <m/>
    <m/>
    <m/>
    <m/>
    <n v="4687.5"/>
    <n v="1"/>
    <n v="3750"/>
    <m/>
    <m/>
    <m/>
    <m/>
    <m/>
    <m/>
    <m/>
    <m/>
    <m/>
    <m/>
    <s v="AKTIVAN"/>
    <n v="78"/>
  </r>
  <r>
    <n v="22"/>
    <x v="2"/>
    <n v="509"/>
    <n v="43"/>
    <x v="28"/>
    <n v="69769519663"/>
    <s v="RÓBERT PETRÁS"/>
    <s v="Ulica Lorenza Jägera 2"/>
    <x v="334"/>
    <x v="242"/>
    <m/>
    <n v="23787165772"/>
    <s v="Ž-ŽENSKO"/>
    <d v="1979-09-16T00:00:00"/>
    <s v="Firenze"/>
    <s v="HRVATSKO"/>
    <s v="Via Di Piazza Calda 10, Firenca"/>
    <s v="NE"/>
    <s v="SSS"/>
    <m/>
    <s v="Konobar"/>
    <s v="Konobar"/>
    <s v="ODREĐENO"/>
    <m/>
    <s v="PUNO"/>
    <n v="40"/>
    <s v="HR4423400093230780959"/>
    <m/>
    <m/>
    <m/>
    <m/>
    <m/>
    <s v="Opatija"/>
    <m/>
    <m/>
    <m/>
    <s v="NE"/>
    <n v="6562.51"/>
    <n v="1"/>
    <n v="5000"/>
    <n v="452"/>
    <m/>
    <m/>
    <m/>
    <m/>
    <m/>
    <m/>
    <m/>
    <m/>
    <m/>
    <s v="AKTIVAN"/>
    <n v="22"/>
  </r>
  <r>
    <n v="23"/>
    <x v="1"/>
    <n v="510"/>
    <n v="43"/>
    <x v="28"/>
    <n v="69769519663"/>
    <s v="RÓBERT PETRÁS"/>
    <s v="Ulica Lorenza Jägera 2"/>
    <x v="335"/>
    <x v="243"/>
    <d v="2023-01-15T00:00:00"/>
    <n v="23923615356"/>
    <s v="Ž-ŽENSKO"/>
    <d v="1985-04-03T00:00:00"/>
    <s v="Opatija"/>
    <s v="HRVATSKO"/>
    <s v="Poljane 9, Poljane"/>
    <s v="NE"/>
    <s v="SSS"/>
    <m/>
    <s v="Knjigovođa"/>
    <s v="Knjigovođa"/>
    <s v="ODREĐENO"/>
    <m/>
    <s v="NEPUNO"/>
    <n v="20"/>
    <s v="HR5924020063206260052"/>
    <m/>
    <m/>
    <m/>
    <m/>
    <m/>
    <s v="Opatija"/>
    <m/>
    <m/>
    <m/>
    <s v="NE"/>
    <n v="5096.87"/>
    <n v="1"/>
    <n v="3500"/>
    <n v="452"/>
    <m/>
    <m/>
    <m/>
    <m/>
    <m/>
    <m/>
    <m/>
    <m/>
    <m/>
    <s v="AKTIVAN"/>
    <n v="23"/>
  </r>
  <r>
    <n v="1"/>
    <x v="2"/>
    <n v="511"/>
    <n v="36"/>
    <x v="20"/>
    <n v="45575918003"/>
    <s v="Balázs Kulcsár"/>
    <s v="Ribarska 10"/>
    <x v="336"/>
    <x v="244"/>
    <m/>
    <n v="14091093469"/>
    <s v="Ž-ŽENSKO"/>
    <d v="1995-10-09T00:00:00"/>
    <s v="Osijek"/>
    <s v="HRVATSKO"/>
    <s v="S.S. Kranjčevića 77, Slatina"/>
    <s v="NE"/>
    <s v="SSS"/>
    <m/>
    <s v="Telefonist-operater u call c."/>
    <s v="Telefonist-operater u call c."/>
    <s v="ODREĐENO"/>
    <m/>
    <s v="PUNO"/>
    <n v="40"/>
    <s v="HR2724020063581008100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79"/>
  </r>
  <r>
    <n v="1"/>
    <x v="2"/>
    <n v="512"/>
    <n v="36"/>
    <x v="20"/>
    <n v="45575918003"/>
    <s v="Balázs Kulcsár"/>
    <s v="Ribarska 10"/>
    <x v="29"/>
    <x v="245"/>
    <m/>
    <n v="91608925694"/>
    <s v="M-MUŠKO"/>
    <d v="1988-12-06T00:00:00"/>
    <s v="Osijek"/>
    <s v="HRVATSKO"/>
    <s v="Školska 52, Beli Manastir"/>
    <s v="NE"/>
    <s v="SSS"/>
    <m/>
    <s v="Trgovački demonstrator i prodavač"/>
    <s v="Trgovački demonstrator i prodavač"/>
    <s v="NEODREĐENO"/>
    <m/>
    <s v="PUNO"/>
    <n v="40"/>
    <s v="HR6323600003515050704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80"/>
  </r>
  <r>
    <n v="1"/>
    <x v="2"/>
    <n v="513"/>
    <n v="36"/>
    <x v="20"/>
    <n v="45575918003"/>
    <s v="Balázs Kulcsár"/>
    <s v="Ribarska 10"/>
    <x v="337"/>
    <x v="246"/>
    <m/>
    <n v="37874686979"/>
    <s v="Ž-ŽENSKO"/>
    <d v="1982-10-29T00:00:00"/>
    <s v="Osijek"/>
    <s v="HRVATSKO"/>
    <s v="Ulica Ljudevita Posavskog 34, Osijek"/>
    <s v="NE"/>
    <s v="SSS"/>
    <m/>
    <s v="Telefonist-operater u call c."/>
    <s v="Telefonist-operater u call c."/>
    <s v="ODREĐENO"/>
    <m/>
    <s v="PUNO"/>
    <n v="40"/>
    <s v="HR8024070003206387545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81"/>
  </r>
  <r>
    <n v="24"/>
    <x v="1"/>
    <n v="514"/>
    <n v="43"/>
    <x v="28"/>
    <n v="69769519663"/>
    <s v="RÓBERT PETRÁS"/>
    <s v="Ulica Lorenza Jägera 2"/>
    <x v="338"/>
    <x v="247"/>
    <d v="2022-12-31T00:00:00"/>
    <n v="31306973978"/>
    <s v="Ž-ŽENSKO"/>
    <d v="2000-03-17T00:00:00"/>
    <s v="Rijeka"/>
    <s v="HRVATSKO"/>
    <s v="Velebitska 6, Rijeka"/>
    <s v="NE"/>
    <s v="SSS"/>
    <m/>
    <s v="Spremačica"/>
    <s v="Spremačica"/>
    <s v="ODREĐENO"/>
    <m/>
    <s v="PUNO"/>
    <n v="40"/>
    <s v="HR7523900013221888053, HR1723900013506264482"/>
    <m/>
    <m/>
    <m/>
    <m/>
    <m/>
    <s v="Opatija"/>
    <m/>
    <m/>
    <m/>
    <s v="NE"/>
    <n v="6619.18"/>
    <n v="1"/>
    <n v="5000"/>
    <n v="570"/>
    <m/>
    <m/>
    <m/>
    <m/>
    <m/>
    <m/>
    <m/>
    <m/>
    <m/>
    <s v="AKTIVAN"/>
    <n v="24"/>
  </r>
  <r>
    <n v="7"/>
    <x v="1"/>
    <n v="515"/>
    <n v="46"/>
    <x v="31"/>
    <n v="81938384478"/>
    <s v="Ilonka Horvat"/>
    <s v="Petefi Šandora 31"/>
    <x v="331"/>
    <x v="248"/>
    <d v="2022-11-26T00:00:00"/>
    <n v="83522450528"/>
    <s v="Ž-ŽENSKO"/>
    <d v="2004-09-02T00:00:00"/>
    <s v="Osijek"/>
    <s v="HRVATSKO"/>
    <s v="SUZA, PETEFI ŠANDORA 31"/>
    <s v="NE"/>
    <s v="SSS"/>
    <m/>
    <s v="PRODAVAČ"/>
    <s v="PRODAVAČ"/>
    <s v="ODREĐENO"/>
    <d v="2022-11-26T00:00:00"/>
    <s v="NEPUNO"/>
    <n v="20"/>
    <m/>
    <m/>
    <m/>
    <m/>
    <m/>
    <m/>
    <m/>
    <m/>
    <m/>
    <m/>
    <m/>
    <n v="2343.75"/>
    <m/>
    <m/>
    <m/>
    <m/>
    <m/>
    <m/>
    <m/>
    <m/>
    <m/>
    <m/>
    <m/>
    <m/>
    <m/>
    <m/>
  </r>
  <r>
    <n v="8"/>
    <x v="1"/>
    <n v="516"/>
    <n v="46"/>
    <x v="31"/>
    <n v="81938384478"/>
    <s v="Ilonka Horvat"/>
    <s v="Petefi Šandora 31"/>
    <x v="332"/>
    <x v="248"/>
    <d v="2022-11-26T00:00:00"/>
    <n v="45674678823"/>
    <s v="Ž-ŽENSKO"/>
    <d v="1986-09-17T00:00:00"/>
    <s v="OSIJEK"/>
    <s v="HRVATSKO"/>
    <m/>
    <s v="NE"/>
    <s v="SSS"/>
    <m/>
    <s v="PRODAVAČ"/>
    <s v="PRODAVAČ"/>
    <s v="ODREĐENO"/>
    <d v="2022-11-26T00:00:00"/>
    <s v="PUNO"/>
    <n v="40"/>
    <m/>
    <m/>
    <m/>
    <m/>
    <m/>
    <m/>
    <m/>
    <m/>
    <m/>
    <m/>
    <m/>
    <n v="4687.5"/>
    <m/>
    <m/>
    <m/>
    <m/>
    <m/>
    <m/>
    <m/>
    <m/>
    <m/>
    <m/>
    <m/>
    <m/>
    <m/>
    <m/>
  </r>
  <r>
    <n v="9"/>
    <x v="1"/>
    <n v="517"/>
    <n v="46"/>
    <x v="31"/>
    <n v="81938384478"/>
    <s v="Ilonka Horvat"/>
    <s v="Petefi Šandora 31"/>
    <x v="339"/>
    <x v="248"/>
    <d v="2022-11-26T00:00:00"/>
    <s v="#07533523404"/>
    <s v="Ž-ŽENSKO"/>
    <d v="2002-04-22T00:00:00"/>
    <s v="OSIJEK"/>
    <s v="HRVATSKO"/>
    <s v="M. TITA 30, ZMAJEVAC"/>
    <s v="NE"/>
    <s v="SSS"/>
    <m/>
    <s v="PRODAVAČ"/>
    <s v="PRODAVAČ"/>
    <s v="ODREĐENO"/>
    <d v="2022-11-26T00:00:00"/>
    <s v="NEPUNO"/>
    <n v="20"/>
    <m/>
    <m/>
    <m/>
    <m/>
    <m/>
    <m/>
    <m/>
    <m/>
    <m/>
    <m/>
    <m/>
    <n v="2343.75"/>
    <m/>
    <m/>
    <m/>
    <m/>
    <m/>
    <m/>
    <m/>
    <m/>
    <m/>
    <m/>
    <m/>
    <m/>
    <m/>
    <m/>
  </r>
  <r>
    <n v="1"/>
    <x v="2"/>
    <n v="518"/>
    <n v="36"/>
    <x v="20"/>
    <n v="45575918003"/>
    <s v="Balázs Kulcsár"/>
    <s v="Ribarska 10"/>
    <x v="340"/>
    <x v="249"/>
    <m/>
    <n v="80347686570"/>
    <s v="Ž-ŽENSKO"/>
    <d v="1997-08-23T00:00:00"/>
    <s v="Osijek"/>
    <s v="HRVATSKO"/>
    <s v="Ivana Gundulića 81, Osijek"/>
    <s v="NE"/>
    <s v="SSS"/>
    <m/>
    <s v="Telefonist-operater u call c."/>
    <s v="Telefonist-operater u call c."/>
    <s v="ODREĐENO"/>
    <m/>
    <s v="PUNO"/>
    <n v="40"/>
    <s v="HR2423400093235503473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82"/>
  </r>
  <r>
    <n v="1"/>
    <x v="1"/>
    <n v="519"/>
    <n v="26"/>
    <x v="13"/>
    <n v="95114485977"/>
    <s v="LAURA GERGELJ"/>
    <s v="SV.IVANA KRSTITELJA 15, DARDA"/>
    <x v="341"/>
    <x v="250"/>
    <d v="2022-04-29T00:00:00"/>
    <n v="60722353757"/>
    <s v="Ž-ŽENSKO"/>
    <d v="1972-03-07T00:00:00"/>
    <s v="OSIJEK"/>
    <s v="HRVATSKO"/>
    <s v="LAJOŠA KOŠUTA 14 A, BILJE"/>
    <s v="NE"/>
    <s v="SSS"/>
    <m/>
    <s v="ADMINISTRATIVNI DJELATNIK"/>
    <s v="ADMINISTRATIVNI REFERENT"/>
    <s v="ODREĐENO"/>
    <m/>
    <s v="PUNO"/>
    <n v="40"/>
    <m/>
    <m/>
    <m/>
    <m/>
    <m/>
    <m/>
    <s v="BELI MANASTIR"/>
    <m/>
    <m/>
    <m/>
    <s v="NE"/>
    <n v="4687.5"/>
    <n v="1"/>
    <n v="3750"/>
    <m/>
    <m/>
    <m/>
    <m/>
    <m/>
    <m/>
    <m/>
    <m/>
    <m/>
    <m/>
    <s v="NEAKTIVAN"/>
    <n v="14"/>
  </r>
  <r>
    <n v="1"/>
    <x v="1"/>
    <n v="520"/>
    <n v="26"/>
    <x v="13"/>
    <n v="95114485977"/>
    <s v="LAURA GERGELJ"/>
    <s v="SV.IVANA KRSTITELJA 15, DARDA"/>
    <x v="341"/>
    <x v="219"/>
    <d v="2022-05-05T00:00:00"/>
    <n v="60722353757"/>
    <s v="Ž-ŽENSKO"/>
    <d v="1972-03-07T00:00:00"/>
    <s v="OSIJEK"/>
    <s v="HRVATSKO"/>
    <s v="LAJOŠA KOŠUTA 14 A, BILJE"/>
    <s v="NE"/>
    <s v="SSS"/>
    <m/>
    <s v="ADMINISTRATIVNI DJELATNIK"/>
    <s v="ADMINISTRATIVNI REFERENT"/>
    <s v="ODREĐENO"/>
    <m/>
    <s v="PUNO"/>
    <n v="40"/>
    <m/>
    <m/>
    <m/>
    <m/>
    <m/>
    <m/>
    <s v="BELI MANASTIR"/>
    <m/>
    <m/>
    <m/>
    <s v="NE"/>
    <n v="4687.5"/>
    <n v="1"/>
    <n v="3750"/>
    <m/>
    <m/>
    <m/>
    <m/>
    <m/>
    <m/>
    <m/>
    <m/>
    <m/>
    <m/>
    <s v="NEAKTIVAN"/>
    <n v="15"/>
  </r>
  <r>
    <n v="1"/>
    <x v="1"/>
    <n v="521"/>
    <n v="26"/>
    <x v="13"/>
    <n v="95114485977"/>
    <s v="LAURA GERGELJ"/>
    <s v="SV.IVANA KRSTITELJA 15, DARDA"/>
    <x v="342"/>
    <x v="251"/>
    <d v="2022-06-30T00:00:00"/>
    <n v="80748696647"/>
    <s v="M-MUŠKO"/>
    <d v="1973-04-01T00:00:00"/>
    <s v="OSIJEK"/>
    <s v="HRVATSKO"/>
    <s v="ŠANDORA PETEFIJA 128, LUG"/>
    <s v="NE"/>
    <s v="SSS"/>
    <m/>
    <s v="ADMINISTRATIVNI DJELATNIK"/>
    <s v="ADMINISTRATIVNI REFERENT"/>
    <s v="ODREĐENO"/>
    <m/>
    <s v="PUNO"/>
    <n v="40"/>
    <m/>
    <m/>
    <m/>
    <m/>
    <m/>
    <m/>
    <s v="BELI MANASTIR"/>
    <m/>
    <m/>
    <m/>
    <s v="NE"/>
    <n v="4687.5"/>
    <n v="1"/>
    <n v="3750"/>
    <m/>
    <m/>
    <m/>
    <m/>
    <m/>
    <m/>
    <m/>
    <m/>
    <m/>
    <m/>
    <s v="NEAKTIVAN"/>
    <n v="16"/>
  </r>
  <r>
    <n v="1"/>
    <x v="1"/>
    <n v="522"/>
    <n v="26"/>
    <x v="13"/>
    <n v="95114485977"/>
    <s v="LAURA GERGELJ"/>
    <s v="SV.IVANA KRSTITELJA 15, DARDA"/>
    <x v="342"/>
    <x v="252"/>
    <d v="2022-07-06T00:00:00"/>
    <n v="80748696647"/>
    <s v="M-MUŠKO"/>
    <d v="1973-04-01T00:00:00"/>
    <s v="OSIJEK"/>
    <s v="HRVATSKO"/>
    <s v="ŠANDORA PETEFIJA 128, LUG"/>
    <s v="NE"/>
    <s v="SSS"/>
    <m/>
    <s v="ADMINISTRATIVNI DJELATNIK"/>
    <s v="ADMINISTRATIVNI REFERENT"/>
    <s v="ODREĐENO"/>
    <m/>
    <s v="PUNO"/>
    <n v="40"/>
    <m/>
    <m/>
    <m/>
    <m/>
    <m/>
    <m/>
    <s v="BELI MANASTIR"/>
    <m/>
    <m/>
    <m/>
    <s v="NE"/>
    <n v="4687.5"/>
    <n v="1"/>
    <n v="3750"/>
    <m/>
    <m/>
    <m/>
    <m/>
    <m/>
    <m/>
    <m/>
    <m/>
    <m/>
    <m/>
    <s v="NEAKTIVAN"/>
    <n v="17"/>
  </r>
  <r>
    <n v="1"/>
    <x v="2"/>
    <n v="523"/>
    <n v="26"/>
    <x v="13"/>
    <n v="95114485977"/>
    <s v="LAURA GERGELJ"/>
    <s v="SV.IVANA KRSTITELJA 15, DARDA"/>
    <x v="343"/>
    <x v="253"/>
    <m/>
    <n v="86252978963"/>
    <s v="Ž-ŽENSKO"/>
    <d v="2003-08-13T00:00:00"/>
    <s v="OSIJEK"/>
    <s v="HRVATSKO"/>
    <s v="GLAVNA 64, KOTLINA, KNEŽEVI VINOGRADI"/>
    <s v="NE"/>
    <s v="SSS"/>
    <m/>
    <s v="KNJIGOVOĐA"/>
    <s v="KNJIGOVOĐA"/>
    <s v="NEODREĐENO"/>
    <m/>
    <s v="PUNO"/>
    <n v="40"/>
    <m/>
    <m/>
    <m/>
    <m/>
    <m/>
    <m/>
    <s v="BELI MANASTIR"/>
    <m/>
    <m/>
    <m/>
    <s v="NE"/>
    <n v="4687.5"/>
    <n v="1"/>
    <n v="3750"/>
    <m/>
    <m/>
    <m/>
    <m/>
    <m/>
    <m/>
    <m/>
    <m/>
    <m/>
    <m/>
    <s v="AKTIVAN"/>
    <n v="18"/>
  </r>
  <r>
    <n v="1"/>
    <x v="2"/>
    <n v="524"/>
    <n v="36"/>
    <x v="20"/>
    <n v="45575918003"/>
    <s v="Balázs Kulcsár"/>
    <s v="Ribarska 10"/>
    <x v="344"/>
    <x v="254"/>
    <m/>
    <n v="2112003180638"/>
    <s v="M-MUŠKO"/>
    <d v="2003-12-21T00:00:00"/>
    <s v="TUZLA"/>
    <s v="Bosansko"/>
    <s v="Rogozan 42A, Brčko"/>
    <s v="DA"/>
    <s v="SSS"/>
    <m/>
    <s v="Trgovački Putnik"/>
    <s v="Trgovački Putnik"/>
    <s v="ODREĐENO"/>
    <d v="2023-08-31T00:00:00"/>
    <s v="PUNO"/>
    <n v="40"/>
    <m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83"/>
  </r>
  <r>
    <n v="1"/>
    <x v="2"/>
    <n v="525"/>
    <n v="36"/>
    <x v="20"/>
    <n v="45575918003"/>
    <s v="Balázs Kulcsár"/>
    <s v="Ribarska 10"/>
    <x v="345"/>
    <x v="255"/>
    <m/>
    <n v="1610997180050"/>
    <s v="M-MUŠKO"/>
    <d v="1997-10-16T00:00:00"/>
    <s v="Tuzla"/>
    <s v="Bosansko"/>
    <s v="Zaima Mušanovića 26, Brčko"/>
    <s v="DA"/>
    <s v="SSS"/>
    <m/>
    <s v="Trgovački Putnik"/>
    <s v="Trgovački Putnik"/>
    <s v="ODREĐENO"/>
    <d v="2023-08-31T00:00:00"/>
    <s v="PUNO"/>
    <n v="40"/>
    <m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84"/>
  </r>
  <r>
    <n v="1"/>
    <x v="2"/>
    <n v="526"/>
    <n v="36"/>
    <x v="20"/>
    <n v="45575918003"/>
    <s v="Balázs Kulcsár"/>
    <s v="Ribarska 10"/>
    <x v="346"/>
    <x v="254"/>
    <m/>
    <n v="1505000181720"/>
    <s v="M-MUŠKO"/>
    <d v="2000-05-15T00:00:00"/>
    <s v="Brčko"/>
    <s v="Bosansko"/>
    <s v="Ilička XI 33, Brčko"/>
    <s v="DA"/>
    <s v="SSS"/>
    <m/>
    <s v="Trgovački Putnik"/>
    <s v="Trgovački Putnik"/>
    <s v="ODREĐENO"/>
    <d v="2023-08-31T00:00:00"/>
    <s v="PUNO"/>
    <n v="40"/>
    <m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85"/>
  </r>
  <r>
    <n v="1"/>
    <x v="2"/>
    <n v="527"/>
    <n v="47"/>
    <x v="32"/>
    <n v="26899074894"/>
    <s v="Daniel Lingurar"/>
    <s v="Reisnerova ul. 107"/>
    <x v="347"/>
    <x v="256"/>
    <m/>
    <n v="17155143543"/>
    <s v="M-MUŠKO"/>
    <d v="1991-06-18T00:00:00"/>
    <s v="RUMUNJSKA"/>
    <s v="RUMUNJSKO"/>
    <s v="Reisnerova 107"/>
    <s v="DA"/>
    <s v="NKV"/>
    <m/>
    <s v="ADMINISTRATIVNI DJELATNIK"/>
    <s v="DIREKTOR"/>
    <s v="NEODREĐENO"/>
    <m/>
    <s v="PUNO"/>
    <n v="40"/>
    <s v="NEMA??"/>
    <m/>
    <m/>
    <m/>
    <m/>
    <m/>
    <s v="Osijek"/>
    <m/>
    <m/>
    <m/>
    <s v="NE"/>
    <n v="6500"/>
    <n v="1"/>
    <m/>
    <m/>
    <m/>
    <m/>
    <m/>
    <m/>
    <m/>
    <m/>
    <m/>
    <m/>
    <m/>
    <s v="AKTIVAN"/>
    <n v="1"/>
  </r>
  <r>
    <n v="10"/>
    <x v="1"/>
    <n v="528"/>
    <n v="46"/>
    <x v="31"/>
    <n v="81938384478"/>
    <s v="Ilonka Horvat"/>
    <s v="Petefi Šandora 31"/>
    <x v="332"/>
    <x v="257"/>
    <d v="2022-12-03T00:00:00"/>
    <n v="45674678823"/>
    <s v="Ž-ŽENSKO"/>
    <d v="1982-09-17T00:00:00"/>
    <s v="OSIJEK"/>
    <s v="HRVATSKO"/>
    <m/>
    <s v="NE"/>
    <s v="SSS"/>
    <m/>
    <s v="PRODAVAČ"/>
    <s v="PRODAVAČ"/>
    <s v="ODREĐENO"/>
    <d v="2022-12-03T00:00:00"/>
    <s v="NEPUNO"/>
    <n v="25"/>
    <m/>
    <m/>
    <m/>
    <m/>
    <m/>
    <m/>
    <m/>
    <m/>
    <m/>
    <m/>
    <m/>
    <n v="2929.6875"/>
    <m/>
    <m/>
    <m/>
    <m/>
    <m/>
    <m/>
    <m/>
    <m/>
    <m/>
    <m/>
    <m/>
    <m/>
    <m/>
    <m/>
  </r>
  <r>
    <n v="1"/>
    <x v="2"/>
    <n v="529"/>
    <n v="36"/>
    <x v="20"/>
    <n v="45575918003"/>
    <s v="Balázs Kulcsár"/>
    <s v="Ribarska 10"/>
    <x v="104"/>
    <x v="258"/>
    <m/>
    <s v="07249139649"/>
    <s v="Ž-ŽENSKO"/>
    <d v="1968-01-14T00:00:00"/>
    <s v="OSIJEK"/>
    <s v="HRVATSKO"/>
    <s v="Vilajska 24, Osijek"/>
    <s v="NE"/>
    <s v="SSS"/>
    <m/>
    <s v="Telefonist-operater u call c."/>
    <s v="Telefonist-operater u call c."/>
    <s v="ODREĐENO"/>
    <m/>
    <s v="PUNO"/>
    <n v="40"/>
    <s v="HR0223400093214854121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86"/>
  </r>
  <r>
    <n v="25"/>
    <x v="1"/>
    <n v="530"/>
    <n v="43"/>
    <x v="28"/>
    <n v="69769519663"/>
    <s v="RÓBERT PETRÁS"/>
    <s v="Ulica Lorenza Jägera 2"/>
    <x v="301"/>
    <x v="254"/>
    <d v="2023-01-05T00:00:00"/>
    <n v="40690069180"/>
    <s v="Ž-ŽENSKO"/>
    <d v="1972-10-31T00:00:00"/>
    <s v="Tetovo"/>
    <s v="MAKEDONSKO"/>
    <s v="Put Vrutki 13, Opatija"/>
    <s v="DA"/>
    <s v="SSS"/>
    <m/>
    <s v="Konobar "/>
    <s v="Konobar"/>
    <s v="ODREĐENO"/>
    <d v="2023-01-05T00:00:00"/>
    <s v="PUNO"/>
    <n v="40"/>
    <s v="HR4923400093230637115"/>
    <m/>
    <m/>
    <m/>
    <m/>
    <m/>
    <s v="Opatija"/>
    <m/>
    <m/>
    <m/>
    <s v="NE"/>
    <n v="6562.51"/>
    <n v="1"/>
    <n v="5000"/>
    <m/>
    <m/>
    <m/>
    <m/>
    <m/>
    <m/>
    <m/>
    <m/>
    <m/>
    <m/>
    <s v="AKTIVAN"/>
    <n v="25"/>
  </r>
  <r>
    <n v="26"/>
    <x v="1"/>
    <n v="531"/>
    <n v="43"/>
    <x v="28"/>
    <n v="69769519663"/>
    <s v="RÓBERT PETRÁS"/>
    <s v="Ulica Lorenza Jägera 2"/>
    <x v="302"/>
    <x v="254"/>
    <d v="2023-01-05T00:00:00"/>
    <n v="99609890264"/>
    <s v="M-MUŠKO"/>
    <d v="2000-12-30T00:00:00"/>
    <s v="Tetovo"/>
    <s v="HRVATSKO"/>
    <s v="Put Vrutki 13, Opatija"/>
    <s v="NE"/>
    <s v="SSS"/>
    <m/>
    <s v="Konobar"/>
    <s v="Konobar"/>
    <s v="ODREĐENO"/>
    <d v="2023-01-05T00:00:00"/>
    <s v="PUNO"/>
    <n v="40"/>
    <s v="HR9423400093233393433"/>
    <m/>
    <m/>
    <m/>
    <m/>
    <m/>
    <s v="Opatija"/>
    <m/>
    <m/>
    <m/>
    <s v="NE"/>
    <n v="6562.51"/>
    <n v="1"/>
    <n v="5000"/>
    <m/>
    <m/>
    <m/>
    <m/>
    <m/>
    <m/>
    <m/>
    <m/>
    <m/>
    <m/>
    <s v="AKTIVAN"/>
    <n v="26"/>
  </r>
  <r>
    <n v="1"/>
    <x v="2"/>
    <n v="532"/>
    <n v="48"/>
    <x v="33"/>
    <n v="93439918139"/>
    <s v="DAMIR KATUŠIĆ"/>
    <s v="Osječka 1a, Tenja"/>
    <x v="348"/>
    <x v="254"/>
    <m/>
    <n v="14217547530"/>
    <s v="M-MUŠKO"/>
    <d v="1976-07-23T00:00:00"/>
    <s v="OSIJEK"/>
    <s v="HRVATSKO"/>
    <s v="Osječka 1a, Tenja"/>
    <s v="NE"/>
    <s v="SSS"/>
    <m/>
    <s v="DIREKTOR/VLASNIK"/>
    <s v="IZVRŠNI DIREKTOR"/>
    <s v="NEODREĐENO"/>
    <m/>
    <s v="PUNO"/>
    <n v="40"/>
    <m/>
    <m/>
    <m/>
    <m/>
    <m/>
    <m/>
    <s v="Osijek"/>
    <m/>
    <m/>
    <m/>
    <s v="NE"/>
    <n v="6200"/>
    <n v="1"/>
    <n v="4950"/>
    <m/>
    <m/>
    <m/>
    <m/>
    <m/>
    <m/>
    <m/>
    <m/>
    <m/>
    <m/>
    <s v="AKTIVAN"/>
    <n v="1"/>
  </r>
  <r>
    <n v="1"/>
    <x v="2"/>
    <n v="533"/>
    <n v="47"/>
    <x v="32"/>
    <n v="26899074894"/>
    <s v="Daniel Lingurar"/>
    <s v="Reisnerova ul. 107"/>
    <x v="349"/>
    <x v="259"/>
    <m/>
    <n v="51369266441"/>
    <s v="M-MUŠKO"/>
    <d v="1994-03-15T00:00:00"/>
    <s v="RUMUNJSKA"/>
    <s v="RUMUNJSKO"/>
    <s v="Reisnerova 107"/>
    <s v="DA"/>
    <s v="NKV"/>
    <m/>
    <s v="ZIDAR"/>
    <s v="ZIDAR"/>
    <s v="ODREĐENO"/>
    <d v="2023-06-30T00:00:00"/>
    <s v="PUNO"/>
    <n v="40"/>
    <m/>
    <m/>
    <m/>
    <m/>
    <m/>
    <m/>
    <s v="Osijek"/>
    <m/>
    <m/>
    <m/>
    <s v="NE"/>
    <n v="700"/>
    <n v="1"/>
    <n v="560"/>
    <m/>
    <m/>
    <m/>
    <m/>
    <m/>
    <m/>
    <m/>
    <m/>
    <m/>
    <m/>
    <s v="AKTIVAN"/>
    <n v="2"/>
  </r>
  <r>
    <n v="1"/>
    <x v="2"/>
    <n v="534"/>
    <n v="31"/>
    <x v="24"/>
    <n v="69606074367"/>
    <s v="Marko Baban"/>
    <s v="Ulica Jela 60"/>
    <x v="350"/>
    <x v="260"/>
    <m/>
    <n v="47855795485"/>
    <s v="M-MUŠKO"/>
    <d v="1989-10-16T00:00:00"/>
    <s v="OSIJEK"/>
    <s v="HRVATSKO"/>
    <m/>
    <s v="NE"/>
    <s v="SSS"/>
    <m/>
    <s v="INŽ.GRAĐEVINE"/>
    <s v="INŽENJER GRAĐEVINE"/>
    <s v="ODREĐENO"/>
    <d v="2023-06-30T00:00:00"/>
    <s v="PUNO"/>
    <n v="40"/>
    <m/>
    <m/>
    <m/>
    <m/>
    <m/>
    <m/>
    <s v="Osijek"/>
    <m/>
    <m/>
    <m/>
    <s v="NE"/>
    <n v="1326"/>
    <n v="1"/>
    <n v="7000"/>
    <m/>
    <m/>
    <m/>
    <m/>
    <m/>
    <m/>
    <m/>
    <m/>
    <m/>
    <m/>
    <s v="AKTIVAN"/>
    <n v="12"/>
  </r>
  <r>
    <n v="1"/>
    <x v="2"/>
    <n v="535"/>
    <n v="36"/>
    <x v="20"/>
    <n v="45575918003"/>
    <s v="Balázs Kulcsár"/>
    <s v="Ribarska 10"/>
    <x v="351"/>
    <x v="261"/>
    <m/>
    <n v="91653325639"/>
    <s v="Ž-ŽENSKO"/>
    <d v="1998-12-31T00:00:00"/>
    <s v="OSIJEK"/>
    <s v="HRVATSKO"/>
    <s v="Šandora Petefija 91, Bilje"/>
    <s v="NE"/>
    <s v="SSS"/>
    <m/>
    <s v="Administrator"/>
    <s v="Administrator"/>
    <s v="NEODREĐENO"/>
    <m/>
    <s v="PUNO"/>
    <n v="40"/>
    <s v="HR5523600003244851819"/>
    <m/>
    <m/>
    <m/>
    <m/>
    <m/>
    <s v="Osijek"/>
    <m/>
    <m/>
    <m/>
    <s v="NE"/>
    <n v="700"/>
    <n v="1"/>
    <n v="560"/>
    <m/>
    <m/>
    <m/>
    <m/>
    <m/>
    <m/>
    <m/>
    <m/>
    <m/>
    <m/>
    <s v="AKTIVAN"/>
    <n v="87"/>
  </r>
  <r>
    <n v="1"/>
    <x v="2"/>
    <n v="536"/>
    <n v="36"/>
    <x v="20"/>
    <n v="45575918003"/>
    <s v="Balázs Kulcsár"/>
    <s v="Ribarska 10"/>
    <x v="236"/>
    <x v="262"/>
    <m/>
    <s v="0408988840016"/>
    <s v="M-MUŠKO"/>
    <d v="1988-08-04T00:00:00"/>
    <s v="Kikinda"/>
    <s v="SRPSKO"/>
    <s v="Temerinska 104, Novi Sad"/>
    <s v="DA"/>
    <s v="SSS"/>
    <m/>
    <s v="Trgovački Putnik"/>
    <s v="Trgovački Putnik"/>
    <s v="ODREĐENO"/>
    <d v="2022-08-31T00:00:00"/>
    <s v="PUNO"/>
    <n v="40"/>
    <m/>
    <m/>
    <m/>
    <m/>
    <m/>
    <m/>
    <s v="Osijek"/>
    <m/>
    <m/>
    <m/>
    <s v="NE"/>
    <n v="700"/>
    <n v="1"/>
    <n v="560"/>
    <m/>
    <m/>
    <m/>
    <m/>
    <m/>
    <m/>
    <m/>
    <m/>
    <m/>
    <m/>
    <s v="AKTIVAN"/>
    <n v="88"/>
  </r>
  <r>
    <n v="1"/>
    <x v="2"/>
    <n v="537"/>
    <n v="36"/>
    <x v="20"/>
    <n v="45575918003"/>
    <s v="Balázs Kulcsár"/>
    <s v="Ribarska 10"/>
    <x v="352"/>
    <x v="263"/>
    <m/>
    <n v="37770201071"/>
    <s v="M-MUŠKO"/>
    <d v="1998-06-09T00:00:00"/>
    <s v="Varaždin"/>
    <s v="HRVATSKO"/>
    <s v="Ulica Josipa Hutlera 20C, Osijek"/>
    <s v="NE"/>
    <s v="SSS"/>
    <m/>
    <s v="Trgovački demonstrator i prodavač"/>
    <s v="Trgovački demonstrator i prodavač"/>
    <s v="NEODREĐENO"/>
    <m/>
    <s v="PUNO"/>
    <n v="40"/>
    <s v="HR8023600003246051356"/>
    <m/>
    <m/>
    <m/>
    <m/>
    <m/>
    <s v="Osijek"/>
    <m/>
    <m/>
    <m/>
    <s v="NE"/>
    <n v="700"/>
    <n v="1"/>
    <n v="560"/>
    <m/>
    <m/>
    <m/>
    <m/>
    <m/>
    <m/>
    <m/>
    <m/>
    <m/>
    <m/>
    <s v="AKTIVAN"/>
    <n v="89"/>
  </r>
  <r>
    <n v="1"/>
    <x v="1"/>
    <n v="538"/>
    <n v="36"/>
    <x v="20"/>
    <n v="45575918003"/>
    <s v="Balázs Kulcsár"/>
    <s v="Ribarska 10"/>
    <x v="353"/>
    <x v="263"/>
    <d v="2023-01-03T00:00:00"/>
    <n v="84905814514"/>
    <s v="M-MUŠKO"/>
    <d v="1989-09-08T00:00:00"/>
    <s v="OSIJEK"/>
    <s v="HRVATSKO"/>
    <s v="Kninska ulica 2, Osijek"/>
    <s v="NE"/>
    <s v="SSS"/>
    <m/>
    <s v="Trgovački demonstrator"/>
    <s v="Trgovački demonstrator"/>
    <s v="NEODREĐENO"/>
    <m/>
    <s v="PUNO"/>
    <n v="40"/>
    <s v="HR8523400093212493393, HR6023400093510986802"/>
    <m/>
    <m/>
    <m/>
    <m/>
    <m/>
    <s v="Osijek"/>
    <m/>
    <m/>
    <m/>
    <s v="NE"/>
    <n v="700"/>
    <n v="1"/>
    <n v="560"/>
    <m/>
    <m/>
    <m/>
    <m/>
    <m/>
    <m/>
    <m/>
    <m/>
    <m/>
    <m/>
    <s v="AKTIVAN"/>
    <n v="90"/>
  </r>
  <r>
    <n v="1"/>
    <x v="2"/>
    <n v="539"/>
    <n v="36"/>
    <x v="20"/>
    <n v="45575918003"/>
    <s v="Balázs Kulcsár"/>
    <s v="Ribarska 10"/>
    <x v="116"/>
    <x v="263"/>
    <m/>
    <n v="64253340535"/>
    <s v="M-MUŠKO"/>
    <d v="1984-06-29T00:00:00"/>
    <s v="Osijek"/>
    <s v="HRVATSKO"/>
    <s v="Alojzija Stepinca 2, Beli Manastir"/>
    <s v="NE"/>
    <s v="SSS"/>
    <m/>
    <s v="Trgovački demonstrator"/>
    <s v="Trgovački demonstrator"/>
    <s v="NEODREĐENO"/>
    <m/>
    <s v="PUNO"/>
    <n v="40"/>
    <s v="HR0624120093233018547, HR0424120093533002044"/>
    <m/>
    <m/>
    <m/>
    <m/>
    <m/>
    <s v="Osijek"/>
    <m/>
    <m/>
    <m/>
    <s v="NE"/>
    <n v="700"/>
    <n v="1"/>
    <n v="560"/>
    <m/>
    <m/>
    <m/>
    <m/>
    <m/>
    <m/>
    <m/>
    <m/>
    <m/>
    <m/>
    <s v="AKTIVAN"/>
    <n v="91"/>
  </r>
  <r>
    <n v="27"/>
    <x v="2"/>
    <n v="540"/>
    <n v="43"/>
    <x v="28"/>
    <n v="69769519663"/>
    <s v="RÓBERT PETRÁS"/>
    <s v="Ulica Lorenza Jägera 2"/>
    <x v="283"/>
    <x v="260"/>
    <m/>
    <n v="19931594248"/>
    <s v="Ž-ŽENSKO"/>
    <d v="1986-10-26T00:00:00"/>
    <s v="Matulji"/>
    <s v="HRVATSKO"/>
    <s v="Šmogorska cesta 11, Matulji"/>
    <s v="NE"/>
    <s v="SSS"/>
    <m/>
    <s v="Konobar"/>
    <s v="Konobar"/>
    <s v="ODREĐENO"/>
    <d v="2024-06-01T00:00:00"/>
    <s v="PUNO"/>
    <n v="40"/>
    <s v="HR8124020063203809921"/>
    <m/>
    <m/>
    <m/>
    <m/>
    <m/>
    <s v="Opatija"/>
    <m/>
    <m/>
    <m/>
    <s v="NE"/>
    <n v="7812.51"/>
    <m/>
    <m/>
    <m/>
    <m/>
    <m/>
    <m/>
    <m/>
    <m/>
    <m/>
    <m/>
    <m/>
    <m/>
    <s v="AKTIVAN"/>
    <n v="27"/>
  </r>
  <r>
    <n v="11"/>
    <x v="1"/>
    <n v="541"/>
    <n v="46"/>
    <x v="31"/>
    <n v="81938384478"/>
    <s v="Ilonka Horvat"/>
    <s v="Petefi Šandora 31"/>
    <x v="339"/>
    <x v="264"/>
    <d v="2023-01-10T00:00:00"/>
    <s v="07533523404"/>
    <s v="Ž-ŽENSKO"/>
    <d v="2022-04-22T00:00:00"/>
    <s v="OSIJEK"/>
    <s v="HRVATSKO"/>
    <s v="M. TITA 30, ZMAJEVAC"/>
    <s v="NE"/>
    <s v="SSS"/>
    <m/>
    <s v="GRAFIČKI DIZAJNER"/>
    <s v="PRODAVAČ"/>
    <s v="ODREĐENO"/>
    <d v="2023-01-09T00:00:00"/>
    <s v="NEPUNO"/>
    <n v="20"/>
    <m/>
    <m/>
    <m/>
    <m/>
    <m/>
    <m/>
    <m/>
    <m/>
    <m/>
    <m/>
    <m/>
    <n v="350"/>
    <m/>
    <m/>
    <m/>
    <m/>
    <m/>
    <m/>
    <m/>
    <m/>
    <m/>
    <m/>
    <m/>
    <m/>
    <m/>
    <m/>
  </r>
  <r>
    <n v="1"/>
    <x v="2"/>
    <n v="542"/>
    <n v="36"/>
    <x v="20"/>
    <n v="45575918003"/>
    <s v="Balázs Kulcsár"/>
    <s v="Ribarska 10"/>
    <x v="354"/>
    <x v="265"/>
    <m/>
    <s v="0810001181515"/>
    <s v="M-MUŠKO"/>
    <d v="2021-10-08T00:00:00"/>
    <s v="Brčko"/>
    <s v="Bosansko"/>
    <s v="Suljagića sokak 230, Brčko"/>
    <s v="DA"/>
    <s v="SSS"/>
    <m/>
    <s v="Trgovački Putnik"/>
    <s v="Trgovački Putnik"/>
    <s v="ODREĐENO"/>
    <d v="2023-08-31T00:00:00"/>
    <s v="PUNO"/>
    <n v="40"/>
    <m/>
    <m/>
    <m/>
    <m/>
    <m/>
    <m/>
    <s v="Osijek"/>
    <m/>
    <m/>
    <m/>
    <s v="NE"/>
    <n v="700"/>
    <n v="1"/>
    <n v="560"/>
    <m/>
    <m/>
    <m/>
    <m/>
    <m/>
    <m/>
    <m/>
    <m/>
    <m/>
    <m/>
    <s v="AKTIVAN"/>
    <n v="92"/>
  </r>
  <r>
    <n v="1"/>
    <x v="2"/>
    <n v="543"/>
    <n v="36"/>
    <x v="20"/>
    <n v="45575918003"/>
    <s v="Balázs Kulcsár"/>
    <s v="Ribarska 10"/>
    <x v="355"/>
    <x v="265"/>
    <m/>
    <n v="2805994181535"/>
    <s v="M-MUŠKO"/>
    <d v="1994-05-28T00:00:00"/>
    <s v="Brčko"/>
    <s v="Bosansko"/>
    <s v="Jovana Jovanovića Zmaja 20, Brčko"/>
    <s v="DA"/>
    <s v="SSS"/>
    <m/>
    <s v="Trgovački Putnik"/>
    <s v="Trgovački Putnik"/>
    <s v="ODREĐENO"/>
    <d v="2023-08-31T00:00:00"/>
    <s v="PUNO"/>
    <n v="40"/>
    <m/>
    <m/>
    <m/>
    <m/>
    <m/>
    <m/>
    <s v="Osijek"/>
    <m/>
    <m/>
    <m/>
    <s v="NE"/>
    <n v="700"/>
    <n v="1"/>
    <n v="560"/>
    <m/>
    <m/>
    <m/>
    <m/>
    <m/>
    <m/>
    <m/>
    <m/>
    <m/>
    <m/>
    <s v="AKTIVAN"/>
    <n v="93"/>
  </r>
  <r>
    <n v="12"/>
    <x v="2"/>
    <n v="544"/>
    <n v="46"/>
    <x v="31"/>
    <n v="81938384478"/>
    <s v="Ilonka Horvat"/>
    <s v="Petefi Šandora 31"/>
    <x v="356"/>
    <x v="260"/>
    <m/>
    <n v="30546563040"/>
    <s v="Ž-ŽENSKO"/>
    <d v="1971-01-01T00:00:00"/>
    <m/>
    <s v="HRVATSKO"/>
    <s v="ŠANDORA PETEFIJA 31, SUZA"/>
    <s v="NE"/>
    <s v="SSS"/>
    <m/>
    <m/>
    <m/>
    <s v="NEODREĐENO"/>
    <m/>
    <s v="PUNO"/>
    <n v="40"/>
    <s v="HR9323400093232036130"/>
    <m/>
    <m/>
    <m/>
    <m/>
    <m/>
    <s v="Suza"/>
    <m/>
    <m/>
    <m/>
    <s v="NE"/>
    <n v="888.67"/>
    <n v="1"/>
    <n v="673.48"/>
    <m/>
    <m/>
    <m/>
    <m/>
    <m/>
    <m/>
    <m/>
    <m/>
    <m/>
    <m/>
    <m/>
    <m/>
  </r>
  <r>
    <n v="13"/>
    <x v="2"/>
    <n v="545"/>
    <n v="46"/>
    <x v="31"/>
    <n v="81938384478"/>
    <s v="Ilonka Horvat"/>
    <s v="Petefi Šandora 31"/>
    <x v="357"/>
    <x v="266"/>
    <m/>
    <n v="68360316621"/>
    <s v="Ž-ŽENSKO"/>
    <d v="1999-10-24T00:00:00"/>
    <s v="Osijek"/>
    <s v="HRVATSKO"/>
    <s v="PETEFI ŠANDORA 61, SUZA"/>
    <s v="NE"/>
    <s v="SSS"/>
    <m/>
    <m/>
    <m/>
    <s v="ODREĐENO"/>
    <m/>
    <s v="NEPUNO"/>
    <n v="20"/>
    <s v="HR74 23400093235935387"/>
    <m/>
    <m/>
    <m/>
    <m/>
    <m/>
    <s v="Suza"/>
    <m/>
    <m/>
    <m/>
    <m/>
    <n v="350"/>
    <m/>
    <n v="280"/>
    <m/>
    <m/>
    <m/>
    <m/>
    <m/>
    <m/>
    <m/>
    <m/>
    <m/>
    <m/>
    <m/>
    <m/>
  </r>
  <r>
    <n v="2"/>
    <x v="2"/>
    <n v="546"/>
    <n v="44"/>
    <x v="29"/>
    <n v="31521842055"/>
    <s v="Robert Verebi"/>
    <s v="Ribarska 10"/>
    <x v="272"/>
    <x v="260"/>
    <m/>
    <n v="93461065246"/>
    <s v="M-MUŠKO"/>
    <d v="1974-05-07T00:00:00"/>
    <m/>
    <m/>
    <s v="Republika Slovačka, Nove Zamky, M.R. Štefanika 1221/60"/>
    <m/>
    <s v="VSS"/>
    <m/>
    <s v="Poslovođa"/>
    <s v="POSLOVOĐA"/>
    <s v="NEODREĐENO"/>
    <m/>
    <s v="NEPUNO"/>
    <n v="10"/>
    <m/>
    <m/>
    <m/>
    <m/>
    <m/>
    <m/>
    <m/>
    <m/>
    <m/>
    <m/>
    <m/>
    <n v="5458.69"/>
    <m/>
    <m/>
    <m/>
    <m/>
    <m/>
    <m/>
    <m/>
    <m/>
    <m/>
    <m/>
    <m/>
    <m/>
    <m/>
    <m/>
  </r>
  <r>
    <n v="28"/>
    <x v="2"/>
    <n v="547"/>
    <n v="43"/>
    <x v="28"/>
    <n v="69769519663"/>
    <s v="RÓBERT PETRÁS"/>
    <s v="Ulica Lorenza Jägera 2"/>
    <x v="335"/>
    <x v="267"/>
    <m/>
    <n v="23923615356"/>
    <s v="Ž-ŽENSKO"/>
    <d v="1985-04-03T00:00:00"/>
    <s v="Opatija"/>
    <s v="HRVATSKO"/>
    <s v="Poljane 9, Poljane"/>
    <s v="NE"/>
    <s v="SSS"/>
    <m/>
    <s v="Knjigovođa"/>
    <s v="Knjigovođa"/>
    <s v="ODREĐENO"/>
    <d v="2023-02-15T00:00:00"/>
    <s v="NEPUNO"/>
    <n v="20"/>
    <s v="HR5924020063206260052"/>
    <m/>
    <m/>
    <m/>
    <m/>
    <m/>
    <s v="Opatija"/>
    <m/>
    <m/>
    <m/>
    <s v="NE"/>
    <s v="676,47 EUR"/>
    <n v="1"/>
    <s v="464,53 EUR"/>
    <s v="59,99 EUR"/>
    <m/>
    <m/>
    <m/>
    <m/>
    <m/>
    <m/>
    <m/>
    <m/>
    <m/>
    <s v="AKTIVAN"/>
    <n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A4:F39" firstHeaderRow="1" firstDataRow="2" firstDataCol="1" rowPageCount="2" colPageCount="1"/>
  <pivotFields count="52">
    <pivotField compact="0" outline="0" subtotalTop="0" showAll="0" includeNewItemsInFilter="1" defaultSubtotal="0"/>
    <pivotField compact="0" outline="0" subtotalTop="0" showAll="0" includeNewItemsInFilter="1"/>
    <pivotField axis="axisPage" compact="0" outline="0" subtotalTop="0" multipleItemSelectionAllowed="1" showAll="0" includeNewItemsInFilter="1">
      <items count="49">
        <item h="1" x="1"/>
        <item h="1" m="1" x="43"/>
        <item h="1" m="1" x="36"/>
        <item h="1" x="5"/>
        <item h="1" m="1" x="41"/>
        <item h="1" m="1" x="47"/>
        <item h="1" m="1" x="34"/>
        <item h="1" x="0"/>
        <item h="1" x="2"/>
        <item h="1" x="6"/>
        <item h="1" m="1" x="32"/>
        <item h="1" m="1" x="44"/>
        <item h="1" x="4"/>
        <item h="1" x="3"/>
        <item h="1" m="1" x="30"/>
        <item h="1" m="1" x="31"/>
        <item h="1" x="7"/>
        <item h="1" x="8"/>
        <item h="1" x="9"/>
        <item h="1" m="1" x="46"/>
        <item h="1" m="1" x="38"/>
        <item h="1" m="1" x="33"/>
        <item h="1" m="1" x="35"/>
        <item h="1" x="10"/>
        <item h="1" m="1" x="42"/>
        <item h="1" x="11"/>
        <item h="1" x="12"/>
        <item h="1" m="1" x="37"/>
        <item h="1" m="1" x="40"/>
        <item h="1" m="1" x="39"/>
        <item h="1" x="13"/>
        <item h="1" x="14"/>
        <item h="1" m="1" x="45"/>
        <item h="1" x="15"/>
        <item h="1" x="16"/>
        <item h="1" x="17"/>
        <item h="1" x="18"/>
        <item h="1"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422">
        <item x="40"/>
        <item x="37"/>
        <item x="18"/>
        <item x="50"/>
        <item m="1" x="410"/>
        <item x="12"/>
        <item m="1" x="398"/>
        <item x="13"/>
        <item m="1" x="320"/>
        <item m="1" x="409"/>
        <item m="1" x="376"/>
        <item x="39"/>
        <item x="35"/>
        <item x="47"/>
        <item m="1" x="322"/>
        <item x="51"/>
        <item x="8"/>
        <item x="41"/>
        <item m="1" x="373"/>
        <item m="1" x="402"/>
        <item x="14"/>
        <item x="1"/>
        <item m="1" x="381"/>
        <item m="1" x="415"/>
        <item m="1" x="310"/>
        <item m="1" x="343"/>
        <item m="1" x="330"/>
        <item x="4"/>
        <item m="1" x="347"/>
        <item x="52"/>
        <item m="1" x="391"/>
        <item x="16"/>
        <item x="10"/>
        <item m="1" x="399"/>
        <item m="1" x="323"/>
        <item x="34"/>
        <item m="1" x="358"/>
        <item x="32"/>
        <item m="1" x="352"/>
        <item m="1" x="406"/>
        <item x="6"/>
        <item m="1" x="300"/>
        <item m="1" x="349"/>
        <item m="1" x="370"/>
        <item x="46"/>
        <item m="1" x="371"/>
        <item x="3"/>
        <item m="1" x="350"/>
        <item x="57"/>
        <item x="26"/>
        <item m="1" x="416"/>
        <item m="1" x="421"/>
        <item m="1" x="379"/>
        <item m="1" x="336"/>
        <item x="38"/>
        <item x="17"/>
        <item x="140"/>
        <item x="58"/>
        <item x="23"/>
        <item x="43"/>
        <item x="15"/>
        <item x="0"/>
        <item m="1" x="318"/>
        <item x="28"/>
        <item x="19"/>
        <item x="11"/>
        <item x="99"/>
        <item x="7"/>
        <item m="1" x="326"/>
        <item x="48"/>
        <item m="1" x="353"/>
        <item m="1" x="351"/>
        <item m="1" x="404"/>
        <item m="1" x="324"/>
        <item m="1" x="306"/>
        <item x="27"/>
        <item m="1" x="405"/>
        <item x="54"/>
        <item x="33"/>
        <item x="31"/>
        <item x="44"/>
        <item x="30"/>
        <item m="1" x="396"/>
        <item m="1" x="420"/>
        <item m="1" x="328"/>
        <item m="1" x="384"/>
        <item x="2"/>
        <item x="29"/>
        <item m="1" x="403"/>
        <item m="1" x="389"/>
        <item x="64"/>
        <item x="5"/>
        <item x="9"/>
        <item m="1" x="316"/>
        <item x="90"/>
        <item m="1" x="327"/>
        <item x="45"/>
        <item x="20"/>
        <item x="56"/>
        <item m="1" x="298"/>
        <item x="24"/>
        <item m="1" x="414"/>
        <item m="1" x="307"/>
        <item m="1" x="317"/>
        <item m="1" x="418"/>
        <item m="1" x="386"/>
        <item m="1" x="314"/>
        <item x="55"/>
        <item x="86"/>
        <item m="1" x="372"/>
        <item m="1" x="325"/>
        <item x="53"/>
        <item m="1" x="348"/>
        <item x="22"/>
        <item m="1" x="385"/>
        <item m="1" x="338"/>
        <item m="1" x="374"/>
        <item x="25"/>
        <item x="49"/>
        <item m="1" x="301"/>
        <item x="118"/>
        <item m="1" x="368"/>
        <item x="36"/>
        <item m="1" x="394"/>
        <item m="1" x="319"/>
        <item m="1" x="334"/>
        <item m="1" x="366"/>
        <item m="1" x="412"/>
        <item m="1" x="380"/>
        <item x="21"/>
        <item x="59"/>
        <item x="60"/>
        <item x="61"/>
        <item x="62"/>
        <item x="63"/>
        <item x="65"/>
        <item x="66"/>
        <item m="1" x="308"/>
        <item m="1" x="335"/>
        <item x="67"/>
        <item x="68"/>
        <item x="69"/>
        <item m="1" x="362"/>
        <item x="70"/>
        <item x="71"/>
        <item x="72"/>
        <item x="73"/>
        <item x="74"/>
        <item x="75"/>
        <item m="1" x="407"/>
        <item x="76"/>
        <item x="77"/>
        <item x="78"/>
        <item x="79"/>
        <item x="80"/>
        <item x="81"/>
        <item x="42"/>
        <item m="1" x="340"/>
        <item x="84"/>
        <item x="82"/>
        <item x="83"/>
        <item m="1" x="332"/>
        <item m="1" x="345"/>
        <item m="1" x="344"/>
        <item m="1" x="375"/>
        <item m="1" x="299"/>
        <item m="1" x="397"/>
        <item m="1" x="390"/>
        <item m="1" x="393"/>
        <item m="1" x="363"/>
        <item m="1" x="346"/>
        <item x="85"/>
        <item m="1" x="333"/>
        <item x="87"/>
        <item m="1" x="304"/>
        <item m="1" x="382"/>
        <item x="88"/>
        <item m="1" x="365"/>
        <item m="1" x="413"/>
        <item x="89"/>
        <item x="91"/>
        <item m="1" x="378"/>
        <item x="92"/>
        <item m="1" x="321"/>
        <item m="1" x="313"/>
        <item m="1" x="331"/>
        <item m="1" x="408"/>
        <item x="94"/>
        <item x="95"/>
        <item m="1" x="387"/>
        <item m="1" x="296"/>
        <item m="1" x="312"/>
        <item m="1" x="411"/>
        <item x="96"/>
        <item x="93"/>
        <item x="97"/>
        <item m="1" x="309"/>
        <item m="1" x="383"/>
        <item m="1" x="369"/>
        <item m="1" x="419"/>
        <item m="1" x="355"/>
        <item x="115"/>
        <item m="1" x="361"/>
        <item m="1" x="356"/>
        <item m="1" x="357"/>
        <item m="1" x="354"/>
        <item m="1" x="303"/>
        <item x="121"/>
        <item x="122"/>
        <item x="123"/>
        <item x="124"/>
        <item x="116"/>
        <item x="125"/>
        <item x="117"/>
        <item m="1" x="367"/>
        <item x="119"/>
        <item x="126"/>
        <item m="1" x="341"/>
        <item m="1" x="339"/>
        <item m="1" x="329"/>
        <item m="1" x="360"/>
        <item x="127"/>
        <item m="1" x="359"/>
        <item m="1" x="400"/>
        <item m="1" x="311"/>
        <item x="128"/>
        <item x="129"/>
        <item x="120"/>
        <item m="1" x="417"/>
        <item m="1" x="392"/>
        <item m="1" x="401"/>
        <item m="1" x="315"/>
        <item x="130"/>
        <item x="131"/>
        <item x="132"/>
        <item x="100"/>
        <item x="133"/>
        <item x="134"/>
        <item x="135"/>
        <item x="136"/>
        <item x="137"/>
        <item x="101"/>
        <item x="138"/>
        <item x="139"/>
        <item x="102"/>
        <item m="1" x="297"/>
        <item x="103"/>
        <item x="141"/>
        <item x="143"/>
        <item x="144"/>
        <item x="145"/>
        <item x="146"/>
        <item x="147"/>
        <item x="148"/>
        <item m="1" x="388"/>
        <item m="1" x="377"/>
        <item m="1" x="342"/>
        <item x="151"/>
        <item x="149"/>
        <item m="1" x="395"/>
        <item x="152"/>
        <item x="153"/>
        <item x="155"/>
        <item x="104"/>
        <item x="142"/>
        <item m="1" x="302"/>
        <item x="156"/>
        <item x="105"/>
        <item x="106"/>
        <item x="107"/>
        <item x="157"/>
        <item x="158"/>
        <item x="159"/>
        <item x="160"/>
        <item x="162"/>
        <item x="163"/>
        <item x="164"/>
        <item x="154"/>
        <item x="165"/>
        <item x="168"/>
        <item x="169"/>
        <item x="170"/>
        <item x="171"/>
        <item x="173"/>
        <item x="161"/>
        <item x="174"/>
        <item m="1" x="337"/>
        <item x="108"/>
        <item x="175"/>
        <item m="1" x="364"/>
        <item x="177"/>
        <item x="245"/>
        <item x="166"/>
        <item m="1" x="305"/>
        <item x="167"/>
        <item x="178"/>
        <item x="98"/>
        <item x="186"/>
        <item x="187"/>
        <item x="189"/>
        <item x="172"/>
        <item x="190"/>
        <item x="191"/>
        <item x="192"/>
        <item x="176"/>
        <item x="109"/>
        <item x="199"/>
        <item x="179"/>
        <item x="180"/>
        <item x="150"/>
        <item x="181"/>
        <item x="182"/>
        <item x="183"/>
        <item x="184"/>
        <item x="185"/>
        <item x="200"/>
        <item x="110"/>
        <item x="188"/>
        <item x="202"/>
        <item x="203"/>
        <item x="193"/>
        <item x="194"/>
        <item x="195"/>
        <item x="196"/>
        <item x="197"/>
        <item x="198"/>
        <item x="204"/>
        <item x="205"/>
        <item x="201"/>
        <item x="206"/>
        <item x="207"/>
        <item x="111"/>
        <item x="208"/>
        <item x="209"/>
        <item x="210"/>
        <item x="211"/>
        <item x="213"/>
        <item x="214"/>
        <item x="215"/>
        <item x="212"/>
        <item x="216"/>
        <item x="217"/>
        <item x="218"/>
        <item x="219"/>
        <item x="220"/>
        <item x="221"/>
        <item x="222"/>
        <item x="223"/>
        <item x="224"/>
        <item x="225"/>
        <item m="1" x="295"/>
        <item x="227"/>
        <item x="228"/>
        <item x="229"/>
        <item x="230"/>
        <item x="231"/>
        <item x="232"/>
        <item x="114"/>
        <item x="233"/>
        <item x="234"/>
        <item x="235"/>
        <item x="112"/>
        <item x="236"/>
        <item x="113"/>
        <item x="237"/>
        <item x="239"/>
        <item x="238"/>
        <item x="240"/>
        <item x="226"/>
        <item x="241"/>
        <item x="242"/>
        <item x="244"/>
        <item x="243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2"/>
        <item x="271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</items>
    </pivotField>
    <pivotField dataField="1" compact="0" outline="0" subtotalTop="0" showAll="0" includeNewItemsInFilter="1" defaultSubtotal="0"/>
    <pivotField dataField="1" compact="0" outline="0" subtotalTop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dataField="1" compact="0" outline="0" subtotalTop="0" multipleItemSelectionAllowed="1" showAll="0" includeNewItemsInFilter="1">
      <items count="5">
        <item x="1"/>
        <item m="1" x="3"/>
        <item h="1" x="0"/>
        <item m="1" x="2"/>
        <item t="default"/>
      </items>
    </pivotField>
    <pivotField compact="0" outline="0" subtotalTop="0" showAll="0" includeNewItemsInFilter="1" defaultSubtotal="0"/>
    <pivotField compact="0" outline="0" showAll="0" defaultSubtotal="0">
      <items count="6">
        <item sd="0" x="0"/>
        <item sd="0" x="1"/>
        <item sd="0" x="2"/>
        <item sd="0" x="3"/>
        <item sd="0" x="4"/>
        <item x="5"/>
      </items>
    </pivotField>
    <pivotField compact="0" outline="0" showAll="0" defaultSubtotal="0">
      <items count="9">
        <item sd="0" x="0"/>
        <item sd="0" x="1"/>
        <item sd="0" x="2"/>
        <item sd="0" x="3"/>
        <item sd="0" x="4"/>
        <item sd="0" x="5"/>
        <item x="6"/>
        <item x="7"/>
        <item x="8"/>
      </items>
    </pivotField>
  </pivotFields>
  <rowFields count="1">
    <field x="6"/>
  </rowFields>
  <rowItems count="34">
    <i>
      <x v="12"/>
    </i>
    <i>
      <x v="13"/>
    </i>
    <i>
      <x v="37"/>
    </i>
    <i>
      <x v="44"/>
    </i>
    <i>
      <x v="49"/>
    </i>
    <i>
      <x v="58"/>
    </i>
    <i>
      <x v="59"/>
    </i>
    <i>
      <x v="66"/>
    </i>
    <i>
      <x v="75"/>
    </i>
    <i>
      <x v="77"/>
    </i>
    <i>
      <x v="78"/>
    </i>
    <i>
      <x v="79"/>
    </i>
    <i>
      <x v="80"/>
    </i>
    <i>
      <x v="81"/>
    </i>
    <i>
      <x v="90"/>
    </i>
    <i>
      <x v="100"/>
    </i>
    <i>
      <x v="107"/>
    </i>
    <i>
      <x v="117"/>
    </i>
    <i>
      <x v="131"/>
    </i>
    <i>
      <x v="151"/>
    </i>
    <i>
      <x v="193"/>
    </i>
    <i>
      <x v="267"/>
    </i>
    <i>
      <x v="365"/>
    </i>
    <i>
      <x v="367"/>
    </i>
    <i>
      <x v="373"/>
    </i>
    <i>
      <x v="375"/>
    </i>
    <i>
      <x v="385"/>
    </i>
    <i>
      <x v="396"/>
    </i>
    <i>
      <x v="401"/>
    </i>
    <i>
      <x v="414"/>
    </i>
    <i>
      <x v="419"/>
    </i>
    <i>
      <x v="420"/>
    </i>
    <i>
      <x v="42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" hier="0"/>
    <pageField fld="48" hier="-1"/>
  </pageFields>
  <dataFields count="5">
    <dataField name="Sum of RADI OD " fld="7" baseField="6" baseItem="1" numFmtId="14"/>
    <dataField name="Sum of RADI DO" fld="8" baseField="6" baseItem="87" numFmtId="14"/>
    <dataField name="Sum of BRUTO" fld="35" baseField="8" baseItem="48"/>
    <dataField name="Sum of NETO" fld="37" baseField="8" baseItem="48"/>
    <dataField name="Count of STATUS" fld="48" subtotal="count" baseField="0" baseItem="0"/>
  </dataFields>
  <formats count="10">
    <format dxfId="294">
      <pivotArea outline="0" fieldPosition="0"/>
    </format>
    <format dxfId="293">
      <pivotArea field="-2" type="button" dataOnly="0" labelOnly="1" outline="0" axis="axisCol" fieldPosition="0"/>
    </format>
    <format dxfId="292">
      <pivotArea type="topRight" dataOnly="0" labelOnly="1" outline="0" fieldPosition="0"/>
    </format>
    <format dxfId="291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29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9">
      <pivotArea field="-2" type="button" dataOnly="0" labelOnly="1" outline="0" axis="axisCol" fieldPosition="0"/>
    </format>
    <format dxfId="2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6">
      <pivotArea type="topRight" dataOnly="0" labelOnly="1" outline="0" fieldPosition="0"/>
    </format>
    <format dxfId="28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A19" firstHeaderRow="1" firstDataRow="1" firstDataCol="1" rowPageCount="2" colPageCount="1"/>
  <pivotFields count="52">
    <pivotField showAll="0"/>
    <pivotField axis="axisPage" multipleItemSelectionAllowed="1" showAll="0">
      <items count="4">
        <item x="2"/>
        <item h="1" x="1"/>
        <item h="1" x="0"/>
        <item t="default"/>
      </items>
    </pivotField>
    <pivotField showAll="0"/>
    <pivotField showAll="0"/>
    <pivotField axis="axisPage" multipleItemSelectionAllowed="1" showAll="0">
      <items count="35">
        <item h="1" x="1"/>
        <item h="1" x="33"/>
        <item h="1" x="14"/>
        <item h="1" x="31"/>
        <item h="1" x="12"/>
        <item h="1" x="15"/>
        <item h="1" x="21"/>
        <item h="1" x="13"/>
        <item h="1" x="9"/>
        <item h="1" x="22"/>
        <item h="1" x="5"/>
        <item h="1" x="8"/>
        <item h="1" x="23"/>
        <item h="1" x="17"/>
        <item h="1" x="10"/>
        <item h="1" x="11"/>
        <item h="1" x="7"/>
        <item h="1" x="19"/>
        <item h="1" x="32"/>
        <item h="1" x="26"/>
        <item h="1" x="25"/>
        <item x="28"/>
        <item h="1" x="24"/>
        <item h="1" x="0"/>
        <item h="1" x="2"/>
        <item h="1" x="6"/>
        <item h="1" x="18"/>
        <item h="1" x="16"/>
        <item h="1" x="30"/>
        <item h="1" x="20"/>
        <item h="1" x="29"/>
        <item h="1" x="27"/>
        <item h="1" x="4"/>
        <item h="1" x="3"/>
        <item t="default"/>
      </items>
    </pivotField>
    <pivotField showAll="0"/>
    <pivotField showAll="0"/>
    <pivotField showAll="0"/>
    <pivotField axis="axisRow" showAll="0">
      <items count="359">
        <item sd="0" x="289"/>
        <item x="344"/>
        <item x="166"/>
        <item x="40"/>
        <item x="170"/>
        <item x="236"/>
        <item x="37"/>
        <item x="266"/>
        <item x="18"/>
        <item x="317"/>
        <item x="50"/>
        <item x="146"/>
        <item x="175"/>
        <item x="202"/>
        <item x="12"/>
        <item x="222"/>
        <item x="162"/>
        <item x="305"/>
        <item x="328"/>
        <item x="232"/>
        <item x="130"/>
        <item x="153"/>
        <item x="191"/>
        <item x="125"/>
        <item x="13"/>
        <item x="286"/>
        <item x="311"/>
        <item x="336"/>
        <item x="174"/>
        <item x="292"/>
        <item x="231"/>
        <item x="228"/>
        <item x="276"/>
        <item x="136"/>
        <item x="155"/>
        <item x="206"/>
        <item x="313"/>
        <item x="89"/>
        <item x="318"/>
        <item x="117"/>
        <item x="349"/>
        <item x="204"/>
        <item x="226"/>
        <item x="171"/>
        <item x="332"/>
        <item x="271"/>
        <item x="39"/>
        <item x="302"/>
        <item x="35"/>
        <item x="101"/>
        <item x="116"/>
        <item x="47"/>
        <item x="198"/>
        <item x="167"/>
        <item x="51"/>
        <item x="250"/>
        <item x="265"/>
        <item x="96"/>
        <item x="278"/>
        <item x="342"/>
        <item x="110"/>
        <item x="8"/>
        <item x="157"/>
        <item x="41"/>
        <item x="348"/>
        <item x="87"/>
        <item x="347"/>
        <item x="255"/>
        <item x="275"/>
        <item x="240"/>
        <item x="88"/>
        <item x="14"/>
        <item x="201"/>
        <item x="1"/>
        <item x="190"/>
        <item x="296"/>
        <item x="279"/>
        <item sd="0" x="304"/>
        <item x="65"/>
        <item x="314"/>
        <item x="260"/>
        <item x="310"/>
        <item x="4"/>
        <item x="94"/>
        <item x="308"/>
        <item x="131"/>
        <item x="80"/>
        <item x="241"/>
        <item x="52"/>
        <item x="355"/>
        <item x="354"/>
        <item x="100"/>
        <item x="338"/>
        <item x="73"/>
        <item x="323"/>
        <item x="329"/>
        <item x="83"/>
        <item x="154"/>
        <item x="209"/>
        <item x="16"/>
        <item x="115"/>
        <item x="10"/>
        <item x="121"/>
        <item x="207"/>
        <item x="238"/>
        <item x="59"/>
        <item x="233"/>
        <item x="68"/>
        <item x="34"/>
        <item x="251"/>
        <item x="352"/>
        <item x="218"/>
        <item x="133"/>
        <item x="288"/>
        <item x="74"/>
        <item x="220"/>
        <item x="32"/>
        <item x="61"/>
        <item x="356"/>
        <item x="151"/>
        <item x="269"/>
        <item x="357"/>
        <item x="103"/>
        <item x="259"/>
        <item sd="0" x="319"/>
        <item x="6"/>
        <item x="287"/>
        <item x="156"/>
        <item x="92"/>
        <item x="267"/>
        <item x="193"/>
        <item x="217"/>
        <item x="270"/>
        <item x="46"/>
        <item x="303"/>
        <item sd="0" x="280"/>
        <item x="3"/>
        <item x="164"/>
        <item x="330"/>
        <item x="57"/>
        <item sd="0" x="299"/>
        <item x="350"/>
        <item x="264"/>
        <item x="26"/>
        <item x="143"/>
        <item x="321"/>
        <item x="93"/>
        <item x="138"/>
        <item x="178"/>
        <item x="227"/>
        <item x="122"/>
        <item x="38"/>
        <item x="249"/>
        <item x="219"/>
        <item x="290"/>
        <item x="163"/>
        <item x="17"/>
        <item x="205"/>
        <item x="159"/>
        <item x="160"/>
        <item x="102"/>
        <item x="254"/>
        <item x="140"/>
        <item x="82"/>
        <item x="320"/>
        <item x="246"/>
        <item x="119"/>
        <item x="91"/>
        <item x="58"/>
        <item x="75"/>
        <item x="23"/>
        <item x="176"/>
        <item x="333"/>
        <item x="148"/>
        <item x="263"/>
        <item x="43"/>
        <item x="161"/>
        <item sd="0" x="283"/>
        <item x="126"/>
        <item x="137"/>
        <item x="273"/>
        <item x="223"/>
        <item x="294"/>
        <item sd="0" x="282"/>
        <item x="345"/>
        <item x="229"/>
        <item x="84"/>
        <item x="15"/>
        <item x="0"/>
        <item x="268"/>
        <item x="132"/>
        <item x="192"/>
        <item x="225"/>
        <item x="196"/>
        <item x="28"/>
        <item x="341"/>
        <item x="199"/>
        <item x="19"/>
        <item x="11"/>
        <item x="99"/>
        <item x="256"/>
        <item x="76"/>
        <item x="7"/>
        <item x="324"/>
        <item x="48"/>
        <item sd="0" x="335"/>
        <item x="114"/>
        <item x="214"/>
        <item x="149"/>
        <item x="208"/>
        <item x="261"/>
        <item x="180"/>
        <item x="150"/>
        <item x="253"/>
        <item x="152"/>
        <item x="63"/>
        <item x="186"/>
        <item x="293"/>
        <item x="307"/>
        <item x="62"/>
        <item x="135"/>
        <item x="210"/>
        <item x="108"/>
        <item x="184"/>
        <item x="182"/>
        <item x="203"/>
        <item x="181"/>
        <item x="128"/>
        <item x="123"/>
        <item x="27"/>
        <item x="168"/>
        <item x="183"/>
        <item x="221"/>
        <item x="179"/>
        <item x="337"/>
        <item x="230"/>
        <item x="224"/>
        <item x="54"/>
        <item x="244"/>
        <item x="195"/>
        <item x="33"/>
        <item x="327"/>
        <item x="31"/>
        <item x="145"/>
        <item x="262"/>
        <item x="185"/>
        <item x="44"/>
        <item x="30"/>
        <item x="316"/>
        <item x="113"/>
        <item x="247"/>
        <item x="315"/>
        <item x="127"/>
        <item x="147"/>
        <item x="295"/>
        <item x="215"/>
        <item x="77"/>
        <item x="165"/>
        <item x="212"/>
        <item x="2"/>
        <item x="29"/>
        <item x="129"/>
        <item x="64"/>
        <item sd="0" x="334"/>
        <item x="5"/>
        <item x="194"/>
        <item x="340"/>
        <item x="111"/>
        <item x="9"/>
        <item x="169"/>
        <item x="81"/>
        <item x="158"/>
        <item x="258"/>
        <item x="85"/>
        <item x="112"/>
        <item x="120"/>
        <item x="90"/>
        <item x="272"/>
        <item x="109"/>
        <item x="98"/>
        <item x="45"/>
        <item x="20"/>
        <item x="56"/>
        <item x="134"/>
        <item x="70"/>
        <item x="24"/>
        <item x="213"/>
        <item x="211"/>
        <item sd="0" x="298"/>
        <item x="274"/>
        <item x="107"/>
        <item x="331"/>
        <item x="351"/>
        <item x="339"/>
        <item x="322"/>
        <item x="291"/>
        <item x="104"/>
        <item x="105"/>
        <item x="55"/>
        <item x="326"/>
        <item x="309"/>
        <item x="245"/>
        <item x="86"/>
        <item x="277"/>
        <item x="187"/>
        <item x="189"/>
        <item x="300"/>
        <item sd="0" x="284"/>
        <item sd="0" x="281"/>
        <item x="177"/>
        <item x="200"/>
        <item x="172"/>
        <item x="139"/>
        <item x="242"/>
        <item x="325"/>
        <item x="53"/>
        <item x="71"/>
        <item x="237"/>
        <item x="248"/>
        <item x="235"/>
        <item x="22"/>
        <item x="234"/>
        <item x="69"/>
        <item x="343"/>
        <item x="95"/>
        <item x="72"/>
        <item x="124"/>
        <item x="173"/>
        <item x="257"/>
        <item x="301"/>
        <item x="25"/>
        <item x="243"/>
        <item x="141"/>
        <item x="306"/>
        <item x="67"/>
        <item x="49"/>
        <item x="42"/>
        <item x="106"/>
        <item x="144"/>
        <item x="346"/>
        <item x="60"/>
        <item x="118"/>
        <item sd="0" x="297"/>
        <item x="239"/>
        <item x="312"/>
        <item x="79"/>
        <item x="36"/>
        <item x="216"/>
        <item x="197"/>
        <item sd="0" x="285"/>
        <item x="78"/>
        <item x="252"/>
        <item x="188"/>
        <item x="66"/>
        <item x="353"/>
        <item x="97"/>
        <item x="142"/>
        <item x="21"/>
        <item t="default"/>
      </items>
    </pivotField>
    <pivotField axis="axisRow" showAll="0">
      <items count="269">
        <item x="240"/>
        <item x="239"/>
        <item x="160"/>
        <item x="248"/>
        <item x="176"/>
        <item x="75"/>
        <item x="177"/>
        <item x="0"/>
        <item x="4"/>
        <item x="3"/>
        <item x="2"/>
        <item x="1"/>
        <item x="39"/>
        <item x="127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9"/>
        <item x="18"/>
        <item x="21"/>
        <item x="22"/>
        <item x="23"/>
        <item x="24"/>
        <item x="25"/>
        <item x="26"/>
        <item x="56"/>
        <item x="27"/>
        <item x="28"/>
        <item x="29"/>
        <item x="30"/>
        <item x="31"/>
        <item x="20"/>
        <item x="32"/>
        <item x="33"/>
        <item x="34"/>
        <item x="35"/>
        <item x="36"/>
        <item x="37"/>
        <item x="40"/>
        <item x="38"/>
        <item x="42"/>
        <item x="41"/>
        <item x="43"/>
        <item x="44"/>
        <item x="45"/>
        <item x="46"/>
        <item x="47"/>
        <item x="48"/>
        <item x="49"/>
        <item x="50"/>
        <item x="51"/>
        <item x="52"/>
        <item x="126"/>
        <item x="178"/>
        <item x="53"/>
        <item x="54"/>
        <item x="73"/>
        <item x="55"/>
        <item x="78"/>
        <item x="80"/>
        <item x="118"/>
        <item x="81"/>
        <item x="83"/>
        <item x="74"/>
        <item x="76"/>
        <item x="84"/>
        <item x="85"/>
        <item x="86"/>
        <item x="77"/>
        <item x="87"/>
        <item x="88"/>
        <item x="89"/>
        <item x="57"/>
        <item x="90"/>
        <item x="79"/>
        <item x="91"/>
        <item x="92"/>
        <item x="58"/>
        <item x="93"/>
        <item x="94"/>
        <item x="59"/>
        <item x="82"/>
        <item x="95"/>
        <item x="60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61"/>
        <item x="62"/>
        <item x="109"/>
        <item x="125"/>
        <item x="63"/>
        <item x="64"/>
        <item x="102"/>
        <item x="112"/>
        <item x="108"/>
        <item x="113"/>
        <item x="115"/>
        <item x="116"/>
        <item x="117"/>
        <item x="110"/>
        <item x="111"/>
        <item x="119"/>
        <item x="65"/>
        <item x="121"/>
        <item x="114"/>
        <item x="122"/>
        <item x="130"/>
        <item x="131"/>
        <item x="120"/>
        <item x="123"/>
        <item x="133"/>
        <item x="134"/>
        <item x="66"/>
        <item x="124"/>
        <item x="128"/>
        <item x="129"/>
        <item x="67"/>
        <item x="132"/>
        <item x="138"/>
        <item x="139"/>
        <item x="140"/>
        <item x="136"/>
        <item x="68"/>
        <item x="137"/>
        <item x="141"/>
        <item x="142"/>
        <item x="69"/>
        <item x="135"/>
        <item x="70"/>
        <item x="143"/>
        <item x="144"/>
        <item x="153"/>
        <item x="145"/>
        <item x="147"/>
        <item x="146"/>
        <item x="148"/>
        <item x="149"/>
        <item x="150"/>
        <item x="151"/>
        <item x="152"/>
        <item x="154"/>
        <item x="155"/>
        <item x="156"/>
        <item x="71"/>
        <item x="158"/>
        <item x="157"/>
        <item x="159"/>
        <item x="72"/>
        <item x="161"/>
        <item x="162"/>
        <item x="163"/>
        <item x="164"/>
        <item x="171"/>
        <item x="165"/>
        <item x="166"/>
        <item x="167"/>
        <item x="168"/>
        <item x="169"/>
        <item x="170"/>
        <item x="172"/>
        <item x="173"/>
        <item x="198"/>
        <item x="174"/>
        <item x="175"/>
        <item x="179"/>
        <item x="181"/>
        <item x="183"/>
        <item x="184"/>
        <item x="185"/>
        <item x="186"/>
        <item x="187"/>
        <item x="188"/>
        <item x="189"/>
        <item x="190"/>
        <item x="191"/>
        <item x="192"/>
        <item x="180"/>
        <item x="193"/>
        <item x="195"/>
        <item x="194"/>
        <item x="196"/>
        <item x="197"/>
        <item x="200"/>
        <item x="199"/>
        <item x="201"/>
        <item x="202"/>
        <item x="203"/>
        <item x="204"/>
        <item x="182"/>
        <item x="206"/>
        <item x="205"/>
        <item x="207"/>
        <item x="208"/>
        <item x="209"/>
        <item x="211"/>
        <item x="210"/>
        <item x="215"/>
        <item x="212"/>
        <item x="238"/>
        <item x="213"/>
        <item x="214"/>
        <item x="216"/>
        <item x="250"/>
        <item x="217"/>
        <item x="218"/>
        <item x="219"/>
        <item x="220"/>
        <item x="221"/>
        <item x="223"/>
        <item x="266"/>
        <item x="224"/>
        <item x="225"/>
        <item x="226"/>
        <item x="222"/>
        <item x="227"/>
        <item x="251"/>
        <item x="252"/>
        <item x="228"/>
        <item x="232"/>
        <item x="230"/>
        <item x="231"/>
        <item x="229"/>
        <item x="233"/>
        <item x="235"/>
        <item x="236"/>
        <item x="237"/>
        <item x="234"/>
        <item x="241"/>
        <item x="245"/>
        <item x="244"/>
        <item x="242"/>
        <item x="246"/>
        <item x="243"/>
        <item x="253"/>
        <item x="247"/>
        <item x="249"/>
        <item x="256"/>
        <item x="254"/>
        <item x="257"/>
        <item x="258"/>
        <item x="255"/>
        <item x="261"/>
        <item x="262"/>
        <item x="260"/>
        <item x="263"/>
        <item x="259"/>
        <item x="264"/>
        <item x="265"/>
        <item x="267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9"/>
  </rowFields>
  <rowItems count="15">
    <i>
      <x/>
    </i>
    <i>
      <x v="77"/>
    </i>
    <i>
      <x v="124"/>
    </i>
    <i>
      <x v="135"/>
    </i>
    <i>
      <x v="140"/>
    </i>
    <i>
      <x v="177"/>
    </i>
    <i>
      <x v="183"/>
    </i>
    <i>
      <x v="205"/>
    </i>
    <i>
      <x v="263"/>
    </i>
    <i>
      <x v="288"/>
    </i>
    <i>
      <x v="307"/>
    </i>
    <i>
      <x v="308"/>
    </i>
    <i>
      <x v="342"/>
    </i>
    <i>
      <x v="349"/>
    </i>
    <i t="grand">
      <x/>
    </i>
  </rowItems>
  <colItems count="1">
    <i/>
  </colItems>
  <pageFields count="2">
    <pageField fld="1" hier="-1"/>
    <pageField fld="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3" name="Table3" displayName="Table3" ref="A1:J108" totalsRowShown="0" headerRowDxfId="410" dataDxfId="409">
  <autoFilter ref="A1:J108"/>
  <sortState ref="A2:I6">
    <sortCondition ref="A1:A6"/>
  </sortState>
  <tableColumns count="10">
    <tableColumn id="1" name="RB" dataDxfId="408"/>
    <tableColumn id="2" name="NAZIV" dataDxfId="407"/>
    <tableColumn id="3" name="OIB" dataDxfId="406"/>
    <tableColumn id="4" name="ODGOVORNA OSOBA" dataDxfId="405"/>
    <tableColumn id="5" name="MATIČNI BROJ" dataDxfId="404"/>
    <tableColumn id="6" name="ŠIFRA DJELATNOSTI" dataDxfId="403"/>
    <tableColumn id="7" name="BROJ PS-a" dataDxfId="402"/>
    <tableColumn id="8" name="registarski broj" dataDxfId="401"/>
    <tableColumn id="9" name="mjesto" dataDxfId="400"/>
    <tableColumn id="10" name="adresa" dataDxfId="3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List1" displayName="List1" ref="C1:BA828" totalsRowShown="0" headerRowDxfId="398" dataDxfId="397">
  <autoFilter ref="C1:BA828"/>
  <sortState ref="C515:BA515">
    <sortCondition descending="1" ref="J1:J634"/>
  </sortState>
  <tableColumns count="51">
    <tableColumn id="1" name="RB" dataDxfId="396" totalsRowDxfId="395"/>
    <tableColumn id="2" name="ŠIFRA POSL." dataDxfId="394" totalsRowDxfId="393"/>
    <tableColumn id="3" name="NAZIV PODUZEĆA" dataDxfId="392" totalsRowDxfId="391">
      <calculatedColumnFormula>VLOOKUP(D2,POSLODAVCI!$A$2:$J$107,2,0)</calculatedColumnFormula>
    </tableColumn>
    <tableColumn id="4" name="OIB PODUZEĆA" dataDxfId="390" totalsRowDxfId="389">
      <calculatedColumnFormula>VLOOKUP(D2,POSLODAVCI!$A$2:$J$107,3,0)</calculatedColumnFormula>
    </tableColumn>
    <tableColumn id="36" name="Poslodavac" dataDxfId="388" totalsRowDxfId="387">
      <calculatedColumnFormula>VLOOKUP(D2,POSLODAVCI!$A$2:$J$107,4,0)</calculatedColumnFormula>
    </tableColumn>
    <tableColumn id="34" name="Mjesto" dataDxfId="386" totalsRowDxfId="385">
      <calculatedColumnFormula>VLOOKUP(D2,POSLODAVCI!$A$2:$J$107,9,0)</calculatedColumnFormula>
    </tableColumn>
    <tableColumn id="37" name="ADRESA POSLODAVCA" dataDxfId="384" totalsRowDxfId="383">
      <calculatedColumnFormula>VLOOKUP(D2,POSLODAVCI!$A$2:$J$107,10,0)</calculatedColumnFormula>
    </tableColumn>
    <tableColumn id="5" name="IME RADNIKA" dataDxfId="382" totalsRowDxfId="381"/>
    <tableColumn id="6" name="RADI OD " dataDxfId="380" totalsRowDxfId="379"/>
    <tableColumn id="7" name="RADI DO" dataDxfId="378" totalsRowDxfId="377"/>
    <tableColumn id="8" name="OIB RADNIKA" dataDxfId="376" totalsRowDxfId="375"/>
    <tableColumn id="9" name="SPOL" dataDxfId="374" totalsRowDxfId="373"/>
    <tableColumn id="10" name="DATUM ROĐENJA" dataDxfId="372" totalsRowDxfId="371"/>
    <tableColumn id="11" name="MJESTO ROĐENJA" dataDxfId="370" totalsRowDxfId="369"/>
    <tableColumn id="12" name="DRŽAVLJANSTVO" dataDxfId="368" totalsRowDxfId="367"/>
    <tableColumn id="13" name="PREBIVALIŠTE/ adresa" dataDxfId="366" totalsRowDxfId="365"/>
    <tableColumn id="14" name="DOZVOLA ZA BORAVAK I RAD" dataDxfId="364" totalsRowDxfId="363"/>
    <tableColumn id="15" name="OBRAZOVANJE" dataDxfId="362" totalsRowDxfId="361"/>
    <tableColumn id="16" name="POSEBNI ISPITI, TEČAJEVI" dataDxfId="360" totalsRowDxfId="359"/>
    <tableColumn id="17" name="ZANIMANJE" dataDxfId="358" totalsRowDxfId="357"/>
    <tableColumn id="18" name="VRSTA I NARAV RADA" dataDxfId="356" totalsRowDxfId="355"/>
    <tableColumn id="19" name="VRSTA  UGOVORA" dataDxfId="354" totalsRowDxfId="353"/>
    <tableColumn id="20" name="ODREĐENO DO DATUMA" dataDxfId="352" totalsRowDxfId="351"/>
    <tableColumn id="21" name="VRSTA RADNOG VREMENA" dataDxfId="350" totalsRowDxfId="349"/>
    <tableColumn id="22" name="BROJ SATI RADA TJEDNO" dataDxfId="348" totalsRowDxfId="347"/>
    <tableColumn id="23" name="IBAN" dataDxfId="346" totalsRowDxfId="345"/>
    <tableColumn id="24" name="DALI DOPRINOSI NA" dataDxfId="344" totalsRowDxfId="343"/>
    <tableColumn id="25" name="POLOŽEN STRUČNI ISPIT" dataDxfId="342" totalsRowDxfId="341"/>
    <tableColumn id="26" name="VRIJEME POLAGANJA STRUČNOG ISPITA" dataDxfId="340" totalsRowDxfId="339"/>
    <tableColumn id="27" name="RAD U INOZEMSTVU" dataDxfId="338" totalsRowDxfId="337"/>
    <tableColumn id="28" name="TRAJANJE RADA U INOZEMSTVU" dataDxfId="336" totalsRowDxfId="335"/>
    <tableColumn id="29" name="DRŽAVA I MJESTO RADA" dataDxfId="334" totalsRowDxfId="333"/>
    <tableColumn id="30" name="RAZLOG PRESTANKA RADNOG ODNOSA" dataDxfId="332" totalsRowDxfId="331"/>
    <tableColumn id="31" name="MAJČINSTVO/OČINSTVO" dataDxfId="330" totalsRowDxfId="329"/>
    <tableColumn id="32" name="DOJENJE DJETETA" dataDxfId="328" totalsRowDxfId="327"/>
    <tableColumn id="33" name="STATUS SAMOHRANOG RODITELJA" dataDxfId="326" totalsRowDxfId="325"/>
    <tableColumn id="35" name="BRUTO" dataDxfId="324" totalsRowDxfId="323"/>
    <tableColumn id="51" name="Column1" dataDxfId="322" totalsRowDxfId="321"/>
    <tableColumn id="40" name="NETO" dataDxfId="320" totalsRowDxfId="319"/>
    <tableColumn id="41" name="CIPELARINE" dataDxfId="318" totalsRowDxfId="317"/>
    <tableColumn id="42" name="fiz ok" dataDxfId="316" totalsRowDxfId="315"/>
    <tableColumn id="43" name="e-mail" dataDxfId="314" totalsRowDxfId="313"/>
    <tableColumn id="44" name="UKUPNO DANA GODIŠNJEG ODMORA" dataDxfId="312" totalsRowDxfId="311"/>
    <tableColumn id="45" name="BROJ DANA GOD. ODMORA 1. DIO" dataDxfId="310" totalsRowDxfId="309"/>
    <tableColumn id="46" name="VRIJEME KORIŠTENJA 1. DIJELA GOD. ODM." dataDxfId="308" totalsRowDxfId="307"/>
    <tableColumn id="47" name="BROJ DANA GOD. ODMORA 2. DIO" dataDxfId="306" totalsRowDxfId="305"/>
    <tableColumn id="48" name="VRIJEME KORIŠTENJA 2. DIJELA GOD. ODM.2" dataDxfId="304" totalsRowDxfId="303"/>
    <tableColumn id="49" name="DANI KORIŠTENJA GOD. ODM. U DOGOVORU SA POSLODAVCEM" dataDxfId="302" totalsRowDxfId="301"/>
    <tableColumn id="50" name="ostalo" dataDxfId="300" totalsRowDxfId="299"/>
    <tableColumn id="52" name="STATUS" dataDxfId="298" totalsRowDxfId="297"/>
    <tableColumn id="53" name="ŠIFRA" dataDxfId="296" totalsRowDxfId="295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4" name="Table2668675" displayName="Table2668675" ref="A6:AD66" totalsRowShown="0" headerRowDxfId="284" headerRowBorderDxfId="283">
  <autoFilter ref="A6:AD66"/>
  <sortState ref="A7:AD40">
    <sortCondition ref="B6:B89"/>
  </sortState>
  <tableColumns count="30">
    <tableColumn id="1" name="rb" dataDxfId="282"/>
    <tableColumn id="2" name="1" dataDxfId="281"/>
    <tableColumn id="3" name="Column2" dataDxfId="280"/>
    <tableColumn id="4" name="Column3" dataDxfId="279"/>
    <tableColumn id="5" name="4" dataDxfId="278"/>
    <tableColumn id="6" name="5" dataDxfId="277">
      <calculatedColumnFormula>$T$2-Table2668675[[#This Row],[11]]</calculatedColumnFormula>
    </tableColumn>
    <tableColumn id="7" name="6" dataDxfId="276"/>
    <tableColumn id="8" name="7" dataDxfId="275"/>
    <tableColumn id="9" name="8" dataDxfId="274"/>
    <tableColumn id="10" name="9" dataDxfId="273"/>
    <tableColumn id="11" name="10" dataDxfId="272"/>
    <tableColumn id="12" name="11" dataDxfId="271"/>
    <tableColumn id="13" name="12" dataDxfId="270"/>
    <tableColumn id="14" name="13" dataDxfId="269"/>
    <tableColumn id="15" name="14" dataDxfId="268"/>
    <tableColumn id="16" name="15" dataDxfId="267"/>
    <tableColumn id="17" name="16" dataDxfId="266"/>
    <tableColumn id="18" name="17" dataDxfId="265"/>
    <tableColumn id="19" name="0" dataDxfId="264"/>
    <tableColumn id="20" name="19" dataDxfId="263"/>
    <tableColumn id="21" name="20" dataDxfId="262"/>
    <tableColumn id="22" name="21" dataDxfId="261"/>
    <tableColumn id="23" name="22" dataDxfId="260">
      <calculatedColumnFormula>SUM(F7:V7)-L7</calculatedColumnFormula>
    </tableColumn>
    <tableColumn id="24" name="23" dataDxfId="259">
      <calculatedColumnFormula>L7</calculatedColumnFormula>
    </tableColumn>
    <tableColumn id="25" name="24" dataDxfId="258"/>
    <tableColumn id="26" name="25" dataDxfId="257">
      <calculatedColumnFormula>W7+X7+Y7</calculatedColumnFormula>
    </tableColumn>
    <tableColumn id="27" name="26" dataDxfId="256"/>
    <tableColumn id="32" name="262" dataDxfId="255"/>
    <tableColumn id="28" name="27" dataDxfId="254"/>
    <tableColumn id="30" name="29" dataDxfId="2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66" name="Table266" displayName="Table266" ref="A6:AE11" totalsRowShown="0" headerRowDxfId="252" headerRowBorderDxfId="251">
  <autoFilter ref="A6:AE11"/>
  <sortState ref="A7:AD64">
    <sortCondition ref="A6:A64"/>
  </sortState>
  <tableColumns count="31">
    <tableColumn id="1" name="rb" dataDxfId="250"/>
    <tableColumn id="2" name="1" dataDxfId="249"/>
    <tableColumn id="3" name="Column2" dataDxfId="248"/>
    <tableColumn id="4" name="Column3" dataDxfId="247"/>
    <tableColumn id="5" name="4" dataDxfId="246"/>
    <tableColumn id="6" name="5" dataDxfId="245"/>
    <tableColumn id="7" name="6" dataDxfId="244"/>
    <tableColumn id="8" name="7" dataDxfId="243"/>
    <tableColumn id="9" name="8" dataDxfId="242"/>
    <tableColumn id="10" name="9" dataDxfId="241"/>
    <tableColumn id="11" name="10" dataDxfId="240"/>
    <tableColumn id="12" name="11" dataDxfId="239"/>
    <tableColumn id="13" name="12" dataDxfId="238"/>
    <tableColumn id="14" name="13" dataDxfId="237"/>
    <tableColumn id="15" name="14" dataDxfId="236"/>
    <tableColumn id="16" name="15" dataDxfId="235"/>
    <tableColumn id="17" name="16" dataDxfId="234"/>
    <tableColumn id="18" name="17" dataDxfId="233"/>
    <tableColumn id="19" name="0" dataDxfId="232"/>
    <tableColumn id="20" name="19" dataDxfId="231"/>
    <tableColumn id="21" name="20" dataDxfId="230"/>
    <tableColumn id="22" name="21" dataDxfId="229"/>
    <tableColumn id="23" name="22" dataDxfId="228"/>
    <tableColumn id="24" name="23" dataDxfId="227"/>
    <tableColumn id="25" name="24" dataDxfId="226"/>
    <tableColumn id="26" name="25" dataDxfId="225"/>
    <tableColumn id="27" name="26" dataDxfId="224"/>
    <tableColumn id="32" name="262" dataDxfId="223"/>
    <tableColumn id="28" name="27" dataDxfId="222"/>
    <tableColumn id="29" name="28" dataDxfId="221"/>
    <tableColumn id="30" name="29" dataDxfId="2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866" name="Table266867" displayName="Table266867" ref="A6:AD11" totalsRowShown="0" headerRowDxfId="219" headerRowBorderDxfId="218">
  <autoFilter ref="A6:AD11"/>
  <sortState ref="A7:AD64">
    <sortCondition ref="A6:A64"/>
  </sortState>
  <tableColumns count="30">
    <tableColumn id="1" name="rb" dataDxfId="217"/>
    <tableColumn id="2" name="1" dataDxfId="216"/>
    <tableColumn id="3" name="Column2" dataDxfId="215"/>
    <tableColumn id="4" name="Column3" dataDxfId="214"/>
    <tableColumn id="5" name="4" dataDxfId="213"/>
    <tableColumn id="6" name="5" dataDxfId="212">
      <calculatedColumnFormula>$T$2-Table266867[[#This Row],[11]]</calculatedColumnFormula>
    </tableColumn>
    <tableColumn id="7" name="6" dataDxfId="211"/>
    <tableColumn id="8" name="7" dataDxfId="210"/>
    <tableColumn id="9" name="8" dataDxfId="209"/>
    <tableColumn id="10" name="9" dataDxfId="208"/>
    <tableColumn id="11" name="10" dataDxfId="207"/>
    <tableColumn id="12" name="11" dataDxfId="206"/>
    <tableColumn id="13" name="12" dataDxfId="205"/>
    <tableColumn id="14" name="13" dataDxfId="204"/>
    <tableColumn id="15" name="14" dataDxfId="203"/>
    <tableColumn id="16" name="15" dataDxfId="202"/>
    <tableColumn id="17" name="16" dataDxfId="201"/>
    <tableColumn id="18" name="17" dataDxfId="200"/>
    <tableColumn id="19" name="0" dataDxfId="199"/>
    <tableColumn id="20" name="19" dataDxfId="198"/>
    <tableColumn id="21" name="20" dataDxfId="197"/>
    <tableColumn id="22" name="21" dataDxfId="196"/>
    <tableColumn id="23" name="22" dataDxfId="195">
      <calculatedColumnFormula>SUM(F7:V7)-L7</calculatedColumnFormula>
    </tableColumn>
    <tableColumn id="24" name="23" dataDxfId="194">
      <calculatedColumnFormula>L7</calculatedColumnFormula>
    </tableColumn>
    <tableColumn id="25" name="24" dataDxfId="193"/>
    <tableColumn id="26" name="25" dataDxfId="192">
      <calculatedColumnFormula>W7+X7+Y7</calculatedColumnFormula>
    </tableColumn>
    <tableColumn id="27" name="26" dataDxfId="191"/>
    <tableColumn id="32" name="262" dataDxfId="190"/>
    <tableColumn id="28" name="27" dataDxfId="189"/>
    <tableColumn id="30" name="29" dataDxfId="18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267" name="Table266268" displayName="Table266268" ref="A6:AC15" insertRowShift="1" totalsRowShown="0" headerRowDxfId="187" headerRowBorderDxfId="186">
  <autoFilter ref="A6:AC15"/>
  <tableColumns count="29">
    <tableColumn id="1" name="rb" dataDxfId="185"/>
    <tableColumn id="2" name="1" dataDxfId="184"/>
    <tableColumn id="3" name="Column2" dataDxfId="183"/>
    <tableColumn id="4" name="Column3" dataDxfId="182"/>
    <tableColumn id="5" name="4" dataDxfId="181"/>
    <tableColumn id="6" name="5" dataDxfId="180"/>
    <tableColumn id="7" name="6" dataDxfId="179"/>
    <tableColumn id="8" name="7" dataDxfId="178"/>
    <tableColumn id="9" name="8" dataDxfId="177"/>
    <tableColumn id="10" name="9" dataDxfId="176"/>
    <tableColumn id="11" name="10" dataDxfId="175"/>
    <tableColumn id="12" name="11" dataDxfId="174"/>
    <tableColumn id="13" name="12" dataDxfId="173"/>
    <tableColumn id="14" name="13" dataDxfId="172"/>
    <tableColumn id="15" name="14" dataDxfId="171"/>
    <tableColumn id="16" name="15" dataDxfId="170"/>
    <tableColumn id="17" name="16" dataDxfId="169"/>
    <tableColumn id="18" name="17" dataDxfId="168"/>
    <tableColumn id="19" name="0" dataDxfId="167"/>
    <tableColumn id="20" name="19" dataDxfId="166"/>
    <tableColumn id="21" name="20" dataDxfId="165"/>
    <tableColumn id="22" name="21" dataDxfId="164"/>
    <tableColumn id="23" name="22" dataDxfId="163">
      <calculatedColumnFormula>SUM(F7:V7)-L7</calculatedColumnFormula>
    </tableColumn>
    <tableColumn id="24" name="23" dataDxfId="162"/>
    <tableColumn id="25" name="24" dataDxfId="161"/>
    <tableColumn id="26" name="25" dataDxfId="160">
      <calculatedColumnFormula>W7+X7+Y7</calculatedColumnFormula>
    </tableColumn>
    <tableColumn id="27" name="26" dataDxfId="159"/>
    <tableColumn id="28" name="27" dataDxfId="158"/>
    <tableColumn id="29" name="28" dataDxfId="157">
      <calculatedColumnFormula>AB7/$T$2*Z7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6" name="Table2662687" displayName="Table2662687" ref="A6:AC13" insertRowShift="1" totalsRowShown="0" headerRowDxfId="156" headerRowBorderDxfId="155">
  <autoFilter ref="A6:AC13"/>
  <tableColumns count="29">
    <tableColumn id="1" name="rb" dataDxfId="154"/>
    <tableColumn id="2" name="1" dataDxfId="153"/>
    <tableColumn id="3" name="Column2" dataDxfId="152"/>
    <tableColumn id="4" name="Column3" dataDxfId="151"/>
    <tableColumn id="5" name="4" dataDxfId="150"/>
    <tableColumn id="6" name="5" dataDxfId="149">
      <calculatedColumnFormula>$T$2-L7-K7</calculatedColumnFormula>
    </tableColumn>
    <tableColumn id="7" name="6" dataDxfId="148"/>
    <tableColumn id="8" name="7" dataDxfId="147"/>
    <tableColumn id="9" name="8" dataDxfId="146"/>
    <tableColumn id="10" name="9" dataDxfId="145"/>
    <tableColumn id="11" name="10" dataDxfId="144"/>
    <tableColumn id="12" name="11" dataDxfId="143"/>
    <tableColumn id="13" name="12" dataDxfId="142"/>
    <tableColumn id="14" name="13" dataDxfId="141"/>
    <tableColumn id="15" name="14" dataDxfId="140"/>
    <tableColumn id="16" name="15" dataDxfId="139"/>
    <tableColumn id="17" name="16" dataDxfId="138"/>
    <tableColumn id="18" name="17" dataDxfId="137"/>
    <tableColumn id="19" name="0" dataDxfId="136"/>
    <tableColumn id="20" name="19" dataDxfId="135"/>
    <tableColumn id="21" name="20" dataDxfId="134"/>
    <tableColumn id="22" name="21" dataDxfId="133"/>
    <tableColumn id="23" name="22" dataDxfId="132">
      <calculatedColumnFormula>SUM(F7:V7)-L7</calculatedColumnFormula>
    </tableColumn>
    <tableColumn id="24" name="23" dataDxfId="131">
      <calculatedColumnFormula>L7</calculatedColumnFormula>
    </tableColumn>
    <tableColumn id="25" name="24" dataDxfId="130"/>
    <tableColumn id="26" name="25" dataDxfId="129">
      <calculatedColumnFormula>W7+X7+Y7</calculatedColumnFormula>
    </tableColumn>
    <tableColumn id="27" name="26" dataDxfId="128"/>
    <tableColumn id="28" name="27" dataDxfId="127"/>
    <tableColumn id="29" name="28" dataDxfId="126">
      <calculatedColumnFormula>AB7/$T$2*Z7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2" name="Table2664533" displayName="Table2664533" ref="A6:AD19" totalsRowShown="0" headerRowDxfId="125" headerRowBorderDxfId="124">
  <autoFilter ref="A6:AD19"/>
  <sortState ref="A7:AD64">
    <sortCondition ref="A6:A64"/>
  </sortState>
  <tableColumns count="30">
    <tableColumn id="1" name="rb" dataDxfId="123"/>
    <tableColumn id="2" name="1" dataDxfId="122"/>
    <tableColumn id="3" name="Column2" dataDxfId="121"/>
    <tableColumn id="4" name="Column3" dataDxfId="120"/>
    <tableColumn id="5" name="4" dataDxfId="119"/>
    <tableColumn id="6" name="5" dataDxfId="118"/>
    <tableColumn id="7" name="6" dataDxfId="117"/>
    <tableColumn id="8" name="7" dataDxfId="116"/>
    <tableColumn id="9" name="8" dataDxfId="115"/>
    <tableColumn id="10" name="9" dataDxfId="114"/>
    <tableColumn id="11" name="10" dataDxfId="113"/>
    <tableColumn id="12" name="11" dataDxfId="112"/>
    <tableColumn id="13" name="12" dataDxfId="111"/>
    <tableColumn id="14" name="13" dataDxfId="110"/>
    <tableColumn id="15" name="14" dataDxfId="109"/>
    <tableColumn id="16" name="15" dataDxfId="108"/>
    <tableColumn id="17" name="16" dataDxfId="107"/>
    <tableColumn id="18" name="17" dataDxfId="106"/>
    <tableColumn id="19" name="0" dataDxfId="105"/>
    <tableColumn id="20" name="19" dataDxfId="104"/>
    <tableColumn id="21" name="20" dataDxfId="103"/>
    <tableColumn id="22" name="21" dataDxfId="102"/>
    <tableColumn id="23" name="22" dataDxfId="101"/>
    <tableColumn id="24" name="23" dataDxfId="100"/>
    <tableColumn id="25" name="24" dataDxfId="99"/>
    <tableColumn id="26" name="25" dataDxfId="98"/>
    <tableColumn id="27" name="26" dataDxfId="97"/>
    <tableColumn id="28" name="27" dataDxfId="96"/>
    <tableColumn id="29" name="28" dataDxfId="95"/>
    <tableColumn id="30" name="29" dataDxfId="9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7" name="Table2668678" displayName="Table2668678" ref="A6:AD11" totalsRowShown="0" headerRowDxfId="93" headerRowBorderDxfId="92">
  <autoFilter ref="A6:AD11"/>
  <sortState ref="A7:AD64">
    <sortCondition ref="A6:A64"/>
  </sortState>
  <tableColumns count="30">
    <tableColumn id="1" name="rb" dataDxfId="91"/>
    <tableColumn id="2" name="1" dataDxfId="90"/>
    <tableColumn id="3" name="Column2" dataDxfId="89"/>
    <tableColumn id="4" name="Column3" dataDxfId="88"/>
    <tableColumn id="5" name="4" dataDxfId="87"/>
    <tableColumn id="6" name="5" dataDxfId="86">
      <calculatedColumnFormula>$T$2-Table2668678[[#This Row],[11]]</calculatedColumnFormula>
    </tableColumn>
    <tableColumn id="7" name="6" dataDxfId="85"/>
    <tableColumn id="8" name="7" dataDxfId="84"/>
    <tableColumn id="9" name="8" dataDxfId="83"/>
    <tableColumn id="10" name="9" dataDxfId="82"/>
    <tableColumn id="11" name="10" dataDxfId="81"/>
    <tableColumn id="12" name="11" dataDxfId="80"/>
    <tableColumn id="13" name="12" dataDxfId="79"/>
    <tableColumn id="14" name="13" dataDxfId="78"/>
    <tableColumn id="15" name="14" dataDxfId="77"/>
    <tableColumn id="16" name="15" dataDxfId="76"/>
    <tableColumn id="17" name="16" dataDxfId="75"/>
    <tableColumn id="18" name="17" dataDxfId="74"/>
    <tableColumn id="19" name="0" dataDxfId="73"/>
    <tableColumn id="20" name="19" dataDxfId="72"/>
    <tableColumn id="21" name="20" dataDxfId="71"/>
    <tableColumn id="22" name="21" dataDxfId="70"/>
    <tableColumn id="23" name="22" dataDxfId="69">
      <calculatedColumnFormula>SUM(F7:V7)-L7</calculatedColumnFormula>
    </tableColumn>
    <tableColumn id="24" name="23" dataDxfId="68">
      <calculatedColumnFormula>L7</calculatedColumnFormula>
    </tableColumn>
    <tableColumn id="25" name="24" dataDxfId="67"/>
    <tableColumn id="26" name="25" dataDxfId="66">
      <calculatedColumnFormula>W7+X7+Y7</calculatedColumnFormula>
    </tableColumn>
    <tableColumn id="27" name="26" dataDxfId="65"/>
    <tableColumn id="32" name="262" dataDxfId="64"/>
    <tableColumn id="28" name="27" dataDxfId="63"/>
    <tableColumn id="30" name="29" dataDxfId="6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5" name="Table2664536" displayName="Table2664536" ref="A6:AD15" totalsRowShown="0" headerRowDxfId="61" headerRowBorderDxfId="60">
  <autoFilter ref="A6:AD15"/>
  <sortState ref="A7:AD64">
    <sortCondition ref="A6:A64"/>
  </sortState>
  <tableColumns count="30">
    <tableColumn id="1" name="rb" dataDxfId="59"/>
    <tableColumn id="2" name="1" dataDxfId="58"/>
    <tableColumn id="3" name="Column2" dataDxfId="57"/>
    <tableColumn id="4" name="Column3" dataDxfId="56"/>
    <tableColumn id="5" name="4" dataDxfId="55"/>
    <tableColumn id="6" name="5" dataDxfId="54"/>
    <tableColumn id="7" name="6" dataDxfId="53"/>
    <tableColumn id="8" name="7" dataDxfId="52"/>
    <tableColumn id="9" name="8" dataDxfId="51"/>
    <tableColumn id="10" name="9" dataDxfId="50"/>
    <tableColumn id="11" name="10" dataDxfId="49"/>
    <tableColumn id="12" name="11" dataDxfId="48"/>
    <tableColumn id="13" name="12" dataDxfId="47"/>
    <tableColumn id="14" name="13" dataDxfId="46"/>
    <tableColumn id="15" name="14" dataDxfId="45"/>
    <tableColumn id="16" name="15" dataDxfId="44"/>
    <tableColumn id="17" name="16" dataDxfId="43"/>
    <tableColumn id="18" name="17" dataDxfId="42"/>
    <tableColumn id="19" name="0" dataDxfId="41"/>
    <tableColumn id="20" name="19" dataDxfId="40"/>
    <tableColumn id="21" name="20" dataDxfId="39"/>
    <tableColumn id="22" name="21" dataDxfId="38"/>
    <tableColumn id="23" name="22" dataDxfId="37"/>
    <tableColumn id="24" name="23" dataDxfId="36"/>
    <tableColumn id="25" name="24" dataDxfId="35"/>
    <tableColumn id="26" name="25" dataDxfId="34"/>
    <tableColumn id="27" name="26" dataDxfId="33"/>
    <tableColumn id="28" name="27" dataDxfId="32"/>
    <tableColumn id="29" name="28" dataDxfId="31"/>
    <tableColumn id="30" name="29" dataDxfId="3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8" name="Table2662689" displayName="Table2662689" ref="A6:Z15" insertRowShift="1" totalsRowShown="0" headerRowDxfId="29" headerRowBorderDxfId="28">
  <autoFilter ref="A6:Z15"/>
  <tableColumns count="26">
    <tableColumn id="1" name="rb" dataDxfId="27"/>
    <tableColumn id="2" name="1" dataDxfId="26"/>
    <tableColumn id="3" name="Column2" dataDxfId="25"/>
    <tableColumn id="4" name="Column3" dataDxfId="24"/>
    <tableColumn id="5" name="4" dataDxfId="23"/>
    <tableColumn id="6" name="5" dataDxfId="22"/>
    <tableColumn id="7" name="6" dataDxfId="21"/>
    <tableColumn id="8" name="7" dataDxfId="20"/>
    <tableColumn id="9" name="8" dataDxfId="19"/>
    <tableColumn id="10" name="9" dataDxfId="18"/>
    <tableColumn id="11" name="10" dataDxfId="17"/>
    <tableColumn id="12" name="11" dataDxfId="16"/>
    <tableColumn id="13" name="12" dataDxfId="15"/>
    <tableColumn id="14" name="13" dataDxfId="14"/>
    <tableColumn id="15" name="14" dataDxfId="13"/>
    <tableColumn id="16" name="15" dataDxfId="12"/>
    <tableColumn id="17" name="16" dataDxfId="11"/>
    <tableColumn id="18" name="17" dataDxfId="10"/>
    <tableColumn id="19" name="0" dataDxfId="9"/>
    <tableColumn id="20" name="19" dataDxfId="8"/>
    <tableColumn id="21" name="20" dataDxfId="7"/>
    <tableColumn id="22" name="21" dataDxfId="6"/>
    <tableColumn id="23" name="22" dataDxfId="5">
      <calculatedColumnFormula>SUM(F7:V7)-L7</calculatedColumnFormula>
    </tableColumn>
    <tableColumn id="24" name="23" dataDxfId="4"/>
    <tableColumn id="25" name="24" dataDxfId="3"/>
    <tableColumn id="26" name="25" dataDxfId="2">
      <calculatedColumnFormula>W7+X7+Y7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9" name="Table9" displayName="Table9" ref="B4:D19" totalsRowShown="0" headerRowDxfId="1">
  <autoFilter ref="B4:D19"/>
  <tableColumns count="3">
    <tableColumn id="1" name="Tip godišnjeg"/>
    <tableColumn id="3" name="Broj radnih dana u tjednu" dataDxfId="0"/>
    <tableColumn id="2" name="Broj da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s://moj.minimax.hr/HR/VA/WebUI/Delavec/DelavecView.aspx?dl_id=107975&amp;pgat=pgatv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s://moj.minimax.hr/HR/VA/WebUI/Delavec/DelavecView.aspx?dl_id=114294&amp;pgat=pgatv" TargetMode="External"/><Relationship Id="rId1" Type="http://schemas.openxmlformats.org/officeDocument/2006/relationships/hyperlink" Target="https://moj.minimax.hr/HR/VA/WebUI/OrganizacijaTRR/OrganizacijaTRRView.aspx?orgtrr_id=25458&amp;pgat=pgatv" TargetMode="External"/><Relationship Id="rId6" Type="http://schemas.openxmlformats.org/officeDocument/2006/relationships/hyperlink" Target="https://sudreg.pravosudje.hr/ords/r/esudreg/public/vezani-subjekti?p40_oib=43885343400&amp;p40_tip=1&amp;clear=RP,40&amp;cs=187D65D35EF639EA66A4F32E3F8010406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sudreg.pravosudje.hr/ords/r/esudreg/public/40?p40_oib=79430081358&amp;p40_tip=1&amp;clear=RP,40&amp;cs=16AE182645348699A8A786E660E630C9D" TargetMode="External"/><Relationship Id="rId10" Type="http://schemas.openxmlformats.org/officeDocument/2006/relationships/table" Target="../tables/table2.xml"/><Relationship Id="rId4" Type="http://schemas.openxmlformats.org/officeDocument/2006/relationships/hyperlink" Target="https://sudreg.pravosudje.hr/registar/f?p=150:40:0::NO:RP,40:P40_OIB,P40_TIP:86017751097,1&amp;cs=37A8F6F906C86E406B79179E80FB205C5" TargetMode="External"/><Relationship Id="rId9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4.bin"/><Relationship Id="rId1" Type="http://schemas.openxmlformats.org/officeDocument/2006/relationships/pivotTable" Target="../pivotTables/pivotTable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printerSettings" Target="../printerSettings/printerSettings45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K95"/>
  <sheetViews>
    <sheetView view="pageLayout" topLeftCell="A16" zoomScaleNormal="100" workbookViewId="0">
      <selection activeCell="E20" sqref="E20:J20"/>
    </sheetView>
  </sheetViews>
  <sheetFormatPr defaultRowHeight="14.5"/>
  <cols>
    <col min="2" max="2" width="11.81640625" customWidth="1"/>
    <col min="3" max="3" width="9.1796875" customWidth="1"/>
    <col min="4" max="4" width="10.81640625" customWidth="1"/>
    <col min="5" max="5" width="5.1796875" customWidth="1"/>
    <col min="8" max="8" width="9.7265625" customWidth="1"/>
    <col min="9" max="9" width="6" customWidth="1"/>
    <col min="11" max="11" width="9.453125" customWidth="1"/>
  </cols>
  <sheetData>
    <row r="1" spans="1:11">
      <c r="A1" s="14">
        <f>'EVIDENCIJA NOVA'!G1</f>
        <v>808</v>
      </c>
    </row>
    <row r="2" spans="1:11" ht="15.5">
      <c r="A2" s="627" t="s">
        <v>895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</row>
    <row r="3" spans="1:11" ht="15.5">
      <c r="A3" s="203" t="s">
        <v>896</v>
      </c>
      <c r="B3" s="37">
        <v>45017</v>
      </c>
      <c r="C3" s="203" t="s">
        <v>897</v>
      </c>
      <c r="D3" s="203"/>
      <c r="E3" s="203"/>
      <c r="F3" s="203"/>
      <c r="G3" s="203"/>
      <c r="H3" s="203"/>
      <c r="I3" s="203"/>
      <c r="J3" s="203"/>
      <c r="K3" s="203"/>
    </row>
    <row r="4" spans="1:11" ht="15.5">
      <c r="A4" s="22"/>
    </row>
    <row r="5" spans="1:11" ht="20">
      <c r="A5" s="628" t="s">
        <v>975</v>
      </c>
      <c r="B5" s="628"/>
      <c r="C5" s="628"/>
      <c r="D5" s="628"/>
      <c r="E5" s="628"/>
      <c r="F5" s="628"/>
      <c r="G5" s="628"/>
      <c r="H5" s="628"/>
      <c r="I5" s="628"/>
      <c r="J5" s="628"/>
      <c r="K5" s="628"/>
    </row>
    <row r="6" spans="1:11">
      <c r="A6" s="221"/>
    </row>
    <row r="7" spans="1:11" s="33" customFormat="1" ht="20">
      <c r="A7" s="31" t="s">
        <v>900</v>
      </c>
      <c r="B7" s="31"/>
      <c r="C7" s="31"/>
      <c r="D7" s="31"/>
      <c r="E7" s="32"/>
      <c r="F7" s="629" t="str">
        <f ca="1">OFFSET(RADNICI!E2,A1,0)</f>
        <v>D-INVOICE D.O.O.</v>
      </c>
      <c r="G7" s="629"/>
      <c r="H7" s="629"/>
      <c r="I7" s="33" t="s">
        <v>901</v>
      </c>
      <c r="J7" s="630">
        <f ca="1">OFFSET(RADNICI!F2,A1,0)</f>
        <v>95114485977</v>
      </c>
      <c r="K7" s="630"/>
    </row>
    <row r="8" spans="1:11" s="33" customFormat="1" ht="20.5">
      <c r="A8" s="203" t="s">
        <v>902</v>
      </c>
      <c r="B8" s="31"/>
      <c r="C8" s="31"/>
      <c r="D8" s="31"/>
      <c r="E8" s="75" t="str">
        <f ca="1">OFFSET(RADNICI!G2,A1,0)</f>
        <v>LAURA GERGELJ</v>
      </c>
      <c r="F8" s="204"/>
      <c r="G8" s="204"/>
      <c r="H8" s="34" t="s">
        <v>903</v>
      </c>
      <c r="J8" s="204"/>
      <c r="K8" s="204"/>
    </row>
    <row r="9" spans="1:11" s="33" customFormat="1" ht="15.5">
      <c r="A9" s="202" t="s">
        <v>904</v>
      </c>
    </row>
    <row r="10" spans="1:11" s="33" customFormat="1" ht="20">
      <c r="A10" s="24" t="s">
        <v>905</v>
      </c>
      <c r="B10" s="631" t="str">
        <f ca="1">OFFSET(RADNICI!J2,$A$1,0)</f>
        <v>VLADIMIR DEDUŠ</v>
      </c>
      <c r="C10" s="631"/>
      <c r="D10" s="631"/>
      <c r="E10" s="33" t="s">
        <v>3</v>
      </c>
      <c r="F10" s="632">
        <f ca="1">OFFSET(RADNICI!M2,$A$1,0)</f>
        <v>31157145393</v>
      </c>
      <c r="G10" s="632"/>
      <c r="H10" s="632"/>
      <c r="I10" s="33" t="s">
        <v>906</v>
      </c>
    </row>
    <row r="11" spans="1:11" s="33" customFormat="1" ht="20">
      <c r="A11" s="633" t="str">
        <f ca="1">OFFSET(RADNICI!R2,$A$1,0)</f>
        <v>Moslavačka 7 a</v>
      </c>
      <c r="B11" s="633"/>
      <c r="C11" s="633"/>
      <c r="D11" s="633"/>
      <c r="E11" s="633"/>
      <c r="F11" s="633"/>
      <c r="G11" s="34" t="s">
        <v>907</v>
      </c>
      <c r="H11" s="204"/>
    </row>
    <row r="12" spans="1:11" s="33" customFormat="1" ht="15.5">
      <c r="A12" s="202"/>
    </row>
    <row r="13" spans="1:11" s="33" customFormat="1" ht="15.5">
      <c r="A13" s="626" t="s">
        <v>908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</row>
    <row r="14" spans="1:11" s="33" customFormat="1" ht="14">
      <c r="A14" s="222" t="s">
        <v>909</v>
      </c>
    </row>
    <row r="15" spans="1:11" ht="15.5">
      <c r="A15" s="22"/>
    </row>
    <row r="16" spans="1:11" ht="15.5">
      <c r="A16" s="25" t="s">
        <v>910</v>
      </c>
    </row>
    <row r="17" spans="1:11" ht="15.5">
      <c r="A17" s="25" t="s">
        <v>976</v>
      </c>
    </row>
    <row r="18" spans="1:11" ht="15.5">
      <c r="A18" s="25"/>
      <c r="B18" s="634" t="str">
        <f ca="1">OFFSET(RADNICI!W2,$A$1,0)</f>
        <v>maser / maserka</v>
      </c>
      <c r="C18" s="634"/>
      <c r="D18" s="634"/>
      <c r="E18" s="634"/>
      <c r="F18" s="634"/>
      <c r="G18" s="634"/>
      <c r="H18" s="634"/>
    </row>
    <row r="19" spans="1:11" ht="15.5">
      <c r="A19" s="25" t="s">
        <v>914</v>
      </c>
      <c r="G19">
        <v>6</v>
      </c>
      <c r="H19" s="39" t="s">
        <v>1967</v>
      </c>
    </row>
    <row r="20" spans="1:11" ht="15.5">
      <c r="A20" s="25" t="s">
        <v>916</v>
      </c>
      <c r="E20" s="635" t="s">
        <v>2154</v>
      </c>
      <c r="F20" s="635"/>
      <c r="G20" s="635"/>
      <c r="H20" s="635"/>
      <c r="I20" s="635"/>
      <c r="J20" s="635"/>
      <c r="K20" s="40"/>
    </row>
    <row r="21" spans="1:11" ht="15.5">
      <c r="B21" s="25" t="s">
        <v>917</v>
      </c>
    </row>
    <row r="22" spans="1:11" ht="15.5">
      <c r="A22" s="25" t="s">
        <v>918</v>
      </c>
    </row>
    <row r="23" spans="1:11" ht="15.5">
      <c r="A23" s="25"/>
      <c r="B23" s="33" t="s">
        <v>919</v>
      </c>
    </row>
    <row r="24" spans="1:11" ht="15.5">
      <c r="A24" s="25" t="s">
        <v>920</v>
      </c>
      <c r="D24" s="43">
        <v>45017</v>
      </c>
    </row>
    <row r="25" spans="1:11" ht="15.5">
      <c r="A25" s="22"/>
    </row>
    <row r="26" spans="1:11" ht="15.5">
      <c r="A26" s="626" t="s">
        <v>921</v>
      </c>
      <c r="B26" s="626"/>
      <c r="C26" s="626"/>
      <c r="D26" s="626"/>
      <c r="E26" s="626"/>
      <c r="F26" s="626"/>
      <c r="G26" s="626"/>
      <c r="H26" s="626"/>
      <c r="I26" s="626"/>
      <c r="J26" s="626"/>
      <c r="K26" s="626"/>
    </row>
    <row r="27" spans="1:11">
      <c r="A27" s="223" t="s">
        <v>922</v>
      </c>
    </row>
    <row r="28" spans="1:11" ht="15.5">
      <c r="A28" s="26"/>
    </row>
    <row r="29" spans="1:11" ht="15.5">
      <c r="A29" s="27" t="s">
        <v>923</v>
      </c>
    </row>
    <row r="30" spans="1:11" ht="15.5">
      <c r="A30" s="27"/>
      <c r="B30" s="415">
        <v>700</v>
      </c>
      <c r="C30" s="33" t="s">
        <v>977</v>
      </c>
    </row>
    <row r="31" spans="1:11" ht="15.5">
      <c r="A31" s="27" t="s">
        <v>978</v>
      </c>
    </row>
    <row r="32" spans="1:11" ht="15.5">
      <c r="A32" s="27"/>
      <c r="B32" s="33" t="s">
        <v>979</v>
      </c>
    </row>
    <row r="33" spans="1:11" ht="15.5">
      <c r="A33" s="27" t="s">
        <v>980</v>
      </c>
    </row>
    <row r="34" spans="1:11" ht="15.5">
      <c r="A34" s="27" t="s">
        <v>928</v>
      </c>
    </row>
    <row r="35" spans="1:11" ht="15.5">
      <c r="B35" s="27" t="s">
        <v>929</v>
      </c>
      <c r="H35" s="44">
        <v>0.1</v>
      </c>
    </row>
    <row r="36" spans="1:11" ht="15.5">
      <c r="B36" s="27" t="s">
        <v>930</v>
      </c>
      <c r="C36" s="28"/>
      <c r="H36" s="45">
        <v>0.5</v>
      </c>
    </row>
    <row r="37" spans="1:11" ht="15.5">
      <c r="A37" s="27" t="s">
        <v>898</v>
      </c>
      <c r="B37" s="27" t="s">
        <v>931</v>
      </c>
      <c r="H37" s="44">
        <v>0.3</v>
      </c>
    </row>
    <row r="38" spans="1:11" ht="15.5">
      <c r="B38" s="27" t="s">
        <v>932</v>
      </c>
      <c r="H38" s="45">
        <v>0.3</v>
      </c>
      <c r="I38" s="28"/>
    </row>
    <row r="39" spans="1:11" ht="15.5">
      <c r="B39" s="27" t="s">
        <v>933</v>
      </c>
      <c r="H39" s="44">
        <v>0.5</v>
      </c>
    </row>
    <row r="40" spans="1:11" ht="15.5">
      <c r="B40" s="27" t="s">
        <v>981</v>
      </c>
      <c r="H40" s="200"/>
    </row>
    <row r="41" spans="1:11" ht="15.5">
      <c r="B41" s="159" t="s">
        <v>2157</v>
      </c>
      <c r="H41" s="200"/>
    </row>
    <row r="42" spans="1:11" ht="15.5">
      <c r="B42" s="159" t="s">
        <v>2156</v>
      </c>
      <c r="H42" s="200"/>
    </row>
    <row r="43" spans="1:11" ht="15.5">
      <c r="A43" s="27"/>
    </row>
    <row r="44" spans="1:11" ht="15.5">
      <c r="A44" s="626" t="s">
        <v>935</v>
      </c>
      <c r="B44" s="626"/>
      <c r="C44" s="626"/>
      <c r="D44" s="626"/>
      <c r="E44" s="626"/>
      <c r="F44" s="626"/>
      <c r="G44" s="626"/>
      <c r="H44" s="626"/>
      <c r="I44" s="626"/>
      <c r="J44" s="626"/>
      <c r="K44" s="626"/>
    </row>
    <row r="45" spans="1:11">
      <c r="A45" s="224" t="s">
        <v>936</v>
      </c>
    </row>
    <row r="46" spans="1:11" ht="15.5">
      <c r="A46" s="27"/>
    </row>
    <row r="47" spans="1:11" ht="15.5">
      <c r="A47" s="22" t="s">
        <v>1732</v>
      </c>
    </row>
    <row r="48" spans="1:11" ht="15.5">
      <c r="A48" s="27"/>
    </row>
    <row r="49" spans="1:11" ht="15.5">
      <c r="A49" s="22" t="s">
        <v>937</v>
      </c>
    </row>
    <row r="50" spans="1:11" ht="15.5">
      <c r="A50" s="29" t="s">
        <v>938</v>
      </c>
    </row>
    <row r="51" spans="1:11" ht="15.5">
      <c r="A51" s="626" t="s">
        <v>939</v>
      </c>
      <c r="B51" s="626"/>
      <c r="C51" s="626"/>
      <c r="D51" s="626"/>
      <c r="E51" s="626"/>
      <c r="F51" s="626"/>
      <c r="G51" s="626"/>
      <c r="H51" s="626"/>
      <c r="I51" s="626"/>
      <c r="J51" s="626"/>
      <c r="K51" s="626"/>
    </row>
    <row r="52" spans="1:11">
      <c r="A52" s="224" t="s">
        <v>940</v>
      </c>
    </row>
    <row r="53" spans="1:11" ht="15.5">
      <c r="A53" s="29"/>
    </row>
    <row r="54" spans="1:11" ht="15.5">
      <c r="A54" s="29" t="s">
        <v>941</v>
      </c>
      <c r="D54" s="35" t="str">
        <f ca="1">OFFSET(RADNICI!Z2,$A$1,0)</f>
        <v>puno</v>
      </c>
      <c r="E54" t="s">
        <v>942</v>
      </c>
      <c r="H54" s="38">
        <f ca="1">OFFSET(RADNICI!AA2,$A$1,0)</f>
        <v>40</v>
      </c>
      <c r="I54" t="s">
        <v>943</v>
      </c>
    </row>
    <row r="55" spans="1:11" ht="15.5">
      <c r="A55" s="25" t="s">
        <v>982</v>
      </c>
    </row>
    <row r="56" spans="1:11" ht="15.5">
      <c r="A56" s="25"/>
      <c r="B56" s="33" t="s">
        <v>2045</v>
      </c>
    </row>
    <row r="57" spans="1:11" ht="15.5">
      <c r="A57" s="25" t="s">
        <v>944</v>
      </c>
    </row>
    <row r="58" spans="1:11" ht="15.5">
      <c r="A58" s="30" t="s">
        <v>945</v>
      </c>
    </row>
    <row r="59" spans="1:11" ht="15.5">
      <c r="A59" s="25" t="s">
        <v>946</v>
      </c>
    </row>
    <row r="60" spans="1:11" ht="15.5">
      <c r="A60" s="29"/>
    </row>
    <row r="61" spans="1:11" ht="15.5">
      <c r="A61" s="626" t="s">
        <v>947</v>
      </c>
      <c r="B61" s="626"/>
      <c r="C61" s="626"/>
      <c r="D61" s="626"/>
      <c r="E61" s="626"/>
      <c r="F61" s="626"/>
      <c r="G61" s="626"/>
      <c r="H61" s="626"/>
      <c r="I61" s="626"/>
      <c r="J61" s="626"/>
      <c r="K61" s="626"/>
    </row>
    <row r="62" spans="1:11">
      <c r="A62" s="222" t="s">
        <v>948</v>
      </c>
    </row>
    <row r="63" spans="1:11">
      <c r="A63" s="225"/>
    </row>
    <row r="64" spans="1:11" ht="15.5">
      <c r="A64" s="25" t="s">
        <v>949</v>
      </c>
    </row>
    <row r="65" spans="1:11" ht="15.5">
      <c r="A65" s="22" t="s">
        <v>950</v>
      </c>
    </row>
    <row r="66" spans="1:11" ht="15.5">
      <c r="A66" s="22" t="s">
        <v>951</v>
      </c>
    </row>
    <row r="67" spans="1:11" ht="15.5">
      <c r="A67" s="22"/>
    </row>
    <row r="68" spans="1:11" ht="15.5">
      <c r="A68" s="626" t="s">
        <v>952</v>
      </c>
      <c r="B68" s="626"/>
      <c r="C68" s="626"/>
      <c r="D68" s="626"/>
      <c r="E68" s="626"/>
      <c r="F68" s="626"/>
      <c r="G68" s="626"/>
      <c r="H68" s="626"/>
      <c r="I68" s="626"/>
      <c r="J68" s="626"/>
      <c r="K68" s="626"/>
    </row>
    <row r="69" spans="1:11">
      <c r="A69" s="224" t="s">
        <v>953</v>
      </c>
    </row>
    <row r="70" spans="1:11">
      <c r="A70" s="215"/>
    </row>
    <row r="71" spans="1:11" ht="15.5">
      <c r="A71" s="25" t="s">
        <v>954</v>
      </c>
    </row>
    <row r="72" spans="1:11" ht="15.5">
      <c r="A72" s="25"/>
      <c r="B72" s="23" t="s">
        <v>984</v>
      </c>
    </row>
    <row r="73" spans="1:11" ht="15.5">
      <c r="A73" s="25" t="s">
        <v>1730</v>
      </c>
    </row>
    <row r="74" spans="1:11" ht="15.5">
      <c r="A74" s="25"/>
      <c r="B74" s="23"/>
    </row>
    <row r="75" spans="1:11" ht="15.5">
      <c r="A75" s="22" t="s">
        <v>898</v>
      </c>
    </row>
    <row r="76" spans="1:11" ht="15.5">
      <c r="A76" s="626" t="s">
        <v>958</v>
      </c>
      <c r="B76" s="626"/>
      <c r="C76" s="626"/>
      <c r="D76" s="626"/>
      <c r="E76" s="626"/>
      <c r="F76" s="626"/>
      <c r="G76" s="626"/>
      <c r="H76" s="626"/>
      <c r="I76" s="626"/>
      <c r="J76" s="626"/>
      <c r="K76" s="626"/>
    </row>
    <row r="77" spans="1:11">
      <c r="A77" s="224" t="s">
        <v>959</v>
      </c>
    </row>
    <row r="78" spans="1:11" ht="15.5">
      <c r="A78" s="627" t="s">
        <v>960</v>
      </c>
      <c r="B78" s="627"/>
      <c r="C78" s="627"/>
      <c r="D78" s="627"/>
      <c r="E78" s="627"/>
      <c r="F78" s="627"/>
      <c r="G78" s="627"/>
      <c r="H78" s="627"/>
      <c r="I78" s="627"/>
    </row>
    <row r="79" spans="1:11" ht="15.5">
      <c r="A79" s="203" t="s">
        <v>961</v>
      </c>
      <c r="B79" s="203"/>
      <c r="C79" s="203"/>
      <c r="D79" s="203"/>
      <c r="E79" s="203"/>
      <c r="F79" s="203"/>
      <c r="G79" s="203"/>
      <c r="H79" s="203"/>
      <c r="I79" s="203"/>
    </row>
    <row r="80" spans="1:11" ht="15.5">
      <c r="A80" s="626" t="s">
        <v>962</v>
      </c>
      <c r="B80" s="626"/>
      <c r="C80" s="626"/>
      <c r="D80" s="626"/>
      <c r="E80" s="626"/>
      <c r="F80" s="626"/>
      <c r="G80" s="626"/>
      <c r="H80" s="626"/>
      <c r="I80" s="626"/>
      <c r="J80" s="626"/>
      <c r="K80" s="626"/>
    </row>
    <row r="81" spans="1:7">
      <c r="A81" s="224" t="s">
        <v>963</v>
      </c>
    </row>
    <row r="82" spans="1:7" ht="15.5">
      <c r="A82" s="202" t="s">
        <v>964</v>
      </c>
    </row>
    <row r="83" spans="1:7" ht="15.5">
      <c r="A83" s="25" t="s">
        <v>965</v>
      </c>
    </row>
    <row r="84" spans="1:7" ht="15.5">
      <c r="A84" s="25" t="s">
        <v>966</v>
      </c>
      <c r="D84" s="624">
        <f>D24</f>
        <v>45017</v>
      </c>
      <c r="E84" s="625"/>
      <c r="F84" s="625"/>
    </row>
    <row r="85" spans="1:7" ht="15.5">
      <c r="A85" s="25" t="s">
        <v>967</v>
      </c>
    </row>
    <row r="86" spans="1:7" ht="15.5">
      <c r="A86" s="22"/>
      <c r="B86" s="33" t="s">
        <v>968</v>
      </c>
    </row>
    <row r="87" spans="1:7" ht="15.5">
      <c r="A87" s="22"/>
    </row>
    <row r="88" spans="1:7" ht="15.5">
      <c r="A88" s="22" t="s">
        <v>2150</v>
      </c>
      <c r="C88" s="82"/>
    </row>
    <row r="89" spans="1:7" ht="15.5">
      <c r="A89" s="361"/>
    </row>
    <row r="90" spans="1:7" ht="15.5">
      <c r="A90" s="22"/>
    </row>
    <row r="91" spans="1:7" ht="15.5">
      <c r="A91" s="22" t="s">
        <v>970</v>
      </c>
      <c r="G91" s="22" t="s">
        <v>971</v>
      </c>
    </row>
    <row r="92" spans="1:7" ht="15.5">
      <c r="A92" s="22"/>
    </row>
    <row r="93" spans="1:7">
      <c r="A93" s="227" t="s">
        <v>972</v>
      </c>
    </row>
    <row r="94" spans="1:7" ht="15.5">
      <c r="A94" s="22" t="s">
        <v>973</v>
      </c>
      <c r="B94" s="22"/>
      <c r="G94" s="22" t="s">
        <v>974</v>
      </c>
    </row>
    <row r="95" spans="1:7">
      <c r="A95" s="221"/>
    </row>
  </sheetData>
  <mergeCells count="19">
    <mergeCell ref="A44:K44"/>
    <mergeCell ref="A2:K2"/>
    <mergeCell ref="A5:K5"/>
    <mergeCell ref="F7:H7"/>
    <mergeCell ref="J7:K7"/>
    <mergeCell ref="B10:D10"/>
    <mergeCell ref="F10:H10"/>
    <mergeCell ref="A11:F11"/>
    <mergeCell ref="A13:K13"/>
    <mergeCell ref="B18:H18"/>
    <mergeCell ref="E20:J20"/>
    <mergeCell ref="A26:K26"/>
    <mergeCell ref="D84:F84"/>
    <mergeCell ref="A51:K51"/>
    <mergeCell ref="A61:K61"/>
    <mergeCell ref="A68:K68"/>
    <mergeCell ref="A76:K76"/>
    <mergeCell ref="A78:I78"/>
    <mergeCell ref="A80:K80"/>
  </mergeCells>
  <pageMargins left="0.78740157480314965" right="0.23622047244094491" top="0.74803149606299213" bottom="0.74803149606299213" header="0.31496062992125984" footer="0.31496062992125984"/>
  <pageSetup paperSize="9" scale="8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J93"/>
  <sheetViews>
    <sheetView zoomScaleNormal="100" workbookViewId="0">
      <selection activeCell="H101" sqref="H101"/>
    </sheetView>
  </sheetViews>
  <sheetFormatPr defaultRowHeight="14.5"/>
  <cols>
    <col min="1" max="1" width="9.81640625" customWidth="1"/>
    <col min="2" max="2" width="14.26953125" bestFit="1" customWidth="1"/>
    <col min="3" max="3" width="9.81640625" bestFit="1" customWidth="1"/>
    <col min="4" max="4" width="10.81640625" customWidth="1"/>
    <col min="5" max="5" width="7.54296875" customWidth="1"/>
    <col min="7" max="7" width="8.81640625" customWidth="1"/>
    <col min="8" max="8" width="12.26953125" customWidth="1"/>
    <col min="9" max="9" width="6" customWidth="1"/>
    <col min="10" max="10" width="18" customWidth="1"/>
  </cols>
  <sheetData>
    <row r="1" spans="1:10">
      <c r="A1" s="14">
        <f>'EVIDENCIJA NOVA'!G1</f>
        <v>808</v>
      </c>
    </row>
    <row r="2" spans="1:10" ht="15.5">
      <c r="A2" s="627" t="s">
        <v>895</v>
      </c>
      <c r="B2" s="627"/>
      <c r="C2" s="627"/>
      <c r="D2" s="627"/>
      <c r="E2" s="627"/>
      <c r="F2" s="627"/>
      <c r="G2" s="627"/>
      <c r="H2" s="627"/>
      <c r="I2" s="627"/>
      <c r="J2" s="627"/>
    </row>
    <row r="3" spans="1:10" ht="15.5">
      <c r="A3" s="203" t="s">
        <v>896</v>
      </c>
      <c r="B3" s="84">
        <v>44937</v>
      </c>
      <c r="C3" s="203" t="s">
        <v>897</v>
      </c>
      <c r="D3" s="203"/>
      <c r="E3" s="203"/>
      <c r="F3" s="203"/>
      <c r="G3" s="203"/>
      <c r="H3" s="203"/>
      <c r="I3" s="203"/>
      <c r="J3" s="203"/>
    </row>
    <row r="4" spans="1:10" ht="15.5">
      <c r="A4" s="22"/>
      <c r="B4" t="s">
        <v>898</v>
      </c>
    </row>
    <row r="5" spans="1:10" ht="20">
      <c r="A5" s="628" t="s">
        <v>1839</v>
      </c>
      <c r="B5" s="628"/>
      <c r="C5" s="628"/>
      <c r="D5" s="628"/>
      <c r="E5" s="628"/>
      <c r="F5" s="628"/>
      <c r="G5" s="628"/>
      <c r="H5" s="628"/>
      <c r="I5" s="628"/>
      <c r="J5" s="628"/>
    </row>
    <row r="6" spans="1:10">
      <c r="A6" s="221"/>
    </row>
    <row r="7" spans="1:10" s="33" customFormat="1" ht="20">
      <c r="A7" s="31" t="s">
        <v>900</v>
      </c>
      <c r="B7" s="31"/>
      <c r="C7" s="31"/>
      <c r="D7" s="31"/>
      <c r="E7" s="32"/>
      <c r="F7" s="637" t="str">
        <f ca="1">OFFSET(RADNICI!E2,A1,0)</f>
        <v>D-INVOICE D.O.O.</v>
      </c>
      <c r="G7" s="637"/>
      <c r="H7" s="637"/>
      <c r="I7" s="33" t="s">
        <v>901</v>
      </c>
      <c r="J7" s="207">
        <f ca="1">OFFSET(RADNICI!F2,A1,0)</f>
        <v>95114485977</v>
      </c>
    </row>
    <row r="8" spans="1:10" s="33" customFormat="1" ht="20.5">
      <c r="A8" s="203" t="s">
        <v>902</v>
      </c>
      <c r="B8" s="31"/>
      <c r="C8" s="31"/>
      <c r="D8" s="31"/>
      <c r="E8" s="156" t="str">
        <f ca="1">OFFSET(RADNICI!G2,A1,0)</f>
        <v>LAURA GERGELJ</v>
      </c>
      <c r="F8" s="204"/>
      <c r="G8" s="204"/>
      <c r="H8" s="34" t="s">
        <v>903</v>
      </c>
      <c r="J8" s="204"/>
    </row>
    <row r="9" spans="1:10" s="33" customFormat="1" ht="15.5">
      <c r="A9" s="202" t="s">
        <v>904</v>
      </c>
    </row>
    <row r="10" spans="1:10" s="33" customFormat="1" ht="20">
      <c r="A10" s="24" t="s">
        <v>905</v>
      </c>
      <c r="B10" s="631" t="str">
        <f ca="1">OFFSET(RADNICI!J2,$A$1,0)</f>
        <v>VLADIMIR DEDUŠ</v>
      </c>
      <c r="C10" s="631"/>
      <c r="D10" s="631"/>
      <c r="E10" s="33" t="s">
        <v>1837</v>
      </c>
      <c r="F10" s="638">
        <f ca="1">OFFSET(RADNICI!M2,$A$1,0)</f>
        <v>31157145393</v>
      </c>
      <c r="G10" s="638"/>
      <c r="H10" s="638"/>
      <c r="I10" s="33" t="s">
        <v>906</v>
      </c>
    </row>
    <row r="11" spans="1:10" s="33" customFormat="1" ht="20">
      <c r="A11" s="633" t="str">
        <f ca="1">OFFSET(RADNICI!R2,$A$1,0)</f>
        <v>Moslavačka 7 a</v>
      </c>
      <c r="B11" s="633"/>
      <c r="C11" s="633"/>
      <c r="D11" s="633"/>
      <c r="E11" s="633"/>
      <c r="F11" s="633"/>
      <c r="G11" s="34" t="s">
        <v>907</v>
      </c>
      <c r="H11" s="204"/>
    </row>
    <row r="12" spans="1:10" s="33" customFormat="1" ht="15.5">
      <c r="A12" s="202"/>
    </row>
    <row r="13" spans="1:10" s="33" customFormat="1" ht="15.5">
      <c r="A13" s="626" t="s">
        <v>908</v>
      </c>
      <c r="B13" s="626"/>
      <c r="C13" s="626"/>
      <c r="D13" s="626"/>
      <c r="E13" s="626"/>
      <c r="F13" s="626"/>
      <c r="G13" s="626"/>
      <c r="H13" s="626"/>
      <c r="I13" s="626"/>
      <c r="J13" s="626"/>
    </row>
    <row r="14" spans="1:10" s="33" customFormat="1" ht="14">
      <c r="A14" s="222" t="s">
        <v>909</v>
      </c>
    </row>
    <row r="15" spans="1:10" ht="15.5">
      <c r="A15" s="22"/>
    </row>
    <row r="16" spans="1:10" ht="15.5">
      <c r="A16" s="25" t="s">
        <v>910</v>
      </c>
    </row>
    <row r="17" spans="1:10" ht="15.5">
      <c r="A17" s="25" t="s">
        <v>911</v>
      </c>
      <c r="F17" t="str">
        <f ca="1">OFFSET(RADNICI!X2,$A$1,0)</f>
        <v>Određeno</v>
      </c>
      <c r="H17" s="33" t="s">
        <v>912</v>
      </c>
      <c r="I17" s="636">
        <f ca="1">OFFSET(RADNICI!Y2,$A$1,0)</f>
        <v>46210</v>
      </c>
      <c r="J17" s="636"/>
    </row>
    <row r="18" spans="1:10" ht="15.5">
      <c r="A18" s="25" t="s">
        <v>913</v>
      </c>
      <c r="B18" s="41"/>
      <c r="C18" s="41" t="str">
        <f ca="1">OFFSET(RADNICI!V2,$A$1,0)</f>
        <v>maser</v>
      </c>
      <c r="D18" s="41"/>
      <c r="E18" s="41"/>
      <c r="F18" s="41"/>
      <c r="G18" s="41"/>
      <c r="H18" s="41"/>
    </row>
    <row r="19" spans="1:10" ht="15.5">
      <c r="A19" s="25" t="s">
        <v>914</v>
      </c>
      <c r="H19" s="40" t="s">
        <v>915</v>
      </c>
    </row>
    <row r="20" spans="1:10" ht="15.5">
      <c r="A20" s="25" t="s">
        <v>916</v>
      </c>
      <c r="E20" s="635" t="s">
        <v>1836</v>
      </c>
      <c r="F20" s="635"/>
      <c r="G20" s="635"/>
      <c r="H20" s="635"/>
      <c r="I20" s="635"/>
      <c r="J20" s="635"/>
    </row>
    <row r="21" spans="1:10" ht="15.5">
      <c r="B21" s="25" t="s">
        <v>917</v>
      </c>
    </row>
    <row r="22" spans="1:10" ht="15.5">
      <c r="A22" s="25" t="s">
        <v>918</v>
      </c>
    </row>
    <row r="23" spans="1:10" ht="15.5">
      <c r="A23" s="25"/>
      <c r="B23" s="33" t="s">
        <v>919</v>
      </c>
    </row>
    <row r="24" spans="1:10" ht="15.5">
      <c r="A24" s="25" t="s">
        <v>920</v>
      </c>
      <c r="D24" s="43">
        <f ca="1">OFFSET(RADNICI!K2,$A$1,0)</f>
        <v>46181</v>
      </c>
      <c r="E24" t="s">
        <v>1842</v>
      </c>
    </row>
    <row r="25" spans="1:10" ht="15.5">
      <c r="A25" s="22"/>
    </row>
    <row r="26" spans="1:10" ht="15.5">
      <c r="A26" s="626" t="s">
        <v>921</v>
      </c>
      <c r="B26" s="626"/>
      <c r="C26" s="626"/>
      <c r="D26" s="626"/>
      <c r="E26" s="626"/>
      <c r="F26" s="626"/>
      <c r="G26" s="626"/>
      <c r="H26" s="626"/>
      <c r="I26" s="626"/>
      <c r="J26" s="626"/>
    </row>
    <row r="27" spans="1:10">
      <c r="A27" s="223" t="s">
        <v>922</v>
      </c>
    </row>
    <row r="28" spans="1:10" ht="15.5">
      <c r="A28" s="26"/>
    </row>
    <row r="29" spans="1:10" ht="15.5">
      <c r="A29" s="27" t="s">
        <v>923</v>
      </c>
    </row>
    <row r="30" spans="1:10" ht="15.5">
      <c r="A30" s="27"/>
      <c r="B30" s="398">
        <f ca="1">OFFSET(RADNICI!AM2,$A$1,0)</f>
        <v>1050</v>
      </c>
      <c r="C30" s="33" t="s">
        <v>924</v>
      </c>
    </row>
    <row r="31" spans="1:10" ht="15.5">
      <c r="A31" s="27" t="s">
        <v>925</v>
      </c>
    </row>
    <row r="32" spans="1:10" ht="15.5">
      <c r="A32" s="27" t="s">
        <v>926</v>
      </c>
    </row>
    <row r="33" spans="1:10" ht="15.5">
      <c r="A33" s="27"/>
      <c r="B33" s="33" t="s">
        <v>927</v>
      </c>
    </row>
    <row r="34" spans="1:10" ht="15.5">
      <c r="A34" s="27" t="s">
        <v>928</v>
      </c>
    </row>
    <row r="35" spans="1:10" ht="15.5">
      <c r="B35" s="27" t="s">
        <v>929</v>
      </c>
      <c r="H35" s="44">
        <v>0.1</v>
      </c>
    </row>
    <row r="36" spans="1:10" ht="15.5">
      <c r="B36" s="27" t="s">
        <v>930</v>
      </c>
      <c r="C36" s="28"/>
      <c r="H36" s="45">
        <v>0.5</v>
      </c>
    </row>
    <row r="37" spans="1:10" ht="15.5">
      <c r="A37" s="27" t="s">
        <v>898</v>
      </c>
      <c r="B37" s="27" t="s">
        <v>931</v>
      </c>
      <c r="H37" s="44">
        <v>0.3</v>
      </c>
    </row>
    <row r="38" spans="1:10" ht="15.5">
      <c r="B38" s="27" t="s">
        <v>932</v>
      </c>
      <c r="H38" s="45">
        <v>0.3</v>
      </c>
      <c r="I38" s="28"/>
    </row>
    <row r="39" spans="1:10" ht="15.5">
      <c r="B39" s="27" t="s">
        <v>933</v>
      </c>
      <c r="H39" s="44">
        <v>0.5</v>
      </c>
    </row>
    <row r="40" spans="1:10" ht="15.5">
      <c r="B40" s="159" t="s">
        <v>934</v>
      </c>
      <c r="H40" s="44" t="s">
        <v>1734</v>
      </c>
    </row>
    <row r="41" spans="1:10" ht="15.5">
      <c r="A41" s="27"/>
    </row>
    <row r="42" spans="1:10" ht="15.5">
      <c r="A42" s="626" t="s">
        <v>935</v>
      </c>
      <c r="B42" s="626"/>
      <c r="C42" s="626"/>
      <c r="D42" s="626"/>
      <c r="E42" s="626"/>
      <c r="F42" s="626"/>
      <c r="G42" s="626"/>
      <c r="H42" s="626"/>
      <c r="I42" s="626"/>
      <c r="J42" s="626"/>
    </row>
    <row r="43" spans="1:10">
      <c r="A43" s="224" t="s">
        <v>936</v>
      </c>
    </row>
    <row r="44" spans="1:10" ht="15.5">
      <c r="A44" s="22" t="s">
        <v>937</v>
      </c>
    </row>
    <row r="45" spans="1:10" ht="15.5">
      <c r="A45" s="29" t="s">
        <v>938</v>
      </c>
    </row>
    <row r="46" spans="1:10" ht="15.5">
      <c r="A46" s="626" t="s">
        <v>939</v>
      </c>
      <c r="B46" s="626"/>
      <c r="C46" s="626"/>
      <c r="D46" s="626"/>
      <c r="E46" s="626"/>
      <c r="F46" s="626"/>
      <c r="G46" s="626"/>
      <c r="H46" s="626"/>
      <c r="I46" s="626"/>
      <c r="J46" s="626"/>
    </row>
    <row r="47" spans="1:10">
      <c r="A47" s="224" t="s">
        <v>940</v>
      </c>
    </row>
    <row r="48" spans="1:10" ht="15.5">
      <c r="A48" s="29"/>
    </row>
    <row r="49" spans="1:10" ht="15.5">
      <c r="A49" s="29" t="s">
        <v>941</v>
      </c>
      <c r="D49" s="35" t="str">
        <f ca="1">OFFSET(RADNICI!Z2,$A$1,0)</f>
        <v>puno</v>
      </c>
      <c r="E49" t="s">
        <v>942</v>
      </c>
      <c r="H49" s="38">
        <f ca="1">OFFSET(RADNICI!AA2,$A$1,0)</f>
        <v>40</v>
      </c>
      <c r="I49" t="s">
        <v>943</v>
      </c>
    </row>
    <row r="50" spans="1:10" ht="15.5">
      <c r="A50" s="25" t="s">
        <v>982</v>
      </c>
    </row>
    <row r="51" spans="1:10" ht="15.5">
      <c r="A51" s="25" t="s">
        <v>1838</v>
      </c>
      <c r="B51" s="33"/>
    </row>
    <row r="52" spans="1:10" ht="15.5">
      <c r="A52" s="25" t="s">
        <v>944</v>
      </c>
    </row>
    <row r="53" spans="1:10" ht="15.5">
      <c r="A53" s="30" t="s">
        <v>945</v>
      </c>
    </row>
    <row r="54" spans="1:10" ht="15.5">
      <c r="A54" s="25" t="s">
        <v>946</v>
      </c>
    </row>
    <row r="55" spans="1:10" ht="15.5">
      <c r="A55" s="29"/>
    </row>
    <row r="56" spans="1:10" ht="15.5">
      <c r="A56" s="626" t="s">
        <v>947</v>
      </c>
      <c r="B56" s="626"/>
      <c r="C56" s="626"/>
      <c r="D56" s="626"/>
      <c r="E56" s="626"/>
      <c r="F56" s="626"/>
      <c r="G56" s="626"/>
      <c r="H56" s="626"/>
      <c r="I56" s="626"/>
      <c r="J56" s="626"/>
    </row>
    <row r="57" spans="1:10">
      <c r="A57" s="222" t="s">
        <v>948</v>
      </c>
    </row>
    <row r="58" spans="1:10">
      <c r="A58" s="225"/>
    </row>
    <row r="59" spans="1:10" ht="15.5">
      <c r="A59" s="25" t="s">
        <v>949</v>
      </c>
    </row>
    <row r="60" spans="1:10" ht="15.5">
      <c r="A60" s="22" t="s">
        <v>950</v>
      </c>
    </row>
    <row r="61" spans="1:10" ht="15.5">
      <c r="A61" s="22" t="s">
        <v>951</v>
      </c>
    </row>
    <row r="62" spans="1:10" ht="15.5">
      <c r="A62" s="22"/>
    </row>
    <row r="63" spans="1:10" ht="15.5">
      <c r="A63" s="626" t="s">
        <v>952</v>
      </c>
      <c r="B63" s="626"/>
      <c r="C63" s="626"/>
      <c r="D63" s="626"/>
      <c r="E63" s="626"/>
      <c r="F63" s="626"/>
      <c r="G63" s="626"/>
      <c r="H63" s="626"/>
      <c r="I63" s="626"/>
      <c r="J63" s="626"/>
    </row>
    <row r="64" spans="1:10">
      <c r="A64" s="224" t="s">
        <v>953</v>
      </c>
    </row>
    <row r="65" spans="1:10">
      <c r="A65" s="215"/>
    </row>
    <row r="66" spans="1:10" ht="15.5">
      <c r="A66" s="25" t="s">
        <v>954</v>
      </c>
    </row>
    <row r="67" spans="1:10" ht="15.5">
      <c r="A67" s="25"/>
      <c r="B67" s="23" t="s">
        <v>955</v>
      </c>
    </row>
    <row r="68" spans="1:10" ht="15.5">
      <c r="A68" s="25" t="s">
        <v>956</v>
      </c>
    </row>
    <row r="69" spans="1:10" ht="15.5">
      <c r="A69" s="25"/>
      <c r="B69" s="23" t="s">
        <v>957</v>
      </c>
    </row>
    <row r="70" spans="1:10" ht="15.5">
      <c r="A70" s="22" t="s">
        <v>898</v>
      </c>
    </row>
    <row r="71" spans="1:10" ht="15.5">
      <c r="A71" s="626" t="s">
        <v>958</v>
      </c>
      <c r="B71" s="626"/>
      <c r="C71" s="626"/>
      <c r="D71" s="626"/>
      <c r="E71" s="626"/>
      <c r="F71" s="626"/>
      <c r="G71" s="626"/>
      <c r="H71" s="626"/>
      <c r="I71" s="626"/>
      <c r="J71" s="626"/>
    </row>
    <row r="72" spans="1:10">
      <c r="A72" s="224" t="s">
        <v>959</v>
      </c>
    </row>
    <row r="73" spans="1:10">
      <c r="A73" s="225"/>
    </row>
    <row r="74" spans="1:10" ht="15.5">
      <c r="A74" s="627" t="s">
        <v>960</v>
      </c>
      <c r="B74" s="627"/>
      <c r="C74" s="627"/>
      <c r="D74" s="627"/>
      <c r="E74" s="627"/>
      <c r="F74" s="627"/>
      <c r="G74" s="627"/>
      <c r="H74" s="627"/>
      <c r="I74" s="627"/>
    </row>
    <row r="75" spans="1:10">
      <c r="A75" s="223"/>
    </row>
    <row r="76" spans="1:10" ht="15.5">
      <c r="A76" s="203"/>
    </row>
    <row r="77" spans="1:10" ht="15.5">
      <c r="A77" s="203"/>
    </row>
    <row r="78" spans="1:10" ht="15.5">
      <c r="A78" s="626" t="s">
        <v>962</v>
      </c>
      <c r="B78" s="626"/>
      <c r="C78" s="626"/>
      <c r="D78" s="626"/>
      <c r="E78" s="626"/>
      <c r="F78" s="626"/>
      <c r="G78" s="626"/>
      <c r="H78" s="626"/>
      <c r="I78" s="626"/>
      <c r="J78" s="626"/>
    </row>
    <row r="79" spans="1:10">
      <c r="A79" s="224" t="s">
        <v>963</v>
      </c>
    </row>
    <row r="80" spans="1:10" ht="15.5">
      <c r="A80" s="202" t="s">
        <v>964</v>
      </c>
    </row>
    <row r="81" spans="1:7" ht="15.5">
      <c r="A81" s="25" t="s">
        <v>965</v>
      </c>
    </row>
    <row r="82" spans="1:7" ht="15.5">
      <c r="A82" s="25" t="s">
        <v>966</v>
      </c>
      <c r="D82" s="624">
        <f ca="1">D24</f>
        <v>46181</v>
      </c>
      <c r="E82" s="625"/>
      <c r="F82" s="625"/>
    </row>
    <row r="83" spans="1:7" ht="15.5">
      <c r="A83" s="25" t="s">
        <v>967</v>
      </c>
    </row>
    <row r="84" spans="1:7" ht="15.5">
      <c r="A84" s="22"/>
      <c r="B84" s="33" t="s">
        <v>968</v>
      </c>
    </row>
    <row r="85" spans="1:7" ht="15.5">
      <c r="A85" s="22"/>
    </row>
    <row r="86" spans="1:7" ht="15.5">
      <c r="A86" s="22" t="s">
        <v>1637</v>
      </c>
      <c r="C86" s="83"/>
      <c r="D86" s="83">
        <v>44937</v>
      </c>
    </row>
    <row r="87" spans="1:7" ht="15.5">
      <c r="A87" s="22"/>
    </row>
    <row r="88" spans="1:7" ht="15.5">
      <c r="A88" s="22"/>
    </row>
    <row r="89" spans="1:7" ht="15.5">
      <c r="A89" s="22" t="s">
        <v>1843</v>
      </c>
      <c r="G89" s="22" t="s">
        <v>971</v>
      </c>
    </row>
    <row r="90" spans="1:7" ht="15.5">
      <c r="A90" s="22"/>
    </row>
    <row r="91" spans="1:7" ht="25.5">
      <c r="A91" s="227"/>
      <c r="G91" s="336"/>
    </row>
    <row r="92" spans="1:7" ht="15.5">
      <c r="F92" s="22" t="s">
        <v>974</v>
      </c>
    </row>
    <row r="93" spans="1:7" ht="15.5">
      <c r="A93" s="22" t="s">
        <v>973</v>
      </c>
    </row>
  </sheetData>
  <mergeCells count="18">
    <mergeCell ref="A11:F11"/>
    <mergeCell ref="A2:J2"/>
    <mergeCell ref="A5:J5"/>
    <mergeCell ref="F7:H7"/>
    <mergeCell ref="B10:D10"/>
    <mergeCell ref="F10:H10"/>
    <mergeCell ref="D82:F82"/>
    <mergeCell ref="A13:J13"/>
    <mergeCell ref="I17:J17"/>
    <mergeCell ref="E20:J20"/>
    <mergeCell ref="A26:J26"/>
    <mergeCell ref="A42:J42"/>
    <mergeCell ref="A46:J46"/>
    <mergeCell ref="A56:J56"/>
    <mergeCell ref="A63:J63"/>
    <mergeCell ref="A71:J71"/>
    <mergeCell ref="A74:I74"/>
    <mergeCell ref="A78:J78"/>
  </mergeCells>
  <pageMargins left="0.23622047244094491" right="0" top="0.74803149606299213" bottom="0.74803149606299213" header="0.31496062992125984" footer="0.31496062992125984"/>
  <pageSetup paperSize="9" scale="9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0"/>
  <sheetViews>
    <sheetView showRuler="0" topLeftCell="A4" zoomScaleNormal="100" workbookViewId="0">
      <selection activeCell="N16" sqref="N16"/>
    </sheetView>
  </sheetViews>
  <sheetFormatPr defaultRowHeight="14.5"/>
  <cols>
    <col min="1" max="1" width="13.54296875" customWidth="1"/>
    <col min="2" max="2" width="11" customWidth="1"/>
    <col min="3" max="3" width="20.54296875" customWidth="1"/>
    <col min="4" max="4" width="10.1796875" customWidth="1"/>
    <col min="5" max="5" width="16" customWidth="1"/>
    <col min="6" max="6" width="21.26953125" customWidth="1"/>
    <col min="7" max="7" width="10.7265625" customWidth="1"/>
    <col min="11" max="11" width="8.453125" customWidth="1"/>
  </cols>
  <sheetData>
    <row r="1" spans="1:11">
      <c r="A1" s="391">
        <f>'EVIDENCIJA NOVA'!G1</f>
        <v>808</v>
      </c>
      <c r="B1" s="16"/>
      <c r="C1" s="16"/>
      <c r="D1" s="16"/>
      <c r="E1" s="16"/>
      <c r="F1" s="16"/>
    </row>
    <row r="2" spans="1:11">
      <c r="A2" s="21" t="str">
        <f ca="1">OFFSET(RADNICI!E2,A1,0)</f>
        <v>D-INVOICE D.O.O.</v>
      </c>
      <c r="B2" s="21"/>
      <c r="C2" s="16"/>
      <c r="D2" s="16"/>
      <c r="E2" s="16"/>
      <c r="F2" s="16"/>
    </row>
    <row r="3" spans="1:11">
      <c r="A3" s="640">
        <f ca="1">OFFSET(RADNICI!F2,$A$1,0)</f>
        <v>95114485977</v>
      </c>
      <c r="B3" s="640"/>
      <c r="C3" s="16"/>
      <c r="D3" s="16"/>
      <c r="E3" s="16"/>
      <c r="F3" s="16"/>
    </row>
    <row r="4" spans="1:11">
      <c r="A4" s="198"/>
      <c r="B4" s="198"/>
      <c r="C4" s="16"/>
      <c r="D4" s="16"/>
      <c r="E4" s="16"/>
      <c r="F4" s="16"/>
    </row>
    <row r="5" spans="1:11">
      <c r="A5" s="191" t="s">
        <v>985</v>
      </c>
      <c r="B5" s="198"/>
      <c r="C5" s="16"/>
      <c r="D5" s="16"/>
      <c r="E5" s="16"/>
      <c r="F5" s="16"/>
    </row>
    <row r="6" spans="1:11">
      <c r="A6" s="228" t="s">
        <v>986</v>
      </c>
      <c r="B6" s="229">
        <v>44927</v>
      </c>
      <c r="C6" s="16" t="s">
        <v>987</v>
      </c>
      <c r="D6" s="16"/>
      <c r="E6" s="16"/>
      <c r="F6" s="16"/>
    </row>
    <row r="7" spans="1:11">
      <c r="A7" s="16"/>
      <c r="B7" s="16"/>
      <c r="C7" s="16"/>
      <c r="D7" s="16"/>
      <c r="E7" s="16"/>
      <c r="F7" s="16"/>
    </row>
    <row r="8" spans="1:11" ht="15.5">
      <c r="A8" s="641" t="s">
        <v>988</v>
      </c>
      <c r="B8" s="641"/>
      <c r="C8" s="641"/>
      <c r="D8" s="641"/>
      <c r="E8" s="641"/>
      <c r="F8" s="641"/>
      <c r="G8" s="60"/>
      <c r="H8" s="60"/>
      <c r="I8" s="60"/>
      <c r="J8" s="19"/>
      <c r="K8" s="19"/>
    </row>
    <row r="9" spans="1:11" ht="15.5">
      <c r="A9" s="201"/>
      <c r="B9" s="201"/>
      <c r="C9" s="201"/>
      <c r="D9" s="201"/>
      <c r="E9" s="201"/>
      <c r="F9" s="201"/>
      <c r="G9" s="210"/>
      <c r="H9" s="60"/>
      <c r="I9" s="60"/>
      <c r="J9" s="19"/>
      <c r="K9" s="19"/>
    </row>
    <row r="10" spans="1:11">
      <c r="A10" s="74" t="s">
        <v>1896</v>
      </c>
      <c r="B10" s="201"/>
      <c r="C10" s="393" t="str">
        <f ca="1">OFFSET(RADNICI!E2,A1,0)</f>
        <v>D-INVOICE D.O.O.</v>
      </c>
      <c r="D10" s="18" t="s">
        <v>784</v>
      </c>
      <c r="E10" s="18">
        <f ca="1">OFFSET(RADNICI!F2,$A$1,0)</f>
        <v>95114485977</v>
      </c>
      <c r="F10" s="18"/>
      <c r="G10" s="201"/>
    </row>
    <row r="11" spans="1:11">
      <c r="A11" s="199" t="s">
        <v>904</v>
      </c>
      <c r="B11" s="201"/>
      <c r="C11" s="201"/>
      <c r="D11" s="18"/>
      <c r="E11" s="201"/>
      <c r="F11" s="18"/>
      <c r="G11" s="201"/>
    </row>
    <row r="12" spans="1:11" ht="15.5">
      <c r="A12" s="19" t="s">
        <v>1994</v>
      </c>
      <c r="B12" s="640" t="str">
        <f ca="1">OFFSET(RADNICI!J2,$A$1,0)</f>
        <v>VLADIMIR DEDUŠ</v>
      </c>
      <c r="C12" s="640"/>
      <c r="D12" s="16" t="s">
        <v>784</v>
      </c>
      <c r="E12" s="21">
        <f ca="1">OFFSET(RADNICI!M2,$A$1,0)</f>
        <v>31157145393</v>
      </c>
      <c r="F12" s="16"/>
      <c r="G12" s="58"/>
      <c r="H12" s="58"/>
      <c r="I12" s="58"/>
    </row>
    <row r="13" spans="1:11" ht="15.5">
      <c r="A13" s="19"/>
      <c r="B13" s="198"/>
      <c r="C13" s="198"/>
      <c r="D13" s="16"/>
      <c r="E13" s="21"/>
      <c r="F13" s="16"/>
      <c r="G13" s="58"/>
      <c r="H13" s="58"/>
      <c r="I13" s="58"/>
    </row>
    <row r="14" spans="1:11" ht="15.5">
      <c r="A14" s="642" t="s">
        <v>908</v>
      </c>
      <c r="B14" s="642"/>
      <c r="C14" s="642"/>
      <c r="D14" s="642"/>
      <c r="E14" s="642"/>
      <c r="F14" s="642"/>
      <c r="G14" s="58"/>
      <c r="H14" s="58"/>
      <c r="I14" s="58"/>
    </row>
    <row r="15" spans="1:11" ht="15.5">
      <c r="A15" s="19"/>
      <c r="B15" s="198"/>
      <c r="C15" s="198"/>
      <c r="D15" s="16"/>
      <c r="E15" s="21"/>
      <c r="F15" s="16"/>
      <c r="G15" s="58"/>
      <c r="H15" s="58"/>
      <c r="I15" s="58"/>
    </row>
    <row r="16" spans="1:11" ht="15" customHeight="1">
      <c r="A16" s="643" t="s">
        <v>1988</v>
      </c>
      <c r="B16" s="643"/>
      <c r="C16" s="643"/>
      <c r="D16" s="643"/>
      <c r="E16" s="230">
        <v>44197</v>
      </c>
      <c r="F16" s="231" t="s">
        <v>990</v>
      </c>
      <c r="G16" s="70"/>
      <c r="H16" s="70"/>
      <c r="I16" s="70"/>
    </row>
    <row r="17" spans="1:9">
      <c r="A17" s="16" t="s">
        <v>991</v>
      </c>
      <c r="B17" s="16"/>
      <c r="C17" s="16"/>
      <c r="D17" s="16"/>
      <c r="E17" s="16"/>
      <c r="F17" s="16"/>
    </row>
    <row r="18" spans="1:9">
      <c r="A18" s="16" t="s">
        <v>1989</v>
      </c>
      <c r="B18" s="16"/>
      <c r="C18" s="16"/>
      <c r="D18" s="16"/>
      <c r="E18" s="16"/>
      <c r="F18" s="16"/>
    </row>
    <row r="19" spans="1:9">
      <c r="A19" s="16" t="s">
        <v>1990</v>
      </c>
      <c r="B19" s="16"/>
      <c r="C19" s="16"/>
      <c r="D19" s="16"/>
      <c r="E19" s="16"/>
      <c r="F19" s="16"/>
    </row>
    <row r="20" spans="1:9">
      <c r="A20" s="232"/>
      <c r="B20" s="16"/>
      <c r="C20" s="16"/>
      <c r="D20" s="130"/>
      <c r="E20" s="16"/>
      <c r="F20" s="16"/>
    </row>
    <row r="21" spans="1:9">
      <c r="A21" s="639" t="s">
        <v>921</v>
      </c>
      <c r="B21" s="639"/>
      <c r="C21" s="639"/>
      <c r="D21" s="639"/>
      <c r="E21" s="639"/>
      <c r="F21" s="639"/>
    </row>
    <row r="22" spans="1:9">
      <c r="A22" s="399" t="s">
        <v>1991</v>
      </c>
      <c r="B22" s="399" t="s">
        <v>1991</v>
      </c>
      <c r="C22" s="16"/>
      <c r="D22" s="130"/>
      <c r="E22" s="16"/>
      <c r="F22" s="16"/>
    </row>
    <row r="23" spans="1:9">
      <c r="A23" s="394" t="s">
        <v>1992</v>
      </c>
      <c r="B23" s="16"/>
      <c r="C23" s="392"/>
      <c r="D23" s="392"/>
      <c r="E23" s="392"/>
      <c r="F23" s="392"/>
      <c r="G23" s="208"/>
      <c r="H23" s="208"/>
      <c r="I23" s="208"/>
    </row>
    <row r="24" spans="1:9">
      <c r="A24" s="19" t="s">
        <v>1993</v>
      </c>
      <c r="B24" s="16"/>
      <c r="C24" s="16"/>
      <c r="D24" s="16"/>
      <c r="E24" s="16"/>
      <c r="F24" s="16"/>
    </row>
    <row r="25" spans="1:9">
      <c r="A25" s="19"/>
      <c r="B25" s="16"/>
      <c r="C25" s="16"/>
      <c r="D25" s="16"/>
      <c r="E25" s="16"/>
      <c r="F25" s="16"/>
    </row>
    <row r="26" spans="1:9">
      <c r="A26" s="233" t="s">
        <v>993</v>
      </c>
      <c r="B26" s="16"/>
      <c r="C26" s="16"/>
      <c r="D26" s="67">
        <v>44927</v>
      </c>
      <c r="E26" s="16"/>
      <c r="F26" s="16"/>
    </row>
    <row r="27" spans="1:9">
      <c r="A27" s="19"/>
      <c r="B27" s="67"/>
      <c r="C27" s="16"/>
      <c r="D27" s="16"/>
      <c r="E27" s="16"/>
      <c r="F27" s="16"/>
    </row>
    <row r="28" spans="1:9">
      <c r="A28" s="233"/>
      <c r="B28" s="16"/>
      <c r="C28" s="16"/>
      <c r="D28" s="16"/>
      <c r="E28" s="16"/>
      <c r="F28" s="16"/>
    </row>
    <row r="29" spans="1:9">
      <c r="A29" s="19"/>
      <c r="B29" s="16"/>
      <c r="C29" s="16"/>
      <c r="D29" s="16"/>
      <c r="E29" s="16"/>
      <c r="F29" s="16"/>
    </row>
    <row r="30" spans="1:9">
      <c r="A30" s="233"/>
      <c r="B30" s="16"/>
      <c r="C30" s="16"/>
      <c r="D30" s="16"/>
      <c r="E30" s="16"/>
      <c r="F30" s="16"/>
    </row>
    <row r="31" spans="1:9">
      <c r="A31" s="19"/>
      <c r="B31" s="16"/>
      <c r="C31" s="16"/>
      <c r="D31" s="16"/>
      <c r="E31" s="16"/>
      <c r="F31" s="16"/>
    </row>
    <row r="32" spans="1:9">
      <c r="A32" s="19"/>
      <c r="B32" s="16"/>
      <c r="C32" s="16"/>
      <c r="D32" s="16"/>
      <c r="E32" s="16"/>
      <c r="F32" s="16"/>
    </row>
    <row r="33" spans="1:6">
      <c r="A33" s="19" t="s">
        <v>994</v>
      </c>
      <c r="B33" s="16"/>
      <c r="C33" s="16"/>
      <c r="D33" s="16"/>
      <c r="E33" s="16"/>
      <c r="F33" s="16"/>
    </row>
    <row r="34" spans="1:6">
      <c r="A34" s="395">
        <f>D26</f>
        <v>44927</v>
      </c>
      <c r="B34" s="16"/>
      <c r="C34" s="16"/>
      <c r="D34" s="16"/>
      <c r="E34" s="16"/>
      <c r="F34" s="16"/>
    </row>
    <row r="35" spans="1:6">
      <c r="A35" s="19"/>
      <c r="B35" s="16"/>
      <c r="C35" s="16"/>
      <c r="D35" s="16"/>
      <c r="E35" s="16"/>
      <c r="F35" s="16"/>
    </row>
    <row r="36" spans="1:6">
      <c r="A36" s="19" t="s">
        <v>995</v>
      </c>
      <c r="B36" s="16"/>
      <c r="C36" s="16"/>
      <c r="D36" s="16"/>
      <c r="E36" s="16" t="s">
        <v>971</v>
      </c>
      <c r="F36" s="16"/>
    </row>
    <row r="37" spans="1:6">
      <c r="A37" s="19" t="str">
        <f ca="1">OFFSET(RADNICI!E2,A1,0)</f>
        <v>D-INVOICE D.O.O.</v>
      </c>
      <c r="B37" s="16"/>
      <c r="C37" s="16"/>
      <c r="D37" s="16"/>
      <c r="E37" s="21" t="str">
        <f ca="1">OFFSET(RADNICI!J2,$A$1,0)</f>
        <v>VLADIMIR DEDUŠ</v>
      </c>
      <c r="F37" s="16"/>
    </row>
    <row r="38" spans="1:6">
      <c r="A38" s="19"/>
      <c r="B38" s="16"/>
      <c r="C38" s="16"/>
      <c r="D38" s="16"/>
      <c r="E38" s="21"/>
      <c r="F38" s="16"/>
    </row>
    <row r="39" spans="1:6">
      <c r="A39" s="19"/>
      <c r="B39" s="16"/>
      <c r="C39" s="16"/>
      <c r="D39" s="16"/>
      <c r="E39" s="21"/>
      <c r="F39" s="16"/>
    </row>
    <row r="40" spans="1:6">
      <c r="A40" s="19"/>
      <c r="B40" s="16"/>
      <c r="C40" s="16"/>
      <c r="D40" s="16"/>
      <c r="E40" s="21"/>
      <c r="F40" s="16"/>
    </row>
    <row r="41" spans="1:6">
      <c r="A41" s="19" t="s">
        <v>1898</v>
      </c>
      <c r="B41" s="16"/>
      <c r="C41" s="16"/>
      <c r="D41" s="16"/>
      <c r="E41" s="16"/>
      <c r="F41" s="16"/>
    </row>
    <row r="42" spans="1:6">
      <c r="A42" s="19"/>
      <c r="B42" s="16"/>
      <c r="C42" s="16"/>
      <c r="D42" s="16"/>
      <c r="E42" s="16"/>
      <c r="F42" s="16"/>
    </row>
    <row r="43" spans="1:6">
      <c r="A43" s="19"/>
      <c r="B43" s="16"/>
      <c r="C43" s="16"/>
      <c r="D43" s="16"/>
      <c r="E43" s="16"/>
      <c r="F43" s="16"/>
    </row>
    <row r="44" spans="1:6" ht="15.5">
      <c r="A44" s="57"/>
    </row>
    <row r="45" spans="1:6" ht="15.5">
      <c r="A45" s="57"/>
    </row>
    <row r="46" spans="1:6" ht="15.5">
      <c r="A46" s="57"/>
    </row>
    <row r="48" spans="1:6" ht="15.5">
      <c r="A48" s="57"/>
      <c r="E48" s="58"/>
    </row>
    <row r="49" spans="1:5" ht="15.5">
      <c r="A49" s="57"/>
      <c r="E49" s="68"/>
    </row>
    <row r="50" spans="1:5" ht="15.5">
      <c r="A50" s="57"/>
    </row>
  </sheetData>
  <sheetProtection formatCells="0" formatColumns="0" formatRows="0" insertColumns="0" insertRows="0" insertHyperlinks="0" deleteColumns="0" deleteRows="0" sort="0" autoFilter="0" pivotTables="0"/>
  <mergeCells count="6">
    <mergeCell ref="A21:F21"/>
    <mergeCell ref="A3:B3"/>
    <mergeCell ref="A8:F8"/>
    <mergeCell ref="B12:C12"/>
    <mergeCell ref="A14:F14"/>
    <mergeCell ref="A16:D16"/>
  </mergeCells>
  <pageMargins left="0.39370078740157483" right="0.23622047244094491" top="0.74803149606299213" bottom="0.74803149606299213" header="0.31496062992125984" footer="0.31496062992125984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FF00"/>
  </sheetPr>
  <dimension ref="A1:S108"/>
  <sheetViews>
    <sheetView showRuler="0" topLeftCell="A58" zoomScale="85" zoomScaleNormal="85" workbookViewId="0">
      <selection activeCell="J96" sqref="J96"/>
    </sheetView>
  </sheetViews>
  <sheetFormatPr defaultColWidth="8.81640625" defaultRowHeight="14.5"/>
  <cols>
    <col min="1" max="1" width="8.81640625" style="94"/>
    <col min="2" max="2" width="34.81640625" style="94" customWidth="1"/>
    <col min="3" max="3" width="18.7265625" style="94" customWidth="1"/>
    <col min="4" max="4" width="26.54296875" style="94" customWidth="1"/>
    <col min="5" max="5" width="15.81640625" style="555" customWidth="1"/>
    <col min="6" max="6" width="20.1796875" style="94" customWidth="1"/>
    <col min="7" max="7" width="12.453125" style="94" bestFit="1" customWidth="1"/>
    <col min="8" max="8" width="16.54296875" style="94" bestFit="1" customWidth="1"/>
    <col min="9" max="9" width="11.7265625" style="94" customWidth="1"/>
    <col min="10" max="10" width="32.7265625" style="94" customWidth="1"/>
    <col min="11" max="16384" width="8.81640625" style="94"/>
  </cols>
  <sheetData>
    <row r="1" spans="1:10" s="16" customFormat="1">
      <c r="A1" s="42" t="s">
        <v>0</v>
      </c>
      <c r="B1" s="42" t="s">
        <v>783</v>
      </c>
      <c r="C1" s="42" t="s">
        <v>784</v>
      </c>
      <c r="D1" s="42" t="s">
        <v>785</v>
      </c>
      <c r="E1" s="42" t="s">
        <v>786</v>
      </c>
      <c r="F1" s="42" t="s">
        <v>787</v>
      </c>
      <c r="G1" s="42" t="s">
        <v>788</v>
      </c>
      <c r="H1" s="42" t="s">
        <v>2747</v>
      </c>
      <c r="I1" s="42" t="s">
        <v>789</v>
      </c>
      <c r="J1" s="42" t="s">
        <v>790</v>
      </c>
    </row>
    <row r="2" spans="1:10" s="16" customFormat="1">
      <c r="A2" s="16">
        <v>1</v>
      </c>
      <c r="B2" s="16" t="s">
        <v>791</v>
      </c>
      <c r="C2" s="16">
        <v>40919552412</v>
      </c>
      <c r="E2" s="228"/>
      <c r="I2" s="16" t="s">
        <v>94</v>
      </c>
      <c r="J2" s="16" t="s">
        <v>792</v>
      </c>
    </row>
    <row r="3" spans="1:10" s="16" customFormat="1">
      <c r="A3" s="16">
        <v>2</v>
      </c>
      <c r="B3" s="16" t="s">
        <v>793</v>
      </c>
      <c r="C3" s="16">
        <v>25035990158</v>
      </c>
      <c r="E3" s="228"/>
      <c r="I3" s="16" t="s">
        <v>94</v>
      </c>
    </row>
    <row r="4" spans="1:10" s="16" customFormat="1">
      <c r="A4" s="16">
        <v>3</v>
      </c>
      <c r="B4" s="16" t="s">
        <v>492</v>
      </c>
      <c r="C4" s="87" t="s">
        <v>493</v>
      </c>
      <c r="D4" s="16" t="s">
        <v>2745</v>
      </c>
      <c r="E4" s="161" t="s">
        <v>2746</v>
      </c>
      <c r="F4" s="16">
        <v>4690</v>
      </c>
      <c r="G4" s="16">
        <v>31000</v>
      </c>
      <c r="I4" s="16" t="s">
        <v>94</v>
      </c>
      <c r="J4" s="16" t="s">
        <v>494</v>
      </c>
    </row>
    <row r="5" spans="1:10" s="16" customFormat="1">
      <c r="A5" s="16">
        <v>4</v>
      </c>
      <c r="B5" s="16" t="s">
        <v>794</v>
      </c>
      <c r="C5" s="16">
        <v>61932494066</v>
      </c>
      <c r="D5" s="16" t="s">
        <v>795</v>
      </c>
      <c r="E5" s="228"/>
      <c r="I5" s="16" t="s">
        <v>94</v>
      </c>
      <c r="J5" s="16" t="s">
        <v>796</v>
      </c>
    </row>
    <row r="6" spans="1:10" s="16" customFormat="1">
      <c r="A6" s="16">
        <v>5</v>
      </c>
      <c r="B6" s="16" t="s">
        <v>797</v>
      </c>
      <c r="C6" s="16">
        <v>57234445868</v>
      </c>
      <c r="D6" s="16" t="s">
        <v>798</v>
      </c>
      <c r="E6" s="87" t="s">
        <v>799</v>
      </c>
      <c r="F6" s="16">
        <v>4690</v>
      </c>
      <c r="G6" s="16">
        <v>10000</v>
      </c>
      <c r="H6" s="16">
        <v>3121460130</v>
      </c>
      <c r="I6" s="16" t="s">
        <v>217</v>
      </c>
      <c r="J6" s="16" t="s">
        <v>800</v>
      </c>
    </row>
    <row r="7" spans="1:10" s="16" customFormat="1">
      <c r="A7" s="16">
        <v>6</v>
      </c>
      <c r="B7" s="16" t="s">
        <v>801</v>
      </c>
      <c r="C7" s="16">
        <v>28718529165</v>
      </c>
      <c r="D7" s="16" t="s">
        <v>802</v>
      </c>
      <c r="E7" s="87" t="s">
        <v>803</v>
      </c>
      <c r="F7" s="16">
        <v>4690</v>
      </c>
      <c r="H7" s="16">
        <v>3060401984</v>
      </c>
      <c r="I7" s="16" t="s">
        <v>94</v>
      </c>
      <c r="J7" s="16" t="s">
        <v>792</v>
      </c>
    </row>
    <row r="8" spans="1:10">
      <c r="A8" s="16">
        <v>7</v>
      </c>
      <c r="B8" s="16" t="s">
        <v>804</v>
      </c>
      <c r="C8" s="16">
        <v>67091284267</v>
      </c>
      <c r="D8" s="93" t="s">
        <v>805</v>
      </c>
      <c r="E8" s="87" t="s">
        <v>806</v>
      </c>
      <c r="F8" s="16">
        <v>4690</v>
      </c>
      <c r="G8" s="16"/>
      <c r="H8" s="16"/>
      <c r="I8" s="16" t="s">
        <v>94</v>
      </c>
      <c r="J8" s="16" t="s">
        <v>792</v>
      </c>
    </row>
    <row r="9" spans="1:10">
      <c r="A9" s="16">
        <v>8</v>
      </c>
      <c r="B9" s="16" t="s">
        <v>807</v>
      </c>
      <c r="C9" s="124" t="s">
        <v>808</v>
      </c>
      <c r="D9" s="16" t="s">
        <v>809</v>
      </c>
      <c r="E9" s="228"/>
      <c r="F9" s="16"/>
      <c r="G9" s="16"/>
      <c r="H9" s="16"/>
      <c r="I9" s="16" t="s">
        <v>94</v>
      </c>
      <c r="J9" s="16" t="s">
        <v>810</v>
      </c>
    </row>
    <row r="10" spans="1:10">
      <c r="A10" s="16">
        <v>9</v>
      </c>
      <c r="B10" s="16" t="s">
        <v>811</v>
      </c>
      <c r="C10" s="16">
        <v>46869408875</v>
      </c>
      <c r="D10" s="16" t="s">
        <v>251</v>
      </c>
      <c r="E10" s="87" t="s">
        <v>812</v>
      </c>
      <c r="F10" s="16">
        <v>4719</v>
      </c>
      <c r="G10" s="16"/>
      <c r="H10" s="16"/>
      <c r="I10" s="16" t="s">
        <v>94</v>
      </c>
      <c r="J10" s="16" t="s">
        <v>792</v>
      </c>
    </row>
    <row r="11" spans="1:10">
      <c r="A11" s="16">
        <v>10</v>
      </c>
      <c r="B11" s="16" t="s">
        <v>813</v>
      </c>
      <c r="C11" s="16">
        <v>15624615120</v>
      </c>
      <c r="D11" s="16" t="s">
        <v>301</v>
      </c>
      <c r="E11" s="87" t="s">
        <v>814</v>
      </c>
      <c r="F11" s="16">
        <v>9312</v>
      </c>
      <c r="G11" s="16"/>
      <c r="H11" s="16">
        <v>3060399947</v>
      </c>
      <c r="I11" s="16" t="s">
        <v>94</v>
      </c>
      <c r="J11" s="16" t="s">
        <v>815</v>
      </c>
    </row>
    <row r="12" spans="1:10">
      <c r="A12" s="16">
        <v>11</v>
      </c>
      <c r="B12" s="16" t="s">
        <v>816</v>
      </c>
      <c r="C12" s="16">
        <v>69753887420</v>
      </c>
      <c r="D12" s="16" t="s">
        <v>251</v>
      </c>
      <c r="E12" s="161" t="s">
        <v>817</v>
      </c>
      <c r="F12" s="16">
        <v>4690</v>
      </c>
      <c r="G12" s="16"/>
      <c r="H12" s="16"/>
      <c r="I12" s="16" t="s">
        <v>94</v>
      </c>
      <c r="J12" s="16" t="s">
        <v>792</v>
      </c>
    </row>
    <row r="13" spans="1:10">
      <c r="A13" s="16">
        <v>12</v>
      </c>
      <c r="B13" s="16" t="s">
        <v>818</v>
      </c>
      <c r="C13" s="16">
        <v>15151568161</v>
      </c>
      <c r="D13" s="16" t="s">
        <v>819</v>
      </c>
      <c r="E13" s="87" t="s">
        <v>820</v>
      </c>
      <c r="F13" s="16">
        <v>4690</v>
      </c>
      <c r="G13" s="16"/>
      <c r="H13" s="16"/>
      <c r="I13" s="16" t="s">
        <v>94</v>
      </c>
      <c r="J13" s="16" t="s">
        <v>2807</v>
      </c>
    </row>
    <row r="14" spans="1:10">
      <c r="A14" s="16">
        <v>13</v>
      </c>
      <c r="B14" s="16" t="s">
        <v>821</v>
      </c>
      <c r="C14" s="124" t="s">
        <v>822</v>
      </c>
      <c r="D14" s="16" t="s">
        <v>301</v>
      </c>
      <c r="E14" s="87"/>
      <c r="F14" s="16"/>
      <c r="G14" s="16"/>
      <c r="H14" s="16"/>
      <c r="I14" s="16" t="s">
        <v>94</v>
      </c>
      <c r="J14" s="16" t="s">
        <v>815</v>
      </c>
    </row>
    <row r="15" spans="1:10">
      <c r="A15">
        <v>14</v>
      </c>
      <c r="B15" t="s">
        <v>823</v>
      </c>
      <c r="C15">
        <v>55158133969</v>
      </c>
      <c r="D15" t="s">
        <v>824</v>
      </c>
      <c r="E15" s="126" t="s">
        <v>825</v>
      </c>
      <c r="F15">
        <v>5520</v>
      </c>
      <c r="G15"/>
      <c r="H15"/>
      <c r="I15" t="s">
        <v>375</v>
      </c>
      <c r="J15" t="s">
        <v>826</v>
      </c>
    </row>
    <row r="16" spans="1:10">
      <c r="A16">
        <v>15</v>
      </c>
      <c r="B16" t="s">
        <v>827</v>
      </c>
      <c r="C16" s="305">
        <v>85005325176</v>
      </c>
      <c r="D16" t="s">
        <v>348</v>
      </c>
      <c r="E16" s="3" t="s">
        <v>828</v>
      </c>
      <c r="F16">
        <v>4333</v>
      </c>
      <c r="G16">
        <v>31000</v>
      </c>
      <c r="H16">
        <v>3060414857</v>
      </c>
      <c r="I16" t="s">
        <v>829</v>
      </c>
      <c r="J16" t="s">
        <v>830</v>
      </c>
    </row>
    <row r="17" spans="1:10">
      <c r="A17">
        <v>16</v>
      </c>
      <c r="B17" t="s">
        <v>831</v>
      </c>
      <c r="C17">
        <v>18241574410</v>
      </c>
      <c r="D17" t="s">
        <v>832</v>
      </c>
      <c r="E17" s="87" t="s">
        <v>833</v>
      </c>
      <c r="F17">
        <v>4690</v>
      </c>
      <c r="G17"/>
      <c r="H17"/>
      <c r="I17" t="s">
        <v>94</v>
      </c>
      <c r="J17" t="s">
        <v>1425</v>
      </c>
    </row>
    <row r="18" spans="1:10">
      <c r="A18" s="16">
        <v>17</v>
      </c>
      <c r="B18" s="16" t="s">
        <v>834</v>
      </c>
      <c r="C18" s="16">
        <v>7942284015</v>
      </c>
      <c r="D18" s="16" t="s">
        <v>835</v>
      </c>
      <c r="E18" s="87"/>
      <c r="F18" s="16"/>
      <c r="G18" s="16"/>
      <c r="H18" s="16"/>
      <c r="I18" s="16" t="s">
        <v>94</v>
      </c>
      <c r="J18" s="16" t="s">
        <v>836</v>
      </c>
    </row>
    <row r="19" spans="1:10">
      <c r="A19">
        <v>18</v>
      </c>
      <c r="B19" t="s">
        <v>530</v>
      </c>
      <c r="C19">
        <v>96694792087</v>
      </c>
      <c r="D19" t="s">
        <v>837</v>
      </c>
      <c r="E19" s="3" t="s">
        <v>838</v>
      </c>
      <c r="F19" s="136">
        <v>5610</v>
      </c>
      <c r="G19"/>
      <c r="H19" s="136"/>
      <c r="I19" t="s">
        <v>375</v>
      </c>
      <c r="J19" t="s">
        <v>839</v>
      </c>
    </row>
    <row r="20" spans="1:10">
      <c r="A20">
        <v>19</v>
      </c>
      <c r="B20" t="s">
        <v>840</v>
      </c>
      <c r="C20">
        <v>81244734652</v>
      </c>
      <c r="D20" t="s">
        <v>841</v>
      </c>
      <c r="E20" s="3" t="s">
        <v>842</v>
      </c>
      <c r="F20" s="136">
        <v>4719</v>
      </c>
      <c r="G20"/>
      <c r="H20"/>
      <c r="I20" t="s">
        <v>375</v>
      </c>
      <c r="J20" t="s">
        <v>839</v>
      </c>
    </row>
    <row r="21" spans="1:10">
      <c r="A21">
        <v>20</v>
      </c>
      <c r="B21" t="s">
        <v>843</v>
      </c>
      <c r="C21">
        <v>46928725478</v>
      </c>
      <c r="D21" t="s">
        <v>844</v>
      </c>
      <c r="E21" s="3" t="s">
        <v>845</v>
      </c>
      <c r="F21">
        <v>5510</v>
      </c>
      <c r="G21">
        <v>31000</v>
      </c>
      <c r="H21"/>
      <c r="I21" t="s">
        <v>94</v>
      </c>
      <c r="J21" t="s">
        <v>846</v>
      </c>
    </row>
    <row r="22" spans="1:10">
      <c r="A22">
        <v>21</v>
      </c>
      <c r="B22" t="s">
        <v>847</v>
      </c>
      <c r="C22">
        <v>59838236602</v>
      </c>
      <c r="D22" s="16" t="s">
        <v>442</v>
      </c>
      <c r="E22" s="3" t="s">
        <v>848</v>
      </c>
      <c r="F22">
        <v>8211</v>
      </c>
      <c r="G22"/>
      <c r="H22"/>
      <c r="I22" s="16" t="s">
        <v>94</v>
      </c>
      <c r="J22" s="16" t="s">
        <v>849</v>
      </c>
    </row>
    <row r="23" spans="1:10">
      <c r="A23">
        <v>22</v>
      </c>
      <c r="B23" t="s">
        <v>527</v>
      </c>
      <c r="C23">
        <v>16157428650</v>
      </c>
      <c r="D23" t="s">
        <v>528</v>
      </c>
      <c r="E23" s="3" t="s">
        <v>850</v>
      </c>
      <c r="F23">
        <v>7311</v>
      </c>
      <c r="G23"/>
      <c r="H23"/>
      <c r="I23" t="s">
        <v>94</v>
      </c>
      <c r="J23" s="16" t="s">
        <v>1425</v>
      </c>
    </row>
    <row r="24" spans="1:10">
      <c r="A24">
        <v>23</v>
      </c>
      <c r="B24" t="s">
        <v>851</v>
      </c>
      <c r="C24">
        <v>67650750782</v>
      </c>
      <c r="D24" t="s">
        <v>496</v>
      </c>
      <c r="E24" s="126" t="s">
        <v>852</v>
      </c>
      <c r="F24">
        <v>4120</v>
      </c>
      <c r="G24"/>
      <c r="H24"/>
      <c r="I24" t="s">
        <v>94</v>
      </c>
      <c r="J24" t="s">
        <v>792</v>
      </c>
    </row>
    <row r="25" spans="1:10">
      <c r="A25" s="16">
        <v>24</v>
      </c>
      <c r="B25" s="16" t="s">
        <v>853</v>
      </c>
      <c r="C25" s="16">
        <v>19941838505</v>
      </c>
      <c r="D25" s="16" t="s">
        <v>854</v>
      </c>
      <c r="E25" s="161" t="s">
        <v>855</v>
      </c>
      <c r="F25" s="16">
        <v>4211</v>
      </c>
      <c r="G25" s="16"/>
      <c r="H25" s="16"/>
      <c r="I25" s="16" t="s">
        <v>94</v>
      </c>
      <c r="J25" s="16" t="s">
        <v>849</v>
      </c>
    </row>
    <row r="26" spans="1:10">
      <c r="A26">
        <v>25</v>
      </c>
      <c r="B26" t="s">
        <v>856</v>
      </c>
      <c r="C26">
        <v>15728896207</v>
      </c>
      <c r="D26" t="s">
        <v>857</v>
      </c>
      <c r="E26" s="3" t="s">
        <v>858</v>
      </c>
      <c r="F26"/>
      <c r="G26"/>
      <c r="H26"/>
      <c r="I26" t="s">
        <v>81</v>
      </c>
      <c r="J26" t="s">
        <v>532</v>
      </c>
    </row>
    <row r="27" spans="1:10">
      <c r="A27">
        <v>26</v>
      </c>
      <c r="B27" t="s">
        <v>705</v>
      </c>
      <c r="C27">
        <v>95114485977</v>
      </c>
      <c r="D27" t="s">
        <v>706</v>
      </c>
      <c r="E27" s="3" t="s">
        <v>859</v>
      </c>
      <c r="F27">
        <v>4311</v>
      </c>
      <c r="G27"/>
      <c r="H27"/>
      <c r="I27" t="s">
        <v>94</v>
      </c>
      <c r="J27" t="s">
        <v>707</v>
      </c>
    </row>
    <row r="28" spans="1:10">
      <c r="A28" s="16">
        <v>27</v>
      </c>
      <c r="B28" s="16" t="s">
        <v>860</v>
      </c>
      <c r="C28" s="16">
        <v>85302237000</v>
      </c>
      <c r="D28" s="16" t="s">
        <v>841</v>
      </c>
      <c r="E28" s="87"/>
      <c r="F28" s="16"/>
      <c r="G28" s="16"/>
      <c r="H28" s="16"/>
      <c r="I28" s="16" t="s">
        <v>94</v>
      </c>
      <c r="J28" s="16" t="s">
        <v>839</v>
      </c>
    </row>
    <row r="29" spans="1:10">
      <c r="A29">
        <v>28</v>
      </c>
      <c r="B29" t="s">
        <v>861</v>
      </c>
      <c r="C29">
        <v>38790075940</v>
      </c>
      <c r="D29" t="s">
        <v>632</v>
      </c>
      <c r="E29" s="3" t="s">
        <v>862</v>
      </c>
      <c r="F29">
        <v>4511</v>
      </c>
      <c r="G29"/>
      <c r="H29">
        <v>30221898</v>
      </c>
      <c r="I29" t="s">
        <v>94</v>
      </c>
      <c r="J29" t="s">
        <v>863</v>
      </c>
    </row>
    <row r="30" spans="1:10">
      <c r="A30">
        <v>29</v>
      </c>
      <c r="B30" s="185" t="s">
        <v>864</v>
      </c>
      <c r="C30" s="186">
        <v>57699683738</v>
      </c>
      <c r="D30" s="185" t="s">
        <v>726</v>
      </c>
      <c r="E30" s="161" t="s">
        <v>865</v>
      </c>
      <c r="F30">
        <v>7734</v>
      </c>
      <c r="G30"/>
      <c r="H30"/>
      <c r="I30" s="16" t="s">
        <v>866</v>
      </c>
      <c r="J30" s="16" t="s">
        <v>867</v>
      </c>
    </row>
    <row r="31" spans="1:10">
      <c r="A31">
        <v>30</v>
      </c>
      <c r="B31" t="s">
        <v>1213</v>
      </c>
      <c r="C31" s="185">
        <v>17119334585</v>
      </c>
      <c r="D31" s="185" t="s">
        <v>868</v>
      </c>
      <c r="E31" s="237" t="s">
        <v>1195</v>
      </c>
      <c r="F31"/>
      <c r="G31"/>
      <c r="H31"/>
      <c r="I31" s="16" t="s">
        <v>81</v>
      </c>
      <c r="J31" s="185" t="s">
        <v>869</v>
      </c>
    </row>
    <row r="32" spans="1:10">
      <c r="A32">
        <v>31</v>
      </c>
      <c r="B32" t="s">
        <v>870</v>
      </c>
      <c r="C32" s="185">
        <v>69606074367</v>
      </c>
      <c r="D32" s="16" t="s">
        <v>1552</v>
      </c>
      <c r="E32" s="236" t="s">
        <v>1194</v>
      </c>
      <c r="F32">
        <v>1624</v>
      </c>
      <c r="G32"/>
      <c r="H32"/>
      <c r="I32" s="16" t="s">
        <v>81</v>
      </c>
      <c r="J32" s="16" t="s">
        <v>871</v>
      </c>
    </row>
    <row r="33" spans="1:10">
      <c r="A33" s="16">
        <v>32</v>
      </c>
      <c r="B33" s="16" t="s">
        <v>1196</v>
      </c>
      <c r="C33" s="16">
        <v>15795338441</v>
      </c>
      <c r="D33" s="16" t="s">
        <v>1197</v>
      </c>
      <c r="E33" s="161" t="s">
        <v>1198</v>
      </c>
      <c r="F33" s="16">
        <v>5610</v>
      </c>
      <c r="G33" s="16"/>
      <c r="H33" s="16"/>
      <c r="I33" s="16" t="s">
        <v>1199</v>
      </c>
      <c r="J33" s="16" t="s">
        <v>1200</v>
      </c>
    </row>
    <row r="34" spans="1:10">
      <c r="A34">
        <v>33</v>
      </c>
      <c r="B34" t="s">
        <v>1238</v>
      </c>
      <c r="C34">
        <v>66364254606</v>
      </c>
      <c r="D34" t="s">
        <v>1239</v>
      </c>
      <c r="E34" s="126" t="s">
        <v>1240</v>
      </c>
      <c r="F34">
        <v>4690</v>
      </c>
      <c r="G34"/>
      <c r="H34"/>
      <c r="I34" t="s">
        <v>1241</v>
      </c>
      <c r="J34" t="s">
        <v>1242</v>
      </c>
    </row>
    <row r="35" spans="1:10">
      <c r="A35">
        <v>34</v>
      </c>
      <c r="B35" t="s">
        <v>1258</v>
      </c>
      <c r="C35">
        <v>21428597692</v>
      </c>
      <c r="D35" t="s">
        <v>1259</v>
      </c>
      <c r="E35" s="126" t="s">
        <v>1260</v>
      </c>
      <c r="F35">
        <v>4690</v>
      </c>
      <c r="G35"/>
      <c r="H35"/>
      <c r="I35" t="s">
        <v>192</v>
      </c>
      <c r="J35" t="s">
        <v>1479</v>
      </c>
    </row>
    <row r="36" spans="1:10">
      <c r="A36">
        <v>35</v>
      </c>
      <c r="B36" t="s">
        <v>1446</v>
      </c>
      <c r="C36" s="81" t="s">
        <v>1447</v>
      </c>
      <c r="D36" s="16" t="s">
        <v>1448</v>
      </c>
      <c r="E36" s="161" t="s">
        <v>1449</v>
      </c>
      <c r="F36">
        <v>4690</v>
      </c>
      <c r="G36"/>
      <c r="H36"/>
      <c r="I36" s="16" t="s">
        <v>94</v>
      </c>
      <c r="J36" s="16" t="s">
        <v>1425</v>
      </c>
    </row>
    <row r="37" spans="1:10">
      <c r="A37">
        <v>36</v>
      </c>
      <c r="B37" t="s">
        <v>1480</v>
      </c>
      <c r="C37">
        <v>45575918003</v>
      </c>
      <c r="D37" t="s">
        <v>1481</v>
      </c>
      <c r="E37" s="3" t="s">
        <v>1482</v>
      </c>
      <c r="F37">
        <v>4799</v>
      </c>
      <c r="G37"/>
      <c r="H37"/>
      <c r="I37" t="s">
        <v>94</v>
      </c>
      <c r="J37" t="s">
        <v>1725</v>
      </c>
    </row>
    <row r="38" spans="1:10">
      <c r="A38">
        <v>37</v>
      </c>
      <c r="B38" t="s">
        <v>1522</v>
      </c>
      <c r="C38">
        <v>29241410238</v>
      </c>
      <c r="D38" t="s">
        <v>1523</v>
      </c>
      <c r="E38" s="126" t="s">
        <v>1524</v>
      </c>
      <c r="F38">
        <v>4690</v>
      </c>
      <c r="G38"/>
      <c r="H38"/>
      <c r="I38" t="s">
        <v>217</v>
      </c>
      <c r="J38" t="s">
        <v>1525</v>
      </c>
    </row>
    <row r="39" spans="1:10">
      <c r="A39">
        <v>38</v>
      </c>
      <c r="B39" t="s">
        <v>1532</v>
      </c>
      <c r="C39" s="305" t="s">
        <v>1540</v>
      </c>
      <c r="D39" t="s">
        <v>1533</v>
      </c>
      <c r="E39" s="126" t="s">
        <v>1534</v>
      </c>
      <c r="F39">
        <v>4690</v>
      </c>
      <c r="G39"/>
      <c r="H39"/>
      <c r="I39" t="s">
        <v>94</v>
      </c>
      <c r="J39" t="s">
        <v>1425</v>
      </c>
    </row>
    <row r="40" spans="1:10">
      <c r="A40">
        <v>39</v>
      </c>
      <c r="B40" t="s">
        <v>1544</v>
      </c>
      <c r="C40">
        <v>66024839254</v>
      </c>
      <c r="D40" s="128" t="s">
        <v>1545</v>
      </c>
      <c r="E40" s="161" t="s">
        <v>1546</v>
      </c>
      <c r="F40">
        <v>4690</v>
      </c>
      <c r="G40"/>
      <c r="H40"/>
      <c r="I40" s="16" t="s">
        <v>94</v>
      </c>
      <c r="J40" s="16" t="s">
        <v>1547</v>
      </c>
    </row>
    <row r="41" spans="1:10">
      <c r="A41">
        <v>40</v>
      </c>
      <c r="B41" t="s">
        <v>1597</v>
      </c>
      <c r="C41">
        <v>86896896888</v>
      </c>
      <c r="D41" t="s">
        <v>1598</v>
      </c>
      <c r="E41" s="3"/>
      <c r="F41">
        <v>6820</v>
      </c>
      <c r="G41"/>
      <c r="H41"/>
      <c r="I41" s="313" t="s">
        <v>1600</v>
      </c>
      <c r="J41" s="329" t="s">
        <v>1599</v>
      </c>
    </row>
    <row r="42" spans="1:10">
      <c r="A42">
        <v>41</v>
      </c>
      <c r="B42" t="s">
        <v>1620</v>
      </c>
      <c r="C42">
        <v>65917576492</v>
      </c>
      <c r="D42" t="s">
        <v>1621</v>
      </c>
      <c r="E42" s="87" t="s">
        <v>1623</v>
      </c>
      <c r="F42">
        <v>8690</v>
      </c>
      <c r="G42"/>
      <c r="H42"/>
      <c r="I42" t="s">
        <v>217</v>
      </c>
      <c r="J42" t="s">
        <v>1622</v>
      </c>
    </row>
    <row r="43" spans="1:10">
      <c r="A43">
        <v>42</v>
      </c>
      <c r="B43" t="s">
        <v>1630</v>
      </c>
      <c r="C43">
        <v>24279864703</v>
      </c>
      <c r="D43" t="s">
        <v>1631</v>
      </c>
      <c r="E43" s="126" t="s">
        <v>1632</v>
      </c>
      <c r="F43">
        <v>4619</v>
      </c>
      <c r="G43"/>
      <c r="H43"/>
      <c r="I43" t="s">
        <v>1241</v>
      </c>
      <c r="J43" t="s">
        <v>1242</v>
      </c>
    </row>
    <row r="44" spans="1:10">
      <c r="A44">
        <v>43</v>
      </c>
      <c r="B44" t="s">
        <v>1668</v>
      </c>
      <c r="C44">
        <v>69769519663</v>
      </c>
      <c r="D44" s="16" t="s">
        <v>2025</v>
      </c>
      <c r="E44" s="126" t="s">
        <v>1669</v>
      </c>
      <c r="F44">
        <v>6810</v>
      </c>
      <c r="G44"/>
      <c r="H44"/>
      <c r="I44" t="s">
        <v>94</v>
      </c>
      <c r="J44" t="s">
        <v>1670</v>
      </c>
    </row>
    <row r="45" spans="1:10">
      <c r="A45">
        <v>44</v>
      </c>
      <c r="B45" t="s">
        <v>1723</v>
      </c>
      <c r="C45">
        <v>31521842055</v>
      </c>
      <c r="D45" t="s">
        <v>1631</v>
      </c>
      <c r="E45" s="126" t="s">
        <v>1724</v>
      </c>
      <c r="F45">
        <v>4619</v>
      </c>
      <c r="G45"/>
      <c r="H45"/>
      <c r="I45" t="s">
        <v>94</v>
      </c>
      <c r="J45" t="s">
        <v>1725</v>
      </c>
    </row>
    <row r="46" spans="1:10">
      <c r="A46">
        <v>45</v>
      </c>
      <c r="B46" t="s">
        <v>1801</v>
      </c>
      <c r="C46">
        <v>42856087628</v>
      </c>
      <c r="D46" t="s">
        <v>1802</v>
      </c>
      <c r="E46" s="3" t="s">
        <v>1803</v>
      </c>
      <c r="F46">
        <v>4799</v>
      </c>
      <c r="G46"/>
      <c r="H46"/>
      <c r="I46" s="16" t="s">
        <v>1804</v>
      </c>
      <c r="J46" t="s">
        <v>1805</v>
      </c>
    </row>
    <row r="47" spans="1:10">
      <c r="A47">
        <v>46</v>
      </c>
      <c r="B47" t="s">
        <v>1884</v>
      </c>
      <c r="C47">
        <v>81938384478</v>
      </c>
      <c r="D47" t="s">
        <v>1885</v>
      </c>
      <c r="E47" s="3" t="s">
        <v>1886</v>
      </c>
      <c r="F47">
        <v>1071</v>
      </c>
      <c r="G47"/>
      <c r="H47"/>
      <c r="I47" t="s">
        <v>375</v>
      </c>
      <c r="J47" t="s">
        <v>1887</v>
      </c>
    </row>
    <row r="48" spans="1:10">
      <c r="A48">
        <v>47</v>
      </c>
      <c r="B48" t="s">
        <v>1948</v>
      </c>
      <c r="C48">
        <v>26899074894</v>
      </c>
      <c r="D48" t="s">
        <v>1949</v>
      </c>
      <c r="E48" s="126" t="s">
        <v>1950</v>
      </c>
      <c r="F48">
        <v>4120</v>
      </c>
      <c r="G48">
        <v>31000</v>
      </c>
      <c r="H48" s="305" t="s">
        <v>1951</v>
      </c>
      <c r="I48" t="s">
        <v>94</v>
      </c>
      <c r="J48" t="s">
        <v>1952</v>
      </c>
    </row>
    <row r="49" spans="1:19">
      <c r="A49">
        <v>48</v>
      </c>
      <c r="B49" t="s">
        <v>1968</v>
      </c>
      <c r="C49">
        <v>93439918139</v>
      </c>
      <c r="D49" t="s">
        <v>1960</v>
      </c>
      <c r="E49" s="126" t="s">
        <v>1961</v>
      </c>
      <c r="F49">
        <v>2041</v>
      </c>
      <c r="G49">
        <v>31000</v>
      </c>
      <c r="H49" s="305" t="s">
        <v>1962</v>
      </c>
      <c r="I49" t="s">
        <v>92</v>
      </c>
      <c r="J49" t="s">
        <v>1964</v>
      </c>
    </row>
    <row r="50" spans="1:19">
      <c r="A50" s="16">
        <v>49</v>
      </c>
      <c r="B50" s="16" t="s">
        <v>2026</v>
      </c>
      <c r="C50" s="16">
        <v>55434731380</v>
      </c>
      <c r="D50" s="16" t="s">
        <v>2028</v>
      </c>
      <c r="E50" s="553">
        <v>5691273</v>
      </c>
      <c r="F50" s="16">
        <v>9602</v>
      </c>
      <c r="G50" s="16">
        <v>31000</v>
      </c>
      <c r="H50" s="16"/>
      <c r="I50" s="16" t="s">
        <v>94</v>
      </c>
      <c r="J50" s="16" t="s">
        <v>2027</v>
      </c>
    </row>
    <row r="51" spans="1:19">
      <c r="A51" s="16">
        <v>50</v>
      </c>
      <c r="B51" s="16" t="s">
        <v>2062</v>
      </c>
      <c r="C51" s="402">
        <v>37037018122</v>
      </c>
      <c r="D51" s="16" t="s">
        <v>2063</v>
      </c>
      <c r="E51" s="554">
        <v>98090950</v>
      </c>
      <c r="F51" s="16">
        <v>9602</v>
      </c>
      <c r="G51" s="16">
        <v>31000</v>
      </c>
      <c r="H51" s="16"/>
      <c r="I51" s="16" t="s">
        <v>94</v>
      </c>
      <c r="J51" s="425" t="s">
        <v>2064</v>
      </c>
      <c r="S51" s="81"/>
    </row>
    <row r="52" spans="1:19">
      <c r="A52">
        <v>51</v>
      </c>
      <c r="B52" t="s">
        <v>2129</v>
      </c>
      <c r="C52" s="402">
        <v>85140091316</v>
      </c>
      <c r="D52" s="16" t="s">
        <v>2130</v>
      </c>
      <c r="E52" s="3"/>
      <c r="F52">
        <v>1039</v>
      </c>
      <c r="G52"/>
      <c r="H52"/>
      <c r="I52" s="16" t="s">
        <v>2131</v>
      </c>
      <c r="J52" s="16" t="s">
        <v>2132</v>
      </c>
    </row>
    <row r="53" spans="1:19">
      <c r="A53">
        <v>52</v>
      </c>
      <c r="B53" t="s">
        <v>2147</v>
      </c>
      <c r="C53">
        <v>65655501793</v>
      </c>
      <c r="D53" s="16" t="s">
        <v>352</v>
      </c>
      <c r="E53" s="3" t="s">
        <v>2148</v>
      </c>
      <c r="F53">
        <v>4333</v>
      </c>
      <c r="G53">
        <v>31000</v>
      </c>
      <c r="H53">
        <v>30273403</v>
      </c>
      <c r="I53" t="s">
        <v>829</v>
      </c>
      <c r="J53" t="s">
        <v>2149</v>
      </c>
    </row>
    <row r="54" spans="1:19">
      <c r="A54">
        <v>53</v>
      </c>
      <c r="B54" s="433" t="s">
        <v>2168</v>
      </c>
      <c r="C54" s="433">
        <v>28786669452</v>
      </c>
      <c r="D54" s="16" t="s">
        <v>2169</v>
      </c>
      <c r="E54" s="3"/>
      <c r="F54">
        <v>8559</v>
      </c>
      <c r="G54">
        <v>31327</v>
      </c>
      <c r="H54"/>
      <c r="I54" s="16" t="s">
        <v>2170</v>
      </c>
      <c r="J54" s="16" t="s">
        <v>2171</v>
      </c>
    </row>
    <row r="55" spans="1:19">
      <c r="A55">
        <v>54</v>
      </c>
      <c r="B55" t="s">
        <v>2183</v>
      </c>
      <c r="C55" s="402">
        <v>71914192370</v>
      </c>
      <c r="D55" s="16" t="s">
        <v>2184</v>
      </c>
      <c r="E55" s="559" t="s">
        <v>2750</v>
      </c>
      <c r="F55">
        <v>4791</v>
      </c>
      <c r="G55">
        <v>40323</v>
      </c>
      <c r="H55"/>
      <c r="I55" s="16" t="s">
        <v>2577</v>
      </c>
      <c r="J55" s="16" t="s">
        <v>1725</v>
      </c>
    </row>
    <row r="56" spans="1:19">
      <c r="A56" s="16">
        <v>55</v>
      </c>
      <c r="B56" s="16" t="s">
        <v>2209</v>
      </c>
      <c r="C56" s="16">
        <v>78914413816</v>
      </c>
      <c r="D56" s="16" t="s">
        <v>2169</v>
      </c>
      <c r="E56" s="87"/>
      <c r="F56" s="16"/>
      <c r="G56" s="16">
        <v>31327</v>
      </c>
      <c r="H56" s="16"/>
      <c r="I56" s="16" t="s">
        <v>2170</v>
      </c>
      <c r="J56" s="16" t="s">
        <v>2208</v>
      </c>
    </row>
    <row r="57" spans="1:19">
      <c r="A57" s="16">
        <v>56</v>
      </c>
      <c r="B57" s="16" t="s">
        <v>2214</v>
      </c>
      <c r="C57" s="16">
        <v>51892426031</v>
      </c>
      <c r="D57" s="16" t="s">
        <v>2215</v>
      </c>
      <c r="E57" s="87" t="s">
        <v>2216</v>
      </c>
      <c r="F57" s="16"/>
      <c r="G57" s="16">
        <v>31000</v>
      </c>
      <c r="H57" s="16"/>
      <c r="I57" s="16" t="s">
        <v>94</v>
      </c>
      <c r="J57" s="16" t="s">
        <v>2217</v>
      </c>
    </row>
    <row r="58" spans="1:19">
      <c r="A58" s="16">
        <v>57</v>
      </c>
      <c r="B58" s="16" t="s">
        <v>2222</v>
      </c>
      <c r="C58" s="16">
        <v>75015160529</v>
      </c>
      <c r="D58" s="16" t="s">
        <v>2223</v>
      </c>
      <c r="E58" s="161" t="s">
        <v>2751</v>
      </c>
      <c r="F58" s="16">
        <v>6619</v>
      </c>
      <c r="G58" s="16">
        <v>31000</v>
      </c>
      <c r="H58" s="16"/>
      <c r="I58" s="16" t="s">
        <v>94</v>
      </c>
      <c r="J58" s="16" t="s">
        <v>2224</v>
      </c>
    </row>
    <row r="59" spans="1:19">
      <c r="A59" s="16">
        <v>58</v>
      </c>
      <c r="B59" s="16" t="s">
        <v>2234</v>
      </c>
      <c r="C59" s="124" t="s">
        <v>2240</v>
      </c>
      <c r="D59" s="16" t="s">
        <v>2235</v>
      </c>
      <c r="E59" s="87" t="s">
        <v>2238</v>
      </c>
      <c r="F59" s="87" t="s">
        <v>2259</v>
      </c>
      <c r="G59" s="16">
        <v>21465</v>
      </c>
      <c r="H59" s="16"/>
      <c r="I59" s="16" t="s">
        <v>2237</v>
      </c>
      <c r="J59" s="16" t="s">
        <v>2236</v>
      </c>
    </row>
    <row r="60" spans="1:19">
      <c r="A60" s="16">
        <v>59</v>
      </c>
      <c r="B60" s="16" t="s">
        <v>2256</v>
      </c>
      <c r="C60" s="16">
        <v>81040686135</v>
      </c>
      <c r="D60" s="16" t="s">
        <v>2257</v>
      </c>
      <c r="E60" s="161" t="s">
        <v>2752</v>
      </c>
      <c r="F60" s="87" t="s">
        <v>2258</v>
      </c>
      <c r="G60" s="16">
        <v>31326</v>
      </c>
      <c r="H60" s="16"/>
      <c r="I60" s="16" t="s">
        <v>421</v>
      </c>
      <c r="J60" s="16" t="s">
        <v>2260</v>
      </c>
    </row>
    <row r="61" spans="1:19">
      <c r="A61" s="16">
        <v>60</v>
      </c>
      <c r="B61" s="16" t="s">
        <v>2314</v>
      </c>
      <c r="C61" s="16">
        <v>37860539453</v>
      </c>
      <c r="D61" s="16" t="s">
        <v>2315</v>
      </c>
      <c r="E61" s="87">
        <v>90481003</v>
      </c>
      <c r="F61" s="16">
        <v>2572</v>
      </c>
      <c r="G61" s="16">
        <v>31000</v>
      </c>
      <c r="H61" s="16"/>
      <c r="I61" s="16" t="s">
        <v>94</v>
      </c>
      <c r="J61" s="16" t="s">
        <v>2316</v>
      </c>
    </row>
    <row r="62" spans="1:19">
      <c r="A62" s="16">
        <v>61</v>
      </c>
      <c r="B62" s="16" t="s">
        <v>2310</v>
      </c>
      <c r="C62" s="16">
        <v>37860539453</v>
      </c>
      <c r="D62" s="16" t="s">
        <v>2311</v>
      </c>
      <c r="E62" s="87">
        <v>30212484</v>
      </c>
      <c r="F62" s="16">
        <v>4941</v>
      </c>
      <c r="G62" s="16">
        <v>31327</v>
      </c>
      <c r="H62" s="16"/>
      <c r="I62" s="16" t="s">
        <v>2312</v>
      </c>
      <c r="J62" s="16" t="s">
        <v>2313</v>
      </c>
    </row>
    <row r="63" spans="1:19">
      <c r="A63" s="16">
        <v>62</v>
      </c>
      <c r="B63" s="16" t="s">
        <v>2330</v>
      </c>
      <c r="C63" s="16">
        <v>57640459658</v>
      </c>
      <c r="D63" s="16" t="s">
        <v>2332</v>
      </c>
      <c r="E63" s="87" t="s">
        <v>2333</v>
      </c>
      <c r="F63" s="16">
        <v>6201</v>
      </c>
      <c r="G63" s="16">
        <v>31000</v>
      </c>
      <c r="H63" s="16"/>
      <c r="I63" s="16" t="s">
        <v>94</v>
      </c>
      <c r="J63" s="16" t="s">
        <v>2331</v>
      </c>
    </row>
    <row r="64" spans="1:19">
      <c r="A64" s="16">
        <v>63</v>
      </c>
      <c r="B64" s="16" t="s">
        <v>2340</v>
      </c>
      <c r="C64" s="16">
        <v>82060345120</v>
      </c>
      <c r="D64" s="16" t="s">
        <v>2341</v>
      </c>
      <c r="E64" s="87" t="s">
        <v>2342</v>
      </c>
      <c r="F64" s="16">
        <v>4120</v>
      </c>
      <c r="G64" s="16">
        <v>31000</v>
      </c>
      <c r="H64" s="16"/>
      <c r="I64" s="16" t="s">
        <v>94</v>
      </c>
      <c r="J64" s="16" t="s">
        <v>2343</v>
      </c>
    </row>
    <row r="65" spans="1:10">
      <c r="A65" s="16">
        <v>64</v>
      </c>
      <c r="B65" s="16" t="s">
        <v>2349</v>
      </c>
      <c r="C65" s="16">
        <v>79614880677</v>
      </c>
      <c r="D65" s="16" t="s">
        <v>2350</v>
      </c>
      <c r="E65" s="87" t="s">
        <v>2351</v>
      </c>
      <c r="F65" s="16">
        <v>4120</v>
      </c>
      <c r="G65" s="16">
        <v>31000</v>
      </c>
      <c r="H65" s="16"/>
      <c r="I65" s="16" t="s">
        <v>829</v>
      </c>
      <c r="J65" s="16" t="s">
        <v>1725</v>
      </c>
    </row>
    <row r="66" spans="1:10">
      <c r="A66" s="16">
        <v>65</v>
      </c>
      <c r="B66" s="16" t="s">
        <v>2375</v>
      </c>
      <c r="C66" s="16">
        <v>50891994502</v>
      </c>
      <c r="D66" s="16" t="s">
        <v>1552</v>
      </c>
      <c r="E66" s="87" t="s">
        <v>2376</v>
      </c>
      <c r="F66" s="16">
        <v>1629</v>
      </c>
      <c r="G66" s="16">
        <v>31000</v>
      </c>
      <c r="H66" s="16"/>
      <c r="I66" s="16" t="s">
        <v>94</v>
      </c>
      <c r="J66" s="16" t="s">
        <v>2377</v>
      </c>
    </row>
    <row r="67" spans="1:10">
      <c r="A67" s="16">
        <v>66</v>
      </c>
      <c r="B67" s="16" t="s">
        <v>2380</v>
      </c>
      <c r="C67" s="16">
        <v>52813766387</v>
      </c>
      <c r="D67" s="16" t="s">
        <v>2381</v>
      </c>
      <c r="E67" s="87" t="s">
        <v>2382</v>
      </c>
      <c r="F67" s="16">
        <v>8690</v>
      </c>
      <c r="G67" s="16">
        <v>10000</v>
      </c>
      <c r="H67" s="16"/>
      <c r="I67" s="16" t="s">
        <v>217</v>
      </c>
      <c r="J67" s="16" t="s">
        <v>2383</v>
      </c>
    </row>
    <row r="68" spans="1:10">
      <c r="A68" s="16">
        <v>67</v>
      </c>
      <c r="B68" s="16" t="s">
        <v>2390</v>
      </c>
      <c r="C68" s="16">
        <v>13785058830</v>
      </c>
      <c r="D68" s="16" t="s">
        <v>2391</v>
      </c>
      <c r="E68" s="488" t="s">
        <v>2447</v>
      </c>
      <c r="F68" s="16">
        <v>1041</v>
      </c>
      <c r="G68" s="16">
        <v>31204</v>
      </c>
      <c r="H68" s="16"/>
      <c r="I68" s="16" t="s">
        <v>1742</v>
      </c>
      <c r="J68" s="16" t="s">
        <v>2490</v>
      </c>
    </row>
    <row r="69" spans="1:10">
      <c r="A69" s="16">
        <v>68</v>
      </c>
      <c r="B69" s="16" t="s">
        <v>2437</v>
      </c>
      <c r="C69" s="16">
        <v>68442072665</v>
      </c>
      <c r="D69" s="16" t="s">
        <v>2438</v>
      </c>
      <c r="E69" s="87" t="s">
        <v>2439</v>
      </c>
      <c r="F69" s="16">
        <v>5610</v>
      </c>
      <c r="G69" s="16">
        <v>23234</v>
      </c>
      <c r="H69" s="16"/>
      <c r="I69" s="16" t="s">
        <v>1804</v>
      </c>
      <c r="J69" s="16" t="s">
        <v>2440</v>
      </c>
    </row>
    <row r="70" spans="1:10">
      <c r="A70" s="16">
        <v>69</v>
      </c>
      <c r="B70" s="16" t="s">
        <v>2444</v>
      </c>
      <c r="C70" s="468">
        <v>18471447928</v>
      </c>
      <c r="D70" s="16" t="s">
        <v>2445</v>
      </c>
      <c r="E70" s="487" t="s">
        <v>2446</v>
      </c>
      <c r="F70" s="124" t="s">
        <v>2448</v>
      </c>
      <c r="G70" s="16">
        <v>31000</v>
      </c>
      <c r="H70" s="16"/>
      <c r="I70" s="16" t="s">
        <v>94</v>
      </c>
      <c r="J70" s="16" t="s">
        <v>2453</v>
      </c>
    </row>
    <row r="71" spans="1:10">
      <c r="A71" s="16">
        <v>70</v>
      </c>
      <c r="B71" s="16" t="s">
        <v>2491</v>
      </c>
      <c r="C71" s="16">
        <v>89426776106</v>
      </c>
      <c r="D71" s="16" t="s">
        <v>2184</v>
      </c>
      <c r="E71" s="87" t="s">
        <v>2492</v>
      </c>
      <c r="F71" s="16">
        <v>4941</v>
      </c>
      <c r="G71" s="16">
        <v>31000</v>
      </c>
      <c r="H71" s="16"/>
      <c r="I71" s="16" t="s">
        <v>81</v>
      </c>
      <c r="J71" s="16" t="s">
        <v>1725</v>
      </c>
    </row>
    <row r="72" spans="1:10">
      <c r="A72" s="16">
        <v>71</v>
      </c>
      <c r="B72" s="16" t="s">
        <v>2539</v>
      </c>
      <c r="C72" s="87" t="s">
        <v>2540</v>
      </c>
      <c r="D72" s="16" t="s">
        <v>2541</v>
      </c>
      <c r="E72" s="87" t="s">
        <v>2542</v>
      </c>
      <c r="F72" s="16">
        <v>4690</v>
      </c>
      <c r="G72" s="16">
        <v>21300</v>
      </c>
      <c r="H72" s="16"/>
      <c r="I72" s="16" t="s">
        <v>2543</v>
      </c>
      <c r="J72" s="16" t="s">
        <v>867</v>
      </c>
    </row>
    <row r="73" spans="1:10">
      <c r="A73" s="16">
        <v>72</v>
      </c>
      <c r="B73" s="16" t="s">
        <v>2548</v>
      </c>
      <c r="C73" s="556">
        <v>79460530595</v>
      </c>
      <c r="D73" s="556" t="s">
        <v>2549</v>
      </c>
      <c r="E73" s="559" t="s">
        <v>2749</v>
      </c>
      <c r="F73" s="558">
        <v>6311</v>
      </c>
      <c r="G73" s="16">
        <v>43000</v>
      </c>
      <c r="H73" s="185">
        <v>10078392</v>
      </c>
      <c r="I73" s="16" t="s">
        <v>2550</v>
      </c>
      <c r="J73" s="512" t="s">
        <v>2551</v>
      </c>
    </row>
    <row r="74" spans="1:10">
      <c r="A74">
        <v>73</v>
      </c>
      <c r="B74" t="s">
        <v>2559</v>
      </c>
      <c r="C74">
        <v>63398969896</v>
      </c>
      <c r="D74" t="s">
        <v>2560</v>
      </c>
      <c r="E74" s="3"/>
      <c r="F74">
        <v>4919</v>
      </c>
      <c r="G74">
        <v>10000</v>
      </c>
      <c r="H74"/>
      <c r="I74" t="s">
        <v>105</v>
      </c>
      <c r="J74" t="s">
        <v>2561</v>
      </c>
    </row>
    <row r="75" spans="1:10">
      <c r="A75">
        <v>74</v>
      </c>
      <c r="B75" t="s">
        <v>2568</v>
      </c>
      <c r="C75">
        <v>97882739845</v>
      </c>
      <c r="D75" t="s">
        <v>2569</v>
      </c>
      <c r="E75" s="3" t="s">
        <v>2570</v>
      </c>
      <c r="F75"/>
      <c r="G75">
        <v>31000</v>
      </c>
      <c r="H75"/>
      <c r="I75" t="s">
        <v>94</v>
      </c>
      <c r="J75" t="s">
        <v>2571</v>
      </c>
    </row>
    <row r="76" spans="1:10">
      <c r="A76">
        <v>75</v>
      </c>
      <c r="B76" t="s">
        <v>2624</v>
      </c>
      <c r="C76">
        <v>72434492423</v>
      </c>
      <c r="D76" t="s">
        <v>2625</v>
      </c>
      <c r="E76" s="126" t="s">
        <v>2626</v>
      </c>
      <c r="F76">
        <v>5630</v>
      </c>
      <c r="G76">
        <v>52100</v>
      </c>
      <c r="H76"/>
      <c r="I76" t="s">
        <v>2627</v>
      </c>
      <c r="J76" t="s">
        <v>2628</v>
      </c>
    </row>
    <row r="77" spans="1:10">
      <c r="A77">
        <v>76</v>
      </c>
      <c r="B77" t="s">
        <v>2703</v>
      </c>
      <c r="C77">
        <v>99919586642</v>
      </c>
      <c r="D77" t="s">
        <v>2704</v>
      </c>
      <c r="E77" s="126" t="s">
        <v>2706</v>
      </c>
      <c r="F77">
        <v>5630</v>
      </c>
      <c r="G77">
        <v>52100</v>
      </c>
      <c r="H77"/>
      <c r="I77" t="s">
        <v>2627</v>
      </c>
      <c r="J77" t="s">
        <v>2705</v>
      </c>
    </row>
    <row r="78" spans="1:10">
      <c r="A78">
        <v>77</v>
      </c>
      <c r="B78" s="16" t="s">
        <v>2753</v>
      </c>
      <c r="C78" s="556">
        <v>71338755879</v>
      </c>
      <c r="D78" s="556" t="s">
        <v>2748</v>
      </c>
      <c r="E78" s="161" t="s">
        <v>2754</v>
      </c>
      <c r="F78">
        <v>7810</v>
      </c>
      <c r="G78">
        <v>31000</v>
      </c>
      <c r="H78"/>
      <c r="I78" s="16" t="s">
        <v>81</v>
      </c>
      <c r="J78" s="16" t="s">
        <v>2723</v>
      </c>
    </row>
    <row r="79" spans="1:10">
      <c r="A79" s="16">
        <v>78</v>
      </c>
      <c r="B79" s="16" t="s">
        <v>2755</v>
      </c>
      <c r="C79" s="557">
        <v>66801939221</v>
      </c>
      <c r="D79" s="556" t="s">
        <v>2748</v>
      </c>
      <c r="E79" s="161" t="s">
        <v>2756</v>
      </c>
      <c r="F79" s="16">
        <v>4711</v>
      </c>
      <c r="G79" s="16">
        <v>31000</v>
      </c>
      <c r="H79" s="16"/>
      <c r="I79" s="16" t="s">
        <v>81</v>
      </c>
      <c r="J79" s="185" t="s">
        <v>2723</v>
      </c>
    </row>
    <row r="80" spans="1:10">
      <c r="A80">
        <v>79</v>
      </c>
      <c r="B80" t="s">
        <v>2732</v>
      </c>
      <c r="C80" s="93">
        <v>93210368701</v>
      </c>
      <c r="D80" s="556" t="s">
        <v>2733</v>
      </c>
      <c r="E80" s="87" t="s">
        <v>2734</v>
      </c>
      <c r="F80">
        <v>4120</v>
      </c>
      <c r="G80">
        <v>31000</v>
      </c>
      <c r="H80">
        <v>30294798</v>
      </c>
      <c r="I80" s="16" t="s">
        <v>94</v>
      </c>
      <c r="J80" s="16" t="s">
        <v>1725</v>
      </c>
    </row>
    <row r="81" spans="1:10">
      <c r="A81" s="16">
        <v>80</v>
      </c>
      <c r="B81" s="16" t="s">
        <v>2740</v>
      </c>
      <c r="C81" s="16">
        <v>9280794793</v>
      </c>
      <c r="D81" s="16" t="s">
        <v>2740</v>
      </c>
      <c r="E81" s="87"/>
      <c r="F81" s="16">
        <v>5590</v>
      </c>
      <c r="G81" s="16">
        <v>31000</v>
      </c>
      <c r="H81" s="16"/>
      <c r="I81" s="16" t="s">
        <v>94</v>
      </c>
      <c r="J81" s="16" t="s">
        <v>2741</v>
      </c>
    </row>
    <row r="82" spans="1:10">
      <c r="A82" s="16">
        <v>81</v>
      </c>
      <c r="B82" s="16" t="s">
        <v>2757</v>
      </c>
      <c r="C82" s="16">
        <v>83403059410</v>
      </c>
      <c r="D82" s="16" t="s">
        <v>2758</v>
      </c>
      <c r="E82" s="87" t="s">
        <v>2759</v>
      </c>
      <c r="F82" s="16">
        <v>4222</v>
      </c>
      <c r="G82" s="16">
        <v>31000</v>
      </c>
      <c r="H82" s="16"/>
      <c r="I82" s="16" t="s">
        <v>94</v>
      </c>
      <c r="J82" s="16" t="s">
        <v>1725</v>
      </c>
    </row>
    <row r="83" spans="1:10">
      <c r="A83">
        <v>82</v>
      </c>
      <c r="B83" t="s">
        <v>2784</v>
      </c>
      <c r="C83">
        <v>12424713159</v>
      </c>
      <c r="D83" s="16" t="s">
        <v>2785</v>
      </c>
      <c r="E83" s="87" t="s">
        <v>2786</v>
      </c>
      <c r="F83">
        <v>4221</v>
      </c>
      <c r="G83">
        <v>31000</v>
      </c>
      <c r="H83"/>
      <c r="I83" s="16" t="s">
        <v>94</v>
      </c>
      <c r="J83" t="s">
        <v>2787</v>
      </c>
    </row>
    <row r="84" spans="1:10">
      <c r="A84">
        <v>83</v>
      </c>
      <c r="B84" t="s">
        <v>2808</v>
      </c>
      <c r="C84" s="465">
        <v>52257200443</v>
      </c>
      <c r="D84" s="16" t="s">
        <v>2809</v>
      </c>
      <c r="E84" s="161" t="s">
        <v>2810</v>
      </c>
      <c r="F84">
        <v>6201</v>
      </c>
      <c r="G84">
        <v>31000</v>
      </c>
      <c r="H84" s="569">
        <v>3060481660</v>
      </c>
      <c r="I84" s="16" t="s">
        <v>94</v>
      </c>
      <c r="J84" s="16" t="s">
        <v>2811</v>
      </c>
    </row>
    <row r="85" spans="1:10">
      <c r="A85">
        <v>84</v>
      </c>
      <c r="B85" t="s">
        <v>2847</v>
      </c>
      <c r="C85">
        <v>36404257254</v>
      </c>
      <c r="D85" t="s">
        <v>2848</v>
      </c>
      <c r="E85" s="3" t="s">
        <v>2849</v>
      </c>
      <c r="F85"/>
      <c r="G85">
        <v>32236</v>
      </c>
      <c r="H85"/>
      <c r="I85" t="s">
        <v>2850</v>
      </c>
      <c r="J85" t="s">
        <v>2851</v>
      </c>
    </row>
    <row r="86" spans="1:10" ht="19">
      <c r="A86">
        <v>85</v>
      </c>
      <c r="B86" t="s">
        <v>2862</v>
      </c>
      <c r="C86" s="185">
        <v>97057049112</v>
      </c>
      <c r="D86" s="185" t="s">
        <v>2863</v>
      </c>
      <c r="E86" s="585">
        <v>6118704</v>
      </c>
      <c r="F86" s="16" t="s">
        <v>2864</v>
      </c>
      <c r="G86">
        <v>51550</v>
      </c>
      <c r="H86"/>
      <c r="I86" s="16" t="s">
        <v>2865</v>
      </c>
      <c r="J86" s="16" t="s">
        <v>2871</v>
      </c>
    </row>
    <row r="87" spans="1:10">
      <c r="A87">
        <v>86</v>
      </c>
      <c r="B87" t="s">
        <v>2877</v>
      </c>
      <c r="C87">
        <v>54482863185</v>
      </c>
      <c r="D87" s="185" t="s">
        <v>2878</v>
      </c>
      <c r="E87" s="185">
        <v>110102081</v>
      </c>
      <c r="F87"/>
      <c r="G87"/>
      <c r="H87"/>
      <c r="I87" s="16" t="s">
        <v>2879</v>
      </c>
      <c r="J87" s="185" t="s">
        <v>2887</v>
      </c>
    </row>
    <row r="88" spans="1:10" ht="16.5">
      <c r="A88">
        <v>87</v>
      </c>
      <c r="B88" s="586" t="s">
        <v>2896</v>
      </c>
      <c r="C88" s="587">
        <v>92836050023</v>
      </c>
      <c r="D88" s="587" t="s">
        <v>2897</v>
      </c>
      <c r="E88" s="3"/>
      <c r="F88">
        <v>46.19</v>
      </c>
      <c r="G88"/>
      <c r="H88"/>
      <c r="I88" s="16" t="s">
        <v>2898</v>
      </c>
      <c r="J88" s="587" t="s">
        <v>2899</v>
      </c>
    </row>
    <row r="89" spans="1:10">
      <c r="A89">
        <v>88</v>
      </c>
      <c r="B89" t="s">
        <v>2904</v>
      </c>
      <c r="C89">
        <v>24420062451</v>
      </c>
      <c r="D89" t="s">
        <v>2908</v>
      </c>
      <c r="E89" s="3" t="s">
        <v>2906</v>
      </c>
      <c r="F89" t="s">
        <v>2907</v>
      </c>
      <c r="G89">
        <v>3100</v>
      </c>
      <c r="H89"/>
      <c r="I89" t="s">
        <v>81</v>
      </c>
      <c r="J89" t="s">
        <v>2905</v>
      </c>
    </row>
    <row r="90" spans="1:10">
      <c r="A90">
        <v>89</v>
      </c>
      <c r="B90" s="365" t="s">
        <v>2934</v>
      </c>
      <c r="C90" s="365">
        <v>70481698940</v>
      </c>
      <c r="D90" s="313" t="s">
        <v>2935</v>
      </c>
      <c r="E90" s="3"/>
      <c r="F90"/>
      <c r="G90"/>
      <c r="H90"/>
      <c r="I90" s="365" t="s">
        <v>2933</v>
      </c>
      <c r="J90" s="365" t="s">
        <v>2932</v>
      </c>
    </row>
    <row r="91" spans="1:10">
      <c r="A91">
        <v>90</v>
      </c>
      <c r="B91" s="365" t="s">
        <v>2959</v>
      </c>
      <c r="C91" s="365">
        <v>28788779090</v>
      </c>
      <c r="D91" s="313" t="s">
        <v>2960</v>
      </c>
      <c r="E91" s="365">
        <v>5712068</v>
      </c>
      <c r="F91" s="313" t="s">
        <v>2961</v>
      </c>
      <c r="G91">
        <v>3100</v>
      </c>
      <c r="H91"/>
      <c r="I91" s="313" t="s">
        <v>94</v>
      </c>
      <c r="J91" s="365" t="s">
        <v>2962</v>
      </c>
    </row>
    <row r="92" spans="1:10">
      <c r="A92">
        <v>91</v>
      </c>
      <c r="B92" s="365" t="s">
        <v>2996</v>
      </c>
      <c r="C92" s="365">
        <v>17653370550</v>
      </c>
      <c r="D92" s="16" t="s">
        <v>2997</v>
      </c>
      <c r="E92" s="365">
        <v>5222907</v>
      </c>
      <c r="F92" s="16" t="s">
        <v>2998</v>
      </c>
      <c r="G92">
        <v>31309</v>
      </c>
      <c r="H92"/>
      <c r="I92" s="16" t="s">
        <v>2999</v>
      </c>
      <c r="J92" s="365" t="s">
        <v>3000</v>
      </c>
    </row>
    <row r="93" spans="1:10">
      <c r="A93">
        <v>92</v>
      </c>
      <c r="B93" s="365" t="s">
        <v>3008</v>
      </c>
      <c r="C93" s="365">
        <v>79614880677</v>
      </c>
      <c r="D93" s="16" t="s">
        <v>3009</v>
      </c>
      <c r="E93" s="3"/>
      <c r="F93"/>
      <c r="G93">
        <v>3100</v>
      </c>
      <c r="H93"/>
      <c r="I93" s="16" t="s">
        <v>94</v>
      </c>
      <c r="J93" s="16" t="s">
        <v>1725</v>
      </c>
    </row>
    <row r="94" spans="1:10" ht="16.5">
      <c r="A94">
        <v>93</v>
      </c>
      <c r="B94" t="s">
        <v>3024</v>
      </c>
      <c r="C94" s="587">
        <v>81730765098</v>
      </c>
      <c r="D94" s="587" t="s">
        <v>3025</v>
      </c>
      <c r="E94" s="3"/>
      <c r="F94"/>
      <c r="G94"/>
      <c r="H94"/>
      <c r="I94" s="16" t="s">
        <v>3027</v>
      </c>
      <c r="J94" s="587" t="s">
        <v>3026</v>
      </c>
    </row>
    <row r="95" spans="1:10">
      <c r="A95">
        <v>94</v>
      </c>
      <c r="B95" s="313" t="s">
        <v>3045</v>
      </c>
      <c r="C95">
        <v>27380297470</v>
      </c>
      <c r="D95" t="s">
        <v>3038</v>
      </c>
      <c r="E95" s="607">
        <v>98474677</v>
      </c>
      <c r="F95" s="608" t="s">
        <v>3046</v>
      </c>
      <c r="G95"/>
      <c r="H95"/>
      <c r="I95" s="313" t="s">
        <v>94</v>
      </c>
      <c r="J95" s="313" t="s">
        <v>3049</v>
      </c>
    </row>
    <row r="96" spans="1:10">
      <c r="A96"/>
      <c r="B96"/>
      <c r="C96"/>
      <c r="D96"/>
      <c r="E96" s="3"/>
      <c r="F96"/>
      <c r="G96"/>
      <c r="H96"/>
      <c r="I96"/>
      <c r="J96"/>
    </row>
    <row r="97" spans="1:10">
      <c r="A97"/>
      <c r="B97"/>
      <c r="C97"/>
      <c r="D97"/>
      <c r="E97" s="3"/>
      <c r="F97"/>
      <c r="G97"/>
      <c r="H97"/>
      <c r="I97"/>
      <c r="J97"/>
    </row>
    <row r="98" spans="1:10">
      <c r="A98"/>
      <c r="B98"/>
      <c r="C98"/>
      <c r="D98"/>
      <c r="E98" s="3"/>
      <c r="F98"/>
      <c r="G98"/>
      <c r="H98"/>
      <c r="I98"/>
      <c r="J98"/>
    </row>
    <row r="99" spans="1:10">
      <c r="A99"/>
      <c r="B99"/>
      <c r="C99"/>
      <c r="D99"/>
      <c r="E99" s="3"/>
      <c r="F99"/>
      <c r="G99"/>
      <c r="H99"/>
      <c r="I99"/>
      <c r="J99"/>
    </row>
    <row r="100" spans="1:10">
      <c r="A100"/>
      <c r="B100"/>
      <c r="C100"/>
      <c r="D100"/>
      <c r="E100" s="3"/>
      <c r="F100"/>
      <c r="G100"/>
      <c r="H100"/>
      <c r="I100"/>
      <c r="J100"/>
    </row>
    <row r="101" spans="1:10">
      <c r="A101"/>
      <c r="B101"/>
      <c r="C101"/>
      <c r="D101"/>
      <c r="E101" s="3"/>
      <c r="F101"/>
      <c r="G101"/>
      <c r="H101"/>
      <c r="I101"/>
      <c r="J101"/>
    </row>
    <row r="102" spans="1:10">
      <c r="A102"/>
      <c r="B102"/>
      <c r="C102"/>
      <c r="D102"/>
      <c r="E102" s="3"/>
      <c r="F102"/>
      <c r="G102"/>
      <c r="H102"/>
      <c r="I102"/>
      <c r="J102"/>
    </row>
    <row r="103" spans="1:10">
      <c r="A103"/>
      <c r="B103"/>
      <c r="C103"/>
      <c r="D103"/>
      <c r="E103" s="3"/>
      <c r="F103"/>
      <c r="G103"/>
      <c r="H103"/>
      <c r="I103"/>
      <c r="J103"/>
    </row>
    <row r="104" spans="1:10">
      <c r="A104"/>
      <c r="B104"/>
      <c r="C104"/>
      <c r="D104"/>
      <c r="E104" s="3"/>
      <c r="F104"/>
      <c r="G104"/>
      <c r="H104"/>
      <c r="I104"/>
      <c r="J104"/>
    </row>
    <row r="105" spans="1:10">
      <c r="A105"/>
      <c r="B105"/>
      <c r="C105"/>
      <c r="D105"/>
      <c r="E105" s="3"/>
      <c r="F105"/>
      <c r="G105"/>
      <c r="H105"/>
      <c r="I105"/>
      <c r="J105"/>
    </row>
    <row r="106" spans="1:10">
      <c r="A106"/>
      <c r="B106"/>
      <c r="C106"/>
      <c r="D106"/>
      <c r="E106" s="3"/>
      <c r="F106"/>
      <c r="G106"/>
      <c r="H106"/>
      <c r="I106"/>
      <c r="J106"/>
    </row>
    <row r="107" spans="1:10">
      <c r="A107"/>
      <c r="B107"/>
      <c r="C107"/>
      <c r="D107"/>
      <c r="E107" s="3"/>
      <c r="F107"/>
      <c r="G107"/>
      <c r="H107"/>
      <c r="I107"/>
      <c r="J107"/>
    </row>
    <row r="108" spans="1:10">
      <c r="A108"/>
      <c r="B108"/>
      <c r="C108"/>
      <c r="D108"/>
      <c r="E108" s="3"/>
      <c r="F108"/>
      <c r="G108"/>
      <c r="H108"/>
      <c r="I108"/>
      <c r="J108"/>
    </row>
  </sheetData>
  <sheetProtection formatCells="0" formatColumns="0" formatRows="0" insertColumns="0" insertRows="0" insertHyperlinks="0" deleteColumns="0" deleteRows="0" sort="0" autoFilter="0" pivotTables="0"/>
  <phoneticPr fontId="7" type="noConversion"/>
  <pageMargins left="0.7" right="0.7" top="0.75" bottom="0.75" header="0.3" footer="0.3"/>
  <pageSetup orientation="portrait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FFFF00"/>
    <pageSetUpPr fitToPage="1"/>
  </sheetPr>
  <dimension ref="A1:CB828"/>
  <sheetViews>
    <sheetView showRuler="0" topLeftCell="AS1" zoomScale="85" zoomScaleNormal="85" workbookViewId="0">
      <pane ySplit="2" topLeftCell="A3" activePane="bottomLeft" state="frozen"/>
      <selection pane="bottomLeft" activeCell="BA1" sqref="BA1"/>
    </sheetView>
  </sheetViews>
  <sheetFormatPr defaultRowHeight="14.5"/>
  <cols>
    <col min="1" max="1" width="9.1796875" customWidth="1"/>
    <col min="2" max="2" width="11.453125" bestFit="1" customWidth="1"/>
    <col min="3" max="3" width="5.54296875" customWidth="1"/>
    <col min="4" max="4" width="7.7265625" customWidth="1"/>
    <col min="5" max="5" width="35.81640625" customWidth="1"/>
    <col min="6" max="6" width="14.26953125" customWidth="1"/>
    <col min="7" max="8" width="22.81640625" customWidth="1"/>
    <col min="9" max="9" width="31.1796875" customWidth="1"/>
    <col min="10" max="10" width="28.1796875" customWidth="1"/>
    <col min="11" max="11" width="13.1796875" customWidth="1"/>
    <col min="12" max="12" width="13.54296875" customWidth="1"/>
    <col min="13" max="13" width="14" style="78" customWidth="1"/>
    <col min="14" max="14" width="10.26953125" customWidth="1"/>
    <col min="15" max="15" width="11.81640625" customWidth="1"/>
    <col min="16" max="16" width="12.26953125" customWidth="1"/>
    <col min="17" max="17" width="15.7265625" customWidth="1"/>
    <col min="18" max="18" width="50.453125" customWidth="1"/>
    <col min="19" max="19" width="13.7265625" style="5" customWidth="1"/>
    <col min="20" max="20" width="13.81640625" customWidth="1"/>
    <col min="21" max="21" width="18.7265625" customWidth="1"/>
    <col min="22" max="22" width="14.81640625" customWidth="1"/>
    <col min="23" max="23" width="30" customWidth="1"/>
    <col min="24" max="24" width="15.1796875" customWidth="1"/>
    <col min="25" max="25" width="12" customWidth="1"/>
    <col min="26" max="26" width="10" customWidth="1"/>
    <col min="27" max="27" width="6.7265625" customWidth="1"/>
    <col min="28" max="28" width="22.453125" customWidth="1"/>
    <col min="29" max="29" width="15" customWidth="1"/>
    <col min="30" max="30" width="9.1796875" customWidth="1"/>
    <col min="31" max="31" width="18" customWidth="1"/>
    <col min="32" max="32" width="14.26953125" customWidth="1"/>
    <col min="33" max="33" width="14" customWidth="1"/>
    <col min="34" max="34" width="14.54296875" customWidth="1"/>
    <col min="35" max="35" width="18.26953125" customWidth="1"/>
    <col min="36" max="36" width="12.26953125" customWidth="1"/>
    <col min="37" max="37" width="9.1796875" customWidth="1"/>
    <col min="38" max="38" width="13.81640625" customWidth="1"/>
    <col min="39" max="39" width="14.81640625" style="15" customWidth="1"/>
    <col min="40" max="40" width="9.1796875" style="15" customWidth="1"/>
    <col min="41" max="41" width="10.7265625" style="15" customWidth="1"/>
    <col min="42" max="42" width="9.1796875" style="15" customWidth="1"/>
    <col min="43" max="43" width="9.1796875" customWidth="1"/>
    <col min="44" max="44" width="43.453125" customWidth="1"/>
    <col min="45" max="45" width="15.7265625" customWidth="1"/>
    <col min="46" max="46" width="7.54296875" customWidth="1"/>
    <col min="47" max="47" width="24.1796875" customWidth="1"/>
    <col min="48" max="48" width="10.81640625" customWidth="1"/>
    <col min="49" max="49" width="24.453125" customWidth="1"/>
    <col min="50" max="50" width="55.54296875" customWidth="1"/>
    <col min="51" max="51" width="0.1796875" customWidth="1"/>
    <col min="52" max="52" width="12.453125" customWidth="1"/>
    <col min="53" max="53" width="9.1796875" customWidth="1"/>
  </cols>
  <sheetData>
    <row r="1" spans="1:53" ht="45" customHeight="1">
      <c r="A1" s="56" t="s">
        <v>29</v>
      </c>
      <c r="B1" s="56" t="s">
        <v>30</v>
      </c>
      <c r="C1" s="2" t="s">
        <v>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3050</v>
      </c>
      <c r="I1" s="2" t="s">
        <v>35</v>
      </c>
      <c r="J1" s="2" t="s">
        <v>36</v>
      </c>
      <c r="K1" s="2" t="s">
        <v>37</v>
      </c>
      <c r="L1" s="2" t="s">
        <v>38</v>
      </c>
      <c r="M1" s="88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6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59</v>
      </c>
      <c r="AH1" s="2" t="s">
        <v>60</v>
      </c>
      <c r="AI1" s="2" t="s">
        <v>61</v>
      </c>
      <c r="AJ1" s="2" t="s">
        <v>62</v>
      </c>
      <c r="AK1" s="2" t="s">
        <v>63</v>
      </c>
      <c r="AL1" s="2" t="s">
        <v>64</v>
      </c>
      <c r="AM1" s="120" t="s">
        <v>17</v>
      </c>
      <c r="AN1" s="120" t="s">
        <v>65</v>
      </c>
      <c r="AO1" s="120" t="s">
        <v>66</v>
      </c>
      <c r="AP1" s="120" t="s">
        <v>67</v>
      </c>
      <c r="AQ1" s="2" t="s">
        <v>68</v>
      </c>
      <c r="AR1" s="2" t="s">
        <v>69</v>
      </c>
      <c r="AS1" s="2" t="s">
        <v>70</v>
      </c>
      <c r="AT1" s="2" t="s">
        <v>71</v>
      </c>
      <c r="AU1" s="2" t="s">
        <v>72</v>
      </c>
      <c r="AV1" s="2" t="s">
        <v>73</v>
      </c>
      <c r="AW1" s="2" t="s">
        <v>74</v>
      </c>
      <c r="AX1" s="2" t="s">
        <v>75</v>
      </c>
      <c r="AY1" s="2" t="s">
        <v>76</v>
      </c>
      <c r="AZ1" s="2" t="s">
        <v>30</v>
      </c>
      <c r="BA1" s="2" t="s">
        <v>77</v>
      </c>
    </row>
    <row r="2" spans="1:53" ht="16.5" customHeight="1">
      <c r="A2" s="273"/>
      <c r="B2" s="273"/>
      <c r="C2" s="302">
        <v>0</v>
      </c>
      <c r="D2" s="1">
        <v>1</v>
      </c>
      <c r="E2" s="1" t="s">
        <v>791</v>
      </c>
      <c r="F2" s="1">
        <v>40919552412</v>
      </c>
      <c r="G2" s="1" t="e">
        <v>#REF!</v>
      </c>
      <c r="H2" s="1" t="str">
        <f>VLOOKUP(D2,POSLODAVCI!$A$2:$J$107,9,0)</f>
        <v>Osijek</v>
      </c>
      <c r="I2" s="1" t="s">
        <v>792</v>
      </c>
      <c r="J2" s="1" t="s">
        <v>78</v>
      </c>
      <c r="K2" s="10">
        <v>42655</v>
      </c>
      <c r="L2" s="10">
        <v>42735</v>
      </c>
      <c r="M2" s="12"/>
      <c r="O2" s="11"/>
      <c r="P2" s="8"/>
      <c r="Q2" s="200"/>
      <c r="R2" s="200"/>
      <c r="S2" s="9"/>
      <c r="T2" s="200"/>
      <c r="Y2" s="7"/>
      <c r="AC2" s="183"/>
      <c r="AE2" s="183"/>
      <c r="AO2"/>
      <c r="AP2"/>
      <c r="AZ2" t="str">
        <f t="shared" ref="AZ2:AZ22" si="0">IF(L2&gt;0,"NEAKTIVAN","AKTIVAN")</f>
        <v>NEAKTIVAN</v>
      </c>
      <c r="BA2">
        <f t="shared" ref="BA2:BA22" si="1">A2</f>
        <v>0</v>
      </c>
    </row>
    <row r="3" spans="1:53" ht="15" customHeight="1">
      <c r="A3" s="273">
        <v>1</v>
      </c>
      <c r="B3" s="273" t="str">
        <f t="shared" ref="B3:B8" si="2">IF(L3&gt;0,"NEAKTIVAN","AKTIVAN")</f>
        <v>NEAKTIVAN</v>
      </c>
      <c r="C3" s="302">
        <f t="shared" ref="C3:C66" si="3">C2+1</f>
        <v>1</v>
      </c>
      <c r="D3" s="1">
        <v>3</v>
      </c>
      <c r="E3" s="1" t="str">
        <f>VLOOKUP(D3,Table3[[#All],[RB]:[OIB]],2,0)</f>
        <v>AGRO PMD d.o.o.</v>
      </c>
      <c r="F3" s="4" t="str">
        <f>VLOOKUP(D3,Table3[],3,0)</f>
        <v>09677499852</v>
      </c>
      <c r="G3" s="1" t="str">
        <f>VLOOKUP(D3,Table3[],4,0)</f>
        <v>Imre Bata</v>
      </c>
      <c r="H3" s="1" t="str">
        <f>VLOOKUP(D3,POSLODAVCI!$A$2:$J$107,9,0)</f>
        <v>Osijek</v>
      </c>
      <c r="I3" s="1" t="str">
        <f>VLOOKUP(D3,Table3[],10,0)</f>
        <v>Južno Pregrađe 38, Osijek</v>
      </c>
      <c r="J3" s="1" t="s">
        <v>91</v>
      </c>
      <c r="K3" s="11">
        <v>42807</v>
      </c>
      <c r="L3" s="11">
        <v>44018</v>
      </c>
      <c r="M3" s="13">
        <v>39112878817</v>
      </c>
      <c r="N3" t="s">
        <v>80</v>
      </c>
      <c r="O3" s="11">
        <v>30586</v>
      </c>
      <c r="P3" s="16" t="s">
        <v>81</v>
      </c>
      <c r="Q3" s="16" t="s">
        <v>82</v>
      </c>
      <c r="R3" s="16" t="s">
        <v>92</v>
      </c>
      <c r="S3" s="17" t="s">
        <v>83</v>
      </c>
      <c r="T3" s="16" t="s">
        <v>84</v>
      </c>
      <c r="V3" s="16" t="s">
        <v>93</v>
      </c>
      <c r="W3" s="16" t="s">
        <v>93</v>
      </c>
      <c r="X3" s="303" t="s">
        <v>103</v>
      </c>
      <c r="Y3" s="7"/>
      <c r="Z3" s="16" t="s">
        <v>86</v>
      </c>
      <c r="AA3">
        <v>40</v>
      </c>
      <c r="AC3" s="183"/>
      <c r="AE3" s="183"/>
      <c r="AH3" s="16" t="s">
        <v>94</v>
      </c>
      <c r="AL3" s="16" t="s">
        <v>87</v>
      </c>
      <c r="AM3" s="15">
        <v>3276</v>
      </c>
      <c r="AO3"/>
      <c r="AP3">
        <v>789</v>
      </c>
      <c r="AZ3" t="str">
        <f t="shared" si="0"/>
        <v>NEAKTIVAN</v>
      </c>
      <c r="BA3">
        <f t="shared" si="1"/>
        <v>1</v>
      </c>
    </row>
    <row r="4" spans="1:53" ht="15" customHeight="1">
      <c r="A4" s="273">
        <v>2</v>
      </c>
      <c r="B4" s="273" t="str">
        <f t="shared" si="2"/>
        <v>NEAKTIVAN</v>
      </c>
      <c r="C4" s="302">
        <f t="shared" si="3"/>
        <v>2</v>
      </c>
      <c r="D4" s="1">
        <v>3</v>
      </c>
      <c r="E4" s="1" t="str">
        <f>VLOOKUP(D4,Table3[[#All],[RB]:[OIB]],2,0)</f>
        <v>AGRO PMD d.o.o.</v>
      </c>
      <c r="F4" s="4" t="str">
        <f>VLOOKUP(D4,Table3[],3,0)</f>
        <v>09677499852</v>
      </c>
      <c r="G4" s="1" t="str">
        <f>VLOOKUP(D4,Table3[],4,0)</f>
        <v>Imre Bata</v>
      </c>
      <c r="H4" s="1" t="str">
        <f>VLOOKUP(D4,POSLODAVCI!$A$2:$J$107,9,0)</f>
        <v>Osijek</v>
      </c>
      <c r="I4" s="1" t="str">
        <f>VLOOKUP(D4,Table3[],10,0)</f>
        <v>Južno Pregrađe 38, Osijek</v>
      </c>
      <c r="J4" s="1" t="s">
        <v>95</v>
      </c>
      <c r="K4" s="11">
        <v>42767</v>
      </c>
      <c r="L4" s="11">
        <v>42855</v>
      </c>
      <c r="M4" s="13">
        <v>16492860682</v>
      </c>
      <c r="N4" t="s">
        <v>89</v>
      </c>
      <c r="O4" s="11">
        <v>22460</v>
      </c>
      <c r="P4" s="16" t="s">
        <v>81</v>
      </c>
      <c r="Q4" s="16" t="s">
        <v>82</v>
      </c>
      <c r="R4" s="16" t="s">
        <v>81</v>
      </c>
      <c r="S4" s="17" t="s">
        <v>83</v>
      </c>
      <c r="T4" s="16" t="s">
        <v>84</v>
      </c>
      <c r="V4" s="16" t="s">
        <v>96</v>
      </c>
      <c r="W4" s="16" t="s">
        <v>97</v>
      </c>
      <c r="X4" s="303" t="s">
        <v>85</v>
      </c>
      <c r="Y4" s="7">
        <v>42855</v>
      </c>
      <c r="Z4" s="16" t="s">
        <v>86</v>
      </c>
      <c r="AA4">
        <v>40</v>
      </c>
      <c r="AC4" s="183"/>
      <c r="AE4" s="183"/>
      <c r="AH4" s="16" t="s">
        <v>94</v>
      </c>
      <c r="AL4" s="16" t="s">
        <v>83</v>
      </c>
      <c r="AM4" s="15">
        <v>3276</v>
      </c>
      <c r="AO4"/>
      <c r="AP4"/>
      <c r="AZ4" t="str">
        <f t="shared" si="0"/>
        <v>NEAKTIVAN</v>
      </c>
      <c r="BA4">
        <f t="shared" si="1"/>
        <v>2</v>
      </c>
    </row>
    <row r="5" spans="1:53" ht="15" customHeight="1">
      <c r="A5" s="273">
        <v>3</v>
      </c>
      <c r="B5" s="273" t="str">
        <f t="shared" si="2"/>
        <v>NEAKTIVAN</v>
      </c>
      <c r="C5" s="302">
        <f t="shared" si="3"/>
        <v>3</v>
      </c>
      <c r="D5" s="1">
        <v>3</v>
      </c>
      <c r="E5" s="1" t="str">
        <f>VLOOKUP(D5,Table3[[#All],[RB]:[OIB]],2,0)</f>
        <v>AGRO PMD d.o.o.</v>
      </c>
      <c r="F5" s="4" t="str">
        <f>VLOOKUP(D5,Table3[],3,0)</f>
        <v>09677499852</v>
      </c>
      <c r="G5" s="1" t="str">
        <f>VLOOKUP(D5,Table3[],4,0)</f>
        <v>Imre Bata</v>
      </c>
      <c r="H5" s="1" t="str">
        <f>VLOOKUP(D5,POSLODAVCI!$A$2:$J$107,9,0)</f>
        <v>Osijek</v>
      </c>
      <c r="I5" s="1" t="str">
        <f>VLOOKUP(D5,Table3[],10,0)</f>
        <v>Južno Pregrađe 38, Osijek</v>
      </c>
      <c r="J5" s="1" t="s">
        <v>98</v>
      </c>
      <c r="K5" s="11">
        <v>42762</v>
      </c>
      <c r="L5" s="11">
        <v>44377</v>
      </c>
      <c r="M5" s="13">
        <v>60374543571</v>
      </c>
      <c r="N5" t="s">
        <v>89</v>
      </c>
      <c r="O5" s="11">
        <v>24809</v>
      </c>
      <c r="P5" s="16" t="s">
        <v>99</v>
      </c>
      <c r="Q5" s="16" t="s">
        <v>82</v>
      </c>
      <c r="R5" s="16" t="s">
        <v>100</v>
      </c>
      <c r="S5" s="17" t="s">
        <v>83</v>
      </c>
      <c r="T5" s="16" t="s">
        <v>84</v>
      </c>
      <c r="V5" s="16" t="s">
        <v>101</v>
      </c>
      <c r="W5" s="16" t="s">
        <v>102</v>
      </c>
      <c r="X5" s="303" t="s">
        <v>103</v>
      </c>
      <c r="Z5" s="16" t="s">
        <v>86</v>
      </c>
      <c r="AA5">
        <v>40</v>
      </c>
      <c r="AC5" s="183"/>
      <c r="AE5" s="183"/>
      <c r="AH5" s="16" t="s">
        <v>94</v>
      </c>
      <c r="AL5" s="16" t="s">
        <v>83</v>
      </c>
      <c r="AM5" s="15">
        <v>5089.67</v>
      </c>
      <c r="AN5" s="15">
        <v>1</v>
      </c>
      <c r="AO5" s="15">
        <v>4000</v>
      </c>
      <c r="AP5"/>
      <c r="AS5">
        <v>20</v>
      </c>
      <c r="AZ5" t="str">
        <f t="shared" si="0"/>
        <v>NEAKTIVAN</v>
      </c>
      <c r="BA5">
        <f t="shared" si="1"/>
        <v>3</v>
      </c>
    </row>
    <row r="6" spans="1:53" ht="15" customHeight="1">
      <c r="A6" s="273">
        <v>4</v>
      </c>
      <c r="B6" s="273" t="str">
        <f t="shared" si="2"/>
        <v>NEAKTIVAN</v>
      </c>
      <c r="C6" s="302">
        <f t="shared" si="3"/>
        <v>4</v>
      </c>
      <c r="D6" s="1">
        <v>3</v>
      </c>
      <c r="E6" s="1" t="str">
        <f>VLOOKUP(D6,Table3[[#All],[RB]:[OIB]],2,0)</f>
        <v>AGRO PMD d.o.o.</v>
      </c>
      <c r="F6" s="4" t="str">
        <f>VLOOKUP(D6,Table3[],3,0)</f>
        <v>09677499852</v>
      </c>
      <c r="G6" s="1" t="str">
        <f>VLOOKUP(D6,Table3[],4,0)</f>
        <v>Imre Bata</v>
      </c>
      <c r="H6" s="1" t="str">
        <f>VLOOKUP(D6,POSLODAVCI!$A$2:$J$107,9,0)</f>
        <v>Osijek</v>
      </c>
      <c r="I6" s="1" t="str">
        <f>VLOOKUP(D6,Table3[],10,0)</f>
        <v>Južno Pregrađe 38, Osijek</v>
      </c>
      <c r="J6" s="1" t="s">
        <v>104</v>
      </c>
      <c r="K6" s="11">
        <v>42731</v>
      </c>
      <c r="L6" s="11">
        <v>43220</v>
      </c>
      <c r="M6" s="13">
        <v>71227367665</v>
      </c>
      <c r="N6" t="s">
        <v>89</v>
      </c>
      <c r="O6" s="11">
        <v>27165</v>
      </c>
      <c r="P6" s="16" t="s">
        <v>105</v>
      </c>
      <c r="Q6" s="16" t="s">
        <v>82</v>
      </c>
      <c r="R6" s="16" t="s">
        <v>106</v>
      </c>
      <c r="S6" s="17" t="s">
        <v>83</v>
      </c>
      <c r="T6" s="16" t="s">
        <v>84</v>
      </c>
      <c r="V6" s="16" t="s">
        <v>101</v>
      </c>
      <c r="W6" s="16" t="s">
        <v>102</v>
      </c>
      <c r="X6" s="303" t="s">
        <v>103</v>
      </c>
      <c r="Z6" s="16" t="s">
        <v>86</v>
      </c>
      <c r="AA6">
        <v>40</v>
      </c>
      <c r="AC6" s="183"/>
      <c r="AE6" s="183"/>
      <c r="AH6" s="16" t="s">
        <v>94</v>
      </c>
      <c r="AL6" s="16" t="s">
        <v>83</v>
      </c>
      <c r="AM6" s="15">
        <v>3439.8</v>
      </c>
      <c r="AO6"/>
      <c r="AP6"/>
      <c r="AS6">
        <v>20</v>
      </c>
      <c r="AZ6" t="str">
        <f t="shared" si="0"/>
        <v>NEAKTIVAN</v>
      </c>
      <c r="BA6">
        <f t="shared" si="1"/>
        <v>4</v>
      </c>
    </row>
    <row r="7" spans="1:53" ht="15" customHeight="1">
      <c r="A7" s="273">
        <v>5</v>
      </c>
      <c r="B7" s="273" t="str">
        <f t="shared" si="2"/>
        <v>NEAKTIVAN</v>
      </c>
      <c r="C7" s="302">
        <f t="shared" si="3"/>
        <v>5</v>
      </c>
      <c r="D7" s="1">
        <v>3</v>
      </c>
      <c r="E7" s="1" t="str">
        <f>VLOOKUP(D7,Table3[[#All],[RB]:[OIB]],2,0)</f>
        <v>AGRO PMD d.o.o.</v>
      </c>
      <c r="F7" s="4" t="str">
        <f>VLOOKUP(D7,Table3[],3,0)</f>
        <v>09677499852</v>
      </c>
      <c r="G7" s="1" t="str">
        <f>VLOOKUP(D7,Table3[],4,0)</f>
        <v>Imre Bata</v>
      </c>
      <c r="H7" s="1" t="str">
        <f>VLOOKUP(D7,POSLODAVCI!$A$2:$J$107,9,0)</f>
        <v>Osijek</v>
      </c>
      <c r="I7" s="1" t="str">
        <f>VLOOKUP(D7,Table3[],10,0)</f>
        <v>Južno Pregrađe 38, Osijek</v>
      </c>
      <c r="J7" s="1" t="s">
        <v>107</v>
      </c>
      <c r="K7" s="11">
        <v>42731</v>
      </c>
      <c r="L7" s="11">
        <v>43343</v>
      </c>
      <c r="M7" s="13">
        <v>43576534952</v>
      </c>
      <c r="N7" t="s">
        <v>89</v>
      </c>
      <c r="O7" s="11">
        <v>24923</v>
      </c>
      <c r="P7" s="16" t="s">
        <v>81</v>
      </c>
      <c r="Q7" s="16" t="s">
        <v>82</v>
      </c>
      <c r="R7" s="16" t="s">
        <v>108</v>
      </c>
      <c r="S7" s="17" t="s">
        <v>83</v>
      </c>
      <c r="T7" s="16" t="s">
        <v>84</v>
      </c>
      <c r="V7" s="16" t="s">
        <v>101</v>
      </c>
      <c r="W7" s="16" t="s">
        <v>102</v>
      </c>
      <c r="X7" s="303" t="s">
        <v>103</v>
      </c>
      <c r="Z7" s="16" t="s">
        <v>86</v>
      </c>
      <c r="AA7">
        <v>40</v>
      </c>
      <c r="AC7" s="183"/>
      <c r="AE7" s="183"/>
      <c r="AH7" s="16" t="s">
        <v>94</v>
      </c>
      <c r="AL7" s="16" t="s">
        <v>83</v>
      </c>
      <c r="AM7" s="15">
        <v>3820</v>
      </c>
      <c r="AO7"/>
      <c r="AP7"/>
      <c r="AS7">
        <v>20</v>
      </c>
      <c r="AZ7" t="str">
        <f t="shared" si="0"/>
        <v>NEAKTIVAN</v>
      </c>
      <c r="BA7">
        <f t="shared" si="1"/>
        <v>5</v>
      </c>
    </row>
    <row r="8" spans="1:53" ht="15" customHeight="1">
      <c r="A8" s="273">
        <v>6</v>
      </c>
      <c r="B8" s="273" t="str">
        <f t="shared" si="2"/>
        <v>NEAKTIVAN</v>
      </c>
      <c r="C8" s="302">
        <f t="shared" si="3"/>
        <v>6</v>
      </c>
      <c r="D8" s="1">
        <v>3</v>
      </c>
      <c r="E8" s="1" t="str">
        <f>VLOOKUP(D8,Table3[[#All],[RB]:[OIB]],2,0)</f>
        <v>AGRO PMD d.o.o.</v>
      </c>
      <c r="F8" s="4" t="str">
        <f>VLOOKUP(D8,Table3[],3,0)</f>
        <v>09677499852</v>
      </c>
      <c r="G8" s="1" t="str">
        <f>VLOOKUP(D8,Table3[],4,0)</f>
        <v>Imre Bata</v>
      </c>
      <c r="H8" s="1" t="str">
        <f>VLOOKUP(D8,POSLODAVCI!$A$2:$J$107,9,0)</f>
        <v>Osijek</v>
      </c>
      <c r="I8" s="1" t="str">
        <f>VLOOKUP(D8,Table3[],10,0)</f>
        <v>Južno Pregrađe 38, Osijek</v>
      </c>
      <c r="J8" s="1" t="s">
        <v>109</v>
      </c>
      <c r="K8" s="11">
        <v>42762</v>
      </c>
      <c r="L8" s="11">
        <v>42944</v>
      </c>
      <c r="M8" s="13">
        <v>92077518820</v>
      </c>
      <c r="N8" t="s">
        <v>89</v>
      </c>
      <c r="O8" s="11">
        <v>30146</v>
      </c>
      <c r="P8" s="16" t="s">
        <v>110</v>
      </c>
      <c r="Q8" s="16" t="s">
        <v>82</v>
      </c>
      <c r="R8" s="16" t="s">
        <v>110</v>
      </c>
      <c r="S8" s="17" t="s">
        <v>83</v>
      </c>
      <c r="T8" s="16" t="s">
        <v>84</v>
      </c>
      <c r="V8" s="16" t="s">
        <v>101</v>
      </c>
      <c r="W8" s="16" t="s">
        <v>102</v>
      </c>
      <c r="X8" s="303" t="s">
        <v>103</v>
      </c>
      <c r="Z8" s="16" t="s">
        <v>1894</v>
      </c>
      <c r="AA8">
        <v>20</v>
      </c>
      <c r="AC8" s="183"/>
      <c r="AE8" s="183"/>
      <c r="AH8" s="16" t="s">
        <v>94</v>
      </c>
      <c r="AL8" s="16" t="s">
        <v>83</v>
      </c>
      <c r="AM8" s="15">
        <v>3276</v>
      </c>
      <c r="AO8"/>
      <c r="AP8"/>
      <c r="AZ8" t="str">
        <f t="shared" si="0"/>
        <v>NEAKTIVAN</v>
      </c>
      <c r="BA8">
        <f t="shared" si="1"/>
        <v>6</v>
      </c>
    </row>
    <row r="9" spans="1:53" ht="15" customHeight="1">
      <c r="A9" s="273">
        <v>1</v>
      </c>
      <c r="B9" s="273" t="str">
        <f>IF(L9&gt;0,"NEAKTIVAN","AKTIVAN")</f>
        <v>NEAKTIVAN</v>
      </c>
      <c r="C9" s="302">
        <f t="shared" si="3"/>
        <v>7</v>
      </c>
      <c r="D9" s="1">
        <v>6</v>
      </c>
      <c r="E9" s="1" t="str">
        <f>VLOOKUP(D9,Table3[[#All],[RB]:[OIB]],2,0)</f>
        <v>Promo Top d.o.o.</v>
      </c>
      <c r="F9" s="4">
        <f>VLOOKUP(D9,Table3[],3,0)</f>
        <v>28718529165</v>
      </c>
      <c r="G9" s="1" t="str">
        <f>VLOOKUP(D9,Table3[],4,0)</f>
        <v>Anita Szalai</v>
      </c>
      <c r="H9" s="1" t="str">
        <f>VLOOKUP(D9,POSLODAVCI!$A$2:$J$107,9,0)</f>
        <v>Osijek</v>
      </c>
      <c r="I9" s="1" t="str">
        <f>VLOOKUP(D9,Table3[],10,0)</f>
        <v>J.J. Strossmayera 333, 31000 Osijek</v>
      </c>
      <c r="J9" s="1" t="s">
        <v>212</v>
      </c>
      <c r="K9" s="61">
        <v>43026</v>
      </c>
      <c r="L9" s="61">
        <v>43100</v>
      </c>
      <c r="M9" s="78">
        <v>60253869864</v>
      </c>
      <c r="N9" t="s">
        <v>80</v>
      </c>
      <c r="O9" s="7">
        <v>30322</v>
      </c>
      <c r="P9" s="16" t="s">
        <v>94</v>
      </c>
      <c r="Q9" t="s">
        <v>82</v>
      </c>
      <c r="R9" t="s">
        <v>213</v>
      </c>
      <c r="S9" s="5" t="s">
        <v>83</v>
      </c>
      <c r="T9" t="s">
        <v>84</v>
      </c>
      <c r="V9" s="16" t="s">
        <v>143</v>
      </c>
      <c r="W9" s="16" t="s">
        <v>143</v>
      </c>
      <c r="X9" s="304" t="s">
        <v>103</v>
      </c>
      <c r="Z9" t="s">
        <v>86</v>
      </c>
      <c r="AA9">
        <v>40</v>
      </c>
      <c r="AC9" s="183"/>
      <c r="AE9" s="183"/>
      <c r="AH9" t="s">
        <v>94</v>
      </c>
      <c r="AL9" t="s">
        <v>83</v>
      </c>
      <c r="AM9" s="15">
        <v>3276</v>
      </c>
      <c r="AN9" s="184">
        <v>1</v>
      </c>
      <c r="AO9" s="15">
        <v>2620.8000000000002</v>
      </c>
      <c r="AP9"/>
      <c r="AS9">
        <v>5</v>
      </c>
      <c r="AV9">
        <v>8</v>
      </c>
      <c r="AW9" t="s">
        <v>138</v>
      </c>
      <c r="AY9">
        <f t="shared" ref="AY9:AY22" si="4">AS9-AT9-AX9-AV9</f>
        <v>-3</v>
      </c>
      <c r="AZ9" t="str">
        <f t="shared" si="0"/>
        <v>NEAKTIVAN</v>
      </c>
      <c r="BA9">
        <f t="shared" si="1"/>
        <v>1</v>
      </c>
    </row>
    <row r="10" spans="1:53" ht="15" customHeight="1">
      <c r="A10" s="273">
        <v>2</v>
      </c>
      <c r="B10" s="273" t="str">
        <f>IF(L10&gt;0,"NEAKTIVAN","AKTIVAN")</f>
        <v>NEAKTIVAN</v>
      </c>
      <c r="C10" s="302">
        <f t="shared" si="3"/>
        <v>8</v>
      </c>
      <c r="D10" s="1">
        <v>6</v>
      </c>
      <c r="E10" s="1" t="str">
        <f>VLOOKUP(D10,Table3[[#All],[RB]:[OIB]],2,0)</f>
        <v>Promo Top d.o.o.</v>
      </c>
      <c r="F10" s="4">
        <f>VLOOKUP(D10,Table3[],3,0)</f>
        <v>28718529165</v>
      </c>
      <c r="G10" s="1" t="str">
        <f>VLOOKUP(D10,Table3[],4,0)</f>
        <v>Anita Szalai</v>
      </c>
      <c r="H10" s="1" t="str">
        <f>VLOOKUP(D10,POSLODAVCI!$A$2:$J$107,9,0)</f>
        <v>Osijek</v>
      </c>
      <c r="I10" s="1" t="str">
        <f>VLOOKUP(D10,Table3[],10,0)</f>
        <v>J.J. Strossmayera 333, 31000 Osijek</v>
      </c>
      <c r="J10" s="1" t="s">
        <v>214</v>
      </c>
      <c r="K10" s="61">
        <v>43027</v>
      </c>
      <c r="L10" s="61">
        <v>43046</v>
      </c>
      <c r="M10" s="78">
        <v>66048944249</v>
      </c>
      <c r="N10" t="s">
        <v>89</v>
      </c>
      <c r="O10" s="7">
        <v>29884</v>
      </c>
      <c r="P10" s="16" t="s">
        <v>94</v>
      </c>
      <c r="Q10" t="s">
        <v>82</v>
      </c>
      <c r="R10" t="s">
        <v>215</v>
      </c>
      <c r="S10" s="17" t="s">
        <v>83</v>
      </c>
      <c r="T10" t="s">
        <v>84</v>
      </c>
      <c r="V10" s="16" t="s">
        <v>143</v>
      </c>
      <c r="W10" s="16" t="s">
        <v>143</v>
      </c>
      <c r="X10" s="303" t="s">
        <v>103</v>
      </c>
      <c r="Z10" t="s">
        <v>86</v>
      </c>
      <c r="AA10">
        <v>40</v>
      </c>
      <c r="AC10" s="183"/>
      <c r="AE10" s="183"/>
      <c r="AH10" t="s">
        <v>94</v>
      </c>
      <c r="AL10" t="s">
        <v>83</v>
      </c>
      <c r="AM10" s="15">
        <v>3276</v>
      </c>
      <c r="AN10" s="79">
        <v>1</v>
      </c>
      <c r="AO10" s="15">
        <v>2620.8000000000002</v>
      </c>
      <c r="AP10"/>
      <c r="AR10" s="16"/>
      <c r="AS10">
        <v>5</v>
      </c>
      <c r="AV10">
        <v>9</v>
      </c>
      <c r="AW10" t="s">
        <v>144</v>
      </c>
      <c r="AY10">
        <f t="shared" si="4"/>
        <v>-4</v>
      </c>
      <c r="AZ10" t="str">
        <f t="shared" si="0"/>
        <v>NEAKTIVAN</v>
      </c>
      <c r="BA10">
        <f t="shared" si="1"/>
        <v>2</v>
      </c>
    </row>
    <row r="11" spans="1:53" ht="15" customHeight="1">
      <c r="A11" s="273">
        <v>3</v>
      </c>
      <c r="B11" s="273" t="str">
        <f t="shared" ref="B11:B74" si="5">IF(L11&gt;0,"NEAKTIVAN","AKTIVAN")</f>
        <v>NEAKTIVAN</v>
      </c>
      <c r="C11" s="302">
        <f t="shared" si="3"/>
        <v>9</v>
      </c>
      <c r="D11" s="1">
        <v>6</v>
      </c>
      <c r="E11" s="1" t="str">
        <f>VLOOKUP(D11,Table3[[#All],[RB]:[OIB]],2,0)</f>
        <v>Promo Top d.o.o.</v>
      </c>
      <c r="F11" s="4">
        <f>VLOOKUP(D11,Table3[],3,0)</f>
        <v>28718529165</v>
      </c>
      <c r="G11" s="1" t="str">
        <f>VLOOKUP(D11,Table3[],4,0)</f>
        <v>Anita Szalai</v>
      </c>
      <c r="H11" s="1" t="str">
        <f>VLOOKUP(D11,POSLODAVCI!$A$2:$J$107,9,0)</f>
        <v>Osijek</v>
      </c>
      <c r="I11" s="1" t="str">
        <f>VLOOKUP(D11,Table3[],10,0)</f>
        <v>J.J. Strossmayera 333, 31000 Osijek</v>
      </c>
      <c r="J11" s="1" t="s">
        <v>216</v>
      </c>
      <c r="K11" s="61">
        <v>43033</v>
      </c>
      <c r="L11" s="61">
        <v>43048</v>
      </c>
      <c r="M11" s="78">
        <v>67658425556</v>
      </c>
      <c r="N11" t="s">
        <v>89</v>
      </c>
      <c r="O11" s="7">
        <v>35149</v>
      </c>
      <c r="P11" s="16" t="s">
        <v>217</v>
      </c>
      <c r="Q11" t="s">
        <v>82</v>
      </c>
      <c r="R11" t="s">
        <v>218</v>
      </c>
      <c r="S11" s="5" t="s">
        <v>83</v>
      </c>
      <c r="T11" t="s">
        <v>84</v>
      </c>
      <c r="V11" s="16" t="s">
        <v>116</v>
      </c>
      <c r="W11" s="16" t="s">
        <v>116</v>
      </c>
      <c r="X11" s="304" t="s">
        <v>103</v>
      </c>
      <c r="Z11" t="s">
        <v>86</v>
      </c>
      <c r="AA11">
        <v>40</v>
      </c>
      <c r="AC11" s="183"/>
      <c r="AE11" s="183"/>
      <c r="AH11" s="16" t="s">
        <v>219</v>
      </c>
      <c r="AL11" t="s">
        <v>83</v>
      </c>
      <c r="AM11" s="15">
        <v>4375</v>
      </c>
      <c r="AN11" s="184">
        <v>1</v>
      </c>
      <c r="AO11" s="15">
        <v>3500</v>
      </c>
      <c r="AP11"/>
      <c r="AS11">
        <v>4</v>
      </c>
      <c r="AV11">
        <v>9</v>
      </c>
      <c r="AW11" t="s">
        <v>144</v>
      </c>
      <c r="AY11">
        <f t="shared" si="4"/>
        <v>-5</v>
      </c>
      <c r="AZ11" t="str">
        <f t="shared" si="0"/>
        <v>NEAKTIVAN</v>
      </c>
      <c r="BA11">
        <f t="shared" si="1"/>
        <v>3</v>
      </c>
    </row>
    <row r="12" spans="1:53" ht="15" customHeight="1">
      <c r="A12" s="273">
        <v>4</v>
      </c>
      <c r="B12" s="273" t="str">
        <f t="shared" si="5"/>
        <v>NEAKTIVAN</v>
      </c>
      <c r="C12" s="302">
        <f t="shared" si="3"/>
        <v>10</v>
      </c>
      <c r="D12" s="1">
        <v>6</v>
      </c>
      <c r="E12" s="1" t="str">
        <f>VLOOKUP(D12,Table3[[#All],[RB]:[OIB]],2,0)</f>
        <v>Promo Top d.o.o.</v>
      </c>
      <c r="F12" s="4">
        <f>VLOOKUP(D12,Table3[],3,0)</f>
        <v>28718529165</v>
      </c>
      <c r="G12" s="1" t="str">
        <f>VLOOKUP(D12,Table3[],4,0)</f>
        <v>Anita Szalai</v>
      </c>
      <c r="H12" s="1" t="str">
        <f>VLOOKUP(D12,POSLODAVCI!$A$2:$J$107,9,0)</f>
        <v>Osijek</v>
      </c>
      <c r="I12" s="1" t="str">
        <f>VLOOKUP(D12,Table3[],10,0)</f>
        <v>J.J. Strossmayera 333, 31000 Osijek</v>
      </c>
      <c r="J12" s="1" t="s">
        <v>220</v>
      </c>
      <c r="K12" s="61">
        <v>43033</v>
      </c>
      <c r="L12" s="61">
        <v>43100</v>
      </c>
      <c r="M12" s="78">
        <v>18058630382</v>
      </c>
      <c r="N12" t="s">
        <v>89</v>
      </c>
      <c r="O12" s="7">
        <v>34896</v>
      </c>
      <c r="P12" s="16" t="s">
        <v>94</v>
      </c>
      <c r="Q12" t="s">
        <v>82</v>
      </c>
      <c r="R12" t="s">
        <v>221</v>
      </c>
      <c r="S12" s="5" t="s">
        <v>83</v>
      </c>
      <c r="T12" t="s">
        <v>84</v>
      </c>
      <c r="V12" s="16" t="s">
        <v>116</v>
      </c>
      <c r="W12" s="16" t="s">
        <v>116</v>
      </c>
      <c r="X12" s="304" t="s">
        <v>103</v>
      </c>
      <c r="Z12" t="s">
        <v>86</v>
      </c>
      <c r="AA12">
        <v>40</v>
      </c>
      <c r="AC12" s="183"/>
      <c r="AE12" s="183"/>
      <c r="AH12" s="16" t="s">
        <v>219</v>
      </c>
      <c r="AL12" t="s">
        <v>83</v>
      </c>
      <c r="AM12" s="15">
        <v>4375</v>
      </c>
      <c r="AN12" s="184">
        <v>1</v>
      </c>
      <c r="AO12" s="15">
        <v>3500</v>
      </c>
      <c r="AP12"/>
      <c r="AS12">
        <v>4</v>
      </c>
      <c r="AV12">
        <v>9</v>
      </c>
      <c r="AW12" t="s">
        <v>144</v>
      </c>
      <c r="AY12">
        <f t="shared" si="4"/>
        <v>-5</v>
      </c>
      <c r="AZ12" t="str">
        <f t="shared" si="0"/>
        <v>NEAKTIVAN</v>
      </c>
      <c r="BA12">
        <f t="shared" si="1"/>
        <v>4</v>
      </c>
    </row>
    <row r="13" spans="1:53" ht="15" customHeight="1">
      <c r="A13" s="273">
        <v>5</v>
      </c>
      <c r="B13" s="273" t="str">
        <f t="shared" si="5"/>
        <v>NEAKTIVAN</v>
      </c>
      <c r="C13" s="302">
        <f t="shared" si="3"/>
        <v>11</v>
      </c>
      <c r="D13" s="1">
        <v>6</v>
      </c>
      <c r="E13" s="1" t="str">
        <f>VLOOKUP(D13,Table3[[#All],[RB]:[OIB]],2,0)</f>
        <v>Promo Top d.o.o.</v>
      </c>
      <c r="F13" s="4">
        <f>VLOOKUP(D13,Table3[],3,0)</f>
        <v>28718529165</v>
      </c>
      <c r="G13" s="1" t="str">
        <f>VLOOKUP(D13,Table3[],4,0)</f>
        <v>Anita Szalai</v>
      </c>
      <c r="H13" s="1" t="str">
        <f>VLOOKUP(D13,POSLODAVCI!$A$2:$J$107,9,0)</f>
        <v>Osijek</v>
      </c>
      <c r="I13" s="1" t="str">
        <f>VLOOKUP(D13,Table3[],10,0)</f>
        <v>J.J. Strossmayera 333, 31000 Osijek</v>
      </c>
      <c r="J13" s="1" t="s">
        <v>222</v>
      </c>
      <c r="K13" s="61">
        <v>43035</v>
      </c>
      <c r="L13" s="61">
        <v>43100</v>
      </c>
      <c r="M13" s="3" t="s">
        <v>223</v>
      </c>
      <c r="N13" t="s">
        <v>80</v>
      </c>
      <c r="O13" s="7">
        <v>32267</v>
      </c>
      <c r="P13" s="16" t="s">
        <v>94</v>
      </c>
      <c r="Q13" t="s">
        <v>82</v>
      </c>
      <c r="R13" t="s">
        <v>224</v>
      </c>
      <c r="S13" s="5" t="s">
        <v>83</v>
      </c>
      <c r="T13" t="s">
        <v>84</v>
      </c>
      <c r="V13" s="16" t="s">
        <v>143</v>
      </c>
      <c r="W13" s="16" t="s">
        <v>143</v>
      </c>
      <c r="X13" s="303" t="s">
        <v>103</v>
      </c>
      <c r="Z13" t="s">
        <v>86</v>
      </c>
      <c r="AA13">
        <v>40</v>
      </c>
      <c r="AC13" s="183"/>
      <c r="AE13" s="183"/>
      <c r="AH13" t="s">
        <v>94</v>
      </c>
      <c r="AL13" t="s">
        <v>83</v>
      </c>
      <c r="AM13" s="15">
        <v>3276</v>
      </c>
      <c r="AN13" s="184">
        <v>1</v>
      </c>
      <c r="AO13" s="15">
        <v>2620.8000000000002</v>
      </c>
      <c r="AP13"/>
      <c r="AR13" s="16"/>
      <c r="AS13">
        <v>4</v>
      </c>
      <c r="AV13">
        <v>8</v>
      </c>
      <c r="AW13" t="s">
        <v>138</v>
      </c>
      <c r="AY13">
        <f t="shared" si="4"/>
        <v>-4</v>
      </c>
      <c r="AZ13" t="str">
        <f t="shared" si="0"/>
        <v>NEAKTIVAN</v>
      </c>
      <c r="BA13">
        <f t="shared" si="1"/>
        <v>5</v>
      </c>
    </row>
    <row r="14" spans="1:53" ht="15" customHeight="1">
      <c r="A14" s="273">
        <v>6</v>
      </c>
      <c r="B14" s="273" t="str">
        <f t="shared" si="5"/>
        <v>NEAKTIVAN</v>
      </c>
      <c r="C14" s="302">
        <f t="shared" si="3"/>
        <v>12</v>
      </c>
      <c r="D14" s="1">
        <v>6</v>
      </c>
      <c r="E14" s="1" t="str">
        <f>VLOOKUP(D14,Table3[[#All],[RB]:[OIB]],2,0)</f>
        <v>Promo Top d.o.o.</v>
      </c>
      <c r="F14" s="4">
        <f>VLOOKUP(D14,Table3[],3,0)</f>
        <v>28718529165</v>
      </c>
      <c r="G14" s="1" t="str">
        <f>VLOOKUP(D14,Table3[],4,0)</f>
        <v>Anita Szalai</v>
      </c>
      <c r="H14" s="1" t="str">
        <f>VLOOKUP(D14,POSLODAVCI!$A$2:$J$107,9,0)</f>
        <v>Osijek</v>
      </c>
      <c r="I14" s="1" t="str">
        <f>VLOOKUP(D14,Table3[],10,0)</f>
        <v>J.J. Strossmayera 333, 31000 Osijek</v>
      </c>
      <c r="J14" s="1" t="s">
        <v>225</v>
      </c>
      <c r="K14" s="61">
        <v>43038</v>
      </c>
      <c r="L14" s="61">
        <v>43100</v>
      </c>
      <c r="M14" s="78">
        <v>20112988151</v>
      </c>
      <c r="N14" t="s">
        <v>80</v>
      </c>
      <c r="O14" s="7">
        <v>29478</v>
      </c>
      <c r="P14" s="16" t="s">
        <v>226</v>
      </c>
      <c r="Q14" t="s">
        <v>82</v>
      </c>
      <c r="R14" t="s">
        <v>227</v>
      </c>
      <c r="S14" s="5" t="s">
        <v>83</v>
      </c>
      <c r="T14" t="s">
        <v>111</v>
      </c>
      <c r="V14" s="16" t="s">
        <v>143</v>
      </c>
      <c r="W14" s="16" t="s">
        <v>143</v>
      </c>
      <c r="X14" s="303" t="s">
        <v>103</v>
      </c>
      <c r="Z14" t="s">
        <v>86</v>
      </c>
      <c r="AA14">
        <v>40</v>
      </c>
      <c r="AH14" t="s">
        <v>94</v>
      </c>
      <c r="AL14" t="s">
        <v>83</v>
      </c>
      <c r="AM14" s="15">
        <v>3276</v>
      </c>
      <c r="AN14" s="184">
        <v>1</v>
      </c>
      <c r="AO14" s="15">
        <v>2620.8000000000002</v>
      </c>
      <c r="AP14"/>
      <c r="AS14">
        <v>4</v>
      </c>
      <c r="AV14">
        <v>8</v>
      </c>
      <c r="AW14" t="s">
        <v>138</v>
      </c>
      <c r="AY14">
        <f t="shared" si="4"/>
        <v>-4</v>
      </c>
      <c r="AZ14" t="str">
        <f t="shared" si="0"/>
        <v>NEAKTIVAN</v>
      </c>
      <c r="BA14">
        <f t="shared" si="1"/>
        <v>6</v>
      </c>
    </row>
    <row r="15" spans="1:53" ht="15" customHeight="1">
      <c r="A15" s="273">
        <v>7</v>
      </c>
      <c r="B15" s="273" t="str">
        <f t="shared" si="5"/>
        <v>NEAKTIVAN</v>
      </c>
      <c r="C15" s="302">
        <f t="shared" si="3"/>
        <v>13</v>
      </c>
      <c r="D15" s="1">
        <v>6</v>
      </c>
      <c r="E15" s="1" t="str">
        <f>VLOOKUP(D15,Table3[[#All],[RB]:[OIB]],2,0)</f>
        <v>Promo Top d.o.o.</v>
      </c>
      <c r="F15" s="4">
        <f>VLOOKUP(D15,Table3[],3,0)</f>
        <v>28718529165</v>
      </c>
      <c r="G15" s="1" t="str">
        <f>VLOOKUP(D15,Table3[],4,0)</f>
        <v>Anita Szalai</v>
      </c>
      <c r="H15" s="1" t="str">
        <f>VLOOKUP(D15,POSLODAVCI!$A$2:$J$107,9,0)</f>
        <v>Osijek</v>
      </c>
      <c r="I15" s="1" t="str">
        <f>VLOOKUP(D15,Table3[],10,0)</f>
        <v>J.J. Strossmayera 333, 31000 Osijek</v>
      </c>
      <c r="J15" s="1" t="s">
        <v>228</v>
      </c>
      <c r="K15" s="61">
        <v>43041</v>
      </c>
      <c r="L15" s="61">
        <v>43100</v>
      </c>
      <c r="M15" s="78">
        <v>46438404550</v>
      </c>
      <c r="N15" t="s">
        <v>80</v>
      </c>
      <c r="O15" s="7">
        <v>32241</v>
      </c>
      <c r="P15" s="16" t="s">
        <v>94</v>
      </c>
      <c r="Q15" t="s">
        <v>82</v>
      </c>
      <c r="R15" t="s">
        <v>229</v>
      </c>
      <c r="S15" s="5" t="s">
        <v>83</v>
      </c>
      <c r="T15" t="s">
        <v>84</v>
      </c>
      <c r="V15" s="16" t="s">
        <v>143</v>
      </c>
      <c r="W15" s="16" t="s">
        <v>143</v>
      </c>
      <c r="X15" s="303" t="s">
        <v>103</v>
      </c>
      <c r="Z15" t="s">
        <v>86</v>
      </c>
      <c r="AA15">
        <v>40</v>
      </c>
      <c r="AH15" t="s">
        <v>94</v>
      </c>
      <c r="AL15" t="s">
        <v>83</v>
      </c>
      <c r="AM15" s="15">
        <v>3276</v>
      </c>
      <c r="AN15" s="184">
        <v>1</v>
      </c>
      <c r="AO15" s="15">
        <v>2620.8000000000002</v>
      </c>
      <c r="AP15"/>
      <c r="AS15">
        <v>4</v>
      </c>
      <c r="AV15">
        <v>8</v>
      </c>
      <c r="AW15" t="s">
        <v>138</v>
      </c>
      <c r="AY15">
        <f t="shared" si="4"/>
        <v>-4</v>
      </c>
      <c r="AZ15" t="str">
        <f t="shared" si="0"/>
        <v>NEAKTIVAN</v>
      </c>
      <c r="BA15">
        <f t="shared" si="1"/>
        <v>7</v>
      </c>
    </row>
    <row r="16" spans="1:53" ht="15" customHeight="1">
      <c r="A16" s="273">
        <v>8</v>
      </c>
      <c r="B16" s="273" t="str">
        <f t="shared" si="5"/>
        <v>NEAKTIVAN</v>
      </c>
      <c r="C16" s="302">
        <f t="shared" si="3"/>
        <v>14</v>
      </c>
      <c r="D16" s="1">
        <v>6</v>
      </c>
      <c r="E16" s="1" t="str">
        <f>VLOOKUP(D16,Table3[[#All],[RB]:[OIB]],2,0)</f>
        <v>Promo Top d.o.o.</v>
      </c>
      <c r="F16" s="4">
        <f>VLOOKUP(D16,Table3[],3,0)</f>
        <v>28718529165</v>
      </c>
      <c r="G16" s="1" t="str">
        <f>VLOOKUP(D16,Table3[],4,0)</f>
        <v>Anita Szalai</v>
      </c>
      <c r="H16" s="1" t="str">
        <f>VLOOKUP(D16,POSLODAVCI!$A$2:$J$107,9,0)</f>
        <v>Osijek</v>
      </c>
      <c r="I16" s="1" t="str">
        <f>VLOOKUP(D16,Table3[],10,0)</f>
        <v>J.J. Strossmayera 333, 31000 Osijek</v>
      </c>
      <c r="J16" s="1" t="s">
        <v>230</v>
      </c>
      <c r="K16" s="61">
        <v>43041</v>
      </c>
      <c r="L16" s="61">
        <v>43100</v>
      </c>
      <c r="M16" s="3" t="s">
        <v>231</v>
      </c>
      <c r="N16" t="s">
        <v>80</v>
      </c>
      <c r="O16" s="7">
        <v>34792</v>
      </c>
      <c r="P16" s="16" t="s">
        <v>94</v>
      </c>
      <c r="Q16" t="s">
        <v>82</v>
      </c>
      <c r="R16" t="s">
        <v>232</v>
      </c>
      <c r="S16" s="5" t="s">
        <v>83</v>
      </c>
      <c r="T16" t="s">
        <v>84</v>
      </c>
      <c r="V16" s="16" t="s">
        <v>143</v>
      </c>
      <c r="W16" s="16" t="s">
        <v>143</v>
      </c>
      <c r="X16" s="303" t="s">
        <v>103</v>
      </c>
      <c r="Z16" t="s">
        <v>86</v>
      </c>
      <c r="AA16">
        <v>40</v>
      </c>
      <c r="AH16" t="s">
        <v>94</v>
      </c>
      <c r="AL16" t="s">
        <v>83</v>
      </c>
      <c r="AM16" s="15">
        <v>3276</v>
      </c>
      <c r="AN16" s="184">
        <v>1</v>
      </c>
      <c r="AO16" s="15">
        <v>2620.8000000000002</v>
      </c>
      <c r="AP16"/>
      <c r="AS16">
        <v>4</v>
      </c>
      <c r="AV16">
        <v>8</v>
      </c>
      <c r="AW16" t="s">
        <v>138</v>
      </c>
      <c r="AY16">
        <f t="shared" si="4"/>
        <v>-4</v>
      </c>
      <c r="AZ16" t="str">
        <f t="shared" si="0"/>
        <v>NEAKTIVAN</v>
      </c>
      <c r="BA16">
        <f t="shared" si="1"/>
        <v>8</v>
      </c>
    </row>
    <row r="17" spans="1:53" ht="15" customHeight="1">
      <c r="A17" s="273">
        <v>9</v>
      </c>
      <c r="B17" s="273" t="str">
        <f t="shared" si="5"/>
        <v>NEAKTIVAN</v>
      </c>
      <c r="C17" s="302">
        <f t="shared" si="3"/>
        <v>15</v>
      </c>
      <c r="D17" s="1">
        <v>6</v>
      </c>
      <c r="E17" s="1" t="str">
        <f>VLOOKUP(D17,Table3[[#All],[RB]:[OIB]],2,0)</f>
        <v>Promo Top d.o.o.</v>
      </c>
      <c r="F17" s="4">
        <f>VLOOKUP(D17,Table3[],3,0)</f>
        <v>28718529165</v>
      </c>
      <c r="G17" s="1" t="str">
        <f>VLOOKUP(D17,Table3[],4,0)</f>
        <v>Anita Szalai</v>
      </c>
      <c r="H17" s="1" t="str">
        <f>VLOOKUP(D17,POSLODAVCI!$A$2:$J$107,9,0)</f>
        <v>Osijek</v>
      </c>
      <c r="I17" s="1" t="str">
        <f>VLOOKUP(D17,Table3[],10,0)</f>
        <v>J.J. Strossmayera 333, 31000 Osijek</v>
      </c>
      <c r="J17" s="1" t="s">
        <v>233</v>
      </c>
      <c r="K17" s="61">
        <v>43042</v>
      </c>
      <c r="L17" s="61">
        <v>43100</v>
      </c>
      <c r="M17" s="3" t="s">
        <v>234</v>
      </c>
      <c r="N17" t="s">
        <v>80</v>
      </c>
      <c r="O17" s="7">
        <v>32684</v>
      </c>
      <c r="P17" s="16" t="s">
        <v>94</v>
      </c>
      <c r="Q17" t="s">
        <v>82</v>
      </c>
      <c r="R17" t="s">
        <v>235</v>
      </c>
      <c r="S17" s="5" t="s">
        <v>83</v>
      </c>
      <c r="T17" t="s">
        <v>84</v>
      </c>
      <c r="V17" s="16" t="s">
        <v>143</v>
      </c>
      <c r="W17" s="16" t="s">
        <v>143</v>
      </c>
      <c r="X17" s="303" t="s">
        <v>103</v>
      </c>
      <c r="Z17" t="s">
        <v>86</v>
      </c>
      <c r="AA17">
        <v>40</v>
      </c>
      <c r="AH17" t="s">
        <v>94</v>
      </c>
      <c r="AL17" t="s">
        <v>83</v>
      </c>
      <c r="AM17" s="15">
        <v>3276</v>
      </c>
      <c r="AN17" s="184">
        <v>1</v>
      </c>
      <c r="AO17" s="15">
        <v>2620.8000000000002</v>
      </c>
      <c r="AP17"/>
      <c r="AS17">
        <v>4</v>
      </c>
      <c r="AV17">
        <v>8</v>
      </c>
      <c r="AW17" t="s">
        <v>236</v>
      </c>
      <c r="AY17">
        <f t="shared" si="4"/>
        <v>-4</v>
      </c>
      <c r="AZ17" t="str">
        <f t="shared" si="0"/>
        <v>NEAKTIVAN</v>
      </c>
      <c r="BA17">
        <f t="shared" si="1"/>
        <v>9</v>
      </c>
    </row>
    <row r="18" spans="1:53" ht="15" customHeight="1">
      <c r="A18" s="273">
        <v>10</v>
      </c>
      <c r="B18" s="273" t="str">
        <f t="shared" si="5"/>
        <v>NEAKTIVAN</v>
      </c>
      <c r="C18" s="302">
        <f t="shared" si="3"/>
        <v>16</v>
      </c>
      <c r="D18" s="1">
        <v>6</v>
      </c>
      <c r="E18" s="1" t="str">
        <f>VLOOKUP(D18,Table3[[#All],[RB]:[OIB]],2,0)</f>
        <v>Promo Top d.o.o.</v>
      </c>
      <c r="F18" s="4">
        <f>VLOOKUP(D18,Table3[],3,0)</f>
        <v>28718529165</v>
      </c>
      <c r="G18" s="1" t="str">
        <f>VLOOKUP(D18,Table3[],4,0)</f>
        <v>Anita Szalai</v>
      </c>
      <c r="H18" s="1" t="str">
        <f>VLOOKUP(D18,POSLODAVCI!$A$2:$J$107,9,0)</f>
        <v>Osijek</v>
      </c>
      <c r="I18" s="1" t="str">
        <f>VLOOKUP(D18,Table3[],10,0)</f>
        <v>J.J. Strossmayera 333, 31000 Osijek</v>
      </c>
      <c r="J18" s="1" t="s">
        <v>237</v>
      </c>
      <c r="K18" s="61">
        <v>43045</v>
      </c>
      <c r="L18" s="7">
        <v>43067</v>
      </c>
      <c r="M18" s="3" t="s">
        <v>238</v>
      </c>
      <c r="N18" t="s">
        <v>89</v>
      </c>
      <c r="O18" s="7">
        <v>33024</v>
      </c>
      <c r="P18" s="16" t="s">
        <v>94</v>
      </c>
      <c r="Q18" t="s">
        <v>82</v>
      </c>
      <c r="R18" t="s">
        <v>239</v>
      </c>
      <c r="S18" s="5" t="s">
        <v>83</v>
      </c>
      <c r="T18" t="s">
        <v>84</v>
      </c>
      <c r="V18" s="16" t="s">
        <v>143</v>
      </c>
      <c r="W18" s="16" t="s">
        <v>143</v>
      </c>
      <c r="X18" s="303" t="s">
        <v>103</v>
      </c>
      <c r="Z18" t="s">
        <v>86</v>
      </c>
      <c r="AA18">
        <v>40</v>
      </c>
      <c r="AH18" t="s">
        <v>94</v>
      </c>
      <c r="AL18" t="s">
        <v>83</v>
      </c>
      <c r="AM18" s="15">
        <v>3276</v>
      </c>
      <c r="AN18" s="184"/>
      <c r="AO18" s="15">
        <v>2620.8000000000002</v>
      </c>
      <c r="AP18"/>
      <c r="AS18">
        <v>3</v>
      </c>
      <c r="AV18">
        <v>9</v>
      </c>
      <c r="AW18" t="s">
        <v>144</v>
      </c>
      <c r="AY18">
        <f t="shared" si="4"/>
        <v>-6</v>
      </c>
      <c r="AZ18" t="str">
        <f t="shared" si="0"/>
        <v>NEAKTIVAN</v>
      </c>
      <c r="BA18">
        <f t="shared" si="1"/>
        <v>10</v>
      </c>
    </row>
    <row r="19" spans="1:53" ht="15" customHeight="1">
      <c r="A19" s="273">
        <v>11</v>
      </c>
      <c r="B19" s="273" t="str">
        <f t="shared" si="5"/>
        <v>NEAKTIVAN</v>
      </c>
      <c r="C19" s="302">
        <f t="shared" si="3"/>
        <v>17</v>
      </c>
      <c r="D19" s="1">
        <v>6</v>
      </c>
      <c r="E19" s="1" t="str">
        <f>VLOOKUP(D19,Table3[[#All],[RB]:[OIB]],2,0)</f>
        <v>Promo Top d.o.o.</v>
      </c>
      <c r="F19" s="4">
        <f>VLOOKUP(D19,Table3[],3,0)</f>
        <v>28718529165</v>
      </c>
      <c r="G19" s="1" t="str">
        <f>VLOOKUP(D19,Table3[],4,0)</f>
        <v>Anita Szalai</v>
      </c>
      <c r="H19" s="1" t="str">
        <f>VLOOKUP(D19,POSLODAVCI!$A$2:$J$107,9,0)</f>
        <v>Osijek</v>
      </c>
      <c r="I19" s="1" t="str">
        <f>VLOOKUP(D19,Table3[],10,0)</f>
        <v>J.J. Strossmayera 333, 31000 Osijek</v>
      </c>
      <c r="J19" s="1" t="s">
        <v>240</v>
      </c>
      <c r="K19" s="61">
        <v>43052</v>
      </c>
      <c r="L19" s="61">
        <v>43100</v>
      </c>
      <c r="M19" s="3" t="s">
        <v>241</v>
      </c>
      <c r="N19" t="s">
        <v>80</v>
      </c>
      <c r="O19" s="7">
        <v>36145</v>
      </c>
      <c r="P19" s="16" t="s">
        <v>94</v>
      </c>
      <c r="Q19" t="s">
        <v>82</v>
      </c>
      <c r="R19" t="s">
        <v>242</v>
      </c>
      <c r="S19" s="5" t="s">
        <v>83</v>
      </c>
      <c r="T19" t="s">
        <v>84</v>
      </c>
      <c r="V19" s="16" t="s">
        <v>116</v>
      </c>
      <c r="W19" s="16" t="s">
        <v>116</v>
      </c>
      <c r="X19" s="303" t="s">
        <v>103</v>
      </c>
      <c r="Z19" t="s">
        <v>86</v>
      </c>
      <c r="AA19">
        <v>40</v>
      </c>
      <c r="AH19" t="s">
        <v>94</v>
      </c>
      <c r="AL19" t="s">
        <v>83</v>
      </c>
      <c r="AM19" s="15">
        <v>3750</v>
      </c>
      <c r="AN19" s="184">
        <v>1</v>
      </c>
      <c r="AO19" s="15">
        <v>3000</v>
      </c>
      <c r="AP19"/>
      <c r="AS19">
        <v>3</v>
      </c>
      <c r="AV19">
        <v>9</v>
      </c>
      <c r="AW19" t="s">
        <v>144</v>
      </c>
      <c r="AY19">
        <f t="shared" si="4"/>
        <v>-6</v>
      </c>
      <c r="AZ19" t="str">
        <f t="shared" si="0"/>
        <v>NEAKTIVAN</v>
      </c>
      <c r="BA19">
        <f t="shared" si="1"/>
        <v>11</v>
      </c>
    </row>
    <row r="20" spans="1:53" ht="15" customHeight="1">
      <c r="A20" s="273">
        <v>12</v>
      </c>
      <c r="B20" s="273" t="str">
        <f t="shared" si="5"/>
        <v>NEAKTIVAN</v>
      </c>
      <c r="C20" s="302">
        <f t="shared" si="3"/>
        <v>18</v>
      </c>
      <c r="D20" s="1">
        <v>6</v>
      </c>
      <c r="E20" s="1" t="str">
        <f>VLOOKUP(D20,Table3[[#All],[RB]:[OIB]],2,0)</f>
        <v>Promo Top d.o.o.</v>
      </c>
      <c r="F20" s="4">
        <f>VLOOKUP(D20,Table3[],3,0)</f>
        <v>28718529165</v>
      </c>
      <c r="G20" s="1" t="str">
        <f>VLOOKUP(D20,Table3[],4,0)</f>
        <v>Anita Szalai</v>
      </c>
      <c r="H20" s="1" t="str">
        <f>VLOOKUP(D20,POSLODAVCI!$A$2:$J$107,9,0)</f>
        <v>Osijek</v>
      </c>
      <c r="I20" s="1" t="str">
        <f>VLOOKUP(D20,Table3[],10,0)</f>
        <v>J.J. Strossmayera 333, 31000 Osijek</v>
      </c>
      <c r="J20" s="1" t="s">
        <v>243</v>
      </c>
      <c r="K20" s="61">
        <v>43055</v>
      </c>
      <c r="L20" s="61">
        <v>43100</v>
      </c>
      <c r="M20" s="3" t="s">
        <v>244</v>
      </c>
      <c r="N20" t="s">
        <v>89</v>
      </c>
      <c r="O20" s="7">
        <v>33546</v>
      </c>
      <c r="P20" t="s">
        <v>245</v>
      </c>
      <c r="Q20" t="s">
        <v>82</v>
      </c>
      <c r="R20" t="s">
        <v>246</v>
      </c>
      <c r="S20" s="5" t="s">
        <v>83</v>
      </c>
      <c r="T20" t="s">
        <v>247</v>
      </c>
      <c r="V20" s="16" t="s">
        <v>143</v>
      </c>
      <c r="W20" s="16" t="s">
        <v>143</v>
      </c>
      <c r="X20" s="303" t="s">
        <v>103</v>
      </c>
      <c r="Z20" t="s">
        <v>86</v>
      </c>
      <c r="AA20">
        <v>40</v>
      </c>
      <c r="AH20" t="s">
        <v>94</v>
      </c>
      <c r="AL20" t="s">
        <v>83</v>
      </c>
      <c r="AM20" s="15">
        <v>3276</v>
      </c>
      <c r="AN20" s="184">
        <v>1</v>
      </c>
      <c r="AO20" s="15">
        <v>2620.8000000000002</v>
      </c>
      <c r="AP20"/>
      <c r="AS20">
        <v>3</v>
      </c>
      <c r="AV20">
        <v>8</v>
      </c>
      <c r="AW20" t="s">
        <v>138</v>
      </c>
      <c r="AY20">
        <f t="shared" si="4"/>
        <v>-5</v>
      </c>
      <c r="AZ20" t="str">
        <f t="shared" si="0"/>
        <v>NEAKTIVAN</v>
      </c>
      <c r="BA20">
        <f t="shared" si="1"/>
        <v>12</v>
      </c>
    </row>
    <row r="21" spans="1:53" ht="15" customHeight="1">
      <c r="A21" s="273">
        <v>13</v>
      </c>
      <c r="B21" s="273" t="str">
        <f t="shared" si="5"/>
        <v>NEAKTIVAN</v>
      </c>
      <c r="C21" s="302">
        <f t="shared" si="3"/>
        <v>19</v>
      </c>
      <c r="D21" s="1">
        <v>6</v>
      </c>
      <c r="E21" s="1" t="str">
        <f>VLOOKUP(D21,Table3[[#All],[RB]:[OIB]],2,0)</f>
        <v>Promo Top d.o.o.</v>
      </c>
      <c r="F21" s="4">
        <f>VLOOKUP(D21,Table3[],3,0)</f>
        <v>28718529165</v>
      </c>
      <c r="G21" s="1" t="str">
        <f>VLOOKUP(D21,Table3[],4,0)</f>
        <v>Anita Szalai</v>
      </c>
      <c r="H21" s="1" t="str">
        <f>VLOOKUP(D21,POSLODAVCI!$A$2:$J$107,9,0)</f>
        <v>Osijek</v>
      </c>
      <c r="I21" s="1" t="str">
        <f>VLOOKUP(D21,Table3[],10,0)</f>
        <v>J.J. Strossmayera 333, 31000 Osijek</v>
      </c>
      <c r="J21" s="1" t="s">
        <v>248</v>
      </c>
      <c r="K21" s="61">
        <v>43066</v>
      </c>
      <c r="L21" s="61">
        <v>43100</v>
      </c>
      <c r="M21" s="3" t="s">
        <v>249</v>
      </c>
      <c r="N21" t="s">
        <v>89</v>
      </c>
      <c r="O21" s="7">
        <v>35985</v>
      </c>
      <c r="P21" s="16" t="s">
        <v>94</v>
      </c>
      <c r="Q21" t="s">
        <v>82</v>
      </c>
      <c r="R21" t="s">
        <v>250</v>
      </c>
      <c r="S21" s="5" t="s">
        <v>83</v>
      </c>
      <c r="T21" t="s">
        <v>84</v>
      </c>
      <c r="V21" s="16" t="s">
        <v>116</v>
      </c>
      <c r="W21" s="16" t="s">
        <v>116</v>
      </c>
      <c r="X21" s="303" t="s">
        <v>103</v>
      </c>
      <c r="Z21" t="s">
        <v>86</v>
      </c>
      <c r="AA21">
        <v>40</v>
      </c>
      <c r="AH21" t="s">
        <v>94</v>
      </c>
      <c r="AL21" t="s">
        <v>83</v>
      </c>
      <c r="AM21" s="15">
        <v>3750</v>
      </c>
      <c r="AN21" s="184">
        <v>1</v>
      </c>
      <c r="AO21" s="15">
        <v>3000</v>
      </c>
      <c r="AP21"/>
      <c r="AY21">
        <f t="shared" si="4"/>
        <v>0</v>
      </c>
      <c r="AZ21" t="str">
        <f t="shared" si="0"/>
        <v>NEAKTIVAN</v>
      </c>
      <c r="BA21">
        <f t="shared" si="1"/>
        <v>13</v>
      </c>
    </row>
    <row r="22" spans="1:53" ht="15" customHeight="1">
      <c r="A22" s="273">
        <v>14</v>
      </c>
      <c r="B22" s="273" t="str">
        <f t="shared" si="5"/>
        <v>NEAKTIVAN</v>
      </c>
      <c r="C22" s="302">
        <f t="shared" si="3"/>
        <v>20</v>
      </c>
      <c r="D22" s="1">
        <v>6</v>
      </c>
      <c r="E22" s="1" t="str">
        <f>VLOOKUP(D22,Table3[[#All],[RB]:[OIB]],2,0)</f>
        <v>Promo Top d.o.o.</v>
      </c>
      <c r="F22" s="4">
        <f>VLOOKUP(D22,Table3[],3,0)</f>
        <v>28718529165</v>
      </c>
      <c r="G22" s="1" t="str">
        <f>VLOOKUP(D22,Table3[],4,0)</f>
        <v>Anita Szalai</v>
      </c>
      <c r="H22" s="1" t="str">
        <f>VLOOKUP(D22,POSLODAVCI!$A$2:$J$107,9,0)</f>
        <v>Osijek</v>
      </c>
      <c r="I22" s="1" t="str">
        <f>VLOOKUP(D22,Table3[],10,0)</f>
        <v>J.J. Strossmayera 333, 31000 Osijek</v>
      </c>
      <c r="J22" s="1" t="s">
        <v>251</v>
      </c>
      <c r="K22" s="61">
        <v>43070</v>
      </c>
      <c r="L22" s="61">
        <v>43100</v>
      </c>
      <c r="M22" s="87" t="s">
        <v>252</v>
      </c>
      <c r="N22" t="s">
        <v>89</v>
      </c>
      <c r="O22" s="7">
        <v>26834</v>
      </c>
      <c r="Q22" t="s">
        <v>82</v>
      </c>
      <c r="R22" t="s">
        <v>253</v>
      </c>
      <c r="S22" s="5" t="s">
        <v>83</v>
      </c>
      <c r="T22" t="s">
        <v>84</v>
      </c>
      <c r="V22" s="16" t="s">
        <v>254</v>
      </c>
      <c r="W22" s="16" t="s">
        <v>254</v>
      </c>
      <c r="X22" s="303" t="s">
        <v>103</v>
      </c>
      <c r="Z22" t="s">
        <v>86</v>
      </c>
      <c r="AA22">
        <v>40</v>
      </c>
      <c r="AH22" t="s">
        <v>94</v>
      </c>
      <c r="AL22" t="s">
        <v>83</v>
      </c>
      <c r="AM22" s="15">
        <v>7590.92</v>
      </c>
      <c r="AN22" s="184"/>
      <c r="AO22" s="15">
        <v>5500</v>
      </c>
      <c r="AP22"/>
      <c r="AY22">
        <f t="shared" si="4"/>
        <v>0</v>
      </c>
      <c r="AZ22" t="str">
        <f t="shared" si="0"/>
        <v>NEAKTIVAN</v>
      </c>
      <c r="BA22">
        <f t="shared" si="1"/>
        <v>14</v>
      </c>
    </row>
    <row r="23" spans="1:53" ht="15" customHeight="1">
      <c r="A23" s="273">
        <v>2</v>
      </c>
      <c r="B23" s="273" t="str">
        <f t="shared" si="5"/>
        <v>AKTIVAN</v>
      </c>
      <c r="C23" s="302">
        <f t="shared" si="3"/>
        <v>21</v>
      </c>
      <c r="D23" s="1"/>
      <c r="E23" s="1" t="e">
        <f>VLOOKUP(D23,Table3[[#All],[RB]:[OIB]],2,0)</f>
        <v>#N/A</v>
      </c>
      <c r="F23" s="4" t="e">
        <f>VLOOKUP(D23,Table3[],3,0)</f>
        <v>#N/A</v>
      </c>
      <c r="G23" s="1" t="e">
        <f>VLOOKUP(D23,Table3[],4,0)</f>
        <v>#N/A</v>
      </c>
      <c r="H23" s="1" t="e">
        <f>VLOOKUP(D23,POSLODAVCI!$A$2:$J$107,9,0)</f>
        <v>#N/A</v>
      </c>
      <c r="I23" s="1" t="e">
        <f>VLOOKUP(D23,Table3[],10,0)</f>
        <v>#N/A</v>
      </c>
      <c r="J23" s="1"/>
      <c r="K23" s="61"/>
      <c r="L23" s="61"/>
      <c r="M23" s="3"/>
      <c r="N23" s="16"/>
      <c r="O23" s="7"/>
      <c r="P23" s="16"/>
      <c r="Q23" s="16"/>
      <c r="R23" s="16"/>
      <c r="S23" s="17"/>
      <c r="T23" s="16"/>
      <c r="V23" s="16"/>
      <c r="W23" s="16"/>
      <c r="X23" s="303"/>
      <c r="Y23" s="7"/>
      <c r="Z23" s="16"/>
      <c r="AC23" s="183"/>
      <c r="AE23" s="183"/>
      <c r="AH23" s="16"/>
      <c r="AL23" s="16"/>
      <c r="AN23" s="184"/>
      <c r="AP23"/>
      <c r="AR23" s="16"/>
      <c r="AZ23" s="16"/>
      <c r="BA23">
        <v>1</v>
      </c>
    </row>
    <row r="24" spans="1:53" ht="15" customHeight="1">
      <c r="A24" s="273">
        <v>1</v>
      </c>
      <c r="B24" s="273" t="str">
        <f t="shared" si="5"/>
        <v>NEAKTIVAN</v>
      </c>
      <c r="C24" s="302">
        <f t="shared" si="3"/>
        <v>22</v>
      </c>
      <c r="D24" s="1">
        <v>9</v>
      </c>
      <c r="E24" s="1" t="str">
        <f>VLOOKUP(D24,Table3[[#All],[RB]:[OIB]],2,0)</f>
        <v>WAX D.O.O</v>
      </c>
      <c r="F24" s="4">
        <f>VLOOKUP(D24,Table3[],3,0)</f>
        <v>46869408875</v>
      </c>
      <c r="G24" s="1" t="str">
        <f>VLOOKUP(D24,Table3[],4,0)</f>
        <v>Rudolf Gergelj</v>
      </c>
      <c r="H24" s="1" t="str">
        <f>VLOOKUP(D24,POSLODAVCI!$A$2:$J$107,9,0)</f>
        <v>Osijek</v>
      </c>
      <c r="I24" s="1" t="str">
        <f>VLOOKUP(D24,Table3[],10,0)</f>
        <v>J.J. Strossmayera 333, 31000 Osijek</v>
      </c>
      <c r="J24" s="1" t="s">
        <v>114</v>
      </c>
      <c r="K24" s="61">
        <v>43101</v>
      </c>
      <c r="L24" s="61">
        <v>43244</v>
      </c>
      <c r="M24" s="3" t="s">
        <v>115</v>
      </c>
      <c r="N24" s="16" t="s">
        <v>80</v>
      </c>
      <c r="O24" s="7">
        <v>24943</v>
      </c>
      <c r="P24" s="16" t="s">
        <v>94</v>
      </c>
      <c r="Q24" s="16" t="s">
        <v>82</v>
      </c>
      <c r="R24" s="16" t="s">
        <v>256</v>
      </c>
      <c r="S24" s="17" t="s">
        <v>83</v>
      </c>
      <c r="T24" s="16" t="s">
        <v>84</v>
      </c>
      <c r="V24" s="16" t="s">
        <v>116</v>
      </c>
      <c r="W24" s="16" t="s">
        <v>116</v>
      </c>
      <c r="X24" s="303" t="s">
        <v>103</v>
      </c>
      <c r="Y24" s="7"/>
      <c r="Z24" s="16" t="s">
        <v>86</v>
      </c>
      <c r="AA24">
        <v>40</v>
      </c>
      <c r="AC24" s="183"/>
      <c r="AE24" s="183"/>
      <c r="AH24" s="16" t="s">
        <v>94</v>
      </c>
      <c r="AL24" s="16" t="s">
        <v>83</v>
      </c>
      <c r="AM24" s="15">
        <v>8426.4599999999991</v>
      </c>
      <c r="AN24" s="184">
        <v>1</v>
      </c>
      <c r="AO24" s="15">
        <v>6000</v>
      </c>
      <c r="AR24" s="16"/>
      <c r="AS24">
        <v>20</v>
      </c>
      <c r="AT24">
        <v>12</v>
      </c>
      <c r="AU24" t="s">
        <v>257</v>
      </c>
      <c r="AV24">
        <v>12</v>
      </c>
      <c r="AW24" s="7" t="s">
        <v>258</v>
      </c>
      <c r="AY24">
        <v>0</v>
      </c>
      <c r="AZ24" t="str">
        <f t="shared" ref="AZ24:AZ55" si="6">IF(L24&gt;0,"NEAKTIVAN","AKTIVAN")</f>
        <v>NEAKTIVAN</v>
      </c>
      <c r="BA24">
        <v>2</v>
      </c>
    </row>
    <row r="25" spans="1:53" ht="15" customHeight="1">
      <c r="A25" s="273">
        <v>2</v>
      </c>
      <c r="B25" s="273" t="str">
        <f t="shared" si="5"/>
        <v>NEAKTIVAN</v>
      </c>
      <c r="C25" s="302">
        <f t="shared" si="3"/>
        <v>23</v>
      </c>
      <c r="D25" s="1">
        <v>9</v>
      </c>
      <c r="E25" s="1" t="str">
        <f>VLOOKUP(D25,Table3[[#All],[RB]:[OIB]],2,0)</f>
        <v>WAX D.O.O</v>
      </c>
      <c r="F25" s="4">
        <f>VLOOKUP(D25,Table3[],3,0)</f>
        <v>46869408875</v>
      </c>
      <c r="G25" s="1" t="str">
        <f>VLOOKUP(D25,Table3[],4,0)</f>
        <v>Rudolf Gergelj</v>
      </c>
      <c r="H25" s="1" t="str">
        <f>VLOOKUP(D25,POSLODAVCI!$A$2:$J$107,9,0)</f>
        <v>Osijek</v>
      </c>
      <c r="I25" s="1" t="str">
        <f>VLOOKUP(D25,Table3[],10,0)</f>
        <v>J.J. Strossmayera 333, 31000 Osijek</v>
      </c>
      <c r="J25" s="1" t="s">
        <v>117</v>
      </c>
      <c r="K25" s="61">
        <v>43101</v>
      </c>
      <c r="L25" s="61">
        <v>43244</v>
      </c>
      <c r="M25" s="3" t="s">
        <v>118</v>
      </c>
      <c r="N25" s="16" t="s">
        <v>89</v>
      </c>
      <c r="O25" s="7">
        <v>34038</v>
      </c>
      <c r="P25" s="16" t="s">
        <v>94</v>
      </c>
      <c r="Q25" s="16" t="s">
        <v>82</v>
      </c>
      <c r="R25" s="16" t="s">
        <v>259</v>
      </c>
      <c r="S25" s="17" t="s">
        <v>83</v>
      </c>
      <c r="T25" s="16" t="s">
        <v>84</v>
      </c>
      <c r="V25" s="16" t="s">
        <v>116</v>
      </c>
      <c r="W25" s="16" t="s">
        <v>116</v>
      </c>
      <c r="X25" s="303" t="s">
        <v>103</v>
      </c>
      <c r="Y25" s="7"/>
      <c r="Z25" s="16" t="s">
        <v>86</v>
      </c>
      <c r="AA25">
        <v>40</v>
      </c>
      <c r="AC25" s="183"/>
      <c r="AE25" s="183"/>
      <c r="AH25" s="16" t="s">
        <v>94</v>
      </c>
      <c r="AL25" s="16" t="s">
        <v>83</v>
      </c>
      <c r="AM25" s="15">
        <v>3750</v>
      </c>
      <c r="AN25" s="184">
        <v>1</v>
      </c>
      <c r="AO25" s="15">
        <v>3000</v>
      </c>
      <c r="AP25" s="15">
        <v>2100</v>
      </c>
      <c r="AR25" s="16"/>
      <c r="AS25">
        <v>20</v>
      </c>
      <c r="AT25">
        <v>12</v>
      </c>
      <c r="AU25" t="s">
        <v>257</v>
      </c>
      <c r="AV25">
        <v>12</v>
      </c>
      <c r="AW25" s="7" t="s">
        <v>258</v>
      </c>
      <c r="AY25">
        <v>0</v>
      </c>
      <c r="AZ25" t="str">
        <f t="shared" si="6"/>
        <v>NEAKTIVAN</v>
      </c>
      <c r="BA25">
        <v>3</v>
      </c>
    </row>
    <row r="26" spans="1:53" ht="15" customHeight="1">
      <c r="A26" s="273">
        <v>3</v>
      </c>
      <c r="B26" s="273" t="str">
        <f t="shared" si="5"/>
        <v>NEAKTIVAN</v>
      </c>
      <c r="C26" s="302">
        <f t="shared" si="3"/>
        <v>24</v>
      </c>
      <c r="D26" s="1">
        <v>9</v>
      </c>
      <c r="E26" s="1" t="str">
        <f>VLOOKUP(D26,Table3[[#All],[RB]:[OIB]],2,0)</f>
        <v>WAX D.O.O</v>
      </c>
      <c r="F26" s="4">
        <f>VLOOKUP(D26,Table3[],3,0)</f>
        <v>46869408875</v>
      </c>
      <c r="G26" s="1" t="str">
        <f>VLOOKUP(D26,Table3[],4,0)</f>
        <v>Rudolf Gergelj</v>
      </c>
      <c r="H26" s="1" t="str">
        <f>VLOOKUP(D26,POSLODAVCI!$A$2:$J$107,9,0)</f>
        <v>Osijek</v>
      </c>
      <c r="I26" s="1" t="str">
        <f>VLOOKUP(D26,Table3[],10,0)</f>
        <v>J.J. Strossmayera 333, 31000 Osijek</v>
      </c>
      <c r="J26" s="1" t="s">
        <v>119</v>
      </c>
      <c r="K26" s="61">
        <v>43101</v>
      </c>
      <c r="L26" s="61">
        <v>43244</v>
      </c>
      <c r="M26" s="3">
        <v>24461973764</v>
      </c>
      <c r="N26" s="16" t="s">
        <v>80</v>
      </c>
      <c r="O26" s="7">
        <v>34039</v>
      </c>
      <c r="P26" s="16" t="s">
        <v>94</v>
      </c>
      <c r="Q26" s="16" t="s">
        <v>82</v>
      </c>
      <c r="R26" s="16" t="s">
        <v>260</v>
      </c>
      <c r="S26" s="17" t="s">
        <v>83</v>
      </c>
      <c r="T26" s="16" t="s">
        <v>84</v>
      </c>
      <c r="V26" s="16" t="s">
        <v>116</v>
      </c>
      <c r="W26" s="16" t="s">
        <v>116</v>
      </c>
      <c r="X26" s="303" t="s">
        <v>103</v>
      </c>
      <c r="Y26" s="7"/>
      <c r="Z26" s="16" t="s">
        <v>86</v>
      </c>
      <c r="AA26">
        <v>40</v>
      </c>
      <c r="AC26" s="183"/>
      <c r="AE26" s="183"/>
      <c r="AH26" s="16" t="s">
        <v>94</v>
      </c>
      <c r="AL26" s="16" t="s">
        <v>83</v>
      </c>
      <c r="AM26" s="15">
        <v>3750</v>
      </c>
      <c r="AN26" s="184">
        <v>1</v>
      </c>
      <c r="AO26" s="15">
        <v>3000</v>
      </c>
      <c r="AP26" s="15">
        <v>600</v>
      </c>
      <c r="AR26" s="16"/>
      <c r="AS26">
        <v>20</v>
      </c>
      <c r="AT26">
        <v>12</v>
      </c>
      <c r="AU26" t="s">
        <v>257</v>
      </c>
      <c r="AV26">
        <v>12</v>
      </c>
      <c r="AW26" s="7" t="s">
        <v>258</v>
      </c>
      <c r="AY26">
        <v>0</v>
      </c>
      <c r="AZ26" t="str">
        <f t="shared" si="6"/>
        <v>NEAKTIVAN</v>
      </c>
      <c r="BA26">
        <v>4</v>
      </c>
    </row>
    <row r="27" spans="1:53" ht="15" customHeight="1">
      <c r="A27" s="273">
        <v>4</v>
      </c>
      <c r="B27" s="273" t="str">
        <f t="shared" si="5"/>
        <v>NEAKTIVAN</v>
      </c>
      <c r="C27" s="302">
        <f t="shared" si="3"/>
        <v>25</v>
      </c>
      <c r="D27" s="1">
        <v>9</v>
      </c>
      <c r="E27" s="1" t="str">
        <f>VLOOKUP(D27,Table3[[#All],[RB]:[OIB]],2,0)</f>
        <v>WAX D.O.O</v>
      </c>
      <c r="F27" s="4">
        <f>VLOOKUP(D27,Table3[],3,0)</f>
        <v>46869408875</v>
      </c>
      <c r="G27" s="1" t="str">
        <f>VLOOKUP(D27,Table3[],4,0)</f>
        <v>Rudolf Gergelj</v>
      </c>
      <c r="H27" s="1" t="str">
        <f>VLOOKUP(D27,POSLODAVCI!$A$2:$J$107,9,0)</f>
        <v>Osijek</v>
      </c>
      <c r="I27" s="1" t="str">
        <f>VLOOKUP(D27,Table3[],10,0)</f>
        <v>J.J. Strossmayera 333, 31000 Osijek</v>
      </c>
      <c r="J27" s="1" t="s">
        <v>120</v>
      </c>
      <c r="K27" s="61">
        <v>43101</v>
      </c>
      <c r="L27" s="61">
        <v>43244</v>
      </c>
      <c r="M27" s="3" t="s">
        <v>121</v>
      </c>
      <c r="N27" s="16" t="s">
        <v>89</v>
      </c>
      <c r="O27" s="7">
        <v>34040</v>
      </c>
      <c r="P27" s="16" t="s">
        <v>94</v>
      </c>
      <c r="Q27" s="16" t="s">
        <v>82</v>
      </c>
      <c r="R27" s="16" t="s">
        <v>261</v>
      </c>
      <c r="S27" s="17" t="s">
        <v>83</v>
      </c>
      <c r="T27" s="16" t="s">
        <v>84</v>
      </c>
      <c r="V27" s="16" t="s">
        <v>116</v>
      </c>
      <c r="W27" s="16" t="s">
        <v>116</v>
      </c>
      <c r="X27" s="303" t="s">
        <v>103</v>
      </c>
      <c r="Y27" s="7"/>
      <c r="Z27" s="16" t="s">
        <v>86</v>
      </c>
      <c r="AA27">
        <v>40</v>
      </c>
      <c r="AC27" s="183"/>
      <c r="AE27" s="183"/>
      <c r="AH27" s="16" t="s">
        <v>94</v>
      </c>
      <c r="AL27" s="16" t="s">
        <v>83</v>
      </c>
      <c r="AM27" s="15">
        <v>3750</v>
      </c>
      <c r="AN27" s="184">
        <v>1</v>
      </c>
      <c r="AO27" s="15">
        <v>3000</v>
      </c>
      <c r="AP27" s="15">
        <v>1000</v>
      </c>
      <c r="AR27" s="16"/>
      <c r="AS27">
        <v>20</v>
      </c>
      <c r="AT27">
        <v>12</v>
      </c>
      <c r="AU27" t="s">
        <v>257</v>
      </c>
      <c r="AV27">
        <v>12</v>
      </c>
      <c r="AW27" s="7" t="s">
        <v>258</v>
      </c>
      <c r="AY27">
        <v>0</v>
      </c>
      <c r="AZ27" t="str">
        <f t="shared" si="6"/>
        <v>NEAKTIVAN</v>
      </c>
      <c r="BA27">
        <v>5</v>
      </c>
    </row>
    <row r="28" spans="1:53" ht="15" customHeight="1">
      <c r="A28" s="273">
        <v>5</v>
      </c>
      <c r="B28" s="273" t="str">
        <f t="shared" si="5"/>
        <v>NEAKTIVAN</v>
      </c>
      <c r="C28" s="302">
        <f t="shared" si="3"/>
        <v>26</v>
      </c>
      <c r="D28" s="1">
        <v>9</v>
      </c>
      <c r="E28" s="1" t="str">
        <f>VLOOKUP(D28,Table3[[#All],[RB]:[OIB]],2,0)</f>
        <v>WAX D.O.O</v>
      </c>
      <c r="F28" s="4">
        <f>VLOOKUP(D28,Table3[],3,0)</f>
        <v>46869408875</v>
      </c>
      <c r="G28" s="1" t="str">
        <f>VLOOKUP(D28,Table3[],4,0)</f>
        <v>Rudolf Gergelj</v>
      </c>
      <c r="H28" s="1" t="str">
        <f>VLOOKUP(D28,POSLODAVCI!$A$2:$J$107,9,0)</f>
        <v>Osijek</v>
      </c>
      <c r="I28" s="1" t="str">
        <f>VLOOKUP(D28,Table3[],10,0)</f>
        <v>J.J. Strossmayera 333, 31000 Osijek</v>
      </c>
      <c r="J28" s="1" t="s">
        <v>124</v>
      </c>
      <c r="K28" s="61">
        <v>43101</v>
      </c>
      <c r="L28" s="61">
        <v>43244</v>
      </c>
      <c r="M28" s="3" t="s">
        <v>125</v>
      </c>
      <c r="N28" s="16" t="s">
        <v>89</v>
      </c>
      <c r="O28" s="7">
        <v>34041</v>
      </c>
      <c r="P28" s="16" t="s">
        <v>94</v>
      </c>
      <c r="Q28" s="16" t="s">
        <v>82</v>
      </c>
      <c r="R28" s="16" t="s">
        <v>262</v>
      </c>
      <c r="S28" s="17" t="s">
        <v>83</v>
      </c>
      <c r="T28" s="16" t="s">
        <v>84</v>
      </c>
      <c r="V28" s="16" t="s">
        <v>116</v>
      </c>
      <c r="W28" s="16" t="s">
        <v>116</v>
      </c>
      <c r="X28" s="303" t="s">
        <v>103</v>
      </c>
      <c r="Y28" s="7"/>
      <c r="Z28" s="16" t="s">
        <v>86</v>
      </c>
      <c r="AA28">
        <v>40</v>
      </c>
      <c r="AC28" s="183"/>
      <c r="AE28" s="183"/>
      <c r="AH28" s="16" t="s">
        <v>94</v>
      </c>
      <c r="AL28" s="16" t="s">
        <v>83</v>
      </c>
      <c r="AM28" s="15">
        <v>3750</v>
      </c>
      <c r="AN28" s="184">
        <v>1</v>
      </c>
      <c r="AO28" s="15">
        <v>3000</v>
      </c>
      <c r="AP28" s="15">
        <v>2000</v>
      </c>
      <c r="AR28" s="16"/>
      <c r="AS28">
        <v>20</v>
      </c>
      <c r="AT28">
        <v>12</v>
      </c>
      <c r="AU28" t="s">
        <v>257</v>
      </c>
      <c r="AV28">
        <v>12</v>
      </c>
      <c r="AW28" s="7" t="s">
        <v>258</v>
      </c>
      <c r="AY28">
        <v>0</v>
      </c>
      <c r="AZ28" t="str">
        <f t="shared" si="6"/>
        <v>NEAKTIVAN</v>
      </c>
      <c r="BA28">
        <v>6</v>
      </c>
    </row>
    <row r="29" spans="1:53" ht="15" customHeight="1">
      <c r="A29" s="273">
        <v>6</v>
      </c>
      <c r="B29" s="273" t="str">
        <f t="shared" si="5"/>
        <v>NEAKTIVAN</v>
      </c>
      <c r="C29" s="302">
        <f t="shared" si="3"/>
        <v>27</v>
      </c>
      <c r="D29" s="1">
        <v>9</v>
      </c>
      <c r="E29" s="1" t="str">
        <f>VLOOKUP(D29,Table3[[#All],[RB]:[OIB]],2,0)</f>
        <v>WAX D.O.O</v>
      </c>
      <c r="F29" s="4">
        <f>VLOOKUP(D29,Table3[],3,0)</f>
        <v>46869408875</v>
      </c>
      <c r="G29" s="1" t="str">
        <f>VLOOKUP(D29,Table3[],4,0)</f>
        <v>Rudolf Gergelj</v>
      </c>
      <c r="H29" s="1" t="str">
        <f>VLOOKUP(D29,POSLODAVCI!$A$2:$J$107,9,0)</f>
        <v>Osijek</v>
      </c>
      <c r="I29" s="1" t="str">
        <f>VLOOKUP(D29,Table3[],10,0)</f>
        <v>J.J. Strossmayera 333, 31000 Osijek</v>
      </c>
      <c r="J29" s="1" t="s">
        <v>133</v>
      </c>
      <c r="K29" s="61">
        <v>43101</v>
      </c>
      <c r="L29" s="61">
        <v>43220</v>
      </c>
      <c r="M29" s="78" t="s">
        <v>134</v>
      </c>
      <c r="N29" s="16" t="s">
        <v>89</v>
      </c>
      <c r="O29" s="7">
        <v>34048</v>
      </c>
      <c r="P29" s="16" t="s">
        <v>94</v>
      </c>
      <c r="Q29" s="16" t="s">
        <v>82</v>
      </c>
      <c r="R29" s="16" t="s">
        <v>263</v>
      </c>
      <c r="S29" s="17" t="s">
        <v>83</v>
      </c>
      <c r="T29" s="16" t="s">
        <v>84</v>
      </c>
      <c r="V29" s="16" t="s">
        <v>116</v>
      </c>
      <c r="W29" s="16" t="s">
        <v>116</v>
      </c>
      <c r="X29" s="303" t="s">
        <v>103</v>
      </c>
      <c r="Z29" s="16" t="s">
        <v>86</v>
      </c>
      <c r="AA29">
        <v>40</v>
      </c>
      <c r="AC29" s="183"/>
      <c r="AE29" s="183"/>
      <c r="AH29" s="16" t="s">
        <v>94</v>
      </c>
      <c r="AL29" s="16" t="s">
        <v>83</v>
      </c>
      <c r="AM29" s="15">
        <v>3750</v>
      </c>
      <c r="AN29" s="79">
        <v>1</v>
      </c>
      <c r="AO29" s="15">
        <v>3000</v>
      </c>
      <c r="AP29" s="15">
        <v>100</v>
      </c>
      <c r="AS29">
        <v>20</v>
      </c>
      <c r="AT29">
        <v>12</v>
      </c>
      <c r="AU29" t="s">
        <v>257</v>
      </c>
      <c r="AV29">
        <v>12</v>
      </c>
      <c r="AW29" s="7" t="s">
        <v>258</v>
      </c>
      <c r="AY29">
        <v>0</v>
      </c>
      <c r="AZ29" t="str">
        <f t="shared" si="6"/>
        <v>NEAKTIVAN</v>
      </c>
      <c r="BA29">
        <v>13</v>
      </c>
    </row>
    <row r="30" spans="1:53" ht="15" customHeight="1">
      <c r="A30" s="273">
        <v>7</v>
      </c>
      <c r="B30" s="273" t="str">
        <f t="shared" si="5"/>
        <v>NEAKTIVAN</v>
      </c>
      <c r="C30" s="302">
        <f t="shared" si="3"/>
        <v>28</v>
      </c>
      <c r="D30" s="1">
        <v>9</v>
      </c>
      <c r="E30" s="1" t="str">
        <f>VLOOKUP(D30,Table3[[#All],[RB]:[OIB]],2,0)</f>
        <v>WAX D.O.O</v>
      </c>
      <c r="F30" s="4">
        <f>VLOOKUP(D30,Table3[],3,0)</f>
        <v>46869408875</v>
      </c>
      <c r="G30" s="1" t="str">
        <f>VLOOKUP(D30,Table3[],4,0)</f>
        <v>Rudolf Gergelj</v>
      </c>
      <c r="H30" s="1" t="str">
        <f>VLOOKUP(D30,POSLODAVCI!$A$2:$J$107,9,0)</f>
        <v>Osijek</v>
      </c>
      <c r="I30" s="1" t="str">
        <f>VLOOKUP(D30,Table3[],10,0)</f>
        <v>J.J. Strossmayera 333, 31000 Osijek</v>
      </c>
      <c r="J30" s="1" t="s">
        <v>136</v>
      </c>
      <c r="K30" s="61">
        <v>43101</v>
      </c>
      <c r="L30" s="61">
        <v>43202</v>
      </c>
      <c r="M30" s="78" t="s">
        <v>137</v>
      </c>
      <c r="N30" s="16" t="s">
        <v>80</v>
      </c>
      <c r="O30" s="7">
        <v>34327</v>
      </c>
      <c r="P30" s="16" t="s">
        <v>94</v>
      </c>
      <c r="Q30" s="16" t="s">
        <v>82</v>
      </c>
      <c r="R30" s="16" t="s">
        <v>264</v>
      </c>
      <c r="S30" s="17" t="s">
        <v>83</v>
      </c>
      <c r="T30" s="16" t="s">
        <v>84</v>
      </c>
      <c r="V30" s="16" t="s">
        <v>116</v>
      </c>
      <c r="W30" s="16" t="s">
        <v>116</v>
      </c>
      <c r="X30" s="303" t="s">
        <v>103</v>
      </c>
      <c r="Z30" s="16" t="s">
        <v>86</v>
      </c>
      <c r="AA30">
        <v>40</v>
      </c>
      <c r="AC30" s="183"/>
      <c r="AE30" s="183"/>
      <c r="AH30" s="16" t="s">
        <v>94</v>
      </c>
      <c r="AL30" s="16" t="s">
        <v>83</v>
      </c>
      <c r="AM30" s="15">
        <v>4375</v>
      </c>
      <c r="AN30" s="79">
        <v>1</v>
      </c>
      <c r="AO30" s="15">
        <v>3500</v>
      </c>
      <c r="AS30">
        <v>20</v>
      </c>
      <c r="AT30">
        <v>12</v>
      </c>
      <c r="AU30" t="s">
        <v>257</v>
      </c>
      <c r="AV30">
        <v>12</v>
      </c>
      <c r="AW30" s="7" t="s">
        <v>258</v>
      </c>
      <c r="AY30">
        <v>0</v>
      </c>
      <c r="AZ30" t="str">
        <f t="shared" si="6"/>
        <v>NEAKTIVAN</v>
      </c>
      <c r="BA30">
        <v>14</v>
      </c>
    </row>
    <row r="31" spans="1:53" ht="15" customHeight="1">
      <c r="A31" s="273">
        <v>8</v>
      </c>
      <c r="B31" s="273" t="str">
        <f t="shared" si="5"/>
        <v>NEAKTIVAN</v>
      </c>
      <c r="C31" s="302">
        <f t="shared" si="3"/>
        <v>29</v>
      </c>
      <c r="D31" s="1">
        <v>9</v>
      </c>
      <c r="E31" s="1" t="str">
        <f>VLOOKUP(D31,Table3[[#All],[RB]:[OIB]],2,0)</f>
        <v>WAX D.O.O</v>
      </c>
      <c r="F31" s="4">
        <f>VLOOKUP(D31,Table3[],3,0)</f>
        <v>46869408875</v>
      </c>
      <c r="G31" s="1" t="str">
        <f>VLOOKUP(D31,Table3[],4,0)</f>
        <v>Rudolf Gergelj</v>
      </c>
      <c r="H31" s="1" t="str">
        <f>VLOOKUP(D31,POSLODAVCI!$A$2:$J$107,9,0)</f>
        <v>Osijek</v>
      </c>
      <c r="I31" s="1" t="str">
        <f>VLOOKUP(D31,Table3[],10,0)</f>
        <v>J.J. Strossmayera 333, 31000 Osijek</v>
      </c>
      <c r="J31" s="1" t="s">
        <v>139</v>
      </c>
      <c r="K31" s="61">
        <v>43101</v>
      </c>
      <c r="L31" s="61">
        <v>43220</v>
      </c>
      <c r="M31" s="78" t="s">
        <v>140</v>
      </c>
      <c r="N31" s="16" t="s">
        <v>89</v>
      </c>
      <c r="O31" s="7">
        <v>34051</v>
      </c>
      <c r="P31" s="16" t="s">
        <v>94</v>
      </c>
      <c r="Q31" s="16" t="s">
        <v>82</v>
      </c>
      <c r="R31" s="16" t="s">
        <v>265</v>
      </c>
      <c r="S31" s="17" t="s">
        <v>83</v>
      </c>
      <c r="T31" s="16" t="s">
        <v>84</v>
      </c>
      <c r="V31" s="16" t="s">
        <v>116</v>
      </c>
      <c r="W31" s="16" t="s">
        <v>116</v>
      </c>
      <c r="X31" s="303" t="s">
        <v>103</v>
      </c>
      <c r="Z31" s="16" t="s">
        <v>86</v>
      </c>
      <c r="AA31">
        <v>40</v>
      </c>
      <c r="AC31" s="183"/>
      <c r="AE31" s="183"/>
      <c r="AH31" s="16" t="s">
        <v>94</v>
      </c>
      <c r="AL31" s="16" t="s">
        <v>83</v>
      </c>
      <c r="AM31" s="15">
        <v>3750</v>
      </c>
      <c r="AN31" s="79">
        <v>1</v>
      </c>
      <c r="AO31" s="15">
        <v>3000</v>
      </c>
      <c r="AP31" s="15">
        <v>500</v>
      </c>
      <c r="AS31">
        <v>20</v>
      </c>
      <c r="AT31">
        <v>12</v>
      </c>
      <c r="AU31" t="s">
        <v>257</v>
      </c>
      <c r="AV31">
        <v>12</v>
      </c>
      <c r="AW31" s="7" t="s">
        <v>258</v>
      </c>
      <c r="AY31">
        <v>0</v>
      </c>
      <c r="AZ31" t="str">
        <f t="shared" si="6"/>
        <v>NEAKTIVAN</v>
      </c>
      <c r="BA31">
        <v>16</v>
      </c>
    </row>
    <row r="32" spans="1:53" ht="15.75" customHeight="1">
      <c r="A32" s="273">
        <v>9</v>
      </c>
      <c r="B32" s="273" t="str">
        <f t="shared" si="5"/>
        <v>NEAKTIVAN</v>
      </c>
      <c r="C32" s="302">
        <f t="shared" si="3"/>
        <v>30</v>
      </c>
      <c r="D32" s="1">
        <v>9</v>
      </c>
      <c r="E32" s="1" t="str">
        <f>VLOOKUP(D32,Table3[[#All],[RB]:[OIB]],2,0)</f>
        <v>WAX D.O.O</v>
      </c>
      <c r="F32" s="4">
        <f>VLOOKUP(D32,Table3[],3,0)</f>
        <v>46869408875</v>
      </c>
      <c r="G32" s="1" t="str">
        <f>VLOOKUP(D32,Table3[],4,0)</f>
        <v>Rudolf Gergelj</v>
      </c>
      <c r="H32" s="1" t="str">
        <f>VLOOKUP(D32,POSLODAVCI!$A$2:$J$107,9,0)</f>
        <v>Osijek</v>
      </c>
      <c r="I32" s="1" t="str">
        <f>VLOOKUP(D32,Table3[],10,0)</f>
        <v>J.J. Strossmayera 333, 31000 Osijek</v>
      </c>
      <c r="J32" s="1" t="s">
        <v>141</v>
      </c>
      <c r="K32" s="61">
        <v>43101</v>
      </c>
      <c r="L32" s="61">
        <v>43251</v>
      </c>
      <c r="M32" t="s">
        <v>142</v>
      </c>
      <c r="N32" s="16" t="s">
        <v>89</v>
      </c>
      <c r="O32" s="7">
        <v>34053</v>
      </c>
      <c r="P32" s="16" t="s">
        <v>94</v>
      </c>
      <c r="Q32" s="16" t="s">
        <v>82</v>
      </c>
      <c r="R32" s="16" t="s">
        <v>266</v>
      </c>
      <c r="S32" s="17" t="s">
        <v>83</v>
      </c>
      <c r="T32" s="16" t="s">
        <v>84</v>
      </c>
      <c r="V32" s="16" t="s">
        <v>143</v>
      </c>
      <c r="W32" s="16" t="s">
        <v>143</v>
      </c>
      <c r="X32" s="303" t="s">
        <v>103</v>
      </c>
      <c r="Z32" s="16" t="s">
        <v>86</v>
      </c>
      <c r="AA32">
        <v>40</v>
      </c>
      <c r="AC32" s="183"/>
      <c r="AE32" s="183"/>
      <c r="AH32" s="16" t="s">
        <v>94</v>
      </c>
      <c r="AL32" s="16" t="s">
        <v>83</v>
      </c>
      <c r="AM32" s="90">
        <v>3439.8</v>
      </c>
      <c r="AN32" s="79">
        <v>1.7</v>
      </c>
      <c r="AO32" s="15">
        <v>2751.84</v>
      </c>
      <c r="AS32">
        <v>20</v>
      </c>
      <c r="AT32">
        <v>12</v>
      </c>
      <c r="AU32" t="s">
        <v>257</v>
      </c>
      <c r="AV32">
        <v>12</v>
      </c>
      <c r="AW32" s="7" t="s">
        <v>258</v>
      </c>
      <c r="AY32">
        <v>0</v>
      </c>
      <c r="AZ32" t="str">
        <f t="shared" si="6"/>
        <v>NEAKTIVAN</v>
      </c>
      <c r="BA32">
        <v>18</v>
      </c>
    </row>
    <row r="33" spans="1:53" ht="15.75" customHeight="1">
      <c r="A33" s="273">
        <v>10</v>
      </c>
      <c r="B33" s="273" t="str">
        <f t="shared" si="5"/>
        <v>NEAKTIVAN</v>
      </c>
      <c r="C33" s="302">
        <f t="shared" si="3"/>
        <v>31</v>
      </c>
      <c r="D33" s="1">
        <v>9</v>
      </c>
      <c r="E33" s="1" t="str">
        <f>VLOOKUP(D33,Table3[[#All],[RB]:[OIB]],2,0)</f>
        <v>WAX D.O.O</v>
      </c>
      <c r="F33" s="4">
        <f>VLOOKUP(D33,Table3[],3,0)</f>
        <v>46869408875</v>
      </c>
      <c r="G33" s="1" t="str">
        <f>VLOOKUP(D33,Table3[],4,0)</f>
        <v>Rudolf Gergelj</v>
      </c>
      <c r="H33" s="1" t="str">
        <f>VLOOKUP(D33,POSLODAVCI!$A$2:$J$107,9,0)</f>
        <v>Osijek</v>
      </c>
      <c r="I33" s="1" t="str">
        <f>VLOOKUP(D33,Table3[],10,0)</f>
        <v>J.J. Strossmayera 333, 31000 Osijek</v>
      </c>
      <c r="J33" s="1" t="s">
        <v>145</v>
      </c>
      <c r="K33" s="61">
        <v>43101</v>
      </c>
      <c r="L33" s="61">
        <v>43251</v>
      </c>
      <c r="M33" t="s">
        <v>146</v>
      </c>
      <c r="N33" s="16" t="s">
        <v>80</v>
      </c>
      <c r="O33" s="7">
        <v>34054</v>
      </c>
      <c r="P33" s="16" t="s">
        <v>94</v>
      </c>
      <c r="Q33" s="16" t="s">
        <v>82</v>
      </c>
      <c r="R33" s="16" t="s">
        <v>267</v>
      </c>
      <c r="S33" s="17" t="s">
        <v>83</v>
      </c>
      <c r="T33" s="16" t="s">
        <v>84</v>
      </c>
      <c r="V33" s="16" t="s">
        <v>143</v>
      </c>
      <c r="W33" s="16" t="s">
        <v>143</v>
      </c>
      <c r="X33" s="303" t="s">
        <v>103</v>
      </c>
      <c r="Z33" s="16" t="s">
        <v>86</v>
      </c>
      <c r="AA33">
        <v>40</v>
      </c>
      <c r="AC33" s="183"/>
      <c r="AE33" s="183"/>
      <c r="AH33" s="16" t="s">
        <v>94</v>
      </c>
      <c r="AL33" s="16" t="s">
        <v>83</v>
      </c>
      <c r="AM33" s="90">
        <v>3439.8</v>
      </c>
      <c r="AN33" s="79">
        <v>1</v>
      </c>
      <c r="AO33" s="15">
        <v>2751.84</v>
      </c>
      <c r="AS33">
        <v>20</v>
      </c>
      <c r="AT33">
        <v>12</v>
      </c>
      <c r="AU33" t="s">
        <v>257</v>
      </c>
      <c r="AV33">
        <v>12</v>
      </c>
      <c r="AW33" s="7" t="s">
        <v>258</v>
      </c>
      <c r="AY33">
        <v>0</v>
      </c>
      <c r="AZ33" t="str">
        <f t="shared" si="6"/>
        <v>NEAKTIVAN</v>
      </c>
      <c r="BA33">
        <v>19</v>
      </c>
    </row>
    <row r="34" spans="1:53" ht="15" customHeight="1">
      <c r="A34" s="273">
        <v>11</v>
      </c>
      <c r="B34" s="273" t="str">
        <f t="shared" si="5"/>
        <v>NEAKTIVAN</v>
      </c>
      <c r="C34" s="302">
        <f t="shared" si="3"/>
        <v>32</v>
      </c>
      <c r="D34" s="1">
        <v>9</v>
      </c>
      <c r="E34" s="1" t="str">
        <f>VLOOKUP(D34,Table3[[#All],[RB]:[OIB]],2,0)</f>
        <v>WAX D.O.O</v>
      </c>
      <c r="F34" s="4">
        <f>VLOOKUP(D34,Table3[],3,0)</f>
        <v>46869408875</v>
      </c>
      <c r="G34" s="1" t="str">
        <f>VLOOKUP(D34,Table3[],4,0)</f>
        <v>Rudolf Gergelj</v>
      </c>
      <c r="H34" s="1" t="str">
        <f>VLOOKUP(D34,POSLODAVCI!$A$2:$J$107,9,0)</f>
        <v>Osijek</v>
      </c>
      <c r="I34" s="1" t="str">
        <f>VLOOKUP(D34,Table3[],10,0)</f>
        <v>J.J. Strossmayera 333, 31000 Osijek</v>
      </c>
      <c r="J34" s="1" t="s">
        <v>147</v>
      </c>
      <c r="K34" s="61">
        <v>43101</v>
      </c>
      <c r="L34" s="61">
        <v>43251</v>
      </c>
      <c r="M34" t="s">
        <v>148</v>
      </c>
      <c r="N34" s="16" t="s">
        <v>80</v>
      </c>
      <c r="O34" s="7">
        <v>34055</v>
      </c>
      <c r="P34" s="16" t="s">
        <v>94</v>
      </c>
      <c r="Q34" s="16" t="s">
        <v>82</v>
      </c>
      <c r="R34" s="16" t="s">
        <v>268</v>
      </c>
      <c r="S34" s="17" t="s">
        <v>83</v>
      </c>
      <c r="T34" s="16" t="s">
        <v>84</v>
      </c>
      <c r="V34" s="16" t="s">
        <v>149</v>
      </c>
      <c r="W34" s="16" t="s">
        <v>149</v>
      </c>
      <c r="X34" s="303" t="s">
        <v>103</v>
      </c>
      <c r="Z34" s="16" t="s">
        <v>86</v>
      </c>
      <c r="AA34">
        <v>40</v>
      </c>
      <c r="AC34" s="183"/>
      <c r="AE34" s="183"/>
      <c r="AH34" s="16" t="s">
        <v>94</v>
      </c>
      <c r="AL34" s="16" t="s">
        <v>83</v>
      </c>
      <c r="AM34" s="15">
        <v>5093.03</v>
      </c>
      <c r="AN34" s="79">
        <v>1</v>
      </c>
      <c r="AO34" s="15">
        <v>4000</v>
      </c>
      <c r="AP34" s="15">
        <v>250</v>
      </c>
      <c r="AS34">
        <v>20</v>
      </c>
      <c r="AT34">
        <v>12</v>
      </c>
      <c r="AU34" t="s">
        <v>257</v>
      </c>
      <c r="AV34">
        <v>12</v>
      </c>
      <c r="AW34" s="7" t="s">
        <v>258</v>
      </c>
      <c r="AY34">
        <v>0</v>
      </c>
      <c r="AZ34" t="str">
        <f t="shared" si="6"/>
        <v>NEAKTIVAN</v>
      </c>
      <c r="BA34">
        <v>20</v>
      </c>
    </row>
    <row r="35" spans="1:53" ht="15.75" customHeight="1">
      <c r="A35" s="273">
        <v>12</v>
      </c>
      <c r="B35" s="273" t="str">
        <f t="shared" si="5"/>
        <v>NEAKTIVAN</v>
      </c>
      <c r="C35" s="302">
        <f t="shared" si="3"/>
        <v>33</v>
      </c>
      <c r="D35" s="1">
        <v>9</v>
      </c>
      <c r="E35" s="1" t="str">
        <f>VLOOKUP(D35,Table3[[#All],[RB]:[OIB]],2,0)</f>
        <v>WAX D.O.O</v>
      </c>
      <c r="F35" s="4">
        <f>VLOOKUP(D35,Table3[],3,0)</f>
        <v>46869408875</v>
      </c>
      <c r="G35" s="1" t="str">
        <f>VLOOKUP(D35,Table3[],4,0)</f>
        <v>Rudolf Gergelj</v>
      </c>
      <c r="H35" s="1" t="str">
        <f>VLOOKUP(D35,POSLODAVCI!$A$2:$J$107,9,0)</f>
        <v>Osijek</v>
      </c>
      <c r="I35" s="1" t="str">
        <f>VLOOKUP(D35,Table3[],10,0)</f>
        <v>J.J. Strossmayera 333, 31000 Osijek</v>
      </c>
      <c r="J35" s="1" t="s">
        <v>150</v>
      </c>
      <c r="K35" s="61">
        <v>43101</v>
      </c>
      <c r="L35" s="61">
        <v>43251</v>
      </c>
      <c r="M35" t="s">
        <v>151</v>
      </c>
      <c r="N35" s="16" t="s">
        <v>80</v>
      </c>
      <c r="O35" s="7">
        <v>34056</v>
      </c>
      <c r="P35" s="16" t="s">
        <v>94</v>
      </c>
      <c r="Q35" s="16" t="s">
        <v>82</v>
      </c>
      <c r="R35" s="16" t="s">
        <v>263</v>
      </c>
      <c r="S35" s="17" t="s">
        <v>83</v>
      </c>
      <c r="T35" s="16" t="s">
        <v>84</v>
      </c>
      <c r="V35" s="16" t="s">
        <v>143</v>
      </c>
      <c r="W35" s="16" t="s">
        <v>143</v>
      </c>
      <c r="X35" s="303" t="s">
        <v>103</v>
      </c>
      <c r="Z35" s="16" t="s">
        <v>86</v>
      </c>
      <c r="AA35">
        <v>40</v>
      </c>
      <c r="AC35" s="183"/>
      <c r="AE35" s="183"/>
      <c r="AH35" s="16" t="s">
        <v>94</v>
      </c>
      <c r="AL35" s="16" t="s">
        <v>83</v>
      </c>
      <c r="AM35" s="90">
        <v>3439.8</v>
      </c>
      <c r="AN35" s="79">
        <v>1</v>
      </c>
      <c r="AO35" s="15">
        <v>2751.84</v>
      </c>
      <c r="AS35">
        <v>20</v>
      </c>
      <c r="AT35">
        <v>12</v>
      </c>
      <c r="AU35" t="s">
        <v>257</v>
      </c>
      <c r="AV35">
        <v>12</v>
      </c>
      <c r="AW35" s="7" t="s">
        <v>258</v>
      </c>
      <c r="AY35">
        <v>0</v>
      </c>
      <c r="AZ35" t="str">
        <f t="shared" si="6"/>
        <v>NEAKTIVAN</v>
      </c>
      <c r="BA35">
        <v>21</v>
      </c>
    </row>
    <row r="36" spans="1:53" ht="15.75" customHeight="1">
      <c r="A36" s="273">
        <v>13</v>
      </c>
      <c r="B36" s="273" t="str">
        <f t="shared" si="5"/>
        <v>NEAKTIVAN</v>
      </c>
      <c r="C36" s="302">
        <f t="shared" si="3"/>
        <v>34</v>
      </c>
      <c r="D36" s="1">
        <v>9</v>
      </c>
      <c r="E36" s="1" t="str">
        <f>VLOOKUP(D36,Table3[[#All],[RB]:[OIB]],2,0)</f>
        <v>WAX D.O.O</v>
      </c>
      <c r="F36" s="4">
        <f>VLOOKUP(D36,Table3[],3,0)</f>
        <v>46869408875</v>
      </c>
      <c r="G36" s="1" t="str">
        <f>VLOOKUP(D36,Table3[],4,0)</f>
        <v>Rudolf Gergelj</v>
      </c>
      <c r="H36" s="1" t="str">
        <f>VLOOKUP(D36,POSLODAVCI!$A$2:$J$107,9,0)</f>
        <v>Osijek</v>
      </c>
      <c r="I36" s="1" t="str">
        <f>VLOOKUP(D36,Table3[],10,0)</f>
        <v>J.J. Strossmayera 333, 31000 Osijek</v>
      </c>
      <c r="J36" s="1" t="s">
        <v>153</v>
      </c>
      <c r="K36" s="61">
        <v>43101</v>
      </c>
      <c r="L36" s="61">
        <v>43244</v>
      </c>
      <c r="M36" t="s">
        <v>154</v>
      </c>
      <c r="N36" s="16" t="s">
        <v>80</v>
      </c>
      <c r="O36" s="7">
        <v>34058</v>
      </c>
      <c r="P36" s="16" t="s">
        <v>94</v>
      </c>
      <c r="Q36" s="16" t="s">
        <v>82</v>
      </c>
      <c r="R36" s="16" t="s">
        <v>269</v>
      </c>
      <c r="S36" s="17" t="s">
        <v>83</v>
      </c>
      <c r="T36" s="16" t="s">
        <v>84</v>
      </c>
      <c r="V36" s="16" t="s">
        <v>143</v>
      </c>
      <c r="W36" s="16" t="s">
        <v>143</v>
      </c>
      <c r="X36" s="303" t="s">
        <v>103</v>
      </c>
      <c r="Z36" s="16" t="s">
        <v>86</v>
      </c>
      <c r="AA36">
        <v>40</v>
      </c>
      <c r="AC36" s="183"/>
      <c r="AE36" s="183"/>
      <c r="AH36" s="16" t="s">
        <v>94</v>
      </c>
      <c r="AL36" s="16" t="s">
        <v>83</v>
      </c>
      <c r="AM36" s="90">
        <v>3439.8</v>
      </c>
      <c r="AN36" s="79">
        <v>1</v>
      </c>
      <c r="AO36" s="15">
        <v>2751.84</v>
      </c>
      <c r="AS36">
        <v>20</v>
      </c>
      <c r="AT36">
        <v>12</v>
      </c>
      <c r="AU36" t="s">
        <v>257</v>
      </c>
      <c r="AV36">
        <v>12</v>
      </c>
      <c r="AW36" s="7" t="s">
        <v>258</v>
      </c>
      <c r="AY36">
        <v>0</v>
      </c>
      <c r="AZ36" t="str">
        <f t="shared" si="6"/>
        <v>NEAKTIVAN</v>
      </c>
      <c r="BA36">
        <v>23</v>
      </c>
    </row>
    <row r="37" spans="1:53" ht="15.75" customHeight="1">
      <c r="A37" s="273">
        <v>14</v>
      </c>
      <c r="B37" s="273" t="str">
        <f t="shared" si="5"/>
        <v>NEAKTIVAN</v>
      </c>
      <c r="C37" s="302">
        <f t="shared" si="3"/>
        <v>35</v>
      </c>
      <c r="D37" s="1">
        <v>9</v>
      </c>
      <c r="E37" s="1" t="str">
        <f>VLOOKUP(D37,Table3[[#All],[RB]:[OIB]],2,0)</f>
        <v>WAX D.O.O</v>
      </c>
      <c r="F37" s="4">
        <f>VLOOKUP(D37,Table3[],3,0)</f>
        <v>46869408875</v>
      </c>
      <c r="G37" s="1" t="str">
        <f>VLOOKUP(D37,Table3[],4,0)</f>
        <v>Rudolf Gergelj</v>
      </c>
      <c r="H37" s="1" t="str">
        <f>VLOOKUP(D37,POSLODAVCI!$A$2:$J$107,9,0)</f>
        <v>Osijek</v>
      </c>
      <c r="I37" s="1" t="str">
        <f>VLOOKUP(D37,Table3[],10,0)</f>
        <v>J.J. Strossmayera 333, 31000 Osijek</v>
      </c>
      <c r="J37" s="1" t="s">
        <v>155</v>
      </c>
      <c r="K37" s="61">
        <v>43101</v>
      </c>
      <c r="L37" s="61">
        <v>43251</v>
      </c>
      <c r="M37" t="s">
        <v>156</v>
      </c>
      <c r="N37" s="16" t="s">
        <v>80</v>
      </c>
      <c r="O37" s="7">
        <v>34059</v>
      </c>
      <c r="P37" s="16" t="s">
        <v>94</v>
      </c>
      <c r="Q37" s="16" t="s">
        <v>82</v>
      </c>
      <c r="R37" s="16" t="s">
        <v>270</v>
      </c>
      <c r="S37" s="17" t="s">
        <v>83</v>
      </c>
      <c r="T37" s="16" t="s">
        <v>84</v>
      </c>
      <c r="V37" s="16" t="s">
        <v>143</v>
      </c>
      <c r="W37" s="16" t="s">
        <v>143</v>
      </c>
      <c r="X37" s="303" t="s">
        <v>103</v>
      </c>
      <c r="Z37" s="16" t="s">
        <v>86</v>
      </c>
      <c r="AA37">
        <v>40</v>
      </c>
      <c r="AC37" s="183"/>
      <c r="AE37" s="183"/>
      <c r="AH37" s="16" t="s">
        <v>94</v>
      </c>
      <c r="AL37" s="16" t="s">
        <v>83</v>
      </c>
      <c r="AM37" s="90">
        <v>3439.8</v>
      </c>
      <c r="AN37" s="79">
        <v>1.7</v>
      </c>
      <c r="AO37" s="15">
        <v>2751.84</v>
      </c>
      <c r="AS37">
        <v>20</v>
      </c>
      <c r="AT37">
        <v>12</v>
      </c>
      <c r="AU37" t="s">
        <v>257</v>
      </c>
      <c r="AV37">
        <v>12</v>
      </c>
      <c r="AW37" s="7" t="s">
        <v>258</v>
      </c>
      <c r="AY37">
        <v>0</v>
      </c>
      <c r="AZ37" t="str">
        <f t="shared" si="6"/>
        <v>NEAKTIVAN</v>
      </c>
      <c r="BA37">
        <v>24</v>
      </c>
    </row>
    <row r="38" spans="1:53" ht="15.75" customHeight="1">
      <c r="A38" s="273">
        <v>15</v>
      </c>
      <c r="B38" s="273" t="str">
        <f t="shared" si="5"/>
        <v>NEAKTIVAN</v>
      </c>
      <c r="C38" s="302">
        <f t="shared" si="3"/>
        <v>36</v>
      </c>
      <c r="D38" s="1">
        <v>9</v>
      </c>
      <c r="E38" s="1" t="str">
        <f>VLOOKUP(D38,Table3[[#All],[RB]:[OIB]],2,0)</f>
        <v>WAX D.O.O</v>
      </c>
      <c r="F38" s="4">
        <f>VLOOKUP(D38,Table3[],3,0)</f>
        <v>46869408875</v>
      </c>
      <c r="G38" s="1" t="str">
        <f>VLOOKUP(D38,Table3[],4,0)</f>
        <v>Rudolf Gergelj</v>
      </c>
      <c r="H38" s="1" t="str">
        <f>VLOOKUP(D38,POSLODAVCI!$A$2:$J$107,9,0)</f>
        <v>Osijek</v>
      </c>
      <c r="I38" s="1" t="str">
        <f>VLOOKUP(D38,Table3[],10,0)</f>
        <v>J.J. Strossmayera 333, 31000 Osijek</v>
      </c>
      <c r="J38" s="1" t="s">
        <v>157</v>
      </c>
      <c r="K38" s="61">
        <v>43101</v>
      </c>
      <c r="L38" s="61">
        <v>43251</v>
      </c>
      <c r="M38" t="s">
        <v>158</v>
      </c>
      <c r="N38" s="16" t="s">
        <v>80</v>
      </c>
      <c r="O38" s="7">
        <v>34060</v>
      </c>
      <c r="P38" s="16" t="s">
        <v>94</v>
      </c>
      <c r="Q38" s="16" t="s">
        <v>82</v>
      </c>
      <c r="R38" s="16" t="s">
        <v>271</v>
      </c>
      <c r="S38" s="17" t="s">
        <v>83</v>
      </c>
      <c r="T38" s="16" t="s">
        <v>84</v>
      </c>
      <c r="V38" s="16" t="s">
        <v>143</v>
      </c>
      <c r="W38" s="16" t="s">
        <v>143</v>
      </c>
      <c r="X38" s="303" t="s">
        <v>103</v>
      </c>
      <c r="Z38" s="16" t="s">
        <v>86</v>
      </c>
      <c r="AA38">
        <v>40</v>
      </c>
      <c r="AC38" s="183"/>
      <c r="AE38" s="183"/>
      <c r="AH38" s="16" t="s">
        <v>94</v>
      </c>
      <c r="AL38" s="16" t="s">
        <v>83</v>
      </c>
      <c r="AM38" s="90">
        <v>3439.8</v>
      </c>
      <c r="AN38" s="79">
        <v>1</v>
      </c>
      <c r="AO38" s="15">
        <v>2751.84</v>
      </c>
      <c r="AS38">
        <v>20</v>
      </c>
      <c r="AT38">
        <v>12</v>
      </c>
      <c r="AU38" t="s">
        <v>257</v>
      </c>
      <c r="AV38">
        <v>12</v>
      </c>
      <c r="AW38" s="7" t="s">
        <v>258</v>
      </c>
      <c r="AY38">
        <v>0</v>
      </c>
      <c r="AZ38" t="str">
        <f t="shared" si="6"/>
        <v>NEAKTIVAN</v>
      </c>
      <c r="BA38">
        <v>25</v>
      </c>
    </row>
    <row r="39" spans="1:53" ht="15.75" customHeight="1">
      <c r="A39" s="273">
        <v>16</v>
      </c>
      <c r="B39" s="273" t="str">
        <f t="shared" si="5"/>
        <v>NEAKTIVAN</v>
      </c>
      <c r="C39" s="302">
        <f t="shared" si="3"/>
        <v>37</v>
      </c>
      <c r="D39" s="1">
        <v>9</v>
      </c>
      <c r="E39" s="1" t="str">
        <f>VLOOKUP(D39,Table3[[#All],[RB]:[OIB]],2,0)</f>
        <v>WAX D.O.O</v>
      </c>
      <c r="F39" s="4">
        <f>VLOOKUP(D39,Table3[],3,0)</f>
        <v>46869408875</v>
      </c>
      <c r="G39" s="1" t="str">
        <f>VLOOKUP(D39,Table3[],4,0)</f>
        <v>Rudolf Gergelj</v>
      </c>
      <c r="H39" s="1" t="str">
        <f>VLOOKUP(D39,POSLODAVCI!$A$2:$J$107,9,0)</f>
        <v>Osijek</v>
      </c>
      <c r="I39" s="1" t="str">
        <f>VLOOKUP(D39,Table3[],10,0)</f>
        <v>J.J. Strossmayera 333, 31000 Osijek</v>
      </c>
      <c r="J39" s="1" t="s">
        <v>159</v>
      </c>
      <c r="K39" s="61">
        <v>43101</v>
      </c>
      <c r="L39" s="61">
        <v>43244</v>
      </c>
      <c r="M39" t="s">
        <v>160</v>
      </c>
      <c r="N39" s="16" t="s">
        <v>80</v>
      </c>
      <c r="O39" s="7">
        <v>34061</v>
      </c>
      <c r="P39" s="16" t="s">
        <v>94</v>
      </c>
      <c r="Q39" s="16" t="s">
        <v>82</v>
      </c>
      <c r="R39" s="16" t="s">
        <v>272</v>
      </c>
      <c r="S39" s="17" t="s">
        <v>83</v>
      </c>
      <c r="T39" s="16" t="s">
        <v>84</v>
      </c>
      <c r="V39" s="16" t="s">
        <v>143</v>
      </c>
      <c r="W39" s="16" t="s">
        <v>143</v>
      </c>
      <c r="X39" s="303" t="s">
        <v>103</v>
      </c>
      <c r="Z39" s="16" t="s">
        <v>86</v>
      </c>
      <c r="AA39">
        <v>40</v>
      </c>
      <c r="AC39" s="183"/>
      <c r="AE39" s="183"/>
      <c r="AH39" s="16" t="s">
        <v>94</v>
      </c>
      <c r="AL39" s="16" t="s">
        <v>83</v>
      </c>
      <c r="AM39" s="90">
        <v>3439.8</v>
      </c>
      <c r="AN39" s="79">
        <v>1.7</v>
      </c>
      <c r="AO39" s="15">
        <v>2751.84</v>
      </c>
      <c r="AS39">
        <v>20</v>
      </c>
      <c r="AT39">
        <v>12</v>
      </c>
      <c r="AU39" t="s">
        <v>257</v>
      </c>
      <c r="AV39">
        <v>12</v>
      </c>
      <c r="AW39" s="7" t="s">
        <v>258</v>
      </c>
      <c r="AY39">
        <v>0</v>
      </c>
      <c r="AZ39" t="str">
        <f t="shared" si="6"/>
        <v>NEAKTIVAN</v>
      </c>
      <c r="BA39">
        <v>26</v>
      </c>
    </row>
    <row r="40" spans="1:53" ht="15.75" customHeight="1">
      <c r="A40" s="273">
        <v>17</v>
      </c>
      <c r="B40" s="273" t="str">
        <f t="shared" si="5"/>
        <v>NEAKTIVAN</v>
      </c>
      <c r="C40" s="302">
        <f t="shared" si="3"/>
        <v>38</v>
      </c>
      <c r="D40" s="1">
        <v>9</v>
      </c>
      <c r="E40" s="1" t="str">
        <f>VLOOKUP(D40,Table3[[#All],[RB]:[OIB]],2,0)</f>
        <v>WAX D.O.O</v>
      </c>
      <c r="F40" s="4">
        <f>VLOOKUP(D40,Table3[],3,0)</f>
        <v>46869408875</v>
      </c>
      <c r="G40" s="1" t="str">
        <f>VLOOKUP(D40,Table3[],4,0)</f>
        <v>Rudolf Gergelj</v>
      </c>
      <c r="H40" s="1" t="str">
        <f>VLOOKUP(D40,POSLODAVCI!$A$2:$J$107,9,0)</f>
        <v>Osijek</v>
      </c>
      <c r="I40" s="1" t="str">
        <f>VLOOKUP(D40,Table3[],10,0)</f>
        <v>J.J. Strossmayera 333, 31000 Osijek</v>
      </c>
      <c r="J40" s="1" t="s">
        <v>162</v>
      </c>
      <c r="K40" s="61">
        <v>43101</v>
      </c>
      <c r="L40" s="61">
        <v>43251</v>
      </c>
      <c r="M40" t="s">
        <v>163</v>
      </c>
      <c r="N40" s="16" t="s">
        <v>80</v>
      </c>
      <c r="O40" s="7">
        <v>34062</v>
      </c>
      <c r="P40" s="16" t="s">
        <v>94</v>
      </c>
      <c r="Q40" s="16" t="s">
        <v>82</v>
      </c>
      <c r="R40" s="16" t="s">
        <v>273</v>
      </c>
      <c r="S40" s="17" t="s">
        <v>83</v>
      </c>
      <c r="T40" s="16" t="s">
        <v>84</v>
      </c>
      <c r="V40" s="16" t="s">
        <v>143</v>
      </c>
      <c r="W40" s="16" t="s">
        <v>143</v>
      </c>
      <c r="X40" s="303" t="s">
        <v>103</v>
      </c>
      <c r="Z40" s="16" t="s">
        <v>86</v>
      </c>
      <c r="AA40">
        <v>40</v>
      </c>
      <c r="AC40" s="183"/>
      <c r="AE40" s="183"/>
      <c r="AH40" s="16" t="s">
        <v>94</v>
      </c>
      <c r="AL40" s="16" t="s">
        <v>83</v>
      </c>
      <c r="AM40" s="90">
        <v>3439.8</v>
      </c>
      <c r="AN40" s="79">
        <v>1</v>
      </c>
      <c r="AO40" s="15">
        <v>2751.84</v>
      </c>
      <c r="AS40">
        <v>20</v>
      </c>
      <c r="AT40">
        <v>12</v>
      </c>
      <c r="AU40" t="s">
        <v>257</v>
      </c>
      <c r="AV40">
        <v>12</v>
      </c>
      <c r="AW40" s="7" t="s">
        <v>258</v>
      </c>
      <c r="AY40">
        <v>0</v>
      </c>
      <c r="AZ40" t="str">
        <f t="shared" si="6"/>
        <v>NEAKTIVAN</v>
      </c>
      <c r="BA40">
        <v>27</v>
      </c>
    </row>
    <row r="41" spans="1:53" ht="15.75" customHeight="1">
      <c r="A41" s="273">
        <v>18</v>
      </c>
      <c r="B41" s="273" t="str">
        <f t="shared" si="5"/>
        <v>NEAKTIVAN</v>
      </c>
      <c r="C41" s="302">
        <f t="shared" si="3"/>
        <v>39</v>
      </c>
      <c r="D41" s="1">
        <v>9</v>
      </c>
      <c r="E41" s="1" t="str">
        <f>VLOOKUP(D41,Table3[[#All],[RB]:[OIB]],2,0)</f>
        <v>WAX D.O.O</v>
      </c>
      <c r="F41" s="4">
        <f>VLOOKUP(D41,Table3[],3,0)</f>
        <v>46869408875</v>
      </c>
      <c r="G41" s="1" t="str">
        <f>VLOOKUP(D41,Table3[],4,0)</f>
        <v>Rudolf Gergelj</v>
      </c>
      <c r="H41" s="1" t="str">
        <f>VLOOKUP(D41,POSLODAVCI!$A$2:$J$107,9,0)</f>
        <v>Osijek</v>
      </c>
      <c r="I41" s="1" t="str">
        <f>VLOOKUP(D41,Table3[],10,0)</f>
        <v>J.J. Strossmayera 333, 31000 Osijek</v>
      </c>
      <c r="J41" s="1" t="s">
        <v>164</v>
      </c>
      <c r="K41" s="61">
        <v>43101</v>
      </c>
      <c r="L41" s="61">
        <v>43343</v>
      </c>
      <c r="M41" t="s">
        <v>165</v>
      </c>
      <c r="N41" s="16" t="s">
        <v>80</v>
      </c>
      <c r="O41" s="7">
        <v>22839</v>
      </c>
      <c r="P41" s="16" t="s">
        <v>94</v>
      </c>
      <c r="Q41" s="16" t="s">
        <v>82</v>
      </c>
      <c r="R41" s="16" t="s">
        <v>274</v>
      </c>
      <c r="S41" s="17" t="s">
        <v>83</v>
      </c>
      <c r="T41" s="16" t="s">
        <v>84</v>
      </c>
      <c r="V41" s="16" t="s">
        <v>143</v>
      </c>
      <c r="W41" s="16" t="s">
        <v>143</v>
      </c>
      <c r="X41" s="303" t="s">
        <v>103</v>
      </c>
      <c r="Z41" s="16" t="s">
        <v>86</v>
      </c>
      <c r="AA41">
        <v>40</v>
      </c>
      <c r="AC41" s="183"/>
      <c r="AE41" s="183"/>
      <c r="AH41" s="16" t="s">
        <v>94</v>
      </c>
      <c r="AL41" s="16" t="s">
        <v>83</v>
      </c>
      <c r="AM41" s="90">
        <v>3439.8</v>
      </c>
      <c r="AN41" s="79">
        <v>1.7</v>
      </c>
      <c r="AO41" s="15">
        <v>2751.84</v>
      </c>
      <c r="AS41">
        <v>20</v>
      </c>
      <c r="AT41">
        <v>12</v>
      </c>
      <c r="AU41" t="s">
        <v>257</v>
      </c>
      <c r="AV41">
        <v>12</v>
      </c>
      <c r="AW41" s="7" t="s">
        <v>258</v>
      </c>
      <c r="AY41">
        <v>0</v>
      </c>
      <c r="AZ41" t="str">
        <f t="shared" si="6"/>
        <v>NEAKTIVAN</v>
      </c>
      <c r="BA41">
        <v>29</v>
      </c>
    </row>
    <row r="42" spans="1:53" ht="15.75" customHeight="1">
      <c r="A42" s="273">
        <v>19</v>
      </c>
      <c r="B42" s="273" t="str">
        <f t="shared" si="5"/>
        <v>NEAKTIVAN</v>
      </c>
      <c r="C42" s="302">
        <f t="shared" si="3"/>
        <v>40</v>
      </c>
      <c r="D42" s="1">
        <v>9</v>
      </c>
      <c r="E42" s="1" t="str">
        <f>VLOOKUP(D42,Table3[[#All],[RB]:[OIB]],2,0)</f>
        <v>WAX D.O.O</v>
      </c>
      <c r="F42" s="4">
        <f>VLOOKUP(D42,Table3[],3,0)</f>
        <v>46869408875</v>
      </c>
      <c r="G42" s="1" t="str">
        <f>VLOOKUP(D42,Table3[],4,0)</f>
        <v>Rudolf Gergelj</v>
      </c>
      <c r="H42" s="1" t="str">
        <f>VLOOKUP(D42,POSLODAVCI!$A$2:$J$107,9,0)</f>
        <v>Osijek</v>
      </c>
      <c r="I42" s="1" t="str">
        <f>VLOOKUP(D42,Table3[],10,0)</f>
        <v>J.J. Strossmayera 333, 31000 Osijek</v>
      </c>
      <c r="J42" s="1" t="s">
        <v>167</v>
      </c>
      <c r="K42" s="61">
        <v>43101</v>
      </c>
      <c r="L42" s="61">
        <v>43343</v>
      </c>
      <c r="M42" t="s">
        <v>168</v>
      </c>
      <c r="N42" s="16" t="s">
        <v>80</v>
      </c>
      <c r="O42" s="7">
        <v>34065</v>
      </c>
      <c r="P42" s="16" t="s">
        <v>94</v>
      </c>
      <c r="Q42" s="16" t="s">
        <v>82</v>
      </c>
      <c r="R42" s="16" t="s">
        <v>275</v>
      </c>
      <c r="S42" s="17" t="s">
        <v>83</v>
      </c>
      <c r="T42" s="16" t="s">
        <v>84</v>
      </c>
      <c r="V42" s="16" t="s">
        <v>143</v>
      </c>
      <c r="W42" s="16" t="s">
        <v>143</v>
      </c>
      <c r="X42" s="303" t="s">
        <v>103</v>
      </c>
      <c r="Z42" s="16" t="s">
        <v>86</v>
      </c>
      <c r="AA42">
        <v>40</v>
      </c>
      <c r="AC42" s="183"/>
      <c r="AE42" s="183"/>
      <c r="AH42" s="16" t="s">
        <v>94</v>
      </c>
      <c r="AL42" s="16" t="s">
        <v>83</v>
      </c>
      <c r="AM42" s="90">
        <v>3439.8</v>
      </c>
      <c r="AN42" s="79">
        <v>1</v>
      </c>
      <c r="AO42" s="15">
        <v>2751.84</v>
      </c>
      <c r="AS42">
        <v>20</v>
      </c>
      <c r="AT42">
        <v>12</v>
      </c>
      <c r="AU42" t="s">
        <v>257</v>
      </c>
      <c r="AV42">
        <v>12</v>
      </c>
      <c r="AW42" s="7" t="s">
        <v>258</v>
      </c>
      <c r="AY42">
        <v>0</v>
      </c>
      <c r="AZ42" t="str">
        <f t="shared" si="6"/>
        <v>NEAKTIVAN</v>
      </c>
      <c r="BA42">
        <v>30</v>
      </c>
    </row>
    <row r="43" spans="1:53" ht="15.75" customHeight="1">
      <c r="A43" s="273">
        <v>20</v>
      </c>
      <c r="B43" s="273" t="str">
        <f t="shared" si="5"/>
        <v>NEAKTIVAN</v>
      </c>
      <c r="C43" s="302">
        <f t="shared" si="3"/>
        <v>41</v>
      </c>
      <c r="D43" s="1">
        <v>9</v>
      </c>
      <c r="E43" s="1" t="str">
        <f>VLOOKUP(D43,Table3[[#All],[RB]:[OIB]],2,0)</f>
        <v>WAX D.O.O</v>
      </c>
      <c r="F43" s="4">
        <f>VLOOKUP(D43,Table3[],3,0)</f>
        <v>46869408875</v>
      </c>
      <c r="G43" s="1" t="str">
        <f>VLOOKUP(D43,Table3[],4,0)</f>
        <v>Rudolf Gergelj</v>
      </c>
      <c r="H43" s="1" t="str">
        <f>VLOOKUP(D43,POSLODAVCI!$A$2:$J$107,9,0)</f>
        <v>Osijek</v>
      </c>
      <c r="I43" s="1" t="str">
        <f>VLOOKUP(D43,Table3[],10,0)</f>
        <v>J.J. Strossmayera 333, 31000 Osijek</v>
      </c>
      <c r="J43" s="1" t="s">
        <v>169</v>
      </c>
      <c r="K43" s="61">
        <v>43101</v>
      </c>
      <c r="L43" s="61">
        <v>43251</v>
      </c>
      <c r="M43" t="s">
        <v>170</v>
      </c>
      <c r="N43" s="16" t="s">
        <v>89</v>
      </c>
      <c r="O43" s="7">
        <v>34066</v>
      </c>
      <c r="P43" s="16" t="s">
        <v>94</v>
      </c>
      <c r="Q43" s="16" t="s">
        <v>82</v>
      </c>
      <c r="R43" s="16" t="s">
        <v>276</v>
      </c>
      <c r="S43" s="17" t="s">
        <v>83</v>
      </c>
      <c r="T43" s="16" t="s">
        <v>84</v>
      </c>
      <c r="V43" s="16" t="s">
        <v>143</v>
      </c>
      <c r="W43" s="16" t="s">
        <v>143</v>
      </c>
      <c r="X43" s="303" t="s">
        <v>103</v>
      </c>
      <c r="Z43" s="16" t="s">
        <v>86</v>
      </c>
      <c r="AA43">
        <v>40</v>
      </c>
      <c r="AC43" s="183"/>
      <c r="AE43" s="183"/>
      <c r="AH43" s="16" t="s">
        <v>94</v>
      </c>
      <c r="AL43" s="16" t="s">
        <v>83</v>
      </c>
      <c r="AM43" s="90">
        <v>3439.8</v>
      </c>
      <c r="AN43" s="79">
        <v>1.7</v>
      </c>
      <c r="AO43" s="15">
        <v>2751.84</v>
      </c>
      <c r="AS43">
        <v>20</v>
      </c>
      <c r="AT43">
        <v>12</v>
      </c>
      <c r="AU43" t="s">
        <v>257</v>
      </c>
      <c r="AV43">
        <v>12</v>
      </c>
      <c r="AW43" s="7" t="s">
        <v>258</v>
      </c>
      <c r="AY43">
        <v>0</v>
      </c>
      <c r="AZ43" t="str">
        <f t="shared" si="6"/>
        <v>NEAKTIVAN</v>
      </c>
      <c r="BA43">
        <v>31</v>
      </c>
    </row>
    <row r="44" spans="1:53" ht="15.75" customHeight="1">
      <c r="A44" s="273">
        <v>21</v>
      </c>
      <c r="B44" s="273" t="str">
        <f t="shared" si="5"/>
        <v>NEAKTIVAN</v>
      </c>
      <c r="C44" s="302">
        <f t="shared" si="3"/>
        <v>42</v>
      </c>
      <c r="D44" s="1">
        <v>9</v>
      </c>
      <c r="E44" s="1" t="str">
        <f>VLOOKUP(D44,Table3[[#All],[RB]:[OIB]],2,0)</f>
        <v>WAX D.O.O</v>
      </c>
      <c r="F44" s="4">
        <f>VLOOKUP(D44,Table3[],3,0)</f>
        <v>46869408875</v>
      </c>
      <c r="G44" s="1" t="str">
        <f>VLOOKUP(D44,Table3[],4,0)</f>
        <v>Rudolf Gergelj</v>
      </c>
      <c r="H44" s="1" t="str">
        <f>VLOOKUP(D44,POSLODAVCI!$A$2:$J$107,9,0)</f>
        <v>Osijek</v>
      </c>
      <c r="I44" s="1" t="str">
        <f>VLOOKUP(D44,Table3[],10,0)</f>
        <v>J.J. Strossmayera 333, 31000 Osijek</v>
      </c>
      <c r="J44" s="1" t="s">
        <v>171</v>
      </c>
      <c r="K44" s="61">
        <v>43101</v>
      </c>
      <c r="L44" s="61">
        <v>43251</v>
      </c>
      <c r="M44" t="s">
        <v>172</v>
      </c>
      <c r="N44" s="16" t="s">
        <v>80</v>
      </c>
      <c r="O44" s="7">
        <v>34067</v>
      </c>
      <c r="P44" s="16" t="s">
        <v>94</v>
      </c>
      <c r="Q44" s="16" t="s">
        <v>82</v>
      </c>
      <c r="R44" s="16" t="s">
        <v>277</v>
      </c>
      <c r="S44" s="17" t="s">
        <v>83</v>
      </c>
      <c r="T44" s="16" t="s">
        <v>84</v>
      </c>
      <c r="V44" s="16" t="s">
        <v>143</v>
      </c>
      <c r="W44" s="16" t="s">
        <v>143</v>
      </c>
      <c r="X44" s="303" t="s">
        <v>103</v>
      </c>
      <c r="Z44" s="16" t="s">
        <v>86</v>
      </c>
      <c r="AA44">
        <v>40</v>
      </c>
      <c r="AC44" s="183"/>
      <c r="AE44" s="183"/>
      <c r="AH44" s="16" t="s">
        <v>94</v>
      </c>
      <c r="AL44" s="16" t="s">
        <v>83</v>
      </c>
      <c r="AM44" s="90">
        <v>3439.8</v>
      </c>
      <c r="AN44" s="79">
        <v>1</v>
      </c>
      <c r="AO44" s="15">
        <v>2751.84</v>
      </c>
      <c r="AS44">
        <v>20</v>
      </c>
      <c r="AT44">
        <v>12</v>
      </c>
      <c r="AU44" t="s">
        <v>257</v>
      </c>
      <c r="AV44">
        <v>12</v>
      </c>
      <c r="AW44" s="7" t="s">
        <v>258</v>
      </c>
      <c r="AY44">
        <v>0</v>
      </c>
      <c r="AZ44" t="str">
        <f t="shared" si="6"/>
        <v>NEAKTIVAN</v>
      </c>
      <c r="BA44">
        <v>32</v>
      </c>
    </row>
    <row r="45" spans="1:53" ht="15" customHeight="1">
      <c r="A45" s="273">
        <v>22</v>
      </c>
      <c r="B45" s="273" t="str">
        <f t="shared" si="5"/>
        <v>NEAKTIVAN</v>
      </c>
      <c r="C45" s="302">
        <f t="shared" si="3"/>
        <v>43</v>
      </c>
      <c r="D45" s="1">
        <v>9</v>
      </c>
      <c r="E45" s="1" t="str">
        <f>VLOOKUP(D45,Table3[[#All],[RB]:[OIB]],2,0)</f>
        <v>WAX D.O.O</v>
      </c>
      <c r="F45" s="4">
        <f>VLOOKUP(D45,Table3[],3,0)</f>
        <v>46869408875</v>
      </c>
      <c r="G45" s="1" t="str">
        <f>VLOOKUP(D45,Table3[],4,0)</f>
        <v>Rudolf Gergelj</v>
      </c>
      <c r="H45" s="1" t="str">
        <f>VLOOKUP(D45,POSLODAVCI!$A$2:$J$107,9,0)</f>
        <v>Osijek</v>
      </c>
      <c r="I45" s="1" t="str">
        <f>VLOOKUP(D45,Table3[],10,0)</f>
        <v>J.J. Strossmayera 333, 31000 Osijek</v>
      </c>
      <c r="J45" s="1" t="s">
        <v>174</v>
      </c>
      <c r="K45" s="61">
        <v>43101</v>
      </c>
      <c r="L45" s="61">
        <v>43251</v>
      </c>
      <c r="M45" t="s">
        <v>175</v>
      </c>
      <c r="N45" s="16" t="s">
        <v>80</v>
      </c>
      <c r="O45" s="7">
        <v>34069</v>
      </c>
      <c r="P45" s="16" t="s">
        <v>94</v>
      </c>
      <c r="Q45" s="16" t="s">
        <v>82</v>
      </c>
      <c r="R45" s="16" t="s">
        <v>278</v>
      </c>
      <c r="S45" s="17" t="s">
        <v>83</v>
      </c>
      <c r="T45" s="16" t="s">
        <v>84</v>
      </c>
      <c r="V45" s="16" t="s">
        <v>177</v>
      </c>
      <c r="W45" s="16" t="s">
        <v>177</v>
      </c>
      <c r="X45" s="303" t="s">
        <v>103</v>
      </c>
      <c r="Z45" s="16" t="s">
        <v>86</v>
      </c>
      <c r="AA45">
        <v>40</v>
      </c>
      <c r="AC45" s="183"/>
      <c r="AE45" s="183"/>
      <c r="AH45" s="16" t="s">
        <v>94</v>
      </c>
      <c r="AL45" s="16" t="s">
        <v>83</v>
      </c>
      <c r="AM45" s="15">
        <v>4375</v>
      </c>
      <c r="AN45" s="79">
        <v>2.7</v>
      </c>
      <c r="AO45" s="15">
        <v>3500</v>
      </c>
      <c r="AS45">
        <v>20</v>
      </c>
      <c r="AT45">
        <v>12</v>
      </c>
      <c r="AU45" t="s">
        <v>257</v>
      </c>
      <c r="AV45">
        <v>12</v>
      </c>
      <c r="AW45" s="7" t="s">
        <v>258</v>
      </c>
      <c r="AY45">
        <v>0</v>
      </c>
      <c r="AZ45" t="str">
        <f t="shared" si="6"/>
        <v>NEAKTIVAN</v>
      </c>
      <c r="BA45">
        <v>34</v>
      </c>
    </row>
    <row r="46" spans="1:53" ht="15.75" customHeight="1">
      <c r="A46" s="273">
        <v>23</v>
      </c>
      <c r="B46" s="273" t="str">
        <f t="shared" si="5"/>
        <v>NEAKTIVAN</v>
      </c>
      <c r="C46" s="302">
        <f t="shared" si="3"/>
        <v>44</v>
      </c>
      <c r="D46" s="1">
        <v>9</v>
      </c>
      <c r="E46" s="1" t="str">
        <f>VLOOKUP(D46,Table3[[#All],[RB]:[OIB]],2,0)</f>
        <v>WAX D.O.O</v>
      </c>
      <c r="F46" s="4">
        <f>VLOOKUP(D46,Table3[],3,0)</f>
        <v>46869408875</v>
      </c>
      <c r="G46" s="1" t="str">
        <f>VLOOKUP(D46,Table3[],4,0)</f>
        <v>Rudolf Gergelj</v>
      </c>
      <c r="H46" s="1" t="str">
        <f>VLOOKUP(D46,POSLODAVCI!$A$2:$J$107,9,0)</f>
        <v>Osijek</v>
      </c>
      <c r="I46" s="1" t="str">
        <f>VLOOKUP(D46,Table3[],10,0)</f>
        <v>J.J. Strossmayera 333, 31000 Osijek</v>
      </c>
      <c r="J46" s="1" t="s">
        <v>178</v>
      </c>
      <c r="K46" s="61">
        <v>43101</v>
      </c>
      <c r="L46" s="61">
        <v>43251</v>
      </c>
      <c r="M46" t="s">
        <v>179</v>
      </c>
      <c r="N46" s="16" t="s">
        <v>80</v>
      </c>
      <c r="O46" s="7">
        <v>34070</v>
      </c>
      <c r="P46" s="16" t="s">
        <v>94</v>
      </c>
      <c r="Q46" s="16" t="s">
        <v>82</v>
      </c>
      <c r="R46" s="16" t="s">
        <v>279</v>
      </c>
      <c r="S46" s="17" t="s">
        <v>83</v>
      </c>
      <c r="T46" s="16" t="s">
        <v>84</v>
      </c>
      <c r="V46" s="16" t="s">
        <v>143</v>
      </c>
      <c r="W46" s="16" t="s">
        <v>143</v>
      </c>
      <c r="X46" s="303" t="s">
        <v>103</v>
      </c>
      <c r="Z46" s="16" t="s">
        <v>86</v>
      </c>
      <c r="AA46">
        <v>40</v>
      </c>
      <c r="AC46" s="183"/>
      <c r="AE46" s="183"/>
      <c r="AH46" s="16" t="s">
        <v>94</v>
      </c>
      <c r="AL46" s="16" t="s">
        <v>83</v>
      </c>
      <c r="AM46" s="90">
        <v>3439.8</v>
      </c>
      <c r="AN46" s="79">
        <v>1.7</v>
      </c>
      <c r="AO46" s="15">
        <v>2751.84</v>
      </c>
      <c r="AS46">
        <v>20</v>
      </c>
      <c r="AT46">
        <v>12</v>
      </c>
      <c r="AU46" t="s">
        <v>257</v>
      </c>
      <c r="AV46">
        <v>12</v>
      </c>
      <c r="AW46" s="7" t="s">
        <v>258</v>
      </c>
      <c r="AY46">
        <v>0</v>
      </c>
      <c r="AZ46" t="str">
        <f t="shared" si="6"/>
        <v>NEAKTIVAN</v>
      </c>
      <c r="BA46">
        <v>35</v>
      </c>
    </row>
    <row r="47" spans="1:53" ht="15.75" customHeight="1">
      <c r="A47" s="273">
        <v>2</v>
      </c>
      <c r="B47" s="273" t="str">
        <f t="shared" si="5"/>
        <v>NEAKTIVAN</v>
      </c>
      <c r="C47" s="302">
        <f t="shared" si="3"/>
        <v>45</v>
      </c>
      <c r="D47" s="1">
        <v>9</v>
      </c>
      <c r="E47" s="1" t="str">
        <f>VLOOKUP(D47,Table3[[#All],[RB]:[OIB]],2,0)</f>
        <v>WAX D.O.O</v>
      </c>
      <c r="F47" s="4">
        <f>VLOOKUP(D47,Table3[],3,0)</f>
        <v>46869408875</v>
      </c>
      <c r="G47" s="1" t="str">
        <f>VLOOKUP(D47,Table3[],4,0)</f>
        <v>Rudolf Gergelj</v>
      </c>
      <c r="H47" s="1" t="str">
        <f>VLOOKUP(D47,POSLODAVCI!$A$2:$J$107,9,0)</f>
        <v>Osijek</v>
      </c>
      <c r="I47" s="1" t="str">
        <f>VLOOKUP(D47,Table3[],10,0)</f>
        <v>J.J. Strossmayera 333, 31000 Osijek</v>
      </c>
      <c r="J47" s="1" t="s">
        <v>184</v>
      </c>
      <c r="K47" s="61">
        <v>43101</v>
      </c>
      <c r="L47" s="61">
        <v>43251</v>
      </c>
      <c r="M47" t="s">
        <v>185</v>
      </c>
      <c r="N47" s="16" t="s">
        <v>80</v>
      </c>
      <c r="O47" s="7">
        <v>34074</v>
      </c>
      <c r="P47" s="16" t="s">
        <v>94</v>
      </c>
      <c r="Q47" s="16" t="s">
        <v>82</v>
      </c>
      <c r="R47" s="16" t="s">
        <v>280</v>
      </c>
      <c r="S47" s="17" t="s">
        <v>83</v>
      </c>
      <c r="T47" s="16" t="s">
        <v>84</v>
      </c>
      <c r="V47" s="16" t="s">
        <v>143</v>
      </c>
      <c r="W47" s="16" t="s">
        <v>143</v>
      </c>
      <c r="X47" s="303" t="s">
        <v>103</v>
      </c>
      <c r="Z47" s="16" t="s">
        <v>86</v>
      </c>
      <c r="AA47">
        <v>40</v>
      </c>
      <c r="AC47" s="183"/>
      <c r="AE47" s="183"/>
      <c r="AH47" s="16" t="s">
        <v>94</v>
      </c>
      <c r="AL47" s="16" t="s">
        <v>83</v>
      </c>
      <c r="AM47" s="90">
        <v>3439.8</v>
      </c>
      <c r="AN47" s="79">
        <v>1</v>
      </c>
      <c r="AO47" s="15">
        <v>2751.84</v>
      </c>
      <c r="AS47">
        <v>20</v>
      </c>
      <c r="AT47">
        <v>12</v>
      </c>
      <c r="AU47" t="s">
        <v>257</v>
      </c>
      <c r="AV47">
        <v>12</v>
      </c>
      <c r="AW47" s="7" t="s">
        <v>258</v>
      </c>
      <c r="AY47">
        <v>0</v>
      </c>
      <c r="AZ47" t="str">
        <f t="shared" si="6"/>
        <v>NEAKTIVAN</v>
      </c>
      <c r="BA47">
        <v>39</v>
      </c>
    </row>
    <row r="48" spans="1:53" ht="15.75" customHeight="1">
      <c r="A48" s="273">
        <v>24</v>
      </c>
      <c r="B48" s="273" t="str">
        <f t="shared" si="5"/>
        <v>NEAKTIVAN</v>
      </c>
      <c r="C48" s="302">
        <f t="shared" si="3"/>
        <v>46</v>
      </c>
      <c r="D48" s="1">
        <v>9</v>
      </c>
      <c r="E48" s="1" t="str">
        <f>VLOOKUP(D48,Table3[[#All],[RB]:[OIB]],2,0)</f>
        <v>WAX D.O.O</v>
      </c>
      <c r="F48" s="4">
        <f>VLOOKUP(D48,Table3[],3,0)</f>
        <v>46869408875</v>
      </c>
      <c r="G48" s="1" t="str">
        <f>VLOOKUP(D48,Table3[],4,0)</f>
        <v>Rudolf Gergelj</v>
      </c>
      <c r="H48" s="1" t="str">
        <f>VLOOKUP(D48,POSLODAVCI!$A$2:$J$107,9,0)</f>
        <v>Osijek</v>
      </c>
      <c r="I48" s="1" t="str">
        <f>VLOOKUP(D48,Table3[],10,0)</f>
        <v>J.J. Strossmayera 333, 31000 Osijek</v>
      </c>
      <c r="J48" s="1" t="s">
        <v>187</v>
      </c>
      <c r="K48" s="61">
        <v>43101</v>
      </c>
      <c r="L48" s="61">
        <v>43251</v>
      </c>
      <c r="M48" t="s">
        <v>188</v>
      </c>
      <c r="N48" s="16" t="s">
        <v>80</v>
      </c>
      <c r="O48" s="7">
        <v>34075</v>
      </c>
      <c r="P48" s="16" t="s">
        <v>94</v>
      </c>
      <c r="Q48" s="16" t="s">
        <v>82</v>
      </c>
      <c r="R48" s="16" t="s">
        <v>281</v>
      </c>
      <c r="S48" s="17" t="s">
        <v>83</v>
      </c>
      <c r="T48" s="16" t="s">
        <v>84</v>
      </c>
      <c r="V48" s="16" t="s">
        <v>143</v>
      </c>
      <c r="W48" s="16" t="s">
        <v>143</v>
      </c>
      <c r="X48" s="303" t="s">
        <v>103</v>
      </c>
      <c r="Z48" s="16" t="s">
        <v>86</v>
      </c>
      <c r="AA48">
        <v>40</v>
      </c>
      <c r="AC48" s="183"/>
      <c r="AE48" s="183"/>
      <c r="AH48" s="16" t="s">
        <v>94</v>
      </c>
      <c r="AL48" s="16" t="s">
        <v>83</v>
      </c>
      <c r="AM48" s="90">
        <v>3439.8</v>
      </c>
      <c r="AN48" s="79">
        <v>2.7</v>
      </c>
      <c r="AO48" s="15">
        <v>2751.84</v>
      </c>
      <c r="AS48">
        <v>20</v>
      </c>
      <c r="AT48">
        <v>12</v>
      </c>
      <c r="AU48" t="s">
        <v>257</v>
      </c>
      <c r="AV48">
        <v>12</v>
      </c>
      <c r="AW48" s="7" t="s">
        <v>258</v>
      </c>
      <c r="AY48">
        <v>0</v>
      </c>
      <c r="AZ48" t="str">
        <f t="shared" si="6"/>
        <v>NEAKTIVAN</v>
      </c>
      <c r="BA48">
        <v>40</v>
      </c>
    </row>
    <row r="49" spans="1:53" ht="15.75" customHeight="1">
      <c r="A49" s="273">
        <v>25</v>
      </c>
      <c r="B49" s="273" t="str">
        <f t="shared" si="5"/>
        <v>NEAKTIVAN</v>
      </c>
      <c r="C49" s="302">
        <f t="shared" si="3"/>
        <v>47</v>
      </c>
      <c r="D49" s="1">
        <v>9</v>
      </c>
      <c r="E49" s="1" t="str">
        <f>VLOOKUP(D49,Table3[[#All],[RB]:[OIB]],2,0)</f>
        <v>WAX D.O.O</v>
      </c>
      <c r="F49" s="4">
        <f>VLOOKUP(D49,Table3[],3,0)</f>
        <v>46869408875</v>
      </c>
      <c r="G49" s="1" t="str">
        <f>VLOOKUP(D49,Table3[],4,0)</f>
        <v>Rudolf Gergelj</v>
      </c>
      <c r="H49" s="1" t="str">
        <f>VLOOKUP(D49,POSLODAVCI!$A$2:$J$107,9,0)</f>
        <v>Osijek</v>
      </c>
      <c r="I49" s="1" t="str">
        <f>VLOOKUP(D49,Table3[],10,0)</f>
        <v>J.J. Strossmayera 333, 31000 Osijek</v>
      </c>
      <c r="J49" s="1" t="s">
        <v>190</v>
      </c>
      <c r="K49" s="61">
        <v>43101</v>
      </c>
      <c r="L49" s="61">
        <v>43251</v>
      </c>
      <c r="M49" t="s">
        <v>191</v>
      </c>
      <c r="N49" s="16" t="s">
        <v>80</v>
      </c>
      <c r="O49" s="7">
        <v>34077</v>
      </c>
      <c r="P49" s="16" t="s">
        <v>94</v>
      </c>
      <c r="Q49" s="16" t="s">
        <v>82</v>
      </c>
      <c r="R49" s="16" t="s">
        <v>282</v>
      </c>
      <c r="S49" s="17" t="s">
        <v>83</v>
      </c>
      <c r="T49" s="16" t="s">
        <v>84</v>
      </c>
      <c r="V49" s="16" t="s">
        <v>143</v>
      </c>
      <c r="W49" s="16" t="s">
        <v>143</v>
      </c>
      <c r="X49" s="303" t="s">
        <v>103</v>
      </c>
      <c r="Z49" s="16" t="s">
        <v>86</v>
      </c>
      <c r="AA49">
        <v>40</v>
      </c>
      <c r="AC49" s="183"/>
      <c r="AE49" s="183"/>
      <c r="AH49" s="16" t="s">
        <v>94</v>
      </c>
      <c r="AL49" s="16" t="s">
        <v>83</v>
      </c>
      <c r="AM49" s="90">
        <v>3439.8</v>
      </c>
      <c r="AN49" s="79">
        <v>1</v>
      </c>
      <c r="AO49" s="15">
        <v>2751.84</v>
      </c>
      <c r="AS49">
        <v>20</v>
      </c>
      <c r="AT49">
        <v>12</v>
      </c>
      <c r="AU49" t="s">
        <v>257</v>
      </c>
      <c r="AV49">
        <v>12</v>
      </c>
      <c r="AW49" s="7" t="s">
        <v>258</v>
      </c>
      <c r="AY49">
        <v>0</v>
      </c>
      <c r="AZ49" t="str">
        <f t="shared" si="6"/>
        <v>NEAKTIVAN</v>
      </c>
      <c r="BA49">
        <v>42</v>
      </c>
    </row>
    <row r="50" spans="1:53" ht="15" customHeight="1">
      <c r="A50" s="273">
        <v>26</v>
      </c>
      <c r="B50" s="273" t="str">
        <f t="shared" si="5"/>
        <v>NEAKTIVAN</v>
      </c>
      <c r="C50" s="302">
        <f t="shared" si="3"/>
        <v>48</v>
      </c>
      <c r="D50" s="1">
        <v>9</v>
      </c>
      <c r="E50" s="1" t="str">
        <f>VLOOKUP(D50,Table3[[#All],[RB]:[OIB]],2,0)</f>
        <v>WAX D.O.O</v>
      </c>
      <c r="F50" s="4">
        <f>VLOOKUP(D50,Table3[],3,0)</f>
        <v>46869408875</v>
      </c>
      <c r="G50" s="1" t="str">
        <f>VLOOKUP(D50,Table3[],4,0)</f>
        <v>Rudolf Gergelj</v>
      </c>
      <c r="H50" s="1" t="str">
        <f>VLOOKUP(D50,POSLODAVCI!$A$2:$J$107,9,0)</f>
        <v>Osijek</v>
      </c>
      <c r="I50" s="1" t="str">
        <f>VLOOKUP(D50,Table3[],10,0)</f>
        <v>J.J. Strossmayera 333, 31000 Osijek</v>
      </c>
      <c r="J50" s="1" t="s">
        <v>193</v>
      </c>
      <c r="K50" s="61">
        <v>43101</v>
      </c>
      <c r="L50" s="61">
        <v>43251</v>
      </c>
      <c r="M50" t="s">
        <v>194</v>
      </c>
      <c r="N50" s="16" t="s">
        <v>80</v>
      </c>
      <c r="O50" s="7">
        <v>34079</v>
      </c>
      <c r="P50" s="16" t="s">
        <v>94</v>
      </c>
      <c r="Q50" s="16" t="s">
        <v>82</v>
      </c>
      <c r="R50" s="16" t="s">
        <v>283</v>
      </c>
      <c r="S50" s="17" t="s">
        <v>83</v>
      </c>
      <c r="T50" s="16" t="s">
        <v>84</v>
      </c>
      <c r="V50" s="16" t="s">
        <v>143</v>
      </c>
      <c r="W50" s="16" t="s">
        <v>143</v>
      </c>
      <c r="X50" s="303" t="s">
        <v>103</v>
      </c>
      <c r="Z50" s="16" t="s">
        <v>86</v>
      </c>
      <c r="AA50">
        <v>40</v>
      </c>
      <c r="AC50" s="183"/>
      <c r="AE50" s="183"/>
      <c r="AH50" s="16" t="s">
        <v>94</v>
      </c>
      <c r="AL50" s="16" t="s">
        <v>83</v>
      </c>
      <c r="AM50" s="15">
        <v>5084.22</v>
      </c>
      <c r="AN50" s="79">
        <v>1</v>
      </c>
      <c r="AO50" s="15">
        <v>4000</v>
      </c>
      <c r="AP50" s="15">
        <v>747</v>
      </c>
      <c r="AS50">
        <v>20</v>
      </c>
      <c r="AT50">
        <v>12</v>
      </c>
      <c r="AU50" t="s">
        <v>257</v>
      </c>
      <c r="AV50">
        <v>12</v>
      </c>
      <c r="AW50" s="7" t="s">
        <v>258</v>
      </c>
      <c r="AY50">
        <v>0</v>
      </c>
      <c r="AZ50" t="str">
        <f t="shared" si="6"/>
        <v>NEAKTIVAN</v>
      </c>
      <c r="BA50">
        <v>44</v>
      </c>
    </row>
    <row r="51" spans="1:53" ht="15.75" customHeight="1">
      <c r="A51" s="273">
        <v>27</v>
      </c>
      <c r="B51" s="273" t="str">
        <f t="shared" si="5"/>
        <v>NEAKTIVAN</v>
      </c>
      <c r="C51" s="302">
        <f t="shared" si="3"/>
        <v>49</v>
      </c>
      <c r="D51" s="1">
        <v>9</v>
      </c>
      <c r="E51" s="1" t="str">
        <f>VLOOKUP(D51,Table3[[#All],[RB]:[OIB]],2,0)</f>
        <v>WAX D.O.O</v>
      </c>
      <c r="F51" s="4">
        <f>VLOOKUP(D51,Table3[],3,0)</f>
        <v>46869408875</v>
      </c>
      <c r="G51" s="1" t="str">
        <f>VLOOKUP(D51,Table3[],4,0)</f>
        <v>Rudolf Gergelj</v>
      </c>
      <c r="H51" s="1" t="str">
        <f>VLOOKUP(D51,POSLODAVCI!$A$2:$J$107,9,0)</f>
        <v>Osijek</v>
      </c>
      <c r="I51" s="1" t="str">
        <f>VLOOKUP(D51,Table3[],10,0)</f>
        <v>J.J. Strossmayera 333, 31000 Osijek</v>
      </c>
      <c r="J51" s="1" t="s">
        <v>195</v>
      </c>
      <c r="K51" s="61">
        <v>43101</v>
      </c>
      <c r="L51" s="61">
        <v>43343</v>
      </c>
      <c r="M51" s="78" t="s">
        <v>196</v>
      </c>
      <c r="N51" s="16" t="s">
        <v>80</v>
      </c>
      <c r="O51" s="7">
        <v>34071</v>
      </c>
      <c r="P51" s="16" t="s">
        <v>94</v>
      </c>
      <c r="Q51" s="16" t="s">
        <v>82</v>
      </c>
      <c r="R51" s="16" t="s">
        <v>284</v>
      </c>
      <c r="S51" s="17" t="s">
        <v>83</v>
      </c>
      <c r="T51" s="16" t="s">
        <v>84</v>
      </c>
      <c r="V51" s="16" t="s">
        <v>143</v>
      </c>
      <c r="W51" s="16" t="s">
        <v>143</v>
      </c>
      <c r="X51" s="303" t="s">
        <v>103</v>
      </c>
      <c r="Z51" s="16" t="s">
        <v>86</v>
      </c>
      <c r="AA51">
        <v>40</v>
      </c>
      <c r="AC51" s="183"/>
      <c r="AE51" s="183"/>
      <c r="AH51" s="16" t="s">
        <v>94</v>
      </c>
      <c r="AL51" s="16" t="s">
        <v>83</v>
      </c>
      <c r="AM51" s="90">
        <v>3439.8</v>
      </c>
      <c r="AN51" s="79">
        <v>1</v>
      </c>
      <c r="AO51" s="15">
        <v>2751.84</v>
      </c>
      <c r="AS51">
        <v>20</v>
      </c>
      <c r="AT51">
        <v>12</v>
      </c>
      <c r="AU51" t="s">
        <v>257</v>
      </c>
      <c r="AV51">
        <v>12</v>
      </c>
      <c r="AW51" s="7" t="s">
        <v>258</v>
      </c>
      <c r="AY51">
        <v>0</v>
      </c>
      <c r="AZ51" t="str">
        <f t="shared" si="6"/>
        <v>NEAKTIVAN</v>
      </c>
      <c r="BA51">
        <v>45</v>
      </c>
    </row>
    <row r="52" spans="1:53" ht="15.75" customHeight="1">
      <c r="A52" s="273">
        <v>28</v>
      </c>
      <c r="B52" s="273" t="str">
        <f t="shared" si="5"/>
        <v>NEAKTIVAN</v>
      </c>
      <c r="C52" s="302">
        <f t="shared" si="3"/>
        <v>50</v>
      </c>
      <c r="D52" s="1">
        <v>9</v>
      </c>
      <c r="E52" s="1" t="str">
        <f>VLOOKUP(D52,Table3[[#All],[RB]:[OIB]],2,0)</f>
        <v>WAX D.O.O</v>
      </c>
      <c r="F52" s="4">
        <f>VLOOKUP(D52,Table3[],3,0)</f>
        <v>46869408875</v>
      </c>
      <c r="G52" s="1" t="str">
        <f>VLOOKUP(D52,Table3[],4,0)</f>
        <v>Rudolf Gergelj</v>
      </c>
      <c r="H52" s="1" t="str">
        <f>VLOOKUP(D52,POSLODAVCI!$A$2:$J$107,9,0)</f>
        <v>Osijek</v>
      </c>
      <c r="I52" s="1" t="str">
        <f>VLOOKUP(D52,Table3[],10,0)</f>
        <v>J.J. Strossmayera 333, 31000 Osijek</v>
      </c>
      <c r="J52" s="1" t="s">
        <v>203</v>
      </c>
      <c r="K52" s="61">
        <v>43101</v>
      </c>
      <c r="L52" s="61">
        <v>43251</v>
      </c>
      <c r="M52" t="s">
        <v>204</v>
      </c>
      <c r="N52" s="16" t="s">
        <v>80</v>
      </c>
      <c r="O52" s="7">
        <v>34090</v>
      </c>
      <c r="P52" s="16" t="s">
        <v>94</v>
      </c>
      <c r="Q52" s="16" t="s">
        <v>82</v>
      </c>
      <c r="R52" s="16" t="s">
        <v>285</v>
      </c>
      <c r="S52" s="17" t="s">
        <v>83</v>
      </c>
      <c r="T52" s="16" t="s">
        <v>84</v>
      </c>
      <c r="V52" s="16" t="s">
        <v>143</v>
      </c>
      <c r="W52" s="16" t="s">
        <v>143</v>
      </c>
      <c r="X52" s="303" t="s">
        <v>103</v>
      </c>
      <c r="Z52" s="16" t="s">
        <v>86</v>
      </c>
      <c r="AA52">
        <v>40</v>
      </c>
      <c r="AC52" s="183"/>
      <c r="AE52" s="183"/>
      <c r="AH52" s="16" t="s">
        <v>94</v>
      </c>
      <c r="AL52" s="16" t="s">
        <v>83</v>
      </c>
      <c r="AM52" s="90">
        <v>3439.8</v>
      </c>
      <c r="AN52" s="79">
        <v>1</v>
      </c>
      <c r="AO52" s="15">
        <v>2751.84</v>
      </c>
      <c r="AS52">
        <v>20</v>
      </c>
      <c r="AT52">
        <v>12</v>
      </c>
      <c r="AU52" t="s">
        <v>257</v>
      </c>
      <c r="AV52">
        <v>12</v>
      </c>
      <c r="AW52" s="7" t="s">
        <v>258</v>
      </c>
      <c r="AY52">
        <v>0</v>
      </c>
      <c r="AZ52" t="str">
        <f t="shared" si="6"/>
        <v>NEAKTIVAN</v>
      </c>
      <c r="BA52">
        <v>55</v>
      </c>
    </row>
    <row r="53" spans="1:53" ht="15.75" customHeight="1">
      <c r="A53" s="273">
        <v>29</v>
      </c>
      <c r="B53" s="273" t="str">
        <f t="shared" si="5"/>
        <v>NEAKTIVAN</v>
      </c>
      <c r="C53" s="302">
        <f t="shared" si="3"/>
        <v>51</v>
      </c>
      <c r="D53" s="1">
        <v>9</v>
      </c>
      <c r="E53" s="1" t="str">
        <f>VLOOKUP(D53,Table3[[#All],[RB]:[OIB]],2,0)</f>
        <v>WAX D.O.O</v>
      </c>
      <c r="F53" s="4">
        <f>VLOOKUP(D53,Table3[],3,0)</f>
        <v>46869408875</v>
      </c>
      <c r="G53" s="1" t="str">
        <f>VLOOKUP(D53,Table3[],4,0)</f>
        <v>Rudolf Gergelj</v>
      </c>
      <c r="H53" s="1" t="str">
        <f>VLOOKUP(D53,POSLODAVCI!$A$2:$J$107,9,0)</f>
        <v>Osijek</v>
      </c>
      <c r="I53" s="1" t="str">
        <f>VLOOKUP(D53,Table3[],10,0)</f>
        <v>J.J. Strossmayera 333, 31000 Osijek</v>
      </c>
      <c r="J53" s="1" t="s">
        <v>205</v>
      </c>
      <c r="K53" s="61">
        <v>43101</v>
      </c>
      <c r="L53" s="61">
        <v>43318</v>
      </c>
      <c r="M53" t="s">
        <v>206</v>
      </c>
      <c r="N53" s="16" t="s">
        <v>80</v>
      </c>
      <c r="O53" s="7">
        <v>34096</v>
      </c>
      <c r="P53" s="16" t="s">
        <v>94</v>
      </c>
      <c r="Q53" s="16" t="s">
        <v>82</v>
      </c>
      <c r="R53" s="16" t="s">
        <v>286</v>
      </c>
      <c r="S53" s="17" t="s">
        <v>83</v>
      </c>
      <c r="T53" s="16" t="s">
        <v>84</v>
      </c>
      <c r="V53" s="16" t="s">
        <v>143</v>
      </c>
      <c r="W53" s="16" t="s">
        <v>143</v>
      </c>
      <c r="X53" s="303" t="s">
        <v>103</v>
      </c>
      <c r="Z53" s="16" t="s">
        <v>86</v>
      </c>
      <c r="AA53">
        <v>40</v>
      </c>
      <c r="AC53" s="183"/>
      <c r="AE53" s="183"/>
      <c r="AH53" s="16" t="s">
        <v>94</v>
      </c>
      <c r="AL53" s="16" t="s">
        <v>83</v>
      </c>
      <c r="AM53" s="90">
        <v>3439.8</v>
      </c>
      <c r="AN53" s="79">
        <v>1.7</v>
      </c>
      <c r="AO53" s="15">
        <v>2751.84</v>
      </c>
      <c r="AS53">
        <v>20</v>
      </c>
      <c r="AT53">
        <v>12</v>
      </c>
      <c r="AU53" t="s">
        <v>257</v>
      </c>
      <c r="AV53">
        <v>12</v>
      </c>
      <c r="AW53" s="7" t="s">
        <v>258</v>
      </c>
      <c r="AY53">
        <v>0</v>
      </c>
      <c r="AZ53" t="str">
        <f t="shared" si="6"/>
        <v>NEAKTIVAN</v>
      </c>
      <c r="BA53">
        <v>61</v>
      </c>
    </row>
    <row r="54" spans="1:53" ht="15.75" customHeight="1">
      <c r="A54" s="273">
        <v>30</v>
      </c>
      <c r="B54" s="273" t="str">
        <f t="shared" si="5"/>
        <v>NEAKTIVAN</v>
      </c>
      <c r="C54" s="302">
        <f t="shared" si="3"/>
        <v>52</v>
      </c>
      <c r="D54" s="1">
        <v>9</v>
      </c>
      <c r="E54" s="1" t="str">
        <f>VLOOKUP(D54,Table3[[#All],[RB]:[OIB]],2,0)</f>
        <v>WAX D.O.O</v>
      </c>
      <c r="F54" s="4">
        <f>VLOOKUP(D54,Table3[],3,0)</f>
        <v>46869408875</v>
      </c>
      <c r="G54" s="1" t="str">
        <f>VLOOKUP(D54,Table3[],4,0)</f>
        <v>Rudolf Gergelj</v>
      </c>
      <c r="H54" s="1" t="str">
        <f>VLOOKUP(D54,POSLODAVCI!$A$2:$J$107,9,0)</f>
        <v>Osijek</v>
      </c>
      <c r="I54" s="1" t="str">
        <f>VLOOKUP(D54,Table3[],10,0)</f>
        <v>J.J. Strossmayera 333, 31000 Osijek</v>
      </c>
      <c r="J54" s="1" t="s">
        <v>208</v>
      </c>
      <c r="K54" s="61">
        <v>43101</v>
      </c>
      <c r="L54" s="61">
        <v>43251</v>
      </c>
      <c r="M54" t="s">
        <v>88</v>
      </c>
      <c r="N54" s="16" t="s">
        <v>80</v>
      </c>
      <c r="O54" s="7">
        <v>34099</v>
      </c>
      <c r="P54" s="16" t="s">
        <v>94</v>
      </c>
      <c r="Q54" s="16" t="s">
        <v>82</v>
      </c>
      <c r="R54" s="16" t="s">
        <v>287</v>
      </c>
      <c r="S54" s="17" t="s">
        <v>83</v>
      </c>
      <c r="T54" s="16" t="s">
        <v>84</v>
      </c>
      <c r="V54" s="16" t="s">
        <v>143</v>
      </c>
      <c r="W54" s="16" t="s">
        <v>143</v>
      </c>
      <c r="X54" s="303" t="s">
        <v>103</v>
      </c>
      <c r="Z54" s="16" t="s">
        <v>86</v>
      </c>
      <c r="AA54">
        <v>40</v>
      </c>
      <c r="AC54" s="183"/>
      <c r="AE54" s="183"/>
      <c r="AH54" s="16" t="s">
        <v>94</v>
      </c>
      <c r="AL54" s="16" t="s">
        <v>83</v>
      </c>
      <c r="AM54" s="90">
        <v>3439.8</v>
      </c>
      <c r="AN54" s="79">
        <v>1.7</v>
      </c>
      <c r="AO54" s="15">
        <v>2751.84</v>
      </c>
      <c r="AS54">
        <v>20</v>
      </c>
      <c r="AT54">
        <v>12</v>
      </c>
      <c r="AU54" t="s">
        <v>257</v>
      </c>
      <c r="AV54">
        <v>12</v>
      </c>
      <c r="AW54" s="7" t="s">
        <v>258</v>
      </c>
      <c r="AY54">
        <v>0</v>
      </c>
      <c r="AZ54" t="str">
        <f t="shared" si="6"/>
        <v>NEAKTIVAN</v>
      </c>
      <c r="BA54">
        <v>64</v>
      </c>
    </row>
    <row r="55" spans="1:53" ht="15.75" customHeight="1">
      <c r="A55" s="273">
        <v>31</v>
      </c>
      <c r="B55" s="273" t="str">
        <f t="shared" si="5"/>
        <v>NEAKTIVAN</v>
      </c>
      <c r="C55" s="302">
        <f t="shared" si="3"/>
        <v>53</v>
      </c>
      <c r="D55" s="1">
        <v>9</v>
      </c>
      <c r="E55" s="1" t="str">
        <f>VLOOKUP(D55,Table3[[#All],[RB]:[OIB]],2,0)</f>
        <v>WAX D.O.O</v>
      </c>
      <c r="F55" s="4">
        <f>VLOOKUP(D55,Table3[],3,0)</f>
        <v>46869408875</v>
      </c>
      <c r="G55" s="1" t="str">
        <f>VLOOKUP(D55,Table3[],4,0)</f>
        <v>Rudolf Gergelj</v>
      </c>
      <c r="H55" s="1" t="str">
        <f>VLOOKUP(D55,POSLODAVCI!$A$2:$J$107,9,0)</f>
        <v>Osijek</v>
      </c>
      <c r="I55" s="1" t="str">
        <f>VLOOKUP(D55,Table3[],10,0)</f>
        <v>J.J. Strossmayera 333, 31000 Osijek</v>
      </c>
      <c r="J55" s="1" t="s">
        <v>197</v>
      </c>
      <c r="K55" s="61">
        <v>43101</v>
      </c>
      <c r="L55" s="61">
        <v>43244</v>
      </c>
      <c r="M55" s="78" t="s">
        <v>198</v>
      </c>
      <c r="N55" s="16" t="s">
        <v>80</v>
      </c>
      <c r="O55" s="7">
        <v>35642</v>
      </c>
      <c r="P55" s="16" t="s">
        <v>94</v>
      </c>
      <c r="Q55" s="16" t="s">
        <v>82</v>
      </c>
      <c r="R55" s="16" t="s">
        <v>200</v>
      </c>
      <c r="S55" s="17" t="s">
        <v>83</v>
      </c>
      <c r="T55" s="16" t="s">
        <v>84</v>
      </c>
      <c r="V55" s="16" t="s">
        <v>116</v>
      </c>
      <c r="W55" s="16" t="s">
        <v>116</v>
      </c>
      <c r="X55" s="303" t="s">
        <v>103</v>
      </c>
      <c r="Z55" s="16" t="s">
        <v>86</v>
      </c>
      <c r="AA55">
        <v>40</v>
      </c>
      <c r="AC55" s="183"/>
      <c r="AE55" s="183"/>
      <c r="AH55" s="16" t="s">
        <v>94</v>
      </c>
      <c r="AL55" s="16" t="s">
        <v>83</v>
      </c>
      <c r="AM55" s="90">
        <v>3750</v>
      </c>
      <c r="AN55" s="79">
        <v>1</v>
      </c>
      <c r="AO55" s="15">
        <v>3000</v>
      </c>
      <c r="AS55">
        <v>20</v>
      </c>
      <c r="AT55">
        <v>12</v>
      </c>
      <c r="AU55" t="s">
        <v>257</v>
      </c>
      <c r="AV55">
        <v>12</v>
      </c>
      <c r="AW55" s="7" t="s">
        <v>258</v>
      </c>
      <c r="AY55">
        <v>0</v>
      </c>
      <c r="AZ55" t="str">
        <f t="shared" si="6"/>
        <v>NEAKTIVAN</v>
      </c>
      <c r="BA55">
        <v>48</v>
      </c>
    </row>
    <row r="56" spans="1:53" ht="15.75" customHeight="1">
      <c r="A56" s="273">
        <v>32</v>
      </c>
      <c r="B56" s="273" t="str">
        <f t="shared" si="5"/>
        <v>NEAKTIVAN</v>
      </c>
      <c r="C56" s="302">
        <f t="shared" si="3"/>
        <v>54</v>
      </c>
      <c r="D56" s="1">
        <v>9</v>
      </c>
      <c r="E56" s="1" t="str">
        <f>VLOOKUP(D56,Table3[[#All],[RB]:[OIB]],2,0)</f>
        <v>WAX D.O.O</v>
      </c>
      <c r="F56" s="4">
        <f>VLOOKUP(D56,Table3[],3,0)</f>
        <v>46869408875</v>
      </c>
      <c r="G56" s="1" t="str">
        <f>VLOOKUP(D56,Table3[],4,0)</f>
        <v>Rudolf Gergelj</v>
      </c>
      <c r="H56" s="1" t="str">
        <f>VLOOKUP(D56,POSLODAVCI!$A$2:$J$107,9,0)</f>
        <v>Osijek</v>
      </c>
      <c r="I56" s="1" t="str">
        <f>VLOOKUP(D56,Table3[],10,0)</f>
        <v>J.J. Strossmayera 333, 31000 Osijek</v>
      </c>
      <c r="J56" s="1" t="s">
        <v>130</v>
      </c>
      <c r="K56" s="61">
        <v>43101</v>
      </c>
      <c r="L56" s="61">
        <v>43244</v>
      </c>
      <c r="M56" t="s">
        <v>131</v>
      </c>
      <c r="N56" s="16" t="s">
        <v>89</v>
      </c>
      <c r="O56" s="7">
        <v>34044</v>
      </c>
      <c r="P56" s="16" t="s">
        <v>94</v>
      </c>
      <c r="Q56" s="16" t="s">
        <v>82</v>
      </c>
      <c r="R56" s="16" t="s">
        <v>288</v>
      </c>
      <c r="S56" s="17" t="s">
        <v>83</v>
      </c>
      <c r="T56" s="16" t="s">
        <v>84</v>
      </c>
      <c r="V56" s="16" t="s">
        <v>116</v>
      </c>
      <c r="W56" s="16" t="s">
        <v>116</v>
      </c>
      <c r="X56" s="303" t="s">
        <v>103</v>
      </c>
      <c r="Z56" s="16" t="s">
        <v>86</v>
      </c>
      <c r="AA56">
        <v>40</v>
      </c>
      <c r="AC56" s="183"/>
      <c r="AE56" s="183"/>
      <c r="AH56" s="16" t="s">
        <v>94</v>
      </c>
      <c r="AL56" s="16" t="s">
        <v>83</v>
      </c>
      <c r="AM56" s="90">
        <v>3439.8</v>
      </c>
      <c r="AN56" s="79">
        <v>1</v>
      </c>
      <c r="AO56" s="15">
        <v>2751.84</v>
      </c>
      <c r="AP56" s="15">
        <v>248.16</v>
      </c>
      <c r="AR56" s="81"/>
      <c r="AS56">
        <v>20</v>
      </c>
      <c r="AT56">
        <v>12</v>
      </c>
      <c r="AU56" t="s">
        <v>257</v>
      </c>
      <c r="AV56">
        <v>12</v>
      </c>
      <c r="AW56" s="7" t="s">
        <v>258</v>
      </c>
      <c r="AY56">
        <v>0</v>
      </c>
      <c r="AZ56" t="str">
        <f t="shared" ref="AZ56:AZ87" si="7">IF(L56&gt;0,"NEAKTIVAN","AKTIVAN")</f>
        <v>NEAKTIVAN</v>
      </c>
      <c r="BA56">
        <v>9</v>
      </c>
    </row>
    <row r="57" spans="1:53" ht="15" customHeight="1">
      <c r="A57" s="273">
        <v>33</v>
      </c>
      <c r="B57" s="273" t="str">
        <f t="shared" si="5"/>
        <v>NEAKTIVAN</v>
      </c>
      <c r="C57" s="302">
        <f t="shared" si="3"/>
        <v>55</v>
      </c>
      <c r="D57" s="1">
        <v>9</v>
      </c>
      <c r="E57" s="1" t="str">
        <f>VLOOKUP(D57,Table3[[#All],[RB]:[OIB]],2,0)</f>
        <v>WAX D.O.O</v>
      </c>
      <c r="F57" s="4">
        <f>VLOOKUP(D57,Table3[],3,0)</f>
        <v>46869408875</v>
      </c>
      <c r="G57" s="1" t="str">
        <f>VLOOKUP(D57,Table3[],4,0)</f>
        <v>Rudolf Gergelj</v>
      </c>
      <c r="H57" s="1" t="str">
        <f>VLOOKUP(D57,POSLODAVCI!$A$2:$J$107,9,0)</f>
        <v>Osijek</v>
      </c>
      <c r="I57" s="1" t="str">
        <f>VLOOKUP(D57,Table3[],10,0)</f>
        <v>J.J. Strossmayera 333, 31000 Osijek</v>
      </c>
      <c r="J57" s="1" t="s">
        <v>211</v>
      </c>
      <c r="K57" s="61">
        <v>43101</v>
      </c>
      <c r="L57" s="61">
        <v>43251</v>
      </c>
      <c r="M57">
        <v>79843816739</v>
      </c>
      <c r="N57" t="s">
        <v>80</v>
      </c>
      <c r="O57" s="7">
        <v>27585</v>
      </c>
      <c r="P57" t="s">
        <v>81</v>
      </c>
      <c r="Q57" t="s">
        <v>82</v>
      </c>
      <c r="R57" t="s">
        <v>289</v>
      </c>
      <c r="S57" s="5" t="s">
        <v>83</v>
      </c>
      <c r="T57" t="s">
        <v>84</v>
      </c>
      <c r="V57" t="s">
        <v>93</v>
      </c>
      <c r="W57" t="s">
        <v>93</v>
      </c>
      <c r="X57" s="304" t="s">
        <v>103</v>
      </c>
      <c r="Z57" t="s">
        <v>86</v>
      </c>
      <c r="AA57">
        <v>40</v>
      </c>
      <c r="AC57" s="183"/>
      <c r="AE57" s="183"/>
      <c r="AH57" t="s">
        <v>94</v>
      </c>
      <c r="AL57" t="s">
        <v>83</v>
      </c>
      <c r="AM57" s="15">
        <v>3750</v>
      </c>
      <c r="AN57" s="184">
        <v>2.7</v>
      </c>
      <c r="AO57" s="15">
        <v>3000</v>
      </c>
      <c r="AS57">
        <v>20</v>
      </c>
      <c r="AT57">
        <v>12</v>
      </c>
      <c r="AU57" t="s">
        <v>257</v>
      </c>
      <c r="AV57">
        <v>12</v>
      </c>
      <c r="AW57" s="7" t="s">
        <v>258</v>
      </c>
      <c r="AY57">
        <v>0</v>
      </c>
      <c r="AZ57" t="str">
        <f t="shared" si="7"/>
        <v>NEAKTIVAN</v>
      </c>
      <c r="BA57">
        <v>67</v>
      </c>
    </row>
    <row r="58" spans="1:53" ht="15" customHeight="1">
      <c r="A58" s="273">
        <v>34</v>
      </c>
      <c r="B58" s="273" t="str">
        <f t="shared" si="5"/>
        <v>NEAKTIVAN</v>
      </c>
      <c r="C58" s="302">
        <f t="shared" si="3"/>
        <v>56</v>
      </c>
      <c r="D58" s="1">
        <v>9</v>
      </c>
      <c r="E58" s="1" t="str">
        <f>VLOOKUP(D58,Table3[[#All],[RB]:[OIB]],2,0)</f>
        <v>WAX D.O.O</v>
      </c>
      <c r="F58" s="4">
        <f>VLOOKUP(D58,Table3[],3,0)</f>
        <v>46869408875</v>
      </c>
      <c r="G58" s="1" t="str">
        <f>VLOOKUP(D58,Table3[],4,0)</f>
        <v>Rudolf Gergelj</v>
      </c>
      <c r="H58" s="1" t="str">
        <f>VLOOKUP(D58,POSLODAVCI!$A$2:$J$107,9,0)</f>
        <v>Osijek</v>
      </c>
      <c r="I58" s="1" t="str">
        <f>VLOOKUP(D58,Table3[],10,0)</f>
        <v>J.J. Strossmayera 333, 31000 Osijek</v>
      </c>
      <c r="J58" s="1" t="s">
        <v>201</v>
      </c>
      <c r="K58" s="61">
        <v>43101</v>
      </c>
      <c r="L58" s="61">
        <v>43244</v>
      </c>
      <c r="M58" t="s">
        <v>202</v>
      </c>
      <c r="N58" s="16" t="s">
        <v>80</v>
      </c>
      <c r="O58" s="7">
        <v>34624</v>
      </c>
      <c r="P58" s="16" t="s">
        <v>94</v>
      </c>
      <c r="Q58" s="16" t="s">
        <v>82</v>
      </c>
      <c r="R58" s="16" t="s">
        <v>290</v>
      </c>
      <c r="S58" s="17" t="s">
        <v>83</v>
      </c>
      <c r="T58" s="16" t="s">
        <v>84</v>
      </c>
      <c r="V58" s="16" t="s">
        <v>116</v>
      </c>
      <c r="W58" s="16" t="s">
        <v>116</v>
      </c>
      <c r="X58" s="303" t="s">
        <v>103</v>
      </c>
      <c r="Z58" s="16" t="s">
        <v>86</v>
      </c>
      <c r="AA58">
        <v>40</v>
      </c>
      <c r="AC58" s="183"/>
      <c r="AE58" s="183"/>
      <c r="AH58" s="16" t="s">
        <v>94</v>
      </c>
      <c r="AL58" s="16" t="s">
        <v>83</v>
      </c>
      <c r="AM58" s="15">
        <v>3750</v>
      </c>
      <c r="AN58" s="79">
        <v>1</v>
      </c>
      <c r="AO58" s="15">
        <v>3000</v>
      </c>
      <c r="AP58" s="15">
        <v>500</v>
      </c>
      <c r="AS58">
        <v>20</v>
      </c>
      <c r="AT58">
        <v>12</v>
      </c>
      <c r="AU58" t="s">
        <v>257</v>
      </c>
      <c r="AV58">
        <v>12</v>
      </c>
      <c r="AW58" s="7" t="s">
        <v>258</v>
      </c>
      <c r="AY58">
        <v>0</v>
      </c>
      <c r="AZ58" t="str">
        <f t="shared" si="7"/>
        <v>NEAKTIVAN</v>
      </c>
      <c r="BA58">
        <v>49</v>
      </c>
    </row>
    <row r="59" spans="1:53" ht="15.75" customHeight="1">
      <c r="A59" s="273">
        <v>35</v>
      </c>
      <c r="B59" s="273" t="str">
        <f t="shared" si="5"/>
        <v>NEAKTIVAN</v>
      </c>
      <c r="C59" s="302">
        <f t="shared" si="3"/>
        <v>57</v>
      </c>
      <c r="D59" s="1">
        <v>9</v>
      </c>
      <c r="E59" s="1" t="str">
        <f>VLOOKUP(D59,Table3[[#All],[RB]:[OIB]],2,0)</f>
        <v>WAX D.O.O</v>
      </c>
      <c r="F59" s="4">
        <f>VLOOKUP(D59,Table3[],3,0)</f>
        <v>46869408875</v>
      </c>
      <c r="G59" s="1" t="str">
        <f>VLOOKUP(D59,Table3[],4,0)</f>
        <v>Rudolf Gergelj</v>
      </c>
      <c r="H59" s="1" t="str">
        <f>VLOOKUP(D59,POSLODAVCI!$A$2:$J$107,9,0)</f>
        <v>Osijek</v>
      </c>
      <c r="I59" s="1" t="str">
        <f>VLOOKUP(D59,Table3[],10,0)</f>
        <v>J.J. Strossmayera 333, 31000 Osijek</v>
      </c>
      <c r="J59" s="1" t="s">
        <v>212</v>
      </c>
      <c r="K59" s="61">
        <v>43101</v>
      </c>
      <c r="L59" s="61">
        <v>43164</v>
      </c>
      <c r="M59">
        <v>60253869864</v>
      </c>
      <c r="N59" t="s">
        <v>80</v>
      </c>
      <c r="O59" s="7">
        <v>42741</v>
      </c>
      <c r="P59" t="s">
        <v>81</v>
      </c>
      <c r="Q59" t="s">
        <v>82</v>
      </c>
      <c r="R59" t="s">
        <v>291</v>
      </c>
      <c r="S59" s="5" t="s">
        <v>83</v>
      </c>
      <c r="T59" t="s">
        <v>84</v>
      </c>
      <c r="V59" s="16" t="s">
        <v>143</v>
      </c>
      <c r="W59" s="16" t="s">
        <v>143</v>
      </c>
      <c r="X59" s="304" t="s">
        <v>103</v>
      </c>
      <c r="Z59" t="s">
        <v>86</v>
      </c>
      <c r="AA59">
        <v>40</v>
      </c>
      <c r="AC59" s="183"/>
      <c r="AE59" s="183"/>
      <c r="AH59" t="s">
        <v>94</v>
      </c>
      <c r="AL59" t="s">
        <v>83</v>
      </c>
      <c r="AM59" s="90">
        <v>3439.8</v>
      </c>
      <c r="AN59" s="184">
        <v>1</v>
      </c>
      <c r="AO59" s="15">
        <v>2751.84</v>
      </c>
      <c r="AS59">
        <v>20</v>
      </c>
      <c r="AT59">
        <v>12</v>
      </c>
      <c r="AU59" t="s">
        <v>257</v>
      </c>
      <c r="AV59">
        <v>12</v>
      </c>
      <c r="AW59" s="7" t="s">
        <v>258</v>
      </c>
      <c r="AY59">
        <v>0</v>
      </c>
      <c r="AZ59" t="str">
        <f t="shared" si="7"/>
        <v>NEAKTIVAN</v>
      </c>
      <c r="BA59">
        <v>68</v>
      </c>
    </row>
    <row r="60" spans="1:53" ht="15" customHeight="1">
      <c r="A60" s="273">
        <v>36</v>
      </c>
      <c r="B60" s="273" t="str">
        <f t="shared" si="5"/>
        <v>NEAKTIVAN</v>
      </c>
      <c r="C60" s="302">
        <f t="shared" si="3"/>
        <v>58</v>
      </c>
      <c r="D60" s="1">
        <v>9</v>
      </c>
      <c r="E60" s="1" t="str">
        <f>VLOOKUP(D60,Table3[[#All],[RB]:[OIB]],2,0)</f>
        <v>WAX D.O.O</v>
      </c>
      <c r="F60" s="4">
        <f>VLOOKUP(D60,Table3[],3,0)</f>
        <v>46869408875</v>
      </c>
      <c r="G60" s="1" t="str">
        <f>VLOOKUP(D60,Table3[],4,0)</f>
        <v>Rudolf Gergelj</v>
      </c>
      <c r="H60" s="1" t="str">
        <f>VLOOKUP(D60,POSLODAVCI!$A$2:$J$107,9,0)</f>
        <v>Osijek</v>
      </c>
      <c r="I60" s="1" t="str">
        <f>VLOOKUP(D60,Table3[],10,0)</f>
        <v>J.J. Strossmayera 333, 31000 Osijek</v>
      </c>
      <c r="J60" s="1" t="s">
        <v>220</v>
      </c>
      <c r="K60" s="61">
        <v>43101</v>
      </c>
      <c r="L60" s="61">
        <v>43244</v>
      </c>
      <c r="M60">
        <v>18058630382</v>
      </c>
      <c r="N60" t="s">
        <v>89</v>
      </c>
      <c r="O60" s="7">
        <v>34896</v>
      </c>
      <c r="P60" t="s">
        <v>81</v>
      </c>
      <c r="Q60" t="s">
        <v>82</v>
      </c>
      <c r="R60" t="s">
        <v>292</v>
      </c>
      <c r="S60" s="5" t="s">
        <v>83</v>
      </c>
      <c r="T60" t="s">
        <v>84</v>
      </c>
      <c r="V60" s="16" t="s">
        <v>116</v>
      </c>
      <c r="W60" s="16" t="s">
        <v>116</v>
      </c>
      <c r="X60" s="304" t="s">
        <v>103</v>
      </c>
      <c r="Z60" t="s">
        <v>86</v>
      </c>
      <c r="AA60">
        <v>40</v>
      </c>
      <c r="AC60" s="183"/>
      <c r="AE60" s="183"/>
      <c r="AH60" s="16" t="s">
        <v>219</v>
      </c>
      <c r="AL60" t="s">
        <v>83</v>
      </c>
      <c r="AM60" s="15">
        <v>3750</v>
      </c>
      <c r="AN60" s="184">
        <v>1</v>
      </c>
      <c r="AO60" s="15">
        <v>3000</v>
      </c>
      <c r="AP60" s="15">
        <v>500</v>
      </c>
      <c r="AS60">
        <v>20</v>
      </c>
      <c r="AT60">
        <v>12</v>
      </c>
      <c r="AU60" t="s">
        <v>257</v>
      </c>
      <c r="AV60">
        <v>12</v>
      </c>
      <c r="AW60" s="7" t="s">
        <v>258</v>
      </c>
      <c r="AY60">
        <v>0</v>
      </c>
      <c r="AZ60" t="str">
        <f t="shared" si="7"/>
        <v>NEAKTIVAN</v>
      </c>
      <c r="BA60">
        <v>71</v>
      </c>
    </row>
    <row r="61" spans="1:53" ht="15.75" customHeight="1">
      <c r="A61" s="273">
        <v>37</v>
      </c>
      <c r="B61" s="273" t="str">
        <f t="shared" si="5"/>
        <v>NEAKTIVAN</v>
      </c>
      <c r="C61" s="302">
        <f t="shared" si="3"/>
        <v>59</v>
      </c>
      <c r="D61" s="1">
        <v>9</v>
      </c>
      <c r="E61" s="1" t="str">
        <f>VLOOKUP(D61,Table3[[#All],[RB]:[OIB]],2,0)</f>
        <v>WAX D.O.O</v>
      </c>
      <c r="F61" s="4">
        <f>VLOOKUP(D61,Table3[],3,0)</f>
        <v>46869408875</v>
      </c>
      <c r="G61" s="1" t="str">
        <f>VLOOKUP(D61,Table3[],4,0)</f>
        <v>Rudolf Gergelj</v>
      </c>
      <c r="H61" s="1" t="str">
        <f>VLOOKUP(D61,POSLODAVCI!$A$2:$J$107,9,0)</f>
        <v>Osijek</v>
      </c>
      <c r="I61" s="1" t="str">
        <f>VLOOKUP(D61,Table3[],10,0)</f>
        <v>J.J. Strossmayera 333, 31000 Osijek</v>
      </c>
      <c r="J61" s="1" t="s">
        <v>222</v>
      </c>
      <c r="K61" s="61">
        <v>43101</v>
      </c>
      <c r="L61" s="61">
        <v>43103</v>
      </c>
      <c r="M61" s="3" t="s">
        <v>223</v>
      </c>
      <c r="N61" t="s">
        <v>80</v>
      </c>
      <c r="O61" s="7">
        <v>32267</v>
      </c>
      <c r="P61" s="16"/>
      <c r="Q61" t="s">
        <v>82</v>
      </c>
      <c r="R61" t="s">
        <v>224</v>
      </c>
      <c r="S61" s="17"/>
      <c r="T61" t="s">
        <v>84</v>
      </c>
      <c r="V61" s="16" t="s">
        <v>143</v>
      </c>
      <c r="W61" s="16" t="s">
        <v>143</v>
      </c>
      <c r="X61" s="303" t="s">
        <v>103</v>
      </c>
      <c r="Z61" t="s">
        <v>86</v>
      </c>
      <c r="AA61">
        <v>40</v>
      </c>
      <c r="AC61" s="183"/>
      <c r="AE61" s="183"/>
      <c r="AH61" t="s">
        <v>94</v>
      </c>
      <c r="AL61" t="s">
        <v>83</v>
      </c>
      <c r="AM61" s="90">
        <v>3439.8</v>
      </c>
      <c r="AN61" s="184">
        <v>1</v>
      </c>
      <c r="AO61" s="15">
        <v>2751.84</v>
      </c>
      <c r="AR61" s="16"/>
      <c r="AS61">
        <v>4</v>
      </c>
      <c r="AV61">
        <v>9</v>
      </c>
      <c r="AW61" t="s">
        <v>144</v>
      </c>
      <c r="AY61">
        <v>-5</v>
      </c>
      <c r="AZ61" t="str">
        <f t="shared" si="7"/>
        <v>NEAKTIVAN</v>
      </c>
      <c r="BA61">
        <v>73</v>
      </c>
    </row>
    <row r="62" spans="1:53" ht="15.75" customHeight="1">
      <c r="A62" s="273">
        <v>38</v>
      </c>
      <c r="B62" s="273" t="str">
        <f t="shared" si="5"/>
        <v>NEAKTIVAN</v>
      </c>
      <c r="C62" s="302">
        <f t="shared" si="3"/>
        <v>60</v>
      </c>
      <c r="D62" s="1">
        <v>9</v>
      </c>
      <c r="E62" s="1" t="str">
        <f>VLOOKUP(D62,Table3[[#All],[RB]:[OIB]],2,0)</f>
        <v>WAX D.O.O</v>
      </c>
      <c r="F62" s="4">
        <f>VLOOKUP(D62,Table3[],3,0)</f>
        <v>46869408875</v>
      </c>
      <c r="G62" s="1" t="str">
        <f>VLOOKUP(D62,Table3[],4,0)</f>
        <v>Rudolf Gergelj</v>
      </c>
      <c r="H62" s="1" t="str">
        <f>VLOOKUP(D62,POSLODAVCI!$A$2:$J$107,9,0)</f>
        <v>Osijek</v>
      </c>
      <c r="I62" s="1" t="str">
        <f>VLOOKUP(D62,Table3[],10,0)</f>
        <v>J.J. Strossmayera 333, 31000 Osijek</v>
      </c>
      <c r="J62" s="1" t="s">
        <v>225</v>
      </c>
      <c r="K62" s="61">
        <v>43101</v>
      </c>
      <c r="L62" s="61">
        <v>43251</v>
      </c>
      <c r="M62">
        <v>20112988151</v>
      </c>
      <c r="N62" t="s">
        <v>80</v>
      </c>
      <c r="O62" s="7">
        <v>29478</v>
      </c>
      <c r="Q62" t="s">
        <v>82</v>
      </c>
      <c r="R62" t="s">
        <v>227</v>
      </c>
      <c r="S62"/>
      <c r="T62" t="s">
        <v>111</v>
      </c>
      <c r="V62" s="16" t="s">
        <v>143</v>
      </c>
      <c r="W62" s="16" t="s">
        <v>143</v>
      </c>
      <c r="X62" s="303" t="s">
        <v>103</v>
      </c>
      <c r="Z62" t="s">
        <v>86</v>
      </c>
      <c r="AA62">
        <v>40</v>
      </c>
      <c r="AH62" t="s">
        <v>94</v>
      </c>
      <c r="AL62" t="s">
        <v>83</v>
      </c>
      <c r="AM62" s="90">
        <v>3439.8</v>
      </c>
      <c r="AN62" s="184">
        <v>1</v>
      </c>
      <c r="AO62" s="15">
        <v>2751.84</v>
      </c>
      <c r="AS62">
        <v>20</v>
      </c>
      <c r="AT62">
        <v>12</v>
      </c>
      <c r="AU62" s="14" t="s">
        <v>293</v>
      </c>
      <c r="AV62">
        <v>12</v>
      </c>
      <c r="AW62" s="7" t="s">
        <v>258</v>
      </c>
      <c r="AY62">
        <v>0</v>
      </c>
      <c r="AZ62" t="str">
        <f t="shared" si="7"/>
        <v>NEAKTIVAN</v>
      </c>
      <c r="BA62">
        <v>72</v>
      </c>
    </row>
    <row r="63" spans="1:53" ht="15.75" customHeight="1">
      <c r="A63" s="273">
        <v>39</v>
      </c>
      <c r="B63" s="273" t="str">
        <f t="shared" si="5"/>
        <v>NEAKTIVAN</v>
      </c>
      <c r="C63" s="302">
        <f t="shared" si="3"/>
        <v>61</v>
      </c>
      <c r="D63" s="1">
        <v>9</v>
      </c>
      <c r="E63" s="1" t="str">
        <f>VLOOKUP(D63,Table3[[#All],[RB]:[OIB]],2,0)</f>
        <v>WAX D.O.O</v>
      </c>
      <c r="F63" s="4">
        <f>VLOOKUP(D63,Table3[],3,0)</f>
        <v>46869408875</v>
      </c>
      <c r="G63" s="1" t="str">
        <f>VLOOKUP(D63,Table3[],4,0)</f>
        <v>Rudolf Gergelj</v>
      </c>
      <c r="H63" s="1" t="str">
        <f>VLOOKUP(D63,POSLODAVCI!$A$2:$J$107,9,0)</f>
        <v>Osijek</v>
      </c>
      <c r="I63" s="1" t="str">
        <f>VLOOKUP(D63,Table3[],10,0)</f>
        <v>J.J. Strossmayera 333, 31000 Osijek</v>
      </c>
      <c r="J63" s="1" t="s">
        <v>228</v>
      </c>
      <c r="K63" s="61">
        <v>43101</v>
      </c>
      <c r="L63" s="61">
        <v>43251</v>
      </c>
      <c r="M63">
        <v>46438404550</v>
      </c>
      <c r="N63" t="s">
        <v>80</v>
      </c>
      <c r="O63" s="7">
        <v>32241</v>
      </c>
      <c r="P63" t="s">
        <v>81</v>
      </c>
      <c r="Q63" t="s">
        <v>82</v>
      </c>
      <c r="R63" t="s">
        <v>229</v>
      </c>
      <c r="S63"/>
      <c r="T63" t="s">
        <v>84</v>
      </c>
      <c r="V63" s="16" t="s">
        <v>143</v>
      </c>
      <c r="W63" s="16" t="s">
        <v>143</v>
      </c>
      <c r="X63" s="303" t="s">
        <v>103</v>
      </c>
      <c r="Z63" t="s">
        <v>86</v>
      </c>
      <c r="AA63">
        <v>40</v>
      </c>
      <c r="AH63" t="s">
        <v>94</v>
      </c>
      <c r="AL63" t="s">
        <v>83</v>
      </c>
      <c r="AM63" s="90">
        <v>3439.8</v>
      </c>
      <c r="AN63" s="184">
        <v>1</v>
      </c>
      <c r="AO63" s="15">
        <v>2751.84</v>
      </c>
      <c r="AS63">
        <v>20</v>
      </c>
      <c r="AT63">
        <v>12</v>
      </c>
      <c r="AU63" t="s">
        <v>257</v>
      </c>
      <c r="AV63">
        <v>12</v>
      </c>
      <c r="AW63" s="7" t="s">
        <v>258</v>
      </c>
      <c r="AY63">
        <v>0</v>
      </c>
      <c r="AZ63" t="str">
        <f t="shared" si="7"/>
        <v>NEAKTIVAN</v>
      </c>
      <c r="BA63">
        <v>74</v>
      </c>
    </row>
    <row r="64" spans="1:53" ht="15.75" customHeight="1">
      <c r="A64" s="273">
        <v>40</v>
      </c>
      <c r="B64" s="273" t="str">
        <f t="shared" si="5"/>
        <v>NEAKTIVAN</v>
      </c>
      <c r="C64" s="302">
        <f t="shared" si="3"/>
        <v>62</v>
      </c>
      <c r="D64" s="1">
        <v>9</v>
      </c>
      <c r="E64" s="1" t="str">
        <f>VLOOKUP(D64,Table3[[#All],[RB]:[OIB]],2,0)</f>
        <v>WAX D.O.O</v>
      </c>
      <c r="F64" s="4">
        <f>VLOOKUP(D64,Table3[],3,0)</f>
        <v>46869408875</v>
      </c>
      <c r="G64" s="1" t="str">
        <f>VLOOKUP(D64,Table3[],4,0)</f>
        <v>Rudolf Gergelj</v>
      </c>
      <c r="H64" s="1" t="str">
        <f>VLOOKUP(D64,POSLODAVCI!$A$2:$J$107,9,0)</f>
        <v>Osijek</v>
      </c>
      <c r="I64" s="1" t="str">
        <f>VLOOKUP(D64,Table3[],10,0)</f>
        <v>J.J. Strossmayera 333, 31000 Osijek</v>
      </c>
      <c r="J64" s="1" t="s">
        <v>230</v>
      </c>
      <c r="K64" s="61">
        <v>43101</v>
      </c>
      <c r="L64" s="61">
        <v>43103</v>
      </c>
      <c r="M64" s="3" t="s">
        <v>231</v>
      </c>
      <c r="N64" t="s">
        <v>80</v>
      </c>
      <c r="O64" s="7">
        <v>34792</v>
      </c>
      <c r="P64" t="s">
        <v>81</v>
      </c>
      <c r="Q64" t="s">
        <v>82</v>
      </c>
      <c r="R64" t="s">
        <v>232</v>
      </c>
      <c r="S64"/>
      <c r="T64" t="s">
        <v>84</v>
      </c>
      <c r="V64" s="16" t="s">
        <v>143</v>
      </c>
      <c r="W64" s="16" t="s">
        <v>143</v>
      </c>
      <c r="X64" s="303" t="s">
        <v>103</v>
      </c>
      <c r="Z64" t="s">
        <v>86</v>
      </c>
      <c r="AA64">
        <v>40</v>
      </c>
      <c r="AH64" t="s">
        <v>94</v>
      </c>
      <c r="AL64" t="s">
        <v>83</v>
      </c>
      <c r="AM64" s="90">
        <v>3439.8</v>
      </c>
      <c r="AN64" s="184">
        <v>1</v>
      </c>
      <c r="AO64" s="15">
        <v>2751.84</v>
      </c>
      <c r="AS64">
        <v>4</v>
      </c>
      <c r="AV64">
        <v>9</v>
      </c>
      <c r="AW64" t="s">
        <v>144</v>
      </c>
      <c r="AY64">
        <v>-5</v>
      </c>
      <c r="AZ64" t="str">
        <f t="shared" si="7"/>
        <v>NEAKTIVAN</v>
      </c>
      <c r="BA64">
        <v>75</v>
      </c>
    </row>
    <row r="65" spans="1:53" ht="15.75" customHeight="1">
      <c r="A65" s="273">
        <v>41</v>
      </c>
      <c r="B65" s="273" t="str">
        <f t="shared" si="5"/>
        <v>NEAKTIVAN</v>
      </c>
      <c r="C65" s="302">
        <f t="shared" si="3"/>
        <v>63</v>
      </c>
      <c r="D65" s="1">
        <v>9</v>
      </c>
      <c r="E65" s="1" t="str">
        <f>VLOOKUP(D65,Table3[[#All],[RB]:[OIB]],2,0)</f>
        <v>WAX D.O.O</v>
      </c>
      <c r="F65" s="4">
        <f>VLOOKUP(D65,Table3[],3,0)</f>
        <v>46869408875</v>
      </c>
      <c r="G65" s="1" t="str">
        <f>VLOOKUP(D65,Table3[],4,0)</f>
        <v>Rudolf Gergelj</v>
      </c>
      <c r="H65" s="1" t="str">
        <f>VLOOKUP(D65,POSLODAVCI!$A$2:$J$107,9,0)</f>
        <v>Osijek</v>
      </c>
      <c r="I65" s="1" t="str">
        <f>VLOOKUP(D65,Table3[],10,0)</f>
        <v>J.J. Strossmayera 333, 31000 Osijek</v>
      </c>
      <c r="J65" s="1" t="s">
        <v>233</v>
      </c>
      <c r="K65" s="61">
        <v>43101</v>
      </c>
      <c r="L65" s="61">
        <v>43251</v>
      </c>
      <c r="M65" s="3" t="s">
        <v>234</v>
      </c>
      <c r="N65" t="s">
        <v>80</v>
      </c>
      <c r="O65" s="7">
        <v>32684</v>
      </c>
      <c r="P65" t="s">
        <v>81</v>
      </c>
      <c r="Q65" t="s">
        <v>82</v>
      </c>
      <c r="R65" t="s">
        <v>235</v>
      </c>
      <c r="S65"/>
      <c r="T65" t="s">
        <v>84</v>
      </c>
      <c r="V65" s="16" t="s">
        <v>143</v>
      </c>
      <c r="W65" s="16" t="s">
        <v>143</v>
      </c>
      <c r="X65" s="303" t="s">
        <v>103</v>
      </c>
      <c r="Z65" t="s">
        <v>86</v>
      </c>
      <c r="AA65">
        <v>40</v>
      </c>
      <c r="AH65" t="s">
        <v>94</v>
      </c>
      <c r="AL65" t="s">
        <v>83</v>
      </c>
      <c r="AM65" s="90">
        <v>3439.8</v>
      </c>
      <c r="AN65" s="184">
        <v>1</v>
      </c>
      <c r="AO65" s="15">
        <v>2751.84</v>
      </c>
      <c r="AS65">
        <v>20</v>
      </c>
      <c r="AT65">
        <v>12</v>
      </c>
      <c r="AU65" t="s">
        <v>257</v>
      </c>
      <c r="AV65">
        <v>12</v>
      </c>
      <c r="AW65" s="7" t="s">
        <v>258</v>
      </c>
      <c r="AY65">
        <v>0</v>
      </c>
      <c r="AZ65" t="str">
        <f t="shared" si="7"/>
        <v>NEAKTIVAN</v>
      </c>
      <c r="BA65">
        <v>76</v>
      </c>
    </row>
    <row r="66" spans="1:53" ht="15" customHeight="1">
      <c r="A66" s="273">
        <v>42</v>
      </c>
      <c r="B66" s="273" t="str">
        <f t="shared" si="5"/>
        <v>NEAKTIVAN</v>
      </c>
      <c r="C66" s="302">
        <f t="shared" si="3"/>
        <v>64</v>
      </c>
      <c r="D66" s="1">
        <v>9</v>
      </c>
      <c r="E66" s="1" t="str">
        <f>VLOOKUP(D66,Table3[[#All],[RB]:[OIB]],2,0)</f>
        <v>WAX D.O.O</v>
      </c>
      <c r="F66" s="4">
        <f>VLOOKUP(D66,Table3[],3,0)</f>
        <v>46869408875</v>
      </c>
      <c r="G66" s="1" t="str">
        <f>VLOOKUP(D66,Table3[],4,0)</f>
        <v>Rudolf Gergelj</v>
      </c>
      <c r="H66" s="1" t="str">
        <f>VLOOKUP(D66,POSLODAVCI!$A$2:$J$107,9,0)</f>
        <v>Osijek</v>
      </c>
      <c r="I66" s="1" t="str">
        <f>VLOOKUP(D66,Table3[],10,0)</f>
        <v>J.J. Strossmayera 333, 31000 Osijek</v>
      </c>
      <c r="J66" s="1" t="s">
        <v>240</v>
      </c>
      <c r="K66" s="61">
        <v>43101</v>
      </c>
      <c r="L66" s="61">
        <v>43147</v>
      </c>
      <c r="M66" s="3" t="s">
        <v>241</v>
      </c>
      <c r="N66" t="s">
        <v>80</v>
      </c>
      <c r="O66" s="7">
        <v>36145</v>
      </c>
      <c r="Q66" t="s">
        <v>82</v>
      </c>
      <c r="R66" t="s">
        <v>242</v>
      </c>
      <c r="S66"/>
      <c r="T66" t="s">
        <v>84</v>
      </c>
      <c r="V66" s="16" t="s">
        <v>116</v>
      </c>
      <c r="W66" s="16" t="s">
        <v>116</v>
      </c>
      <c r="X66" s="303" t="s">
        <v>103</v>
      </c>
      <c r="Z66" t="s">
        <v>86</v>
      </c>
      <c r="AA66">
        <v>40</v>
      </c>
      <c r="AH66" t="s">
        <v>94</v>
      </c>
      <c r="AL66" t="s">
        <v>83</v>
      </c>
      <c r="AM66" s="15">
        <v>3750</v>
      </c>
      <c r="AN66" s="184">
        <v>1</v>
      </c>
      <c r="AO66" s="15">
        <v>3000</v>
      </c>
      <c r="AS66">
        <v>20</v>
      </c>
      <c r="AT66">
        <v>12</v>
      </c>
      <c r="AU66" t="s">
        <v>257</v>
      </c>
      <c r="AV66">
        <v>12</v>
      </c>
      <c r="AW66" s="7" t="s">
        <v>258</v>
      </c>
      <c r="AY66">
        <v>0</v>
      </c>
      <c r="AZ66" t="str">
        <f t="shared" si="7"/>
        <v>NEAKTIVAN</v>
      </c>
      <c r="BA66">
        <v>78</v>
      </c>
    </row>
    <row r="67" spans="1:53" ht="15.75" customHeight="1">
      <c r="A67" s="273">
        <v>43</v>
      </c>
      <c r="B67" s="273" t="str">
        <f t="shared" si="5"/>
        <v>NEAKTIVAN</v>
      </c>
      <c r="C67" s="302">
        <f t="shared" ref="C67:C130" si="8">C66+1</f>
        <v>65</v>
      </c>
      <c r="D67" s="1">
        <v>9</v>
      </c>
      <c r="E67" s="1" t="str">
        <f>VLOOKUP(D67,Table3[[#All],[RB]:[OIB]],2,0)</f>
        <v>WAX D.O.O</v>
      </c>
      <c r="F67" s="4">
        <f>VLOOKUP(D67,Table3[],3,0)</f>
        <v>46869408875</v>
      </c>
      <c r="G67" s="1" t="str">
        <f>VLOOKUP(D67,Table3[],4,0)</f>
        <v>Rudolf Gergelj</v>
      </c>
      <c r="H67" s="1" t="str">
        <f>VLOOKUP(D67,POSLODAVCI!$A$2:$J$107,9,0)</f>
        <v>Osijek</v>
      </c>
      <c r="I67" s="1" t="str">
        <f>VLOOKUP(D67,Table3[],10,0)</f>
        <v>J.J. Strossmayera 333, 31000 Osijek</v>
      </c>
      <c r="J67" s="1" t="s">
        <v>243</v>
      </c>
      <c r="K67" s="61">
        <v>43101</v>
      </c>
      <c r="L67" s="61">
        <v>43123</v>
      </c>
      <c r="M67" s="3" t="s">
        <v>244</v>
      </c>
      <c r="N67" t="s">
        <v>89</v>
      </c>
      <c r="O67" s="7">
        <v>33546</v>
      </c>
      <c r="P67" t="s">
        <v>294</v>
      </c>
      <c r="Q67" t="s">
        <v>82</v>
      </c>
      <c r="R67" t="s">
        <v>246</v>
      </c>
      <c r="S67"/>
      <c r="T67" t="s">
        <v>247</v>
      </c>
      <c r="V67" s="16" t="s">
        <v>143</v>
      </c>
      <c r="W67" s="16" t="s">
        <v>143</v>
      </c>
      <c r="X67" s="303" t="s">
        <v>103</v>
      </c>
      <c r="Z67" t="s">
        <v>86</v>
      </c>
      <c r="AA67">
        <v>40</v>
      </c>
      <c r="AH67" t="s">
        <v>94</v>
      </c>
      <c r="AL67" t="s">
        <v>83</v>
      </c>
      <c r="AM67" s="90">
        <v>3439.8</v>
      </c>
      <c r="AN67" s="184">
        <v>1</v>
      </c>
      <c r="AO67" s="15">
        <v>2751.84</v>
      </c>
      <c r="AZ67" t="str">
        <f t="shared" si="7"/>
        <v>NEAKTIVAN</v>
      </c>
      <c r="BA67">
        <v>79</v>
      </c>
    </row>
    <row r="68" spans="1:53" ht="15" customHeight="1">
      <c r="A68" s="273">
        <v>44</v>
      </c>
      <c r="B68" s="273" t="str">
        <f t="shared" si="5"/>
        <v>NEAKTIVAN</v>
      </c>
      <c r="C68" s="302">
        <f t="shared" si="8"/>
        <v>66</v>
      </c>
      <c r="D68" s="1">
        <v>9</v>
      </c>
      <c r="E68" s="1" t="str">
        <f>VLOOKUP(D68,Table3[[#All],[RB]:[OIB]],2,0)</f>
        <v>WAX D.O.O</v>
      </c>
      <c r="F68" s="4">
        <f>VLOOKUP(D68,Table3[],3,0)</f>
        <v>46869408875</v>
      </c>
      <c r="G68" s="1" t="str">
        <f>VLOOKUP(D68,Table3[],4,0)</f>
        <v>Rudolf Gergelj</v>
      </c>
      <c r="H68" s="1" t="str">
        <f>VLOOKUP(D68,POSLODAVCI!$A$2:$J$107,9,0)</f>
        <v>Osijek</v>
      </c>
      <c r="I68" s="1" t="str">
        <f>VLOOKUP(D68,Table3[],10,0)</f>
        <v>J.J. Strossmayera 333, 31000 Osijek</v>
      </c>
      <c r="J68" s="1" t="s">
        <v>248</v>
      </c>
      <c r="K68" s="61">
        <v>43101</v>
      </c>
      <c r="L68" s="61">
        <v>43137</v>
      </c>
      <c r="M68" s="3" t="s">
        <v>249</v>
      </c>
      <c r="N68" t="s">
        <v>89</v>
      </c>
      <c r="O68" s="7">
        <v>35985</v>
      </c>
      <c r="P68" t="s">
        <v>81</v>
      </c>
      <c r="Q68" t="s">
        <v>82</v>
      </c>
      <c r="R68" t="s">
        <v>250</v>
      </c>
      <c r="S68"/>
      <c r="T68" t="s">
        <v>84</v>
      </c>
      <c r="V68" s="16" t="s">
        <v>116</v>
      </c>
      <c r="W68" s="16" t="s">
        <v>116</v>
      </c>
      <c r="X68" s="303" t="s">
        <v>103</v>
      </c>
      <c r="Z68" t="s">
        <v>86</v>
      </c>
      <c r="AA68">
        <v>40</v>
      </c>
      <c r="AH68" t="s">
        <v>94</v>
      </c>
      <c r="AL68" t="s">
        <v>83</v>
      </c>
      <c r="AM68" s="15">
        <v>3750</v>
      </c>
      <c r="AN68" s="184">
        <v>1</v>
      </c>
      <c r="AO68" s="15">
        <v>3000</v>
      </c>
      <c r="AS68">
        <v>20</v>
      </c>
      <c r="AT68">
        <v>12</v>
      </c>
      <c r="AU68" t="s">
        <v>257</v>
      </c>
      <c r="AV68">
        <v>12</v>
      </c>
      <c r="AW68" s="7" t="s">
        <v>258</v>
      </c>
      <c r="AY68">
        <v>0</v>
      </c>
      <c r="AZ68" t="str">
        <f t="shared" si="7"/>
        <v>NEAKTIVAN</v>
      </c>
      <c r="BA68">
        <v>80</v>
      </c>
    </row>
    <row r="69" spans="1:53" ht="15" customHeight="1">
      <c r="A69" s="273">
        <v>45</v>
      </c>
      <c r="B69" s="273" t="str">
        <f t="shared" si="5"/>
        <v>NEAKTIVAN</v>
      </c>
      <c r="C69" s="302">
        <f t="shared" si="8"/>
        <v>67</v>
      </c>
      <c r="D69" s="1">
        <v>9</v>
      </c>
      <c r="E69" s="1" t="str">
        <f>VLOOKUP(D69,Table3[[#All],[RB]:[OIB]],2,0)</f>
        <v>WAX D.O.O</v>
      </c>
      <c r="F69" s="4">
        <f>VLOOKUP(D69,Table3[],3,0)</f>
        <v>46869408875</v>
      </c>
      <c r="G69" s="1" t="str">
        <f>VLOOKUP(D69,Table3[],4,0)</f>
        <v>Rudolf Gergelj</v>
      </c>
      <c r="H69" s="1" t="str">
        <f>VLOOKUP(D69,POSLODAVCI!$A$2:$J$107,9,0)</f>
        <v>Osijek</v>
      </c>
      <c r="I69" s="1" t="str">
        <f>VLOOKUP(D69,Table3[],10,0)</f>
        <v>J.J. Strossmayera 333, 31000 Osijek</v>
      </c>
      <c r="J69" s="1" t="s">
        <v>251</v>
      </c>
      <c r="K69" s="61">
        <v>43101</v>
      </c>
      <c r="L69" s="61">
        <v>44408</v>
      </c>
      <c r="M69" s="3" t="s">
        <v>252</v>
      </c>
      <c r="N69" t="s">
        <v>89</v>
      </c>
      <c r="O69" s="7">
        <v>26834</v>
      </c>
      <c r="Q69" t="s">
        <v>82</v>
      </c>
      <c r="R69" t="s">
        <v>253</v>
      </c>
      <c r="S69"/>
      <c r="T69" t="s">
        <v>84</v>
      </c>
      <c r="V69" s="16" t="s">
        <v>254</v>
      </c>
      <c r="W69" s="16" t="s">
        <v>254</v>
      </c>
      <c r="X69" s="303" t="s">
        <v>103</v>
      </c>
      <c r="Z69" t="s">
        <v>86</v>
      </c>
      <c r="AA69">
        <v>40</v>
      </c>
      <c r="AH69" t="s">
        <v>94</v>
      </c>
      <c r="AL69" t="s">
        <v>83</v>
      </c>
      <c r="AM69" s="15">
        <v>10097.59</v>
      </c>
      <c r="AN69" s="184">
        <v>1</v>
      </c>
      <c r="AO69" s="15">
        <v>7000</v>
      </c>
      <c r="AP69" s="15">
        <v>5000</v>
      </c>
      <c r="AS69">
        <v>20</v>
      </c>
      <c r="AT69">
        <v>12</v>
      </c>
      <c r="AU69" t="s">
        <v>257</v>
      </c>
      <c r="AV69">
        <v>12</v>
      </c>
      <c r="AW69" s="7" t="s">
        <v>258</v>
      </c>
      <c r="AY69">
        <v>0</v>
      </c>
      <c r="AZ69" t="str">
        <f t="shared" si="7"/>
        <v>NEAKTIVAN</v>
      </c>
      <c r="BA69">
        <v>81</v>
      </c>
    </row>
    <row r="70" spans="1:53" ht="15.75" customHeight="1">
      <c r="A70" s="273">
        <v>46</v>
      </c>
      <c r="B70" s="273" t="str">
        <f t="shared" si="5"/>
        <v>NEAKTIVAN</v>
      </c>
      <c r="C70" s="302">
        <f t="shared" si="8"/>
        <v>68</v>
      </c>
      <c r="D70" s="1">
        <v>9</v>
      </c>
      <c r="E70" s="1" t="str">
        <f>VLOOKUP(D70,Table3[[#All],[RB]:[OIB]],2,0)</f>
        <v>WAX D.O.O</v>
      </c>
      <c r="F70" s="4">
        <f>VLOOKUP(D70,Table3[],3,0)</f>
        <v>46869408875</v>
      </c>
      <c r="G70" s="1" t="str">
        <f>VLOOKUP(D70,Table3[],4,0)</f>
        <v>Rudolf Gergelj</v>
      </c>
      <c r="H70" s="1" t="str">
        <f>VLOOKUP(D70,POSLODAVCI!$A$2:$J$107,9,0)</f>
        <v>Osijek</v>
      </c>
      <c r="I70" s="1" t="str">
        <f>VLOOKUP(D70,Table3[],10,0)</f>
        <v>J.J. Strossmayera 333, 31000 Osijek</v>
      </c>
      <c r="J70" s="1" t="s">
        <v>296</v>
      </c>
      <c r="K70" s="61">
        <v>43101</v>
      </c>
      <c r="L70" s="61">
        <v>43318</v>
      </c>
      <c r="M70" s="182">
        <v>94678362128</v>
      </c>
      <c r="N70" s="16" t="s">
        <v>80</v>
      </c>
      <c r="O70" s="7">
        <v>31415</v>
      </c>
      <c r="P70" s="16" t="s">
        <v>94</v>
      </c>
      <c r="Q70" s="16" t="s">
        <v>82</v>
      </c>
      <c r="R70" s="16" t="s">
        <v>297</v>
      </c>
      <c r="S70" s="17"/>
      <c r="T70" s="16" t="s">
        <v>84</v>
      </c>
      <c r="V70" s="16" t="s">
        <v>143</v>
      </c>
      <c r="W70" s="16" t="s">
        <v>143</v>
      </c>
      <c r="X70" s="303" t="s">
        <v>103</v>
      </c>
      <c r="Y70" s="7"/>
      <c r="Z70" s="16" t="s">
        <v>86</v>
      </c>
      <c r="AA70">
        <v>40</v>
      </c>
      <c r="AC70" s="183"/>
      <c r="AE70" s="183"/>
      <c r="AH70" t="s">
        <v>94</v>
      </c>
      <c r="AL70" t="s">
        <v>83</v>
      </c>
      <c r="AM70" s="90">
        <v>3439.8</v>
      </c>
      <c r="AN70" s="184">
        <v>1</v>
      </c>
      <c r="AO70" s="15">
        <v>2751.84</v>
      </c>
      <c r="AR70" s="16"/>
      <c r="AS70">
        <v>20</v>
      </c>
      <c r="AT70">
        <v>12</v>
      </c>
      <c r="AU70" t="s">
        <v>257</v>
      </c>
      <c r="AV70">
        <v>12</v>
      </c>
      <c r="AW70" s="7" t="s">
        <v>258</v>
      </c>
      <c r="AY70">
        <v>0</v>
      </c>
      <c r="AZ70" t="str">
        <f t="shared" si="7"/>
        <v>NEAKTIVAN</v>
      </c>
      <c r="BA70">
        <v>84</v>
      </c>
    </row>
    <row r="71" spans="1:53" ht="15" customHeight="1">
      <c r="A71" s="273">
        <v>1</v>
      </c>
      <c r="B71" s="273" t="str">
        <f t="shared" si="5"/>
        <v>NEAKTIVAN</v>
      </c>
      <c r="C71" s="302">
        <f t="shared" si="8"/>
        <v>69</v>
      </c>
      <c r="D71" s="1">
        <v>12</v>
      </c>
      <c r="E71" s="1" t="str">
        <f>VLOOKUP(D71,Table3[[#All],[RB]:[OIB]],2,0)</f>
        <v>Gumenet d.o.o.</v>
      </c>
      <c r="F71" s="4">
        <f>VLOOKUP(D71,Table3[],3,0)</f>
        <v>15151568161</v>
      </c>
      <c r="G71" s="1" t="str">
        <f>VLOOKUP(D71,Table3[],4,0)</f>
        <v>Zoltan Buthi</v>
      </c>
      <c r="H71" s="1" t="str">
        <f>VLOOKUP(D71,POSLODAVCI!$A$2:$J$107,9,0)</f>
        <v>Osijek</v>
      </c>
      <c r="I71" s="1" t="str">
        <f>VLOOKUP(D71,Table3[],10,0)</f>
        <v>I.F. Gundulića 5, 31000 Osijek</v>
      </c>
      <c r="J71" s="1" t="s">
        <v>298</v>
      </c>
      <c r="K71" s="7">
        <v>43082</v>
      </c>
      <c r="L71" s="7">
        <v>43373</v>
      </c>
      <c r="M71">
        <v>40306045066</v>
      </c>
      <c r="N71" t="s">
        <v>89</v>
      </c>
      <c r="O71" s="7">
        <v>27103</v>
      </c>
      <c r="Q71" t="s">
        <v>82</v>
      </c>
      <c r="R71" t="s">
        <v>299</v>
      </c>
      <c r="S71" s="5" t="s">
        <v>83</v>
      </c>
      <c r="T71" t="s">
        <v>111</v>
      </c>
      <c r="V71" s="16" t="s">
        <v>300</v>
      </c>
      <c r="W71" s="16" t="s">
        <v>300</v>
      </c>
      <c r="X71" s="303" t="s">
        <v>103</v>
      </c>
      <c r="Z71" s="16" t="s">
        <v>1894</v>
      </c>
      <c r="AA71">
        <v>20</v>
      </c>
      <c r="AH71" t="s">
        <v>94</v>
      </c>
      <c r="AL71" t="s">
        <v>83</v>
      </c>
      <c r="AM71" s="15">
        <v>3276</v>
      </c>
      <c r="AN71" s="184">
        <v>1</v>
      </c>
      <c r="AO71" s="15">
        <v>2620.8000000000002</v>
      </c>
      <c r="AP71">
        <v>0</v>
      </c>
      <c r="AZ71" t="str">
        <f t="shared" si="7"/>
        <v>NEAKTIVAN</v>
      </c>
      <c r="BA71">
        <f>A71</f>
        <v>1</v>
      </c>
    </row>
    <row r="72" spans="1:53" ht="15.75" customHeight="1">
      <c r="A72" s="273">
        <v>7</v>
      </c>
      <c r="B72" s="273" t="str">
        <f t="shared" si="5"/>
        <v>NEAKTIVAN</v>
      </c>
      <c r="C72" s="302">
        <f t="shared" si="8"/>
        <v>70</v>
      </c>
      <c r="D72" s="1">
        <v>3</v>
      </c>
      <c r="E72" s="1" t="str">
        <f>VLOOKUP(D72,Table3[[#All],[RB]:[OIB]],2,0)</f>
        <v>AGRO PMD d.o.o.</v>
      </c>
      <c r="F72" s="4" t="str">
        <f>VLOOKUP(D72,Table3[],3,0)</f>
        <v>09677499852</v>
      </c>
      <c r="G72" s="1" t="str">
        <f>VLOOKUP(D72,Table3[],4,0)</f>
        <v>Imre Bata</v>
      </c>
      <c r="H72" s="1" t="str">
        <f>VLOOKUP(D72,POSLODAVCI!$A$2:$J$107,9,0)</f>
        <v>Osijek</v>
      </c>
      <c r="I72" s="1" t="str">
        <f>VLOOKUP(D72,Table3[],10,0)</f>
        <v>Južno Pregrađe 38, Osijek</v>
      </c>
      <c r="J72" s="1" t="s">
        <v>302</v>
      </c>
      <c r="K72" s="61">
        <v>43191</v>
      </c>
      <c r="L72" s="61">
        <v>43231</v>
      </c>
      <c r="M72" s="182">
        <v>65592272975</v>
      </c>
      <c r="N72" t="s">
        <v>80</v>
      </c>
      <c r="O72" s="7">
        <v>26422</v>
      </c>
      <c r="P72" t="s">
        <v>192</v>
      </c>
      <c r="Q72" t="s">
        <v>82</v>
      </c>
      <c r="R72" t="s">
        <v>303</v>
      </c>
      <c r="S72" s="5" t="s">
        <v>83</v>
      </c>
      <c r="T72" t="s">
        <v>84</v>
      </c>
      <c r="V72" t="s">
        <v>304</v>
      </c>
      <c r="W72" t="s">
        <v>304</v>
      </c>
      <c r="X72" s="304" t="s">
        <v>85</v>
      </c>
      <c r="Y72" s="7">
        <v>43286</v>
      </c>
      <c r="Z72" t="s">
        <v>86</v>
      </c>
      <c r="AA72">
        <v>40</v>
      </c>
      <c r="AC72" s="183"/>
      <c r="AE72" s="183"/>
      <c r="AH72" t="s">
        <v>94</v>
      </c>
      <c r="AL72" t="s">
        <v>83</v>
      </c>
      <c r="AM72" s="90">
        <v>3750</v>
      </c>
      <c r="AN72" s="184">
        <v>1</v>
      </c>
      <c r="AO72" s="15">
        <v>3000</v>
      </c>
      <c r="AP72">
        <v>0</v>
      </c>
      <c r="AS72">
        <v>20</v>
      </c>
      <c r="AZ72" t="str">
        <f t="shared" si="7"/>
        <v>NEAKTIVAN</v>
      </c>
      <c r="BA72">
        <f>A72</f>
        <v>7</v>
      </c>
    </row>
    <row r="73" spans="1:53" ht="15.75" customHeight="1">
      <c r="A73" s="273">
        <v>47</v>
      </c>
      <c r="B73" s="273" t="str">
        <f t="shared" si="5"/>
        <v>NEAKTIVAN</v>
      </c>
      <c r="C73" s="302">
        <f t="shared" si="8"/>
        <v>71</v>
      </c>
      <c r="D73" s="1">
        <v>9</v>
      </c>
      <c r="E73" s="1" t="str">
        <f>VLOOKUP(D73,Table3[[#All],[RB]:[OIB]],2,0)</f>
        <v>WAX D.O.O</v>
      </c>
      <c r="F73" s="4">
        <f>VLOOKUP(D73,Table3[],3,0)</f>
        <v>46869408875</v>
      </c>
      <c r="G73" s="1" t="str">
        <f>VLOOKUP(D73,Table3[],4,0)</f>
        <v>Rudolf Gergelj</v>
      </c>
      <c r="H73" s="1" t="str">
        <f>VLOOKUP(D73,POSLODAVCI!$A$2:$J$107,9,0)</f>
        <v>Osijek</v>
      </c>
      <c r="I73" s="1" t="str">
        <f>VLOOKUP(D73,Table3[],10,0)</f>
        <v>J.J. Strossmayera 333, 31000 Osijek</v>
      </c>
      <c r="J73" s="1" t="s">
        <v>305</v>
      </c>
      <c r="K73" s="61">
        <v>43103</v>
      </c>
      <c r="L73" s="61">
        <v>43251</v>
      </c>
      <c r="M73" s="182">
        <v>89289096005</v>
      </c>
      <c r="N73" t="s">
        <v>80</v>
      </c>
      <c r="O73" s="7">
        <v>27020</v>
      </c>
      <c r="P73" t="s">
        <v>306</v>
      </c>
      <c r="Q73" t="s">
        <v>82</v>
      </c>
      <c r="R73" t="s">
        <v>307</v>
      </c>
      <c r="S73" s="17" t="s">
        <v>83</v>
      </c>
      <c r="T73" t="s">
        <v>84</v>
      </c>
      <c r="V73" t="s">
        <v>143</v>
      </c>
      <c r="W73" t="s">
        <v>143</v>
      </c>
      <c r="X73" s="303" t="s">
        <v>103</v>
      </c>
      <c r="Y73" s="7"/>
      <c r="Z73" t="s">
        <v>86</v>
      </c>
      <c r="AA73">
        <v>40</v>
      </c>
      <c r="AC73" s="183"/>
      <c r="AE73" s="183"/>
      <c r="AH73" s="16"/>
      <c r="AL73" s="16"/>
      <c r="AM73" s="90">
        <v>3439.8</v>
      </c>
      <c r="AN73" s="184">
        <v>1</v>
      </c>
      <c r="AO73" s="15">
        <v>2751.84</v>
      </c>
      <c r="AR73" s="16"/>
      <c r="AS73">
        <v>19</v>
      </c>
      <c r="AT73">
        <v>12</v>
      </c>
      <c r="AU73" t="s">
        <v>257</v>
      </c>
      <c r="AV73">
        <v>12</v>
      </c>
      <c r="AW73" s="7" t="s">
        <v>258</v>
      </c>
      <c r="AY73">
        <v>0</v>
      </c>
      <c r="AZ73" t="str">
        <f t="shared" si="7"/>
        <v>NEAKTIVAN</v>
      </c>
      <c r="BA73">
        <v>85</v>
      </c>
    </row>
    <row r="74" spans="1:53" ht="15.75" customHeight="1">
      <c r="A74" s="273">
        <v>48</v>
      </c>
      <c r="B74" s="273" t="str">
        <f t="shared" si="5"/>
        <v>NEAKTIVAN</v>
      </c>
      <c r="C74" s="302">
        <f t="shared" si="8"/>
        <v>72</v>
      </c>
      <c r="D74" s="1">
        <v>9</v>
      </c>
      <c r="E74" s="1" t="str">
        <f>VLOOKUP(D74,Table3[[#All],[RB]:[OIB]],2,0)</f>
        <v>WAX D.O.O</v>
      </c>
      <c r="F74" s="4">
        <f>VLOOKUP(D74,Table3[],3,0)</f>
        <v>46869408875</v>
      </c>
      <c r="G74" s="1" t="str">
        <f>VLOOKUP(D74,Table3[],4,0)</f>
        <v>Rudolf Gergelj</v>
      </c>
      <c r="H74" s="1" t="str">
        <f>VLOOKUP(D74,POSLODAVCI!$A$2:$J$107,9,0)</f>
        <v>Osijek</v>
      </c>
      <c r="I74" s="1" t="str">
        <f>VLOOKUP(D74,Table3[],10,0)</f>
        <v>J.J. Strossmayera 333, 31000 Osijek</v>
      </c>
      <c r="J74" s="1" t="s">
        <v>308</v>
      </c>
      <c r="K74" s="61">
        <v>43104</v>
      </c>
      <c r="L74" s="61">
        <v>43110</v>
      </c>
      <c r="M74" s="182">
        <v>20741692268</v>
      </c>
      <c r="N74" t="s">
        <v>80</v>
      </c>
      <c r="O74" s="7">
        <v>29433</v>
      </c>
      <c r="P74" t="s">
        <v>94</v>
      </c>
      <c r="Q74" t="s">
        <v>82</v>
      </c>
      <c r="R74" t="s">
        <v>309</v>
      </c>
      <c r="S74" s="17" t="s">
        <v>83</v>
      </c>
      <c r="T74" t="s">
        <v>310</v>
      </c>
      <c r="V74" t="s">
        <v>143</v>
      </c>
      <c r="W74" t="s">
        <v>143</v>
      </c>
      <c r="X74" s="303" t="s">
        <v>103</v>
      </c>
      <c r="Y74" s="7"/>
      <c r="Z74" t="s">
        <v>86</v>
      </c>
      <c r="AA74">
        <v>40</v>
      </c>
      <c r="AC74" s="183"/>
      <c r="AE74" s="183"/>
      <c r="AH74" s="16"/>
      <c r="AL74" s="16"/>
      <c r="AM74" s="90">
        <v>3439.8</v>
      </c>
      <c r="AN74" s="184">
        <v>1</v>
      </c>
      <c r="AO74" s="15">
        <v>2751.84</v>
      </c>
      <c r="AR74" s="16"/>
      <c r="AZ74" t="str">
        <f t="shared" si="7"/>
        <v>NEAKTIVAN</v>
      </c>
      <c r="BA74">
        <v>86</v>
      </c>
    </row>
    <row r="75" spans="1:53" ht="15.75" customHeight="1">
      <c r="A75" s="273">
        <v>49</v>
      </c>
      <c r="B75" s="273" t="str">
        <f t="shared" ref="B75:B138" si="9">IF(L75&gt;0,"NEAKTIVAN","AKTIVAN")</f>
        <v>NEAKTIVAN</v>
      </c>
      <c r="C75" s="302">
        <f t="shared" si="8"/>
        <v>73</v>
      </c>
      <c r="D75" s="1">
        <v>9</v>
      </c>
      <c r="E75" s="1" t="str">
        <f>VLOOKUP(D75,Table3[[#All],[RB]:[OIB]],2,0)</f>
        <v>WAX D.O.O</v>
      </c>
      <c r="F75" s="4">
        <f>VLOOKUP(D75,Table3[],3,0)</f>
        <v>46869408875</v>
      </c>
      <c r="G75" s="1" t="str">
        <f>VLOOKUP(D75,Table3[],4,0)</f>
        <v>Rudolf Gergelj</v>
      </c>
      <c r="H75" s="1" t="str">
        <f>VLOOKUP(D75,POSLODAVCI!$A$2:$J$107,9,0)</f>
        <v>Osijek</v>
      </c>
      <c r="I75" s="1" t="str">
        <f>VLOOKUP(D75,Table3[],10,0)</f>
        <v>J.J. Strossmayera 333, 31000 Osijek</v>
      </c>
      <c r="J75" s="1" t="s">
        <v>311</v>
      </c>
      <c r="K75" s="61">
        <v>43103</v>
      </c>
      <c r="L75" s="61">
        <v>43244</v>
      </c>
      <c r="M75" s="182">
        <v>15592850730</v>
      </c>
      <c r="N75" t="s">
        <v>80</v>
      </c>
      <c r="O75" s="7">
        <v>35570</v>
      </c>
      <c r="P75" t="s">
        <v>180</v>
      </c>
      <c r="Q75" t="s">
        <v>82</v>
      </c>
      <c r="R75" t="s">
        <v>312</v>
      </c>
      <c r="S75" s="17" t="s">
        <v>83</v>
      </c>
      <c r="T75" t="s">
        <v>84</v>
      </c>
      <c r="V75" t="s">
        <v>116</v>
      </c>
      <c r="W75" t="s">
        <v>116</v>
      </c>
      <c r="X75" s="303" t="s">
        <v>103</v>
      </c>
      <c r="Y75" s="7"/>
      <c r="Z75" t="s">
        <v>86</v>
      </c>
      <c r="AA75">
        <v>40</v>
      </c>
      <c r="AC75" s="183"/>
      <c r="AE75" s="183"/>
      <c r="AH75" s="16"/>
      <c r="AL75" s="16"/>
      <c r="AM75" s="90">
        <v>3750</v>
      </c>
      <c r="AN75" s="184">
        <v>1</v>
      </c>
      <c r="AO75" s="15">
        <v>3000</v>
      </c>
      <c r="AR75" s="16"/>
      <c r="AS75">
        <v>19</v>
      </c>
      <c r="AT75">
        <v>12</v>
      </c>
      <c r="AU75" t="s">
        <v>257</v>
      </c>
      <c r="AV75">
        <v>12</v>
      </c>
      <c r="AW75" s="7" t="s">
        <v>258</v>
      </c>
      <c r="AY75">
        <v>0</v>
      </c>
      <c r="AZ75" t="str">
        <f t="shared" si="7"/>
        <v>NEAKTIVAN</v>
      </c>
      <c r="BA75">
        <v>66</v>
      </c>
    </row>
    <row r="76" spans="1:53" ht="15.75" customHeight="1">
      <c r="A76" s="273">
        <v>50</v>
      </c>
      <c r="B76" s="273" t="str">
        <f t="shared" si="9"/>
        <v>NEAKTIVAN</v>
      </c>
      <c r="C76" s="302">
        <f t="shared" si="8"/>
        <v>74</v>
      </c>
      <c r="D76" s="1">
        <v>9</v>
      </c>
      <c r="E76" s="1" t="str">
        <f>VLOOKUP(D76,Table3[[#All],[RB]:[OIB]],2,0)</f>
        <v>WAX D.O.O</v>
      </c>
      <c r="F76" s="4">
        <f>VLOOKUP(D76,Table3[],3,0)</f>
        <v>46869408875</v>
      </c>
      <c r="G76" s="1" t="str">
        <f>VLOOKUP(D76,Table3[],4,0)</f>
        <v>Rudolf Gergelj</v>
      </c>
      <c r="H76" s="1" t="str">
        <f>VLOOKUP(D76,POSLODAVCI!$A$2:$J$107,9,0)</f>
        <v>Osijek</v>
      </c>
      <c r="I76" s="1" t="str">
        <f>VLOOKUP(D76,Table3[],10,0)</f>
        <v>J.J. Strossmayera 333, 31000 Osijek</v>
      </c>
      <c r="J76" s="1" t="s">
        <v>313</v>
      </c>
      <c r="K76" s="61">
        <v>43103</v>
      </c>
      <c r="L76" s="61">
        <v>43244</v>
      </c>
      <c r="M76" s="3" t="s">
        <v>314</v>
      </c>
      <c r="N76" t="s">
        <v>89</v>
      </c>
      <c r="O76" s="7">
        <v>35156</v>
      </c>
      <c r="P76" t="s">
        <v>180</v>
      </c>
      <c r="Q76" t="s">
        <v>82</v>
      </c>
      <c r="R76" t="s">
        <v>315</v>
      </c>
      <c r="S76" s="17" t="s">
        <v>83</v>
      </c>
      <c r="T76" t="s">
        <v>84</v>
      </c>
      <c r="V76" t="s">
        <v>116</v>
      </c>
      <c r="W76" t="s">
        <v>116</v>
      </c>
      <c r="X76" s="303" t="s">
        <v>103</v>
      </c>
      <c r="Y76" s="7"/>
      <c r="Z76" t="s">
        <v>86</v>
      </c>
      <c r="AA76">
        <v>40</v>
      </c>
      <c r="AC76" s="183"/>
      <c r="AE76" s="183"/>
      <c r="AH76" s="16"/>
      <c r="AL76" s="16"/>
      <c r="AM76" s="90">
        <v>3750</v>
      </c>
      <c r="AN76" s="184">
        <v>1</v>
      </c>
      <c r="AO76" s="15">
        <v>3000</v>
      </c>
      <c r="AR76" s="16"/>
      <c r="AS76">
        <v>19</v>
      </c>
      <c r="AT76">
        <v>12</v>
      </c>
      <c r="AU76" t="s">
        <v>257</v>
      </c>
      <c r="AV76">
        <v>12</v>
      </c>
      <c r="AW76" s="7" t="s">
        <v>258</v>
      </c>
      <c r="AY76">
        <v>0</v>
      </c>
      <c r="AZ76" t="str">
        <f t="shared" si="7"/>
        <v>NEAKTIVAN</v>
      </c>
      <c r="BA76">
        <v>82</v>
      </c>
    </row>
    <row r="77" spans="1:53" ht="15.5">
      <c r="A77" s="273">
        <v>51</v>
      </c>
      <c r="B77" s="273" t="str">
        <f t="shared" si="9"/>
        <v>NEAKTIVAN</v>
      </c>
      <c r="C77" s="302">
        <f t="shared" si="8"/>
        <v>75</v>
      </c>
      <c r="D77" s="1">
        <v>9</v>
      </c>
      <c r="E77" s="1" t="str">
        <f>VLOOKUP(D77,Table3[[#All],[RB]:[OIB]],2,0)</f>
        <v>WAX D.O.O</v>
      </c>
      <c r="F77" s="4">
        <f>VLOOKUP(D77,Table3[],3,0)</f>
        <v>46869408875</v>
      </c>
      <c r="G77" s="1" t="str">
        <f>VLOOKUP(D77,Table3[],4,0)</f>
        <v>Rudolf Gergelj</v>
      </c>
      <c r="H77" s="1" t="str">
        <f>VLOOKUP(D77,POSLODAVCI!$A$2:$J$107,9,0)</f>
        <v>Osijek</v>
      </c>
      <c r="I77" s="1" t="str">
        <f>VLOOKUP(D77,Table3[],10,0)</f>
        <v>J.J. Strossmayera 333, 31000 Osijek</v>
      </c>
      <c r="J77" s="1" t="s">
        <v>127</v>
      </c>
      <c r="K77" s="61">
        <v>43109</v>
      </c>
      <c r="L77" s="61">
        <v>43244</v>
      </c>
      <c r="M77" s="182" t="s">
        <v>128</v>
      </c>
      <c r="N77" t="s">
        <v>80</v>
      </c>
      <c r="O77" s="7">
        <v>34306</v>
      </c>
      <c r="P77" t="s">
        <v>94</v>
      </c>
      <c r="Q77" t="s">
        <v>82</v>
      </c>
      <c r="R77" t="s">
        <v>129</v>
      </c>
      <c r="S77" s="5" t="s">
        <v>83</v>
      </c>
      <c r="T77" t="s">
        <v>84</v>
      </c>
      <c r="V77" t="s">
        <v>116</v>
      </c>
      <c r="W77" t="s">
        <v>116</v>
      </c>
      <c r="X77" s="304" t="s">
        <v>103</v>
      </c>
      <c r="Y77" s="7"/>
      <c r="Z77" t="s">
        <v>86</v>
      </c>
      <c r="AA77">
        <v>40</v>
      </c>
      <c r="AC77" s="183"/>
      <c r="AE77" s="183"/>
      <c r="AH77" t="s">
        <v>94</v>
      </c>
      <c r="AL77" t="s">
        <v>83</v>
      </c>
      <c r="AM77" s="90">
        <v>3750</v>
      </c>
      <c r="AN77" s="184">
        <v>1</v>
      </c>
      <c r="AO77" s="15">
        <v>3000</v>
      </c>
      <c r="AS77">
        <v>19</v>
      </c>
      <c r="AT77">
        <v>12</v>
      </c>
      <c r="AU77" t="s">
        <v>257</v>
      </c>
      <c r="AV77">
        <v>12</v>
      </c>
      <c r="AW77" s="7" t="s">
        <v>258</v>
      </c>
      <c r="AY77">
        <v>0</v>
      </c>
      <c r="AZ77" t="str">
        <f t="shared" si="7"/>
        <v>NEAKTIVAN</v>
      </c>
      <c r="BA77">
        <v>83</v>
      </c>
    </row>
    <row r="78" spans="1:53" ht="15.75" customHeight="1">
      <c r="A78" s="273">
        <v>52</v>
      </c>
      <c r="B78" s="273" t="str">
        <f t="shared" si="9"/>
        <v>NEAKTIVAN</v>
      </c>
      <c r="C78" s="302">
        <f t="shared" si="8"/>
        <v>76</v>
      </c>
      <c r="D78" s="1">
        <v>9</v>
      </c>
      <c r="E78" s="1" t="str">
        <f>VLOOKUP(D78,Table3[[#All],[RB]:[OIB]],2,0)</f>
        <v>WAX D.O.O</v>
      </c>
      <c r="F78" s="4">
        <f>VLOOKUP(D78,Table3[],3,0)</f>
        <v>46869408875</v>
      </c>
      <c r="G78" s="1" t="str">
        <f>VLOOKUP(D78,Table3[],4,0)</f>
        <v>Rudolf Gergelj</v>
      </c>
      <c r="H78" s="1" t="str">
        <f>VLOOKUP(D78,POSLODAVCI!$A$2:$J$107,9,0)</f>
        <v>Osijek</v>
      </c>
      <c r="I78" s="1" t="str">
        <f>VLOOKUP(D78,Table3[],10,0)</f>
        <v>J.J. Strossmayera 333, 31000 Osijek</v>
      </c>
      <c r="J78" s="1" t="s">
        <v>316</v>
      </c>
      <c r="K78" s="61">
        <v>43109</v>
      </c>
      <c r="L78" s="61">
        <v>43119</v>
      </c>
      <c r="M78" s="182">
        <v>10755405746</v>
      </c>
      <c r="N78" t="s">
        <v>89</v>
      </c>
      <c r="O78" s="7">
        <v>28664</v>
      </c>
      <c r="P78" t="s">
        <v>94</v>
      </c>
      <c r="Q78" t="s">
        <v>82</v>
      </c>
      <c r="R78" t="s">
        <v>317</v>
      </c>
      <c r="S78" s="17" t="s">
        <v>83</v>
      </c>
      <c r="T78" t="s">
        <v>84</v>
      </c>
      <c r="V78" t="s">
        <v>116</v>
      </c>
      <c r="W78" t="s">
        <v>116</v>
      </c>
      <c r="X78" s="303" t="s">
        <v>103</v>
      </c>
      <c r="Y78" s="7">
        <v>43119</v>
      </c>
      <c r="Z78" t="s">
        <v>86</v>
      </c>
      <c r="AA78">
        <v>40</v>
      </c>
      <c r="AC78" s="183"/>
      <c r="AE78" s="183"/>
      <c r="AH78" s="16"/>
      <c r="AI78" s="16" t="s">
        <v>318</v>
      </c>
      <c r="AL78" s="16"/>
      <c r="AM78" s="90">
        <v>3750</v>
      </c>
      <c r="AN78" s="184">
        <v>1</v>
      </c>
      <c r="AO78" s="15">
        <v>3000</v>
      </c>
      <c r="AR78" s="16"/>
      <c r="AY78">
        <f>AS78-AT78-AX78-AV78</f>
        <v>0</v>
      </c>
      <c r="AZ78" t="str">
        <f t="shared" si="7"/>
        <v>NEAKTIVAN</v>
      </c>
      <c r="BA78">
        <v>87</v>
      </c>
    </row>
    <row r="79" spans="1:53" ht="15.75" customHeight="1">
      <c r="A79" s="273">
        <v>53</v>
      </c>
      <c r="B79" s="273" t="str">
        <f t="shared" si="9"/>
        <v>NEAKTIVAN</v>
      </c>
      <c r="C79" s="302">
        <f t="shared" si="8"/>
        <v>77</v>
      </c>
      <c r="D79" s="1">
        <v>9</v>
      </c>
      <c r="E79" s="1" t="str">
        <f>VLOOKUP(D79,Table3[[#All],[RB]:[OIB]],2,0)</f>
        <v>WAX D.O.O</v>
      </c>
      <c r="F79" s="4">
        <f>VLOOKUP(D79,Table3[],3,0)</f>
        <v>46869408875</v>
      </c>
      <c r="G79" s="1" t="str">
        <f>VLOOKUP(D79,Table3[],4,0)</f>
        <v>Rudolf Gergelj</v>
      </c>
      <c r="H79" s="1" t="str">
        <f>VLOOKUP(D79,POSLODAVCI!$A$2:$J$107,9,0)</f>
        <v>Osijek</v>
      </c>
      <c r="I79" s="1" t="str">
        <f>VLOOKUP(D79,Table3[],10,0)</f>
        <v>J.J. Strossmayera 333, 31000 Osijek</v>
      </c>
      <c r="J79" s="1" t="s">
        <v>319</v>
      </c>
      <c r="K79" s="61">
        <v>43109</v>
      </c>
      <c r="L79" s="61">
        <v>43256</v>
      </c>
      <c r="M79" s="182">
        <v>27081082594</v>
      </c>
      <c r="N79" t="s">
        <v>80</v>
      </c>
      <c r="O79" s="7">
        <v>26341</v>
      </c>
      <c r="P79" t="s">
        <v>94</v>
      </c>
      <c r="Q79" t="s">
        <v>82</v>
      </c>
      <c r="R79" t="s">
        <v>320</v>
      </c>
      <c r="S79" s="17" t="s">
        <v>83</v>
      </c>
      <c r="T79" t="s">
        <v>84</v>
      </c>
      <c r="V79" t="s">
        <v>143</v>
      </c>
      <c r="W79" t="s">
        <v>143</v>
      </c>
      <c r="X79" s="303" t="s">
        <v>103</v>
      </c>
      <c r="Z79" t="s">
        <v>86</v>
      </c>
      <c r="AA79">
        <v>40</v>
      </c>
      <c r="AM79" s="90">
        <v>3439.8</v>
      </c>
      <c r="AN79" s="184">
        <v>1</v>
      </c>
      <c r="AO79" s="15">
        <v>2751.84</v>
      </c>
      <c r="AS79">
        <v>19</v>
      </c>
      <c r="AT79">
        <v>12</v>
      </c>
      <c r="AU79" t="s">
        <v>257</v>
      </c>
      <c r="AV79">
        <v>12</v>
      </c>
      <c r="AW79" s="7" t="s">
        <v>258</v>
      </c>
      <c r="AY79">
        <v>0</v>
      </c>
      <c r="AZ79" t="str">
        <f t="shared" si="7"/>
        <v>NEAKTIVAN</v>
      </c>
      <c r="BA79">
        <v>88</v>
      </c>
    </row>
    <row r="80" spans="1:53" ht="15.75" customHeight="1">
      <c r="A80" s="273">
        <v>54</v>
      </c>
      <c r="B80" s="273" t="str">
        <f t="shared" si="9"/>
        <v>NEAKTIVAN</v>
      </c>
      <c r="C80" s="302">
        <f t="shared" si="8"/>
        <v>78</v>
      </c>
      <c r="D80" s="1">
        <v>9</v>
      </c>
      <c r="E80" s="1" t="str">
        <f>VLOOKUP(D80,Table3[[#All],[RB]:[OIB]],2,0)</f>
        <v>WAX D.O.O</v>
      </c>
      <c r="F80" s="4">
        <f>VLOOKUP(D80,Table3[],3,0)</f>
        <v>46869408875</v>
      </c>
      <c r="G80" s="1" t="str">
        <f>VLOOKUP(D80,Table3[],4,0)</f>
        <v>Rudolf Gergelj</v>
      </c>
      <c r="H80" s="1" t="str">
        <f>VLOOKUP(D80,POSLODAVCI!$A$2:$J$107,9,0)</f>
        <v>Osijek</v>
      </c>
      <c r="I80" s="1" t="str">
        <f>VLOOKUP(D80,Table3[],10,0)</f>
        <v>J.J. Strossmayera 333, 31000 Osijek</v>
      </c>
      <c r="J80" s="1" t="s">
        <v>321</v>
      </c>
      <c r="K80" s="61">
        <v>43116</v>
      </c>
      <c r="L80" s="61">
        <v>43343</v>
      </c>
      <c r="M80" s="182">
        <v>24048586201</v>
      </c>
      <c r="N80" t="s">
        <v>80</v>
      </c>
      <c r="O80" s="7">
        <v>35727</v>
      </c>
      <c r="P80" t="s">
        <v>94</v>
      </c>
      <c r="Q80" t="s">
        <v>82</v>
      </c>
      <c r="R80" t="s">
        <v>322</v>
      </c>
      <c r="S80" s="17" t="s">
        <v>83</v>
      </c>
      <c r="T80" t="s">
        <v>84</v>
      </c>
      <c r="V80" t="s">
        <v>143</v>
      </c>
      <c r="W80" t="s">
        <v>143</v>
      </c>
      <c r="X80" s="303" t="s">
        <v>103</v>
      </c>
      <c r="Y80" s="7"/>
      <c r="Z80" t="s">
        <v>86</v>
      </c>
      <c r="AA80">
        <v>40</v>
      </c>
      <c r="AC80" s="183"/>
      <c r="AE80" s="183"/>
      <c r="AH80" s="16"/>
      <c r="AL80" s="16"/>
      <c r="AM80" s="90">
        <v>3439.8</v>
      </c>
      <c r="AN80" s="184">
        <v>1</v>
      </c>
      <c r="AO80" s="15">
        <v>2751.84</v>
      </c>
      <c r="AR80" s="16"/>
      <c r="AS80">
        <v>18</v>
      </c>
      <c r="AT80">
        <v>12</v>
      </c>
      <c r="AU80" t="s">
        <v>257</v>
      </c>
      <c r="AV80">
        <v>12</v>
      </c>
      <c r="AW80" s="7" t="s">
        <v>258</v>
      </c>
      <c r="AY80">
        <v>0</v>
      </c>
      <c r="AZ80" t="str">
        <f t="shared" si="7"/>
        <v>NEAKTIVAN</v>
      </c>
      <c r="BA80">
        <v>89</v>
      </c>
    </row>
    <row r="81" spans="1:53" ht="15.75" customHeight="1">
      <c r="A81" s="273">
        <v>55</v>
      </c>
      <c r="B81" s="273" t="str">
        <f t="shared" si="9"/>
        <v>NEAKTIVAN</v>
      </c>
      <c r="C81" s="302">
        <f t="shared" si="8"/>
        <v>79</v>
      </c>
      <c r="D81" s="1">
        <v>9</v>
      </c>
      <c r="E81" s="1" t="str">
        <f>VLOOKUP(D81,Table3[[#All],[RB]:[OIB]],2,0)</f>
        <v>WAX D.O.O</v>
      </c>
      <c r="F81" s="4">
        <f>VLOOKUP(D81,Table3[],3,0)</f>
        <v>46869408875</v>
      </c>
      <c r="G81" s="1" t="str">
        <f>VLOOKUP(D81,Table3[],4,0)</f>
        <v>Rudolf Gergelj</v>
      </c>
      <c r="H81" s="1" t="str">
        <f>VLOOKUP(D81,POSLODAVCI!$A$2:$J$107,9,0)</f>
        <v>Osijek</v>
      </c>
      <c r="I81" s="1" t="str">
        <f>VLOOKUP(D81,Table3[],10,0)</f>
        <v>J.J. Strossmayera 333, 31000 Osijek</v>
      </c>
      <c r="J81" s="1" t="s">
        <v>323</v>
      </c>
      <c r="K81" s="61">
        <v>43124</v>
      </c>
      <c r="L81" s="61">
        <v>43228</v>
      </c>
      <c r="M81" s="182">
        <v>96761552820</v>
      </c>
      <c r="N81" t="s">
        <v>80</v>
      </c>
      <c r="O81" s="7">
        <v>23515</v>
      </c>
      <c r="P81" t="s">
        <v>94</v>
      </c>
      <c r="Q81" t="s">
        <v>82</v>
      </c>
      <c r="R81" t="s">
        <v>324</v>
      </c>
      <c r="S81" s="17" t="s">
        <v>83</v>
      </c>
      <c r="T81" t="s">
        <v>84</v>
      </c>
      <c r="V81" t="s">
        <v>143</v>
      </c>
      <c r="W81" t="s">
        <v>143</v>
      </c>
      <c r="X81" s="303" t="s">
        <v>103</v>
      </c>
      <c r="Y81" s="7"/>
      <c r="Z81" t="s">
        <v>86</v>
      </c>
      <c r="AA81">
        <v>40</v>
      </c>
      <c r="AC81" s="183"/>
      <c r="AE81" s="183"/>
      <c r="AH81" s="16"/>
      <c r="AL81" s="16"/>
      <c r="AM81" s="90">
        <v>3439.8</v>
      </c>
      <c r="AN81" s="184">
        <v>1.7</v>
      </c>
      <c r="AO81" s="15">
        <v>2751.84</v>
      </c>
      <c r="AR81" s="16"/>
      <c r="AS81">
        <v>18</v>
      </c>
      <c r="AT81">
        <v>12</v>
      </c>
      <c r="AU81" t="s">
        <v>257</v>
      </c>
      <c r="AV81">
        <v>12</v>
      </c>
      <c r="AW81" s="7" t="s">
        <v>258</v>
      </c>
      <c r="AY81">
        <v>0</v>
      </c>
      <c r="AZ81" t="str">
        <f t="shared" si="7"/>
        <v>NEAKTIVAN</v>
      </c>
      <c r="BA81">
        <v>90</v>
      </c>
    </row>
    <row r="82" spans="1:53" ht="15.75" customHeight="1">
      <c r="A82" s="273">
        <v>56</v>
      </c>
      <c r="B82" s="273" t="str">
        <f t="shared" si="9"/>
        <v>NEAKTIVAN</v>
      </c>
      <c r="C82" s="302">
        <f t="shared" si="8"/>
        <v>80</v>
      </c>
      <c r="D82" s="1">
        <v>9</v>
      </c>
      <c r="E82" s="1" t="str">
        <f>VLOOKUP(D82,Table3[[#All],[RB]:[OIB]],2,0)</f>
        <v>WAX D.O.O</v>
      </c>
      <c r="F82" s="4">
        <f>VLOOKUP(D82,Table3[],3,0)</f>
        <v>46869408875</v>
      </c>
      <c r="G82" s="1" t="str">
        <f>VLOOKUP(D82,Table3[],4,0)</f>
        <v>Rudolf Gergelj</v>
      </c>
      <c r="H82" s="1" t="str">
        <f>VLOOKUP(D82,POSLODAVCI!$A$2:$J$107,9,0)</f>
        <v>Osijek</v>
      </c>
      <c r="I82" s="1" t="str">
        <f>VLOOKUP(D82,Table3[],10,0)</f>
        <v>J.J. Strossmayera 333, 31000 Osijek</v>
      </c>
      <c r="J82" s="1" t="s">
        <v>237</v>
      </c>
      <c r="K82" s="61">
        <v>43124</v>
      </c>
      <c r="L82" s="61">
        <v>43251</v>
      </c>
      <c r="M82" s="3" t="s">
        <v>238</v>
      </c>
      <c r="N82" t="s">
        <v>89</v>
      </c>
      <c r="O82" s="7">
        <v>33024</v>
      </c>
      <c r="P82" s="16" t="s">
        <v>94</v>
      </c>
      <c r="Q82" t="s">
        <v>82</v>
      </c>
      <c r="R82" t="s">
        <v>239</v>
      </c>
      <c r="S82" s="5" t="s">
        <v>83</v>
      </c>
      <c r="T82" s="16" t="s">
        <v>84</v>
      </c>
      <c r="V82" s="16" t="s">
        <v>143</v>
      </c>
      <c r="W82" s="16" t="s">
        <v>143</v>
      </c>
      <c r="X82" s="303" t="s">
        <v>103</v>
      </c>
      <c r="Y82" s="7"/>
      <c r="Z82" t="s">
        <v>86</v>
      </c>
      <c r="AA82">
        <v>40</v>
      </c>
      <c r="AC82" s="183"/>
      <c r="AE82" s="183"/>
      <c r="AH82" t="s">
        <v>94</v>
      </c>
      <c r="AL82" s="16"/>
      <c r="AM82" s="90">
        <v>3439.8</v>
      </c>
      <c r="AN82" s="184">
        <v>1</v>
      </c>
      <c r="AO82" s="15">
        <v>2751.84</v>
      </c>
      <c r="AR82" s="16"/>
      <c r="AS82">
        <v>18</v>
      </c>
      <c r="AT82">
        <v>12</v>
      </c>
      <c r="AU82" t="s">
        <v>257</v>
      </c>
      <c r="AV82">
        <v>12</v>
      </c>
      <c r="AW82" s="7" t="s">
        <v>258</v>
      </c>
      <c r="AY82">
        <v>0</v>
      </c>
      <c r="AZ82" t="str">
        <f t="shared" si="7"/>
        <v>NEAKTIVAN</v>
      </c>
      <c r="BA82">
        <v>91</v>
      </c>
    </row>
    <row r="83" spans="1:53" ht="15.75" customHeight="1">
      <c r="A83" s="273">
        <v>57</v>
      </c>
      <c r="B83" s="273" t="str">
        <f t="shared" si="9"/>
        <v>NEAKTIVAN</v>
      </c>
      <c r="C83" s="302">
        <f t="shared" si="8"/>
        <v>81</v>
      </c>
      <c r="D83" s="1">
        <v>9</v>
      </c>
      <c r="E83" s="1" t="str">
        <f>VLOOKUP(D83,Table3[[#All],[RB]:[OIB]],2,0)</f>
        <v>WAX D.O.O</v>
      </c>
      <c r="F83" s="4">
        <f>VLOOKUP(D83,Table3[],3,0)</f>
        <v>46869408875</v>
      </c>
      <c r="G83" s="1" t="str">
        <f>VLOOKUP(D83,Table3[],4,0)</f>
        <v>Rudolf Gergelj</v>
      </c>
      <c r="H83" s="1" t="str">
        <f>VLOOKUP(D83,POSLODAVCI!$A$2:$J$107,9,0)</f>
        <v>Osijek</v>
      </c>
      <c r="I83" s="1" t="str">
        <f>VLOOKUP(D83,Table3[],10,0)</f>
        <v>J.J. Strossmayera 333, 31000 Osijek</v>
      </c>
      <c r="J83" s="1" t="s">
        <v>325</v>
      </c>
      <c r="K83" s="61">
        <v>43125</v>
      </c>
      <c r="L83" s="61">
        <v>43161</v>
      </c>
      <c r="M83" s="182">
        <v>55473296794</v>
      </c>
      <c r="N83" t="s">
        <v>80</v>
      </c>
      <c r="O83" s="7">
        <v>35732</v>
      </c>
      <c r="P83" t="s">
        <v>326</v>
      </c>
      <c r="Q83" t="s">
        <v>82</v>
      </c>
      <c r="R83" t="s">
        <v>327</v>
      </c>
      <c r="S83" s="17" t="s">
        <v>83</v>
      </c>
      <c r="T83" s="16" t="s">
        <v>84</v>
      </c>
      <c r="V83" t="s">
        <v>116</v>
      </c>
      <c r="W83" t="s">
        <v>116</v>
      </c>
      <c r="X83" s="303" t="s">
        <v>103</v>
      </c>
      <c r="Y83" s="7"/>
      <c r="Z83" t="s">
        <v>86</v>
      </c>
      <c r="AA83">
        <v>40</v>
      </c>
      <c r="AC83" s="183"/>
      <c r="AE83" s="183"/>
      <c r="AH83" s="16" t="s">
        <v>94</v>
      </c>
      <c r="AL83" s="16"/>
      <c r="AM83" s="90">
        <v>3750</v>
      </c>
      <c r="AN83" s="184">
        <v>1</v>
      </c>
      <c r="AO83" s="15">
        <v>3000</v>
      </c>
      <c r="AR83" s="16"/>
      <c r="AS83">
        <v>18</v>
      </c>
      <c r="AT83">
        <v>12</v>
      </c>
      <c r="AU83" t="s">
        <v>257</v>
      </c>
      <c r="AV83">
        <v>12</v>
      </c>
      <c r="AW83" s="7" t="s">
        <v>258</v>
      </c>
      <c r="AY83">
        <v>0</v>
      </c>
      <c r="AZ83" t="str">
        <f t="shared" si="7"/>
        <v>NEAKTIVAN</v>
      </c>
      <c r="BA83">
        <v>92</v>
      </c>
    </row>
    <row r="84" spans="1:53" ht="15.75" customHeight="1">
      <c r="A84" s="273">
        <v>58</v>
      </c>
      <c r="B84" s="273" t="str">
        <f t="shared" si="9"/>
        <v>NEAKTIVAN</v>
      </c>
      <c r="C84" s="302">
        <f t="shared" si="8"/>
        <v>82</v>
      </c>
      <c r="D84" s="1">
        <v>9</v>
      </c>
      <c r="E84" s="1" t="str">
        <f>VLOOKUP(D84,Table3[[#All],[RB]:[OIB]],2,0)</f>
        <v>WAX D.O.O</v>
      </c>
      <c r="F84" s="4">
        <f>VLOOKUP(D84,Table3[],3,0)</f>
        <v>46869408875</v>
      </c>
      <c r="G84" s="1" t="str">
        <f>VLOOKUP(D84,Table3[],4,0)</f>
        <v>Rudolf Gergelj</v>
      </c>
      <c r="H84" s="1" t="str">
        <f>VLOOKUP(D84,POSLODAVCI!$A$2:$J$107,9,0)</f>
        <v>Osijek</v>
      </c>
      <c r="I84" s="1" t="str">
        <f>VLOOKUP(D84,Table3[],10,0)</f>
        <v>J.J. Strossmayera 333, 31000 Osijek</v>
      </c>
      <c r="J84" s="1" t="s">
        <v>328</v>
      </c>
      <c r="K84" s="61">
        <v>43143</v>
      </c>
      <c r="L84" s="61">
        <v>43251</v>
      </c>
      <c r="M84" s="182">
        <v>90926163669</v>
      </c>
      <c r="N84" t="s">
        <v>80</v>
      </c>
      <c r="O84" s="7">
        <v>32241</v>
      </c>
      <c r="P84" t="s">
        <v>94</v>
      </c>
      <c r="Q84" t="s">
        <v>82</v>
      </c>
      <c r="R84" t="s">
        <v>329</v>
      </c>
      <c r="S84" s="17" t="s">
        <v>83</v>
      </c>
      <c r="T84" t="s">
        <v>84</v>
      </c>
      <c r="V84" t="s">
        <v>143</v>
      </c>
      <c r="W84" t="s">
        <v>143</v>
      </c>
      <c r="X84" s="303" t="s">
        <v>103</v>
      </c>
      <c r="Y84" s="7"/>
      <c r="Z84" t="s">
        <v>86</v>
      </c>
      <c r="AA84">
        <v>40</v>
      </c>
      <c r="AC84" s="183"/>
      <c r="AE84" s="183"/>
      <c r="AH84" t="s">
        <v>94</v>
      </c>
      <c r="AI84" s="16"/>
      <c r="AL84" s="16"/>
      <c r="AM84" s="90">
        <v>3439.8</v>
      </c>
      <c r="AN84" s="184">
        <v>1</v>
      </c>
      <c r="AO84" s="15">
        <v>2751.84</v>
      </c>
      <c r="AR84" s="16"/>
      <c r="AS84">
        <v>16</v>
      </c>
      <c r="AT84">
        <v>12</v>
      </c>
      <c r="AU84" t="s">
        <v>257</v>
      </c>
      <c r="AV84">
        <v>12</v>
      </c>
      <c r="AW84" s="7" t="s">
        <v>258</v>
      </c>
      <c r="AZ84" t="str">
        <f t="shared" si="7"/>
        <v>NEAKTIVAN</v>
      </c>
      <c r="BA84">
        <v>94</v>
      </c>
    </row>
    <row r="85" spans="1:53" ht="15.75" customHeight="1">
      <c r="A85" s="273">
        <v>59</v>
      </c>
      <c r="B85" s="273" t="str">
        <f t="shared" si="9"/>
        <v>NEAKTIVAN</v>
      </c>
      <c r="C85" s="302">
        <f t="shared" si="8"/>
        <v>83</v>
      </c>
      <c r="D85" s="1">
        <v>9</v>
      </c>
      <c r="E85" s="1" t="str">
        <f>VLOOKUP(D85,Table3[[#All],[RB]:[OIB]],2,0)</f>
        <v>WAX D.O.O</v>
      </c>
      <c r="F85" s="4">
        <f>VLOOKUP(D85,Table3[],3,0)</f>
        <v>46869408875</v>
      </c>
      <c r="G85" s="1" t="str">
        <f>VLOOKUP(D85,Table3[],4,0)</f>
        <v>Rudolf Gergelj</v>
      </c>
      <c r="H85" s="1" t="str">
        <f>VLOOKUP(D85,POSLODAVCI!$A$2:$J$107,9,0)</f>
        <v>Osijek</v>
      </c>
      <c r="I85" s="1" t="str">
        <f>VLOOKUP(D85,Table3[],10,0)</f>
        <v>J.J. Strossmayera 333, 31000 Osijek</v>
      </c>
      <c r="J85" s="1" t="s">
        <v>330</v>
      </c>
      <c r="K85" s="61">
        <v>43143</v>
      </c>
      <c r="L85" s="61">
        <v>43244</v>
      </c>
      <c r="M85" s="182">
        <v>46616191748</v>
      </c>
      <c r="N85" t="s">
        <v>80</v>
      </c>
      <c r="O85" s="7">
        <v>34389</v>
      </c>
      <c r="P85" t="s">
        <v>94</v>
      </c>
      <c r="Q85" t="s">
        <v>82</v>
      </c>
      <c r="R85" t="s">
        <v>331</v>
      </c>
      <c r="S85" s="17" t="s">
        <v>83</v>
      </c>
      <c r="T85" t="s">
        <v>84</v>
      </c>
      <c r="V85" t="s">
        <v>116</v>
      </c>
      <c r="W85" t="s">
        <v>116</v>
      </c>
      <c r="X85" s="303" t="s">
        <v>103</v>
      </c>
      <c r="Y85" s="7"/>
      <c r="Z85" t="s">
        <v>86</v>
      </c>
      <c r="AA85">
        <v>40</v>
      </c>
      <c r="AC85" s="183"/>
      <c r="AE85" s="183"/>
      <c r="AH85" t="s">
        <v>94</v>
      </c>
      <c r="AI85" s="16"/>
      <c r="AL85" s="16"/>
      <c r="AM85" s="90">
        <v>3750</v>
      </c>
      <c r="AN85" s="184">
        <v>1</v>
      </c>
      <c r="AO85" s="15">
        <v>3000</v>
      </c>
      <c r="AR85" s="16"/>
      <c r="AS85">
        <v>16</v>
      </c>
      <c r="AT85">
        <v>12</v>
      </c>
      <c r="AU85" t="s">
        <v>257</v>
      </c>
      <c r="AV85">
        <v>12</v>
      </c>
      <c r="AW85" s="7" t="s">
        <v>258</v>
      </c>
      <c r="AZ85" t="str">
        <f t="shared" si="7"/>
        <v>NEAKTIVAN</v>
      </c>
      <c r="BA85">
        <v>93</v>
      </c>
    </row>
    <row r="86" spans="1:53" ht="15.75" customHeight="1">
      <c r="A86" s="273">
        <v>60</v>
      </c>
      <c r="B86" s="273" t="str">
        <f t="shared" si="9"/>
        <v>NEAKTIVAN</v>
      </c>
      <c r="C86" s="302">
        <f t="shared" si="8"/>
        <v>84</v>
      </c>
      <c r="D86" s="1">
        <v>9</v>
      </c>
      <c r="E86" s="1" t="str">
        <f>VLOOKUP(D86,Table3[[#All],[RB]:[OIB]],2,0)</f>
        <v>WAX D.O.O</v>
      </c>
      <c r="F86" s="4">
        <f>VLOOKUP(D86,Table3[],3,0)</f>
        <v>46869408875</v>
      </c>
      <c r="G86" s="1" t="str">
        <f>VLOOKUP(D86,Table3[],4,0)</f>
        <v>Rudolf Gergelj</v>
      </c>
      <c r="H86" s="1" t="str">
        <f>VLOOKUP(D86,POSLODAVCI!$A$2:$J$107,9,0)</f>
        <v>Osijek</v>
      </c>
      <c r="I86" s="1" t="str">
        <f>VLOOKUP(D86,Table3[],10,0)</f>
        <v>J.J. Strossmayera 333, 31000 Osijek</v>
      </c>
      <c r="J86" s="1" t="s">
        <v>332</v>
      </c>
      <c r="K86" s="61">
        <v>43150</v>
      </c>
      <c r="L86" s="61">
        <v>43244</v>
      </c>
      <c r="M86" s="182">
        <v>32686911736</v>
      </c>
      <c r="N86" t="s">
        <v>89</v>
      </c>
      <c r="O86" s="7">
        <v>35114</v>
      </c>
      <c r="P86" t="s">
        <v>94</v>
      </c>
      <c r="Q86" t="s">
        <v>82</v>
      </c>
      <c r="R86" t="s">
        <v>333</v>
      </c>
      <c r="S86" s="17" t="s">
        <v>83</v>
      </c>
      <c r="T86" t="s">
        <v>84</v>
      </c>
      <c r="V86" t="s">
        <v>116</v>
      </c>
      <c r="W86" t="s">
        <v>116</v>
      </c>
      <c r="X86" s="303" t="s">
        <v>103</v>
      </c>
      <c r="Y86" s="7"/>
      <c r="Z86" t="s">
        <v>86</v>
      </c>
      <c r="AA86">
        <v>40</v>
      </c>
      <c r="AC86" s="183"/>
      <c r="AE86" s="183"/>
      <c r="AH86" t="s">
        <v>94</v>
      </c>
      <c r="AI86" s="16"/>
      <c r="AL86" s="16"/>
      <c r="AM86" s="90">
        <v>3750</v>
      </c>
      <c r="AN86" s="184">
        <v>1</v>
      </c>
      <c r="AO86" s="15">
        <v>3000</v>
      </c>
      <c r="AR86" s="16"/>
      <c r="AS86">
        <v>16</v>
      </c>
      <c r="AT86">
        <v>12</v>
      </c>
      <c r="AU86" t="s">
        <v>257</v>
      </c>
      <c r="AV86">
        <v>12</v>
      </c>
      <c r="AW86" s="7" t="s">
        <v>258</v>
      </c>
      <c r="AZ86" t="str">
        <f t="shared" si="7"/>
        <v>NEAKTIVAN</v>
      </c>
      <c r="BA86">
        <v>95</v>
      </c>
    </row>
    <row r="87" spans="1:53" ht="15.75" customHeight="1">
      <c r="A87" s="273">
        <v>61</v>
      </c>
      <c r="B87" s="273" t="str">
        <f t="shared" si="9"/>
        <v>NEAKTIVAN</v>
      </c>
      <c r="C87" s="302">
        <f t="shared" si="8"/>
        <v>85</v>
      </c>
      <c r="D87" s="1">
        <v>9</v>
      </c>
      <c r="E87" s="1" t="str">
        <f>VLOOKUP(D87,Table3[[#All],[RB]:[OIB]],2,0)</f>
        <v>WAX D.O.O</v>
      </c>
      <c r="F87" s="4">
        <f>VLOOKUP(D87,Table3[],3,0)</f>
        <v>46869408875</v>
      </c>
      <c r="G87" s="1" t="str">
        <f>VLOOKUP(D87,Table3[],4,0)</f>
        <v>Rudolf Gergelj</v>
      </c>
      <c r="H87" s="1" t="str">
        <f>VLOOKUP(D87,POSLODAVCI!$A$2:$J$107,9,0)</f>
        <v>Osijek</v>
      </c>
      <c r="I87" s="1" t="str">
        <f>VLOOKUP(D87,Table3[],10,0)</f>
        <v>J.J. Strossmayera 333, 31000 Osijek</v>
      </c>
      <c r="J87" s="1" t="s">
        <v>334</v>
      </c>
      <c r="K87" s="61">
        <v>43161</v>
      </c>
      <c r="L87" s="61">
        <v>43251</v>
      </c>
      <c r="M87">
        <v>91673634768</v>
      </c>
      <c r="N87" t="s">
        <v>80</v>
      </c>
      <c r="O87" s="7">
        <v>35655</v>
      </c>
      <c r="P87" t="s">
        <v>94</v>
      </c>
      <c r="Q87" t="s">
        <v>82</v>
      </c>
      <c r="R87" t="s">
        <v>335</v>
      </c>
      <c r="S87" s="17" t="s">
        <v>83</v>
      </c>
      <c r="T87" t="s">
        <v>84</v>
      </c>
      <c r="V87" t="s">
        <v>143</v>
      </c>
      <c r="W87" t="s">
        <v>143</v>
      </c>
      <c r="X87" s="303" t="s">
        <v>103</v>
      </c>
      <c r="Z87" t="s">
        <v>86</v>
      </c>
      <c r="AA87">
        <v>40</v>
      </c>
      <c r="AH87" t="s">
        <v>94</v>
      </c>
      <c r="AM87" s="90">
        <v>3439.8</v>
      </c>
      <c r="AN87" s="184">
        <v>1</v>
      </c>
      <c r="AO87" s="15">
        <v>2751.84</v>
      </c>
      <c r="AP87"/>
      <c r="AZ87" t="str">
        <f t="shared" si="7"/>
        <v>NEAKTIVAN</v>
      </c>
      <c r="BA87">
        <v>96</v>
      </c>
    </row>
    <row r="88" spans="1:53" ht="15.75" customHeight="1">
      <c r="A88" s="273">
        <v>1</v>
      </c>
      <c r="B88" s="273" t="str">
        <f t="shared" si="9"/>
        <v>NEAKTIVAN</v>
      </c>
      <c r="C88" s="302">
        <f t="shared" si="8"/>
        <v>86</v>
      </c>
      <c r="D88" s="1">
        <v>7</v>
      </c>
      <c r="E88" s="1" t="str">
        <f>VLOOKUP(D88,Table3[[#All],[RB]:[OIB]],2,0)</f>
        <v>Puls Direkt d.o.o.</v>
      </c>
      <c r="F88" s="4">
        <f>VLOOKUP(D88,Table3[],3,0)</f>
        <v>67091284267</v>
      </c>
      <c r="G88" s="1" t="str">
        <f>VLOOKUP(D88,Table3[],4,0)</f>
        <v>Laszlo Szabo-Kocsis</v>
      </c>
      <c r="H88" s="1" t="str">
        <f>VLOOKUP(D88,POSLODAVCI!$A$2:$J$107,9,0)</f>
        <v>Osijek</v>
      </c>
      <c r="I88" s="1" t="str">
        <f>VLOOKUP(D88,Table3[],10,0)</f>
        <v>J.J. Strossmayera 333, 31000 Osijek</v>
      </c>
      <c r="J88" s="1" t="s">
        <v>336</v>
      </c>
      <c r="K88" s="61">
        <v>43164</v>
      </c>
      <c r="L88" s="61">
        <v>43249</v>
      </c>
      <c r="M88" s="182">
        <v>20893134129</v>
      </c>
      <c r="N88" t="s">
        <v>89</v>
      </c>
      <c r="O88" s="7">
        <v>27457</v>
      </c>
      <c r="P88" t="s">
        <v>337</v>
      </c>
      <c r="Q88" t="s">
        <v>82</v>
      </c>
      <c r="R88" t="s">
        <v>338</v>
      </c>
      <c r="S88" s="17" t="s">
        <v>83</v>
      </c>
      <c r="T88" t="s">
        <v>111</v>
      </c>
      <c r="V88" t="s">
        <v>300</v>
      </c>
      <c r="W88" t="s">
        <v>300</v>
      </c>
      <c r="X88" s="303" t="s">
        <v>103</v>
      </c>
      <c r="Y88" s="7"/>
      <c r="Z88" t="s">
        <v>86</v>
      </c>
      <c r="AA88">
        <v>40</v>
      </c>
      <c r="AC88" s="183"/>
      <c r="AE88" s="183"/>
      <c r="AH88" t="s">
        <v>94</v>
      </c>
      <c r="AI88" s="16"/>
      <c r="AL88" s="16"/>
      <c r="AM88" s="90">
        <v>4125</v>
      </c>
      <c r="AN88" s="184">
        <v>1</v>
      </c>
      <c r="AO88" s="15">
        <v>3300</v>
      </c>
      <c r="AR88" s="16"/>
      <c r="AW88" s="7"/>
      <c r="AZ88" t="str">
        <f t="shared" ref="AZ88:AZ95" si="10">IF(L88&gt;0,"NEAKTIVAN","AKTIVAN")</f>
        <v>NEAKTIVAN</v>
      </c>
    </row>
    <row r="89" spans="1:53" ht="15" customHeight="1">
      <c r="A89" s="273">
        <v>62</v>
      </c>
      <c r="B89" s="273" t="str">
        <f t="shared" si="9"/>
        <v>NEAKTIVAN</v>
      </c>
      <c r="C89" s="302">
        <f t="shared" si="8"/>
        <v>87</v>
      </c>
      <c r="D89" s="16">
        <v>9</v>
      </c>
      <c r="E89" s="1" t="str">
        <f>VLOOKUP(D89,Table3[[#All],[RB]:[OIB]],2,0)</f>
        <v>WAX D.O.O</v>
      </c>
      <c r="F89" s="4">
        <f>VLOOKUP(D89,Table3[],3,0)</f>
        <v>46869408875</v>
      </c>
      <c r="G89" s="1" t="str">
        <f>VLOOKUP(D89,Table3[],4,0)</f>
        <v>Rudolf Gergelj</v>
      </c>
      <c r="H89" s="1" t="str">
        <f>VLOOKUP(D89,POSLODAVCI!$A$2:$J$107,9,0)</f>
        <v>Osijek</v>
      </c>
      <c r="I89" s="1" t="str">
        <f>VLOOKUP(D89,Table3[],10,0)</f>
        <v>J.J. Strossmayera 333, 31000 Osijek</v>
      </c>
      <c r="J89" s="16" t="s">
        <v>339</v>
      </c>
      <c r="K89" s="67">
        <v>43166</v>
      </c>
      <c r="L89" s="61">
        <v>43251</v>
      </c>
      <c r="M89" s="127">
        <v>40041577579</v>
      </c>
      <c r="N89" s="16" t="s">
        <v>80</v>
      </c>
      <c r="O89" s="67">
        <v>29215</v>
      </c>
      <c r="P89" s="16" t="s">
        <v>94</v>
      </c>
      <c r="Q89" s="16" t="s">
        <v>82</v>
      </c>
      <c r="R89" s="16" t="s">
        <v>340</v>
      </c>
      <c r="S89" s="17" t="s">
        <v>83</v>
      </c>
      <c r="T89" s="16" t="s">
        <v>84</v>
      </c>
      <c r="U89" s="16"/>
      <c r="V89" s="16" t="s">
        <v>143</v>
      </c>
      <c r="W89" s="16" t="s">
        <v>143</v>
      </c>
      <c r="X89" s="303" t="s">
        <v>103</v>
      </c>
      <c r="Y89" s="67"/>
      <c r="Z89" s="16" t="s">
        <v>86</v>
      </c>
      <c r="AA89" s="16">
        <v>40</v>
      </c>
      <c r="AB89" s="16"/>
      <c r="AC89" s="128"/>
      <c r="AD89" s="16"/>
      <c r="AE89" s="128"/>
      <c r="AF89" s="16"/>
      <c r="AG89" s="16"/>
      <c r="AH89" s="16" t="s">
        <v>94</v>
      </c>
      <c r="AI89" s="16"/>
      <c r="AJ89" s="16"/>
      <c r="AK89" s="16"/>
      <c r="AL89" s="16"/>
      <c r="AM89" s="91">
        <v>3439.8</v>
      </c>
      <c r="AN89" s="129">
        <v>1</v>
      </c>
      <c r="AO89" s="130">
        <v>2751.84</v>
      </c>
      <c r="AP89" s="130"/>
      <c r="AQ89" s="16"/>
      <c r="AR89" s="16"/>
      <c r="AS89" s="16"/>
      <c r="AT89" s="16"/>
      <c r="AU89" s="16"/>
      <c r="AV89" s="16"/>
      <c r="AW89" s="67"/>
      <c r="AX89" s="16"/>
      <c r="AY89" s="16"/>
      <c r="AZ89" s="16" t="str">
        <f t="shared" si="10"/>
        <v>NEAKTIVAN</v>
      </c>
      <c r="BA89" s="16">
        <v>97</v>
      </c>
    </row>
    <row r="90" spans="1:53" s="16" customFormat="1" ht="15" customHeight="1">
      <c r="A90" s="273">
        <v>8</v>
      </c>
      <c r="B90" s="273" t="str">
        <f t="shared" si="9"/>
        <v>NEAKTIVAN</v>
      </c>
      <c r="C90" s="302">
        <f t="shared" si="8"/>
        <v>88</v>
      </c>
      <c r="D90" s="16">
        <v>3</v>
      </c>
      <c r="E90" s="1" t="str">
        <f>VLOOKUP(D90,Table3[[#All],[RB]:[OIB]],2,0)</f>
        <v>AGRO PMD d.o.o.</v>
      </c>
      <c r="F90" s="4" t="str">
        <f>VLOOKUP(D90,Table3[],3,0)</f>
        <v>09677499852</v>
      </c>
      <c r="G90" s="1" t="str">
        <f>VLOOKUP(D90,Table3[],4,0)</f>
        <v>Imre Bata</v>
      </c>
      <c r="H90" s="1" t="str">
        <f>VLOOKUP(D90,POSLODAVCI!$A$2:$J$107,9,0)</f>
        <v>Osijek</v>
      </c>
      <c r="I90" s="1" t="str">
        <f>VLOOKUP(D90,Table3[],10,0)</f>
        <v>Južno Pregrađe 38, Osijek</v>
      </c>
      <c r="J90" s="16" t="s">
        <v>342</v>
      </c>
      <c r="K90" s="67">
        <v>43227</v>
      </c>
      <c r="L90" s="67">
        <v>43434</v>
      </c>
      <c r="M90" s="87" t="s">
        <v>343</v>
      </c>
      <c r="N90" s="16" t="s">
        <v>80</v>
      </c>
      <c r="O90" s="67">
        <v>30213</v>
      </c>
      <c r="Q90" s="16" t="s">
        <v>82</v>
      </c>
      <c r="R90" s="16" t="s">
        <v>344</v>
      </c>
      <c r="S90" s="17" t="s">
        <v>83</v>
      </c>
      <c r="T90" s="16" t="s">
        <v>111</v>
      </c>
      <c r="V90" s="16" t="s">
        <v>295</v>
      </c>
      <c r="W90" s="16" t="s">
        <v>345</v>
      </c>
      <c r="X90" s="303" t="s">
        <v>85</v>
      </c>
      <c r="Y90" s="67">
        <v>43434</v>
      </c>
      <c r="Z90" s="16" t="s">
        <v>86</v>
      </c>
      <c r="AA90" s="16">
        <v>40</v>
      </c>
      <c r="AC90" s="128"/>
      <c r="AE90" s="128"/>
      <c r="AH90" s="16" t="s">
        <v>94</v>
      </c>
      <c r="AL90" s="16" t="s">
        <v>83</v>
      </c>
      <c r="AM90" s="91">
        <v>5950.6</v>
      </c>
      <c r="AN90" s="129">
        <v>1</v>
      </c>
      <c r="AO90" s="130">
        <v>4500</v>
      </c>
      <c r="AP90" s="130"/>
      <c r="AW90" s="67"/>
      <c r="AZ90" s="16" t="str">
        <f t="shared" si="10"/>
        <v>NEAKTIVAN</v>
      </c>
      <c r="BA90">
        <f>A90</f>
        <v>8</v>
      </c>
    </row>
    <row r="91" spans="1:53" s="16" customFormat="1" ht="15" customHeight="1">
      <c r="A91" s="273">
        <v>63</v>
      </c>
      <c r="B91" s="273" t="str">
        <f t="shared" si="9"/>
        <v>NEAKTIVAN</v>
      </c>
      <c r="C91" s="302">
        <f t="shared" si="8"/>
        <v>89</v>
      </c>
      <c r="D91" s="16">
        <v>9</v>
      </c>
      <c r="E91" s="1" t="str">
        <f>VLOOKUP(D91,Table3[[#All],[RB]:[OIB]],2,0)</f>
        <v>WAX D.O.O</v>
      </c>
      <c r="F91" s="4">
        <f>VLOOKUP(D91,Table3[],3,0)</f>
        <v>46869408875</v>
      </c>
      <c r="G91" s="1" t="str">
        <f>VLOOKUP(D91,Table3[],4,0)</f>
        <v>Rudolf Gergelj</v>
      </c>
      <c r="H91" s="1" t="str">
        <f>VLOOKUP(D91,POSLODAVCI!$A$2:$J$107,9,0)</f>
        <v>Osijek</v>
      </c>
      <c r="I91" s="1" t="str">
        <f>VLOOKUP(D91,Table3[],10,0)</f>
        <v>J.J. Strossmayera 333, 31000 Osijek</v>
      </c>
      <c r="J91" s="16" t="s">
        <v>346</v>
      </c>
      <c r="K91" s="67">
        <v>43228</v>
      </c>
      <c r="L91" s="61">
        <v>43251</v>
      </c>
      <c r="M91" s="127">
        <v>21298366100</v>
      </c>
      <c r="N91" s="16" t="s">
        <v>80</v>
      </c>
      <c r="O91" s="67">
        <v>26200</v>
      </c>
      <c r="P91" s="16" t="s">
        <v>306</v>
      </c>
      <c r="Q91" s="16" t="s">
        <v>82</v>
      </c>
      <c r="R91" s="16" t="s">
        <v>347</v>
      </c>
      <c r="S91" s="17" t="s">
        <v>83</v>
      </c>
      <c r="T91" s="16" t="s">
        <v>84</v>
      </c>
      <c r="V91" s="16" t="s">
        <v>143</v>
      </c>
      <c r="W91" s="16" t="s">
        <v>143</v>
      </c>
      <c r="X91" s="303" t="s">
        <v>103</v>
      </c>
      <c r="Y91" s="67"/>
      <c r="Z91" s="16" t="s">
        <v>86</v>
      </c>
      <c r="AA91" s="16">
        <v>40</v>
      </c>
      <c r="AC91" s="128"/>
      <c r="AE91" s="128"/>
      <c r="AM91" s="91">
        <v>3439.8</v>
      </c>
      <c r="AN91" s="129">
        <v>1</v>
      </c>
      <c r="AO91" s="130">
        <v>2751.48</v>
      </c>
      <c r="AP91" s="130"/>
      <c r="AW91" s="67"/>
      <c r="AZ91" s="16" t="str">
        <f t="shared" si="10"/>
        <v>NEAKTIVAN</v>
      </c>
      <c r="BA91" s="16">
        <v>98</v>
      </c>
    </row>
    <row r="92" spans="1:53" s="16" customFormat="1" ht="15" customHeight="1">
      <c r="A92" s="273">
        <v>1</v>
      </c>
      <c r="B92" s="273" t="str">
        <f t="shared" si="9"/>
        <v>AKTIVAN</v>
      </c>
      <c r="C92" s="302">
        <f t="shared" si="8"/>
        <v>90</v>
      </c>
      <c r="D92" s="16">
        <v>15</v>
      </c>
      <c r="E92" s="1" t="str">
        <f>VLOOKUP(D92,Table3[[#All],[RB]:[OIB]],2,0)</f>
        <v>KERAMIKA ZOKA J.D.O.O.</v>
      </c>
      <c r="F92" s="4">
        <f>VLOOKUP(D92,Table3[],3,0)</f>
        <v>85005325176</v>
      </c>
      <c r="G92" s="1" t="str">
        <f>VLOOKUP(D92,Table3[],4,0)</f>
        <v>Zoran Francisković</v>
      </c>
      <c r="H92" s="1" t="str">
        <f>VLOOKUP(D92,POSLODAVCI!$A$2:$J$107,9,0)</f>
        <v>osijek</v>
      </c>
      <c r="I92" s="1" t="str">
        <f>VLOOKUP(D92,Table3[],10,0)</f>
        <v>Koprivnička 25 a, 31000 Osijek</v>
      </c>
      <c r="J92" s="16" t="s">
        <v>348</v>
      </c>
      <c r="K92" s="67">
        <v>43228</v>
      </c>
      <c r="L92" s="67"/>
      <c r="M92" s="127">
        <v>37804110038</v>
      </c>
      <c r="N92" s="16" t="s">
        <v>89</v>
      </c>
      <c r="O92" s="67">
        <v>26376</v>
      </c>
      <c r="P92" s="16" t="s">
        <v>94</v>
      </c>
      <c r="Q92" s="16" t="s">
        <v>82</v>
      </c>
      <c r="R92" s="16" t="s">
        <v>349</v>
      </c>
      <c r="S92" s="17" t="s">
        <v>83</v>
      </c>
      <c r="T92" s="16" t="s">
        <v>84</v>
      </c>
      <c r="V92" s="16" t="s">
        <v>350</v>
      </c>
      <c r="W92" s="16" t="s">
        <v>350</v>
      </c>
      <c r="X92" s="303" t="s">
        <v>103</v>
      </c>
      <c r="Y92" s="67"/>
      <c r="Z92" s="16" t="s">
        <v>86</v>
      </c>
      <c r="AA92" s="16">
        <v>40</v>
      </c>
      <c r="AB92" s="16" t="s">
        <v>351</v>
      </c>
      <c r="AC92" s="128"/>
      <c r="AE92" s="128"/>
      <c r="AH92" s="16" t="s">
        <v>94</v>
      </c>
      <c r="AM92" s="91">
        <v>5213</v>
      </c>
      <c r="AN92" s="129">
        <v>1</v>
      </c>
      <c r="AO92" s="130"/>
      <c r="AP92" s="130"/>
      <c r="AW92" s="67"/>
      <c r="AZ92" s="16" t="str">
        <f t="shared" si="10"/>
        <v>AKTIVAN</v>
      </c>
    </row>
    <row r="93" spans="1:53" s="16" customFormat="1" ht="15" customHeight="1">
      <c r="A93" s="273">
        <v>2</v>
      </c>
      <c r="B93" s="273" t="str">
        <f t="shared" si="9"/>
        <v>NEAKTIVAN</v>
      </c>
      <c r="C93" s="302">
        <f t="shared" si="8"/>
        <v>91</v>
      </c>
      <c r="D93" s="16">
        <v>15</v>
      </c>
      <c r="E93" s="1" t="str">
        <f>VLOOKUP(D93,Table3[[#All],[RB]:[OIB]],2,0)</f>
        <v>KERAMIKA ZOKA J.D.O.O.</v>
      </c>
      <c r="F93" s="4">
        <f>VLOOKUP(D93,Table3[],3,0)</f>
        <v>85005325176</v>
      </c>
      <c r="G93" s="1" t="str">
        <f>VLOOKUP(D93,Table3[],4,0)</f>
        <v>Zoran Francisković</v>
      </c>
      <c r="H93" s="1" t="str">
        <f>VLOOKUP(D93,POSLODAVCI!$A$2:$J$107,9,0)</f>
        <v>osijek</v>
      </c>
      <c r="I93" s="1" t="str">
        <f>VLOOKUP(D93,Table3[],10,0)</f>
        <v>Koprivnička 25 a, 31000 Osijek</v>
      </c>
      <c r="J93" s="16" t="s">
        <v>352</v>
      </c>
      <c r="K93" s="67">
        <v>43228</v>
      </c>
      <c r="L93" s="67">
        <v>44895</v>
      </c>
      <c r="M93" s="127">
        <v>68539395396</v>
      </c>
      <c r="N93" s="16" t="s">
        <v>89</v>
      </c>
      <c r="O93" s="67">
        <v>28257</v>
      </c>
      <c r="P93" s="16" t="s">
        <v>94</v>
      </c>
      <c r="Q93" s="16" t="s">
        <v>82</v>
      </c>
      <c r="R93" s="16" t="s">
        <v>353</v>
      </c>
      <c r="S93" s="17" t="s">
        <v>83</v>
      </c>
      <c r="T93" s="16" t="s">
        <v>84</v>
      </c>
      <c r="V93" s="16" t="s">
        <v>350</v>
      </c>
      <c r="W93" s="16" t="s">
        <v>350</v>
      </c>
      <c r="X93" s="303" t="s">
        <v>103</v>
      </c>
      <c r="Y93" s="67">
        <v>44895</v>
      </c>
      <c r="Z93" s="16" t="s">
        <v>86</v>
      </c>
      <c r="AA93" s="16">
        <v>40</v>
      </c>
      <c r="AB93" s="16" t="s">
        <v>354</v>
      </c>
      <c r="AC93" s="128"/>
      <c r="AE93" s="128"/>
      <c r="AH93" s="16" t="s">
        <v>94</v>
      </c>
      <c r="AM93" s="91">
        <v>4200</v>
      </c>
      <c r="AN93" s="129">
        <v>1</v>
      </c>
      <c r="AO93" s="130"/>
      <c r="AP93" s="130"/>
      <c r="AW93" s="67"/>
      <c r="AZ93" s="16" t="str">
        <f t="shared" si="10"/>
        <v>NEAKTIVAN</v>
      </c>
    </row>
    <row r="94" spans="1:53" s="16" customFormat="1" ht="15" customHeight="1">
      <c r="A94" s="273">
        <v>64</v>
      </c>
      <c r="B94" s="273" t="str">
        <f t="shared" si="9"/>
        <v>NEAKTIVAN</v>
      </c>
      <c r="C94" s="302">
        <f t="shared" si="8"/>
        <v>92</v>
      </c>
      <c r="D94" s="16">
        <v>9</v>
      </c>
      <c r="E94" s="1" t="str">
        <f>VLOOKUP(D94,Table3[[#All],[RB]:[OIB]],2,0)</f>
        <v>WAX D.O.O</v>
      </c>
      <c r="F94" s="4">
        <f>VLOOKUP(D94,Table3[],3,0)</f>
        <v>46869408875</v>
      </c>
      <c r="G94" s="1" t="str">
        <f>VLOOKUP(D94,Table3[],4,0)</f>
        <v>Rudolf Gergelj</v>
      </c>
      <c r="H94" s="1" t="str">
        <f>VLOOKUP(D94,POSLODAVCI!$A$2:$J$107,9,0)</f>
        <v>Osijek</v>
      </c>
      <c r="I94" s="1" t="str">
        <f>VLOOKUP(D94,Table3[],10,0)</f>
        <v>J.J. Strossmayera 333, 31000 Osijek</v>
      </c>
      <c r="J94" s="16" t="s">
        <v>355</v>
      </c>
      <c r="K94" s="67">
        <v>43236</v>
      </c>
      <c r="L94" s="61">
        <v>43251</v>
      </c>
      <c r="M94" s="127">
        <v>22669024508</v>
      </c>
      <c r="N94" s="16" t="s">
        <v>80</v>
      </c>
      <c r="O94" s="67">
        <v>35791</v>
      </c>
      <c r="P94" s="16" t="s">
        <v>94</v>
      </c>
      <c r="Q94" s="16" t="s">
        <v>82</v>
      </c>
      <c r="R94" s="16" t="s">
        <v>356</v>
      </c>
      <c r="S94" s="17" t="s">
        <v>83</v>
      </c>
      <c r="T94" s="16" t="s">
        <v>84</v>
      </c>
      <c r="V94" s="16" t="s">
        <v>143</v>
      </c>
      <c r="W94" s="16" t="s">
        <v>143</v>
      </c>
      <c r="X94" s="303" t="s">
        <v>103</v>
      </c>
      <c r="Y94" s="67"/>
      <c r="Z94" s="16" t="s">
        <v>86</v>
      </c>
      <c r="AA94" s="16">
        <v>40</v>
      </c>
      <c r="AB94" s="16" t="s">
        <v>357</v>
      </c>
      <c r="AC94" s="128"/>
      <c r="AE94" s="128"/>
      <c r="AH94" s="16" t="s">
        <v>94</v>
      </c>
      <c r="AM94" s="91">
        <v>3439.8</v>
      </c>
      <c r="AN94" s="129">
        <v>1</v>
      </c>
      <c r="AO94" s="130">
        <v>2751.84</v>
      </c>
      <c r="AP94" s="130"/>
      <c r="AW94" s="67"/>
      <c r="AZ94" s="16" t="str">
        <f t="shared" si="10"/>
        <v>NEAKTIVAN</v>
      </c>
      <c r="BA94" s="16">
        <v>99</v>
      </c>
    </row>
    <row r="95" spans="1:53" s="16" customFormat="1" ht="15" customHeight="1">
      <c r="A95" s="273">
        <v>65</v>
      </c>
      <c r="B95" s="273" t="str">
        <f t="shared" si="9"/>
        <v>NEAKTIVAN</v>
      </c>
      <c r="C95" s="302">
        <f t="shared" si="8"/>
        <v>93</v>
      </c>
      <c r="D95" s="1">
        <v>9</v>
      </c>
      <c r="E95" s="1" t="str">
        <f>VLOOKUP(D95,Table3[[#All],[RB]:[OIB]],2,0)</f>
        <v>WAX D.O.O</v>
      </c>
      <c r="F95" s="4">
        <f>VLOOKUP(D95,Table3[],3,0)</f>
        <v>46869408875</v>
      </c>
      <c r="G95" s="1" t="str">
        <f>VLOOKUP(D95,Table3[],4,0)</f>
        <v>Rudolf Gergelj</v>
      </c>
      <c r="H95" s="1" t="str">
        <f>VLOOKUP(D95,POSLODAVCI!$A$2:$J$107,9,0)</f>
        <v>Osijek</v>
      </c>
      <c r="I95" s="1" t="str">
        <f>VLOOKUP(D95,Table3[],10,0)</f>
        <v>J.J. Strossmayera 333, 31000 Osijek</v>
      </c>
      <c r="J95" s="1" t="s">
        <v>358</v>
      </c>
      <c r="K95" s="61">
        <v>43237</v>
      </c>
      <c r="L95" s="61">
        <v>43251</v>
      </c>
      <c r="M95" s="182">
        <v>27422215847</v>
      </c>
      <c r="N95" s="16" t="s">
        <v>80</v>
      </c>
      <c r="O95" s="7">
        <v>35182</v>
      </c>
      <c r="Q95" s="16" t="s">
        <v>82</v>
      </c>
      <c r="R95" s="16" t="s">
        <v>359</v>
      </c>
      <c r="S95" s="17" t="s">
        <v>83</v>
      </c>
      <c r="T95" s="16" t="s">
        <v>84</v>
      </c>
      <c r="V95" s="16" t="s">
        <v>143</v>
      </c>
      <c r="W95" s="16" t="s">
        <v>143</v>
      </c>
      <c r="X95" s="303" t="s">
        <v>103</v>
      </c>
      <c r="Y95" s="7"/>
      <c r="Z95" s="16" t="s">
        <v>86</v>
      </c>
      <c r="AA95" s="16">
        <v>40</v>
      </c>
      <c r="AC95" s="183"/>
      <c r="AE95" s="183"/>
      <c r="AH95" s="16" t="s">
        <v>94</v>
      </c>
      <c r="AM95" s="91">
        <v>3439.8</v>
      </c>
      <c r="AN95" s="129">
        <v>1</v>
      </c>
      <c r="AO95" s="130">
        <v>2751.84</v>
      </c>
      <c r="AP95" s="15"/>
      <c r="AW95" s="7"/>
      <c r="AZ95" s="16" t="str">
        <f t="shared" si="10"/>
        <v>NEAKTIVAN</v>
      </c>
      <c r="BA95" s="16">
        <v>100</v>
      </c>
    </row>
    <row r="96" spans="1:53" ht="15.75" customHeight="1">
      <c r="A96" s="273">
        <v>1</v>
      </c>
      <c r="B96" s="273" t="str">
        <f t="shared" si="9"/>
        <v>NEAKTIVAN</v>
      </c>
      <c r="C96" s="302">
        <f t="shared" si="8"/>
        <v>94</v>
      </c>
      <c r="D96" s="1">
        <v>16</v>
      </c>
      <c r="E96" s="1" t="str">
        <f>VLOOKUP(D96,Table3[[#All],[RB]:[OIB]],2,0)</f>
        <v>HOME PLUS</v>
      </c>
      <c r="F96" s="4">
        <f>VLOOKUP(D96,Table3[],3,0)</f>
        <v>18241574410</v>
      </c>
      <c r="G96" s="1" t="str">
        <f>VLOOKUP(D96,Table3[],4,0)</f>
        <v>LASZLO TIBOR</v>
      </c>
      <c r="H96" s="1" t="str">
        <f>VLOOKUP(D96,POSLODAVCI!$A$2:$J$107,9,0)</f>
        <v>Osijek</v>
      </c>
      <c r="I96" s="1" t="str">
        <f>VLOOKUP(D96,Table3[],10,0)</f>
        <v>Ivana Gundulića 28</v>
      </c>
      <c r="J96" s="1" t="s">
        <v>114</v>
      </c>
      <c r="K96" s="61">
        <v>43245</v>
      </c>
      <c r="L96" s="61">
        <v>43465</v>
      </c>
      <c r="M96" s="182" t="s">
        <v>115</v>
      </c>
      <c r="N96" t="s">
        <v>80</v>
      </c>
      <c r="O96" s="7">
        <v>24943</v>
      </c>
      <c r="P96" t="s">
        <v>94</v>
      </c>
      <c r="Q96" t="s">
        <v>82</v>
      </c>
      <c r="R96" t="s">
        <v>256</v>
      </c>
      <c r="S96" s="5" t="s">
        <v>83</v>
      </c>
      <c r="T96" t="s">
        <v>84</v>
      </c>
      <c r="V96" t="s">
        <v>116</v>
      </c>
      <c r="W96" t="s">
        <v>116</v>
      </c>
      <c r="X96" s="304" t="s">
        <v>103</v>
      </c>
      <c r="Y96" s="7"/>
      <c r="Z96" t="s">
        <v>86</v>
      </c>
      <c r="AA96">
        <v>40</v>
      </c>
      <c r="AC96" s="183"/>
      <c r="AE96" s="183"/>
      <c r="AH96" t="s">
        <v>94</v>
      </c>
      <c r="AL96" t="s">
        <v>83</v>
      </c>
      <c r="AM96" s="90">
        <v>8426.4599999999991</v>
      </c>
      <c r="AN96" s="184">
        <v>1</v>
      </c>
      <c r="AO96" s="15">
        <v>6000</v>
      </c>
      <c r="AS96">
        <v>20</v>
      </c>
      <c r="AT96">
        <v>12</v>
      </c>
      <c r="AU96" t="s">
        <v>257</v>
      </c>
      <c r="AV96">
        <v>12</v>
      </c>
      <c r="AW96" s="7" t="s">
        <v>258</v>
      </c>
      <c r="AY96">
        <v>0</v>
      </c>
      <c r="AZ96" t="s">
        <v>255</v>
      </c>
      <c r="BA96">
        <v>2</v>
      </c>
    </row>
    <row r="97" spans="1:53" ht="15.75" customHeight="1">
      <c r="A97" s="273">
        <v>2</v>
      </c>
      <c r="B97" s="273" t="str">
        <f t="shared" si="9"/>
        <v>NEAKTIVAN</v>
      </c>
      <c r="C97" s="302">
        <f t="shared" si="8"/>
        <v>95</v>
      </c>
      <c r="D97" s="1">
        <v>16</v>
      </c>
      <c r="E97" s="1" t="str">
        <f>VLOOKUP(D97,Table3[[#All],[RB]:[OIB]],2,0)</f>
        <v>HOME PLUS</v>
      </c>
      <c r="F97" s="4">
        <f>VLOOKUP(D97,Table3[],3,0)</f>
        <v>18241574410</v>
      </c>
      <c r="G97" s="1" t="str">
        <f>VLOOKUP(D97,Table3[],4,0)</f>
        <v>LASZLO TIBOR</v>
      </c>
      <c r="H97" s="1" t="str">
        <f>VLOOKUP(D97,POSLODAVCI!$A$2:$J$107,9,0)</f>
        <v>Osijek</v>
      </c>
      <c r="I97" s="1" t="str">
        <f>VLOOKUP(D97,Table3[],10,0)</f>
        <v>Ivana Gundulića 28</v>
      </c>
      <c r="J97" s="1" t="s">
        <v>117</v>
      </c>
      <c r="K97" s="61">
        <v>43245</v>
      </c>
      <c r="L97" s="61">
        <v>43465</v>
      </c>
      <c r="M97" s="182" t="s">
        <v>118</v>
      </c>
      <c r="N97" t="s">
        <v>89</v>
      </c>
      <c r="O97" s="7">
        <v>34038</v>
      </c>
      <c r="P97" t="s">
        <v>94</v>
      </c>
      <c r="Q97" t="s">
        <v>82</v>
      </c>
      <c r="R97" t="s">
        <v>259</v>
      </c>
      <c r="S97" s="5" t="s">
        <v>83</v>
      </c>
      <c r="T97" t="s">
        <v>84</v>
      </c>
      <c r="V97" t="s">
        <v>116</v>
      </c>
      <c r="W97" t="s">
        <v>116</v>
      </c>
      <c r="X97" s="304" t="s">
        <v>103</v>
      </c>
      <c r="Y97" s="7"/>
      <c r="Z97" t="s">
        <v>86</v>
      </c>
      <c r="AA97">
        <v>40</v>
      </c>
      <c r="AB97" t="s">
        <v>360</v>
      </c>
      <c r="AC97" s="131" t="s">
        <v>361</v>
      </c>
      <c r="AE97" s="183"/>
      <c r="AH97" t="s">
        <v>94</v>
      </c>
      <c r="AL97" t="s">
        <v>83</v>
      </c>
      <c r="AM97" s="90">
        <v>3750</v>
      </c>
      <c r="AN97" s="184">
        <v>1</v>
      </c>
      <c r="AO97" s="15">
        <v>3000</v>
      </c>
      <c r="AP97" s="15">
        <v>2100</v>
      </c>
      <c r="AS97">
        <v>20</v>
      </c>
      <c r="AT97">
        <v>12</v>
      </c>
      <c r="AU97" t="s">
        <v>257</v>
      </c>
      <c r="AV97">
        <v>12</v>
      </c>
      <c r="AW97" s="7" t="s">
        <v>258</v>
      </c>
      <c r="AY97">
        <v>0</v>
      </c>
      <c r="AZ97" t="s">
        <v>255</v>
      </c>
      <c r="BA97">
        <v>3</v>
      </c>
    </row>
    <row r="98" spans="1:53" ht="15.75" customHeight="1">
      <c r="A98" s="273">
        <v>3</v>
      </c>
      <c r="B98" s="273" t="str">
        <f t="shared" si="9"/>
        <v>NEAKTIVAN</v>
      </c>
      <c r="C98" s="302">
        <f t="shared" si="8"/>
        <v>96</v>
      </c>
      <c r="D98" s="1">
        <v>16</v>
      </c>
      <c r="E98" s="1" t="str">
        <f>VLOOKUP(D98,Table3[[#All],[RB]:[OIB]],2,0)</f>
        <v>HOME PLUS</v>
      </c>
      <c r="F98" s="4">
        <f>VLOOKUP(D98,Table3[],3,0)</f>
        <v>18241574410</v>
      </c>
      <c r="G98" s="1" t="str">
        <f>VLOOKUP(D98,Table3[],4,0)</f>
        <v>LASZLO TIBOR</v>
      </c>
      <c r="H98" s="1" t="str">
        <f>VLOOKUP(D98,POSLODAVCI!$A$2:$J$107,9,0)</f>
        <v>Osijek</v>
      </c>
      <c r="I98" s="1" t="str">
        <f>VLOOKUP(D98,Table3[],10,0)</f>
        <v>Ivana Gundulića 28</v>
      </c>
      <c r="J98" s="1" t="s">
        <v>119</v>
      </c>
      <c r="K98" s="61">
        <v>43245</v>
      </c>
      <c r="L98" s="61">
        <v>43465</v>
      </c>
      <c r="M98" s="182">
        <v>24461973764</v>
      </c>
      <c r="N98" t="s">
        <v>80</v>
      </c>
      <c r="O98" s="7">
        <v>34039</v>
      </c>
      <c r="P98" t="s">
        <v>94</v>
      </c>
      <c r="Q98" t="s">
        <v>82</v>
      </c>
      <c r="R98" t="s">
        <v>260</v>
      </c>
      <c r="S98" s="5" t="s">
        <v>83</v>
      </c>
      <c r="T98" t="s">
        <v>84</v>
      </c>
      <c r="V98" t="s">
        <v>116</v>
      </c>
      <c r="W98" t="s">
        <v>116</v>
      </c>
      <c r="X98" s="304" t="s">
        <v>103</v>
      </c>
      <c r="Y98" s="7"/>
      <c r="Z98" t="s">
        <v>86</v>
      </c>
      <c r="AA98">
        <v>40</v>
      </c>
      <c r="AB98" s="16" t="s">
        <v>362</v>
      </c>
      <c r="AC98" s="131" t="s">
        <v>363</v>
      </c>
      <c r="AE98" s="183"/>
      <c r="AH98" t="s">
        <v>94</v>
      </c>
      <c r="AL98" t="s">
        <v>83</v>
      </c>
      <c r="AM98" s="90">
        <v>3750</v>
      </c>
      <c r="AN98" s="184">
        <v>1</v>
      </c>
      <c r="AO98" s="15">
        <v>3000</v>
      </c>
      <c r="AP98" s="15">
        <v>600</v>
      </c>
      <c r="AS98">
        <v>20</v>
      </c>
      <c r="AT98">
        <v>12</v>
      </c>
      <c r="AU98" t="s">
        <v>257</v>
      </c>
      <c r="AV98">
        <v>12</v>
      </c>
      <c r="AW98" s="7" t="s">
        <v>258</v>
      </c>
      <c r="AY98">
        <v>0</v>
      </c>
      <c r="AZ98" t="s">
        <v>255</v>
      </c>
      <c r="BA98">
        <v>4</v>
      </c>
    </row>
    <row r="99" spans="1:53" ht="15.75" customHeight="1">
      <c r="A99" s="273">
        <v>4</v>
      </c>
      <c r="B99" s="273" t="str">
        <f t="shared" si="9"/>
        <v>NEAKTIVAN</v>
      </c>
      <c r="C99" s="302">
        <f t="shared" si="8"/>
        <v>97</v>
      </c>
      <c r="D99" s="1">
        <v>16</v>
      </c>
      <c r="E99" s="1" t="str">
        <f>VLOOKUP(D99,Table3[[#All],[RB]:[OIB]],2,0)</f>
        <v>HOME PLUS</v>
      </c>
      <c r="F99" s="4">
        <f>VLOOKUP(D99,Table3[],3,0)</f>
        <v>18241574410</v>
      </c>
      <c r="G99" s="1" t="str">
        <f>VLOOKUP(D99,Table3[],4,0)</f>
        <v>LASZLO TIBOR</v>
      </c>
      <c r="H99" s="1" t="str">
        <f>VLOOKUP(D99,POSLODAVCI!$A$2:$J$107,9,0)</f>
        <v>Osijek</v>
      </c>
      <c r="I99" s="1" t="str">
        <f>VLOOKUP(D99,Table3[],10,0)</f>
        <v>Ivana Gundulića 28</v>
      </c>
      <c r="J99" s="1" t="s">
        <v>120</v>
      </c>
      <c r="K99" s="61">
        <v>43245</v>
      </c>
      <c r="L99" s="61">
        <v>43465</v>
      </c>
      <c r="M99" s="182" t="s">
        <v>121</v>
      </c>
      <c r="N99" t="s">
        <v>89</v>
      </c>
      <c r="O99" s="7">
        <v>34040</v>
      </c>
      <c r="P99" t="s">
        <v>94</v>
      </c>
      <c r="Q99" t="s">
        <v>82</v>
      </c>
      <c r="R99" t="s">
        <v>261</v>
      </c>
      <c r="S99" s="5" t="s">
        <v>83</v>
      </c>
      <c r="T99" t="s">
        <v>84</v>
      </c>
      <c r="V99" t="s">
        <v>116</v>
      </c>
      <c r="W99" t="s">
        <v>116</v>
      </c>
      <c r="X99" s="304" t="s">
        <v>103</v>
      </c>
      <c r="Y99" s="7"/>
      <c r="Z99" t="s">
        <v>86</v>
      </c>
      <c r="AA99">
        <v>40</v>
      </c>
      <c r="AB99" s="16" t="s">
        <v>364</v>
      </c>
      <c r="AC99" s="131" t="s">
        <v>365</v>
      </c>
      <c r="AE99" s="183"/>
      <c r="AH99" t="s">
        <v>94</v>
      </c>
      <c r="AL99" t="s">
        <v>83</v>
      </c>
      <c r="AM99" s="90">
        <v>3750</v>
      </c>
      <c r="AN99" s="184">
        <v>1</v>
      </c>
      <c r="AO99" s="15">
        <v>3000</v>
      </c>
      <c r="AP99" s="15">
        <v>1000</v>
      </c>
      <c r="AS99">
        <v>20</v>
      </c>
      <c r="AT99">
        <v>12</v>
      </c>
      <c r="AU99" t="s">
        <v>257</v>
      </c>
      <c r="AV99">
        <v>12</v>
      </c>
      <c r="AW99" s="7" t="s">
        <v>258</v>
      </c>
      <c r="AY99">
        <v>0</v>
      </c>
      <c r="AZ99" t="s">
        <v>255</v>
      </c>
      <c r="BA99">
        <v>5</v>
      </c>
    </row>
    <row r="100" spans="1:53" ht="15.75" customHeight="1">
      <c r="A100" s="273">
        <v>5</v>
      </c>
      <c r="B100" s="273" t="str">
        <f t="shared" si="9"/>
        <v>NEAKTIVAN</v>
      </c>
      <c r="C100" s="302">
        <f t="shared" si="8"/>
        <v>98</v>
      </c>
      <c r="D100" s="1">
        <v>16</v>
      </c>
      <c r="E100" s="1" t="str">
        <f>VLOOKUP(D100,Table3[[#All],[RB]:[OIB]],2,0)</f>
        <v>HOME PLUS</v>
      </c>
      <c r="F100" s="4">
        <f>VLOOKUP(D100,Table3[],3,0)</f>
        <v>18241574410</v>
      </c>
      <c r="G100" s="1" t="str">
        <f>VLOOKUP(D100,Table3[],4,0)</f>
        <v>LASZLO TIBOR</v>
      </c>
      <c r="H100" s="1" t="str">
        <f>VLOOKUP(D100,POSLODAVCI!$A$2:$J$107,9,0)</f>
        <v>Osijek</v>
      </c>
      <c r="I100" s="1" t="str">
        <f>VLOOKUP(D100,Table3[],10,0)</f>
        <v>Ivana Gundulića 28</v>
      </c>
      <c r="J100" s="1" t="s">
        <v>124</v>
      </c>
      <c r="K100" s="61">
        <v>43245</v>
      </c>
      <c r="L100" s="61">
        <v>43465</v>
      </c>
      <c r="M100" s="182" t="s">
        <v>125</v>
      </c>
      <c r="N100" t="s">
        <v>89</v>
      </c>
      <c r="O100" s="7">
        <v>34041</v>
      </c>
      <c r="P100" t="s">
        <v>94</v>
      </c>
      <c r="Q100" t="s">
        <v>82</v>
      </c>
      <c r="R100" t="s">
        <v>262</v>
      </c>
      <c r="S100" s="5" t="s">
        <v>83</v>
      </c>
      <c r="T100" t="s">
        <v>84</v>
      </c>
      <c r="V100" t="s">
        <v>116</v>
      </c>
      <c r="W100" t="s">
        <v>116</v>
      </c>
      <c r="X100" s="304" t="s">
        <v>103</v>
      </c>
      <c r="Y100" s="7"/>
      <c r="Z100" t="s">
        <v>86</v>
      </c>
      <c r="AA100">
        <v>40</v>
      </c>
      <c r="AB100" s="16" t="s">
        <v>366</v>
      </c>
      <c r="AC100" s="131" t="s">
        <v>367</v>
      </c>
      <c r="AE100" s="183"/>
      <c r="AH100" t="s">
        <v>94</v>
      </c>
      <c r="AL100" t="s">
        <v>83</v>
      </c>
      <c r="AM100" s="90">
        <v>3750</v>
      </c>
      <c r="AN100" s="184">
        <v>1</v>
      </c>
      <c r="AO100" s="15">
        <v>3000</v>
      </c>
      <c r="AP100" s="15">
        <v>2000</v>
      </c>
      <c r="AS100">
        <v>20</v>
      </c>
      <c r="AT100">
        <v>12</v>
      </c>
      <c r="AU100" t="s">
        <v>257</v>
      </c>
      <c r="AV100">
        <v>12</v>
      </c>
      <c r="AW100" s="7" t="s">
        <v>258</v>
      </c>
      <c r="AY100">
        <v>0</v>
      </c>
      <c r="AZ100" t="s">
        <v>255</v>
      </c>
      <c r="BA100">
        <v>6</v>
      </c>
    </row>
    <row r="101" spans="1:53" ht="15.75" customHeight="1">
      <c r="A101" s="273">
        <v>6</v>
      </c>
      <c r="B101" s="273" t="str">
        <f t="shared" si="9"/>
        <v>NEAKTIVAN</v>
      </c>
      <c r="C101" s="302">
        <f t="shared" si="8"/>
        <v>99</v>
      </c>
      <c r="D101" s="1">
        <v>16</v>
      </c>
      <c r="E101" s="1" t="str">
        <f>VLOOKUP(D101,Table3[[#All],[RB]:[OIB]],2,0)</f>
        <v>HOME PLUS</v>
      </c>
      <c r="F101" s="4">
        <f>VLOOKUP(D101,Table3[],3,0)</f>
        <v>18241574410</v>
      </c>
      <c r="G101" s="1" t="str">
        <f>VLOOKUP(D101,Table3[],4,0)</f>
        <v>LASZLO TIBOR</v>
      </c>
      <c r="H101" s="1" t="str">
        <f>VLOOKUP(D101,POSLODAVCI!$A$2:$J$107,9,0)</f>
        <v>Osijek</v>
      </c>
      <c r="I101" s="1" t="str">
        <f>VLOOKUP(D101,Table3[],10,0)</f>
        <v>Ivana Gundulića 28</v>
      </c>
      <c r="J101" s="1" t="s">
        <v>141</v>
      </c>
      <c r="K101" s="61">
        <v>43252</v>
      </c>
      <c r="L101" s="61">
        <v>43465</v>
      </c>
      <c r="M101" s="78" t="s">
        <v>142</v>
      </c>
      <c r="N101" s="16" t="s">
        <v>89</v>
      </c>
      <c r="O101" s="7">
        <v>34053</v>
      </c>
      <c r="P101" s="16" t="s">
        <v>94</v>
      </c>
      <c r="Q101" s="16" t="s">
        <v>82</v>
      </c>
      <c r="R101" s="16" t="s">
        <v>266</v>
      </c>
      <c r="S101" s="17" t="s">
        <v>83</v>
      </c>
      <c r="T101" s="16" t="s">
        <v>84</v>
      </c>
      <c r="V101" s="16" t="s">
        <v>143</v>
      </c>
      <c r="W101" s="16" t="s">
        <v>143</v>
      </c>
      <c r="X101" s="303" t="s">
        <v>103</v>
      </c>
      <c r="Z101" s="16" t="s">
        <v>86</v>
      </c>
      <c r="AA101">
        <v>40</v>
      </c>
      <c r="AC101" s="183"/>
      <c r="AE101" s="183"/>
      <c r="AH101" s="16" t="s">
        <v>94</v>
      </c>
      <c r="AL101" s="16" t="s">
        <v>83</v>
      </c>
      <c r="AM101" s="90">
        <v>3439.8</v>
      </c>
      <c r="AN101" s="79">
        <v>1.7</v>
      </c>
      <c r="AO101" s="15">
        <v>2751.84</v>
      </c>
      <c r="AS101">
        <v>20</v>
      </c>
      <c r="AT101">
        <v>12</v>
      </c>
      <c r="AU101" t="s">
        <v>257</v>
      </c>
      <c r="AV101">
        <v>12</v>
      </c>
      <c r="AW101" s="7" t="s">
        <v>258</v>
      </c>
      <c r="AY101">
        <v>0</v>
      </c>
      <c r="AZ101" t="s">
        <v>255</v>
      </c>
      <c r="BA101">
        <v>18</v>
      </c>
    </row>
    <row r="102" spans="1:53" ht="15.75" customHeight="1">
      <c r="A102" s="273">
        <v>7</v>
      </c>
      <c r="B102" s="273" t="str">
        <f t="shared" si="9"/>
        <v>NEAKTIVAN</v>
      </c>
      <c r="C102" s="302">
        <f t="shared" si="8"/>
        <v>100</v>
      </c>
      <c r="D102" s="1">
        <v>16</v>
      </c>
      <c r="E102" s="1" t="str">
        <f>VLOOKUP(D102,Table3[[#All],[RB]:[OIB]],2,0)</f>
        <v>HOME PLUS</v>
      </c>
      <c r="F102" s="4">
        <f>VLOOKUP(D102,Table3[],3,0)</f>
        <v>18241574410</v>
      </c>
      <c r="G102" s="1" t="str">
        <f>VLOOKUP(D102,Table3[],4,0)</f>
        <v>LASZLO TIBOR</v>
      </c>
      <c r="H102" s="1" t="str">
        <f>VLOOKUP(D102,POSLODAVCI!$A$2:$J$107,9,0)</f>
        <v>Osijek</v>
      </c>
      <c r="I102" s="1" t="str">
        <f>VLOOKUP(D102,Table3[],10,0)</f>
        <v>Ivana Gundulića 28</v>
      </c>
      <c r="J102" s="1" t="s">
        <v>145</v>
      </c>
      <c r="K102" s="61">
        <v>43252</v>
      </c>
      <c r="L102" s="61">
        <v>43465</v>
      </c>
      <c r="M102" t="s">
        <v>146</v>
      </c>
      <c r="N102" s="16" t="s">
        <v>80</v>
      </c>
      <c r="O102" s="7">
        <v>34054</v>
      </c>
      <c r="P102" s="16" t="s">
        <v>94</v>
      </c>
      <c r="Q102" s="16" t="s">
        <v>82</v>
      </c>
      <c r="R102" s="16" t="s">
        <v>267</v>
      </c>
      <c r="S102" s="17" t="s">
        <v>83</v>
      </c>
      <c r="T102" s="16" t="s">
        <v>84</v>
      </c>
      <c r="V102" s="16" t="s">
        <v>143</v>
      </c>
      <c r="W102" s="16" t="s">
        <v>143</v>
      </c>
      <c r="X102" s="303" t="s">
        <v>103</v>
      </c>
      <c r="Z102" s="16" t="s">
        <v>86</v>
      </c>
      <c r="AA102">
        <v>40</v>
      </c>
      <c r="AC102" s="183"/>
      <c r="AE102" s="183"/>
      <c r="AH102" s="16" t="s">
        <v>94</v>
      </c>
      <c r="AL102" s="16" t="s">
        <v>83</v>
      </c>
      <c r="AM102" s="90">
        <v>3439.8</v>
      </c>
      <c r="AN102" s="79">
        <v>1</v>
      </c>
      <c r="AO102" s="15">
        <v>2751.84</v>
      </c>
      <c r="AS102">
        <v>20</v>
      </c>
      <c r="AT102">
        <v>12</v>
      </c>
      <c r="AU102" t="s">
        <v>257</v>
      </c>
      <c r="AV102">
        <v>12</v>
      </c>
      <c r="AW102" s="7" t="s">
        <v>258</v>
      </c>
      <c r="AY102">
        <v>0</v>
      </c>
      <c r="AZ102" t="s">
        <v>255</v>
      </c>
      <c r="BA102">
        <v>19</v>
      </c>
    </row>
    <row r="103" spans="1:53" ht="15" customHeight="1">
      <c r="A103" s="273">
        <v>8</v>
      </c>
      <c r="B103" s="273" t="str">
        <f t="shared" si="9"/>
        <v>NEAKTIVAN</v>
      </c>
      <c r="C103" s="302">
        <f t="shared" si="8"/>
        <v>101</v>
      </c>
      <c r="D103" s="1">
        <v>16</v>
      </c>
      <c r="E103" s="1" t="str">
        <f>VLOOKUP(D103,Table3[[#All],[RB]:[OIB]],2,0)</f>
        <v>HOME PLUS</v>
      </c>
      <c r="F103" s="4">
        <f>VLOOKUP(D103,Table3[],3,0)</f>
        <v>18241574410</v>
      </c>
      <c r="G103" s="1" t="str">
        <f>VLOOKUP(D103,Table3[],4,0)</f>
        <v>LASZLO TIBOR</v>
      </c>
      <c r="H103" s="1" t="str">
        <f>VLOOKUP(D103,POSLODAVCI!$A$2:$J$107,9,0)</f>
        <v>Osijek</v>
      </c>
      <c r="I103" s="1" t="str">
        <f>VLOOKUP(D103,Table3[],10,0)</f>
        <v>Ivana Gundulića 28</v>
      </c>
      <c r="J103" s="1" t="s">
        <v>147</v>
      </c>
      <c r="K103" s="61">
        <v>43252</v>
      </c>
      <c r="L103" s="61">
        <v>43465</v>
      </c>
      <c r="M103" t="s">
        <v>148</v>
      </c>
      <c r="N103" s="16" t="s">
        <v>80</v>
      </c>
      <c r="O103" s="7">
        <v>34055</v>
      </c>
      <c r="P103" s="16" t="s">
        <v>94</v>
      </c>
      <c r="Q103" s="16" t="s">
        <v>82</v>
      </c>
      <c r="R103" s="16" t="s">
        <v>268</v>
      </c>
      <c r="S103" s="17" t="s">
        <v>83</v>
      </c>
      <c r="T103" s="16" t="s">
        <v>84</v>
      </c>
      <c r="V103" s="16" t="s">
        <v>149</v>
      </c>
      <c r="W103" s="16" t="s">
        <v>149</v>
      </c>
      <c r="X103" s="303" t="s">
        <v>103</v>
      </c>
      <c r="Z103" s="16" t="s">
        <v>86</v>
      </c>
      <c r="AA103">
        <v>40</v>
      </c>
      <c r="AC103" s="183"/>
      <c r="AE103" s="183"/>
      <c r="AH103" s="16" t="s">
        <v>94</v>
      </c>
      <c r="AL103" s="16" t="s">
        <v>83</v>
      </c>
      <c r="AM103" s="15">
        <v>5093.03</v>
      </c>
      <c r="AN103" s="79">
        <v>1</v>
      </c>
      <c r="AO103" s="15">
        <v>4000</v>
      </c>
      <c r="AP103" s="15">
        <v>250</v>
      </c>
      <c r="AS103">
        <v>20</v>
      </c>
      <c r="AT103">
        <v>12</v>
      </c>
      <c r="AU103" t="s">
        <v>257</v>
      </c>
      <c r="AV103">
        <v>12</v>
      </c>
      <c r="AW103" s="7" t="s">
        <v>258</v>
      </c>
      <c r="AY103">
        <v>0</v>
      </c>
      <c r="AZ103" t="s">
        <v>255</v>
      </c>
      <c r="BA103">
        <v>20</v>
      </c>
    </row>
    <row r="104" spans="1:53" ht="15" customHeight="1">
      <c r="A104" s="273">
        <v>9</v>
      </c>
      <c r="B104" s="273" t="str">
        <f t="shared" si="9"/>
        <v>NEAKTIVAN</v>
      </c>
      <c r="C104" s="302">
        <f t="shared" si="8"/>
        <v>102</v>
      </c>
      <c r="D104" s="1">
        <v>16</v>
      </c>
      <c r="E104" s="1" t="str">
        <f>VLOOKUP(D104,Table3[[#All],[RB]:[OIB]],2,0)</f>
        <v>HOME PLUS</v>
      </c>
      <c r="F104" s="4">
        <f>VLOOKUP(D104,Table3[],3,0)</f>
        <v>18241574410</v>
      </c>
      <c r="G104" s="1" t="str">
        <f>VLOOKUP(D104,Table3[],4,0)</f>
        <v>LASZLO TIBOR</v>
      </c>
      <c r="H104" s="1" t="str">
        <f>VLOOKUP(D104,POSLODAVCI!$A$2:$J$107,9,0)</f>
        <v>Osijek</v>
      </c>
      <c r="I104" s="1" t="str">
        <f>VLOOKUP(D104,Table3[],10,0)</f>
        <v>Ivana Gundulića 28</v>
      </c>
      <c r="J104" s="1" t="s">
        <v>150</v>
      </c>
      <c r="K104" s="61">
        <v>43252</v>
      </c>
      <c r="L104" s="61">
        <v>43465</v>
      </c>
      <c r="M104" t="s">
        <v>151</v>
      </c>
      <c r="N104" t="s">
        <v>80</v>
      </c>
      <c r="O104" s="7">
        <v>34056</v>
      </c>
      <c r="P104" t="s">
        <v>94</v>
      </c>
      <c r="Q104" t="s">
        <v>82</v>
      </c>
      <c r="R104" t="s">
        <v>263</v>
      </c>
      <c r="S104" s="5" t="s">
        <v>83</v>
      </c>
      <c r="T104" t="s">
        <v>84</v>
      </c>
      <c r="V104" s="16" t="s">
        <v>143</v>
      </c>
      <c r="W104" s="16" t="s">
        <v>143</v>
      </c>
      <c r="X104" s="304" t="s">
        <v>103</v>
      </c>
      <c r="Z104" t="s">
        <v>86</v>
      </c>
      <c r="AA104">
        <v>40</v>
      </c>
      <c r="AC104" s="183"/>
      <c r="AE104" s="183"/>
      <c r="AH104" s="16" t="s">
        <v>94</v>
      </c>
      <c r="AL104" t="s">
        <v>83</v>
      </c>
      <c r="AM104" s="15">
        <v>3439.8</v>
      </c>
      <c r="AN104" s="184">
        <v>1</v>
      </c>
      <c r="AO104" s="15">
        <v>2751.84</v>
      </c>
      <c r="AS104">
        <v>20</v>
      </c>
      <c r="AT104">
        <v>12</v>
      </c>
      <c r="AU104" t="s">
        <v>257</v>
      </c>
      <c r="AV104">
        <v>12</v>
      </c>
      <c r="AW104" s="7" t="s">
        <v>258</v>
      </c>
      <c r="AY104">
        <v>0</v>
      </c>
      <c r="AZ104" t="s">
        <v>255</v>
      </c>
      <c r="BA104">
        <v>21</v>
      </c>
    </row>
    <row r="105" spans="1:53" ht="15.75" customHeight="1">
      <c r="A105" s="273">
        <v>10</v>
      </c>
      <c r="B105" s="273" t="str">
        <f t="shared" si="9"/>
        <v>NEAKTIVAN</v>
      </c>
      <c r="C105" s="302">
        <f t="shared" si="8"/>
        <v>103</v>
      </c>
      <c r="D105" s="1">
        <v>16</v>
      </c>
      <c r="E105" s="1" t="str">
        <f>VLOOKUP(D105,Table3[[#All],[RB]:[OIB]],2,0)</f>
        <v>HOME PLUS</v>
      </c>
      <c r="F105" s="4">
        <f>VLOOKUP(D105,Table3[],3,0)</f>
        <v>18241574410</v>
      </c>
      <c r="G105" s="1" t="str">
        <f>VLOOKUP(D105,Table3[],4,0)</f>
        <v>LASZLO TIBOR</v>
      </c>
      <c r="H105" s="1" t="str">
        <f>VLOOKUP(D105,POSLODAVCI!$A$2:$J$107,9,0)</f>
        <v>Osijek</v>
      </c>
      <c r="I105" s="1" t="str">
        <f>VLOOKUP(D105,Table3[],10,0)</f>
        <v>Ivana Gundulića 28</v>
      </c>
      <c r="J105" s="1" t="s">
        <v>155</v>
      </c>
      <c r="K105" s="61">
        <v>43252</v>
      </c>
      <c r="L105" s="61">
        <v>43465</v>
      </c>
      <c r="M105" s="3" t="s">
        <v>156</v>
      </c>
      <c r="N105" t="s">
        <v>80</v>
      </c>
      <c r="O105" s="7">
        <v>34059</v>
      </c>
      <c r="P105" t="s">
        <v>94</v>
      </c>
      <c r="Q105" t="s">
        <v>82</v>
      </c>
      <c r="R105" t="s">
        <v>270</v>
      </c>
      <c r="S105" s="17" t="s">
        <v>83</v>
      </c>
      <c r="T105" t="s">
        <v>84</v>
      </c>
      <c r="V105" t="s">
        <v>143</v>
      </c>
      <c r="W105" t="s">
        <v>143</v>
      </c>
      <c r="X105" s="303" t="s">
        <v>103</v>
      </c>
      <c r="Y105" s="7"/>
      <c r="Z105" t="s">
        <v>86</v>
      </c>
      <c r="AA105">
        <v>40</v>
      </c>
      <c r="AC105" s="183"/>
      <c r="AE105" s="183"/>
      <c r="AH105" s="16" t="s">
        <v>94</v>
      </c>
      <c r="AL105" s="16" t="s">
        <v>83</v>
      </c>
      <c r="AM105" s="90">
        <v>3439.8</v>
      </c>
      <c r="AN105" s="184">
        <v>1.7</v>
      </c>
      <c r="AO105" s="15">
        <v>2751.84</v>
      </c>
      <c r="AS105">
        <v>20</v>
      </c>
      <c r="AT105">
        <v>12</v>
      </c>
      <c r="AU105" t="s">
        <v>257</v>
      </c>
      <c r="AV105">
        <v>12</v>
      </c>
      <c r="AW105" s="7" t="s">
        <v>258</v>
      </c>
      <c r="AY105">
        <v>0</v>
      </c>
      <c r="AZ105" t="s">
        <v>255</v>
      </c>
      <c r="BA105">
        <v>24</v>
      </c>
    </row>
    <row r="106" spans="1:53" ht="15.75" customHeight="1">
      <c r="A106" s="273">
        <v>11</v>
      </c>
      <c r="B106" s="273" t="str">
        <f t="shared" si="9"/>
        <v>NEAKTIVAN</v>
      </c>
      <c r="C106" s="302">
        <f t="shared" si="8"/>
        <v>104</v>
      </c>
      <c r="D106" s="1">
        <v>16</v>
      </c>
      <c r="E106" s="1" t="str">
        <f>VLOOKUP(D106,Table3[[#All],[RB]:[OIB]],2,0)</f>
        <v>HOME PLUS</v>
      </c>
      <c r="F106" s="4">
        <f>VLOOKUP(D106,Table3[],3,0)</f>
        <v>18241574410</v>
      </c>
      <c r="G106" s="1" t="str">
        <f>VLOOKUP(D106,Table3[],4,0)</f>
        <v>LASZLO TIBOR</v>
      </c>
      <c r="H106" s="1" t="str">
        <f>VLOOKUP(D106,POSLODAVCI!$A$2:$J$107,9,0)</f>
        <v>Osijek</v>
      </c>
      <c r="I106" s="1" t="str">
        <f>VLOOKUP(D106,Table3[],10,0)</f>
        <v>Ivana Gundulića 28</v>
      </c>
      <c r="J106" s="1" t="s">
        <v>157</v>
      </c>
      <c r="K106" s="61">
        <v>43252</v>
      </c>
      <c r="L106" s="61">
        <v>43465</v>
      </c>
      <c r="M106" s="182" t="s">
        <v>158</v>
      </c>
      <c r="N106" t="s">
        <v>80</v>
      </c>
      <c r="O106" s="7">
        <v>34060</v>
      </c>
      <c r="P106" t="s">
        <v>94</v>
      </c>
      <c r="Q106" t="s">
        <v>82</v>
      </c>
      <c r="R106" t="s">
        <v>271</v>
      </c>
      <c r="S106" s="5" t="s">
        <v>83</v>
      </c>
      <c r="T106" t="s">
        <v>84</v>
      </c>
      <c r="V106" t="s">
        <v>143</v>
      </c>
      <c r="W106" t="s">
        <v>143</v>
      </c>
      <c r="X106" s="304" t="s">
        <v>103</v>
      </c>
      <c r="Y106" s="7"/>
      <c r="Z106" t="s">
        <v>86</v>
      </c>
      <c r="AA106">
        <v>40</v>
      </c>
      <c r="AC106" s="183"/>
      <c r="AE106" s="183"/>
      <c r="AH106" t="s">
        <v>94</v>
      </c>
      <c r="AL106" t="s">
        <v>83</v>
      </c>
      <c r="AM106" s="90">
        <v>3439.8</v>
      </c>
      <c r="AN106" s="184">
        <v>1</v>
      </c>
      <c r="AO106" s="15">
        <v>2751.84</v>
      </c>
      <c r="AS106">
        <v>20</v>
      </c>
      <c r="AT106">
        <v>12</v>
      </c>
      <c r="AU106" t="s">
        <v>257</v>
      </c>
      <c r="AV106">
        <v>12</v>
      </c>
      <c r="AW106" s="7" t="s">
        <v>258</v>
      </c>
      <c r="AY106">
        <v>0</v>
      </c>
      <c r="AZ106" t="s">
        <v>255</v>
      </c>
      <c r="BA106">
        <v>25</v>
      </c>
    </row>
    <row r="107" spans="1:53" ht="15" customHeight="1">
      <c r="A107" s="273">
        <v>12</v>
      </c>
      <c r="B107" s="273" t="str">
        <f t="shared" si="9"/>
        <v>NEAKTIVAN</v>
      </c>
      <c r="C107" s="302">
        <f t="shared" si="8"/>
        <v>105</v>
      </c>
      <c r="D107" s="1">
        <v>16</v>
      </c>
      <c r="E107" s="1" t="str">
        <f>VLOOKUP(D107,Table3[[#All],[RB]:[OIB]],2,0)</f>
        <v>HOME PLUS</v>
      </c>
      <c r="F107" s="4">
        <f>VLOOKUP(D107,Table3[],3,0)</f>
        <v>18241574410</v>
      </c>
      <c r="G107" s="1" t="str">
        <f>VLOOKUP(D107,Table3[],4,0)</f>
        <v>LASZLO TIBOR</v>
      </c>
      <c r="H107" s="1" t="str">
        <f>VLOOKUP(D107,POSLODAVCI!$A$2:$J$107,9,0)</f>
        <v>Osijek</v>
      </c>
      <c r="I107" s="1" t="str">
        <f>VLOOKUP(D107,Table3[],10,0)</f>
        <v>Ivana Gundulića 28</v>
      </c>
      <c r="J107" s="16" t="s">
        <v>355</v>
      </c>
      <c r="K107" s="67">
        <v>43252</v>
      </c>
      <c r="L107" s="61">
        <v>43252</v>
      </c>
      <c r="M107" s="127">
        <v>22669024508</v>
      </c>
      <c r="N107" s="16" t="s">
        <v>80</v>
      </c>
      <c r="O107" s="67">
        <v>35791</v>
      </c>
      <c r="P107" s="16" t="s">
        <v>94</v>
      </c>
      <c r="Q107" s="16" t="s">
        <v>82</v>
      </c>
      <c r="R107" s="16" t="s">
        <v>356</v>
      </c>
      <c r="S107" s="17" t="s">
        <v>83</v>
      </c>
      <c r="T107" s="16" t="s">
        <v>84</v>
      </c>
      <c r="U107" s="16"/>
      <c r="V107" s="16" t="s">
        <v>143</v>
      </c>
      <c r="W107" s="16" t="s">
        <v>143</v>
      </c>
      <c r="X107" s="303" t="s">
        <v>103</v>
      </c>
      <c r="Y107" s="67"/>
      <c r="Z107" s="16" t="s">
        <v>86</v>
      </c>
      <c r="AA107" s="16">
        <v>40</v>
      </c>
      <c r="AB107" s="16" t="s">
        <v>357</v>
      </c>
      <c r="AC107" s="128"/>
      <c r="AD107" s="16"/>
      <c r="AE107" s="128"/>
      <c r="AF107" s="16"/>
      <c r="AG107" s="16"/>
      <c r="AH107" s="16" t="s">
        <v>94</v>
      </c>
      <c r="AI107" s="16"/>
      <c r="AJ107" s="16"/>
      <c r="AK107" s="16"/>
      <c r="AL107" s="16"/>
      <c r="AM107" s="91">
        <v>3439.8</v>
      </c>
      <c r="AN107" s="129">
        <v>1</v>
      </c>
      <c r="AO107" s="130">
        <v>2751.84</v>
      </c>
      <c r="AP107" s="130"/>
      <c r="AQ107" s="16"/>
      <c r="AR107" s="16"/>
      <c r="AS107" s="16"/>
      <c r="AT107" s="16"/>
      <c r="AU107" s="16"/>
      <c r="AV107" s="16"/>
      <c r="AW107" s="67"/>
      <c r="AX107" s="16"/>
      <c r="AY107" s="16"/>
      <c r="AZ107" t="s">
        <v>255</v>
      </c>
      <c r="BA107" s="16">
        <v>99</v>
      </c>
    </row>
    <row r="108" spans="1:53" ht="15.75" customHeight="1">
      <c r="A108" s="273">
        <v>13</v>
      </c>
      <c r="B108" s="273" t="str">
        <f t="shared" si="9"/>
        <v>NEAKTIVAN</v>
      </c>
      <c r="C108" s="302">
        <f t="shared" si="8"/>
        <v>106</v>
      </c>
      <c r="D108" s="1">
        <v>16</v>
      </c>
      <c r="E108" s="1" t="str">
        <f>VLOOKUP(D108,Table3[[#All],[RB]:[OIB]],2,0)</f>
        <v>HOME PLUS</v>
      </c>
      <c r="F108" s="4">
        <f>VLOOKUP(D108,Table3[],3,0)</f>
        <v>18241574410</v>
      </c>
      <c r="G108" s="1" t="str">
        <f>VLOOKUP(D108,Table3[],4,0)</f>
        <v>LASZLO TIBOR</v>
      </c>
      <c r="H108" s="1" t="str">
        <f>VLOOKUP(D108,POSLODAVCI!$A$2:$J$107,9,0)</f>
        <v>Osijek</v>
      </c>
      <c r="I108" s="1" t="str">
        <f>VLOOKUP(D108,Table3[],10,0)</f>
        <v>Ivana Gundulića 28</v>
      </c>
      <c r="J108" s="1" t="s">
        <v>169</v>
      </c>
      <c r="K108" s="61">
        <v>43252</v>
      </c>
      <c r="L108" s="61">
        <v>43427</v>
      </c>
      <c r="M108" s="182">
        <v>63681749207</v>
      </c>
      <c r="N108" t="s">
        <v>89</v>
      </c>
      <c r="O108" s="7">
        <v>34066</v>
      </c>
      <c r="P108" t="s">
        <v>94</v>
      </c>
      <c r="Q108" t="s">
        <v>82</v>
      </c>
      <c r="R108" t="s">
        <v>276</v>
      </c>
      <c r="S108" s="5" t="s">
        <v>83</v>
      </c>
      <c r="T108" t="s">
        <v>84</v>
      </c>
      <c r="V108" t="s">
        <v>143</v>
      </c>
      <c r="W108" t="s">
        <v>143</v>
      </c>
      <c r="X108" s="304" t="s">
        <v>103</v>
      </c>
      <c r="Y108" s="7"/>
      <c r="Z108" t="s">
        <v>86</v>
      </c>
      <c r="AA108">
        <v>40</v>
      </c>
      <c r="AC108" s="183"/>
      <c r="AE108" s="183"/>
      <c r="AH108" t="s">
        <v>94</v>
      </c>
      <c r="AL108" t="s">
        <v>83</v>
      </c>
      <c r="AM108" s="90">
        <v>3439.8</v>
      </c>
      <c r="AN108" s="184">
        <v>1.7</v>
      </c>
      <c r="AO108" s="15">
        <v>2751.84</v>
      </c>
      <c r="AS108">
        <v>20</v>
      </c>
      <c r="AT108">
        <v>12</v>
      </c>
      <c r="AU108" t="s">
        <v>257</v>
      </c>
      <c r="AV108">
        <v>12</v>
      </c>
      <c r="AW108" s="7" t="s">
        <v>258</v>
      </c>
      <c r="AY108">
        <v>0</v>
      </c>
      <c r="AZ108" t="s">
        <v>255</v>
      </c>
      <c r="BA108">
        <v>31</v>
      </c>
    </row>
    <row r="109" spans="1:53" ht="15.75" customHeight="1">
      <c r="A109" s="273">
        <v>14</v>
      </c>
      <c r="B109" s="273" t="str">
        <f t="shared" si="9"/>
        <v>NEAKTIVAN</v>
      </c>
      <c r="C109" s="302">
        <f t="shared" si="8"/>
        <v>107</v>
      </c>
      <c r="D109" s="1">
        <v>16</v>
      </c>
      <c r="E109" s="1" t="str">
        <f>VLOOKUP(D109,Table3[[#All],[RB]:[OIB]],2,0)</f>
        <v>HOME PLUS</v>
      </c>
      <c r="F109" s="4">
        <f>VLOOKUP(D109,Table3[],3,0)</f>
        <v>18241574410</v>
      </c>
      <c r="G109" s="1" t="str">
        <f>VLOOKUP(D109,Table3[],4,0)</f>
        <v>LASZLO TIBOR</v>
      </c>
      <c r="H109" s="1" t="str">
        <f>VLOOKUP(D109,POSLODAVCI!$A$2:$J$107,9,0)</f>
        <v>Osijek</v>
      </c>
      <c r="I109" s="1" t="str">
        <f>VLOOKUP(D109,Table3[],10,0)</f>
        <v>Ivana Gundulića 28</v>
      </c>
      <c r="J109" s="1" t="s">
        <v>368</v>
      </c>
      <c r="K109" s="61">
        <v>43258</v>
      </c>
      <c r="L109" s="61">
        <v>43465</v>
      </c>
      <c r="M109" s="182">
        <v>93260758620</v>
      </c>
      <c r="N109" t="s">
        <v>80</v>
      </c>
      <c r="O109" s="7">
        <v>28116</v>
      </c>
      <c r="P109" t="s">
        <v>81</v>
      </c>
      <c r="Q109" t="s">
        <v>82</v>
      </c>
      <c r="R109" t="s">
        <v>369</v>
      </c>
      <c r="S109" s="5" t="s">
        <v>83</v>
      </c>
      <c r="T109" t="s">
        <v>84</v>
      </c>
      <c r="V109" t="s">
        <v>143</v>
      </c>
      <c r="W109" t="s">
        <v>143</v>
      </c>
      <c r="X109" s="304" t="s">
        <v>103</v>
      </c>
      <c r="Y109" s="7"/>
      <c r="Z109" t="s">
        <v>86</v>
      </c>
      <c r="AA109">
        <v>40</v>
      </c>
      <c r="AB109" t="s">
        <v>370</v>
      </c>
      <c r="AC109" s="183"/>
      <c r="AE109" s="183"/>
      <c r="AH109" t="s">
        <v>94</v>
      </c>
      <c r="AM109" s="90">
        <v>3439.8</v>
      </c>
      <c r="AN109" s="184">
        <v>2.7</v>
      </c>
      <c r="AO109" s="15">
        <v>2751.81</v>
      </c>
      <c r="AW109" s="7"/>
      <c r="AZ109" t="s">
        <v>255</v>
      </c>
      <c r="BA109">
        <v>102</v>
      </c>
    </row>
    <row r="110" spans="1:53" ht="15.75" customHeight="1">
      <c r="A110" s="273">
        <v>15</v>
      </c>
      <c r="B110" s="273" t="str">
        <f t="shared" si="9"/>
        <v>NEAKTIVAN</v>
      </c>
      <c r="C110" s="302">
        <f t="shared" si="8"/>
        <v>108</v>
      </c>
      <c r="D110" s="1">
        <v>16</v>
      </c>
      <c r="E110" s="1" t="str">
        <f>VLOOKUP(D110,Table3[[#All],[RB]:[OIB]],2,0)</f>
        <v>HOME PLUS</v>
      </c>
      <c r="F110" s="4">
        <f>VLOOKUP(D110,Table3[],3,0)</f>
        <v>18241574410</v>
      </c>
      <c r="G110" s="1" t="str">
        <f>VLOOKUP(D110,Table3[],4,0)</f>
        <v>LASZLO TIBOR</v>
      </c>
      <c r="H110" s="1" t="str">
        <f>VLOOKUP(D110,POSLODAVCI!$A$2:$J$107,9,0)</f>
        <v>Osijek</v>
      </c>
      <c r="I110" s="1" t="str">
        <f>VLOOKUP(D110,Table3[],10,0)</f>
        <v>Ivana Gundulića 28</v>
      </c>
      <c r="J110" s="1" t="s">
        <v>171</v>
      </c>
      <c r="K110" s="61">
        <v>43252</v>
      </c>
      <c r="L110" s="61">
        <v>43465</v>
      </c>
      <c r="M110" s="182" t="s">
        <v>172</v>
      </c>
      <c r="N110" t="s">
        <v>80</v>
      </c>
      <c r="O110" s="7">
        <v>34067</v>
      </c>
      <c r="P110" t="s">
        <v>94</v>
      </c>
      <c r="Q110" t="s">
        <v>82</v>
      </c>
      <c r="R110" t="s">
        <v>277</v>
      </c>
      <c r="S110" s="5" t="s">
        <v>83</v>
      </c>
      <c r="T110" t="s">
        <v>84</v>
      </c>
      <c r="V110" t="s">
        <v>143</v>
      </c>
      <c r="W110" t="s">
        <v>143</v>
      </c>
      <c r="X110" s="304" t="s">
        <v>103</v>
      </c>
      <c r="Y110" s="7"/>
      <c r="Z110" t="s">
        <v>86</v>
      </c>
      <c r="AA110">
        <v>40</v>
      </c>
      <c r="AC110" s="183"/>
      <c r="AE110" s="183"/>
      <c r="AH110" t="s">
        <v>94</v>
      </c>
      <c r="AL110" t="s">
        <v>83</v>
      </c>
      <c r="AM110" s="90">
        <v>3439.8</v>
      </c>
      <c r="AN110" s="184">
        <v>1</v>
      </c>
      <c r="AO110" s="15">
        <v>2751.84</v>
      </c>
      <c r="AS110">
        <v>20</v>
      </c>
      <c r="AT110">
        <v>12</v>
      </c>
      <c r="AU110" t="s">
        <v>257</v>
      </c>
      <c r="AV110">
        <v>12</v>
      </c>
      <c r="AW110" s="7" t="s">
        <v>258</v>
      </c>
      <c r="AY110">
        <v>0</v>
      </c>
      <c r="AZ110" t="s">
        <v>255</v>
      </c>
      <c r="BA110">
        <v>32</v>
      </c>
    </row>
    <row r="111" spans="1:53" ht="15.75" customHeight="1">
      <c r="A111" s="273">
        <v>1</v>
      </c>
      <c r="B111" s="273" t="str">
        <f t="shared" si="9"/>
        <v>NEAKTIVAN</v>
      </c>
      <c r="C111" s="302">
        <f t="shared" si="8"/>
        <v>109</v>
      </c>
      <c r="D111" s="1">
        <v>17</v>
      </c>
      <c r="E111" s="1" t="str">
        <f>VLOOKUP(D111,Table3[[#All],[RB]:[OIB]],2,0)</f>
        <v>DOMOKOS D.O.O.</v>
      </c>
      <c r="F111" s="4">
        <f>VLOOKUP(D111,Table3[],3,0)</f>
        <v>7942284015</v>
      </c>
      <c r="G111" s="1" t="str">
        <f>VLOOKUP(D111,Table3[],4,0)</f>
        <v>DOMOKOS ISTVAN</v>
      </c>
      <c r="H111" s="1" t="str">
        <f>VLOOKUP(D111,POSLODAVCI!$A$2:$J$107,9,0)</f>
        <v>Osijek</v>
      </c>
      <c r="I111" s="1" t="str">
        <f>VLOOKUP(D111,Table3[],10,0)</f>
        <v>VRTNA 35,  BRIJEŠĆE</v>
      </c>
      <c r="J111" s="1" t="s">
        <v>371</v>
      </c>
      <c r="K111" s="61">
        <v>42880</v>
      </c>
      <c r="L111" s="61">
        <v>43266</v>
      </c>
      <c r="M111" s="182">
        <v>56939657606</v>
      </c>
      <c r="N111" t="s">
        <v>80</v>
      </c>
      <c r="O111" s="7">
        <v>21869</v>
      </c>
      <c r="P111" t="s">
        <v>81</v>
      </c>
      <c r="Q111" t="s">
        <v>82</v>
      </c>
      <c r="R111" t="s">
        <v>372</v>
      </c>
      <c r="S111" s="5" t="s">
        <v>83</v>
      </c>
      <c r="T111" t="s">
        <v>84</v>
      </c>
      <c r="V111" t="s">
        <v>112</v>
      </c>
      <c r="W111" t="s">
        <v>112</v>
      </c>
      <c r="X111" s="304" t="s">
        <v>103</v>
      </c>
      <c r="Y111" s="7"/>
      <c r="Z111" t="s">
        <v>86</v>
      </c>
      <c r="AA111">
        <v>40</v>
      </c>
      <c r="AB111" t="s">
        <v>373</v>
      </c>
      <c r="AC111" s="183"/>
      <c r="AE111" s="183"/>
      <c r="AH111" t="s">
        <v>94</v>
      </c>
      <c r="AM111" s="90">
        <v>4180.8900000000003</v>
      </c>
      <c r="AN111" s="184">
        <v>1</v>
      </c>
      <c r="AW111" s="7"/>
      <c r="AX111" s="16"/>
      <c r="AY111" s="16"/>
      <c r="AZ111" s="16" t="s">
        <v>374</v>
      </c>
      <c r="BA111" s="16">
        <v>2</v>
      </c>
    </row>
    <row r="112" spans="1:53" ht="15.75" customHeight="1">
      <c r="A112" s="273">
        <v>16</v>
      </c>
      <c r="B112" s="273" t="str">
        <f t="shared" si="9"/>
        <v>NEAKTIVAN</v>
      </c>
      <c r="C112" s="302">
        <f t="shared" si="8"/>
        <v>110</v>
      </c>
      <c r="D112" s="1">
        <v>16</v>
      </c>
      <c r="E112" s="1" t="str">
        <f>VLOOKUP(D112,Table3[[#All],[RB]:[OIB]],2,0)</f>
        <v>HOME PLUS</v>
      </c>
      <c r="F112" s="4">
        <f>VLOOKUP(D112,Table3[],3,0)</f>
        <v>18241574410</v>
      </c>
      <c r="G112" s="1" t="str">
        <f>VLOOKUP(D112,Table3[],4,0)</f>
        <v>LASZLO TIBOR</v>
      </c>
      <c r="H112" s="1" t="str">
        <f>VLOOKUP(D112,POSLODAVCI!$A$2:$J$107,9,0)</f>
        <v>Osijek</v>
      </c>
      <c r="I112" s="1" t="str">
        <f>VLOOKUP(D112,Table3[],10,0)</f>
        <v>Ivana Gundulića 28</v>
      </c>
      <c r="J112" s="1" t="s">
        <v>174</v>
      </c>
      <c r="K112" s="61">
        <v>43252</v>
      </c>
      <c r="L112" s="61">
        <v>43465</v>
      </c>
      <c r="M112" s="182" t="s">
        <v>175</v>
      </c>
      <c r="N112" t="s">
        <v>80</v>
      </c>
      <c r="O112" s="7">
        <v>34069</v>
      </c>
      <c r="P112" t="s">
        <v>94</v>
      </c>
      <c r="Q112" t="s">
        <v>82</v>
      </c>
      <c r="R112" t="s">
        <v>278</v>
      </c>
      <c r="S112" s="5" t="s">
        <v>83</v>
      </c>
      <c r="T112" t="s">
        <v>84</v>
      </c>
      <c r="V112" t="s">
        <v>177</v>
      </c>
      <c r="W112" t="s">
        <v>177</v>
      </c>
      <c r="X112" s="304" t="s">
        <v>103</v>
      </c>
      <c r="Y112" s="7"/>
      <c r="Z112" t="s">
        <v>86</v>
      </c>
      <c r="AA112">
        <v>40</v>
      </c>
      <c r="AC112" s="183"/>
      <c r="AE112" s="183"/>
      <c r="AH112" t="s">
        <v>94</v>
      </c>
      <c r="AL112" t="s">
        <v>83</v>
      </c>
      <c r="AM112" s="90">
        <v>4375</v>
      </c>
      <c r="AN112" s="184">
        <v>2.7</v>
      </c>
      <c r="AO112" s="15">
        <v>3500</v>
      </c>
      <c r="AS112">
        <v>20</v>
      </c>
      <c r="AT112">
        <v>12</v>
      </c>
      <c r="AU112" t="s">
        <v>257</v>
      </c>
      <c r="AV112">
        <v>12</v>
      </c>
      <c r="AW112" s="7" t="s">
        <v>258</v>
      </c>
      <c r="AY112">
        <v>0</v>
      </c>
      <c r="AZ112" t="s">
        <v>255</v>
      </c>
      <c r="BA112">
        <v>34</v>
      </c>
    </row>
    <row r="113" spans="1:53" ht="15.75" customHeight="1">
      <c r="A113" s="273">
        <v>17</v>
      </c>
      <c r="B113" s="273" t="str">
        <f t="shared" si="9"/>
        <v>NEAKTIVAN</v>
      </c>
      <c r="C113" s="302">
        <f t="shared" si="8"/>
        <v>111</v>
      </c>
      <c r="D113" s="1">
        <v>16</v>
      </c>
      <c r="E113" s="1" t="str">
        <f>VLOOKUP(D113,Table3[[#All],[RB]:[OIB]],2,0)</f>
        <v>HOME PLUS</v>
      </c>
      <c r="F113" s="4">
        <f>VLOOKUP(D113,Table3[],3,0)</f>
        <v>18241574410</v>
      </c>
      <c r="G113" s="1" t="str">
        <f>VLOOKUP(D113,Table3[],4,0)</f>
        <v>LASZLO TIBOR</v>
      </c>
      <c r="H113" s="1" t="str">
        <f>VLOOKUP(D113,POSLODAVCI!$A$2:$J$107,9,0)</f>
        <v>Osijek</v>
      </c>
      <c r="I113" s="1" t="str">
        <f>VLOOKUP(D113,Table3[],10,0)</f>
        <v>Ivana Gundulića 28</v>
      </c>
      <c r="J113" s="1" t="s">
        <v>178</v>
      </c>
      <c r="K113" s="61">
        <v>43252</v>
      </c>
      <c r="L113" s="61">
        <v>43465</v>
      </c>
      <c r="M113" s="182" t="s">
        <v>179</v>
      </c>
      <c r="N113" t="s">
        <v>80</v>
      </c>
      <c r="O113" s="7">
        <v>34070</v>
      </c>
      <c r="P113" t="s">
        <v>94</v>
      </c>
      <c r="Q113" t="s">
        <v>82</v>
      </c>
      <c r="R113" t="s">
        <v>279</v>
      </c>
      <c r="S113" s="5" t="s">
        <v>83</v>
      </c>
      <c r="T113" t="s">
        <v>84</v>
      </c>
      <c r="V113" t="s">
        <v>143</v>
      </c>
      <c r="W113" t="s">
        <v>143</v>
      </c>
      <c r="X113" s="304" t="s">
        <v>103</v>
      </c>
      <c r="Y113" s="7"/>
      <c r="Z113" t="s">
        <v>86</v>
      </c>
      <c r="AA113">
        <v>40</v>
      </c>
      <c r="AC113" s="183"/>
      <c r="AE113" s="183"/>
      <c r="AH113" t="s">
        <v>94</v>
      </c>
      <c r="AL113" t="s">
        <v>83</v>
      </c>
      <c r="AM113" s="90">
        <v>3439.8</v>
      </c>
      <c r="AN113" s="184">
        <v>1.7</v>
      </c>
      <c r="AO113" s="15">
        <v>2751.84</v>
      </c>
      <c r="AS113">
        <v>20</v>
      </c>
      <c r="AT113">
        <v>12</v>
      </c>
      <c r="AU113" t="s">
        <v>257</v>
      </c>
      <c r="AV113">
        <v>12</v>
      </c>
      <c r="AW113" s="7" t="s">
        <v>258</v>
      </c>
      <c r="AY113">
        <v>0</v>
      </c>
      <c r="AZ113" t="s">
        <v>255</v>
      </c>
      <c r="BA113">
        <v>35</v>
      </c>
    </row>
    <row r="114" spans="1:53" ht="15.75" customHeight="1">
      <c r="A114" s="273">
        <v>18</v>
      </c>
      <c r="B114" s="273" t="str">
        <f t="shared" si="9"/>
        <v>NEAKTIVAN</v>
      </c>
      <c r="C114" s="302">
        <f t="shared" si="8"/>
        <v>112</v>
      </c>
      <c r="D114" s="1">
        <v>16</v>
      </c>
      <c r="E114" s="1" t="str">
        <f>VLOOKUP(D114,Table3[[#All],[RB]:[OIB]],2,0)</f>
        <v>HOME PLUS</v>
      </c>
      <c r="F114" s="4">
        <f>VLOOKUP(D114,Table3[],3,0)</f>
        <v>18241574410</v>
      </c>
      <c r="G114" s="1" t="str">
        <f>VLOOKUP(D114,Table3[],4,0)</f>
        <v>LASZLO TIBOR</v>
      </c>
      <c r="H114" s="1" t="str">
        <f>VLOOKUP(D114,POSLODAVCI!$A$2:$J$107,9,0)</f>
        <v>Osijek</v>
      </c>
      <c r="I114" s="1" t="str">
        <f>VLOOKUP(D114,Table3[],10,0)</f>
        <v>Ivana Gundulića 28</v>
      </c>
      <c r="J114" s="1" t="s">
        <v>184</v>
      </c>
      <c r="K114" s="61">
        <v>43252</v>
      </c>
      <c r="L114" s="61">
        <v>43465</v>
      </c>
      <c r="M114" s="182" t="s">
        <v>185</v>
      </c>
      <c r="N114" t="s">
        <v>80</v>
      </c>
      <c r="O114" s="7">
        <v>34074</v>
      </c>
      <c r="P114" t="s">
        <v>94</v>
      </c>
      <c r="Q114" t="s">
        <v>82</v>
      </c>
      <c r="R114" t="s">
        <v>280</v>
      </c>
      <c r="S114" s="5" t="s">
        <v>83</v>
      </c>
      <c r="T114" t="s">
        <v>84</v>
      </c>
      <c r="V114" t="s">
        <v>143</v>
      </c>
      <c r="W114" t="s">
        <v>143</v>
      </c>
      <c r="X114" s="304" t="s">
        <v>103</v>
      </c>
      <c r="Y114" s="7"/>
      <c r="Z114" t="s">
        <v>86</v>
      </c>
      <c r="AA114">
        <v>40</v>
      </c>
      <c r="AC114" s="183"/>
      <c r="AE114" s="183"/>
      <c r="AH114" t="s">
        <v>94</v>
      </c>
      <c r="AL114" t="s">
        <v>83</v>
      </c>
      <c r="AM114" s="90">
        <v>3439.8</v>
      </c>
      <c r="AN114" s="184">
        <v>1</v>
      </c>
      <c r="AO114" s="15">
        <v>2751.84</v>
      </c>
      <c r="AS114">
        <v>20</v>
      </c>
      <c r="AT114">
        <v>12</v>
      </c>
      <c r="AU114" t="s">
        <v>257</v>
      </c>
      <c r="AV114">
        <v>12</v>
      </c>
      <c r="AW114" s="7" t="s">
        <v>258</v>
      </c>
      <c r="AY114">
        <v>0</v>
      </c>
      <c r="AZ114" t="s">
        <v>255</v>
      </c>
      <c r="BA114">
        <v>39</v>
      </c>
    </row>
    <row r="115" spans="1:53" ht="15.75" customHeight="1">
      <c r="A115" s="273">
        <v>19</v>
      </c>
      <c r="B115" s="273" t="str">
        <f t="shared" si="9"/>
        <v>NEAKTIVAN</v>
      </c>
      <c r="C115" s="302">
        <f t="shared" si="8"/>
        <v>113</v>
      </c>
      <c r="D115" s="1">
        <v>16</v>
      </c>
      <c r="E115" s="1" t="str">
        <f>VLOOKUP(D115,Table3[[#All],[RB]:[OIB]],2,0)</f>
        <v>HOME PLUS</v>
      </c>
      <c r="F115" s="4">
        <f>VLOOKUP(D115,Table3[],3,0)</f>
        <v>18241574410</v>
      </c>
      <c r="G115" s="1" t="str">
        <f>VLOOKUP(D115,Table3[],4,0)</f>
        <v>LASZLO TIBOR</v>
      </c>
      <c r="H115" s="1" t="str">
        <f>VLOOKUP(D115,POSLODAVCI!$A$2:$J$107,9,0)</f>
        <v>Osijek</v>
      </c>
      <c r="I115" s="1" t="str">
        <f>VLOOKUP(D115,Table3[],10,0)</f>
        <v>Ivana Gundulića 28</v>
      </c>
      <c r="J115" s="1" t="s">
        <v>187</v>
      </c>
      <c r="K115" s="61">
        <v>43252</v>
      </c>
      <c r="L115" s="61">
        <v>43465</v>
      </c>
      <c r="M115" s="182" t="s">
        <v>188</v>
      </c>
      <c r="N115" t="s">
        <v>80</v>
      </c>
      <c r="O115" s="7">
        <v>34075</v>
      </c>
      <c r="P115" t="s">
        <v>94</v>
      </c>
      <c r="Q115" t="s">
        <v>82</v>
      </c>
      <c r="R115" t="s">
        <v>281</v>
      </c>
      <c r="S115" s="5" t="s">
        <v>83</v>
      </c>
      <c r="T115" t="s">
        <v>84</v>
      </c>
      <c r="V115" t="s">
        <v>143</v>
      </c>
      <c r="W115" t="s">
        <v>143</v>
      </c>
      <c r="X115" s="304" t="s">
        <v>103</v>
      </c>
      <c r="Y115" s="7"/>
      <c r="Z115" t="s">
        <v>86</v>
      </c>
      <c r="AA115">
        <v>40</v>
      </c>
      <c r="AC115" s="183"/>
      <c r="AE115" s="183"/>
      <c r="AH115" t="s">
        <v>94</v>
      </c>
      <c r="AL115" t="s">
        <v>83</v>
      </c>
      <c r="AM115" s="90">
        <v>3439.8</v>
      </c>
      <c r="AN115" s="184">
        <v>2.7</v>
      </c>
      <c r="AO115" s="15">
        <v>2751.84</v>
      </c>
      <c r="AS115">
        <v>20</v>
      </c>
      <c r="AT115">
        <v>12</v>
      </c>
      <c r="AU115" t="s">
        <v>257</v>
      </c>
      <c r="AV115">
        <v>12</v>
      </c>
      <c r="AW115" s="7" t="s">
        <v>258</v>
      </c>
      <c r="AY115">
        <v>0</v>
      </c>
      <c r="AZ115" t="s">
        <v>255</v>
      </c>
      <c r="BA115">
        <v>40</v>
      </c>
    </row>
    <row r="116" spans="1:53" ht="15.75" customHeight="1">
      <c r="A116" s="273">
        <v>20</v>
      </c>
      <c r="B116" s="273" t="str">
        <f t="shared" si="9"/>
        <v>NEAKTIVAN</v>
      </c>
      <c r="C116" s="302">
        <f t="shared" si="8"/>
        <v>114</v>
      </c>
      <c r="D116" s="1">
        <v>16</v>
      </c>
      <c r="E116" s="1" t="str">
        <f>VLOOKUP(D116,Table3[[#All],[RB]:[OIB]],2,0)</f>
        <v>HOME PLUS</v>
      </c>
      <c r="F116" s="4">
        <f>VLOOKUP(D116,Table3[],3,0)</f>
        <v>18241574410</v>
      </c>
      <c r="G116" s="1" t="str">
        <f>VLOOKUP(D116,Table3[],4,0)</f>
        <v>LASZLO TIBOR</v>
      </c>
      <c r="H116" s="1" t="str">
        <f>VLOOKUP(D116,POSLODAVCI!$A$2:$J$107,9,0)</f>
        <v>Osijek</v>
      </c>
      <c r="I116" s="1" t="str">
        <f>VLOOKUP(D116,Table3[],10,0)</f>
        <v>Ivana Gundulića 28</v>
      </c>
      <c r="J116" s="1" t="s">
        <v>190</v>
      </c>
      <c r="K116" s="61">
        <v>43252</v>
      </c>
      <c r="L116" s="61">
        <v>43465</v>
      </c>
      <c r="M116" s="182" t="s">
        <v>191</v>
      </c>
      <c r="N116" t="s">
        <v>80</v>
      </c>
      <c r="O116" s="7">
        <v>34077</v>
      </c>
      <c r="P116" t="s">
        <v>94</v>
      </c>
      <c r="Q116" t="s">
        <v>82</v>
      </c>
      <c r="R116" t="s">
        <v>282</v>
      </c>
      <c r="S116" s="5" t="s">
        <v>83</v>
      </c>
      <c r="T116" t="s">
        <v>84</v>
      </c>
      <c r="V116" t="s">
        <v>143</v>
      </c>
      <c r="W116" t="s">
        <v>143</v>
      </c>
      <c r="X116" s="304" t="s">
        <v>103</v>
      </c>
      <c r="Y116" s="7"/>
      <c r="Z116" t="s">
        <v>86</v>
      </c>
      <c r="AA116">
        <v>40</v>
      </c>
      <c r="AC116" s="183"/>
      <c r="AE116" s="183"/>
      <c r="AH116" t="s">
        <v>94</v>
      </c>
      <c r="AL116" t="s">
        <v>83</v>
      </c>
      <c r="AM116" s="90">
        <v>3439.8</v>
      </c>
      <c r="AN116" s="184">
        <v>1</v>
      </c>
      <c r="AO116" s="15">
        <v>2751.84</v>
      </c>
      <c r="AS116">
        <v>20</v>
      </c>
      <c r="AT116">
        <v>12</v>
      </c>
      <c r="AU116" t="s">
        <v>257</v>
      </c>
      <c r="AV116">
        <v>12</v>
      </c>
      <c r="AW116" s="7" t="s">
        <v>258</v>
      </c>
      <c r="AY116">
        <v>0</v>
      </c>
      <c r="AZ116" t="s">
        <v>255</v>
      </c>
      <c r="BA116">
        <v>42</v>
      </c>
    </row>
    <row r="117" spans="1:53" ht="15.75" customHeight="1">
      <c r="A117" s="273">
        <v>21</v>
      </c>
      <c r="B117" s="273" t="str">
        <f t="shared" si="9"/>
        <v>NEAKTIVAN</v>
      </c>
      <c r="C117" s="302">
        <f t="shared" si="8"/>
        <v>115</v>
      </c>
      <c r="D117" s="1">
        <v>16</v>
      </c>
      <c r="E117" s="1" t="str">
        <f>VLOOKUP(D117,Table3[[#All],[RB]:[OIB]],2,0)</f>
        <v>HOME PLUS</v>
      </c>
      <c r="F117" s="4">
        <f>VLOOKUP(D117,Table3[],3,0)</f>
        <v>18241574410</v>
      </c>
      <c r="G117" s="1" t="str">
        <f>VLOOKUP(D117,Table3[],4,0)</f>
        <v>LASZLO TIBOR</v>
      </c>
      <c r="H117" s="1" t="str">
        <f>VLOOKUP(D117,POSLODAVCI!$A$2:$J$107,9,0)</f>
        <v>Osijek</v>
      </c>
      <c r="I117" s="1" t="str">
        <f>VLOOKUP(D117,Table3[],10,0)</f>
        <v>Ivana Gundulića 28</v>
      </c>
      <c r="J117" s="1" t="s">
        <v>193</v>
      </c>
      <c r="K117" s="61">
        <v>43252</v>
      </c>
      <c r="L117" s="61">
        <v>43465</v>
      </c>
      <c r="M117" s="182" t="s">
        <v>194</v>
      </c>
      <c r="N117" t="s">
        <v>80</v>
      </c>
      <c r="O117" s="7">
        <v>34079</v>
      </c>
      <c r="P117" t="s">
        <v>94</v>
      </c>
      <c r="Q117" t="s">
        <v>82</v>
      </c>
      <c r="R117" t="s">
        <v>283</v>
      </c>
      <c r="S117" s="5" t="s">
        <v>83</v>
      </c>
      <c r="T117" t="s">
        <v>84</v>
      </c>
      <c r="V117" t="s">
        <v>143</v>
      </c>
      <c r="W117" t="s">
        <v>143</v>
      </c>
      <c r="X117" s="304" t="s">
        <v>103</v>
      </c>
      <c r="Y117" s="7"/>
      <c r="Z117" t="s">
        <v>86</v>
      </c>
      <c r="AA117">
        <v>40</v>
      </c>
      <c r="AC117" s="183"/>
      <c r="AE117" s="183"/>
      <c r="AH117" t="s">
        <v>94</v>
      </c>
      <c r="AL117" t="s">
        <v>83</v>
      </c>
      <c r="AM117" s="90">
        <v>5084.22</v>
      </c>
      <c r="AN117" s="184">
        <v>1</v>
      </c>
      <c r="AO117" s="15">
        <v>4000</v>
      </c>
      <c r="AP117" s="15">
        <v>747</v>
      </c>
      <c r="AS117">
        <v>20</v>
      </c>
      <c r="AT117">
        <v>12</v>
      </c>
      <c r="AU117" t="s">
        <v>257</v>
      </c>
      <c r="AV117">
        <v>12</v>
      </c>
      <c r="AW117" s="7" t="s">
        <v>258</v>
      </c>
      <c r="AY117">
        <v>0</v>
      </c>
      <c r="AZ117" t="s">
        <v>255</v>
      </c>
      <c r="BA117">
        <v>44</v>
      </c>
    </row>
    <row r="118" spans="1:53" ht="15.75" customHeight="1">
      <c r="A118" s="273">
        <v>22</v>
      </c>
      <c r="B118" s="273" t="str">
        <f t="shared" si="9"/>
        <v>NEAKTIVAN</v>
      </c>
      <c r="C118" s="302">
        <f t="shared" si="8"/>
        <v>116</v>
      </c>
      <c r="D118" s="1">
        <v>16</v>
      </c>
      <c r="E118" s="1" t="str">
        <f>VLOOKUP(D118,Table3[[#All],[RB]:[OIB]],2,0)</f>
        <v>HOME PLUS</v>
      </c>
      <c r="F118" s="4">
        <f>VLOOKUP(D118,Table3[],3,0)</f>
        <v>18241574410</v>
      </c>
      <c r="G118" s="1" t="str">
        <f>VLOOKUP(D118,Table3[],4,0)</f>
        <v>LASZLO TIBOR</v>
      </c>
      <c r="H118" s="1" t="str">
        <f>VLOOKUP(D118,POSLODAVCI!$A$2:$J$107,9,0)</f>
        <v>Osijek</v>
      </c>
      <c r="I118" s="1" t="str">
        <f>VLOOKUP(D118,Table3[],10,0)</f>
        <v>Ivana Gundulića 28</v>
      </c>
      <c r="J118" s="1" t="s">
        <v>379</v>
      </c>
      <c r="K118" s="61">
        <v>43257</v>
      </c>
      <c r="L118" s="61">
        <v>43287</v>
      </c>
      <c r="M118" s="182">
        <v>72020445194</v>
      </c>
      <c r="N118" s="16" t="s">
        <v>80</v>
      </c>
      <c r="O118" s="7">
        <v>34751</v>
      </c>
      <c r="P118" s="16" t="s">
        <v>81</v>
      </c>
      <c r="Q118" s="16" t="s">
        <v>82</v>
      </c>
      <c r="R118" s="16" t="s">
        <v>380</v>
      </c>
      <c r="S118" s="17" t="s">
        <v>83</v>
      </c>
      <c r="T118" s="16" t="s">
        <v>310</v>
      </c>
      <c r="U118" s="16"/>
      <c r="V118" s="16" t="s">
        <v>143</v>
      </c>
      <c r="W118" s="16" t="s">
        <v>143</v>
      </c>
      <c r="X118" s="303" t="s">
        <v>103</v>
      </c>
      <c r="Y118" s="7"/>
      <c r="Z118" s="16" t="s">
        <v>86</v>
      </c>
      <c r="AA118" s="16">
        <v>40</v>
      </c>
      <c r="AB118" s="16" t="s">
        <v>381</v>
      </c>
      <c r="AC118" s="183">
        <v>3605681095</v>
      </c>
      <c r="AD118" s="16"/>
      <c r="AE118" s="183"/>
      <c r="AF118" s="16"/>
      <c r="AG118" s="16"/>
      <c r="AH118" s="16" t="s">
        <v>94</v>
      </c>
      <c r="AI118" s="16"/>
      <c r="AJ118" s="16"/>
      <c r="AK118" s="16"/>
      <c r="AL118" s="16"/>
      <c r="AM118" s="90">
        <v>3439.8</v>
      </c>
      <c r="AN118" s="184">
        <v>1</v>
      </c>
      <c r="AO118" s="15">
        <v>2751.48</v>
      </c>
      <c r="AQ118" s="16"/>
      <c r="AR118" s="16"/>
      <c r="AS118" s="16"/>
      <c r="AT118" s="16"/>
      <c r="AU118" s="16"/>
      <c r="AV118" s="16"/>
      <c r="AW118" s="7"/>
      <c r="AX118" s="16"/>
      <c r="AY118" s="16"/>
      <c r="AZ118" t="s">
        <v>255</v>
      </c>
      <c r="BA118" s="16">
        <v>101</v>
      </c>
    </row>
    <row r="119" spans="1:53" ht="15.75" customHeight="1">
      <c r="A119" s="273">
        <v>23</v>
      </c>
      <c r="B119" s="273" t="str">
        <f t="shared" si="9"/>
        <v>NEAKTIVAN</v>
      </c>
      <c r="C119" s="302">
        <f t="shared" si="8"/>
        <v>117</v>
      </c>
      <c r="D119" s="1">
        <v>16</v>
      </c>
      <c r="E119" s="1" t="str">
        <f>VLOOKUP(D119,Table3[[#All],[RB]:[OIB]],2,0)</f>
        <v>HOME PLUS</v>
      </c>
      <c r="F119" s="4">
        <f>VLOOKUP(D119,Table3[],3,0)</f>
        <v>18241574410</v>
      </c>
      <c r="G119" s="1" t="str">
        <f>VLOOKUP(D119,Table3[],4,0)</f>
        <v>LASZLO TIBOR</v>
      </c>
      <c r="H119" s="1" t="str">
        <f>VLOOKUP(D119,POSLODAVCI!$A$2:$J$107,9,0)</f>
        <v>Osijek</v>
      </c>
      <c r="I119" s="1" t="str">
        <f>VLOOKUP(D119,Table3[],10,0)</f>
        <v>Ivana Gundulića 28</v>
      </c>
      <c r="J119" s="1" t="s">
        <v>208</v>
      </c>
      <c r="K119" s="61">
        <v>43252</v>
      </c>
      <c r="L119" s="61">
        <v>43465</v>
      </c>
      <c r="M119" s="182" t="s">
        <v>88</v>
      </c>
      <c r="N119" t="s">
        <v>80</v>
      </c>
      <c r="O119" s="7">
        <v>34099</v>
      </c>
      <c r="P119" t="s">
        <v>94</v>
      </c>
      <c r="Q119" t="s">
        <v>82</v>
      </c>
      <c r="R119" t="s">
        <v>287</v>
      </c>
      <c r="S119" s="5" t="s">
        <v>83</v>
      </c>
      <c r="T119" t="s">
        <v>84</v>
      </c>
      <c r="V119" t="s">
        <v>143</v>
      </c>
      <c r="W119" t="s">
        <v>143</v>
      </c>
      <c r="X119" s="304" t="s">
        <v>103</v>
      </c>
      <c r="Y119" s="7"/>
      <c r="Z119" t="s">
        <v>86</v>
      </c>
      <c r="AA119">
        <v>40</v>
      </c>
      <c r="AC119" s="183"/>
      <c r="AE119" s="183"/>
      <c r="AH119" t="s">
        <v>94</v>
      </c>
      <c r="AL119" t="s">
        <v>83</v>
      </c>
      <c r="AM119" s="90">
        <v>3439.8</v>
      </c>
      <c r="AN119" s="184">
        <v>1.7</v>
      </c>
      <c r="AO119" s="15">
        <v>2751.84</v>
      </c>
      <c r="AS119">
        <v>20</v>
      </c>
      <c r="AT119">
        <v>12</v>
      </c>
      <c r="AU119" t="s">
        <v>257</v>
      </c>
      <c r="AV119">
        <v>12</v>
      </c>
      <c r="AW119" s="7" t="s">
        <v>258</v>
      </c>
      <c r="AY119">
        <v>0</v>
      </c>
      <c r="AZ119" t="s">
        <v>255</v>
      </c>
      <c r="BA119">
        <v>64</v>
      </c>
    </row>
    <row r="120" spans="1:53" ht="15.75" customHeight="1">
      <c r="A120" s="273">
        <v>24</v>
      </c>
      <c r="B120" s="273" t="str">
        <f t="shared" si="9"/>
        <v>NEAKTIVAN</v>
      </c>
      <c r="C120" s="302">
        <f t="shared" si="8"/>
        <v>118</v>
      </c>
      <c r="D120" s="1">
        <v>16</v>
      </c>
      <c r="E120" s="1" t="str">
        <f>VLOOKUP(D120,Table3[[#All],[RB]:[OIB]],2,0)</f>
        <v>HOME PLUS</v>
      </c>
      <c r="F120" s="4">
        <f>VLOOKUP(D120,Table3[],3,0)</f>
        <v>18241574410</v>
      </c>
      <c r="G120" s="1" t="str">
        <f>VLOOKUP(D120,Table3[],4,0)</f>
        <v>LASZLO TIBOR</v>
      </c>
      <c r="H120" s="1" t="str">
        <f>VLOOKUP(D120,POSLODAVCI!$A$2:$J$107,9,0)</f>
        <v>Osijek</v>
      </c>
      <c r="I120" s="1" t="str">
        <f>VLOOKUP(D120,Table3[],10,0)</f>
        <v>Ivana Gundulića 28</v>
      </c>
      <c r="J120" s="1" t="s">
        <v>197</v>
      </c>
      <c r="K120" s="61">
        <v>43245</v>
      </c>
      <c r="L120" s="61">
        <v>43465</v>
      </c>
      <c r="M120" s="182" t="s">
        <v>198</v>
      </c>
      <c r="N120" t="s">
        <v>80</v>
      </c>
      <c r="O120" s="7">
        <v>35642</v>
      </c>
      <c r="P120" t="s">
        <v>94</v>
      </c>
      <c r="Q120" t="s">
        <v>82</v>
      </c>
      <c r="R120" t="s">
        <v>200</v>
      </c>
      <c r="S120" s="5" t="s">
        <v>83</v>
      </c>
      <c r="T120" t="s">
        <v>84</v>
      </c>
      <c r="V120" t="s">
        <v>116</v>
      </c>
      <c r="W120" t="s">
        <v>116</v>
      </c>
      <c r="X120" s="304" t="s">
        <v>103</v>
      </c>
      <c r="Y120" s="7"/>
      <c r="Z120" t="s">
        <v>86</v>
      </c>
      <c r="AA120">
        <v>40</v>
      </c>
      <c r="AB120" s="16" t="s">
        <v>383</v>
      </c>
      <c r="AC120" s="131" t="s">
        <v>384</v>
      </c>
      <c r="AE120" s="183"/>
      <c r="AH120" t="s">
        <v>94</v>
      </c>
      <c r="AL120" t="s">
        <v>83</v>
      </c>
      <c r="AM120" s="90">
        <v>3750</v>
      </c>
      <c r="AN120" s="184">
        <v>1</v>
      </c>
      <c r="AO120" s="15">
        <v>3000</v>
      </c>
      <c r="AS120">
        <v>20</v>
      </c>
      <c r="AT120">
        <v>12</v>
      </c>
      <c r="AU120" t="s">
        <v>257</v>
      </c>
      <c r="AV120">
        <v>12</v>
      </c>
      <c r="AW120" s="7" t="s">
        <v>258</v>
      </c>
      <c r="AY120">
        <v>0</v>
      </c>
      <c r="AZ120" t="s">
        <v>255</v>
      </c>
      <c r="BA120">
        <v>48</v>
      </c>
    </row>
    <row r="121" spans="1:53" ht="15.75" customHeight="1">
      <c r="A121" s="273">
        <v>25</v>
      </c>
      <c r="B121" s="273" t="str">
        <f t="shared" si="9"/>
        <v>NEAKTIVAN</v>
      </c>
      <c r="C121" s="302">
        <f t="shared" si="8"/>
        <v>119</v>
      </c>
      <c r="D121" s="1">
        <v>16</v>
      </c>
      <c r="E121" s="1" t="str">
        <f>VLOOKUP(D121,Table3[[#All],[RB]:[OIB]],2,0)</f>
        <v>HOME PLUS</v>
      </c>
      <c r="F121" s="4">
        <f>VLOOKUP(D121,Table3[],3,0)</f>
        <v>18241574410</v>
      </c>
      <c r="G121" s="1" t="str">
        <f>VLOOKUP(D121,Table3[],4,0)</f>
        <v>LASZLO TIBOR</v>
      </c>
      <c r="H121" s="1" t="str">
        <f>VLOOKUP(D121,POSLODAVCI!$A$2:$J$107,9,0)</f>
        <v>Osijek</v>
      </c>
      <c r="I121" s="1" t="str">
        <f>VLOOKUP(D121,Table3[],10,0)</f>
        <v>Ivana Gundulića 28</v>
      </c>
      <c r="J121" s="1" t="s">
        <v>130</v>
      </c>
      <c r="K121" s="61">
        <v>43245</v>
      </c>
      <c r="L121" s="61">
        <v>43465</v>
      </c>
      <c r="M121" s="182" t="s">
        <v>131</v>
      </c>
      <c r="N121" t="s">
        <v>89</v>
      </c>
      <c r="O121" s="7">
        <v>34044</v>
      </c>
      <c r="P121" t="s">
        <v>94</v>
      </c>
      <c r="Q121" t="s">
        <v>82</v>
      </c>
      <c r="R121" t="s">
        <v>288</v>
      </c>
      <c r="S121" s="5" t="s">
        <v>83</v>
      </c>
      <c r="T121" t="s">
        <v>84</v>
      </c>
      <c r="V121" t="s">
        <v>116</v>
      </c>
      <c r="W121" t="s">
        <v>116</v>
      </c>
      <c r="X121" s="304" t="s">
        <v>103</v>
      </c>
      <c r="Y121" s="7"/>
      <c r="Z121" t="s">
        <v>86</v>
      </c>
      <c r="AA121">
        <v>40</v>
      </c>
      <c r="AB121" s="16" t="s">
        <v>385</v>
      </c>
      <c r="AC121" s="131" t="s">
        <v>386</v>
      </c>
      <c r="AE121" s="183"/>
      <c r="AH121" t="s">
        <v>94</v>
      </c>
      <c r="AL121" t="s">
        <v>83</v>
      </c>
      <c r="AM121" s="90">
        <v>3439.8</v>
      </c>
      <c r="AN121" s="184">
        <v>1</v>
      </c>
      <c r="AO121" s="15">
        <v>2751.84</v>
      </c>
      <c r="AP121" s="15">
        <v>248.16</v>
      </c>
      <c r="AS121">
        <v>20</v>
      </c>
      <c r="AT121">
        <v>12</v>
      </c>
      <c r="AU121" t="s">
        <v>257</v>
      </c>
      <c r="AV121">
        <v>12</v>
      </c>
      <c r="AW121" s="7" t="s">
        <v>258</v>
      </c>
      <c r="AY121">
        <v>0</v>
      </c>
      <c r="AZ121" t="s">
        <v>255</v>
      </c>
      <c r="BA121">
        <v>9</v>
      </c>
    </row>
    <row r="122" spans="1:53" ht="15.75" customHeight="1">
      <c r="A122" s="273">
        <v>26</v>
      </c>
      <c r="B122" s="273" t="str">
        <f t="shared" si="9"/>
        <v>NEAKTIVAN</v>
      </c>
      <c r="C122" s="302">
        <f t="shared" si="8"/>
        <v>120</v>
      </c>
      <c r="D122" s="1">
        <v>16</v>
      </c>
      <c r="E122" s="1" t="str">
        <f>VLOOKUP(D122,Table3[[#All],[RB]:[OIB]],2,0)</f>
        <v>HOME PLUS</v>
      </c>
      <c r="F122" s="4">
        <f>VLOOKUP(D122,Table3[],3,0)</f>
        <v>18241574410</v>
      </c>
      <c r="G122" s="1" t="str">
        <f>VLOOKUP(D122,Table3[],4,0)</f>
        <v>LASZLO TIBOR</v>
      </c>
      <c r="H122" s="1" t="str">
        <f>VLOOKUP(D122,POSLODAVCI!$A$2:$J$107,9,0)</f>
        <v>Osijek</v>
      </c>
      <c r="I122" s="1" t="str">
        <f>VLOOKUP(D122,Table3[],10,0)</f>
        <v>Ivana Gundulića 28</v>
      </c>
      <c r="J122" s="1" t="s">
        <v>211</v>
      </c>
      <c r="K122" s="61">
        <v>43252</v>
      </c>
      <c r="L122" s="61">
        <v>43465</v>
      </c>
      <c r="M122" s="182">
        <v>79843816739</v>
      </c>
      <c r="N122" t="s">
        <v>80</v>
      </c>
      <c r="O122" s="7">
        <v>27585</v>
      </c>
      <c r="P122" t="s">
        <v>81</v>
      </c>
      <c r="Q122" t="s">
        <v>82</v>
      </c>
      <c r="R122" t="s">
        <v>289</v>
      </c>
      <c r="S122" s="5" t="s">
        <v>83</v>
      </c>
      <c r="T122" t="s">
        <v>84</v>
      </c>
      <c r="V122" t="s">
        <v>93</v>
      </c>
      <c r="W122" t="s">
        <v>93</v>
      </c>
      <c r="X122" s="304" t="s">
        <v>103</v>
      </c>
      <c r="Y122" s="7"/>
      <c r="Z122" t="s">
        <v>86</v>
      </c>
      <c r="AA122">
        <v>40</v>
      </c>
      <c r="AC122" s="183"/>
      <c r="AE122" s="183"/>
      <c r="AH122" t="s">
        <v>94</v>
      </c>
      <c r="AL122" t="s">
        <v>83</v>
      </c>
      <c r="AM122" s="90">
        <v>3750</v>
      </c>
      <c r="AN122" s="184">
        <v>2.7</v>
      </c>
      <c r="AO122" s="15">
        <v>3000</v>
      </c>
      <c r="AS122">
        <v>20</v>
      </c>
      <c r="AT122">
        <v>12</v>
      </c>
      <c r="AU122" t="s">
        <v>257</v>
      </c>
      <c r="AV122">
        <v>12</v>
      </c>
      <c r="AW122" s="7" t="s">
        <v>258</v>
      </c>
      <c r="AY122">
        <v>0</v>
      </c>
      <c r="AZ122" t="s">
        <v>255</v>
      </c>
      <c r="BA122">
        <v>67</v>
      </c>
    </row>
    <row r="123" spans="1:53" ht="15.75" customHeight="1">
      <c r="A123" s="273">
        <v>27</v>
      </c>
      <c r="B123" s="273" t="str">
        <f t="shared" si="9"/>
        <v>NEAKTIVAN</v>
      </c>
      <c r="C123" s="302">
        <f t="shared" si="8"/>
        <v>121</v>
      </c>
      <c r="D123" s="1">
        <v>16</v>
      </c>
      <c r="E123" s="1" t="str">
        <f>VLOOKUP(D123,Table3[[#All],[RB]:[OIB]],2,0)</f>
        <v>HOME PLUS</v>
      </c>
      <c r="F123" s="4">
        <f>VLOOKUP(D123,Table3[],3,0)</f>
        <v>18241574410</v>
      </c>
      <c r="G123" s="1" t="str">
        <f>VLOOKUP(D123,Table3[],4,0)</f>
        <v>LASZLO TIBOR</v>
      </c>
      <c r="H123" s="1" t="str">
        <f>VLOOKUP(D123,POSLODAVCI!$A$2:$J$107,9,0)</f>
        <v>Osijek</v>
      </c>
      <c r="I123" s="1" t="str">
        <f>VLOOKUP(D123,Table3[],10,0)</f>
        <v>Ivana Gundulića 28</v>
      </c>
      <c r="J123" s="1" t="s">
        <v>296</v>
      </c>
      <c r="K123" s="61">
        <v>43319</v>
      </c>
      <c r="L123" s="61">
        <v>43465</v>
      </c>
      <c r="M123" s="182">
        <v>94678362128</v>
      </c>
      <c r="N123" t="s">
        <v>80</v>
      </c>
      <c r="O123" s="7">
        <v>31415</v>
      </c>
      <c r="P123" t="s">
        <v>94</v>
      </c>
      <c r="Q123" t="s">
        <v>82</v>
      </c>
      <c r="R123" t="s">
        <v>297</v>
      </c>
      <c r="T123" t="s">
        <v>84</v>
      </c>
      <c r="V123" t="s">
        <v>143</v>
      </c>
      <c r="W123" t="s">
        <v>143</v>
      </c>
      <c r="X123" s="304" t="s">
        <v>103</v>
      </c>
      <c r="Y123" s="7"/>
      <c r="Z123" t="s">
        <v>86</v>
      </c>
      <c r="AA123">
        <v>40</v>
      </c>
      <c r="AC123" s="183"/>
      <c r="AE123" s="183"/>
      <c r="AH123" t="s">
        <v>94</v>
      </c>
      <c r="AL123" t="s">
        <v>83</v>
      </c>
      <c r="AM123" s="90">
        <v>3439.8</v>
      </c>
      <c r="AN123" s="184">
        <v>1</v>
      </c>
      <c r="AO123" s="15">
        <v>2751.84</v>
      </c>
      <c r="AW123" s="7"/>
      <c r="AY123">
        <v>0</v>
      </c>
      <c r="AZ123" t="s">
        <v>255</v>
      </c>
      <c r="BA123">
        <v>84</v>
      </c>
    </row>
    <row r="124" spans="1:53" ht="15.75" customHeight="1">
      <c r="A124" s="273">
        <v>28</v>
      </c>
      <c r="B124" s="273" t="str">
        <f t="shared" si="9"/>
        <v>NEAKTIVAN</v>
      </c>
      <c r="C124" s="302">
        <f t="shared" si="8"/>
        <v>122</v>
      </c>
      <c r="D124" s="1">
        <v>16</v>
      </c>
      <c r="E124" s="1" t="str">
        <f>VLOOKUP(D124,Table3[[#All],[RB]:[OIB]],2,0)</f>
        <v>HOME PLUS</v>
      </c>
      <c r="F124" s="4">
        <f>VLOOKUP(D124,Table3[],3,0)</f>
        <v>18241574410</v>
      </c>
      <c r="G124" s="1" t="str">
        <f>VLOOKUP(D124,Table3[],4,0)</f>
        <v>LASZLO TIBOR</v>
      </c>
      <c r="H124" s="1" t="str">
        <f>VLOOKUP(D124,POSLODAVCI!$A$2:$J$107,9,0)</f>
        <v>Osijek</v>
      </c>
      <c r="I124" s="1" t="str">
        <f>VLOOKUP(D124,Table3[],10,0)</f>
        <v>Ivana Gundulića 28</v>
      </c>
      <c r="J124" s="1" t="s">
        <v>311</v>
      </c>
      <c r="K124" s="61">
        <v>43245</v>
      </c>
      <c r="L124" s="61">
        <v>43315</v>
      </c>
      <c r="M124" s="182">
        <v>15592850730</v>
      </c>
      <c r="N124" t="s">
        <v>80</v>
      </c>
      <c r="O124" s="7">
        <v>35570</v>
      </c>
      <c r="P124" t="s">
        <v>180</v>
      </c>
      <c r="Q124" t="s">
        <v>82</v>
      </c>
      <c r="R124" t="s">
        <v>312</v>
      </c>
      <c r="S124" s="5" t="s">
        <v>83</v>
      </c>
      <c r="T124" t="s">
        <v>84</v>
      </c>
      <c r="V124" t="s">
        <v>116</v>
      </c>
      <c r="W124" t="s">
        <v>116</v>
      </c>
      <c r="X124" s="304" t="s">
        <v>103</v>
      </c>
      <c r="Y124" s="7"/>
      <c r="Z124" t="s">
        <v>86</v>
      </c>
      <c r="AA124">
        <v>40</v>
      </c>
      <c r="AB124" s="16" t="s">
        <v>387</v>
      </c>
      <c r="AC124" s="131" t="s">
        <v>388</v>
      </c>
      <c r="AE124" s="183"/>
      <c r="AM124" s="90">
        <v>3750</v>
      </c>
      <c r="AN124" s="184">
        <v>1</v>
      </c>
      <c r="AO124" s="15">
        <v>3000</v>
      </c>
      <c r="AS124">
        <v>19</v>
      </c>
      <c r="AT124">
        <v>12</v>
      </c>
      <c r="AU124" t="s">
        <v>257</v>
      </c>
      <c r="AV124">
        <v>12</v>
      </c>
      <c r="AW124" s="7" t="s">
        <v>258</v>
      </c>
      <c r="AY124">
        <v>0</v>
      </c>
      <c r="AZ124" t="s">
        <v>255</v>
      </c>
      <c r="BA124">
        <v>66</v>
      </c>
    </row>
    <row r="125" spans="1:53" ht="15.75" customHeight="1">
      <c r="A125" s="273">
        <v>29</v>
      </c>
      <c r="B125" s="273" t="str">
        <f t="shared" si="9"/>
        <v>NEAKTIVAN</v>
      </c>
      <c r="C125" s="302">
        <f t="shared" si="8"/>
        <v>123</v>
      </c>
      <c r="D125" s="1">
        <v>16</v>
      </c>
      <c r="E125" s="1" t="str">
        <f>VLOOKUP(D125,Table3[[#All],[RB]:[OIB]],2,0)</f>
        <v>HOME PLUS</v>
      </c>
      <c r="F125" s="4">
        <f>VLOOKUP(D125,Table3[],3,0)</f>
        <v>18241574410</v>
      </c>
      <c r="G125" s="1" t="str">
        <f>VLOOKUP(D125,Table3[],4,0)</f>
        <v>LASZLO TIBOR</v>
      </c>
      <c r="H125" s="1" t="str">
        <f>VLOOKUP(D125,POSLODAVCI!$A$2:$J$107,9,0)</f>
        <v>Osijek</v>
      </c>
      <c r="I125" s="1" t="str">
        <f>VLOOKUP(D125,Table3[],10,0)</f>
        <v>Ivana Gundulića 28</v>
      </c>
      <c r="J125" s="1" t="s">
        <v>205</v>
      </c>
      <c r="K125" s="61">
        <v>43319</v>
      </c>
      <c r="L125" s="61">
        <v>43465</v>
      </c>
      <c r="M125" s="182">
        <v>28217102839</v>
      </c>
      <c r="N125" t="s">
        <v>80</v>
      </c>
      <c r="O125" s="7">
        <v>34096</v>
      </c>
      <c r="P125" t="s">
        <v>94</v>
      </c>
      <c r="Q125" t="s">
        <v>82</v>
      </c>
      <c r="R125" t="s">
        <v>286</v>
      </c>
      <c r="S125" s="5" t="s">
        <v>83</v>
      </c>
      <c r="T125" t="s">
        <v>84</v>
      </c>
      <c r="V125" t="s">
        <v>143</v>
      </c>
      <c r="W125" t="s">
        <v>143</v>
      </c>
      <c r="X125" s="304" t="s">
        <v>103</v>
      </c>
      <c r="Y125" s="7"/>
      <c r="Z125" t="s">
        <v>86</v>
      </c>
      <c r="AA125">
        <v>40</v>
      </c>
      <c r="AC125" s="183"/>
      <c r="AE125" s="183"/>
      <c r="AH125" t="s">
        <v>94</v>
      </c>
      <c r="AL125" t="s">
        <v>83</v>
      </c>
      <c r="AM125" s="90">
        <v>3439.8</v>
      </c>
      <c r="AN125" s="184">
        <v>1.7</v>
      </c>
      <c r="AO125" s="15">
        <v>2751.84</v>
      </c>
      <c r="AW125" s="7"/>
      <c r="AY125">
        <v>0</v>
      </c>
      <c r="AZ125" t="s">
        <v>255</v>
      </c>
      <c r="BA125">
        <v>61</v>
      </c>
    </row>
    <row r="126" spans="1:53" ht="15.75" customHeight="1">
      <c r="A126" s="273">
        <v>30</v>
      </c>
      <c r="B126" s="273" t="str">
        <f t="shared" si="9"/>
        <v>NEAKTIVAN</v>
      </c>
      <c r="C126" s="302">
        <f t="shared" si="8"/>
        <v>124</v>
      </c>
      <c r="D126" s="1">
        <v>16</v>
      </c>
      <c r="E126" s="1" t="str">
        <f>VLOOKUP(D126,Table3[[#All],[RB]:[OIB]],2,0)</f>
        <v>HOME PLUS</v>
      </c>
      <c r="F126" s="4">
        <f>VLOOKUP(D126,Table3[],3,0)</f>
        <v>18241574410</v>
      </c>
      <c r="G126" s="1" t="str">
        <f>VLOOKUP(D126,Table3[],4,0)</f>
        <v>LASZLO TIBOR</v>
      </c>
      <c r="H126" s="1" t="str">
        <f>VLOOKUP(D126,POSLODAVCI!$A$2:$J$107,9,0)</f>
        <v>Osijek</v>
      </c>
      <c r="I126" s="1" t="str">
        <f>VLOOKUP(D126,Table3[],10,0)</f>
        <v>Ivana Gundulića 28</v>
      </c>
      <c r="J126" s="1" t="s">
        <v>313</v>
      </c>
      <c r="K126" s="61">
        <v>43245</v>
      </c>
      <c r="L126" s="61">
        <v>43315</v>
      </c>
      <c r="M126" s="182" t="s">
        <v>314</v>
      </c>
      <c r="N126" t="s">
        <v>89</v>
      </c>
      <c r="O126" s="7">
        <v>35156</v>
      </c>
      <c r="P126" t="s">
        <v>180</v>
      </c>
      <c r="Q126" t="s">
        <v>82</v>
      </c>
      <c r="R126" t="s">
        <v>315</v>
      </c>
      <c r="S126" s="5" t="s">
        <v>83</v>
      </c>
      <c r="T126" t="s">
        <v>84</v>
      </c>
      <c r="V126" t="s">
        <v>116</v>
      </c>
      <c r="W126" t="s">
        <v>116</v>
      </c>
      <c r="X126" s="304" t="s">
        <v>103</v>
      </c>
      <c r="Y126" s="7"/>
      <c r="Z126" t="s">
        <v>86</v>
      </c>
      <c r="AA126">
        <v>40</v>
      </c>
      <c r="AB126" s="16" t="s">
        <v>389</v>
      </c>
      <c r="AC126" s="131" t="s">
        <v>390</v>
      </c>
      <c r="AE126" s="183"/>
      <c r="AM126" s="90">
        <v>3750</v>
      </c>
      <c r="AN126" s="184">
        <v>1</v>
      </c>
      <c r="AO126" s="15">
        <v>3000</v>
      </c>
      <c r="AS126">
        <v>19</v>
      </c>
      <c r="AT126">
        <v>12</v>
      </c>
      <c r="AU126" t="s">
        <v>257</v>
      </c>
      <c r="AV126">
        <v>12</v>
      </c>
      <c r="AW126" s="7" t="s">
        <v>258</v>
      </c>
      <c r="AY126">
        <v>0</v>
      </c>
      <c r="AZ126" t="s">
        <v>255</v>
      </c>
      <c r="BA126">
        <v>82</v>
      </c>
    </row>
    <row r="127" spans="1:53" ht="15.75" customHeight="1">
      <c r="A127" s="273">
        <v>31</v>
      </c>
      <c r="B127" s="273" t="str">
        <f t="shared" si="9"/>
        <v>NEAKTIVAN</v>
      </c>
      <c r="C127" s="302">
        <f t="shared" si="8"/>
        <v>125</v>
      </c>
      <c r="D127" s="1">
        <v>16</v>
      </c>
      <c r="E127" s="1" t="str">
        <f>VLOOKUP(D127,Table3[[#All],[RB]:[OIB]],2,0)</f>
        <v>HOME PLUS</v>
      </c>
      <c r="F127" s="4">
        <f>VLOOKUP(D127,Table3[],3,0)</f>
        <v>18241574410</v>
      </c>
      <c r="G127" s="1" t="str">
        <f>VLOOKUP(D127,Table3[],4,0)</f>
        <v>LASZLO TIBOR</v>
      </c>
      <c r="H127" s="1" t="str">
        <f>VLOOKUP(D127,POSLODAVCI!$A$2:$J$107,9,0)</f>
        <v>Osijek</v>
      </c>
      <c r="I127" s="1" t="str">
        <f>VLOOKUP(D127,Table3[],10,0)</f>
        <v>Ivana Gundulića 28</v>
      </c>
      <c r="J127" s="1" t="s">
        <v>225</v>
      </c>
      <c r="K127" s="61">
        <v>43252</v>
      </c>
      <c r="L127" s="61">
        <v>43465</v>
      </c>
      <c r="M127" s="182">
        <v>20112988151</v>
      </c>
      <c r="N127" t="s">
        <v>80</v>
      </c>
      <c r="O127" s="7">
        <v>29478</v>
      </c>
      <c r="Q127" t="s">
        <v>82</v>
      </c>
      <c r="R127" t="s">
        <v>227</v>
      </c>
      <c r="T127" t="s">
        <v>111</v>
      </c>
      <c r="V127" t="s">
        <v>143</v>
      </c>
      <c r="W127" t="s">
        <v>143</v>
      </c>
      <c r="X127" s="304" t="s">
        <v>103</v>
      </c>
      <c r="Y127" s="7"/>
      <c r="Z127" t="s">
        <v>86</v>
      </c>
      <c r="AA127">
        <v>40</v>
      </c>
      <c r="AC127" s="183"/>
      <c r="AE127" s="183"/>
      <c r="AH127" t="s">
        <v>94</v>
      </c>
      <c r="AL127" t="s">
        <v>83</v>
      </c>
      <c r="AM127" s="90">
        <v>3439.8</v>
      </c>
      <c r="AN127" s="184">
        <v>1</v>
      </c>
      <c r="AO127" s="15">
        <v>2751.84</v>
      </c>
      <c r="AS127">
        <v>20</v>
      </c>
      <c r="AT127">
        <v>12</v>
      </c>
      <c r="AU127" t="s">
        <v>293</v>
      </c>
      <c r="AV127">
        <v>12</v>
      </c>
      <c r="AW127" s="7" t="s">
        <v>258</v>
      </c>
      <c r="AY127">
        <v>0</v>
      </c>
      <c r="AZ127" t="s">
        <v>255</v>
      </c>
      <c r="BA127">
        <v>72</v>
      </c>
    </row>
    <row r="128" spans="1:53" ht="15.75" customHeight="1">
      <c r="A128" s="273">
        <v>9</v>
      </c>
      <c r="B128" s="273" t="str">
        <f t="shared" si="9"/>
        <v>NEAKTIVAN</v>
      </c>
      <c r="C128" s="302">
        <f t="shared" si="8"/>
        <v>126</v>
      </c>
      <c r="D128" s="1">
        <v>3</v>
      </c>
      <c r="E128" s="1" t="str">
        <f>VLOOKUP(D128,Table3[[#All],[RB]:[OIB]],2,0)</f>
        <v>AGRO PMD d.o.o.</v>
      </c>
      <c r="F128" s="4" t="str">
        <f>VLOOKUP(D128,Table3[],3,0)</f>
        <v>09677499852</v>
      </c>
      <c r="G128" s="1" t="str">
        <f>VLOOKUP(D128,Table3[],4,0)</f>
        <v>Imre Bata</v>
      </c>
      <c r="H128" s="1" t="str">
        <f>VLOOKUP(D128,POSLODAVCI!$A$2:$J$107,9,0)</f>
        <v>Osijek</v>
      </c>
      <c r="I128" s="1" t="str">
        <f>VLOOKUP(D128,Table3[],10,0)</f>
        <v>Južno Pregrađe 38, Osijek</v>
      </c>
      <c r="J128" s="1" t="s">
        <v>391</v>
      </c>
      <c r="K128" s="61">
        <v>43313</v>
      </c>
      <c r="L128" s="61">
        <v>43314</v>
      </c>
      <c r="M128" s="182">
        <v>20215394460</v>
      </c>
      <c r="N128" t="s">
        <v>89</v>
      </c>
      <c r="O128" s="7">
        <v>43412</v>
      </c>
      <c r="P128" t="s">
        <v>81</v>
      </c>
      <c r="Q128" t="s">
        <v>82</v>
      </c>
      <c r="R128" t="s">
        <v>392</v>
      </c>
      <c r="S128" s="5" t="s">
        <v>83</v>
      </c>
      <c r="T128" t="s">
        <v>84</v>
      </c>
      <c r="V128" t="s">
        <v>393</v>
      </c>
      <c r="W128" t="s">
        <v>394</v>
      </c>
      <c r="X128" s="304" t="s">
        <v>103</v>
      </c>
      <c r="Y128" s="7"/>
      <c r="Z128" t="s">
        <v>86</v>
      </c>
      <c r="AA128">
        <v>40</v>
      </c>
      <c r="AB128" t="s">
        <v>395</v>
      </c>
      <c r="AC128" s="183"/>
      <c r="AE128" s="183"/>
      <c r="AH128" t="s">
        <v>94</v>
      </c>
      <c r="AL128" t="s">
        <v>83</v>
      </c>
      <c r="AM128" s="90">
        <v>5950.61</v>
      </c>
      <c r="AN128" s="184">
        <v>1</v>
      </c>
      <c r="AO128" s="15">
        <v>4500</v>
      </c>
      <c r="AW128" s="7"/>
      <c r="AZ128" t="str">
        <f>IF(L128&gt;0,"NEAKTIVAN","AKTIVAN")</f>
        <v>NEAKTIVAN</v>
      </c>
      <c r="BA128">
        <f>A128</f>
        <v>9</v>
      </c>
    </row>
    <row r="129" spans="1:53" ht="15.75" customHeight="1">
      <c r="A129" s="273">
        <v>32</v>
      </c>
      <c r="B129" s="273" t="str">
        <f t="shared" si="9"/>
        <v>NEAKTIVAN</v>
      </c>
      <c r="C129" s="302">
        <f t="shared" si="8"/>
        <v>127</v>
      </c>
      <c r="D129" s="1">
        <v>16</v>
      </c>
      <c r="E129" s="1" t="str">
        <f>VLOOKUP(D129,Table3[[#All],[RB]:[OIB]],2,0)</f>
        <v>HOME PLUS</v>
      </c>
      <c r="F129" s="4">
        <f>VLOOKUP(D129,Table3[],3,0)</f>
        <v>18241574410</v>
      </c>
      <c r="G129" s="1" t="str">
        <f>VLOOKUP(D129,Table3[],4,0)</f>
        <v>LASZLO TIBOR</v>
      </c>
      <c r="H129" s="1" t="str">
        <f>VLOOKUP(D129,POSLODAVCI!$A$2:$J$107,9,0)</f>
        <v>Osijek</v>
      </c>
      <c r="I129" s="1" t="str">
        <f>VLOOKUP(D129,Table3[],10,0)</f>
        <v>Ivana Gundulića 28</v>
      </c>
      <c r="J129" s="1" t="s">
        <v>162</v>
      </c>
      <c r="K129" s="61">
        <v>43252</v>
      </c>
      <c r="L129" s="61">
        <v>43319</v>
      </c>
      <c r="M129" s="182">
        <v>73208771167</v>
      </c>
      <c r="N129" t="s">
        <v>80</v>
      </c>
      <c r="O129" s="7">
        <v>34062</v>
      </c>
      <c r="P129" t="s">
        <v>94</v>
      </c>
      <c r="Q129" t="s">
        <v>82</v>
      </c>
      <c r="R129" t="s">
        <v>273</v>
      </c>
      <c r="S129" s="17" t="s">
        <v>83</v>
      </c>
      <c r="T129" t="s">
        <v>84</v>
      </c>
      <c r="V129" t="s">
        <v>143</v>
      </c>
      <c r="W129" t="s">
        <v>143</v>
      </c>
      <c r="X129" s="303" t="s">
        <v>103</v>
      </c>
      <c r="Y129" s="7"/>
      <c r="Z129" t="s">
        <v>86</v>
      </c>
      <c r="AA129">
        <v>40</v>
      </c>
      <c r="AC129" s="183"/>
      <c r="AE129" s="183"/>
      <c r="AH129" t="s">
        <v>94</v>
      </c>
      <c r="AI129" s="16"/>
      <c r="AL129" s="16" t="s">
        <v>83</v>
      </c>
      <c r="AM129" s="90">
        <v>3439.8</v>
      </c>
      <c r="AN129" s="184">
        <v>1</v>
      </c>
      <c r="AO129" s="15">
        <v>2751.84</v>
      </c>
      <c r="AS129">
        <v>20</v>
      </c>
      <c r="AT129">
        <v>12</v>
      </c>
      <c r="AU129" t="s">
        <v>257</v>
      </c>
      <c r="AV129">
        <v>12</v>
      </c>
      <c r="AW129" s="7" t="s">
        <v>258</v>
      </c>
      <c r="AY129">
        <v>0</v>
      </c>
      <c r="AZ129" t="s">
        <v>255</v>
      </c>
      <c r="BA129">
        <v>27</v>
      </c>
    </row>
    <row r="130" spans="1:53" s="16" customFormat="1" ht="15.75" customHeight="1">
      <c r="A130" s="273">
        <v>33</v>
      </c>
      <c r="B130" s="273" t="str">
        <f t="shared" si="9"/>
        <v>NEAKTIVAN</v>
      </c>
      <c r="C130" s="302">
        <f t="shared" si="8"/>
        <v>128</v>
      </c>
      <c r="D130" s="1">
        <v>16</v>
      </c>
      <c r="E130" s="1" t="str">
        <f>VLOOKUP(D130,Table3[[#All],[RB]:[OIB]],2,0)</f>
        <v>HOME PLUS</v>
      </c>
      <c r="F130" s="4">
        <f>VLOOKUP(D130,Table3[],3,0)</f>
        <v>18241574410</v>
      </c>
      <c r="G130" s="1" t="str">
        <f>VLOOKUP(D130,Table3[],4,0)</f>
        <v>LASZLO TIBOR</v>
      </c>
      <c r="H130" s="1" t="str">
        <f>VLOOKUP(D130,POSLODAVCI!$A$2:$J$107,9,0)</f>
        <v>Osijek</v>
      </c>
      <c r="I130" s="1" t="str">
        <f>VLOOKUP(D130,Table3[],10,0)</f>
        <v>Ivana Gundulića 28</v>
      </c>
      <c r="J130" s="1" t="s">
        <v>396</v>
      </c>
      <c r="K130" s="61">
        <v>43321</v>
      </c>
      <c r="L130" s="61">
        <v>43465</v>
      </c>
      <c r="M130" s="137" t="s">
        <v>182</v>
      </c>
      <c r="N130" t="s">
        <v>80</v>
      </c>
      <c r="O130" s="7">
        <v>35722</v>
      </c>
      <c r="P130" t="s">
        <v>94</v>
      </c>
      <c r="Q130" t="s">
        <v>82</v>
      </c>
      <c r="R130" t="s">
        <v>183</v>
      </c>
      <c r="S130" s="5" t="s">
        <v>83</v>
      </c>
      <c r="T130" t="s">
        <v>84</v>
      </c>
      <c r="U130"/>
      <c r="V130" t="s">
        <v>143</v>
      </c>
      <c r="W130" t="s">
        <v>143</v>
      </c>
      <c r="X130" s="304" t="s">
        <v>85</v>
      </c>
      <c r="Y130" s="7">
        <v>43352</v>
      </c>
      <c r="Z130" t="s">
        <v>86</v>
      </c>
      <c r="AA130">
        <v>40</v>
      </c>
      <c r="AB130" t="s">
        <v>397</v>
      </c>
      <c r="AC130" s="183"/>
      <c r="AD130"/>
      <c r="AE130" s="183"/>
      <c r="AF130"/>
      <c r="AG130"/>
      <c r="AH130" t="s">
        <v>94</v>
      </c>
      <c r="AI130"/>
      <c r="AJ130"/>
      <c r="AK130"/>
      <c r="AL130" t="s">
        <v>83</v>
      </c>
      <c r="AM130" s="90">
        <v>3439.8</v>
      </c>
      <c r="AN130" s="184">
        <v>1</v>
      </c>
      <c r="AO130" s="15">
        <v>2751.84</v>
      </c>
      <c r="AP130" s="15"/>
      <c r="AQ130"/>
      <c r="AR130"/>
      <c r="AS130"/>
      <c r="AT130"/>
      <c r="AU130"/>
      <c r="AV130"/>
      <c r="AW130" s="7"/>
      <c r="AZ130" t="s">
        <v>255</v>
      </c>
      <c r="BA130" s="16">
        <v>103</v>
      </c>
    </row>
    <row r="131" spans="1:53" ht="15.75" customHeight="1">
      <c r="A131" s="273">
        <v>34</v>
      </c>
      <c r="B131" s="273" t="str">
        <f t="shared" si="9"/>
        <v>NEAKTIVAN</v>
      </c>
      <c r="C131" s="302">
        <f t="shared" ref="C131:C194" si="11">C130+1</f>
        <v>129</v>
      </c>
      <c r="D131" s="1">
        <v>16</v>
      </c>
      <c r="E131" s="1" t="str">
        <f>VLOOKUP(D131,Table3[[#All],[RB]:[OIB]],2,0)</f>
        <v>HOME PLUS</v>
      </c>
      <c r="F131" s="4">
        <f>VLOOKUP(D131,Table3[],3,0)</f>
        <v>18241574410</v>
      </c>
      <c r="G131" s="1" t="str">
        <f>VLOOKUP(D131,Table3[],4,0)</f>
        <v>LASZLO TIBOR</v>
      </c>
      <c r="H131" s="1" t="str">
        <f>VLOOKUP(D131,POSLODAVCI!$A$2:$J$107,9,0)</f>
        <v>Osijek</v>
      </c>
      <c r="I131" s="1" t="str">
        <f>VLOOKUP(D131,Table3[],10,0)</f>
        <v>Ivana Gundulića 28</v>
      </c>
      <c r="J131" s="1" t="s">
        <v>233</v>
      </c>
      <c r="K131" s="61">
        <v>43252</v>
      </c>
      <c r="L131" s="61">
        <v>43465</v>
      </c>
      <c r="M131" s="182" t="s">
        <v>234</v>
      </c>
      <c r="N131" t="s">
        <v>80</v>
      </c>
      <c r="O131" s="7">
        <v>32684</v>
      </c>
      <c r="P131" t="s">
        <v>81</v>
      </c>
      <c r="Q131" t="s">
        <v>82</v>
      </c>
      <c r="R131" t="s">
        <v>398</v>
      </c>
      <c r="T131" t="s">
        <v>84</v>
      </c>
      <c r="V131" t="s">
        <v>143</v>
      </c>
      <c r="W131" t="s">
        <v>143</v>
      </c>
      <c r="X131" s="304" t="s">
        <v>103</v>
      </c>
      <c r="Y131" s="7"/>
      <c r="Z131" t="s">
        <v>86</v>
      </c>
      <c r="AA131">
        <v>40</v>
      </c>
      <c r="AC131" s="183"/>
      <c r="AE131" s="183"/>
      <c r="AH131" t="s">
        <v>94</v>
      </c>
      <c r="AL131" t="s">
        <v>83</v>
      </c>
      <c r="AM131" s="90">
        <v>3439.8</v>
      </c>
      <c r="AN131" s="184">
        <v>1</v>
      </c>
      <c r="AO131" s="15">
        <v>2751.84</v>
      </c>
      <c r="AS131">
        <v>20</v>
      </c>
      <c r="AT131">
        <v>12</v>
      </c>
      <c r="AU131" t="s">
        <v>257</v>
      </c>
      <c r="AV131">
        <v>12</v>
      </c>
      <c r="AW131" s="7" t="s">
        <v>258</v>
      </c>
      <c r="AY131">
        <v>0</v>
      </c>
      <c r="AZ131" t="s">
        <v>255</v>
      </c>
      <c r="BA131">
        <v>76</v>
      </c>
    </row>
    <row r="132" spans="1:53" ht="15.75" customHeight="1">
      <c r="A132" s="273">
        <v>10</v>
      </c>
      <c r="B132" s="273" t="str">
        <f t="shared" si="9"/>
        <v>NEAKTIVAN</v>
      </c>
      <c r="C132" s="302">
        <f t="shared" si="11"/>
        <v>130</v>
      </c>
      <c r="D132" s="1">
        <v>3</v>
      </c>
      <c r="E132" s="1" t="str">
        <f>VLOOKUP(D132,Table3[[#All],[RB]:[OIB]],2,0)</f>
        <v>AGRO PMD d.o.o.</v>
      </c>
      <c r="F132" s="4" t="str">
        <f>VLOOKUP(D132,Table3[],3,0)</f>
        <v>09677499852</v>
      </c>
      <c r="G132" s="1" t="str">
        <f>VLOOKUP(D132,Table3[],4,0)</f>
        <v>Imre Bata</v>
      </c>
      <c r="H132" s="1" t="str">
        <f>VLOOKUP(D132,POSLODAVCI!$A$2:$J$107,9,0)</f>
        <v>Osijek</v>
      </c>
      <c r="I132" s="1" t="str">
        <f>VLOOKUP(D132,Table3[],10,0)</f>
        <v>Južno Pregrađe 38, Osijek</v>
      </c>
      <c r="J132" s="1" t="s">
        <v>399</v>
      </c>
      <c r="K132" s="61">
        <v>43344</v>
      </c>
      <c r="L132" s="61">
        <v>43434</v>
      </c>
      <c r="M132" s="137" t="s">
        <v>400</v>
      </c>
      <c r="N132" t="s">
        <v>89</v>
      </c>
      <c r="O132" s="7">
        <v>30415</v>
      </c>
      <c r="P132" t="s">
        <v>94</v>
      </c>
      <c r="Q132" t="s">
        <v>82</v>
      </c>
      <c r="R132" t="s">
        <v>401</v>
      </c>
      <c r="T132" t="s">
        <v>84</v>
      </c>
      <c r="U132" t="s">
        <v>402</v>
      </c>
      <c r="V132" t="s">
        <v>112</v>
      </c>
      <c r="W132" t="s">
        <v>96</v>
      </c>
      <c r="X132" s="304" t="s">
        <v>103</v>
      </c>
      <c r="Y132" s="7"/>
      <c r="Z132" t="s">
        <v>86</v>
      </c>
      <c r="AA132">
        <v>40</v>
      </c>
      <c r="AC132" s="183"/>
      <c r="AE132" s="183"/>
      <c r="AH132" t="s">
        <v>94</v>
      </c>
      <c r="AL132" t="s">
        <v>83</v>
      </c>
      <c r="AM132" s="90">
        <v>6250</v>
      </c>
      <c r="AN132" s="184">
        <v>1</v>
      </c>
      <c r="AO132" s="15">
        <v>5000</v>
      </c>
      <c r="AW132" s="7"/>
      <c r="AX132" s="16"/>
      <c r="AY132" s="16"/>
      <c r="AZ132" t="str">
        <f>IF(L132&gt;0,"NEAKTIVAN","AKTIVAN")</f>
        <v>NEAKTIVAN</v>
      </c>
      <c r="BA132">
        <f>A132</f>
        <v>10</v>
      </c>
    </row>
    <row r="133" spans="1:53" ht="15.75" customHeight="1">
      <c r="A133" s="273">
        <v>35</v>
      </c>
      <c r="B133" s="273" t="str">
        <f t="shared" si="9"/>
        <v>NEAKTIVAN</v>
      </c>
      <c r="C133" s="302">
        <f t="shared" si="11"/>
        <v>131</v>
      </c>
      <c r="D133" s="1">
        <v>16</v>
      </c>
      <c r="E133" s="1" t="str">
        <f>VLOOKUP(D133,Table3[[#All],[RB]:[OIB]],2,0)</f>
        <v>HOME PLUS</v>
      </c>
      <c r="F133" s="4">
        <f>VLOOKUP(D133,Table3[],3,0)</f>
        <v>18241574410</v>
      </c>
      <c r="G133" s="1" t="str">
        <f>VLOOKUP(D133,Table3[],4,0)</f>
        <v>LASZLO TIBOR</v>
      </c>
      <c r="H133" s="1" t="str">
        <f>VLOOKUP(D133,POSLODAVCI!$A$2:$J$107,9,0)</f>
        <v>Osijek</v>
      </c>
      <c r="I133" s="1" t="str">
        <f>VLOOKUP(D133,Table3[],10,0)</f>
        <v>Ivana Gundulića 28</v>
      </c>
      <c r="J133" s="1" t="s">
        <v>305</v>
      </c>
      <c r="K133" s="61">
        <v>43252</v>
      </c>
      <c r="L133" s="61">
        <v>43465</v>
      </c>
      <c r="M133" s="182">
        <v>89289096005</v>
      </c>
      <c r="N133" t="s">
        <v>80</v>
      </c>
      <c r="O133" s="7">
        <v>27020</v>
      </c>
      <c r="P133" t="s">
        <v>306</v>
      </c>
      <c r="Q133" t="s">
        <v>82</v>
      </c>
      <c r="R133" t="s">
        <v>307</v>
      </c>
      <c r="S133" s="5" t="s">
        <v>83</v>
      </c>
      <c r="T133" t="s">
        <v>84</v>
      </c>
      <c r="V133" t="s">
        <v>143</v>
      </c>
      <c r="W133" t="s">
        <v>143</v>
      </c>
      <c r="X133" s="304" t="s">
        <v>103</v>
      </c>
      <c r="Y133" s="7"/>
      <c r="Z133" t="s">
        <v>86</v>
      </c>
      <c r="AA133">
        <v>40</v>
      </c>
      <c r="AC133" s="183"/>
      <c r="AE133" s="183"/>
      <c r="AM133" s="90">
        <v>3439.8</v>
      </c>
      <c r="AN133" s="184">
        <v>1</v>
      </c>
      <c r="AO133" s="15">
        <v>2751.84</v>
      </c>
      <c r="AS133">
        <v>19</v>
      </c>
      <c r="AT133">
        <v>12</v>
      </c>
      <c r="AU133" t="s">
        <v>257</v>
      </c>
      <c r="AV133">
        <v>12</v>
      </c>
      <c r="AW133" s="7" t="s">
        <v>258</v>
      </c>
      <c r="AY133">
        <v>0</v>
      </c>
      <c r="AZ133" t="s">
        <v>255</v>
      </c>
      <c r="BA133">
        <v>85</v>
      </c>
    </row>
    <row r="134" spans="1:53" ht="15.75" customHeight="1">
      <c r="A134" s="273">
        <v>36</v>
      </c>
      <c r="B134" s="273" t="str">
        <f t="shared" si="9"/>
        <v>NEAKTIVAN</v>
      </c>
      <c r="C134" s="302">
        <f t="shared" si="11"/>
        <v>132</v>
      </c>
      <c r="D134" s="1">
        <v>16</v>
      </c>
      <c r="E134" s="1" t="str">
        <f>VLOOKUP(D134,Table3[[#All],[RB]:[OIB]],2,0)</f>
        <v>HOME PLUS</v>
      </c>
      <c r="F134" s="4">
        <f>VLOOKUP(D134,Table3[],3,0)</f>
        <v>18241574410</v>
      </c>
      <c r="G134" s="1" t="str">
        <f>VLOOKUP(D134,Table3[],4,0)</f>
        <v>LASZLO TIBOR</v>
      </c>
      <c r="H134" s="1" t="str">
        <f>VLOOKUP(D134,POSLODAVCI!$A$2:$J$107,9,0)</f>
        <v>Osijek</v>
      </c>
      <c r="I134" s="1" t="str">
        <f>VLOOKUP(D134,Table3[],10,0)</f>
        <v>Ivana Gundulića 28</v>
      </c>
      <c r="J134" s="1" t="s">
        <v>203</v>
      </c>
      <c r="K134" s="61">
        <v>43252</v>
      </c>
      <c r="L134" s="61">
        <v>43343</v>
      </c>
      <c r="M134" s="182" t="s">
        <v>204</v>
      </c>
      <c r="N134" t="s">
        <v>80</v>
      </c>
      <c r="O134" s="7">
        <v>34090</v>
      </c>
      <c r="P134" t="s">
        <v>94</v>
      </c>
      <c r="Q134" t="s">
        <v>82</v>
      </c>
      <c r="R134" t="s">
        <v>285</v>
      </c>
      <c r="S134" s="5" t="s">
        <v>83</v>
      </c>
      <c r="T134" t="s">
        <v>84</v>
      </c>
      <c r="V134" t="s">
        <v>143</v>
      </c>
      <c r="W134" t="s">
        <v>143</v>
      </c>
      <c r="X134" s="304" t="s">
        <v>103</v>
      </c>
      <c r="Y134" s="7"/>
      <c r="Z134" t="s">
        <v>86</v>
      </c>
      <c r="AA134">
        <v>40</v>
      </c>
      <c r="AC134" s="183"/>
      <c r="AE134" s="183"/>
      <c r="AH134" t="s">
        <v>94</v>
      </c>
      <c r="AL134" t="s">
        <v>83</v>
      </c>
      <c r="AM134" s="90">
        <v>3439.8</v>
      </c>
      <c r="AN134" s="184">
        <v>1</v>
      </c>
      <c r="AO134" s="15">
        <v>2751.84</v>
      </c>
      <c r="AS134">
        <v>20</v>
      </c>
      <c r="AT134">
        <v>12</v>
      </c>
      <c r="AU134" t="s">
        <v>257</v>
      </c>
      <c r="AV134">
        <v>12</v>
      </c>
      <c r="AW134" s="7" t="s">
        <v>258</v>
      </c>
      <c r="AY134">
        <v>0</v>
      </c>
      <c r="AZ134" t="s">
        <v>255</v>
      </c>
      <c r="BA134">
        <v>55</v>
      </c>
    </row>
    <row r="135" spans="1:53" ht="15.75" customHeight="1">
      <c r="A135" s="273">
        <v>37</v>
      </c>
      <c r="B135" s="273" t="str">
        <f t="shared" si="9"/>
        <v>NEAKTIVAN</v>
      </c>
      <c r="C135" s="302">
        <f t="shared" si="11"/>
        <v>133</v>
      </c>
      <c r="D135" s="1">
        <v>16</v>
      </c>
      <c r="E135" s="1" t="str">
        <f>VLOOKUP(D135,Table3[[#All],[RB]:[OIB]],2,0)</f>
        <v>HOME PLUS</v>
      </c>
      <c r="F135" s="4">
        <f>VLOOKUP(D135,Table3[],3,0)</f>
        <v>18241574410</v>
      </c>
      <c r="G135" s="1" t="str">
        <f>VLOOKUP(D135,Table3[],4,0)</f>
        <v>LASZLO TIBOR</v>
      </c>
      <c r="H135" s="1" t="str">
        <f>VLOOKUP(D135,POSLODAVCI!$A$2:$J$107,9,0)</f>
        <v>Osijek</v>
      </c>
      <c r="I135" s="1" t="str">
        <f>VLOOKUP(D135,Table3[],10,0)</f>
        <v>Ivana Gundulića 28</v>
      </c>
      <c r="J135" s="1" t="s">
        <v>237</v>
      </c>
      <c r="K135" s="61">
        <v>43252</v>
      </c>
      <c r="L135" s="61">
        <v>43361</v>
      </c>
      <c r="M135" s="182" t="s">
        <v>238</v>
      </c>
      <c r="N135" t="s">
        <v>89</v>
      </c>
      <c r="O135" s="7">
        <v>33024</v>
      </c>
      <c r="P135" t="s">
        <v>94</v>
      </c>
      <c r="Q135" t="s">
        <v>82</v>
      </c>
      <c r="R135" t="s">
        <v>239</v>
      </c>
      <c r="S135" s="5" t="s">
        <v>83</v>
      </c>
      <c r="T135" t="s">
        <v>84</v>
      </c>
      <c r="V135" t="s">
        <v>143</v>
      </c>
      <c r="W135" t="s">
        <v>143</v>
      </c>
      <c r="X135" s="304" t="s">
        <v>85</v>
      </c>
      <c r="Y135" s="7"/>
      <c r="Z135" t="s">
        <v>86</v>
      </c>
      <c r="AA135">
        <v>40</v>
      </c>
      <c r="AC135" s="183"/>
      <c r="AE135" s="183"/>
      <c r="AH135" t="s">
        <v>94</v>
      </c>
      <c r="AM135" s="90">
        <v>3439.8</v>
      </c>
      <c r="AN135" s="184">
        <v>1</v>
      </c>
      <c r="AO135" s="15">
        <v>2751.84</v>
      </c>
      <c r="AS135">
        <v>18</v>
      </c>
      <c r="AT135">
        <v>12</v>
      </c>
      <c r="AU135" t="s">
        <v>257</v>
      </c>
      <c r="AV135">
        <v>12</v>
      </c>
      <c r="AW135" s="7" t="s">
        <v>258</v>
      </c>
      <c r="AY135">
        <v>0</v>
      </c>
      <c r="AZ135" t="s">
        <v>255</v>
      </c>
      <c r="BA135">
        <v>91</v>
      </c>
    </row>
    <row r="136" spans="1:53" ht="15.75" customHeight="1">
      <c r="A136" s="273">
        <v>38</v>
      </c>
      <c r="B136" s="273" t="str">
        <f t="shared" si="9"/>
        <v>NEAKTIVAN</v>
      </c>
      <c r="C136" s="302">
        <f t="shared" si="11"/>
        <v>134</v>
      </c>
      <c r="D136" s="1">
        <v>16</v>
      </c>
      <c r="E136" s="1" t="str">
        <f>VLOOKUP(D136,Table3[[#All],[RB]:[OIB]],2,0)</f>
        <v>HOME PLUS</v>
      </c>
      <c r="F136" s="4">
        <f>VLOOKUP(D136,Table3[],3,0)</f>
        <v>18241574410</v>
      </c>
      <c r="G136" s="1" t="str">
        <f>VLOOKUP(D136,Table3[],4,0)</f>
        <v>LASZLO TIBOR</v>
      </c>
      <c r="H136" s="1" t="str">
        <f>VLOOKUP(D136,POSLODAVCI!$A$2:$J$107,9,0)</f>
        <v>Osijek</v>
      </c>
      <c r="I136" s="1" t="str">
        <f>VLOOKUP(D136,Table3[],10,0)</f>
        <v>Ivana Gundulića 28</v>
      </c>
      <c r="J136" s="1" t="s">
        <v>164</v>
      </c>
      <c r="K136" s="61">
        <v>43346</v>
      </c>
      <c r="L136" s="61">
        <v>43465</v>
      </c>
      <c r="M136" s="182" t="s">
        <v>165</v>
      </c>
      <c r="N136" t="s">
        <v>80</v>
      </c>
      <c r="O136" s="7">
        <v>22839</v>
      </c>
      <c r="P136" t="s">
        <v>94</v>
      </c>
      <c r="Q136" t="s">
        <v>82</v>
      </c>
      <c r="R136" t="s">
        <v>274</v>
      </c>
      <c r="S136" s="5" t="s">
        <v>83</v>
      </c>
      <c r="T136" t="s">
        <v>84</v>
      </c>
      <c r="V136" t="s">
        <v>143</v>
      </c>
      <c r="W136" t="s">
        <v>143</v>
      </c>
      <c r="X136" s="304" t="s">
        <v>103</v>
      </c>
      <c r="Y136" s="7"/>
      <c r="Z136" t="s">
        <v>86</v>
      </c>
      <c r="AA136">
        <v>40</v>
      </c>
      <c r="AC136" s="183"/>
      <c r="AE136" s="183"/>
      <c r="AH136" t="s">
        <v>94</v>
      </c>
      <c r="AL136" t="s">
        <v>83</v>
      </c>
      <c r="AM136" s="90">
        <v>3439.8</v>
      </c>
      <c r="AN136" s="184">
        <v>1.7</v>
      </c>
      <c r="AO136" s="15">
        <v>2751.84</v>
      </c>
      <c r="AW136" s="7"/>
      <c r="AZ136" t="s">
        <v>255</v>
      </c>
      <c r="BA136">
        <v>29</v>
      </c>
    </row>
    <row r="137" spans="1:53" ht="15.5">
      <c r="A137" s="273">
        <v>39</v>
      </c>
      <c r="B137" s="273" t="str">
        <f t="shared" si="9"/>
        <v>NEAKTIVAN</v>
      </c>
      <c r="C137" s="302">
        <f t="shared" si="11"/>
        <v>135</v>
      </c>
      <c r="D137" s="1">
        <v>16</v>
      </c>
      <c r="E137" s="1" t="str">
        <f>VLOOKUP(D137,Table3[[#All],[RB]:[OIB]],2,0)</f>
        <v>HOME PLUS</v>
      </c>
      <c r="F137" s="4">
        <f>VLOOKUP(D137,Table3[],3,0)</f>
        <v>18241574410</v>
      </c>
      <c r="G137" s="1" t="str">
        <f>VLOOKUP(D137,Table3[],4,0)</f>
        <v>LASZLO TIBOR</v>
      </c>
      <c r="H137" s="1" t="str">
        <f>VLOOKUP(D137,POSLODAVCI!$A$2:$J$107,9,0)</f>
        <v>Osijek</v>
      </c>
      <c r="I137" s="1" t="str">
        <f>VLOOKUP(D137,Table3[],10,0)</f>
        <v>Ivana Gundulića 28</v>
      </c>
      <c r="J137" s="1" t="s">
        <v>127</v>
      </c>
      <c r="K137" s="61">
        <v>43245</v>
      </c>
      <c r="L137" s="61">
        <v>43465</v>
      </c>
      <c r="M137" s="182" t="s">
        <v>128</v>
      </c>
      <c r="N137" t="s">
        <v>80</v>
      </c>
      <c r="O137" s="7">
        <v>34306</v>
      </c>
      <c r="P137" t="s">
        <v>94</v>
      </c>
      <c r="Q137" t="s">
        <v>82</v>
      </c>
      <c r="R137" t="s">
        <v>129</v>
      </c>
      <c r="S137" s="5" t="s">
        <v>83</v>
      </c>
      <c r="T137" t="s">
        <v>84</v>
      </c>
      <c r="V137" t="s">
        <v>116</v>
      </c>
      <c r="W137" t="s">
        <v>116</v>
      </c>
      <c r="X137" s="304" t="s">
        <v>103</v>
      </c>
      <c r="Y137" s="7"/>
      <c r="Z137" t="s">
        <v>86</v>
      </c>
      <c r="AA137">
        <v>40</v>
      </c>
      <c r="AB137" s="16" t="s">
        <v>404</v>
      </c>
      <c r="AC137" s="131" t="s">
        <v>405</v>
      </c>
      <c r="AE137" s="183"/>
      <c r="AH137" t="s">
        <v>94</v>
      </c>
      <c r="AL137" t="s">
        <v>83</v>
      </c>
      <c r="AM137" s="90">
        <v>3750</v>
      </c>
      <c r="AN137" s="184">
        <v>1</v>
      </c>
      <c r="AO137" s="15">
        <v>3000</v>
      </c>
      <c r="AS137">
        <v>19</v>
      </c>
      <c r="AT137">
        <v>12</v>
      </c>
      <c r="AU137" t="s">
        <v>257</v>
      </c>
      <c r="AV137">
        <v>12</v>
      </c>
      <c r="AW137" s="7" t="s">
        <v>258</v>
      </c>
      <c r="AY137">
        <v>0</v>
      </c>
      <c r="AZ137" t="s">
        <v>255</v>
      </c>
      <c r="BA137">
        <v>83</v>
      </c>
    </row>
    <row r="138" spans="1:53" ht="15.75" customHeight="1">
      <c r="A138" s="273">
        <v>40</v>
      </c>
      <c r="B138" s="273" t="str">
        <f t="shared" si="9"/>
        <v>NEAKTIVAN</v>
      </c>
      <c r="C138" s="302">
        <f t="shared" si="11"/>
        <v>136</v>
      </c>
      <c r="D138" s="1">
        <v>16</v>
      </c>
      <c r="E138" s="1" t="str">
        <f>VLOOKUP(D138,Table3[[#All],[RB]:[OIB]],2,0)</f>
        <v>HOME PLUS</v>
      </c>
      <c r="F138" s="4">
        <f>VLOOKUP(D138,Table3[],3,0)</f>
        <v>18241574410</v>
      </c>
      <c r="G138" s="1" t="str">
        <f>VLOOKUP(D138,Table3[],4,0)</f>
        <v>LASZLO TIBOR</v>
      </c>
      <c r="H138" s="1" t="str">
        <f>VLOOKUP(D138,POSLODAVCI!$A$2:$J$107,9,0)</f>
        <v>Osijek</v>
      </c>
      <c r="I138" s="1" t="str">
        <f>VLOOKUP(D138,Table3[],10,0)</f>
        <v>Ivana Gundulića 28</v>
      </c>
      <c r="J138" s="1" t="s">
        <v>159</v>
      </c>
      <c r="K138" s="61">
        <v>43346</v>
      </c>
      <c r="L138" s="61">
        <v>43465</v>
      </c>
      <c r="M138" s="182" t="s">
        <v>160</v>
      </c>
      <c r="N138" t="s">
        <v>80</v>
      </c>
      <c r="O138" s="7">
        <v>34061</v>
      </c>
      <c r="P138" t="s">
        <v>94</v>
      </c>
      <c r="Q138" t="s">
        <v>82</v>
      </c>
      <c r="R138" t="s">
        <v>272</v>
      </c>
      <c r="S138" s="5" t="s">
        <v>83</v>
      </c>
      <c r="T138" t="s">
        <v>84</v>
      </c>
      <c r="V138" t="s">
        <v>143</v>
      </c>
      <c r="W138" t="s">
        <v>143</v>
      </c>
      <c r="X138" s="304" t="s">
        <v>103</v>
      </c>
      <c r="Y138" s="7"/>
      <c r="Z138" t="s">
        <v>86</v>
      </c>
      <c r="AA138">
        <v>40</v>
      </c>
      <c r="AC138" s="183"/>
      <c r="AE138" s="183"/>
      <c r="AH138" t="s">
        <v>94</v>
      </c>
      <c r="AL138" t="s">
        <v>83</v>
      </c>
      <c r="AM138" s="90">
        <v>3439.8</v>
      </c>
      <c r="AN138" s="184">
        <v>1.7</v>
      </c>
      <c r="AO138" s="15">
        <v>2751.84</v>
      </c>
      <c r="AS138">
        <v>20</v>
      </c>
      <c r="AT138">
        <v>12</v>
      </c>
      <c r="AU138" t="s">
        <v>257</v>
      </c>
      <c r="AV138">
        <v>12</v>
      </c>
      <c r="AW138" s="7" t="s">
        <v>258</v>
      </c>
      <c r="AY138">
        <v>0</v>
      </c>
      <c r="AZ138" t="s">
        <v>255</v>
      </c>
      <c r="BA138">
        <v>105</v>
      </c>
    </row>
    <row r="139" spans="1:53" ht="15.75" customHeight="1">
      <c r="A139" s="273">
        <v>41</v>
      </c>
      <c r="B139" s="273" t="str">
        <f t="shared" ref="B139:B202" si="12">IF(L139&gt;0,"NEAKTIVAN","AKTIVAN")</f>
        <v>NEAKTIVAN</v>
      </c>
      <c r="C139" s="302">
        <f t="shared" si="11"/>
        <v>137</v>
      </c>
      <c r="D139" s="1">
        <v>16</v>
      </c>
      <c r="E139" s="1" t="str">
        <f>VLOOKUP(D139,Table3[[#All],[RB]:[OIB]],2,0)</f>
        <v>HOME PLUS</v>
      </c>
      <c r="F139" s="4">
        <f>VLOOKUP(D139,Table3[],3,0)</f>
        <v>18241574410</v>
      </c>
      <c r="G139" s="1" t="str">
        <f>VLOOKUP(D139,Table3[],4,0)</f>
        <v>LASZLO TIBOR</v>
      </c>
      <c r="H139" s="1" t="str">
        <f>VLOOKUP(D139,POSLODAVCI!$A$2:$J$107,9,0)</f>
        <v>Osijek</v>
      </c>
      <c r="I139" s="1" t="str">
        <f>VLOOKUP(D139,Table3[],10,0)</f>
        <v>Ivana Gundulića 28</v>
      </c>
      <c r="J139" s="1" t="s">
        <v>201</v>
      </c>
      <c r="K139" s="61">
        <v>43245</v>
      </c>
      <c r="L139" s="61">
        <v>43370</v>
      </c>
      <c r="M139" s="182" t="s">
        <v>202</v>
      </c>
      <c r="N139" t="s">
        <v>80</v>
      </c>
      <c r="O139" s="7">
        <v>34624</v>
      </c>
      <c r="P139" t="s">
        <v>94</v>
      </c>
      <c r="Q139" t="s">
        <v>82</v>
      </c>
      <c r="R139" t="s">
        <v>290</v>
      </c>
      <c r="S139" s="5" t="s">
        <v>83</v>
      </c>
      <c r="T139" t="s">
        <v>84</v>
      </c>
      <c r="V139" t="s">
        <v>116</v>
      </c>
      <c r="W139" t="s">
        <v>116</v>
      </c>
      <c r="X139" s="304" t="s">
        <v>103</v>
      </c>
      <c r="Y139" s="7"/>
      <c r="Z139" t="s">
        <v>86</v>
      </c>
      <c r="AA139">
        <v>40</v>
      </c>
      <c r="AB139" s="16" t="s">
        <v>406</v>
      </c>
      <c r="AC139" s="131" t="s">
        <v>407</v>
      </c>
      <c r="AE139" s="183"/>
      <c r="AH139" t="s">
        <v>94</v>
      </c>
      <c r="AL139" t="s">
        <v>83</v>
      </c>
      <c r="AM139" s="90">
        <v>3750</v>
      </c>
      <c r="AN139" s="184">
        <v>1</v>
      </c>
      <c r="AO139" s="15">
        <v>3000</v>
      </c>
      <c r="AP139" s="15">
        <v>500</v>
      </c>
      <c r="AS139">
        <v>20</v>
      </c>
      <c r="AT139">
        <v>12</v>
      </c>
      <c r="AU139" t="s">
        <v>257</v>
      </c>
      <c r="AV139">
        <v>12</v>
      </c>
      <c r="AW139" s="7" t="s">
        <v>258</v>
      </c>
      <c r="AY139">
        <v>0</v>
      </c>
      <c r="AZ139" t="s">
        <v>255</v>
      </c>
      <c r="BA139">
        <v>49</v>
      </c>
    </row>
    <row r="140" spans="1:53" ht="15.75" customHeight="1">
      <c r="A140" s="273">
        <v>42</v>
      </c>
      <c r="B140" s="273" t="str">
        <f t="shared" si="12"/>
        <v>NEAKTIVAN</v>
      </c>
      <c r="C140" s="302">
        <f t="shared" si="11"/>
        <v>138</v>
      </c>
      <c r="D140" s="1">
        <v>16</v>
      </c>
      <c r="E140" s="1" t="str">
        <f>VLOOKUP(D140,Table3[[#All],[RB]:[OIB]],2,0)</f>
        <v>HOME PLUS</v>
      </c>
      <c r="F140" s="4">
        <f>VLOOKUP(D140,Table3[],3,0)</f>
        <v>18241574410</v>
      </c>
      <c r="G140" s="1" t="str">
        <f>VLOOKUP(D140,Table3[],4,0)</f>
        <v>LASZLO TIBOR</v>
      </c>
      <c r="H140" s="1" t="str">
        <f>VLOOKUP(D140,POSLODAVCI!$A$2:$J$107,9,0)</f>
        <v>Osijek</v>
      </c>
      <c r="I140" s="1" t="str">
        <f>VLOOKUP(D140,Table3[],10,0)</f>
        <v>Ivana Gundulića 28</v>
      </c>
      <c r="J140" s="1" t="s">
        <v>133</v>
      </c>
      <c r="K140" s="61">
        <v>43344</v>
      </c>
      <c r="L140" s="61">
        <v>43465</v>
      </c>
      <c r="M140" s="182" t="s">
        <v>134</v>
      </c>
      <c r="N140" t="s">
        <v>89</v>
      </c>
      <c r="O140" s="7">
        <v>34048</v>
      </c>
      <c r="P140" t="s">
        <v>94</v>
      </c>
      <c r="Q140" t="s">
        <v>82</v>
      </c>
      <c r="R140" t="s">
        <v>263</v>
      </c>
      <c r="S140" s="5" t="s">
        <v>83</v>
      </c>
      <c r="T140" t="s">
        <v>84</v>
      </c>
      <c r="V140" t="s">
        <v>116</v>
      </c>
      <c r="W140" t="s">
        <v>116</v>
      </c>
      <c r="X140" s="304" t="s">
        <v>103</v>
      </c>
      <c r="Y140" s="7"/>
      <c r="Z140" t="s">
        <v>86</v>
      </c>
      <c r="AA140">
        <v>40</v>
      </c>
      <c r="AC140" s="183"/>
      <c r="AE140" s="183"/>
      <c r="AH140" t="s">
        <v>94</v>
      </c>
      <c r="AL140" t="s">
        <v>83</v>
      </c>
      <c r="AM140" s="90">
        <v>3750</v>
      </c>
      <c r="AN140" s="184">
        <v>1</v>
      </c>
      <c r="AO140" s="15">
        <v>3000</v>
      </c>
      <c r="AP140" s="15">
        <v>100</v>
      </c>
      <c r="AS140">
        <v>20</v>
      </c>
      <c r="AT140">
        <v>12</v>
      </c>
      <c r="AU140" t="s">
        <v>257</v>
      </c>
      <c r="AV140">
        <v>12</v>
      </c>
      <c r="AW140" s="7" t="s">
        <v>258</v>
      </c>
      <c r="AY140">
        <v>0</v>
      </c>
      <c r="AZ140" t="s">
        <v>255</v>
      </c>
      <c r="BA140">
        <v>13</v>
      </c>
    </row>
    <row r="141" spans="1:53" ht="15.75" customHeight="1">
      <c r="A141" s="273">
        <v>43</v>
      </c>
      <c r="B141" s="273" t="str">
        <f t="shared" si="12"/>
        <v>NEAKTIVAN</v>
      </c>
      <c r="C141" s="302">
        <f t="shared" si="11"/>
        <v>139</v>
      </c>
      <c r="D141" s="1">
        <v>16</v>
      </c>
      <c r="E141" s="1" t="str">
        <f>VLOOKUP(D141,Table3[[#All],[RB]:[OIB]],2,0)</f>
        <v>HOME PLUS</v>
      </c>
      <c r="F141" s="4">
        <f>VLOOKUP(D141,Table3[],3,0)</f>
        <v>18241574410</v>
      </c>
      <c r="G141" s="1" t="str">
        <f>VLOOKUP(D141,Table3[],4,0)</f>
        <v>LASZLO TIBOR</v>
      </c>
      <c r="H141" s="1" t="str">
        <f>VLOOKUP(D141,POSLODAVCI!$A$2:$J$107,9,0)</f>
        <v>Osijek</v>
      </c>
      <c r="I141" s="1" t="str">
        <f>VLOOKUP(D141,Table3[],10,0)</f>
        <v>Ivana Gundulića 28</v>
      </c>
      <c r="J141" s="1" t="s">
        <v>328</v>
      </c>
      <c r="K141" s="61">
        <v>43252</v>
      </c>
      <c r="L141" s="61">
        <v>43465</v>
      </c>
      <c r="M141" s="182">
        <v>90926163669</v>
      </c>
      <c r="N141" t="s">
        <v>80</v>
      </c>
      <c r="O141" s="7">
        <v>32241</v>
      </c>
      <c r="P141" t="s">
        <v>94</v>
      </c>
      <c r="Q141" t="s">
        <v>82</v>
      </c>
      <c r="R141" t="s">
        <v>329</v>
      </c>
      <c r="S141" s="5" t="s">
        <v>83</v>
      </c>
      <c r="T141" t="s">
        <v>84</v>
      </c>
      <c r="V141" t="s">
        <v>143</v>
      </c>
      <c r="W141" t="s">
        <v>143</v>
      </c>
      <c r="X141" s="304" t="s">
        <v>103</v>
      </c>
      <c r="Y141" s="7"/>
      <c r="Z141" t="s">
        <v>86</v>
      </c>
      <c r="AA141">
        <v>40</v>
      </c>
      <c r="AC141" s="183"/>
      <c r="AE141" s="183"/>
      <c r="AH141" t="s">
        <v>94</v>
      </c>
      <c r="AM141" s="90">
        <v>3439.8</v>
      </c>
      <c r="AN141" s="184">
        <v>1</v>
      </c>
      <c r="AO141" s="15">
        <v>2751.84</v>
      </c>
      <c r="AS141">
        <v>16</v>
      </c>
      <c r="AT141">
        <v>12</v>
      </c>
      <c r="AU141" t="s">
        <v>257</v>
      </c>
      <c r="AV141">
        <v>12</v>
      </c>
      <c r="AW141" s="7" t="s">
        <v>258</v>
      </c>
      <c r="AZ141" t="s">
        <v>255</v>
      </c>
      <c r="BA141">
        <v>94</v>
      </c>
    </row>
    <row r="142" spans="1:53" ht="15.75" customHeight="1">
      <c r="A142" s="273">
        <v>44</v>
      </c>
      <c r="B142" s="273" t="str">
        <f t="shared" si="12"/>
        <v>AKTIVAN</v>
      </c>
      <c r="C142" s="302">
        <f t="shared" si="11"/>
        <v>140</v>
      </c>
      <c r="D142" s="1">
        <v>16</v>
      </c>
      <c r="E142" s="1" t="str">
        <f>VLOOKUP(D142,Table3[[#All],[RB]:[OIB]],2,0)</f>
        <v>HOME PLUS</v>
      </c>
      <c r="F142" s="4">
        <f>VLOOKUP(D142,Table3[],3,0)</f>
        <v>18241574410</v>
      </c>
      <c r="G142" s="1" t="str">
        <f>VLOOKUP(D142,Table3[],4,0)</f>
        <v>LASZLO TIBOR</v>
      </c>
      <c r="H142" s="1" t="str">
        <f>VLOOKUP(D142,POSLODAVCI!$A$2:$J$107,9,0)</f>
        <v>Osijek</v>
      </c>
      <c r="I142" s="1" t="str">
        <f>VLOOKUP(D142,Table3[],10,0)</f>
        <v>Ivana Gundulića 28</v>
      </c>
      <c r="J142" s="1" t="s">
        <v>408</v>
      </c>
      <c r="K142" s="61">
        <v>43346</v>
      </c>
      <c r="L142" s="61"/>
      <c r="M142" s="182">
        <v>31571736608</v>
      </c>
      <c r="N142" t="s">
        <v>80</v>
      </c>
      <c r="O142" s="7">
        <v>30010</v>
      </c>
      <c r="P142" t="s">
        <v>94</v>
      </c>
      <c r="Q142" t="s">
        <v>82</v>
      </c>
      <c r="R142" t="s">
        <v>409</v>
      </c>
      <c r="S142" s="5" t="s">
        <v>83</v>
      </c>
      <c r="T142" t="s">
        <v>84</v>
      </c>
      <c r="V142" t="s">
        <v>116</v>
      </c>
      <c r="W142" t="s">
        <v>116</v>
      </c>
      <c r="X142" s="304" t="s">
        <v>103</v>
      </c>
      <c r="Y142" s="7"/>
      <c r="Z142" t="s">
        <v>86</v>
      </c>
      <c r="AA142">
        <v>40</v>
      </c>
      <c r="AC142" s="183"/>
      <c r="AE142" s="183"/>
      <c r="AH142" t="s">
        <v>94</v>
      </c>
      <c r="AL142" t="s">
        <v>410</v>
      </c>
      <c r="AM142" s="90">
        <v>4375</v>
      </c>
      <c r="AN142" s="184">
        <v>1</v>
      </c>
      <c r="AO142" s="15">
        <v>3500</v>
      </c>
      <c r="AW142" s="7"/>
      <c r="AZ142" t="s">
        <v>374</v>
      </c>
      <c r="BA142">
        <v>104</v>
      </c>
    </row>
    <row r="143" spans="1:53" ht="15.75" customHeight="1">
      <c r="A143" s="273">
        <v>45</v>
      </c>
      <c r="B143" s="273" t="str">
        <f t="shared" si="12"/>
        <v>NEAKTIVAN</v>
      </c>
      <c r="C143" s="302">
        <f t="shared" si="11"/>
        <v>141</v>
      </c>
      <c r="D143" s="1">
        <v>16</v>
      </c>
      <c r="E143" s="1" t="str">
        <f>VLOOKUP(D143,Table3[[#All],[RB]:[OIB]],2,0)</f>
        <v>HOME PLUS</v>
      </c>
      <c r="F143" s="4">
        <f>VLOOKUP(D143,Table3[],3,0)</f>
        <v>18241574410</v>
      </c>
      <c r="G143" s="1" t="str">
        <f>VLOOKUP(D143,Table3[],4,0)</f>
        <v>LASZLO TIBOR</v>
      </c>
      <c r="H143" s="1" t="str">
        <f>VLOOKUP(D143,POSLODAVCI!$A$2:$J$107,9,0)</f>
        <v>Osijek</v>
      </c>
      <c r="I143" s="1" t="str">
        <f>VLOOKUP(D143,Table3[],10,0)</f>
        <v>Ivana Gundulića 28</v>
      </c>
      <c r="J143" s="1" t="s">
        <v>330</v>
      </c>
      <c r="K143" s="61">
        <v>43245</v>
      </c>
      <c r="L143" s="61">
        <v>43465</v>
      </c>
      <c r="M143" s="182">
        <v>46616191748</v>
      </c>
      <c r="N143" t="s">
        <v>80</v>
      </c>
      <c r="O143" s="7">
        <v>34389</v>
      </c>
      <c r="P143" t="s">
        <v>94</v>
      </c>
      <c r="Q143" t="s">
        <v>82</v>
      </c>
      <c r="R143" t="s">
        <v>331</v>
      </c>
      <c r="S143" s="5" t="s">
        <v>83</v>
      </c>
      <c r="T143" t="s">
        <v>84</v>
      </c>
      <c r="V143" t="s">
        <v>116</v>
      </c>
      <c r="W143" t="s">
        <v>116</v>
      </c>
      <c r="X143" s="304" t="s">
        <v>103</v>
      </c>
      <c r="Y143" s="7"/>
      <c r="Z143" t="s">
        <v>86</v>
      </c>
      <c r="AA143">
        <v>40</v>
      </c>
      <c r="AB143" s="16" t="s">
        <v>411</v>
      </c>
      <c r="AC143" s="131" t="s">
        <v>412</v>
      </c>
      <c r="AE143" s="183"/>
      <c r="AH143" t="s">
        <v>94</v>
      </c>
      <c r="AM143" s="90">
        <v>3750</v>
      </c>
      <c r="AN143" s="184">
        <v>1</v>
      </c>
      <c r="AO143" s="15">
        <v>3000</v>
      </c>
      <c r="AS143">
        <v>16</v>
      </c>
      <c r="AT143">
        <v>12</v>
      </c>
      <c r="AU143" t="s">
        <v>257</v>
      </c>
      <c r="AV143">
        <v>12</v>
      </c>
      <c r="AW143" s="7" t="s">
        <v>258</v>
      </c>
      <c r="AZ143" t="s">
        <v>255</v>
      </c>
      <c r="BA143">
        <v>93</v>
      </c>
    </row>
    <row r="144" spans="1:53" ht="15.75" customHeight="1">
      <c r="A144" s="273">
        <v>46</v>
      </c>
      <c r="B144" s="273" t="str">
        <f t="shared" si="12"/>
        <v>NEAKTIVAN</v>
      </c>
      <c r="C144" s="302">
        <f t="shared" si="11"/>
        <v>142</v>
      </c>
      <c r="D144" s="1">
        <v>16</v>
      </c>
      <c r="E144" s="1" t="str">
        <f>VLOOKUP(D144,Table3[[#All],[RB]:[OIB]],2,0)</f>
        <v>HOME PLUS</v>
      </c>
      <c r="F144" s="4">
        <f>VLOOKUP(D144,Table3[],3,0)</f>
        <v>18241574410</v>
      </c>
      <c r="G144" s="1" t="str">
        <f>VLOOKUP(D144,Table3[],4,0)</f>
        <v>LASZLO TIBOR</v>
      </c>
      <c r="H144" s="1" t="str">
        <f>VLOOKUP(D144,POSLODAVCI!$A$2:$J$107,9,0)</f>
        <v>Osijek</v>
      </c>
      <c r="I144" s="1" t="str">
        <f>VLOOKUP(D144,Table3[],10,0)</f>
        <v>Ivana Gundulića 28</v>
      </c>
      <c r="J144" s="1" t="s">
        <v>332</v>
      </c>
      <c r="K144" s="61">
        <v>43245</v>
      </c>
      <c r="L144" s="61">
        <v>43465</v>
      </c>
      <c r="M144" s="182">
        <v>32686911736</v>
      </c>
      <c r="N144" t="s">
        <v>89</v>
      </c>
      <c r="O144" s="7">
        <v>35114</v>
      </c>
      <c r="P144" t="s">
        <v>94</v>
      </c>
      <c r="Q144" t="s">
        <v>82</v>
      </c>
      <c r="R144" t="s">
        <v>333</v>
      </c>
      <c r="S144" s="5" t="s">
        <v>83</v>
      </c>
      <c r="T144" t="s">
        <v>84</v>
      </c>
      <c r="V144" t="s">
        <v>116</v>
      </c>
      <c r="W144" t="s">
        <v>116</v>
      </c>
      <c r="X144" s="304" t="s">
        <v>103</v>
      </c>
      <c r="Y144" s="7"/>
      <c r="Z144" t="s">
        <v>86</v>
      </c>
      <c r="AA144">
        <v>40</v>
      </c>
      <c r="AB144" s="16" t="s">
        <v>413</v>
      </c>
      <c r="AC144" s="131" t="s">
        <v>414</v>
      </c>
      <c r="AE144" s="183"/>
      <c r="AH144" t="s">
        <v>94</v>
      </c>
      <c r="AM144" s="90">
        <v>3750</v>
      </c>
      <c r="AN144" s="184">
        <v>1</v>
      </c>
      <c r="AO144" s="15">
        <v>3000</v>
      </c>
      <c r="AS144">
        <v>16</v>
      </c>
      <c r="AT144">
        <v>12</v>
      </c>
      <c r="AU144" t="s">
        <v>257</v>
      </c>
      <c r="AV144">
        <v>12</v>
      </c>
      <c r="AW144" s="7" t="s">
        <v>258</v>
      </c>
      <c r="AZ144" t="s">
        <v>255</v>
      </c>
      <c r="BA144">
        <v>95</v>
      </c>
    </row>
    <row r="145" spans="1:53" ht="15.75" customHeight="1">
      <c r="A145" s="273">
        <v>47</v>
      </c>
      <c r="B145" s="273" t="str">
        <f t="shared" si="12"/>
        <v>NEAKTIVAN</v>
      </c>
      <c r="C145" s="302">
        <f t="shared" si="11"/>
        <v>143</v>
      </c>
      <c r="D145" s="1">
        <v>16</v>
      </c>
      <c r="E145" s="1" t="str">
        <f>VLOOKUP(D145,Table3[[#All],[RB]:[OIB]],2,0)</f>
        <v>HOME PLUS</v>
      </c>
      <c r="F145" s="4">
        <f>VLOOKUP(D145,Table3[],3,0)</f>
        <v>18241574410</v>
      </c>
      <c r="G145" s="1" t="str">
        <f>VLOOKUP(D145,Table3[],4,0)</f>
        <v>LASZLO TIBOR</v>
      </c>
      <c r="H145" s="1" t="str">
        <f>VLOOKUP(D145,POSLODAVCI!$A$2:$J$107,9,0)</f>
        <v>Osijek</v>
      </c>
      <c r="I145" s="1" t="str">
        <f>VLOOKUP(D145,Table3[],10,0)</f>
        <v>Ivana Gundulića 28</v>
      </c>
      <c r="J145" s="1" t="s">
        <v>334</v>
      </c>
      <c r="K145" s="61">
        <v>43252</v>
      </c>
      <c r="L145" s="61">
        <v>43465</v>
      </c>
      <c r="M145" s="182">
        <v>91673634768</v>
      </c>
      <c r="N145" t="s">
        <v>80</v>
      </c>
      <c r="O145" s="7">
        <v>35655</v>
      </c>
      <c r="P145" t="s">
        <v>94</v>
      </c>
      <c r="Q145" t="s">
        <v>82</v>
      </c>
      <c r="R145" t="s">
        <v>335</v>
      </c>
      <c r="S145" s="5" t="s">
        <v>83</v>
      </c>
      <c r="T145" t="s">
        <v>84</v>
      </c>
      <c r="V145" t="s">
        <v>143</v>
      </c>
      <c r="W145" t="s">
        <v>143</v>
      </c>
      <c r="X145" s="304" t="s">
        <v>103</v>
      </c>
      <c r="Y145" s="7"/>
      <c r="Z145" t="s">
        <v>86</v>
      </c>
      <c r="AA145">
        <v>40</v>
      </c>
      <c r="AC145" s="183"/>
      <c r="AE145" s="183"/>
      <c r="AH145" t="s">
        <v>94</v>
      </c>
      <c r="AM145" s="90">
        <v>3439.8</v>
      </c>
      <c r="AN145" s="184">
        <v>1</v>
      </c>
      <c r="AO145" s="15">
        <v>2751.84</v>
      </c>
      <c r="AW145" s="7"/>
      <c r="AZ145" t="s">
        <v>255</v>
      </c>
      <c r="BA145">
        <v>96</v>
      </c>
    </row>
    <row r="146" spans="1:53" ht="15.75" customHeight="1">
      <c r="A146" s="273">
        <v>48</v>
      </c>
      <c r="B146" s="273" t="str">
        <f t="shared" si="12"/>
        <v>NEAKTIVAN</v>
      </c>
      <c r="C146" s="302">
        <f t="shared" si="11"/>
        <v>144</v>
      </c>
      <c r="D146" s="1">
        <v>16</v>
      </c>
      <c r="E146" s="1" t="str">
        <f>VLOOKUP(D146,Table3[[#All],[RB]:[OIB]],2,0)</f>
        <v>HOME PLUS</v>
      </c>
      <c r="F146" s="4">
        <f>VLOOKUP(D146,Table3[],3,0)</f>
        <v>18241574410</v>
      </c>
      <c r="G146" s="1" t="str">
        <f>VLOOKUP(D146,Table3[],4,0)</f>
        <v>LASZLO TIBOR</v>
      </c>
      <c r="H146" s="1" t="str">
        <f>VLOOKUP(D146,POSLODAVCI!$A$2:$J$107,9,0)</f>
        <v>Osijek</v>
      </c>
      <c r="I146" s="1" t="str">
        <f>VLOOKUP(D146,Table3[],10,0)</f>
        <v>Ivana Gundulića 28</v>
      </c>
      <c r="J146" s="1" t="s">
        <v>415</v>
      </c>
      <c r="K146" s="61">
        <v>43362</v>
      </c>
      <c r="L146" s="61">
        <v>43465</v>
      </c>
      <c r="M146" s="182">
        <v>74541092706</v>
      </c>
      <c r="N146" t="s">
        <v>89</v>
      </c>
      <c r="O146" s="7">
        <v>35058</v>
      </c>
      <c r="P146" t="s">
        <v>94</v>
      </c>
      <c r="Q146" t="s">
        <v>82</v>
      </c>
      <c r="R146" t="s">
        <v>416</v>
      </c>
      <c r="S146" s="5" t="s">
        <v>83</v>
      </c>
      <c r="T146" t="s">
        <v>84</v>
      </c>
      <c r="V146" t="s">
        <v>116</v>
      </c>
      <c r="W146" t="s">
        <v>116</v>
      </c>
      <c r="X146" s="304" t="s">
        <v>103</v>
      </c>
      <c r="Y146" s="7"/>
      <c r="Z146" t="s">
        <v>86</v>
      </c>
      <c r="AA146">
        <v>40</v>
      </c>
      <c r="AB146" t="s">
        <v>417</v>
      </c>
      <c r="AC146" s="183"/>
      <c r="AE146" s="183"/>
      <c r="AH146" t="s">
        <v>94</v>
      </c>
      <c r="AL146" t="s">
        <v>83</v>
      </c>
      <c r="AM146" s="90">
        <v>4375</v>
      </c>
      <c r="AN146" s="184">
        <v>1</v>
      </c>
      <c r="AO146" s="15">
        <v>3500</v>
      </c>
      <c r="AW146" s="7"/>
      <c r="AZ146" t="s">
        <v>255</v>
      </c>
      <c r="BA146">
        <v>106</v>
      </c>
    </row>
    <row r="147" spans="1:53" ht="15.75" customHeight="1">
      <c r="A147" s="273">
        <v>49</v>
      </c>
      <c r="B147" s="273" t="str">
        <f t="shared" si="12"/>
        <v>NEAKTIVAN</v>
      </c>
      <c r="C147" s="302">
        <f t="shared" si="11"/>
        <v>145</v>
      </c>
      <c r="D147" s="1">
        <v>16</v>
      </c>
      <c r="E147" s="1" t="str">
        <f>VLOOKUP(D147,Table3[[#All],[RB]:[OIB]],2,0)</f>
        <v>HOME PLUS</v>
      </c>
      <c r="F147" s="4">
        <f>VLOOKUP(D147,Table3[],3,0)</f>
        <v>18241574410</v>
      </c>
      <c r="G147" s="1" t="str">
        <f>VLOOKUP(D147,Table3[],4,0)</f>
        <v>LASZLO TIBOR</v>
      </c>
      <c r="H147" s="1" t="str">
        <f>VLOOKUP(D147,POSLODAVCI!$A$2:$J$107,9,0)</f>
        <v>Osijek</v>
      </c>
      <c r="I147" s="1" t="str">
        <f>VLOOKUP(D147,Table3[],10,0)</f>
        <v>Ivana Gundulića 28</v>
      </c>
      <c r="J147" s="1" t="s">
        <v>339</v>
      </c>
      <c r="K147" s="61">
        <v>43252</v>
      </c>
      <c r="L147" s="61">
        <v>43465</v>
      </c>
      <c r="M147" s="182">
        <v>40041577579</v>
      </c>
      <c r="N147" t="s">
        <v>80</v>
      </c>
      <c r="O147" s="7">
        <v>29215</v>
      </c>
      <c r="P147" t="s">
        <v>94</v>
      </c>
      <c r="Q147" t="s">
        <v>82</v>
      </c>
      <c r="R147" t="s">
        <v>340</v>
      </c>
      <c r="S147" s="5" t="s">
        <v>83</v>
      </c>
      <c r="T147" t="s">
        <v>84</v>
      </c>
      <c r="V147" t="s">
        <v>143</v>
      </c>
      <c r="W147" t="s">
        <v>143</v>
      </c>
      <c r="X147" s="304" t="s">
        <v>103</v>
      </c>
      <c r="Y147" s="7"/>
      <c r="Z147" t="s">
        <v>86</v>
      </c>
      <c r="AA147">
        <v>40</v>
      </c>
      <c r="AC147" s="183"/>
      <c r="AE147" s="183"/>
      <c r="AH147" t="s">
        <v>94</v>
      </c>
      <c r="AM147" s="90">
        <v>3439.8</v>
      </c>
      <c r="AN147" s="184">
        <v>1</v>
      </c>
      <c r="AO147" s="15">
        <v>2751.84</v>
      </c>
      <c r="AW147" s="7"/>
      <c r="AZ147" t="s">
        <v>255</v>
      </c>
      <c r="BA147">
        <v>97</v>
      </c>
    </row>
    <row r="148" spans="1:53" ht="15.75" customHeight="1">
      <c r="A148" s="273">
        <v>2</v>
      </c>
      <c r="B148" s="273" t="str">
        <f t="shared" si="12"/>
        <v>NEAKTIVAN</v>
      </c>
      <c r="C148" s="302">
        <f t="shared" si="11"/>
        <v>146</v>
      </c>
      <c r="D148" s="1">
        <v>12</v>
      </c>
      <c r="E148" s="1" t="str">
        <f>VLOOKUP(D148,Table3[[#All],[RB]:[OIB]],2,0)</f>
        <v>Gumenet d.o.o.</v>
      </c>
      <c r="F148" s="4">
        <f>VLOOKUP(D148,Table3[],3,0)</f>
        <v>15151568161</v>
      </c>
      <c r="G148" s="1" t="str">
        <f>VLOOKUP(D148,Table3[],4,0)</f>
        <v>Zoltan Buthi</v>
      </c>
      <c r="H148" s="1" t="str">
        <f>VLOOKUP(D148,POSLODAVCI!$A$2:$J$107,9,0)</f>
        <v>Osijek</v>
      </c>
      <c r="I148" s="1" t="str">
        <f>VLOOKUP(D148,Table3[],10,0)</f>
        <v>I.F. Gundulića 5, 31000 Osijek</v>
      </c>
      <c r="J148" s="1" t="s">
        <v>298</v>
      </c>
      <c r="K148" s="61">
        <v>43374</v>
      </c>
      <c r="L148" s="61">
        <v>45642</v>
      </c>
      <c r="M148" s="182">
        <v>40306045066</v>
      </c>
      <c r="N148" t="s">
        <v>89</v>
      </c>
      <c r="O148" s="7">
        <v>27103</v>
      </c>
      <c r="Q148" t="s">
        <v>82</v>
      </c>
      <c r="R148" t="s">
        <v>299</v>
      </c>
      <c r="S148" s="5" t="s">
        <v>83</v>
      </c>
      <c r="T148" t="s">
        <v>111</v>
      </c>
      <c r="V148" t="s">
        <v>300</v>
      </c>
      <c r="W148" t="s">
        <v>300</v>
      </c>
      <c r="X148" s="304" t="s">
        <v>103</v>
      </c>
      <c r="Y148" s="7"/>
      <c r="Z148" t="s">
        <v>86</v>
      </c>
      <c r="AA148">
        <v>40</v>
      </c>
      <c r="AC148" s="183"/>
      <c r="AE148" s="183"/>
      <c r="AH148" t="s">
        <v>94</v>
      </c>
      <c r="AL148" t="s">
        <v>83</v>
      </c>
      <c r="AM148" s="90">
        <v>3439.8</v>
      </c>
      <c r="AN148" s="184">
        <v>1</v>
      </c>
      <c r="AO148" s="15">
        <v>2751.84</v>
      </c>
      <c r="AP148" s="15">
        <v>0</v>
      </c>
      <c r="AZ148" t="str">
        <f>IF(L148&gt;0,"NEAKTIVAN","AKTIVAN")</f>
        <v>NEAKTIVAN</v>
      </c>
      <c r="BA148">
        <v>103</v>
      </c>
    </row>
    <row r="149" spans="1:53" ht="15.75" customHeight="1">
      <c r="A149" s="273">
        <v>50</v>
      </c>
      <c r="B149" s="273" t="str">
        <f t="shared" si="12"/>
        <v>NEAKTIVAN</v>
      </c>
      <c r="C149" s="302">
        <f t="shared" si="11"/>
        <v>147</v>
      </c>
      <c r="D149" s="1">
        <v>16</v>
      </c>
      <c r="E149" s="1" t="str">
        <f>VLOOKUP(D149,Table3[[#All],[RB]:[OIB]],2,0)</f>
        <v>HOME PLUS</v>
      </c>
      <c r="F149" s="4">
        <f>VLOOKUP(D149,Table3[],3,0)</f>
        <v>18241574410</v>
      </c>
      <c r="G149" s="1" t="str">
        <f>VLOOKUP(D149,Table3[],4,0)</f>
        <v>LASZLO TIBOR</v>
      </c>
      <c r="H149" s="1" t="str">
        <f>VLOOKUP(D149,POSLODAVCI!$A$2:$J$107,9,0)</f>
        <v>Osijek</v>
      </c>
      <c r="I149" s="1" t="str">
        <f>VLOOKUP(D149,Table3[],10,0)</f>
        <v>Ivana Gundulića 28</v>
      </c>
      <c r="J149" s="1" t="s">
        <v>346</v>
      </c>
      <c r="K149" s="61">
        <v>43252</v>
      </c>
      <c r="L149" s="61">
        <v>43465</v>
      </c>
      <c r="M149" s="182">
        <v>21298366100</v>
      </c>
      <c r="N149" t="s">
        <v>80</v>
      </c>
      <c r="O149" s="7">
        <v>26200</v>
      </c>
      <c r="P149" t="s">
        <v>306</v>
      </c>
      <c r="Q149" t="s">
        <v>82</v>
      </c>
      <c r="R149" t="s">
        <v>347</v>
      </c>
      <c r="S149" s="5" t="s">
        <v>83</v>
      </c>
      <c r="T149" t="s">
        <v>84</v>
      </c>
      <c r="V149" t="s">
        <v>143</v>
      </c>
      <c r="W149" t="s">
        <v>143</v>
      </c>
      <c r="X149" s="304" t="s">
        <v>103</v>
      </c>
      <c r="Y149" s="7"/>
      <c r="Z149" t="s">
        <v>86</v>
      </c>
      <c r="AA149">
        <v>40</v>
      </c>
      <c r="AC149" s="183"/>
      <c r="AE149" s="183"/>
      <c r="AH149" s="16" t="s">
        <v>94</v>
      </c>
      <c r="AM149" s="90">
        <v>3439.8</v>
      </c>
      <c r="AN149" s="184">
        <v>1</v>
      </c>
      <c r="AO149" s="15">
        <v>2751.48</v>
      </c>
      <c r="AW149" s="7"/>
      <c r="AZ149" t="s">
        <v>255</v>
      </c>
      <c r="BA149">
        <v>98</v>
      </c>
    </row>
    <row r="150" spans="1:53" ht="15.75" customHeight="1">
      <c r="A150" s="273">
        <v>41</v>
      </c>
      <c r="B150" s="273" t="str">
        <f t="shared" si="12"/>
        <v>NEAKTIVAN</v>
      </c>
      <c r="C150" s="302">
        <f t="shared" si="11"/>
        <v>148</v>
      </c>
      <c r="D150" s="1">
        <v>16</v>
      </c>
      <c r="E150" s="1" t="str">
        <f>VLOOKUP(D150,Table3[[#All],[RB]:[OIB]],2,0)</f>
        <v>HOME PLUS</v>
      </c>
      <c r="F150" s="4">
        <f>VLOOKUP(D150,Table3[],3,0)</f>
        <v>18241574410</v>
      </c>
      <c r="G150" s="1" t="str">
        <f>VLOOKUP(D150,Table3[],4,0)</f>
        <v>LASZLO TIBOR</v>
      </c>
      <c r="H150" s="1" t="str">
        <f>VLOOKUP(D150,POSLODAVCI!$A$2:$J$107,9,0)</f>
        <v>Osijek</v>
      </c>
      <c r="I150" s="1" t="str">
        <f>VLOOKUP(D150,Table3[],10,0)</f>
        <v>Ivana Gundulića 28</v>
      </c>
      <c r="J150" s="1" t="s">
        <v>358</v>
      </c>
      <c r="K150" s="61">
        <v>43252</v>
      </c>
      <c r="L150" s="61">
        <v>43465</v>
      </c>
      <c r="M150" s="182">
        <v>27422215847</v>
      </c>
      <c r="N150" t="s">
        <v>80</v>
      </c>
      <c r="O150" s="7">
        <v>35182</v>
      </c>
      <c r="Q150" t="s">
        <v>82</v>
      </c>
      <c r="R150" t="s">
        <v>359</v>
      </c>
      <c r="S150" s="5" t="s">
        <v>83</v>
      </c>
      <c r="T150" t="s">
        <v>84</v>
      </c>
      <c r="V150" t="s">
        <v>143</v>
      </c>
      <c r="W150" t="s">
        <v>143</v>
      </c>
      <c r="X150" s="304" t="s">
        <v>103</v>
      </c>
      <c r="Y150" s="7"/>
      <c r="Z150" t="s">
        <v>86</v>
      </c>
      <c r="AA150">
        <v>40</v>
      </c>
      <c r="AC150" s="183"/>
      <c r="AE150" s="183"/>
      <c r="AH150" t="s">
        <v>94</v>
      </c>
      <c r="AM150" s="90">
        <v>3439.8</v>
      </c>
      <c r="AN150" s="184">
        <v>1</v>
      </c>
      <c r="AO150" s="15">
        <v>2751.48</v>
      </c>
      <c r="AW150" s="7"/>
      <c r="AZ150" t="s">
        <v>255</v>
      </c>
      <c r="BA150">
        <v>100</v>
      </c>
    </row>
    <row r="151" spans="1:53" ht="15.75" customHeight="1">
      <c r="A151" s="273">
        <v>52</v>
      </c>
      <c r="B151" s="273" t="str">
        <f t="shared" si="12"/>
        <v>NEAKTIVAN</v>
      </c>
      <c r="C151" s="302">
        <f t="shared" si="11"/>
        <v>149</v>
      </c>
      <c r="D151" s="1">
        <v>16</v>
      </c>
      <c r="E151" s="1" t="str">
        <f>VLOOKUP(D151,Table3[[#All],[RB]:[OIB]],2,0)</f>
        <v>HOME PLUS</v>
      </c>
      <c r="F151" s="4">
        <f>VLOOKUP(D151,Table3[],3,0)</f>
        <v>18241574410</v>
      </c>
      <c r="G151" s="1" t="str">
        <f>VLOOKUP(D151,Table3[],4,0)</f>
        <v>LASZLO TIBOR</v>
      </c>
      <c r="H151" s="1" t="str">
        <f>VLOOKUP(D151,POSLODAVCI!$A$2:$J$107,9,0)</f>
        <v>Osijek</v>
      </c>
      <c r="I151" s="1" t="str">
        <f>VLOOKUP(D151,Table3[],10,0)</f>
        <v>Ivana Gundulića 28</v>
      </c>
      <c r="J151" s="1" t="s">
        <v>228</v>
      </c>
      <c r="K151" s="61">
        <v>43252</v>
      </c>
      <c r="L151" s="61">
        <v>43373</v>
      </c>
      <c r="M151" s="182">
        <v>46438404550</v>
      </c>
      <c r="N151" t="s">
        <v>80</v>
      </c>
      <c r="O151" s="7">
        <v>32241</v>
      </c>
      <c r="P151" t="s">
        <v>81</v>
      </c>
      <c r="Q151" t="s">
        <v>82</v>
      </c>
      <c r="R151" t="s">
        <v>229</v>
      </c>
      <c r="T151" t="s">
        <v>84</v>
      </c>
      <c r="V151" t="s">
        <v>143</v>
      </c>
      <c r="W151" t="s">
        <v>143</v>
      </c>
      <c r="X151" s="304" t="s">
        <v>103</v>
      </c>
      <c r="Y151" s="7"/>
      <c r="Z151" t="s">
        <v>86</v>
      </c>
      <c r="AA151">
        <v>40</v>
      </c>
      <c r="AC151" s="183"/>
      <c r="AE151" s="183"/>
      <c r="AH151" t="s">
        <v>94</v>
      </c>
      <c r="AL151" t="s">
        <v>83</v>
      </c>
      <c r="AM151" s="90">
        <v>3439.8</v>
      </c>
      <c r="AN151" s="184">
        <v>1</v>
      </c>
      <c r="AO151" s="15">
        <v>2751.84</v>
      </c>
      <c r="AS151">
        <v>20</v>
      </c>
      <c r="AT151">
        <v>12</v>
      </c>
      <c r="AU151" t="s">
        <v>257</v>
      </c>
      <c r="AV151">
        <v>12</v>
      </c>
      <c r="AW151" s="7" t="s">
        <v>258</v>
      </c>
      <c r="AY151">
        <v>0</v>
      </c>
      <c r="AZ151" t="s">
        <v>255</v>
      </c>
      <c r="BA151">
        <v>74</v>
      </c>
    </row>
    <row r="152" spans="1:53" ht="15.75" customHeight="1">
      <c r="A152" s="273">
        <v>53</v>
      </c>
      <c r="B152" s="273" t="str">
        <f t="shared" si="12"/>
        <v>NEAKTIVAN</v>
      </c>
      <c r="C152" s="302">
        <f t="shared" si="11"/>
        <v>150</v>
      </c>
      <c r="D152" s="1">
        <v>16</v>
      </c>
      <c r="E152" s="1" t="str">
        <f>VLOOKUP(D152,Table3[[#All],[RB]:[OIB]],2,0)</f>
        <v>HOME PLUS</v>
      </c>
      <c r="F152" s="4">
        <f>VLOOKUP(D152,Table3[],3,0)</f>
        <v>18241574410</v>
      </c>
      <c r="G152" s="1" t="str">
        <f>VLOOKUP(D152,Table3[],4,0)</f>
        <v>LASZLO TIBOR</v>
      </c>
      <c r="H152" s="1" t="str">
        <f>VLOOKUP(D152,POSLODAVCI!$A$2:$J$107,9,0)</f>
        <v>Osijek</v>
      </c>
      <c r="I152" s="1" t="str">
        <f>VLOOKUP(D152,Table3[],10,0)</f>
        <v>Ivana Gundulića 28</v>
      </c>
      <c r="J152" s="1" t="s">
        <v>79</v>
      </c>
      <c r="K152" s="61">
        <v>43376</v>
      </c>
      <c r="L152" s="61">
        <v>43465</v>
      </c>
      <c r="M152" s="182">
        <v>37394837225</v>
      </c>
      <c r="N152" t="s">
        <v>80</v>
      </c>
      <c r="O152" s="7">
        <v>35135</v>
      </c>
      <c r="P152" t="s">
        <v>94</v>
      </c>
      <c r="Q152" t="s">
        <v>82</v>
      </c>
      <c r="R152" t="s">
        <v>419</v>
      </c>
      <c r="S152" s="5" t="s">
        <v>83</v>
      </c>
      <c r="T152" t="s">
        <v>84</v>
      </c>
      <c r="V152" t="s">
        <v>143</v>
      </c>
      <c r="W152" t="s">
        <v>143</v>
      </c>
      <c r="X152" s="304" t="s">
        <v>85</v>
      </c>
      <c r="Y152" s="7">
        <v>43407</v>
      </c>
      <c r="Z152" t="s">
        <v>86</v>
      </c>
      <c r="AA152">
        <v>40</v>
      </c>
      <c r="AB152" t="s">
        <v>420</v>
      </c>
      <c r="AC152" s="183"/>
      <c r="AE152" s="183"/>
      <c r="AH152" t="s">
        <v>421</v>
      </c>
      <c r="AL152" t="s">
        <v>83</v>
      </c>
      <c r="AM152" s="90">
        <v>3439.8</v>
      </c>
      <c r="AN152" s="184">
        <v>1</v>
      </c>
      <c r="AO152" s="15">
        <v>2751.84</v>
      </c>
      <c r="AW152" s="7"/>
      <c r="AZ152" t="s">
        <v>255</v>
      </c>
      <c r="BA152">
        <v>107</v>
      </c>
    </row>
    <row r="153" spans="1:53" ht="15.75" customHeight="1">
      <c r="A153" s="273">
        <v>54</v>
      </c>
      <c r="B153" s="273" t="str">
        <f t="shared" si="12"/>
        <v>NEAKTIVAN</v>
      </c>
      <c r="C153" s="302">
        <f t="shared" si="11"/>
        <v>151</v>
      </c>
      <c r="D153" s="1">
        <v>16</v>
      </c>
      <c r="E153" s="1" t="str">
        <f>VLOOKUP(D153,Table3[[#All],[RB]:[OIB]],2,0)</f>
        <v>HOME PLUS</v>
      </c>
      <c r="F153" s="4">
        <f>VLOOKUP(D153,Table3[],3,0)</f>
        <v>18241574410</v>
      </c>
      <c r="G153" s="1" t="str">
        <f>VLOOKUP(D153,Table3[],4,0)</f>
        <v>LASZLO TIBOR</v>
      </c>
      <c r="H153" s="1" t="str">
        <f>VLOOKUP(D153,POSLODAVCI!$A$2:$J$107,9,0)</f>
        <v>Osijek</v>
      </c>
      <c r="I153" s="1" t="str">
        <f>VLOOKUP(D153,Table3[],10,0)</f>
        <v>Ivana Gundulića 28</v>
      </c>
      <c r="J153" s="1" t="s">
        <v>319</v>
      </c>
      <c r="K153" s="61">
        <v>43257</v>
      </c>
      <c r="L153" s="61">
        <v>43465</v>
      </c>
      <c r="M153" s="182">
        <v>27081082594</v>
      </c>
      <c r="N153" t="s">
        <v>80</v>
      </c>
      <c r="O153" s="7">
        <v>26341</v>
      </c>
      <c r="P153" t="s">
        <v>94</v>
      </c>
      <c r="Q153" t="s">
        <v>82</v>
      </c>
      <c r="R153" t="s">
        <v>320</v>
      </c>
      <c r="S153" s="5" t="s">
        <v>83</v>
      </c>
      <c r="T153" t="s">
        <v>84</v>
      </c>
      <c r="V153" t="s">
        <v>143</v>
      </c>
      <c r="W153" t="s">
        <v>143</v>
      </c>
      <c r="X153" s="304" t="s">
        <v>103</v>
      </c>
      <c r="Y153" s="7"/>
      <c r="Z153" t="s">
        <v>86</v>
      </c>
      <c r="AA153">
        <v>40</v>
      </c>
      <c r="AB153" t="s">
        <v>422</v>
      </c>
      <c r="AC153" s="183"/>
      <c r="AE153" s="183"/>
      <c r="AH153" t="s">
        <v>94</v>
      </c>
      <c r="AM153" s="90">
        <v>3439.8</v>
      </c>
      <c r="AN153" s="184">
        <v>1</v>
      </c>
      <c r="AO153" s="15">
        <v>2751.84</v>
      </c>
      <c r="AS153">
        <v>19</v>
      </c>
      <c r="AT153">
        <v>12</v>
      </c>
      <c r="AU153" t="s">
        <v>257</v>
      </c>
      <c r="AV153">
        <v>12</v>
      </c>
      <c r="AW153" s="7" t="s">
        <v>258</v>
      </c>
      <c r="AY153">
        <v>0</v>
      </c>
      <c r="AZ153" t="s">
        <v>255</v>
      </c>
      <c r="BA153">
        <v>88</v>
      </c>
    </row>
    <row r="154" spans="1:53" ht="15.75" customHeight="1">
      <c r="A154" s="273">
        <v>11</v>
      </c>
      <c r="B154" s="273" t="str">
        <f t="shared" si="12"/>
        <v>NEAKTIVAN</v>
      </c>
      <c r="C154" s="302">
        <f t="shared" si="11"/>
        <v>152</v>
      </c>
      <c r="D154" s="1">
        <v>3</v>
      </c>
      <c r="E154" s="1" t="str">
        <f>VLOOKUP(D154,Table3[[#All],[RB]:[OIB]],2,0)</f>
        <v>AGRO PMD d.o.o.</v>
      </c>
      <c r="F154" s="4" t="str">
        <f>VLOOKUP(D154,Table3[],3,0)</f>
        <v>09677499852</v>
      </c>
      <c r="G154" s="1" t="str">
        <f>VLOOKUP(D154,Table3[],4,0)</f>
        <v>Imre Bata</v>
      </c>
      <c r="H154" s="1" t="str">
        <f>VLOOKUP(D154,POSLODAVCI!$A$2:$J$107,9,0)</f>
        <v>Osijek</v>
      </c>
      <c r="I154" s="1" t="str">
        <f>VLOOKUP(D154,Table3[],10,0)</f>
        <v>Južno Pregrađe 38, Osijek</v>
      </c>
      <c r="J154" s="1" t="s">
        <v>423</v>
      </c>
      <c r="K154" s="61">
        <v>43376</v>
      </c>
      <c r="L154" s="61">
        <v>43465</v>
      </c>
      <c r="M154" s="182">
        <v>12344487939</v>
      </c>
      <c r="N154" t="s">
        <v>80</v>
      </c>
      <c r="O154" s="7">
        <v>27349</v>
      </c>
      <c r="P154" t="s">
        <v>94</v>
      </c>
      <c r="Q154" t="s">
        <v>82</v>
      </c>
      <c r="R154" t="s">
        <v>424</v>
      </c>
      <c r="S154" s="5" t="s">
        <v>83</v>
      </c>
      <c r="T154" t="s">
        <v>84</v>
      </c>
      <c r="V154" t="s">
        <v>93</v>
      </c>
      <c r="W154" t="s">
        <v>93</v>
      </c>
      <c r="X154" s="304" t="s">
        <v>85</v>
      </c>
      <c r="Y154" s="7">
        <v>43465</v>
      </c>
      <c r="Z154" t="s">
        <v>86</v>
      </c>
      <c r="AA154">
        <v>40</v>
      </c>
      <c r="AB154" t="s">
        <v>425</v>
      </c>
      <c r="AC154" s="183"/>
      <c r="AE154" s="183"/>
      <c r="AH154" t="s">
        <v>94</v>
      </c>
      <c r="AL154" t="s">
        <v>83</v>
      </c>
      <c r="AM154" s="90">
        <v>6808.18</v>
      </c>
      <c r="AN154" s="184">
        <v>1</v>
      </c>
      <c r="AO154" s="15">
        <v>5000</v>
      </c>
      <c r="AW154" s="7"/>
      <c r="AX154" s="16"/>
      <c r="AY154" s="16"/>
      <c r="AZ154" s="16" t="s">
        <v>255</v>
      </c>
      <c r="BA154">
        <f>A154</f>
        <v>11</v>
      </c>
    </row>
    <row r="155" spans="1:53" ht="15.75" customHeight="1">
      <c r="A155" s="273">
        <v>55</v>
      </c>
      <c r="B155" s="273" t="str">
        <f t="shared" si="12"/>
        <v>NEAKTIVAN</v>
      </c>
      <c r="C155" s="302">
        <f t="shared" si="11"/>
        <v>153</v>
      </c>
      <c r="D155" s="1">
        <v>16</v>
      </c>
      <c r="E155" s="1" t="str">
        <f>VLOOKUP(D155,Table3[[#All],[RB]:[OIB]],2,0)</f>
        <v>HOME PLUS</v>
      </c>
      <c r="F155" s="4">
        <f>VLOOKUP(D155,Table3[],3,0)</f>
        <v>18241574410</v>
      </c>
      <c r="G155" s="1" t="str">
        <f>VLOOKUP(D155,Table3[],4,0)</f>
        <v>LASZLO TIBOR</v>
      </c>
      <c r="H155" s="1" t="str">
        <f>VLOOKUP(D155,POSLODAVCI!$A$2:$J$107,9,0)</f>
        <v>Osijek</v>
      </c>
      <c r="I155" s="1" t="str">
        <f>VLOOKUP(D155,Table3[],10,0)</f>
        <v>Ivana Gundulića 28</v>
      </c>
      <c r="J155" s="1" t="s">
        <v>220</v>
      </c>
      <c r="K155" s="61">
        <v>43245</v>
      </c>
      <c r="L155" s="61">
        <v>43384</v>
      </c>
      <c r="M155" s="182">
        <v>18058630382</v>
      </c>
      <c r="N155" t="s">
        <v>89</v>
      </c>
      <c r="O155" s="7">
        <v>34896</v>
      </c>
      <c r="P155" t="s">
        <v>81</v>
      </c>
      <c r="Q155" t="s">
        <v>82</v>
      </c>
      <c r="R155" t="s">
        <v>292</v>
      </c>
      <c r="S155" s="5" t="s">
        <v>83</v>
      </c>
      <c r="T155" t="s">
        <v>84</v>
      </c>
      <c r="V155" t="s">
        <v>116</v>
      </c>
      <c r="W155" t="s">
        <v>116</v>
      </c>
      <c r="X155" s="304" t="s">
        <v>103</v>
      </c>
      <c r="Y155" s="7"/>
      <c r="Z155" t="s">
        <v>86</v>
      </c>
      <c r="AA155">
        <v>40</v>
      </c>
      <c r="AB155" t="s">
        <v>426</v>
      </c>
      <c r="AC155" s="131" t="s">
        <v>427</v>
      </c>
      <c r="AE155" s="183"/>
      <c r="AH155" t="s">
        <v>219</v>
      </c>
      <c r="AL155" t="s">
        <v>83</v>
      </c>
      <c r="AM155" s="90">
        <v>3750</v>
      </c>
      <c r="AN155" s="184">
        <v>1</v>
      </c>
      <c r="AO155" s="15">
        <v>3000</v>
      </c>
      <c r="AP155" s="15">
        <v>500</v>
      </c>
      <c r="AS155">
        <v>20</v>
      </c>
      <c r="AT155">
        <v>12</v>
      </c>
      <c r="AU155" t="s">
        <v>257</v>
      </c>
      <c r="AV155">
        <v>12</v>
      </c>
      <c r="AW155" s="7" t="s">
        <v>258</v>
      </c>
      <c r="AY155">
        <v>0</v>
      </c>
      <c r="AZ155" t="s">
        <v>255</v>
      </c>
      <c r="BA155">
        <v>71</v>
      </c>
    </row>
    <row r="156" spans="1:53" ht="15.75" customHeight="1">
      <c r="A156" s="273">
        <v>56</v>
      </c>
      <c r="B156" s="273" t="str">
        <f t="shared" si="12"/>
        <v>NEAKTIVAN</v>
      </c>
      <c r="C156" s="302">
        <f t="shared" si="11"/>
        <v>154</v>
      </c>
      <c r="D156" s="1">
        <v>16</v>
      </c>
      <c r="E156" s="1" t="str">
        <f>VLOOKUP(D156,Table3[[#All],[RB]:[OIB]],2,0)</f>
        <v>HOME PLUS</v>
      </c>
      <c r="F156" s="4">
        <f>VLOOKUP(D156,Table3[],3,0)</f>
        <v>18241574410</v>
      </c>
      <c r="G156" s="1" t="str">
        <f>VLOOKUP(D156,Table3[],4,0)</f>
        <v>LASZLO TIBOR</v>
      </c>
      <c r="H156" s="1" t="str">
        <f>VLOOKUP(D156,POSLODAVCI!$A$2:$J$107,9,0)</f>
        <v>Osijek</v>
      </c>
      <c r="I156" s="1" t="str">
        <f>VLOOKUP(D156,Table3[],10,0)</f>
        <v>Ivana Gundulića 28</v>
      </c>
      <c r="J156" s="1" t="s">
        <v>429</v>
      </c>
      <c r="K156" s="61">
        <v>43382</v>
      </c>
      <c r="L156" s="61">
        <v>43424</v>
      </c>
      <c r="M156" s="182">
        <v>46973378536</v>
      </c>
      <c r="N156" t="s">
        <v>89</v>
      </c>
      <c r="O156" s="7">
        <v>36829</v>
      </c>
      <c r="P156" t="s">
        <v>94</v>
      </c>
      <c r="Q156" t="s">
        <v>82</v>
      </c>
      <c r="R156" t="s">
        <v>430</v>
      </c>
      <c r="S156" s="5" t="s">
        <v>83</v>
      </c>
      <c r="T156" t="s">
        <v>84</v>
      </c>
      <c r="V156" t="s">
        <v>116</v>
      </c>
      <c r="W156" t="s">
        <v>116</v>
      </c>
      <c r="X156" s="304" t="s">
        <v>85</v>
      </c>
      <c r="Y156" s="7"/>
      <c r="Z156" t="s">
        <v>86</v>
      </c>
      <c r="AA156">
        <v>40</v>
      </c>
      <c r="AB156" t="s">
        <v>425</v>
      </c>
      <c r="AC156" s="183"/>
      <c r="AE156" s="183"/>
      <c r="AH156" t="s">
        <v>94</v>
      </c>
      <c r="AL156" t="s">
        <v>83</v>
      </c>
      <c r="AM156" s="90">
        <v>4375</v>
      </c>
      <c r="AN156" s="184">
        <v>1</v>
      </c>
      <c r="AO156" s="15">
        <v>3500</v>
      </c>
      <c r="AW156" s="7"/>
      <c r="AX156" s="16"/>
      <c r="AY156" s="16"/>
      <c r="AZ156" t="s">
        <v>255</v>
      </c>
      <c r="BA156" s="16">
        <v>108</v>
      </c>
    </row>
    <row r="157" spans="1:53" ht="15.75" customHeight="1">
      <c r="A157" s="273">
        <v>57</v>
      </c>
      <c r="B157" s="273" t="str">
        <f t="shared" si="12"/>
        <v>NEAKTIVAN</v>
      </c>
      <c r="C157" s="302">
        <f t="shared" si="11"/>
        <v>155</v>
      </c>
      <c r="D157" s="1">
        <v>16</v>
      </c>
      <c r="E157" s="1" t="str">
        <f>VLOOKUP(D157,Table3[[#All],[RB]:[OIB]],2,0)</f>
        <v>HOME PLUS</v>
      </c>
      <c r="F157" s="4">
        <f>VLOOKUP(D157,Table3[],3,0)</f>
        <v>18241574410</v>
      </c>
      <c r="G157" s="1" t="str">
        <f>VLOOKUP(D157,Table3[],4,0)</f>
        <v>LASZLO TIBOR</v>
      </c>
      <c r="H157" s="1" t="str">
        <f>VLOOKUP(D157,POSLODAVCI!$A$2:$J$107,9,0)</f>
        <v>Osijek</v>
      </c>
      <c r="I157" s="1" t="str">
        <f>VLOOKUP(D157,Table3[],10,0)</f>
        <v>Ivana Gundulića 28</v>
      </c>
      <c r="J157" s="1" t="s">
        <v>433</v>
      </c>
      <c r="K157" s="61">
        <v>43392</v>
      </c>
      <c r="L157" s="61">
        <v>43465</v>
      </c>
      <c r="M157" s="182">
        <v>89349780831</v>
      </c>
      <c r="N157" t="s">
        <v>80</v>
      </c>
      <c r="O157" s="7">
        <v>35251</v>
      </c>
      <c r="P157" t="s">
        <v>94</v>
      </c>
      <c r="Q157" t="s">
        <v>82</v>
      </c>
      <c r="R157" t="s">
        <v>434</v>
      </c>
      <c r="S157" s="5" t="s">
        <v>83</v>
      </c>
      <c r="T157" t="s">
        <v>84</v>
      </c>
      <c r="V157" t="s">
        <v>116</v>
      </c>
      <c r="W157" t="s">
        <v>116</v>
      </c>
      <c r="X157" s="304" t="s">
        <v>103</v>
      </c>
      <c r="Y157" s="7"/>
      <c r="Z157" t="s">
        <v>86</v>
      </c>
      <c r="AA157">
        <v>40</v>
      </c>
      <c r="AB157" t="s">
        <v>435</v>
      </c>
      <c r="AC157" s="183"/>
      <c r="AE157" s="183"/>
      <c r="AH157" t="s">
        <v>94</v>
      </c>
      <c r="AL157" t="s">
        <v>83</v>
      </c>
      <c r="AM157" s="90">
        <v>4375</v>
      </c>
      <c r="AN157" s="184">
        <v>1</v>
      </c>
      <c r="AO157" s="15">
        <v>3500</v>
      </c>
      <c r="AW157" s="7"/>
      <c r="AZ157" t="s">
        <v>255</v>
      </c>
      <c r="BA157">
        <v>109</v>
      </c>
    </row>
    <row r="158" spans="1:53" ht="15.75" customHeight="1">
      <c r="A158" s="273">
        <v>58</v>
      </c>
      <c r="B158" s="273" t="str">
        <f t="shared" si="12"/>
        <v>NEAKTIVAN</v>
      </c>
      <c r="C158" s="302">
        <f t="shared" si="11"/>
        <v>156</v>
      </c>
      <c r="D158" s="1">
        <v>16</v>
      </c>
      <c r="E158" s="1" t="str">
        <f>VLOOKUP(D158,Table3[[#All],[RB]:[OIB]],2,0)</f>
        <v>HOME PLUS</v>
      </c>
      <c r="F158" s="4">
        <f>VLOOKUP(D158,Table3[],3,0)</f>
        <v>18241574410</v>
      </c>
      <c r="G158" s="1" t="str">
        <f>VLOOKUP(D158,Table3[],4,0)</f>
        <v>LASZLO TIBOR</v>
      </c>
      <c r="H158" s="1" t="str">
        <f>VLOOKUP(D158,POSLODAVCI!$A$2:$J$107,9,0)</f>
        <v>Osijek</v>
      </c>
      <c r="I158" s="1" t="str">
        <f>VLOOKUP(D158,Table3[],10,0)</f>
        <v>Ivana Gundulića 28</v>
      </c>
      <c r="J158" s="1" t="s">
        <v>436</v>
      </c>
      <c r="K158" s="61">
        <v>43395</v>
      </c>
      <c r="L158" s="61">
        <v>43465</v>
      </c>
      <c r="M158" s="182">
        <v>75824709921</v>
      </c>
      <c r="N158" t="s">
        <v>89</v>
      </c>
      <c r="O158" s="7">
        <v>43252</v>
      </c>
      <c r="P158" t="s">
        <v>94</v>
      </c>
      <c r="Q158" t="s">
        <v>82</v>
      </c>
      <c r="R158" t="s">
        <v>437</v>
      </c>
      <c r="S158" s="5" t="s">
        <v>83</v>
      </c>
      <c r="T158" t="s">
        <v>84</v>
      </c>
      <c r="V158" t="s">
        <v>116</v>
      </c>
      <c r="W158" t="s">
        <v>116</v>
      </c>
      <c r="X158" s="304" t="s">
        <v>103</v>
      </c>
      <c r="Y158" s="7"/>
      <c r="Z158" t="s">
        <v>86</v>
      </c>
      <c r="AA158">
        <v>40</v>
      </c>
      <c r="AB158" t="s">
        <v>438</v>
      </c>
      <c r="AC158" s="183"/>
      <c r="AE158" s="183"/>
      <c r="AH158" t="s">
        <v>94</v>
      </c>
      <c r="AL158" t="s">
        <v>83</v>
      </c>
      <c r="AM158" s="90">
        <v>4375</v>
      </c>
      <c r="AN158" s="184">
        <v>1</v>
      </c>
      <c r="AO158" s="15">
        <v>3500</v>
      </c>
      <c r="AW158" s="7"/>
      <c r="AZ158" t="s">
        <v>255</v>
      </c>
      <c r="BA158">
        <v>110</v>
      </c>
    </row>
    <row r="159" spans="1:53" ht="15.75" customHeight="1">
      <c r="A159" s="273">
        <v>59</v>
      </c>
      <c r="B159" s="273" t="str">
        <f t="shared" si="12"/>
        <v>NEAKTIVAN</v>
      </c>
      <c r="C159" s="302">
        <f t="shared" si="11"/>
        <v>157</v>
      </c>
      <c r="D159" s="1">
        <v>16</v>
      </c>
      <c r="E159" s="1" t="str">
        <f>VLOOKUP(D159,Table3[[#All],[RB]:[OIB]],2,0)</f>
        <v>HOME PLUS</v>
      </c>
      <c r="F159" s="4">
        <f>VLOOKUP(D159,Table3[],3,0)</f>
        <v>18241574410</v>
      </c>
      <c r="G159" s="1" t="str">
        <f>VLOOKUP(D159,Table3[],4,0)</f>
        <v>LASZLO TIBOR</v>
      </c>
      <c r="H159" s="1" t="str">
        <f>VLOOKUP(D159,POSLODAVCI!$A$2:$J$107,9,0)</f>
        <v>Osijek</v>
      </c>
      <c r="I159" s="1" t="str">
        <f>VLOOKUP(D159,Table3[],10,0)</f>
        <v>Ivana Gundulića 28</v>
      </c>
      <c r="J159" s="1" t="s">
        <v>439</v>
      </c>
      <c r="K159" s="61">
        <v>43402</v>
      </c>
      <c r="L159" s="61">
        <v>43424</v>
      </c>
      <c r="M159" s="182">
        <v>45155987025</v>
      </c>
      <c r="N159" t="s">
        <v>89</v>
      </c>
      <c r="O159" s="7">
        <v>27309</v>
      </c>
      <c r="P159" t="s">
        <v>94</v>
      </c>
      <c r="Q159" t="s">
        <v>82</v>
      </c>
      <c r="R159" t="s">
        <v>440</v>
      </c>
      <c r="S159" s="5" t="s">
        <v>83</v>
      </c>
      <c r="T159" t="s">
        <v>84</v>
      </c>
      <c r="V159" t="s">
        <v>116</v>
      </c>
      <c r="W159" t="s">
        <v>116</v>
      </c>
      <c r="X159" s="304" t="s">
        <v>103</v>
      </c>
      <c r="Y159" s="7"/>
      <c r="Z159" t="s">
        <v>86</v>
      </c>
      <c r="AA159">
        <v>40</v>
      </c>
      <c r="AB159" t="s">
        <v>441</v>
      </c>
      <c r="AC159" s="183"/>
      <c r="AE159" s="183"/>
      <c r="AH159" t="s">
        <v>94</v>
      </c>
      <c r="AL159" t="s">
        <v>83</v>
      </c>
      <c r="AM159" s="90">
        <v>4375</v>
      </c>
      <c r="AN159" s="184">
        <v>1</v>
      </c>
      <c r="AO159" s="15">
        <v>3500</v>
      </c>
      <c r="AW159" s="7"/>
      <c r="AX159" s="16"/>
      <c r="AY159" s="16"/>
      <c r="AZ159" t="s">
        <v>255</v>
      </c>
      <c r="BA159" s="16">
        <v>111</v>
      </c>
    </row>
    <row r="160" spans="1:53" ht="15.75" customHeight="1">
      <c r="A160" s="273">
        <v>60</v>
      </c>
      <c r="B160" s="273" t="str">
        <f t="shared" si="12"/>
        <v>NEAKTIVAN</v>
      </c>
      <c r="C160" s="302">
        <f t="shared" si="11"/>
        <v>158</v>
      </c>
      <c r="D160" s="1">
        <v>16</v>
      </c>
      <c r="E160" s="1" t="str">
        <f>VLOOKUP(D160,Table3[[#All],[RB]:[OIB]],2,0)</f>
        <v>HOME PLUS</v>
      </c>
      <c r="F160" s="4">
        <f>VLOOKUP(D160,Table3[],3,0)</f>
        <v>18241574410</v>
      </c>
      <c r="G160" s="1" t="str">
        <f>VLOOKUP(D160,Table3[],4,0)</f>
        <v>LASZLO TIBOR</v>
      </c>
      <c r="H160" s="1" t="str">
        <f>VLOOKUP(D160,POSLODAVCI!$A$2:$J$107,9,0)</f>
        <v>Osijek</v>
      </c>
      <c r="I160" s="1" t="str">
        <f>VLOOKUP(D160,Table3[],10,0)</f>
        <v>Ivana Gundulića 28</v>
      </c>
      <c r="J160" s="1" t="s">
        <v>443</v>
      </c>
      <c r="K160" s="61">
        <v>43435</v>
      </c>
      <c r="L160" s="61">
        <v>43465</v>
      </c>
      <c r="M160" s="182">
        <v>65362867403</v>
      </c>
      <c r="N160" t="s">
        <v>80</v>
      </c>
      <c r="O160" s="7">
        <v>25889</v>
      </c>
      <c r="P160" t="s">
        <v>444</v>
      </c>
      <c r="Q160" t="s">
        <v>82</v>
      </c>
      <c r="R160" t="s">
        <v>445</v>
      </c>
      <c r="S160" s="5" t="s">
        <v>83</v>
      </c>
      <c r="T160" t="s">
        <v>84</v>
      </c>
      <c r="V160" t="s">
        <v>143</v>
      </c>
      <c r="W160" t="s">
        <v>143</v>
      </c>
      <c r="X160" s="304" t="s">
        <v>85</v>
      </c>
      <c r="Y160" s="7">
        <v>43465</v>
      </c>
      <c r="Z160" t="s">
        <v>86</v>
      </c>
      <c r="AA160">
        <v>40</v>
      </c>
      <c r="AB160" t="s">
        <v>446</v>
      </c>
      <c r="AC160" s="183"/>
      <c r="AE160" s="183"/>
      <c r="AH160" t="s">
        <v>94</v>
      </c>
      <c r="AL160" t="s">
        <v>83</v>
      </c>
      <c r="AM160" s="90">
        <v>3439.8</v>
      </c>
      <c r="AN160" s="184">
        <v>1</v>
      </c>
      <c r="AO160" s="15">
        <v>2751.84</v>
      </c>
      <c r="AW160" s="7"/>
      <c r="AZ160" t="s">
        <v>255</v>
      </c>
      <c r="BA160">
        <v>112</v>
      </c>
    </row>
    <row r="161" spans="1:53" ht="15.75" customHeight="1">
      <c r="A161" s="273">
        <v>61</v>
      </c>
      <c r="B161" s="273" t="str">
        <f t="shared" si="12"/>
        <v>NEAKTIVAN</v>
      </c>
      <c r="C161" s="302">
        <f t="shared" si="11"/>
        <v>159</v>
      </c>
      <c r="D161" s="1">
        <v>16</v>
      </c>
      <c r="E161" s="1" t="str">
        <f>VLOOKUP(D161,Table3[[#All],[RB]:[OIB]],2,0)</f>
        <v>HOME PLUS</v>
      </c>
      <c r="F161" s="4">
        <f>VLOOKUP(D161,Table3[],3,0)</f>
        <v>18241574410</v>
      </c>
      <c r="G161" s="1" t="str">
        <f>VLOOKUP(D161,Table3[],4,0)</f>
        <v>LASZLO TIBOR</v>
      </c>
      <c r="H161" s="1" t="str">
        <f>VLOOKUP(D161,POSLODAVCI!$A$2:$J$107,9,0)</f>
        <v>Osijek</v>
      </c>
      <c r="I161" s="1" t="str">
        <f>VLOOKUP(D161,Table3[],10,0)</f>
        <v>Ivana Gundulića 28</v>
      </c>
      <c r="J161" s="1" t="s">
        <v>447</v>
      </c>
      <c r="K161" s="61">
        <v>43444</v>
      </c>
      <c r="L161" s="61">
        <v>43465</v>
      </c>
      <c r="M161" s="182">
        <v>26136427629</v>
      </c>
      <c r="N161" t="s">
        <v>89</v>
      </c>
      <c r="O161" s="7">
        <v>33619</v>
      </c>
      <c r="P161" t="s">
        <v>94</v>
      </c>
      <c r="Q161" t="s">
        <v>82</v>
      </c>
      <c r="R161" t="s">
        <v>448</v>
      </c>
      <c r="S161" s="5" t="s">
        <v>83</v>
      </c>
      <c r="T161" t="s">
        <v>84</v>
      </c>
      <c r="V161" t="s">
        <v>116</v>
      </c>
      <c r="W161" t="s">
        <v>116</v>
      </c>
      <c r="X161" s="304" t="s">
        <v>85</v>
      </c>
      <c r="Y161" s="7">
        <v>43524</v>
      </c>
      <c r="Z161" t="s">
        <v>86</v>
      </c>
      <c r="AA161">
        <v>40</v>
      </c>
      <c r="AB161" t="s">
        <v>449</v>
      </c>
      <c r="AC161" s="183"/>
      <c r="AE161" s="183"/>
      <c r="AH161" t="s">
        <v>94</v>
      </c>
      <c r="AL161" t="s">
        <v>83</v>
      </c>
      <c r="AM161" s="90">
        <v>4375</v>
      </c>
      <c r="AN161" s="184">
        <v>1</v>
      </c>
      <c r="AO161" s="15">
        <v>3500</v>
      </c>
      <c r="AW161" s="7"/>
      <c r="AZ161" t="s">
        <v>255</v>
      </c>
      <c r="BA161">
        <v>113</v>
      </c>
    </row>
    <row r="162" spans="1:53" ht="15.75" customHeight="1">
      <c r="A162" s="273">
        <v>1</v>
      </c>
      <c r="B162" s="273" t="str">
        <f t="shared" si="12"/>
        <v>NEAKTIVAN</v>
      </c>
      <c r="C162" s="302">
        <f t="shared" si="11"/>
        <v>160</v>
      </c>
      <c r="D162" s="1">
        <v>22</v>
      </c>
      <c r="E162" s="1" t="str">
        <f>VLOOKUP(D162,Table3[[#All],[RB]:[OIB]],2,0)</f>
        <v>International Line d.o.o.</v>
      </c>
      <c r="F162" s="4">
        <f>VLOOKUP(D162,Table3[],3,0)</f>
        <v>16157428650</v>
      </c>
      <c r="G162" s="1" t="str">
        <f>VLOOKUP(D162,Table3[],4,0)</f>
        <v>Zoltan Kiri</v>
      </c>
      <c r="H162" s="1" t="str">
        <f>VLOOKUP(D162,POSLODAVCI!$A$2:$J$107,9,0)</f>
        <v>Osijek</v>
      </c>
      <c r="I162" s="1" t="str">
        <f>VLOOKUP(D162,Table3[],10,0)</f>
        <v>Ivana Gundulića 28</v>
      </c>
      <c r="J162" s="1" t="s">
        <v>117</v>
      </c>
      <c r="K162" s="61">
        <v>43466</v>
      </c>
      <c r="L162" s="61">
        <v>44189</v>
      </c>
      <c r="M162" s="158" t="s">
        <v>118</v>
      </c>
      <c r="N162" t="s">
        <v>89</v>
      </c>
      <c r="O162" s="7">
        <v>33176</v>
      </c>
      <c r="P162" t="s">
        <v>94</v>
      </c>
      <c r="Q162" t="s">
        <v>82</v>
      </c>
      <c r="R162" s="157" t="s">
        <v>259</v>
      </c>
      <c r="S162" s="5" t="s">
        <v>428</v>
      </c>
      <c r="T162" t="s">
        <v>84</v>
      </c>
      <c r="V162" t="s">
        <v>116</v>
      </c>
      <c r="W162" t="s">
        <v>450</v>
      </c>
      <c r="X162" s="304" t="s">
        <v>103</v>
      </c>
      <c r="Y162" s="7"/>
      <c r="Z162" t="s">
        <v>86</v>
      </c>
      <c r="AA162">
        <v>40</v>
      </c>
      <c r="AC162" s="183"/>
      <c r="AE162" s="183"/>
      <c r="AH162" t="s">
        <v>94</v>
      </c>
      <c r="AL162" t="s">
        <v>428</v>
      </c>
      <c r="AM162" s="90">
        <v>4375</v>
      </c>
      <c r="AN162" s="184">
        <v>1</v>
      </c>
      <c r="AO162" s="15">
        <v>3200</v>
      </c>
      <c r="AW162" s="7"/>
      <c r="AZ162" t="s">
        <v>374</v>
      </c>
      <c r="BA162">
        <f t="shared" ref="BA162:BA196" si="13">A162</f>
        <v>1</v>
      </c>
    </row>
    <row r="163" spans="1:53" ht="15.75" customHeight="1">
      <c r="A163" s="273">
        <v>2</v>
      </c>
      <c r="B163" s="273" t="str">
        <f t="shared" si="12"/>
        <v>NEAKTIVAN</v>
      </c>
      <c r="C163" s="302">
        <f t="shared" si="11"/>
        <v>161</v>
      </c>
      <c r="D163" s="1">
        <v>22</v>
      </c>
      <c r="E163" s="1" t="str">
        <f>VLOOKUP(D163,Table3[[#All],[RB]:[OIB]],2,0)</f>
        <v>International Line d.o.o.</v>
      </c>
      <c r="F163" s="4">
        <f>VLOOKUP(D163,Table3[],3,0)</f>
        <v>16157428650</v>
      </c>
      <c r="G163" s="1" t="str">
        <f>VLOOKUP(D163,Table3[],4,0)</f>
        <v>Zoltan Kiri</v>
      </c>
      <c r="H163" s="1" t="str">
        <f>VLOOKUP(D163,POSLODAVCI!$A$2:$J$107,9,0)</f>
        <v>Osijek</v>
      </c>
      <c r="I163" s="1" t="str">
        <f>VLOOKUP(D163,Table3[],10,0)</f>
        <v>Ivana Gundulića 28</v>
      </c>
      <c r="J163" s="294" t="s">
        <v>133</v>
      </c>
      <c r="K163" s="61">
        <v>43466</v>
      </c>
      <c r="L163" s="61">
        <v>44189</v>
      </c>
      <c r="M163" s="158" t="s">
        <v>134</v>
      </c>
      <c r="N163" t="s">
        <v>89</v>
      </c>
      <c r="O163" s="7">
        <v>35312</v>
      </c>
      <c r="P163" t="s">
        <v>94</v>
      </c>
      <c r="Q163" t="s">
        <v>82</v>
      </c>
      <c r="R163" t="s">
        <v>263</v>
      </c>
      <c r="S163" s="5" t="s">
        <v>428</v>
      </c>
      <c r="T163" t="s">
        <v>84</v>
      </c>
      <c r="V163" t="s">
        <v>116</v>
      </c>
      <c r="W163" t="s">
        <v>116</v>
      </c>
      <c r="X163" s="304" t="s">
        <v>103</v>
      </c>
      <c r="Y163" s="7"/>
      <c r="Z163" t="s">
        <v>86</v>
      </c>
      <c r="AA163">
        <v>40</v>
      </c>
      <c r="AC163" s="183"/>
      <c r="AE163" s="183"/>
      <c r="AH163" t="s">
        <v>94</v>
      </c>
      <c r="AL163" t="s">
        <v>428</v>
      </c>
      <c r="AM163" s="90">
        <v>4375</v>
      </c>
      <c r="AN163" s="184">
        <v>1</v>
      </c>
      <c r="AO163" s="15">
        <v>3200</v>
      </c>
      <c r="AP163" s="15">
        <v>100</v>
      </c>
      <c r="AW163" s="7"/>
      <c r="AZ163" t="s">
        <v>374</v>
      </c>
      <c r="BA163">
        <f t="shared" si="13"/>
        <v>2</v>
      </c>
    </row>
    <row r="164" spans="1:53" ht="15.75" customHeight="1">
      <c r="A164" s="273">
        <v>4</v>
      </c>
      <c r="B164" s="273" t="str">
        <f t="shared" si="12"/>
        <v>NEAKTIVAN</v>
      </c>
      <c r="C164" s="302">
        <f t="shared" si="11"/>
        <v>162</v>
      </c>
      <c r="D164" s="1">
        <v>22</v>
      </c>
      <c r="E164" s="1" t="str">
        <f>VLOOKUP(D164,Table3[[#All],[RB]:[OIB]],2,0)</f>
        <v>International Line d.o.o.</v>
      </c>
      <c r="F164" s="4">
        <f>VLOOKUP(D164,Table3[],3,0)</f>
        <v>16157428650</v>
      </c>
      <c r="G164" s="1" t="str">
        <f>VLOOKUP(D164,Table3[],4,0)</f>
        <v>Zoltan Kiri</v>
      </c>
      <c r="H164" s="1" t="str">
        <f>VLOOKUP(D164,POSLODAVCI!$A$2:$J$107,9,0)</f>
        <v>Osijek</v>
      </c>
      <c r="I164" s="1" t="str">
        <f>VLOOKUP(D164,Table3[],10,0)</f>
        <v>Ivana Gundulića 28</v>
      </c>
      <c r="J164" s="1" t="s">
        <v>141</v>
      </c>
      <c r="K164" s="61">
        <v>43466</v>
      </c>
      <c r="L164" s="61">
        <v>44178</v>
      </c>
      <c r="M164" s="182" t="s">
        <v>451</v>
      </c>
      <c r="N164" t="s">
        <v>452</v>
      </c>
      <c r="O164" s="7">
        <v>25776</v>
      </c>
      <c r="P164" t="s">
        <v>94</v>
      </c>
      <c r="Q164" t="s">
        <v>82</v>
      </c>
      <c r="R164" t="s">
        <v>453</v>
      </c>
      <c r="S164" s="5" t="s">
        <v>428</v>
      </c>
      <c r="T164" t="s">
        <v>84</v>
      </c>
      <c r="V164" t="s">
        <v>143</v>
      </c>
      <c r="W164" t="s">
        <v>143</v>
      </c>
      <c r="X164" s="304" t="s">
        <v>103</v>
      </c>
      <c r="Y164" s="7"/>
      <c r="Z164" t="s">
        <v>86</v>
      </c>
      <c r="AA164">
        <v>40</v>
      </c>
      <c r="AC164" s="183"/>
      <c r="AE164" s="183"/>
      <c r="AH164" t="s">
        <v>94</v>
      </c>
      <c r="AL164" t="s">
        <v>428</v>
      </c>
      <c r="AM164" s="90">
        <v>4062.51</v>
      </c>
      <c r="AN164" s="184">
        <v>1</v>
      </c>
      <c r="AO164" s="15">
        <v>3250</v>
      </c>
      <c r="AW164" s="7"/>
      <c r="AZ164" t="s">
        <v>374</v>
      </c>
      <c r="BA164">
        <f t="shared" si="13"/>
        <v>4</v>
      </c>
    </row>
    <row r="165" spans="1:53" ht="15.75" customHeight="1">
      <c r="A165" s="273">
        <v>5</v>
      </c>
      <c r="B165" s="273" t="str">
        <f t="shared" si="12"/>
        <v>NEAKTIVAN</v>
      </c>
      <c r="C165" s="302">
        <f t="shared" si="11"/>
        <v>163</v>
      </c>
      <c r="D165" s="1">
        <v>22</v>
      </c>
      <c r="E165" s="1" t="str">
        <f>VLOOKUP(D165,Table3[[#All],[RB]:[OIB]],2,0)</f>
        <v>International Line d.o.o.</v>
      </c>
      <c r="F165" s="4">
        <f>VLOOKUP(D165,Table3[],3,0)</f>
        <v>16157428650</v>
      </c>
      <c r="G165" s="1" t="str">
        <f>VLOOKUP(D165,Table3[],4,0)</f>
        <v>Zoltan Kiri</v>
      </c>
      <c r="H165" s="1" t="str">
        <f>VLOOKUP(D165,POSLODAVCI!$A$2:$J$107,9,0)</f>
        <v>Osijek</v>
      </c>
      <c r="I165" s="1" t="str">
        <f>VLOOKUP(D165,Table3[],10,0)</f>
        <v>Ivana Gundulića 28</v>
      </c>
      <c r="J165" s="1" t="s">
        <v>145</v>
      </c>
      <c r="K165" s="61">
        <v>43466</v>
      </c>
      <c r="L165" s="61">
        <v>44178</v>
      </c>
      <c r="M165" s="182">
        <v>46651411474</v>
      </c>
      <c r="N165" t="s">
        <v>80</v>
      </c>
      <c r="O165" s="7">
        <v>24096</v>
      </c>
      <c r="P165" t="s">
        <v>94</v>
      </c>
      <c r="Q165" t="s">
        <v>82</v>
      </c>
      <c r="R165" t="s">
        <v>454</v>
      </c>
      <c r="S165" s="5" t="s">
        <v>428</v>
      </c>
      <c r="T165" t="s">
        <v>84</v>
      </c>
      <c r="V165" t="s">
        <v>143</v>
      </c>
      <c r="W165" t="s">
        <v>143</v>
      </c>
      <c r="X165" s="304" t="s">
        <v>103</v>
      </c>
      <c r="Y165" s="7"/>
      <c r="Z165" t="s">
        <v>86</v>
      </c>
      <c r="AA165">
        <v>40</v>
      </c>
      <c r="AC165" s="183"/>
      <c r="AE165" s="183"/>
      <c r="AH165" t="s">
        <v>94</v>
      </c>
      <c r="AL165" t="s">
        <v>428</v>
      </c>
      <c r="AM165" s="90">
        <v>4062.51</v>
      </c>
      <c r="AN165" s="184">
        <v>1</v>
      </c>
      <c r="AO165" s="15">
        <v>3250</v>
      </c>
      <c r="AW165" s="7"/>
      <c r="AZ165" t="s">
        <v>374</v>
      </c>
      <c r="BA165">
        <f t="shared" si="13"/>
        <v>5</v>
      </c>
    </row>
    <row r="166" spans="1:53" ht="15.75" customHeight="1">
      <c r="A166" s="273">
        <v>6</v>
      </c>
      <c r="B166" s="273" t="str">
        <f t="shared" si="12"/>
        <v>NEAKTIVAN</v>
      </c>
      <c r="C166" s="302">
        <f t="shared" si="11"/>
        <v>164</v>
      </c>
      <c r="D166" s="1">
        <v>22</v>
      </c>
      <c r="E166" s="1" t="str">
        <f>VLOOKUP(D166,Table3[[#All],[RB]:[OIB]],2,0)</f>
        <v>International Line d.o.o.</v>
      </c>
      <c r="F166" s="4">
        <f>VLOOKUP(D166,Table3[],3,0)</f>
        <v>16157428650</v>
      </c>
      <c r="G166" s="1" t="str">
        <f>VLOOKUP(D166,Table3[],4,0)</f>
        <v>Zoltan Kiri</v>
      </c>
      <c r="H166" s="1" t="str">
        <f>VLOOKUP(D166,POSLODAVCI!$A$2:$J$107,9,0)</f>
        <v>Osijek</v>
      </c>
      <c r="I166" s="1" t="str">
        <f>VLOOKUP(D166,Table3[],10,0)</f>
        <v>Ivana Gundulića 28</v>
      </c>
      <c r="J166" s="1" t="s">
        <v>147</v>
      </c>
      <c r="K166" s="61">
        <v>43466</v>
      </c>
      <c r="L166" s="61">
        <v>44196</v>
      </c>
      <c r="M166" s="158">
        <v>16065838903</v>
      </c>
      <c r="N166" t="s">
        <v>80</v>
      </c>
      <c r="O166" s="7">
        <v>30216</v>
      </c>
      <c r="P166" t="s">
        <v>94</v>
      </c>
      <c r="Q166" t="s">
        <v>82</v>
      </c>
      <c r="R166" t="s">
        <v>268</v>
      </c>
      <c r="S166" s="5" t="s">
        <v>428</v>
      </c>
      <c r="T166" t="s">
        <v>84</v>
      </c>
      <c r="V166" s="157" t="s">
        <v>149</v>
      </c>
      <c r="W166" s="157" t="s">
        <v>149</v>
      </c>
      <c r="X166" s="304" t="s">
        <v>103</v>
      </c>
      <c r="Y166" s="7"/>
      <c r="Z166" t="s">
        <v>86</v>
      </c>
      <c r="AA166">
        <v>40</v>
      </c>
      <c r="AC166" s="183"/>
      <c r="AE166" s="183"/>
      <c r="AH166" t="s">
        <v>94</v>
      </c>
      <c r="AL166" t="s">
        <v>428</v>
      </c>
      <c r="AM166" s="90">
        <v>6200.61</v>
      </c>
      <c r="AN166" s="184">
        <v>1</v>
      </c>
      <c r="AO166" s="15">
        <v>4700</v>
      </c>
      <c r="AP166" s="15">
        <v>250</v>
      </c>
      <c r="AW166" s="7"/>
      <c r="AZ166" t="s">
        <v>374</v>
      </c>
      <c r="BA166">
        <f t="shared" si="13"/>
        <v>6</v>
      </c>
    </row>
    <row r="167" spans="1:53" ht="15.75" customHeight="1">
      <c r="A167" s="273">
        <v>7</v>
      </c>
      <c r="B167" s="273" t="str">
        <f t="shared" si="12"/>
        <v>NEAKTIVAN</v>
      </c>
      <c r="C167" s="302">
        <f t="shared" si="11"/>
        <v>165</v>
      </c>
      <c r="D167" s="1">
        <v>22</v>
      </c>
      <c r="E167" s="1" t="str">
        <f>VLOOKUP(D167,Table3[[#All],[RB]:[OIB]],2,0)</f>
        <v>International Line d.o.o.</v>
      </c>
      <c r="F167" s="4">
        <f>VLOOKUP(D167,Table3[],3,0)</f>
        <v>16157428650</v>
      </c>
      <c r="G167" s="1" t="str">
        <f>VLOOKUP(D167,Table3[],4,0)</f>
        <v>Zoltan Kiri</v>
      </c>
      <c r="H167" s="1" t="str">
        <f>VLOOKUP(D167,POSLODAVCI!$A$2:$J$107,9,0)</f>
        <v>Osijek</v>
      </c>
      <c r="I167" s="1" t="str">
        <f>VLOOKUP(D167,Table3[],10,0)</f>
        <v>Ivana Gundulića 28</v>
      </c>
      <c r="J167" s="294" t="s">
        <v>150</v>
      </c>
      <c r="K167" s="61">
        <v>43466</v>
      </c>
      <c r="L167" s="61">
        <v>44178</v>
      </c>
      <c r="M167" s="158" t="s">
        <v>151</v>
      </c>
      <c r="N167" t="s">
        <v>80</v>
      </c>
      <c r="O167" s="7">
        <v>24545</v>
      </c>
      <c r="P167" t="s">
        <v>152</v>
      </c>
      <c r="Q167" t="s">
        <v>82</v>
      </c>
      <c r="R167" s="157" t="s">
        <v>263</v>
      </c>
      <c r="S167" s="5" t="s">
        <v>428</v>
      </c>
      <c r="T167" t="s">
        <v>84</v>
      </c>
      <c r="V167" t="s">
        <v>143</v>
      </c>
      <c r="W167" t="s">
        <v>143</v>
      </c>
      <c r="X167" s="304" t="s">
        <v>103</v>
      </c>
      <c r="Y167" s="7"/>
      <c r="Z167" t="s">
        <v>86</v>
      </c>
      <c r="AA167">
        <v>40</v>
      </c>
      <c r="AC167" s="183"/>
      <c r="AE167" s="183"/>
      <c r="AH167" t="s">
        <v>94</v>
      </c>
      <c r="AL167" t="s">
        <v>428</v>
      </c>
      <c r="AM167" s="90">
        <v>4062.51</v>
      </c>
      <c r="AN167" s="184">
        <v>1</v>
      </c>
      <c r="AO167" s="15">
        <v>3250</v>
      </c>
      <c r="AW167" s="7"/>
      <c r="AZ167" t="s">
        <v>374</v>
      </c>
      <c r="BA167">
        <f t="shared" si="13"/>
        <v>7</v>
      </c>
    </row>
    <row r="168" spans="1:53" ht="15.75" customHeight="1">
      <c r="A168" s="273">
        <v>8</v>
      </c>
      <c r="B168" s="273" t="str">
        <f t="shared" si="12"/>
        <v>NEAKTIVAN</v>
      </c>
      <c r="C168" s="302">
        <f t="shared" si="11"/>
        <v>166</v>
      </c>
      <c r="D168" s="1">
        <v>22</v>
      </c>
      <c r="E168" s="1" t="str">
        <f>VLOOKUP(D168,Table3[[#All],[RB]:[OIB]],2,0)</f>
        <v>International Line d.o.o.</v>
      </c>
      <c r="F168" s="4">
        <f>VLOOKUP(D168,Table3[],3,0)</f>
        <v>16157428650</v>
      </c>
      <c r="G168" s="1" t="str">
        <f>VLOOKUP(D168,Table3[],4,0)</f>
        <v>Zoltan Kiri</v>
      </c>
      <c r="H168" s="1" t="str">
        <f>VLOOKUP(D168,POSLODAVCI!$A$2:$J$107,9,0)</f>
        <v>Osijek</v>
      </c>
      <c r="I168" s="1" t="str">
        <f>VLOOKUP(D168,Table3[],10,0)</f>
        <v>Ivana Gundulića 28</v>
      </c>
      <c r="J168" s="294" t="s">
        <v>155</v>
      </c>
      <c r="K168" s="61">
        <v>43466</v>
      </c>
      <c r="L168" s="61">
        <v>44178</v>
      </c>
      <c r="M168" s="158" t="s">
        <v>156</v>
      </c>
      <c r="N168" t="s">
        <v>80</v>
      </c>
      <c r="O168" s="7">
        <v>23612</v>
      </c>
      <c r="P168" t="s">
        <v>94</v>
      </c>
      <c r="Q168" t="s">
        <v>82</v>
      </c>
      <c r="R168" t="s">
        <v>455</v>
      </c>
      <c r="S168" s="5" t="s">
        <v>428</v>
      </c>
      <c r="T168" t="s">
        <v>84</v>
      </c>
      <c r="V168" t="s">
        <v>143</v>
      </c>
      <c r="W168" t="s">
        <v>143</v>
      </c>
      <c r="X168" s="304" t="s">
        <v>103</v>
      </c>
      <c r="Y168" s="7"/>
      <c r="Z168" t="s">
        <v>86</v>
      </c>
      <c r="AA168">
        <v>40</v>
      </c>
      <c r="AC168" s="183"/>
      <c r="AE168" s="183"/>
      <c r="AH168" t="s">
        <v>94</v>
      </c>
      <c r="AL168" t="s">
        <v>428</v>
      </c>
      <c r="AM168" s="90">
        <v>4062.51</v>
      </c>
      <c r="AN168" s="184">
        <v>1</v>
      </c>
      <c r="AO168" s="15">
        <v>3250</v>
      </c>
      <c r="AW168" s="7"/>
      <c r="AZ168" t="s">
        <v>374</v>
      </c>
      <c r="BA168">
        <f t="shared" si="13"/>
        <v>8</v>
      </c>
    </row>
    <row r="169" spans="1:53" ht="15.75" customHeight="1">
      <c r="A169" s="273">
        <v>9</v>
      </c>
      <c r="B169" s="273" t="str">
        <f t="shared" si="12"/>
        <v>NEAKTIVAN</v>
      </c>
      <c r="C169" s="302">
        <f t="shared" si="11"/>
        <v>167</v>
      </c>
      <c r="D169" s="1">
        <v>22</v>
      </c>
      <c r="E169" s="1" t="str">
        <f>VLOOKUP(D169,Table3[[#All],[RB]:[OIB]],2,0)</f>
        <v>International Line d.o.o.</v>
      </c>
      <c r="F169" s="4">
        <f>VLOOKUP(D169,Table3[],3,0)</f>
        <v>16157428650</v>
      </c>
      <c r="G169" s="1" t="str">
        <f>VLOOKUP(D169,Table3[],4,0)</f>
        <v>Zoltan Kiri</v>
      </c>
      <c r="H169" s="1" t="str">
        <f>VLOOKUP(D169,POSLODAVCI!$A$2:$J$107,9,0)</f>
        <v>Osijek</v>
      </c>
      <c r="I169" s="1" t="str">
        <f>VLOOKUP(D169,Table3[],10,0)</f>
        <v>Ivana Gundulića 28</v>
      </c>
      <c r="J169" s="1" t="s">
        <v>159</v>
      </c>
      <c r="K169" s="61">
        <v>43466</v>
      </c>
      <c r="L169" s="61">
        <v>44178</v>
      </c>
      <c r="M169" s="182">
        <v>35395242811</v>
      </c>
      <c r="N169" t="s">
        <v>80</v>
      </c>
      <c r="O169" s="7">
        <v>28404</v>
      </c>
      <c r="P169" t="s">
        <v>94</v>
      </c>
      <c r="Q169" t="s">
        <v>82</v>
      </c>
      <c r="R169" t="s">
        <v>161</v>
      </c>
      <c r="S169" s="5" t="s">
        <v>428</v>
      </c>
      <c r="T169" t="s">
        <v>84</v>
      </c>
      <c r="V169" t="s">
        <v>143</v>
      </c>
      <c r="W169" t="s">
        <v>143</v>
      </c>
      <c r="X169" s="304" t="s">
        <v>103</v>
      </c>
      <c r="Y169" s="7"/>
      <c r="Z169" t="s">
        <v>86</v>
      </c>
      <c r="AA169">
        <v>40</v>
      </c>
      <c r="AC169" s="183"/>
      <c r="AE169" s="183"/>
      <c r="AH169" t="s">
        <v>94</v>
      </c>
      <c r="AL169" t="s">
        <v>428</v>
      </c>
      <c r="AM169" s="90">
        <v>4062.51</v>
      </c>
      <c r="AN169" s="184">
        <v>1</v>
      </c>
      <c r="AO169" s="15">
        <v>3250</v>
      </c>
      <c r="AW169" s="7"/>
      <c r="AZ169" t="s">
        <v>374</v>
      </c>
      <c r="BA169">
        <f t="shared" si="13"/>
        <v>9</v>
      </c>
    </row>
    <row r="170" spans="1:53" ht="15.75" customHeight="1">
      <c r="A170" s="273">
        <v>10</v>
      </c>
      <c r="B170" s="273" t="str">
        <f t="shared" si="12"/>
        <v>NEAKTIVAN</v>
      </c>
      <c r="C170" s="302">
        <f t="shared" si="11"/>
        <v>168</v>
      </c>
      <c r="D170" s="1">
        <v>22</v>
      </c>
      <c r="E170" s="1" t="str">
        <f>VLOOKUP(D170,Table3[[#All],[RB]:[OIB]],2,0)</f>
        <v>International Line d.o.o.</v>
      </c>
      <c r="F170" s="4">
        <f>VLOOKUP(D170,Table3[],3,0)</f>
        <v>16157428650</v>
      </c>
      <c r="G170" s="1" t="str">
        <f>VLOOKUP(D170,Table3[],4,0)</f>
        <v>Zoltan Kiri</v>
      </c>
      <c r="H170" s="1" t="str">
        <f>VLOOKUP(D170,POSLODAVCI!$A$2:$J$107,9,0)</f>
        <v>Osijek</v>
      </c>
      <c r="I170" s="1" t="str">
        <f>VLOOKUP(D170,Table3[],10,0)</f>
        <v>Ivana Gundulića 28</v>
      </c>
      <c r="J170" s="1" t="s">
        <v>190</v>
      </c>
      <c r="K170" s="61">
        <v>43466</v>
      </c>
      <c r="L170" s="61">
        <v>44178</v>
      </c>
      <c r="M170" s="182" t="s">
        <v>191</v>
      </c>
      <c r="N170" t="s">
        <v>80</v>
      </c>
      <c r="O170" s="7">
        <v>21982</v>
      </c>
      <c r="P170" t="s">
        <v>459</v>
      </c>
      <c r="Q170" t="s">
        <v>82</v>
      </c>
      <c r="R170" t="s">
        <v>460</v>
      </c>
      <c r="S170" s="5" t="s">
        <v>428</v>
      </c>
      <c r="T170" t="s">
        <v>84</v>
      </c>
      <c r="V170" t="s">
        <v>143</v>
      </c>
      <c r="W170" t="s">
        <v>143</v>
      </c>
      <c r="X170" s="304" t="s">
        <v>103</v>
      </c>
      <c r="Y170" s="7"/>
      <c r="Z170" t="s">
        <v>86</v>
      </c>
      <c r="AA170">
        <v>40</v>
      </c>
      <c r="AC170" s="183"/>
      <c r="AE170" s="183"/>
      <c r="AH170" t="s">
        <v>94</v>
      </c>
      <c r="AL170" t="s">
        <v>428</v>
      </c>
      <c r="AM170" s="90">
        <v>4062.51</v>
      </c>
      <c r="AN170" s="184">
        <v>1</v>
      </c>
      <c r="AO170" s="15">
        <v>3250</v>
      </c>
      <c r="AW170" s="7"/>
      <c r="AZ170" t="s">
        <v>374</v>
      </c>
      <c r="BA170">
        <f t="shared" si="13"/>
        <v>10</v>
      </c>
    </row>
    <row r="171" spans="1:53" ht="15.75" customHeight="1">
      <c r="A171" s="273">
        <v>11</v>
      </c>
      <c r="B171" s="273" t="str">
        <f t="shared" si="12"/>
        <v>NEAKTIVAN</v>
      </c>
      <c r="C171" s="302">
        <f t="shared" si="11"/>
        <v>169</v>
      </c>
      <c r="D171" s="1">
        <v>22</v>
      </c>
      <c r="E171" s="1" t="str">
        <f>VLOOKUP(D171,Table3[[#All],[RB]:[OIB]],2,0)</f>
        <v>International Line d.o.o.</v>
      </c>
      <c r="F171" s="4">
        <f>VLOOKUP(D171,Table3[],3,0)</f>
        <v>16157428650</v>
      </c>
      <c r="G171" s="1" t="str">
        <f>VLOOKUP(D171,Table3[],4,0)</f>
        <v>Zoltan Kiri</v>
      </c>
      <c r="H171" s="1" t="str">
        <f>VLOOKUP(D171,POSLODAVCI!$A$2:$J$107,9,0)</f>
        <v>Osijek</v>
      </c>
      <c r="I171" s="1" t="str">
        <f>VLOOKUP(D171,Table3[],10,0)</f>
        <v>Ivana Gundulića 28</v>
      </c>
      <c r="J171" s="1" t="s">
        <v>187</v>
      </c>
      <c r="K171" s="61">
        <v>43466</v>
      </c>
      <c r="L171" s="61">
        <v>44178</v>
      </c>
      <c r="M171" s="158" t="s">
        <v>188</v>
      </c>
      <c r="N171" t="s">
        <v>80</v>
      </c>
      <c r="O171" s="7">
        <v>27263</v>
      </c>
      <c r="P171" t="s">
        <v>189</v>
      </c>
      <c r="Q171" t="s">
        <v>82</v>
      </c>
      <c r="R171" t="s">
        <v>462</v>
      </c>
      <c r="S171" s="5" t="s">
        <v>428</v>
      </c>
      <c r="T171" t="s">
        <v>84</v>
      </c>
      <c r="V171" t="s">
        <v>143</v>
      </c>
      <c r="W171" t="s">
        <v>143</v>
      </c>
      <c r="X171" s="304" t="s">
        <v>103</v>
      </c>
      <c r="Y171" s="7"/>
      <c r="Z171" t="s">
        <v>86</v>
      </c>
      <c r="AA171">
        <v>40</v>
      </c>
      <c r="AC171" s="183"/>
      <c r="AE171" s="183"/>
      <c r="AH171" t="s">
        <v>94</v>
      </c>
      <c r="AL171" t="s">
        <v>428</v>
      </c>
      <c r="AM171" s="90">
        <v>4062.51</v>
      </c>
      <c r="AN171" s="184">
        <v>1</v>
      </c>
      <c r="AO171" s="15">
        <v>3250</v>
      </c>
      <c r="AW171" s="7"/>
      <c r="AZ171" t="s">
        <v>374</v>
      </c>
      <c r="BA171">
        <f t="shared" si="13"/>
        <v>11</v>
      </c>
    </row>
    <row r="172" spans="1:53" ht="15.75" customHeight="1">
      <c r="A172" s="273">
        <v>12</v>
      </c>
      <c r="B172" s="273" t="str">
        <f t="shared" si="12"/>
        <v>NEAKTIVAN</v>
      </c>
      <c r="C172" s="302">
        <f t="shared" si="11"/>
        <v>170</v>
      </c>
      <c r="D172" s="1">
        <v>22</v>
      </c>
      <c r="E172" s="1" t="str">
        <f>VLOOKUP(D172,Table3[[#All],[RB]:[OIB]],2,0)</f>
        <v>International Line d.o.o.</v>
      </c>
      <c r="F172" s="4">
        <f>VLOOKUP(D172,Table3[],3,0)</f>
        <v>16157428650</v>
      </c>
      <c r="G172" s="1" t="str">
        <f>VLOOKUP(D172,Table3[],4,0)</f>
        <v>Zoltan Kiri</v>
      </c>
      <c r="H172" s="1" t="str">
        <f>VLOOKUP(D172,POSLODAVCI!$A$2:$J$107,9,0)</f>
        <v>Osijek</v>
      </c>
      <c r="I172" s="1" t="str">
        <f>VLOOKUP(D172,Table3[],10,0)</f>
        <v>Ivana Gundulića 28</v>
      </c>
      <c r="J172" s="1" t="s">
        <v>368</v>
      </c>
      <c r="K172" s="61">
        <v>43466</v>
      </c>
      <c r="L172" s="61">
        <v>44178</v>
      </c>
      <c r="M172" s="182">
        <v>93260758620</v>
      </c>
      <c r="N172" t="s">
        <v>80</v>
      </c>
      <c r="O172" s="7">
        <v>28116</v>
      </c>
      <c r="P172" t="s">
        <v>94</v>
      </c>
      <c r="Q172" t="s">
        <v>82</v>
      </c>
      <c r="R172" t="s">
        <v>463</v>
      </c>
      <c r="S172" s="5" t="s">
        <v>428</v>
      </c>
      <c r="T172" t="s">
        <v>84</v>
      </c>
      <c r="V172" t="s">
        <v>143</v>
      </c>
      <c r="W172" t="s">
        <v>143</v>
      </c>
      <c r="X172" s="304" t="s">
        <v>103</v>
      </c>
      <c r="Y172" s="7"/>
      <c r="Z172" t="s">
        <v>86</v>
      </c>
      <c r="AA172">
        <v>40</v>
      </c>
      <c r="AC172" s="183"/>
      <c r="AE172" s="183"/>
      <c r="AH172" t="s">
        <v>94</v>
      </c>
      <c r="AL172" t="s">
        <v>428</v>
      </c>
      <c r="AM172" s="90">
        <v>4062.51</v>
      </c>
      <c r="AN172" s="184">
        <v>1</v>
      </c>
      <c r="AO172" s="15">
        <v>3250</v>
      </c>
      <c r="AW172" s="7"/>
      <c r="AZ172" t="s">
        <v>374</v>
      </c>
      <c r="BA172">
        <f t="shared" si="13"/>
        <v>12</v>
      </c>
    </row>
    <row r="173" spans="1:53" ht="15.75" customHeight="1">
      <c r="A173" s="273">
        <v>12</v>
      </c>
      <c r="B173" s="273" t="str">
        <f t="shared" si="12"/>
        <v>NEAKTIVAN</v>
      </c>
      <c r="C173" s="302">
        <f t="shared" si="11"/>
        <v>171</v>
      </c>
      <c r="D173" s="1">
        <v>22</v>
      </c>
      <c r="E173" s="1" t="str">
        <f>VLOOKUP(D173,Table3[[#All],[RB]:[OIB]],2,0)</f>
        <v>International Line d.o.o.</v>
      </c>
      <c r="F173" s="4">
        <f>VLOOKUP(D173,Table3[],3,0)</f>
        <v>16157428650</v>
      </c>
      <c r="G173" s="1" t="str">
        <f>VLOOKUP(D173,Table3[],4,0)</f>
        <v>Zoltan Kiri</v>
      </c>
      <c r="H173" s="1" t="str">
        <f>VLOOKUP(D173,POSLODAVCI!$A$2:$J$107,9,0)</f>
        <v>Osijek</v>
      </c>
      <c r="I173" s="1" t="str">
        <f>VLOOKUP(D173,Table3[],10,0)</f>
        <v>Ivana Gundulića 28</v>
      </c>
      <c r="J173" s="1" t="s">
        <v>233</v>
      </c>
      <c r="K173" s="61">
        <v>43466</v>
      </c>
      <c r="L173" s="61">
        <v>44178</v>
      </c>
      <c r="M173" s="158" t="s">
        <v>234</v>
      </c>
      <c r="N173" t="s">
        <v>80</v>
      </c>
      <c r="O173" s="295">
        <v>32684</v>
      </c>
      <c r="P173" t="s">
        <v>94</v>
      </c>
      <c r="Q173" t="s">
        <v>82</v>
      </c>
      <c r="R173" t="s">
        <v>464</v>
      </c>
      <c r="S173" s="5" t="s">
        <v>428</v>
      </c>
      <c r="T173" t="s">
        <v>84</v>
      </c>
      <c r="V173" t="s">
        <v>143</v>
      </c>
      <c r="W173" t="s">
        <v>143</v>
      </c>
      <c r="X173" s="304" t="s">
        <v>103</v>
      </c>
      <c r="Y173" s="7"/>
      <c r="Z173" t="s">
        <v>86</v>
      </c>
      <c r="AA173">
        <v>40</v>
      </c>
      <c r="AC173" s="183"/>
      <c r="AE173" s="183"/>
      <c r="AH173" t="s">
        <v>94</v>
      </c>
      <c r="AL173" t="s">
        <v>428</v>
      </c>
      <c r="AM173" s="90">
        <v>4062.51</v>
      </c>
      <c r="AN173" s="184">
        <v>1</v>
      </c>
      <c r="AO173" s="15">
        <v>3250</v>
      </c>
      <c r="AW173" s="7"/>
      <c r="AZ173" t="s">
        <v>374</v>
      </c>
      <c r="BA173">
        <f t="shared" si="13"/>
        <v>12</v>
      </c>
    </row>
    <row r="174" spans="1:53" ht="15.75" customHeight="1">
      <c r="A174" s="273">
        <v>13</v>
      </c>
      <c r="B174" s="273" t="str">
        <f t="shared" si="12"/>
        <v>NEAKTIVAN</v>
      </c>
      <c r="C174" s="302">
        <f t="shared" si="11"/>
        <v>172</v>
      </c>
      <c r="D174" s="1">
        <v>22</v>
      </c>
      <c r="E174" s="1" t="str">
        <f>VLOOKUP(D174,Table3[[#All],[RB]:[OIB]],2,0)</f>
        <v>International Line d.o.o.</v>
      </c>
      <c r="F174" s="4">
        <f>VLOOKUP(D174,Table3[],3,0)</f>
        <v>16157428650</v>
      </c>
      <c r="G174" s="1" t="str">
        <f>VLOOKUP(D174,Table3[],4,0)</f>
        <v>Zoltan Kiri</v>
      </c>
      <c r="H174" s="1" t="str">
        <f>VLOOKUP(D174,POSLODAVCI!$A$2:$J$107,9,0)</f>
        <v>Osijek</v>
      </c>
      <c r="I174" s="1" t="str">
        <f>VLOOKUP(D174,Table3[],10,0)</f>
        <v>Ivana Gundulića 28</v>
      </c>
      <c r="J174" s="1" t="s">
        <v>178</v>
      </c>
      <c r="K174" s="61">
        <v>43466</v>
      </c>
      <c r="L174" s="61">
        <v>44178</v>
      </c>
      <c r="M174" s="158" t="s">
        <v>179</v>
      </c>
      <c r="N174" t="s">
        <v>80</v>
      </c>
      <c r="O174" s="7">
        <v>20954</v>
      </c>
      <c r="P174" t="s">
        <v>180</v>
      </c>
      <c r="Q174" t="s">
        <v>82</v>
      </c>
      <c r="R174" t="s">
        <v>181</v>
      </c>
      <c r="S174" s="5" t="s">
        <v>428</v>
      </c>
      <c r="T174" t="s">
        <v>84</v>
      </c>
      <c r="V174" t="s">
        <v>143</v>
      </c>
      <c r="W174" t="s">
        <v>143</v>
      </c>
      <c r="X174" s="304" t="s">
        <v>103</v>
      </c>
      <c r="Y174" s="7"/>
      <c r="Z174" t="s">
        <v>86</v>
      </c>
      <c r="AA174">
        <v>40</v>
      </c>
      <c r="AC174" s="183"/>
      <c r="AE174" s="183"/>
      <c r="AH174" t="s">
        <v>94</v>
      </c>
      <c r="AL174" t="s">
        <v>428</v>
      </c>
      <c r="AM174" s="90">
        <v>4062.51</v>
      </c>
      <c r="AN174" s="184">
        <v>1</v>
      </c>
      <c r="AO174" s="15">
        <v>3250</v>
      </c>
      <c r="AW174" s="7"/>
      <c r="AZ174" t="s">
        <v>374</v>
      </c>
      <c r="BA174">
        <f t="shared" si="13"/>
        <v>13</v>
      </c>
    </row>
    <row r="175" spans="1:53" ht="15.75" customHeight="1">
      <c r="A175" s="273">
        <v>14</v>
      </c>
      <c r="B175" s="273" t="str">
        <f t="shared" si="12"/>
        <v>NEAKTIVAN</v>
      </c>
      <c r="C175" s="302">
        <f t="shared" si="11"/>
        <v>173</v>
      </c>
      <c r="D175" s="1">
        <v>22</v>
      </c>
      <c r="E175" s="1" t="str">
        <f>VLOOKUP(D175,Table3[[#All],[RB]:[OIB]],2,0)</f>
        <v>International Line d.o.o.</v>
      </c>
      <c r="F175" s="4">
        <f>VLOOKUP(D175,Table3[],3,0)</f>
        <v>16157428650</v>
      </c>
      <c r="G175" s="1" t="str">
        <f>VLOOKUP(D175,Table3[],4,0)</f>
        <v>Zoltan Kiri</v>
      </c>
      <c r="H175" s="1" t="str">
        <f>VLOOKUP(D175,POSLODAVCI!$A$2:$J$107,9,0)</f>
        <v>Osijek</v>
      </c>
      <c r="I175" s="1" t="str">
        <f>VLOOKUP(D175,Table3[],10,0)</f>
        <v>Ivana Gundulića 28</v>
      </c>
      <c r="J175" s="1" t="s">
        <v>346</v>
      </c>
      <c r="K175" s="61">
        <v>43466</v>
      </c>
      <c r="L175" s="61">
        <v>44178</v>
      </c>
      <c r="M175" s="182">
        <v>21298366100</v>
      </c>
      <c r="N175" t="s">
        <v>80</v>
      </c>
      <c r="O175" s="7">
        <v>26200</v>
      </c>
      <c r="P175" t="s">
        <v>306</v>
      </c>
      <c r="Q175" t="s">
        <v>82</v>
      </c>
      <c r="R175" t="s">
        <v>465</v>
      </c>
      <c r="S175" s="5" t="s">
        <v>428</v>
      </c>
      <c r="T175" t="s">
        <v>84</v>
      </c>
      <c r="V175" t="s">
        <v>143</v>
      </c>
      <c r="W175" t="s">
        <v>143</v>
      </c>
      <c r="X175" s="304" t="s">
        <v>103</v>
      </c>
      <c r="Y175" s="7"/>
      <c r="Z175" t="s">
        <v>86</v>
      </c>
      <c r="AA175">
        <v>40</v>
      </c>
      <c r="AC175" s="183"/>
      <c r="AE175" s="183"/>
      <c r="AH175" t="s">
        <v>94</v>
      </c>
      <c r="AL175" t="s">
        <v>428</v>
      </c>
      <c r="AM175" s="90">
        <v>4062.51</v>
      </c>
      <c r="AN175" s="184">
        <v>1</v>
      </c>
      <c r="AO175" s="15">
        <v>3250</v>
      </c>
      <c r="AW175" s="7"/>
      <c r="AZ175" t="s">
        <v>374</v>
      </c>
      <c r="BA175">
        <f t="shared" si="13"/>
        <v>14</v>
      </c>
    </row>
    <row r="176" spans="1:53" ht="15.75" customHeight="1">
      <c r="A176" s="273">
        <v>15</v>
      </c>
      <c r="B176" s="273" t="str">
        <f t="shared" si="12"/>
        <v>NEAKTIVAN</v>
      </c>
      <c r="C176" s="302">
        <f t="shared" si="11"/>
        <v>174</v>
      </c>
      <c r="D176" s="1">
        <v>22</v>
      </c>
      <c r="E176" s="1" t="str">
        <f>VLOOKUP(D176,Table3[[#All],[RB]:[OIB]],2,0)</f>
        <v>International Line d.o.o.</v>
      </c>
      <c r="F176" s="4">
        <f>VLOOKUP(D176,Table3[],3,0)</f>
        <v>16157428650</v>
      </c>
      <c r="G176" s="1" t="str">
        <f>VLOOKUP(D176,Table3[],4,0)</f>
        <v>Zoltan Kiri</v>
      </c>
      <c r="H176" s="1" t="str">
        <f>VLOOKUP(D176,POSLODAVCI!$A$2:$J$107,9,0)</f>
        <v>Osijek</v>
      </c>
      <c r="I176" s="1" t="str">
        <f>VLOOKUP(D176,Table3[],10,0)</f>
        <v>Ivana Gundulića 28</v>
      </c>
      <c r="J176" s="1" t="s">
        <v>467</v>
      </c>
      <c r="K176" s="61">
        <v>43466</v>
      </c>
      <c r="L176" s="61">
        <v>44178</v>
      </c>
      <c r="M176" s="158" t="s">
        <v>185</v>
      </c>
      <c r="N176" t="s">
        <v>80</v>
      </c>
      <c r="O176" s="7">
        <v>28629</v>
      </c>
      <c r="P176" t="s">
        <v>186</v>
      </c>
      <c r="Q176" t="s">
        <v>82</v>
      </c>
      <c r="R176" t="s">
        <v>468</v>
      </c>
      <c r="S176" s="5" t="s">
        <v>428</v>
      </c>
      <c r="T176" t="s">
        <v>84</v>
      </c>
      <c r="V176" t="s">
        <v>143</v>
      </c>
      <c r="W176" t="s">
        <v>143</v>
      </c>
      <c r="X176" s="304" t="s">
        <v>103</v>
      </c>
      <c r="Y176" s="7"/>
      <c r="Z176" t="s">
        <v>86</v>
      </c>
      <c r="AA176">
        <v>40</v>
      </c>
      <c r="AC176" s="183"/>
      <c r="AE176" s="183"/>
      <c r="AH176" t="s">
        <v>94</v>
      </c>
      <c r="AL176" t="s">
        <v>428</v>
      </c>
      <c r="AM176" s="90">
        <v>4062.51</v>
      </c>
      <c r="AN176" s="184">
        <v>1</v>
      </c>
      <c r="AO176" s="15">
        <v>3250</v>
      </c>
      <c r="AW176" s="7"/>
      <c r="AZ176" t="s">
        <v>374</v>
      </c>
      <c r="BA176">
        <f t="shared" si="13"/>
        <v>15</v>
      </c>
    </row>
    <row r="177" spans="1:53" ht="15.75" customHeight="1">
      <c r="A177" s="273">
        <v>16</v>
      </c>
      <c r="B177" s="273" t="str">
        <f t="shared" si="12"/>
        <v>NEAKTIVAN</v>
      </c>
      <c r="C177" s="302">
        <f t="shared" si="11"/>
        <v>175</v>
      </c>
      <c r="D177" s="1">
        <v>22</v>
      </c>
      <c r="E177" s="1" t="str">
        <f>VLOOKUP(D177,Table3[[#All],[RB]:[OIB]],2,0)</f>
        <v>International Line d.o.o.</v>
      </c>
      <c r="F177" s="4">
        <f>VLOOKUP(D177,Table3[],3,0)</f>
        <v>16157428650</v>
      </c>
      <c r="G177" s="1" t="str">
        <f>VLOOKUP(D177,Table3[],4,0)</f>
        <v>Zoltan Kiri</v>
      </c>
      <c r="H177" s="1" t="str">
        <f>VLOOKUP(D177,POSLODAVCI!$A$2:$J$107,9,0)</f>
        <v>Osijek</v>
      </c>
      <c r="I177" s="1" t="str">
        <f>VLOOKUP(D177,Table3[],10,0)</f>
        <v>Ivana Gundulića 28</v>
      </c>
      <c r="J177" s="1" t="s">
        <v>328</v>
      </c>
      <c r="K177" s="61">
        <v>43466</v>
      </c>
      <c r="L177" s="61">
        <v>44178</v>
      </c>
      <c r="M177" s="182">
        <v>90926163669</v>
      </c>
      <c r="N177" t="s">
        <v>80</v>
      </c>
      <c r="O177" s="7">
        <v>32241</v>
      </c>
      <c r="P177" t="s">
        <v>94</v>
      </c>
      <c r="Q177" t="s">
        <v>82</v>
      </c>
      <c r="R177" t="s">
        <v>329</v>
      </c>
      <c r="S177" s="5" t="s">
        <v>428</v>
      </c>
      <c r="T177" t="s">
        <v>84</v>
      </c>
      <c r="V177" t="s">
        <v>143</v>
      </c>
      <c r="W177" t="s">
        <v>143</v>
      </c>
      <c r="X177" s="304" t="s">
        <v>103</v>
      </c>
      <c r="Y177" s="7"/>
      <c r="Z177" t="s">
        <v>86</v>
      </c>
      <c r="AA177">
        <v>40</v>
      </c>
      <c r="AC177" s="183"/>
      <c r="AE177" s="183"/>
      <c r="AH177" t="s">
        <v>94</v>
      </c>
      <c r="AL177" t="s">
        <v>428</v>
      </c>
      <c r="AM177" s="90">
        <v>4062.51</v>
      </c>
      <c r="AN177" s="184">
        <v>1</v>
      </c>
      <c r="AO177" s="15">
        <v>3250</v>
      </c>
      <c r="AW177" s="7"/>
      <c r="AZ177" t="s">
        <v>374</v>
      </c>
      <c r="BA177">
        <f t="shared" si="13"/>
        <v>16</v>
      </c>
    </row>
    <row r="178" spans="1:53" ht="15.75" customHeight="1">
      <c r="A178" s="273">
        <v>17</v>
      </c>
      <c r="B178" s="273" t="str">
        <f t="shared" si="12"/>
        <v>NEAKTIVAN</v>
      </c>
      <c r="C178" s="302">
        <f t="shared" si="11"/>
        <v>176</v>
      </c>
      <c r="D178" s="1">
        <v>22</v>
      </c>
      <c r="E178" s="1" t="str">
        <f>VLOOKUP(D178,Table3[[#All],[RB]:[OIB]],2,0)</f>
        <v>International Line d.o.o.</v>
      </c>
      <c r="F178" s="4">
        <f>VLOOKUP(D178,Table3[],3,0)</f>
        <v>16157428650</v>
      </c>
      <c r="G178" s="1" t="str">
        <f>VLOOKUP(D178,Table3[],4,0)</f>
        <v>Zoltan Kiri</v>
      </c>
      <c r="H178" s="1" t="str">
        <f>VLOOKUP(D178,POSLODAVCI!$A$2:$J$107,9,0)</f>
        <v>Osijek</v>
      </c>
      <c r="I178" s="1" t="str">
        <f>VLOOKUP(D178,Table3[],10,0)</f>
        <v>Ivana Gundulića 28</v>
      </c>
      <c r="J178" s="1" t="s">
        <v>305</v>
      </c>
      <c r="K178" s="61">
        <v>43466</v>
      </c>
      <c r="L178" s="61">
        <v>44178</v>
      </c>
      <c r="M178" s="158">
        <v>89289096005</v>
      </c>
      <c r="N178" t="s">
        <v>80</v>
      </c>
      <c r="O178" s="295">
        <v>27020</v>
      </c>
      <c r="P178" t="s">
        <v>306</v>
      </c>
      <c r="Q178" t="s">
        <v>82</v>
      </c>
      <c r="R178" s="157" t="s">
        <v>472</v>
      </c>
      <c r="S178" s="5" t="s">
        <v>428</v>
      </c>
      <c r="T178" t="s">
        <v>84</v>
      </c>
      <c r="V178" t="s">
        <v>143</v>
      </c>
      <c r="W178" t="s">
        <v>143</v>
      </c>
      <c r="X178" s="304" t="s">
        <v>103</v>
      </c>
      <c r="Y178" s="7"/>
      <c r="Z178" t="s">
        <v>86</v>
      </c>
      <c r="AA178">
        <v>40</v>
      </c>
      <c r="AC178" s="183"/>
      <c r="AE178" s="183"/>
      <c r="AH178" t="s">
        <v>94</v>
      </c>
      <c r="AL178" t="s">
        <v>428</v>
      </c>
      <c r="AM178" s="90">
        <v>4062.51</v>
      </c>
      <c r="AN178" s="184">
        <v>1</v>
      </c>
      <c r="AO178" s="15">
        <v>3250</v>
      </c>
      <c r="AW178" s="7"/>
      <c r="AZ178" t="s">
        <v>374</v>
      </c>
      <c r="BA178">
        <f t="shared" si="13"/>
        <v>17</v>
      </c>
    </row>
    <row r="179" spans="1:53" ht="15.75" customHeight="1">
      <c r="A179" s="273">
        <v>18</v>
      </c>
      <c r="B179" s="273" t="str">
        <f t="shared" si="12"/>
        <v>NEAKTIVAN</v>
      </c>
      <c r="C179" s="302">
        <f t="shared" si="11"/>
        <v>177</v>
      </c>
      <c r="D179" s="1">
        <v>22</v>
      </c>
      <c r="E179" s="1" t="str">
        <f>VLOOKUP(D179,Table3[[#All],[RB]:[OIB]],2,0)</f>
        <v>International Line d.o.o.</v>
      </c>
      <c r="F179" s="4">
        <f>VLOOKUP(D179,Table3[],3,0)</f>
        <v>16157428650</v>
      </c>
      <c r="G179" s="1" t="str">
        <f>VLOOKUP(D179,Table3[],4,0)</f>
        <v>Zoltan Kiri</v>
      </c>
      <c r="H179" s="1" t="str">
        <f>VLOOKUP(D179,POSLODAVCI!$A$2:$J$107,9,0)</f>
        <v>Osijek</v>
      </c>
      <c r="I179" s="1" t="str">
        <f>VLOOKUP(D179,Table3[],10,0)</f>
        <v>Ivana Gundulića 28</v>
      </c>
      <c r="J179" s="1" t="s">
        <v>211</v>
      </c>
      <c r="K179" s="61">
        <v>43466</v>
      </c>
      <c r="L179" s="61">
        <v>44178</v>
      </c>
      <c r="M179" s="182">
        <v>79843816739</v>
      </c>
      <c r="N179" t="s">
        <v>80</v>
      </c>
      <c r="O179" s="295">
        <v>27585</v>
      </c>
      <c r="P179" t="s">
        <v>94</v>
      </c>
      <c r="Q179" t="s">
        <v>82</v>
      </c>
      <c r="R179" t="s">
        <v>474</v>
      </c>
      <c r="S179" s="5" t="s">
        <v>428</v>
      </c>
      <c r="T179" t="s">
        <v>84</v>
      </c>
      <c r="V179" t="s">
        <v>149</v>
      </c>
      <c r="W179" t="s">
        <v>149</v>
      </c>
      <c r="X179" s="304" t="s">
        <v>103</v>
      </c>
      <c r="Y179" s="7"/>
      <c r="Z179" t="s">
        <v>86</v>
      </c>
      <c r="AA179">
        <v>40</v>
      </c>
      <c r="AC179" s="183"/>
      <c r="AE179" s="183"/>
      <c r="AH179" t="s">
        <v>94</v>
      </c>
      <c r="AL179" t="s">
        <v>428</v>
      </c>
      <c r="AM179" s="90">
        <v>4835</v>
      </c>
      <c r="AN179" s="184">
        <v>1</v>
      </c>
      <c r="AO179" s="15">
        <v>3380</v>
      </c>
      <c r="AW179" s="7"/>
      <c r="AZ179" t="s">
        <v>374</v>
      </c>
      <c r="BA179">
        <f t="shared" si="13"/>
        <v>18</v>
      </c>
    </row>
    <row r="180" spans="1:53" ht="15.75" customHeight="1">
      <c r="A180" s="273">
        <v>19</v>
      </c>
      <c r="B180" s="273" t="str">
        <f t="shared" si="12"/>
        <v>NEAKTIVAN</v>
      </c>
      <c r="C180" s="302">
        <f t="shared" si="11"/>
        <v>178</v>
      </c>
      <c r="D180" s="1">
        <v>22</v>
      </c>
      <c r="E180" s="1" t="str">
        <f>VLOOKUP(D180,Table3[[#All],[RB]:[OIB]],2,0)</f>
        <v>International Line d.o.o.</v>
      </c>
      <c r="F180" s="4">
        <f>VLOOKUP(D180,Table3[],3,0)</f>
        <v>16157428650</v>
      </c>
      <c r="G180" s="1" t="str">
        <f>VLOOKUP(D180,Table3[],4,0)</f>
        <v>Zoltan Kiri</v>
      </c>
      <c r="H180" s="1" t="str">
        <f>VLOOKUP(D180,POSLODAVCI!$A$2:$J$107,9,0)</f>
        <v>Osijek</v>
      </c>
      <c r="I180" s="1" t="str">
        <f>VLOOKUP(D180,Table3[],10,0)</f>
        <v>Ivana Gundulića 28</v>
      </c>
      <c r="J180" s="1" t="s">
        <v>476</v>
      </c>
      <c r="K180" s="61">
        <v>43466</v>
      </c>
      <c r="L180" s="61">
        <v>44189</v>
      </c>
      <c r="M180" s="158" t="s">
        <v>131</v>
      </c>
      <c r="N180" t="s">
        <v>89</v>
      </c>
      <c r="O180" s="7">
        <v>34036</v>
      </c>
      <c r="P180" t="s">
        <v>94</v>
      </c>
      <c r="Q180" t="s">
        <v>82</v>
      </c>
      <c r="R180" t="s">
        <v>132</v>
      </c>
      <c r="S180" s="5" t="s">
        <v>428</v>
      </c>
      <c r="T180" t="s">
        <v>84</v>
      </c>
      <c r="V180" t="s">
        <v>116</v>
      </c>
      <c r="W180" t="s">
        <v>116</v>
      </c>
      <c r="X180" s="304" t="s">
        <v>103</v>
      </c>
      <c r="Y180" s="7"/>
      <c r="Z180" t="s">
        <v>86</v>
      </c>
      <c r="AA180">
        <v>40</v>
      </c>
      <c r="AC180" s="183"/>
      <c r="AE180" s="183"/>
      <c r="AH180" t="s">
        <v>94</v>
      </c>
      <c r="AL180" t="s">
        <v>428</v>
      </c>
      <c r="AM180" s="90">
        <v>4375</v>
      </c>
      <c r="AN180" s="184">
        <v>1</v>
      </c>
      <c r="AO180" s="15">
        <v>3200</v>
      </c>
      <c r="AW180" s="7"/>
      <c r="AZ180" t="s">
        <v>374</v>
      </c>
      <c r="BA180">
        <f t="shared" si="13"/>
        <v>19</v>
      </c>
    </row>
    <row r="181" spans="1:53" ht="15.5">
      <c r="A181" s="273">
        <v>20</v>
      </c>
      <c r="B181" s="273" t="str">
        <f t="shared" si="12"/>
        <v>NEAKTIVAN</v>
      </c>
      <c r="C181" s="302">
        <f t="shared" si="11"/>
        <v>179</v>
      </c>
      <c r="D181" s="1">
        <v>22</v>
      </c>
      <c r="E181" s="1" t="str">
        <f>VLOOKUP(D181,Table3[[#All],[RB]:[OIB]],2,0)</f>
        <v>International Line d.o.o.</v>
      </c>
      <c r="F181" s="4">
        <f>VLOOKUP(D181,Table3[],3,0)</f>
        <v>16157428650</v>
      </c>
      <c r="G181" s="1" t="str">
        <f>VLOOKUP(D181,Table3[],4,0)</f>
        <v>Zoltan Kiri</v>
      </c>
      <c r="H181" s="1" t="str">
        <f>VLOOKUP(D181,POSLODAVCI!$A$2:$J$107,9,0)</f>
        <v>Osijek</v>
      </c>
      <c r="I181" s="1" t="str">
        <f>VLOOKUP(D181,Table3[],10,0)</f>
        <v>Ivana Gundulića 28</v>
      </c>
      <c r="J181" s="1" t="s">
        <v>127</v>
      </c>
      <c r="K181" s="61">
        <v>43466</v>
      </c>
      <c r="L181" s="61">
        <v>44189</v>
      </c>
      <c r="M181" s="182">
        <v>48436445080</v>
      </c>
      <c r="N181" t="s">
        <v>80</v>
      </c>
      <c r="O181" s="295">
        <v>34306</v>
      </c>
      <c r="P181" t="s">
        <v>94</v>
      </c>
      <c r="Q181" t="s">
        <v>82</v>
      </c>
      <c r="R181" s="157" t="s">
        <v>129</v>
      </c>
      <c r="S181" s="5" t="s">
        <v>428</v>
      </c>
      <c r="T181" t="s">
        <v>84</v>
      </c>
      <c r="V181" t="s">
        <v>116</v>
      </c>
      <c r="W181" t="s">
        <v>116</v>
      </c>
      <c r="X181" s="304" t="s">
        <v>103</v>
      </c>
      <c r="Y181" s="7"/>
      <c r="Z181" t="s">
        <v>86</v>
      </c>
      <c r="AA181">
        <v>40</v>
      </c>
      <c r="AC181" s="183"/>
      <c r="AE181" s="183"/>
      <c r="AH181" t="s">
        <v>94</v>
      </c>
      <c r="AL181" t="s">
        <v>428</v>
      </c>
      <c r="AM181" s="90">
        <v>4375</v>
      </c>
      <c r="AN181" s="184">
        <v>1</v>
      </c>
      <c r="AO181" s="15">
        <v>3200</v>
      </c>
      <c r="AW181" s="7"/>
      <c r="AZ181" t="s">
        <v>374</v>
      </c>
      <c r="BA181">
        <f t="shared" si="13"/>
        <v>20</v>
      </c>
    </row>
    <row r="182" spans="1:53" ht="15.75" customHeight="1">
      <c r="A182" s="273">
        <v>21</v>
      </c>
      <c r="B182" s="273" t="str">
        <f t="shared" si="12"/>
        <v>NEAKTIVAN</v>
      </c>
      <c r="C182" s="302">
        <f t="shared" si="11"/>
        <v>180</v>
      </c>
      <c r="D182" s="1">
        <v>22</v>
      </c>
      <c r="E182" s="1" t="str">
        <f>VLOOKUP(D182,Table3[[#All],[RB]:[OIB]],2,0)</f>
        <v>International Line d.o.o.</v>
      </c>
      <c r="F182" s="4">
        <f>VLOOKUP(D182,Table3[],3,0)</f>
        <v>16157428650</v>
      </c>
      <c r="G182" s="1" t="str">
        <f>VLOOKUP(D182,Table3[],4,0)</f>
        <v>Zoltan Kiri</v>
      </c>
      <c r="H182" s="1" t="str">
        <f>VLOOKUP(D182,POSLODAVCI!$A$2:$J$107,9,0)</f>
        <v>Osijek</v>
      </c>
      <c r="I182" s="1" t="str">
        <f>VLOOKUP(D182,Table3[],10,0)</f>
        <v>Ivana Gundulića 28</v>
      </c>
      <c r="J182" s="1" t="s">
        <v>90</v>
      </c>
      <c r="K182" s="61">
        <v>43132</v>
      </c>
      <c r="L182" s="61">
        <v>44178</v>
      </c>
      <c r="M182" s="182">
        <v>20968805238</v>
      </c>
      <c r="N182" s="16" t="s">
        <v>80</v>
      </c>
      <c r="O182" s="67">
        <v>29604</v>
      </c>
      <c r="P182" s="16" t="s">
        <v>94</v>
      </c>
      <c r="Q182" s="16" t="s">
        <v>82</v>
      </c>
      <c r="R182" s="16" t="s">
        <v>525</v>
      </c>
      <c r="S182" s="17" t="s">
        <v>83</v>
      </c>
      <c r="T182" s="16" t="s">
        <v>84</v>
      </c>
      <c r="U182" s="16"/>
      <c r="V182" s="16"/>
      <c r="W182" s="16" t="s">
        <v>143</v>
      </c>
      <c r="X182" s="303" t="s">
        <v>103</v>
      </c>
      <c r="Y182" s="7"/>
      <c r="Z182" s="16" t="s">
        <v>86</v>
      </c>
      <c r="AA182" s="16">
        <v>40</v>
      </c>
      <c r="AB182" s="16" t="s">
        <v>526</v>
      </c>
      <c r="AC182" s="183"/>
      <c r="AD182" s="16"/>
      <c r="AE182" s="183"/>
      <c r="AF182" s="16"/>
      <c r="AG182" s="16"/>
      <c r="AH182" s="16" t="s">
        <v>94</v>
      </c>
      <c r="AI182" s="16"/>
      <c r="AJ182" s="16"/>
      <c r="AK182" s="16"/>
      <c r="AL182" s="16" t="s">
        <v>83</v>
      </c>
      <c r="AM182" s="90">
        <v>4062.51</v>
      </c>
      <c r="AN182" s="184">
        <v>1</v>
      </c>
      <c r="AO182" s="15">
        <v>3250</v>
      </c>
      <c r="AQ182" s="16"/>
      <c r="AR182" s="16"/>
      <c r="AS182" s="16"/>
      <c r="AT182" s="16"/>
      <c r="AU182" s="16"/>
      <c r="AV182" s="16"/>
      <c r="AW182" s="7"/>
      <c r="AX182" s="16"/>
      <c r="AY182" s="16"/>
      <c r="AZ182" s="16" t="s">
        <v>374</v>
      </c>
      <c r="BA182">
        <f t="shared" si="13"/>
        <v>21</v>
      </c>
    </row>
    <row r="183" spans="1:53" ht="15.75" customHeight="1">
      <c r="A183" s="273">
        <v>22</v>
      </c>
      <c r="B183" s="273" t="str">
        <f t="shared" si="12"/>
        <v>NEAKTIVAN</v>
      </c>
      <c r="C183" s="302">
        <f t="shared" si="11"/>
        <v>181</v>
      </c>
      <c r="D183" s="1">
        <v>22</v>
      </c>
      <c r="E183" s="1" t="str">
        <f>VLOOKUP(D183,Table3[[#All],[RB]:[OIB]],2,0)</f>
        <v>International Line d.o.o.</v>
      </c>
      <c r="F183" s="4">
        <f>VLOOKUP(D183,Table3[],3,0)</f>
        <v>16157428650</v>
      </c>
      <c r="G183" s="1" t="str">
        <f>VLOOKUP(D183,Table3[],4,0)</f>
        <v>Zoltan Kiri</v>
      </c>
      <c r="H183" s="1" t="str">
        <f>VLOOKUP(D183,POSLODAVCI!$A$2:$J$107,9,0)</f>
        <v>Osijek</v>
      </c>
      <c r="I183" s="1" t="str">
        <f>VLOOKUP(D183,Table3[],10,0)</f>
        <v>Ivana Gundulića 28</v>
      </c>
      <c r="J183" s="1" t="s">
        <v>560</v>
      </c>
      <c r="K183" s="61">
        <v>43579</v>
      </c>
      <c r="L183" s="61">
        <v>44178</v>
      </c>
      <c r="M183" s="182">
        <v>35070183473</v>
      </c>
      <c r="N183" t="s">
        <v>80</v>
      </c>
      <c r="O183" s="7">
        <v>31100</v>
      </c>
      <c r="Q183" t="s">
        <v>82</v>
      </c>
      <c r="R183" t="s">
        <v>561</v>
      </c>
      <c r="S183" s="5" t="s">
        <v>428</v>
      </c>
      <c r="T183" t="s">
        <v>111</v>
      </c>
      <c r="U183" s="16" t="s">
        <v>562</v>
      </c>
      <c r="V183" t="s">
        <v>143</v>
      </c>
      <c r="W183" t="s">
        <v>143</v>
      </c>
      <c r="X183" s="304" t="s">
        <v>85</v>
      </c>
      <c r="Y183" s="7">
        <v>43616</v>
      </c>
      <c r="Z183" t="s">
        <v>86</v>
      </c>
      <c r="AA183">
        <v>40</v>
      </c>
      <c r="AB183" t="s">
        <v>563</v>
      </c>
      <c r="AC183" s="183"/>
      <c r="AE183" s="183"/>
      <c r="AH183" t="s">
        <v>94</v>
      </c>
      <c r="AL183" t="s">
        <v>428</v>
      </c>
      <c r="AM183" s="90">
        <v>4062.51</v>
      </c>
      <c r="AN183" s="184">
        <v>1</v>
      </c>
      <c r="AO183" s="15">
        <v>3250</v>
      </c>
      <c r="AW183" s="7"/>
      <c r="AZ183" t="s">
        <v>374</v>
      </c>
      <c r="BA183">
        <f t="shared" si="13"/>
        <v>22</v>
      </c>
    </row>
    <row r="184" spans="1:53" ht="15.75" customHeight="1">
      <c r="A184" s="273">
        <v>23</v>
      </c>
      <c r="B184" s="273" t="str">
        <f t="shared" si="12"/>
        <v>NEAKTIVAN</v>
      </c>
      <c r="C184" s="302">
        <f t="shared" si="11"/>
        <v>182</v>
      </c>
      <c r="D184" s="1">
        <v>22</v>
      </c>
      <c r="E184" s="1" t="str">
        <f>VLOOKUP(D184,Table3[[#All],[RB]:[OIB]],2,0)</f>
        <v>International Line d.o.o.</v>
      </c>
      <c r="F184" s="4">
        <f>VLOOKUP(D184,Table3[],3,0)</f>
        <v>16157428650</v>
      </c>
      <c r="G184" s="1" t="str">
        <f>VLOOKUP(D184,Table3[],4,0)</f>
        <v>Zoltan Kiri</v>
      </c>
      <c r="H184" s="1" t="str">
        <f>VLOOKUP(D184,POSLODAVCI!$A$2:$J$107,9,0)</f>
        <v>Osijek</v>
      </c>
      <c r="I184" s="1" t="str">
        <f>VLOOKUP(D184,Table3[],10,0)</f>
        <v>Ivana Gundulića 28</v>
      </c>
      <c r="J184" s="1" t="s">
        <v>582</v>
      </c>
      <c r="K184" s="61">
        <v>43592</v>
      </c>
      <c r="L184" s="61">
        <v>44178</v>
      </c>
      <c r="M184" s="89" t="s">
        <v>583</v>
      </c>
      <c r="N184" t="s">
        <v>80</v>
      </c>
      <c r="O184" s="7">
        <v>21814</v>
      </c>
      <c r="P184" t="s">
        <v>94</v>
      </c>
      <c r="Q184" t="s">
        <v>82</v>
      </c>
      <c r="R184" t="s">
        <v>584</v>
      </c>
      <c r="S184" s="5" t="s">
        <v>428</v>
      </c>
      <c r="T184" t="s">
        <v>247</v>
      </c>
      <c r="V184" t="s">
        <v>143</v>
      </c>
      <c r="W184" t="s">
        <v>143</v>
      </c>
      <c r="X184" s="304" t="s">
        <v>85</v>
      </c>
      <c r="Y184" s="7">
        <v>43616</v>
      </c>
      <c r="Z184" t="s">
        <v>86</v>
      </c>
      <c r="AA184">
        <v>40</v>
      </c>
      <c r="AB184" t="s">
        <v>585</v>
      </c>
      <c r="AC184" s="183"/>
      <c r="AE184" s="183"/>
      <c r="AH184" t="s">
        <v>94</v>
      </c>
      <c r="AL184" t="s">
        <v>428</v>
      </c>
      <c r="AM184" s="90">
        <v>4062.51</v>
      </c>
      <c r="AN184" s="184">
        <v>1</v>
      </c>
      <c r="AO184" s="15">
        <v>3250</v>
      </c>
      <c r="AW184" s="7"/>
      <c r="AZ184" t="s">
        <v>374</v>
      </c>
      <c r="BA184">
        <f t="shared" si="13"/>
        <v>23</v>
      </c>
    </row>
    <row r="185" spans="1:53" ht="15.75" customHeight="1">
      <c r="A185" s="273">
        <v>24</v>
      </c>
      <c r="B185" s="273" t="str">
        <f t="shared" si="12"/>
        <v>NEAKTIVAN</v>
      </c>
      <c r="C185" s="302">
        <f t="shared" si="11"/>
        <v>183</v>
      </c>
      <c r="D185" s="1">
        <v>22</v>
      </c>
      <c r="E185" s="1" t="str">
        <f>VLOOKUP(D185,Table3[[#All],[RB]:[OIB]],2,0)</f>
        <v>International Line d.o.o.</v>
      </c>
      <c r="F185" s="4">
        <f>VLOOKUP(D185,Table3[],3,0)</f>
        <v>16157428650</v>
      </c>
      <c r="G185" s="1" t="str">
        <f>VLOOKUP(D185,Table3[],4,0)</f>
        <v>Zoltan Kiri</v>
      </c>
      <c r="H185" s="1" t="str">
        <f>VLOOKUP(D185,POSLODAVCI!$A$2:$J$107,9,0)</f>
        <v>Osijek</v>
      </c>
      <c r="I185" s="1" t="str">
        <f>VLOOKUP(D185,Table3[],10,0)</f>
        <v>Ivana Gundulića 28</v>
      </c>
      <c r="J185" s="1" t="s">
        <v>593</v>
      </c>
      <c r="K185" s="61">
        <v>43598</v>
      </c>
      <c r="L185" s="61">
        <v>44178</v>
      </c>
      <c r="M185" s="182">
        <v>93734201839</v>
      </c>
      <c r="N185" t="s">
        <v>89</v>
      </c>
      <c r="O185" s="7">
        <v>21729</v>
      </c>
      <c r="Q185" t="s">
        <v>82</v>
      </c>
      <c r="R185" t="s">
        <v>594</v>
      </c>
      <c r="S185" s="5" t="s">
        <v>428</v>
      </c>
      <c r="T185" t="s">
        <v>84</v>
      </c>
      <c r="V185" t="s">
        <v>143</v>
      </c>
      <c r="W185" t="s">
        <v>143</v>
      </c>
      <c r="X185" s="304" t="s">
        <v>85</v>
      </c>
      <c r="Y185" s="7">
        <v>43616</v>
      </c>
      <c r="Z185" t="s">
        <v>86</v>
      </c>
      <c r="AA185">
        <v>40</v>
      </c>
      <c r="AB185" t="s">
        <v>595</v>
      </c>
      <c r="AC185" s="183"/>
      <c r="AE185" s="183"/>
      <c r="AH185" t="s">
        <v>94</v>
      </c>
      <c r="AL185" t="s">
        <v>428</v>
      </c>
      <c r="AM185" s="90">
        <v>4062.51</v>
      </c>
      <c r="AN185" s="184">
        <v>1</v>
      </c>
      <c r="AO185" s="15">
        <v>3250</v>
      </c>
      <c r="AW185" s="7"/>
      <c r="AZ185" t="s">
        <v>374</v>
      </c>
      <c r="BA185">
        <f t="shared" si="13"/>
        <v>24</v>
      </c>
    </row>
    <row r="186" spans="1:53" ht="15.75" customHeight="1">
      <c r="A186" s="273">
        <v>25</v>
      </c>
      <c r="B186" s="273" t="str">
        <f t="shared" si="12"/>
        <v>NEAKTIVAN</v>
      </c>
      <c r="C186" s="302">
        <f t="shared" si="11"/>
        <v>184</v>
      </c>
      <c r="D186" s="1">
        <v>22</v>
      </c>
      <c r="E186" s="1" t="str">
        <f>VLOOKUP(D186,Table3[[#All],[RB]:[OIB]],2,0)</f>
        <v>International Line d.o.o.</v>
      </c>
      <c r="F186" s="4">
        <f>VLOOKUP(D186,Table3[],3,0)</f>
        <v>16157428650</v>
      </c>
      <c r="G186" s="1" t="str">
        <f>VLOOKUP(D186,Table3[],4,0)</f>
        <v>Zoltan Kiri</v>
      </c>
      <c r="H186" s="1" t="str">
        <f>VLOOKUP(D186,POSLODAVCI!$A$2:$J$107,9,0)</f>
        <v>Osijek</v>
      </c>
      <c r="I186" s="1" t="str">
        <f>VLOOKUP(D186,Table3[],10,0)</f>
        <v>Ivana Gundulića 28</v>
      </c>
      <c r="J186" s="1" t="s">
        <v>600</v>
      </c>
      <c r="K186" s="61">
        <v>43608</v>
      </c>
      <c r="L186" s="61">
        <v>44178</v>
      </c>
      <c r="M186" s="182">
        <v>10828286402</v>
      </c>
      <c r="N186" t="s">
        <v>80</v>
      </c>
      <c r="O186" s="7">
        <v>35178</v>
      </c>
      <c r="Q186" t="s">
        <v>82</v>
      </c>
      <c r="R186" t="s">
        <v>601</v>
      </c>
      <c r="S186" s="5" t="s">
        <v>428</v>
      </c>
      <c r="T186" t="s">
        <v>84</v>
      </c>
      <c r="V186" t="s">
        <v>143</v>
      </c>
      <c r="W186" t="s">
        <v>143</v>
      </c>
      <c r="X186" s="304" t="s">
        <v>85</v>
      </c>
      <c r="Y186" s="7">
        <v>43646</v>
      </c>
      <c r="Z186" t="s">
        <v>86</v>
      </c>
      <c r="AA186">
        <v>40</v>
      </c>
      <c r="AB186" t="s">
        <v>602</v>
      </c>
      <c r="AC186" s="183"/>
      <c r="AE186" s="183"/>
      <c r="AH186" t="s">
        <v>94</v>
      </c>
      <c r="AL186" t="s">
        <v>428</v>
      </c>
      <c r="AM186" s="90">
        <v>4062.51</v>
      </c>
      <c r="AN186" s="184">
        <v>1</v>
      </c>
      <c r="AO186" s="15">
        <v>3250</v>
      </c>
      <c r="AW186" s="7"/>
      <c r="AZ186" t="s">
        <v>374</v>
      </c>
      <c r="BA186">
        <f t="shared" si="13"/>
        <v>25</v>
      </c>
    </row>
    <row r="187" spans="1:53" ht="15.75" customHeight="1">
      <c r="A187" s="273">
        <v>26</v>
      </c>
      <c r="B187" s="273" t="str">
        <f t="shared" si="12"/>
        <v>NEAKTIVAN</v>
      </c>
      <c r="C187" s="302">
        <f t="shared" si="11"/>
        <v>185</v>
      </c>
      <c r="D187" s="1">
        <v>22</v>
      </c>
      <c r="E187" s="1" t="str">
        <f>VLOOKUP(D187,Table3[[#All],[RB]:[OIB]],2,0)</f>
        <v>International Line d.o.o.</v>
      </c>
      <c r="F187" s="4">
        <f>VLOOKUP(D187,Table3[],3,0)</f>
        <v>16157428650</v>
      </c>
      <c r="G187" s="1" t="str">
        <f>VLOOKUP(D187,Table3[],4,0)</f>
        <v>Zoltan Kiri</v>
      </c>
      <c r="H187" s="1" t="str">
        <f>VLOOKUP(D187,POSLODAVCI!$A$2:$J$107,9,0)</f>
        <v>Osijek</v>
      </c>
      <c r="I187" s="1" t="str">
        <f>VLOOKUP(D187,Table3[],10,0)</f>
        <v>Ivana Gundulića 28</v>
      </c>
      <c r="J187" s="1" t="s">
        <v>642</v>
      </c>
      <c r="K187" s="61">
        <v>43710</v>
      </c>
      <c r="L187" s="61">
        <v>44178</v>
      </c>
      <c r="M187" s="182">
        <v>7249139649</v>
      </c>
      <c r="N187" t="s">
        <v>80</v>
      </c>
      <c r="O187" s="7">
        <v>24851</v>
      </c>
      <c r="Q187" t="s">
        <v>82</v>
      </c>
      <c r="R187" t="s">
        <v>643</v>
      </c>
      <c r="S187" s="5" t="s">
        <v>428</v>
      </c>
      <c r="T187" t="s">
        <v>84</v>
      </c>
      <c r="V187" t="s">
        <v>143</v>
      </c>
      <c r="W187" t="s">
        <v>143</v>
      </c>
      <c r="X187" s="304" t="s">
        <v>103</v>
      </c>
      <c r="Y187" s="7"/>
      <c r="Z187" t="s">
        <v>86</v>
      </c>
      <c r="AA187">
        <v>40</v>
      </c>
      <c r="AB187" t="s">
        <v>644</v>
      </c>
      <c r="AC187" s="183"/>
      <c r="AE187" s="183"/>
      <c r="AH187" t="s">
        <v>94</v>
      </c>
      <c r="AL187" t="s">
        <v>428</v>
      </c>
      <c r="AM187" s="90">
        <v>4062.51</v>
      </c>
      <c r="AN187" s="184">
        <v>1</v>
      </c>
      <c r="AO187" s="15">
        <v>3250</v>
      </c>
      <c r="AW187" s="7"/>
      <c r="AZ187" t="s">
        <v>374</v>
      </c>
      <c r="BA187">
        <f t="shared" si="13"/>
        <v>26</v>
      </c>
    </row>
    <row r="188" spans="1:53" ht="15.75" customHeight="1">
      <c r="A188" s="273">
        <v>27</v>
      </c>
      <c r="B188" s="273" t="str">
        <f t="shared" si="12"/>
        <v>NEAKTIVAN</v>
      </c>
      <c r="C188" s="302">
        <f t="shared" si="11"/>
        <v>186</v>
      </c>
      <c r="D188" s="1">
        <v>22</v>
      </c>
      <c r="E188" s="1" t="str">
        <f>VLOOKUP(D188,Table3[[#All],[RB]:[OIB]],2,0)</f>
        <v>International Line d.o.o.</v>
      </c>
      <c r="F188" s="4">
        <f>VLOOKUP(D188,Table3[],3,0)</f>
        <v>16157428650</v>
      </c>
      <c r="G188" s="1" t="str">
        <f>VLOOKUP(D188,Table3[],4,0)</f>
        <v>Zoltan Kiri</v>
      </c>
      <c r="H188" s="1" t="str">
        <f>VLOOKUP(D188,POSLODAVCI!$A$2:$J$107,9,0)</f>
        <v>Osijek</v>
      </c>
      <c r="I188" s="1" t="str">
        <f>VLOOKUP(D188,Table3[],10,0)</f>
        <v>Ivana Gundulića 28</v>
      </c>
      <c r="J188" s="1" t="s">
        <v>650</v>
      </c>
      <c r="K188" s="61">
        <v>43724</v>
      </c>
      <c r="L188" s="61">
        <v>44178</v>
      </c>
      <c r="M188" s="182">
        <v>13956960436</v>
      </c>
      <c r="N188" t="s">
        <v>80</v>
      </c>
      <c r="O188" s="7">
        <v>29134</v>
      </c>
      <c r="Q188" t="s">
        <v>82</v>
      </c>
      <c r="R188" t="s">
        <v>651</v>
      </c>
      <c r="T188" t="s">
        <v>84</v>
      </c>
      <c r="V188" t="s">
        <v>143</v>
      </c>
      <c r="W188" t="s">
        <v>143</v>
      </c>
      <c r="X188" s="304" t="s">
        <v>103</v>
      </c>
      <c r="Y188" s="7"/>
      <c r="Z188" t="s">
        <v>86</v>
      </c>
      <c r="AA188">
        <v>40</v>
      </c>
      <c r="AC188" s="183"/>
      <c r="AE188" s="183"/>
      <c r="AH188" t="s">
        <v>94</v>
      </c>
      <c r="AL188" t="s">
        <v>428</v>
      </c>
      <c r="AM188" s="90">
        <v>4062.51</v>
      </c>
      <c r="AN188" s="184">
        <v>1</v>
      </c>
      <c r="AO188" s="15">
        <v>3250</v>
      </c>
      <c r="AW188" s="7"/>
      <c r="AZ188" t="s">
        <v>374</v>
      </c>
      <c r="BA188">
        <f t="shared" si="13"/>
        <v>27</v>
      </c>
    </row>
    <row r="189" spans="1:53" ht="15.75" customHeight="1">
      <c r="A189" s="273">
        <v>28</v>
      </c>
      <c r="B189" s="273" t="str">
        <f t="shared" si="12"/>
        <v>NEAKTIVAN</v>
      </c>
      <c r="C189" s="302">
        <f t="shared" si="11"/>
        <v>187</v>
      </c>
      <c r="D189" s="1">
        <v>22</v>
      </c>
      <c r="E189" s="1" t="str">
        <f>VLOOKUP(D189,Table3[[#All],[RB]:[OIB]],2,0)</f>
        <v>International Line d.o.o.</v>
      </c>
      <c r="F189" s="4">
        <f>VLOOKUP(D189,Table3[],3,0)</f>
        <v>16157428650</v>
      </c>
      <c r="G189" s="1" t="str">
        <f>VLOOKUP(D189,Table3[],4,0)</f>
        <v>Zoltan Kiri</v>
      </c>
      <c r="H189" s="1" t="str">
        <f>VLOOKUP(D189,POSLODAVCI!$A$2:$J$107,9,0)</f>
        <v>Osijek</v>
      </c>
      <c r="I189" s="1" t="str">
        <f>VLOOKUP(D189,Table3[],10,0)</f>
        <v>Ivana Gundulića 28</v>
      </c>
      <c r="J189" s="1" t="s">
        <v>652</v>
      </c>
      <c r="K189" s="61">
        <v>43733</v>
      </c>
      <c r="L189" s="61">
        <v>44178</v>
      </c>
      <c r="M189" s="182">
        <v>81985727746</v>
      </c>
      <c r="N189" t="s">
        <v>80</v>
      </c>
      <c r="O189" s="7">
        <v>30290</v>
      </c>
      <c r="Q189" t="s">
        <v>82</v>
      </c>
      <c r="R189" t="s">
        <v>653</v>
      </c>
      <c r="S189" s="5" t="s">
        <v>83</v>
      </c>
      <c r="T189" t="s">
        <v>84</v>
      </c>
      <c r="V189" t="s">
        <v>143</v>
      </c>
      <c r="W189" t="s">
        <v>143</v>
      </c>
      <c r="X189" s="304" t="s">
        <v>103</v>
      </c>
      <c r="Y189" s="7"/>
      <c r="Z189" t="s">
        <v>86</v>
      </c>
      <c r="AA189">
        <v>40</v>
      </c>
      <c r="AB189" t="s">
        <v>654</v>
      </c>
      <c r="AC189" s="183"/>
      <c r="AE189" s="183"/>
      <c r="AH189" t="s">
        <v>94</v>
      </c>
      <c r="AL189" t="s">
        <v>83</v>
      </c>
      <c r="AM189" s="90">
        <v>4062.51</v>
      </c>
      <c r="AN189" s="184">
        <v>1</v>
      </c>
      <c r="AO189" s="15">
        <v>3250</v>
      </c>
      <c r="AW189" s="7"/>
      <c r="AZ189" t="s">
        <v>374</v>
      </c>
      <c r="BA189">
        <f t="shared" si="13"/>
        <v>28</v>
      </c>
    </row>
    <row r="190" spans="1:53" ht="15.75" customHeight="1">
      <c r="A190" s="273">
        <v>29</v>
      </c>
      <c r="B190" s="273" t="str">
        <f t="shared" si="12"/>
        <v>NEAKTIVAN</v>
      </c>
      <c r="C190" s="302">
        <f t="shared" si="11"/>
        <v>188</v>
      </c>
      <c r="D190" s="1">
        <v>22</v>
      </c>
      <c r="E190" s="1" t="str">
        <f>VLOOKUP(D190,Table3[[#All],[RB]:[OIB]],2,0)</f>
        <v>International Line d.o.o.</v>
      </c>
      <c r="F190" s="4">
        <f>VLOOKUP(D190,Table3[],3,0)</f>
        <v>16157428650</v>
      </c>
      <c r="G190" s="1" t="str">
        <f>VLOOKUP(D190,Table3[],4,0)</f>
        <v>Zoltan Kiri</v>
      </c>
      <c r="H190" s="1" t="str">
        <f>VLOOKUP(D190,POSLODAVCI!$A$2:$J$107,9,0)</f>
        <v>Osijek</v>
      </c>
      <c r="I190" s="1" t="str">
        <f>VLOOKUP(D190,Table3[],10,0)</f>
        <v>Ivana Gundulića 28</v>
      </c>
      <c r="J190" s="1" t="s">
        <v>655</v>
      </c>
      <c r="K190" s="61">
        <v>43738</v>
      </c>
      <c r="L190" s="61">
        <v>44189</v>
      </c>
      <c r="M190" s="182">
        <v>77737288895</v>
      </c>
      <c r="N190" t="s">
        <v>80</v>
      </c>
      <c r="O190" s="7">
        <v>36158</v>
      </c>
      <c r="P190" t="s">
        <v>94</v>
      </c>
      <c r="Q190" t="s">
        <v>82</v>
      </c>
      <c r="R190" t="s">
        <v>656</v>
      </c>
      <c r="S190" s="5" t="s">
        <v>83</v>
      </c>
      <c r="T190" t="s">
        <v>84</v>
      </c>
      <c r="V190" t="s">
        <v>507</v>
      </c>
      <c r="W190" t="s">
        <v>507</v>
      </c>
      <c r="X190" s="304" t="s">
        <v>103</v>
      </c>
      <c r="Y190" s="7"/>
      <c r="Z190" t="s">
        <v>86</v>
      </c>
      <c r="AA190">
        <v>40</v>
      </c>
      <c r="AB190" t="s">
        <v>657</v>
      </c>
      <c r="AC190" s="183"/>
      <c r="AE190" s="183"/>
      <c r="AH190" t="s">
        <v>94</v>
      </c>
      <c r="AL190" t="s">
        <v>83</v>
      </c>
      <c r="AM190" s="90">
        <v>5093.03</v>
      </c>
      <c r="AN190" s="184">
        <v>1</v>
      </c>
      <c r="AO190" s="15">
        <v>4000</v>
      </c>
      <c r="AW190" s="7"/>
      <c r="AZ190" t="s">
        <v>374</v>
      </c>
      <c r="BA190">
        <f t="shared" si="13"/>
        <v>29</v>
      </c>
    </row>
    <row r="191" spans="1:53" ht="15.75" customHeight="1">
      <c r="A191" s="273">
        <v>30</v>
      </c>
      <c r="B191" s="273" t="str">
        <f t="shared" si="12"/>
        <v>NEAKTIVAN</v>
      </c>
      <c r="C191" s="302">
        <f t="shared" si="11"/>
        <v>189</v>
      </c>
      <c r="D191" s="1">
        <v>22</v>
      </c>
      <c r="E191" s="1" t="str">
        <f>VLOOKUP(D191,Table3[[#All],[RB]:[OIB]],2,0)</f>
        <v>International Line d.o.o.</v>
      </c>
      <c r="F191" s="4">
        <f>VLOOKUP(D191,Table3[],3,0)</f>
        <v>16157428650</v>
      </c>
      <c r="G191" s="1" t="str">
        <f>VLOOKUP(D191,Table3[],4,0)</f>
        <v>Zoltan Kiri</v>
      </c>
      <c r="H191" s="1" t="str">
        <f>VLOOKUP(D191,POSLODAVCI!$A$2:$J$107,9,0)</f>
        <v>Osijek</v>
      </c>
      <c r="I191" s="1" t="str">
        <f>VLOOKUP(D191,Table3[],10,0)</f>
        <v>Ivana Gundulića 28</v>
      </c>
      <c r="J191" s="1" t="s">
        <v>715</v>
      </c>
      <c r="K191" s="61">
        <v>43794</v>
      </c>
      <c r="L191" s="61">
        <v>44189</v>
      </c>
      <c r="M191" s="182">
        <v>72094958860</v>
      </c>
      <c r="N191" s="16" t="s">
        <v>80</v>
      </c>
      <c r="O191" s="7">
        <v>35137</v>
      </c>
      <c r="P191" s="16" t="s">
        <v>716</v>
      </c>
      <c r="Q191" s="16" t="s">
        <v>82</v>
      </c>
      <c r="R191" s="16" t="s">
        <v>717</v>
      </c>
      <c r="S191" s="17" t="s">
        <v>83</v>
      </c>
      <c r="T191" s="16" t="s">
        <v>84</v>
      </c>
      <c r="U191" s="16"/>
      <c r="V191" s="16" t="s">
        <v>660</v>
      </c>
      <c r="W191" s="16" t="s">
        <v>718</v>
      </c>
      <c r="X191" s="303" t="s">
        <v>103</v>
      </c>
      <c r="Y191" s="7"/>
      <c r="Z191" s="16" t="s">
        <v>86</v>
      </c>
      <c r="AA191" s="16">
        <v>40</v>
      </c>
      <c r="AB191" s="16" t="s">
        <v>719</v>
      </c>
      <c r="AC191" s="183"/>
      <c r="AD191" s="16"/>
      <c r="AE191" s="183"/>
      <c r="AF191" s="16"/>
      <c r="AG191" s="16"/>
      <c r="AH191" s="16" t="s">
        <v>81</v>
      </c>
      <c r="AI191" s="16"/>
      <c r="AJ191" s="16"/>
      <c r="AK191" s="16"/>
      <c r="AL191" s="16" t="s">
        <v>83</v>
      </c>
      <c r="AM191" s="90">
        <v>4375</v>
      </c>
      <c r="AN191" s="184">
        <v>1</v>
      </c>
      <c r="AO191" s="15">
        <v>4000</v>
      </c>
      <c r="AQ191" s="16"/>
      <c r="AR191" s="16"/>
      <c r="AS191" s="16"/>
      <c r="AT191" s="16"/>
      <c r="AU191" s="16"/>
      <c r="AV191" s="16"/>
      <c r="AW191" s="7"/>
      <c r="AX191" s="16"/>
      <c r="AY191" s="16"/>
      <c r="AZ191" s="16" t="s">
        <v>374</v>
      </c>
      <c r="BA191">
        <f t="shared" si="13"/>
        <v>30</v>
      </c>
    </row>
    <row r="192" spans="1:53" ht="15.75" customHeight="1">
      <c r="A192" s="273">
        <v>31</v>
      </c>
      <c r="B192" s="273" t="str">
        <f t="shared" si="12"/>
        <v>NEAKTIVAN</v>
      </c>
      <c r="C192" s="302">
        <f t="shared" si="11"/>
        <v>190</v>
      </c>
      <c r="D192" s="194">
        <v>22</v>
      </c>
      <c r="E192" s="1" t="str">
        <f>VLOOKUP(D192,Table3[[#All],[RB]:[OIB]],2,0)</f>
        <v>International Line d.o.o.</v>
      </c>
      <c r="F192" s="4">
        <f>VLOOKUP(D192,Table3[],3,0)</f>
        <v>16157428650</v>
      </c>
      <c r="G192" s="1" t="str">
        <f>VLOOKUP(D192,Table3[],4,0)</f>
        <v>Zoltan Kiri</v>
      </c>
      <c r="H192" s="1" t="str">
        <f>VLOOKUP(D192,POSLODAVCI!$A$2:$J$107,9,0)</f>
        <v>Osijek</v>
      </c>
      <c r="I192" s="1" t="str">
        <f>VLOOKUP(D192,Table3[],10,0)</f>
        <v>Ivana Gundulića 28</v>
      </c>
      <c r="J192" s="194" t="s">
        <v>764</v>
      </c>
      <c r="K192" s="195">
        <v>43892</v>
      </c>
      <c r="L192" s="195">
        <v>44189</v>
      </c>
      <c r="M192" s="182">
        <v>35671171883</v>
      </c>
      <c r="N192" t="s">
        <v>89</v>
      </c>
      <c r="O192" s="7">
        <v>34201</v>
      </c>
      <c r="P192" t="s">
        <v>765</v>
      </c>
      <c r="Q192" t="s">
        <v>82</v>
      </c>
      <c r="R192" t="s">
        <v>766</v>
      </c>
      <c r="S192" s="5" t="s">
        <v>83</v>
      </c>
      <c r="T192" t="s">
        <v>84</v>
      </c>
      <c r="V192" t="s">
        <v>767</v>
      </c>
      <c r="W192" t="s">
        <v>768</v>
      </c>
      <c r="X192" s="304" t="s">
        <v>103</v>
      </c>
      <c r="Y192" s="7"/>
      <c r="Z192" t="s">
        <v>86</v>
      </c>
      <c r="AA192">
        <v>40</v>
      </c>
      <c r="AB192" t="s">
        <v>769</v>
      </c>
      <c r="AC192" s="183"/>
      <c r="AE192" s="183"/>
      <c r="AH192" t="s">
        <v>94</v>
      </c>
      <c r="AL192" t="s">
        <v>83</v>
      </c>
      <c r="AM192" s="90">
        <v>8426.4599999999991</v>
      </c>
      <c r="AN192" s="184">
        <v>1</v>
      </c>
      <c r="AO192" s="15">
        <v>5997.76</v>
      </c>
      <c r="AW192" s="7"/>
      <c r="AZ192" t="s">
        <v>374</v>
      </c>
      <c r="BA192">
        <f t="shared" si="13"/>
        <v>31</v>
      </c>
    </row>
    <row r="193" spans="1:80" ht="15.75" customHeight="1">
      <c r="A193" s="273">
        <v>32</v>
      </c>
      <c r="B193" s="273" t="str">
        <f t="shared" si="12"/>
        <v>NEAKTIVAN</v>
      </c>
      <c r="C193" s="302">
        <f t="shared" si="11"/>
        <v>191</v>
      </c>
      <c r="D193" s="258">
        <v>22</v>
      </c>
      <c r="E193" s="1" t="str">
        <f>VLOOKUP(D193,Table3[[#All],[RB]:[OIB]],2,0)</f>
        <v>International Line d.o.o.</v>
      </c>
      <c r="F193" s="4">
        <f>VLOOKUP(D193,Table3[],3,0)</f>
        <v>16157428650</v>
      </c>
      <c r="G193" s="1" t="str">
        <f>VLOOKUP(D193,Table3[],4,0)</f>
        <v>Zoltan Kiri</v>
      </c>
      <c r="H193" s="1" t="str">
        <f>VLOOKUP(D193,POSLODAVCI!$A$2:$J$107,9,0)</f>
        <v>Osijek</v>
      </c>
      <c r="I193" s="1" t="str">
        <f>VLOOKUP(D193,Table3[],10,0)</f>
        <v>Ivana Gundulića 28</v>
      </c>
      <c r="J193" s="258" t="s">
        <v>1221</v>
      </c>
      <c r="K193" s="272">
        <v>43990</v>
      </c>
      <c r="L193" s="272">
        <v>44189</v>
      </c>
      <c r="M193" s="182">
        <v>56588131100</v>
      </c>
      <c r="N193" t="s">
        <v>80</v>
      </c>
      <c r="O193" s="7">
        <v>36552</v>
      </c>
      <c r="P193" t="s">
        <v>94</v>
      </c>
      <c r="Q193" t="s">
        <v>82</v>
      </c>
      <c r="R193" t="s">
        <v>1222</v>
      </c>
      <c r="S193" s="5" t="s">
        <v>83</v>
      </c>
      <c r="T193" t="s">
        <v>84</v>
      </c>
      <c r="V193" t="s">
        <v>507</v>
      </c>
      <c r="W193" t="s">
        <v>507</v>
      </c>
      <c r="X193" s="304" t="s">
        <v>103</v>
      </c>
      <c r="Y193" s="7"/>
      <c r="Z193" t="s">
        <v>86</v>
      </c>
      <c r="AA193">
        <v>40</v>
      </c>
      <c r="AB193" t="s">
        <v>1224</v>
      </c>
      <c r="AC193" s="183"/>
      <c r="AE193" s="183"/>
      <c r="AH193" t="s">
        <v>94</v>
      </c>
      <c r="AL193" t="s">
        <v>83</v>
      </c>
      <c r="AM193" s="261">
        <v>4375</v>
      </c>
      <c r="AN193" s="184">
        <v>1</v>
      </c>
      <c r="AO193" s="15">
        <v>3500</v>
      </c>
      <c r="AW193" s="7"/>
      <c r="AZ193" t="s">
        <v>374</v>
      </c>
      <c r="BA193">
        <f t="shared" si="13"/>
        <v>32</v>
      </c>
    </row>
    <row r="194" spans="1:80" ht="15.75" customHeight="1">
      <c r="A194" s="273">
        <v>33</v>
      </c>
      <c r="B194" s="273" t="str">
        <f t="shared" si="12"/>
        <v>NEAKTIVAN</v>
      </c>
      <c r="C194" s="302">
        <f t="shared" si="11"/>
        <v>192</v>
      </c>
      <c r="D194" s="258">
        <v>22</v>
      </c>
      <c r="E194" s="1" t="str">
        <f>VLOOKUP(D194,Table3[[#All],[RB]:[OIB]],2,0)</f>
        <v>International Line d.o.o.</v>
      </c>
      <c r="F194" s="4">
        <f>VLOOKUP(D194,Table3[],3,0)</f>
        <v>16157428650</v>
      </c>
      <c r="G194" s="1" t="str">
        <f>VLOOKUP(D194,Table3[],4,0)</f>
        <v>Zoltan Kiri</v>
      </c>
      <c r="H194" s="1" t="str">
        <f>VLOOKUP(D194,POSLODAVCI!$A$2:$J$107,9,0)</f>
        <v>Osijek</v>
      </c>
      <c r="I194" s="1" t="str">
        <f>VLOOKUP(D194,Table3[],10,0)</f>
        <v>Ivana Gundulića 28</v>
      </c>
      <c r="J194" s="1" t="s">
        <v>486</v>
      </c>
      <c r="K194" s="61">
        <v>44018</v>
      </c>
      <c r="L194" s="61">
        <v>44183</v>
      </c>
      <c r="M194" s="182">
        <v>74541092706</v>
      </c>
      <c r="N194" t="s">
        <v>89</v>
      </c>
      <c r="O194" s="7">
        <v>35058</v>
      </c>
      <c r="P194" t="s">
        <v>94</v>
      </c>
      <c r="Q194" t="s">
        <v>82</v>
      </c>
      <c r="R194" t="s">
        <v>487</v>
      </c>
      <c r="S194" s="5" t="s">
        <v>428</v>
      </c>
      <c r="T194" t="s">
        <v>84</v>
      </c>
      <c r="V194" t="s">
        <v>116</v>
      </c>
      <c r="W194" t="s">
        <v>116</v>
      </c>
      <c r="X194" s="304" t="s">
        <v>103</v>
      </c>
      <c r="Y194" s="7"/>
      <c r="Z194" t="s">
        <v>86</v>
      </c>
      <c r="AA194">
        <v>40</v>
      </c>
      <c r="AB194" t="s">
        <v>417</v>
      </c>
      <c r="AC194" s="183"/>
      <c r="AE194" s="183"/>
      <c r="AH194" t="s">
        <v>94</v>
      </c>
      <c r="AL194" t="s">
        <v>428</v>
      </c>
      <c r="AM194" s="90">
        <v>4375</v>
      </c>
      <c r="AN194" s="184">
        <v>1</v>
      </c>
      <c r="AO194" s="15">
        <v>3500</v>
      </c>
      <c r="AW194" s="7"/>
      <c r="AZ194" t="s">
        <v>374</v>
      </c>
      <c r="BA194">
        <f t="shared" si="13"/>
        <v>33</v>
      </c>
    </row>
    <row r="195" spans="1:80" ht="15.75" customHeight="1">
      <c r="A195" s="273">
        <v>34</v>
      </c>
      <c r="B195" s="273" t="str">
        <f t="shared" si="12"/>
        <v>NEAKTIVAN</v>
      </c>
      <c r="C195" s="302">
        <f t="shared" ref="C195:C258" si="14">C194+1</f>
        <v>193</v>
      </c>
      <c r="D195" s="258">
        <v>22</v>
      </c>
      <c r="E195" s="1" t="str">
        <f>VLOOKUP(D195,Table3[[#All],[RB]:[OIB]],2,0)</f>
        <v>International Line d.o.o.</v>
      </c>
      <c r="F195" s="4">
        <f>VLOOKUP(D195,Table3[],3,0)</f>
        <v>16157428650</v>
      </c>
      <c r="G195" s="1" t="str">
        <f>VLOOKUP(D195,Table3[],4,0)</f>
        <v>Zoltan Kiri</v>
      </c>
      <c r="H195" s="1" t="str">
        <f>VLOOKUP(D195,POSLODAVCI!$A$2:$J$107,9,0)</f>
        <v>Osijek</v>
      </c>
      <c r="I195" s="1" t="str">
        <f>VLOOKUP(D195,Table3[],10,0)</f>
        <v>Ivana Gundulića 28</v>
      </c>
      <c r="J195" s="258" t="s">
        <v>1294</v>
      </c>
      <c r="K195" s="272">
        <v>44032</v>
      </c>
      <c r="L195" s="272">
        <v>44183</v>
      </c>
      <c r="M195" s="182">
        <v>46379256051</v>
      </c>
      <c r="N195" t="s">
        <v>89</v>
      </c>
      <c r="O195" s="7">
        <v>35648</v>
      </c>
      <c r="P195" t="s">
        <v>94</v>
      </c>
      <c r="Q195" t="s">
        <v>82</v>
      </c>
      <c r="R195" t="s">
        <v>1295</v>
      </c>
      <c r="S195" s="5" t="s">
        <v>83</v>
      </c>
      <c r="T195" t="s">
        <v>84</v>
      </c>
      <c r="V195" t="s">
        <v>116</v>
      </c>
      <c r="W195" t="s">
        <v>116</v>
      </c>
      <c r="X195" s="304" t="s">
        <v>103</v>
      </c>
      <c r="Y195" s="7"/>
      <c r="Z195" t="s">
        <v>86</v>
      </c>
      <c r="AA195">
        <v>40</v>
      </c>
      <c r="AB195" t="s">
        <v>1296</v>
      </c>
      <c r="AC195" s="183"/>
      <c r="AE195" s="183"/>
      <c r="AH195" t="s">
        <v>94</v>
      </c>
      <c r="AL195" t="s">
        <v>428</v>
      </c>
      <c r="AM195" s="261">
        <v>4375</v>
      </c>
      <c r="AN195" s="184">
        <v>1</v>
      </c>
      <c r="AO195" s="15">
        <v>3500</v>
      </c>
      <c r="AW195" s="7"/>
      <c r="AZ195" t="s">
        <v>374</v>
      </c>
      <c r="BA195">
        <f t="shared" si="13"/>
        <v>34</v>
      </c>
    </row>
    <row r="196" spans="1:80" ht="15" customHeight="1">
      <c r="A196" s="273">
        <v>35</v>
      </c>
      <c r="B196" s="273" t="str">
        <f t="shared" si="12"/>
        <v>NEAKTIVAN</v>
      </c>
      <c r="C196" s="302">
        <f t="shared" si="14"/>
        <v>194</v>
      </c>
      <c r="D196" s="258">
        <v>22</v>
      </c>
      <c r="E196" s="1" t="str">
        <f>VLOOKUP(D196,Table3[[#All],[RB]:[OIB]],2,0)</f>
        <v>International Line d.o.o.</v>
      </c>
      <c r="F196" s="4">
        <f>VLOOKUP(D196,Table3[],3,0)</f>
        <v>16157428650</v>
      </c>
      <c r="G196" s="1" t="str">
        <f>VLOOKUP(D196,Table3[],4,0)</f>
        <v>Zoltan Kiri</v>
      </c>
      <c r="H196" s="1" t="str">
        <f>VLOOKUP(D196,POSLODAVCI!$A$2:$J$107,9,0)</f>
        <v>Osijek</v>
      </c>
      <c r="I196" s="1" t="str">
        <f>VLOOKUP(D196,Table3[],10,0)</f>
        <v>Ivana Gundulića 28</v>
      </c>
      <c r="J196" s="1" t="s">
        <v>139</v>
      </c>
      <c r="K196" s="61">
        <v>44044</v>
      </c>
      <c r="L196" s="61">
        <v>44206</v>
      </c>
      <c r="M196" s="78">
        <v>91608925694</v>
      </c>
      <c r="N196" s="16" t="s">
        <v>89</v>
      </c>
      <c r="O196" s="7">
        <v>32483</v>
      </c>
      <c r="P196" s="16" t="s">
        <v>94</v>
      </c>
      <c r="Q196" s="16" t="s">
        <v>82</v>
      </c>
      <c r="R196" s="16" t="s">
        <v>1298</v>
      </c>
      <c r="S196" s="17" t="s">
        <v>83</v>
      </c>
      <c r="T196" s="16" t="s">
        <v>84</v>
      </c>
      <c r="V196" s="16" t="s">
        <v>116</v>
      </c>
      <c r="W196" s="16" t="s">
        <v>116</v>
      </c>
      <c r="X196" s="303" t="s">
        <v>103</v>
      </c>
      <c r="Z196" s="16" t="s">
        <v>86</v>
      </c>
      <c r="AA196">
        <v>40</v>
      </c>
      <c r="AB196" t="s">
        <v>1299</v>
      </c>
      <c r="AC196" s="183"/>
      <c r="AE196" s="183"/>
      <c r="AH196" s="16" t="s">
        <v>94</v>
      </c>
      <c r="AL196" s="16" t="s">
        <v>83</v>
      </c>
      <c r="AM196" s="15">
        <v>4375</v>
      </c>
      <c r="AN196" s="296">
        <v>1</v>
      </c>
      <c r="AO196" s="15">
        <v>3500</v>
      </c>
      <c r="AW196" s="7"/>
      <c r="AY196">
        <v>0</v>
      </c>
      <c r="AZ196" t="s">
        <v>374</v>
      </c>
      <c r="BA196">
        <f t="shared" si="13"/>
        <v>35</v>
      </c>
    </row>
    <row r="197" spans="1:80" ht="15.75" customHeight="1">
      <c r="A197" s="273">
        <v>36</v>
      </c>
      <c r="B197" s="273" t="str">
        <f t="shared" si="12"/>
        <v>NEAKTIVAN</v>
      </c>
      <c r="C197" s="302">
        <f t="shared" si="14"/>
        <v>195</v>
      </c>
      <c r="D197" s="258">
        <v>22</v>
      </c>
      <c r="E197" s="1" t="str">
        <f>VLOOKUP(D197,Table3[[#All],[RB]:[OIB]],2,0)</f>
        <v>International Line d.o.o.</v>
      </c>
      <c r="F197" s="4">
        <f>VLOOKUP(D197,Table3[],3,0)</f>
        <v>16157428650</v>
      </c>
      <c r="G197" s="1" t="str">
        <f>VLOOKUP(D197,Table3[],4,0)</f>
        <v>Zoltan Kiri</v>
      </c>
      <c r="H197" s="1" t="str">
        <f>VLOOKUP(D197,POSLODAVCI!$A$2:$J$107,9,0)</f>
        <v>Osijek</v>
      </c>
      <c r="I197" s="1" t="str">
        <f>VLOOKUP(D197,Table3[],10,0)</f>
        <v>Ivana Gundulića 28</v>
      </c>
      <c r="J197" s="258" t="s">
        <v>1394</v>
      </c>
      <c r="K197" s="272">
        <v>44113</v>
      </c>
      <c r="L197" s="272">
        <v>44183</v>
      </c>
      <c r="M197" s="182">
        <v>94031727263</v>
      </c>
      <c r="N197" t="s">
        <v>89</v>
      </c>
      <c r="O197" s="7">
        <v>31063</v>
      </c>
      <c r="P197" t="s">
        <v>1395</v>
      </c>
      <c r="Q197" t="s">
        <v>1326</v>
      </c>
      <c r="R197" t="s">
        <v>1393</v>
      </c>
      <c r="S197" s="5" t="s">
        <v>87</v>
      </c>
      <c r="T197" t="s">
        <v>84</v>
      </c>
      <c r="V197" t="s">
        <v>393</v>
      </c>
      <c r="W197" t="s">
        <v>393</v>
      </c>
      <c r="X197" s="304" t="s">
        <v>85</v>
      </c>
      <c r="Y197" s="7"/>
      <c r="Z197" t="s">
        <v>86</v>
      </c>
      <c r="AA197">
        <v>40</v>
      </c>
      <c r="AB197" t="s">
        <v>1409</v>
      </c>
      <c r="AC197" s="183"/>
      <c r="AE197" s="183"/>
      <c r="AH197" t="s">
        <v>94</v>
      </c>
      <c r="AL197" t="s">
        <v>428</v>
      </c>
      <c r="AM197" s="261">
        <v>4375</v>
      </c>
      <c r="AN197" s="184">
        <v>1</v>
      </c>
      <c r="AO197" s="15">
        <v>3500</v>
      </c>
      <c r="AW197" s="7"/>
      <c r="AZ197" t="s">
        <v>374</v>
      </c>
      <c r="BA197">
        <v>192</v>
      </c>
    </row>
    <row r="198" spans="1:80" ht="15.75" customHeight="1">
      <c r="A198" s="273">
        <v>37</v>
      </c>
      <c r="B198" s="273" t="str">
        <f t="shared" si="12"/>
        <v>NEAKTIVAN</v>
      </c>
      <c r="C198" s="302">
        <f t="shared" si="14"/>
        <v>196</v>
      </c>
      <c r="D198" s="258">
        <v>22</v>
      </c>
      <c r="E198" s="1" t="str">
        <f>VLOOKUP(D198,Table3[[#All],[RB]:[OIB]],2,0)</f>
        <v>International Line d.o.o.</v>
      </c>
      <c r="F198" s="4">
        <f>VLOOKUP(D198,Table3[],3,0)</f>
        <v>16157428650</v>
      </c>
      <c r="G198" s="1" t="str">
        <f>VLOOKUP(D198,Table3[],4,0)</f>
        <v>Zoltan Kiri</v>
      </c>
      <c r="H198" s="1" t="str">
        <f>VLOOKUP(D198,POSLODAVCI!$A$2:$J$107,9,0)</f>
        <v>Osijek</v>
      </c>
      <c r="I198" s="1" t="str">
        <f>VLOOKUP(D198,Table3[],10,0)</f>
        <v>Ivana Gundulića 28</v>
      </c>
      <c r="J198" s="258" t="s">
        <v>1398</v>
      </c>
      <c r="K198" s="272">
        <v>44113</v>
      </c>
      <c r="L198" s="272">
        <v>44183</v>
      </c>
      <c r="M198" s="89" t="s">
        <v>1400</v>
      </c>
      <c r="N198" t="s">
        <v>89</v>
      </c>
      <c r="O198" s="7">
        <v>34537</v>
      </c>
      <c r="P198" t="s">
        <v>1328</v>
      </c>
      <c r="Q198" t="s">
        <v>1326</v>
      </c>
      <c r="R198" t="s">
        <v>1393</v>
      </c>
      <c r="S198" s="5" t="s">
        <v>87</v>
      </c>
      <c r="T198" t="s">
        <v>84</v>
      </c>
      <c r="V198" t="s">
        <v>393</v>
      </c>
      <c r="W198" t="s">
        <v>393</v>
      </c>
      <c r="X198" s="304" t="s">
        <v>85</v>
      </c>
      <c r="Y198" s="7"/>
      <c r="Z198" t="s">
        <v>86</v>
      </c>
      <c r="AA198">
        <v>40</v>
      </c>
      <c r="AB198" t="s">
        <v>1411</v>
      </c>
      <c r="AC198" s="183"/>
      <c r="AE198" s="183"/>
      <c r="AH198" t="s">
        <v>94</v>
      </c>
      <c r="AL198" t="s">
        <v>83</v>
      </c>
      <c r="AM198" s="261">
        <v>4375</v>
      </c>
      <c r="AN198" s="184">
        <v>1</v>
      </c>
      <c r="AO198" s="15">
        <v>3500</v>
      </c>
      <c r="AW198" s="7"/>
      <c r="AZ198" t="s">
        <v>374</v>
      </c>
      <c r="BA198">
        <v>194</v>
      </c>
    </row>
    <row r="199" spans="1:80" ht="15.75" customHeight="1">
      <c r="A199" s="273">
        <v>38</v>
      </c>
      <c r="B199" s="273" t="str">
        <f t="shared" si="12"/>
        <v>NEAKTIVAN</v>
      </c>
      <c r="C199" s="302">
        <f t="shared" si="14"/>
        <v>197</v>
      </c>
      <c r="D199" s="258">
        <v>22</v>
      </c>
      <c r="E199" s="1" t="str">
        <f>VLOOKUP(D199,Table3[[#All],[RB]:[OIB]],2,0)</f>
        <v>International Line d.o.o.</v>
      </c>
      <c r="F199" s="4">
        <f>VLOOKUP(D199,Table3[],3,0)</f>
        <v>16157428650</v>
      </c>
      <c r="G199" s="1" t="str">
        <f>VLOOKUP(D199,Table3[],4,0)</f>
        <v>Zoltan Kiri</v>
      </c>
      <c r="H199" s="1" t="str">
        <f>VLOOKUP(D199,POSLODAVCI!$A$2:$J$107,9,0)</f>
        <v>Osijek</v>
      </c>
      <c r="I199" s="1" t="str">
        <f>VLOOKUP(D199,Table3[],10,0)</f>
        <v>Ivana Gundulića 28</v>
      </c>
      <c r="J199" s="258" t="s">
        <v>1379</v>
      </c>
      <c r="K199" s="272">
        <v>44127</v>
      </c>
      <c r="L199" s="272">
        <v>44183</v>
      </c>
      <c r="M199" s="182">
        <v>87058584186</v>
      </c>
      <c r="N199" t="s">
        <v>80</v>
      </c>
      <c r="O199" s="7">
        <v>36101</v>
      </c>
      <c r="P199" t="s">
        <v>94</v>
      </c>
      <c r="Q199" t="s">
        <v>82</v>
      </c>
      <c r="R199" t="s">
        <v>1380</v>
      </c>
      <c r="S199" s="5" t="s">
        <v>428</v>
      </c>
      <c r="T199" t="s">
        <v>84</v>
      </c>
      <c r="V199" t="s">
        <v>143</v>
      </c>
      <c r="W199" t="s">
        <v>143</v>
      </c>
      <c r="X199" s="304" t="s">
        <v>85</v>
      </c>
      <c r="Y199" s="7"/>
      <c r="Z199" t="s">
        <v>86</v>
      </c>
      <c r="AA199">
        <v>40</v>
      </c>
      <c r="AB199" t="s">
        <v>1381</v>
      </c>
      <c r="AC199" s="183"/>
      <c r="AE199" s="183"/>
      <c r="AH199" t="s">
        <v>94</v>
      </c>
      <c r="AL199" t="s">
        <v>428</v>
      </c>
      <c r="AM199" s="261">
        <v>4062.51</v>
      </c>
      <c r="AN199" s="184">
        <v>1</v>
      </c>
      <c r="AO199" s="15">
        <v>3250</v>
      </c>
      <c r="AW199" s="7"/>
      <c r="AZ199" t="s">
        <v>374</v>
      </c>
      <c r="BA199">
        <v>155</v>
      </c>
    </row>
    <row r="200" spans="1:80" ht="15.75" customHeight="1">
      <c r="A200" s="273">
        <v>1</v>
      </c>
      <c r="B200" s="273" t="str">
        <f t="shared" si="12"/>
        <v>NEAKTIVAN</v>
      </c>
      <c r="C200" s="302">
        <f t="shared" si="14"/>
        <v>198</v>
      </c>
      <c r="D200" s="1">
        <v>22</v>
      </c>
      <c r="E200" s="1" t="str">
        <f>VLOOKUP(D200,Table3[[#All],[RB]:[OIB]],2,0)</f>
        <v>International Line d.o.o.</v>
      </c>
      <c r="F200" s="4">
        <f>VLOOKUP(D200,Table3[],3,0)</f>
        <v>16157428650</v>
      </c>
      <c r="G200" s="1" t="str">
        <f>VLOOKUP(D200,Table3[],4,0)</f>
        <v>Zoltan Kiri</v>
      </c>
      <c r="H200" s="1" t="str">
        <f>VLOOKUP(D200,POSLODAVCI!$A$2:$J$107,9,0)</f>
        <v>Osijek</v>
      </c>
      <c r="I200" s="1" t="str">
        <f>VLOOKUP(D200,Table3[],10,0)</f>
        <v>Ivana Gundulića 28</v>
      </c>
      <c r="J200" s="1" t="s">
        <v>114</v>
      </c>
      <c r="K200" s="61">
        <v>43466</v>
      </c>
      <c r="L200" s="61">
        <v>43646</v>
      </c>
      <c r="M200" s="158" t="s">
        <v>115</v>
      </c>
      <c r="N200" t="s">
        <v>80</v>
      </c>
      <c r="O200" s="7">
        <v>24943</v>
      </c>
      <c r="P200" t="s">
        <v>113</v>
      </c>
      <c r="Q200" t="s">
        <v>82</v>
      </c>
      <c r="R200" t="s">
        <v>256</v>
      </c>
      <c r="S200" s="5" t="s">
        <v>428</v>
      </c>
      <c r="T200" t="s">
        <v>84</v>
      </c>
      <c r="V200" t="s">
        <v>116</v>
      </c>
      <c r="W200" t="s">
        <v>450</v>
      </c>
      <c r="X200" s="304" t="s">
        <v>103</v>
      </c>
      <c r="Y200" s="7"/>
      <c r="Z200" t="s">
        <v>86</v>
      </c>
      <c r="AA200">
        <v>40</v>
      </c>
      <c r="AC200" s="183"/>
      <c r="AE200" s="183"/>
      <c r="AH200" t="s">
        <v>94</v>
      </c>
      <c r="AL200" t="s">
        <v>428</v>
      </c>
      <c r="AM200" s="297">
        <v>8426.4599999999991</v>
      </c>
      <c r="AN200" s="184">
        <v>1</v>
      </c>
      <c r="AO200" s="298">
        <v>6000</v>
      </c>
      <c r="AW200" s="7"/>
      <c r="AZ200" s="16" t="s">
        <v>255</v>
      </c>
      <c r="BA200">
        <f>A200</f>
        <v>1</v>
      </c>
    </row>
    <row r="201" spans="1:80" ht="15.75" customHeight="1">
      <c r="A201" s="273">
        <v>39</v>
      </c>
      <c r="B201" s="273" t="str">
        <f t="shared" si="12"/>
        <v>NEAKTIVAN</v>
      </c>
      <c r="C201" s="302">
        <f t="shared" si="14"/>
        <v>199</v>
      </c>
      <c r="D201" s="1">
        <v>22</v>
      </c>
      <c r="E201" s="1" t="str">
        <f>VLOOKUP(D201,Table3[[#All],[RB]:[OIB]],2,0)</f>
        <v>International Line d.o.o.</v>
      </c>
      <c r="F201" s="4">
        <f>VLOOKUP(D201,Table3[],3,0)</f>
        <v>16157428650</v>
      </c>
      <c r="G201" s="1" t="str">
        <f>VLOOKUP(D201,Table3[],4,0)</f>
        <v>Zoltan Kiri</v>
      </c>
      <c r="H201" s="1" t="str">
        <f>VLOOKUP(D201,POSLODAVCI!$A$2:$J$107,9,0)</f>
        <v>Osijek</v>
      </c>
      <c r="I201" s="1" t="str">
        <f>VLOOKUP(D201,Table3[],10,0)</f>
        <v>Ivana Gundulića 28</v>
      </c>
      <c r="J201" s="294" t="s">
        <v>119</v>
      </c>
      <c r="K201" s="61">
        <v>43466</v>
      </c>
      <c r="L201" s="61">
        <v>44189</v>
      </c>
      <c r="M201" s="158">
        <v>24461973764</v>
      </c>
      <c r="N201" t="s">
        <v>80</v>
      </c>
      <c r="O201" s="7">
        <v>33685</v>
      </c>
      <c r="P201" t="s">
        <v>94</v>
      </c>
      <c r="Q201" t="s">
        <v>82</v>
      </c>
      <c r="R201" s="157" t="s">
        <v>260</v>
      </c>
      <c r="S201" s="5" t="s">
        <v>428</v>
      </c>
      <c r="T201" t="s">
        <v>84</v>
      </c>
      <c r="V201" t="s">
        <v>116</v>
      </c>
      <c r="W201" t="s">
        <v>116</v>
      </c>
      <c r="X201" s="304" t="s">
        <v>103</v>
      </c>
      <c r="Y201" s="7"/>
      <c r="Z201" t="s">
        <v>86</v>
      </c>
      <c r="AA201">
        <v>40</v>
      </c>
      <c r="AC201" s="183"/>
      <c r="AE201" s="183"/>
      <c r="AH201" t="s">
        <v>94</v>
      </c>
      <c r="AL201" t="s">
        <v>428</v>
      </c>
      <c r="AM201" s="90">
        <v>4375</v>
      </c>
      <c r="AN201" s="184">
        <v>1</v>
      </c>
      <c r="AO201" s="15">
        <v>3200</v>
      </c>
      <c r="AW201" s="7"/>
      <c r="AZ201" t="s">
        <v>374</v>
      </c>
      <c r="BA201">
        <f>A201</f>
        <v>39</v>
      </c>
    </row>
    <row r="202" spans="1:80" ht="15.75" customHeight="1">
      <c r="A202" s="273">
        <v>40</v>
      </c>
      <c r="B202" s="273" t="str">
        <f t="shared" si="12"/>
        <v>NEAKTIVAN</v>
      </c>
      <c r="C202" s="302">
        <f t="shared" si="14"/>
        <v>200</v>
      </c>
      <c r="D202" s="1">
        <v>22</v>
      </c>
      <c r="E202" s="1" t="str">
        <f>VLOOKUP(D202,Table3[[#All],[RB]:[OIB]],2,0)</f>
        <v>International Line d.o.o.</v>
      </c>
      <c r="F202" s="4">
        <f>VLOOKUP(D202,Table3[],3,0)</f>
        <v>16157428650</v>
      </c>
      <c r="G202" s="1" t="str">
        <f>VLOOKUP(D202,Table3[],4,0)</f>
        <v>Zoltan Kiri</v>
      </c>
      <c r="H202" s="1" t="str">
        <f>VLOOKUP(D202,POSLODAVCI!$A$2:$J$107,9,0)</f>
        <v>Osijek</v>
      </c>
      <c r="I202" s="1" t="str">
        <f>VLOOKUP(D202,Table3[],10,0)</f>
        <v>Ivana Gundulića 28</v>
      </c>
      <c r="J202" s="294" t="s">
        <v>120</v>
      </c>
      <c r="K202" s="61">
        <v>43466</v>
      </c>
      <c r="L202" s="61">
        <v>44189</v>
      </c>
      <c r="M202" s="158">
        <v>22044787722</v>
      </c>
      <c r="N202" t="s">
        <v>89</v>
      </c>
      <c r="O202" s="7">
        <v>34879</v>
      </c>
      <c r="P202" t="s">
        <v>122</v>
      </c>
      <c r="Q202" t="s">
        <v>82</v>
      </c>
      <c r="R202" t="s">
        <v>123</v>
      </c>
      <c r="S202" s="5" t="s">
        <v>428</v>
      </c>
      <c r="T202" t="s">
        <v>84</v>
      </c>
      <c r="V202" t="s">
        <v>116</v>
      </c>
      <c r="W202" t="s">
        <v>116</v>
      </c>
      <c r="X202" s="304" t="s">
        <v>103</v>
      </c>
      <c r="Y202" s="7"/>
      <c r="Z202" t="s">
        <v>86</v>
      </c>
      <c r="AA202">
        <v>40</v>
      </c>
      <c r="AC202" s="183"/>
      <c r="AE202" s="183"/>
      <c r="AH202" t="s">
        <v>94</v>
      </c>
      <c r="AL202" t="s">
        <v>428</v>
      </c>
      <c r="AM202" s="90">
        <v>4375</v>
      </c>
      <c r="AN202" s="184">
        <v>1</v>
      </c>
      <c r="AO202" s="15">
        <v>3200</v>
      </c>
      <c r="AW202" s="7"/>
      <c r="AZ202" t="s">
        <v>374</v>
      </c>
      <c r="BA202">
        <f>A202</f>
        <v>40</v>
      </c>
    </row>
    <row r="203" spans="1:80" ht="15.75" customHeight="1">
      <c r="A203" s="273">
        <v>40</v>
      </c>
      <c r="B203" s="273" t="str">
        <f t="shared" ref="B203:B266" si="15">IF(L203&gt;0,"NEAKTIVAN","AKTIVAN")</f>
        <v>NEAKTIVAN</v>
      </c>
      <c r="C203" s="302">
        <f t="shared" si="14"/>
        <v>201</v>
      </c>
      <c r="D203" s="1">
        <v>22</v>
      </c>
      <c r="E203" s="1" t="str">
        <f>VLOOKUP(D203,Table3[[#All],[RB]:[OIB]],2,0)</f>
        <v>International Line d.o.o.</v>
      </c>
      <c r="F203" s="4">
        <f>VLOOKUP(D203,Table3[],3,0)</f>
        <v>16157428650</v>
      </c>
      <c r="G203" s="1" t="str">
        <f>VLOOKUP(D203,Table3[],4,0)</f>
        <v>Zoltan Kiri</v>
      </c>
      <c r="H203" s="1" t="str">
        <f>VLOOKUP(D203,POSLODAVCI!$A$2:$J$107,9,0)</f>
        <v>Osijek</v>
      </c>
      <c r="I203" s="1" t="str">
        <f>VLOOKUP(D203,Table3[],10,0)</f>
        <v>Ivana Gundulića 28</v>
      </c>
      <c r="J203" s="294" t="s">
        <v>124</v>
      </c>
      <c r="K203" s="61">
        <v>43466</v>
      </c>
      <c r="L203" s="61">
        <v>44189</v>
      </c>
      <c r="M203" s="158" t="s">
        <v>125</v>
      </c>
      <c r="N203" t="s">
        <v>89</v>
      </c>
      <c r="O203" s="7">
        <v>35296</v>
      </c>
      <c r="P203" t="s">
        <v>122</v>
      </c>
      <c r="Q203" t="s">
        <v>82</v>
      </c>
      <c r="R203" t="s">
        <v>126</v>
      </c>
      <c r="S203" s="5" t="s">
        <v>428</v>
      </c>
      <c r="T203" t="s">
        <v>84</v>
      </c>
      <c r="V203" t="s">
        <v>116</v>
      </c>
      <c r="W203" t="s">
        <v>116</v>
      </c>
      <c r="X203" s="304" t="s">
        <v>103</v>
      </c>
      <c r="Y203" s="7"/>
      <c r="Z203" t="s">
        <v>86</v>
      </c>
      <c r="AA203">
        <v>40</v>
      </c>
      <c r="AC203" s="183"/>
      <c r="AE203" s="183"/>
      <c r="AH203" t="s">
        <v>94</v>
      </c>
      <c r="AL203" t="s">
        <v>428</v>
      </c>
      <c r="AM203" s="90">
        <v>4375</v>
      </c>
      <c r="AN203" s="184">
        <v>1</v>
      </c>
      <c r="AO203" s="15">
        <v>3200</v>
      </c>
      <c r="AW203" s="7"/>
      <c r="AZ203" t="s">
        <v>374</v>
      </c>
      <c r="BA203">
        <f>A203</f>
        <v>40</v>
      </c>
    </row>
    <row r="204" spans="1:80" s="259" customFormat="1" ht="15.75" customHeight="1">
      <c r="A204" s="273">
        <v>62</v>
      </c>
      <c r="B204" s="273" t="str">
        <f t="shared" si="15"/>
        <v>NEAKTIVAN</v>
      </c>
      <c r="C204" s="302">
        <f t="shared" si="14"/>
        <v>202</v>
      </c>
      <c r="D204" s="1">
        <v>16</v>
      </c>
      <c r="E204" s="1" t="str">
        <f>VLOOKUP(D204,Table3[[#All],[RB]:[OIB]],2,0)</f>
        <v>HOME PLUS</v>
      </c>
      <c r="F204" s="4">
        <f>VLOOKUP(D204,Table3[],3,0)</f>
        <v>18241574410</v>
      </c>
      <c r="G204" s="1" t="str">
        <f>VLOOKUP(D204,Table3[],4,0)</f>
        <v>LASZLO TIBOR</v>
      </c>
      <c r="H204" s="1" t="str">
        <f>VLOOKUP(D204,POSLODAVCI!$A$2:$J$107,9,0)</f>
        <v>Osijek</v>
      </c>
      <c r="I204" s="1" t="str">
        <f>VLOOKUP(D204,Table3[],10,0)</f>
        <v>Ivana Gundulića 28</v>
      </c>
      <c r="J204" s="1" t="s">
        <v>489</v>
      </c>
      <c r="K204" s="61">
        <v>43445</v>
      </c>
      <c r="L204" s="61">
        <v>43449</v>
      </c>
      <c r="M204" s="182">
        <v>33875064692</v>
      </c>
      <c r="N204" s="16" t="s">
        <v>89</v>
      </c>
      <c r="O204" s="7">
        <v>36337</v>
      </c>
      <c r="P204" s="16" t="s">
        <v>94</v>
      </c>
      <c r="Q204" s="16" t="s">
        <v>82</v>
      </c>
      <c r="R204" s="16" t="s">
        <v>490</v>
      </c>
      <c r="S204" s="17" t="s">
        <v>83</v>
      </c>
      <c r="T204" s="16" t="s">
        <v>84</v>
      </c>
      <c r="U204" s="16"/>
      <c r="V204" s="16" t="s">
        <v>116</v>
      </c>
      <c r="W204" t="s">
        <v>116</v>
      </c>
      <c r="X204" s="303" t="s">
        <v>85</v>
      </c>
      <c r="Y204" s="7">
        <v>43169</v>
      </c>
      <c r="Z204" s="16" t="s">
        <v>86</v>
      </c>
      <c r="AA204" s="16">
        <v>40</v>
      </c>
      <c r="AB204" s="16" t="s">
        <v>491</v>
      </c>
      <c r="AC204" s="183"/>
      <c r="AD204" s="16"/>
      <c r="AE204" s="183"/>
      <c r="AF204" s="16"/>
      <c r="AG204" s="16"/>
      <c r="AH204" s="16" t="s">
        <v>94</v>
      </c>
      <c r="AI204" s="16"/>
      <c r="AJ204" s="16"/>
      <c r="AK204" s="16"/>
      <c r="AL204" s="16" t="s">
        <v>83</v>
      </c>
      <c r="AM204" s="90">
        <v>4375</v>
      </c>
      <c r="AN204" s="184">
        <v>1</v>
      </c>
      <c r="AO204" s="15">
        <v>3500</v>
      </c>
      <c r="AP204" s="15"/>
      <c r="AQ204" s="16"/>
      <c r="AR204" s="16"/>
      <c r="AS204" s="16"/>
      <c r="AT204" s="16"/>
      <c r="AU204" s="16"/>
      <c r="AV204" s="16"/>
      <c r="AW204" s="7"/>
      <c r="AX204" s="16"/>
      <c r="AY204" s="16"/>
      <c r="AZ204" t="s">
        <v>255</v>
      </c>
      <c r="BA204" s="16">
        <v>114</v>
      </c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</row>
    <row r="205" spans="1:80" s="259" customFormat="1" ht="15" customHeight="1">
      <c r="A205" s="273">
        <v>12</v>
      </c>
      <c r="B205" s="273" t="str">
        <f t="shared" si="15"/>
        <v>AKTIVAN</v>
      </c>
      <c r="C205" s="302">
        <f t="shared" si="14"/>
        <v>203</v>
      </c>
      <c r="D205" s="1">
        <v>3</v>
      </c>
      <c r="E205" s="1" t="str">
        <f>VLOOKUP(D205,Table3[[#All],[RB]:[OIB]],2,0)</f>
        <v>AGRO PMD d.o.o.</v>
      </c>
      <c r="F205" s="4" t="str">
        <f>VLOOKUP(D205,Table3[],3,0)</f>
        <v>09677499852</v>
      </c>
      <c r="G205" s="1" t="str">
        <f>VLOOKUP(D205,Table3[],4,0)</f>
        <v>Imre Bata</v>
      </c>
      <c r="H205" s="1" t="str">
        <f>VLOOKUP(D205,POSLODAVCI!$A$2:$J$107,9,0)</f>
        <v>Osijek</v>
      </c>
      <c r="I205" s="1" t="str">
        <f>VLOOKUP(D205,Table3[],10,0)</f>
        <v>Južno Pregrađe 38, Osijek</v>
      </c>
      <c r="J205" s="1" t="s">
        <v>342</v>
      </c>
      <c r="K205" s="61">
        <v>43435</v>
      </c>
      <c r="L205" s="61"/>
      <c r="M205" s="137" t="s">
        <v>343</v>
      </c>
      <c r="N205" t="s">
        <v>80</v>
      </c>
      <c r="O205" s="67">
        <v>30213</v>
      </c>
      <c r="P205"/>
      <c r="Q205" t="s">
        <v>82</v>
      </c>
      <c r="R205" t="s">
        <v>344</v>
      </c>
      <c r="S205" s="5" t="s">
        <v>83</v>
      </c>
      <c r="T205" t="s">
        <v>111</v>
      </c>
      <c r="U205"/>
      <c r="V205" t="s">
        <v>295</v>
      </c>
      <c r="W205" t="s">
        <v>345</v>
      </c>
      <c r="X205" s="304" t="s">
        <v>103</v>
      </c>
      <c r="Y205" s="67">
        <v>43434</v>
      </c>
      <c r="Z205" t="s">
        <v>86</v>
      </c>
      <c r="AA205">
        <v>40</v>
      </c>
      <c r="AB205"/>
      <c r="AC205" s="128"/>
      <c r="AD205"/>
      <c r="AE205" s="128"/>
      <c r="AF205"/>
      <c r="AG205"/>
      <c r="AH205" t="s">
        <v>94</v>
      </c>
      <c r="AI205"/>
      <c r="AJ205"/>
      <c r="AK205"/>
      <c r="AL205" t="s">
        <v>83</v>
      </c>
      <c r="AM205" s="307">
        <v>8430.2999999999993</v>
      </c>
      <c r="AN205" s="129">
        <v>1</v>
      </c>
      <c r="AO205" s="130">
        <v>6000</v>
      </c>
      <c r="AP205" s="130"/>
      <c r="AQ205"/>
      <c r="AR205"/>
      <c r="AS205"/>
      <c r="AT205"/>
      <c r="AU205"/>
      <c r="AV205"/>
      <c r="AW205" s="67"/>
      <c r="AX205"/>
      <c r="AY205"/>
      <c r="AZ205" t="str">
        <f>IF(L205&gt;0,"NEAKTIVAN","AKTIVAN")</f>
        <v>AKTIVAN</v>
      </c>
      <c r="BA205">
        <v>11</v>
      </c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</row>
    <row r="206" spans="1:80" s="260" customFormat="1" ht="15.75" customHeight="1">
      <c r="A206" s="273">
        <v>13</v>
      </c>
      <c r="B206" s="273" t="str">
        <f t="shared" si="15"/>
        <v>AKTIVAN</v>
      </c>
      <c r="C206" s="302">
        <f t="shared" si="14"/>
        <v>204</v>
      </c>
      <c r="D206" s="1">
        <v>3</v>
      </c>
      <c r="E206" s="1" t="str">
        <f>VLOOKUP(D206,Table3[[#All],[RB]:[OIB]],2,0)</f>
        <v>AGRO PMD d.o.o.</v>
      </c>
      <c r="F206" s="4" t="str">
        <f>VLOOKUP(D206,Table3[],3,0)</f>
        <v>09677499852</v>
      </c>
      <c r="G206" s="1" t="str">
        <f>VLOOKUP(D206,Table3[],4,0)</f>
        <v>Imre Bata</v>
      </c>
      <c r="H206" s="1" t="str">
        <f>VLOOKUP(D206,POSLODAVCI!$A$2:$J$107,9,0)</f>
        <v>Osijek</v>
      </c>
      <c r="I206" s="1" t="str">
        <f>VLOOKUP(D206,Table3[],10,0)</f>
        <v>Južno Pregrađe 38, Osijek</v>
      </c>
      <c r="J206" s="1" t="s">
        <v>399</v>
      </c>
      <c r="K206" s="61">
        <v>43435</v>
      </c>
      <c r="L206" s="61"/>
      <c r="M206" s="182" t="s">
        <v>400</v>
      </c>
      <c r="N206" t="s">
        <v>89</v>
      </c>
      <c r="O206" s="7">
        <v>30415</v>
      </c>
      <c r="P206" t="s">
        <v>94</v>
      </c>
      <c r="Q206" t="s">
        <v>82</v>
      </c>
      <c r="R206" t="s">
        <v>401</v>
      </c>
      <c r="S206" s="5"/>
      <c r="T206" t="s">
        <v>84</v>
      </c>
      <c r="U206" t="s">
        <v>402</v>
      </c>
      <c r="V206" t="s">
        <v>112</v>
      </c>
      <c r="W206" t="s">
        <v>96</v>
      </c>
      <c r="X206" s="304" t="s">
        <v>103</v>
      </c>
      <c r="Y206" s="7"/>
      <c r="Z206" t="s">
        <v>86</v>
      </c>
      <c r="AA206">
        <v>40</v>
      </c>
      <c r="AB206" t="s">
        <v>495</v>
      </c>
      <c r="AC206" s="183"/>
      <c r="AD206"/>
      <c r="AE206" s="183"/>
      <c r="AF206"/>
      <c r="AG206"/>
      <c r="AH206" t="s">
        <v>94</v>
      </c>
      <c r="AI206"/>
      <c r="AJ206"/>
      <c r="AK206"/>
      <c r="AL206" t="s">
        <v>83</v>
      </c>
      <c r="AM206" s="90">
        <v>6250</v>
      </c>
      <c r="AN206" s="184">
        <v>1</v>
      </c>
      <c r="AO206" s="15">
        <v>5000</v>
      </c>
      <c r="AP206" s="15"/>
      <c r="AQ206"/>
      <c r="AR206"/>
      <c r="AS206"/>
      <c r="AT206"/>
      <c r="AU206"/>
      <c r="AV206"/>
      <c r="AW206" s="7"/>
      <c r="AX206"/>
      <c r="AY206"/>
      <c r="AZ206" t="s">
        <v>374</v>
      </c>
      <c r="BA206">
        <v>13</v>
      </c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</row>
    <row r="207" spans="1:80" s="259" customFormat="1" ht="15.75" customHeight="1">
      <c r="A207" s="273">
        <v>14</v>
      </c>
      <c r="B207" s="273" t="str">
        <f t="shared" si="15"/>
        <v>NEAKTIVAN</v>
      </c>
      <c r="C207" s="302">
        <f t="shared" si="14"/>
        <v>205</v>
      </c>
      <c r="D207" s="1">
        <v>3</v>
      </c>
      <c r="E207" s="1" t="str">
        <f>VLOOKUP(D207,Table3[[#All],[RB]:[OIB]],2,0)</f>
        <v>AGRO PMD d.o.o.</v>
      </c>
      <c r="F207" s="4" t="str">
        <f>VLOOKUP(D207,Table3[],3,0)</f>
        <v>09677499852</v>
      </c>
      <c r="G207" s="1" t="str">
        <f>VLOOKUP(D207,Table3[],4,0)</f>
        <v>Imre Bata</v>
      </c>
      <c r="H207" s="1" t="str">
        <f>VLOOKUP(D207,POSLODAVCI!$A$2:$J$107,9,0)</f>
        <v>Osijek</v>
      </c>
      <c r="I207" s="1" t="str">
        <f>VLOOKUP(D207,Table3[],10,0)</f>
        <v>Južno Pregrađe 38, Osijek</v>
      </c>
      <c r="J207" s="1" t="s">
        <v>423</v>
      </c>
      <c r="K207" s="61">
        <v>43466</v>
      </c>
      <c r="L207" s="61">
        <v>43585</v>
      </c>
      <c r="M207" s="182">
        <v>12344487939</v>
      </c>
      <c r="N207" t="s">
        <v>80</v>
      </c>
      <c r="O207" s="7">
        <v>27349</v>
      </c>
      <c r="P207" t="s">
        <v>94</v>
      </c>
      <c r="Q207" t="s">
        <v>82</v>
      </c>
      <c r="R207" t="s">
        <v>424</v>
      </c>
      <c r="S207" s="5" t="s">
        <v>83</v>
      </c>
      <c r="T207" t="s">
        <v>84</v>
      </c>
      <c r="U207"/>
      <c r="V207" t="s">
        <v>93</v>
      </c>
      <c r="W207" t="s">
        <v>93</v>
      </c>
      <c r="X207" s="304" t="s">
        <v>85</v>
      </c>
      <c r="Y207" s="7">
        <v>43190</v>
      </c>
      <c r="Z207" t="s">
        <v>86</v>
      </c>
      <c r="AA207">
        <v>40</v>
      </c>
      <c r="AB207" t="s">
        <v>425</v>
      </c>
      <c r="AC207" s="183"/>
      <c r="AD207"/>
      <c r="AE207" s="183"/>
      <c r="AF207"/>
      <c r="AG207"/>
      <c r="AH207" t="s">
        <v>94</v>
      </c>
      <c r="AI207"/>
      <c r="AJ207"/>
      <c r="AK207"/>
      <c r="AL207" t="s">
        <v>83</v>
      </c>
      <c r="AM207" s="90">
        <v>6808.18</v>
      </c>
      <c r="AN207" s="184">
        <v>1</v>
      </c>
      <c r="AO207" s="15">
        <v>5000</v>
      </c>
      <c r="AP207" s="15"/>
      <c r="AQ207"/>
      <c r="AR207"/>
      <c r="AS207"/>
      <c r="AT207"/>
      <c r="AU207"/>
      <c r="AV207"/>
      <c r="AW207" s="7"/>
      <c r="AX207" s="16"/>
      <c r="AY207" s="16"/>
      <c r="AZ207" s="16" t="s">
        <v>255</v>
      </c>
      <c r="BA207">
        <v>14</v>
      </c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</row>
    <row r="208" spans="1:80" ht="15.75" customHeight="1">
      <c r="A208" s="273">
        <v>41</v>
      </c>
      <c r="B208" s="273" t="str">
        <f t="shared" si="15"/>
        <v>NEAKTIVAN</v>
      </c>
      <c r="C208" s="302">
        <f t="shared" si="14"/>
        <v>206</v>
      </c>
      <c r="D208" s="1">
        <v>22</v>
      </c>
      <c r="E208" s="1" t="str">
        <f>VLOOKUP(D208,Table3[[#All],[RB]:[OIB]],2,0)</f>
        <v>International Line d.o.o.</v>
      </c>
      <c r="F208" s="4">
        <f>VLOOKUP(D208,Table3[],3,0)</f>
        <v>16157428650</v>
      </c>
      <c r="G208" s="1" t="str">
        <f>VLOOKUP(D208,Table3[],4,0)</f>
        <v>Zoltan Kiri</v>
      </c>
      <c r="H208" s="1" t="str">
        <f>VLOOKUP(D208,POSLODAVCI!$A$2:$J$107,9,0)</f>
        <v>Osijek</v>
      </c>
      <c r="I208" s="1" t="str">
        <f>VLOOKUP(D208,Table3[],10,0)</f>
        <v>Ivana Gundulića 28</v>
      </c>
      <c r="J208" s="1" t="s">
        <v>456</v>
      </c>
      <c r="K208" s="61">
        <v>43466</v>
      </c>
      <c r="L208" s="61">
        <v>44097</v>
      </c>
      <c r="M208" s="182">
        <v>65362867403</v>
      </c>
      <c r="N208" t="s">
        <v>80</v>
      </c>
      <c r="O208" s="7">
        <v>25889</v>
      </c>
      <c r="P208" t="s">
        <v>457</v>
      </c>
      <c r="Q208" t="s">
        <v>82</v>
      </c>
      <c r="R208" t="s">
        <v>458</v>
      </c>
      <c r="S208" s="5" t="s">
        <v>428</v>
      </c>
      <c r="T208" t="s">
        <v>84</v>
      </c>
      <c r="V208" t="s">
        <v>143</v>
      </c>
      <c r="W208" t="s">
        <v>143</v>
      </c>
      <c r="X208" s="304" t="s">
        <v>85</v>
      </c>
      <c r="Y208" s="7">
        <v>43496</v>
      </c>
      <c r="Z208" t="s">
        <v>86</v>
      </c>
      <c r="AA208">
        <v>40</v>
      </c>
      <c r="AC208" s="183"/>
      <c r="AE208" s="183"/>
      <c r="AH208" t="s">
        <v>94</v>
      </c>
      <c r="AL208" t="s">
        <v>428</v>
      </c>
      <c r="AM208" s="90">
        <v>3750</v>
      </c>
      <c r="AN208" s="184">
        <v>1</v>
      </c>
      <c r="AO208" s="15">
        <v>3000</v>
      </c>
      <c r="AW208" s="7"/>
      <c r="AZ208" s="16" t="s">
        <v>255</v>
      </c>
      <c r="BA208">
        <f t="shared" ref="BA208:BA213" si="16">A208</f>
        <v>41</v>
      </c>
    </row>
    <row r="209" spans="1:80" ht="15.75" customHeight="1">
      <c r="A209" s="273">
        <v>42</v>
      </c>
      <c r="B209" s="273" t="str">
        <f t="shared" si="15"/>
        <v>NEAKTIVAN</v>
      </c>
      <c r="C209" s="302">
        <f t="shared" si="14"/>
        <v>207</v>
      </c>
      <c r="D209" s="1">
        <v>22</v>
      </c>
      <c r="E209" s="1" t="str">
        <f>VLOOKUP(D209,Table3[[#All],[RB]:[OIB]],2,0)</f>
        <v>International Line d.o.o.</v>
      </c>
      <c r="F209" s="4">
        <f>VLOOKUP(D209,Table3[],3,0)</f>
        <v>16157428650</v>
      </c>
      <c r="G209" s="1" t="str">
        <f>VLOOKUP(D209,Table3[],4,0)</f>
        <v>Zoltan Kiri</v>
      </c>
      <c r="H209" s="1" t="str">
        <f>VLOOKUP(D209,POSLODAVCI!$A$2:$J$107,9,0)</f>
        <v>Osijek</v>
      </c>
      <c r="I209" s="1" t="str">
        <f>VLOOKUP(D209,Table3[],10,0)</f>
        <v>Ivana Gundulića 28</v>
      </c>
      <c r="J209" s="294" t="s">
        <v>157</v>
      </c>
      <c r="K209" s="61">
        <v>43466</v>
      </c>
      <c r="L209" s="61">
        <v>43724</v>
      </c>
      <c r="M209" s="158" t="s">
        <v>158</v>
      </c>
      <c r="N209" t="s">
        <v>80</v>
      </c>
      <c r="O209" s="7">
        <v>27408</v>
      </c>
      <c r="P209" t="s">
        <v>94</v>
      </c>
      <c r="Q209" t="s">
        <v>82</v>
      </c>
      <c r="R209" t="s">
        <v>271</v>
      </c>
      <c r="S209" s="5" t="s">
        <v>428</v>
      </c>
      <c r="T209" t="s">
        <v>84</v>
      </c>
      <c r="V209" t="s">
        <v>143</v>
      </c>
      <c r="W209" t="s">
        <v>143</v>
      </c>
      <c r="X209" s="304" t="s">
        <v>103</v>
      </c>
      <c r="Y209" s="7"/>
      <c r="Z209" t="s">
        <v>86</v>
      </c>
      <c r="AA209">
        <v>40</v>
      </c>
      <c r="AC209" s="183"/>
      <c r="AE209" s="183"/>
      <c r="AH209" t="s">
        <v>94</v>
      </c>
      <c r="AL209" t="s">
        <v>428</v>
      </c>
      <c r="AM209" s="90">
        <v>3750</v>
      </c>
      <c r="AN209" s="184">
        <v>1</v>
      </c>
      <c r="AO209" s="15">
        <v>3000</v>
      </c>
      <c r="AW209" s="7"/>
      <c r="AZ209" t="s">
        <v>255</v>
      </c>
      <c r="BA209">
        <f t="shared" si="16"/>
        <v>42</v>
      </c>
    </row>
    <row r="210" spans="1:80" ht="15.75" customHeight="1">
      <c r="A210" s="273">
        <v>43</v>
      </c>
      <c r="B210" s="273" t="str">
        <f t="shared" si="15"/>
        <v>NEAKTIVAN</v>
      </c>
      <c r="C210" s="302">
        <f t="shared" si="14"/>
        <v>208</v>
      </c>
      <c r="D210" s="1">
        <v>22</v>
      </c>
      <c r="E210" s="1" t="str">
        <f>VLOOKUP(D210,Table3[[#All],[RB]:[OIB]],2,0)</f>
        <v>International Line d.o.o.</v>
      </c>
      <c r="F210" s="4">
        <f>VLOOKUP(D210,Table3[],3,0)</f>
        <v>16157428650</v>
      </c>
      <c r="G210" s="1" t="str">
        <f>VLOOKUP(D210,Table3[],4,0)</f>
        <v>Zoltan Kiri</v>
      </c>
      <c r="H210" s="1" t="str">
        <f>VLOOKUP(D210,POSLODAVCI!$A$2:$J$107,9,0)</f>
        <v>Osijek</v>
      </c>
      <c r="I210" s="1" t="str">
        <f>VLOOKUP(D210,Table3[],10,0)</f>
        <v>Ivana Gundulića 28</v>
      </c>
      <c r="J210" s="1" t="s">
        <v>164</v>
      </c>
      <c r="K210" s="61">
        <v>43466</v>
      </c>
      <c r="L210" s="61">
        <v>43829</v>
      </c>
      <c r="M210" s="182">
        <v>48678345053</v>
      </c>
      <c r="N210" t="s">
        <v>80</v>
      </c>
      <c r="O210" s="7">
        <v>22839</v>
      </c>
      <c r="P210" t="s">
        <v>94</v>
      </c>
      <c r="Q210" t="s">
        <v>82</v>
      </c>
      <c r="R210" t="s">
        <v>166</v>
      </c>
      <c r="S210" s="5" t="s">
        <v>428</v>
      </c>
      <c r="T210" t="s">
        <v>84</v>
      </c>
      <c r="V210" t="s">
        <v>143</v>
      </c>
      <c r="W210" t="s">
        <v>143</v>
      </c>
      <c r="X210" s="304" t="s">
        <v>103</v>
      </c>
      <c r="Y210" s="7"/>
      <c r="Z210" t="s">
        <v>86</v>
      </c>
      <c r="AA210">
        <v>40</v>
      </c>
      <c r="AC210" s="183"/>
      <c r="AE210" s="183"/>
      <c r="AH210" t="s">
        <v>94</v>
      </c>
      <c r="AL210" t="s">
        <v>428</v>
      </c>
      <c r="AM210" s="90">
        <v>4062.51</v>
      </c>
      <c r="AN210" s="184">
        <v>1</v>
      </c>
      <c r="AO210" s="15">
        <v>3200</v>
      </c>
      <c r="AW210" s="7"/>
      <c r="AZ210" t="s">
        <v>255</v>
      </c>
      <c r="BA210">
        <f t="shared" si="16"/>
        <v>43</v>
      </c>
    </row>
    <row r="211" spans="1:80" ht="15.75" customHeight="1">
      <c r="A211" s="273">
        <v>44</v>
      </c>
      <c r="B211" s="273" t="str">
        <f t="shared" si="15"/>
        <v>NEAKTIVAN</v>
      </c>
      <c r="C211" s="302">
        <f t="shared" si="14"/>
        <v>209</v>
      </c>
      <c r="D211" s="1">
        <v>22</v>
      </c>
      <c r="E211" s="1" t="str">
        <f>VLOOKUP(D211,Table3[[#All],[RB]:[OIB]],2,0)</f>
        <v>International Line d.o.o.</v>
      </c>
      <c r="F211" s="4">
        <f>VLOOKUP(D211,Table3[],3,0)</f>
        <v>16157428650</v>
      </c>
      <c r="G211" s="1" t="str">
        <f>VLOOKUP(D211,Table3[],4,0)</f>
        <v>Zoltan Kiri</v>
      </c>
      <c r="H211" s="1" t="str">
        <f>VLOOKUP(D211,POSLODAVCI!$A$2:$J$107,9,0)</f>
        <v>Osijek</v>
      </c>
      <c r="I211" s="1" t="str">
        <f>VLOOKUP(D211,Table3[],10,0)</f>
        <v>Ivana Gundulića 28</v>
      </c>
      <c r="J211" s="1" t="s">
        <v>205</v>
      </c>
      <c r="K211" s="61">
        <v>43466</v>
      </c>
      <c r="L211" s="61">
        <v>43703</v>
      </c>
      <c r="M211" s="182">
        <v>28217102839</v>
      </c>
      <c r="N211" t="s">
        <v>80</v>
      </c>
      <c r="O211" s="7">
        <v>21797</v>
      </c>
      <c r="P211" t="s">
        <v>461</v>
      </c>
      <c r="Q211" t="s">
        <v>82</v>
      </c>
      <c r="R211" t="s">
        <v>207</v>
      </c>
      <c r="S211" s="5" t="s">
        <v>428</v>
      </c>
      <c r="T211" t="s">
        <v>84</v>
      </c>
      <c r="V211" t="s">
        <v>143</v>
      </c>
      <c r="W211" t="s">
        <v>143</v>
      </c>
      <c r="X211" s="304" t="s">
        <v>103</v>
      </c>
      <c r="Y211" s="7"/>
      <c r="Z211" t="s">
        <v>86</v>
      </c>
      <c r="AA211">
        <v>40</v>
      </c>
      <c r="AC211" s="183"/>
      <c r="AE211" s="183"/>
      <c r="AH211" t="s">
        <v>94</v>
      </c>
      <c r="AL211" t="s">
        <v>428</v>
      </c>
      <c r="AM211" s="90">
        <v>3750</v>
      </c>
      <c r="AN211" s="184">
        <v>1</v>
      </c>
      <c r="AO211" s="15">
        <v>3000</v>
      </c>
      <c r="AW211" s="7"/>
      <c r="AZ211" t="s">
        <v>255</v>
      </c>
      <c r="BA211">
        <f t="shared" si="16"/>
        <v>44</v>
      </c>
    </row>
    <row r="212" spans="1:80" ht="15.75" customHeight="1">
      <c r="A212" s="273">
        <v>45</v>
      </c>
      <c r="B212" s="273" t="str">
        <f t="shared" si="15"/>
        <v>NEAKTIVAN</v>
      </c>
      <c r="C212" s="302">
        <f t="shared" si="14"/>
        <v>210</v>
      </c>
      <c r="D212" s="1">
        <v>22</v>
      </c>
      <c r="E212" s="1" t="str">
        <f>VLOOKUP(D212,Table3[[#All],[RB]:[OIB]],2,0)</f>
        <v>International Line d.o.o.</v>
      </c>
      <c r="F212" s="4">
        <f>VLOOKUP(D212,Table3[],3,0)</f>
        <v>16157428650</v>
      </c>
      <c r="G212" s="1" t="str">
        <f>VLOOKUP(D212,Table3[],4,0)</f>
        <v>Zoltan Kiri</v>
      </c>
      <c r="H212" s="1" t="str">
        <f>VLOOKUP(D212,POSLODAVCI!$A$2:$J$107,9,0)</f>
        <v>Osijek</v>
      </c>
      <c r="I212" s="1" t="str">
        <f>VLOOKUP(D212,Table3[],10,0)</f>
        <v>Ivana Gundulića 28</v>
      </c>
      <c r="J212" s="1" t="s">
        <v>208</v>
      </c>
      <c r="K212" s="61">
        <v>43466</v>
      </c>
      <c r="L212" s="61">
        <v>43732</v>
      </c>
      <c r="M212" s="182" t="s">
        <v>88</v>
      </c>
      <c r="N212" t="s">
        <v>80</v>
      </c>
      <c r="O212" s="7">
        <v>23068</v>
      </c>
      <c r="P212" t="s">
        <v>94</v>
      </c>
      <c r="Q212" t="s">
        <v>82</v>
      </c>
      <c r="R212" t="s">
        <v>209</v>
      </c>
      <c r="S212" s="5" t="s">
        <v>428</v>
      </c>
      <c r="T212" t="s">
        <v>84</v>
      </c>
      <c r="V212" t="s">
        <v>143</v>
      </c>
      <c r="W212" t="s">
        <v>143</v>
      </c>
      <c r="X212" s="304" t="s">
        <v>103</v>
      </c>
      <c r="Y212" s="7"/>
      <c r="Z212" t="s">
        <v>86</v>
      </c>
      <c r="AA212">
        <v>40</v>
      </c>
      <c r="AC212" s="183"/>
      <c r="AE212" s="183"/>
      <c r="AH212" t="s">
        <v>94</v>
      </c>
      <c r="AL212" t="s">
        <v>428</v>
      </c>
      <c r="AM212" s="90">
        <v>3750</v>
      </c>
      <c r="AN212" s="184">
        <v>1</v>
      </c>
      <c r="AO212" s="15">
        <v>3000</v>
      </c>
      <c r="AW212" s="7"/>
      <c r="AZ212" t="s">
        <v>255</v>
      </c>
      <c r="BA212">
        <f t="shared" si="16"/>
        <v>45</v>
      </c>
    </row>
    <row r="213" spans="1:80" ht="15.75" customHeight="1">
      <c r="A213" s="273">
        <v>46</v>
      </c>
      <c r="B213" s="273" t="str">
        <f t="shared" si="15"/>
        <v>NEAKTIVAN</v>
      </c>
      <c r="C213" s="302">
        <f t="shared" si="14"/>
        <v>211</v>
      </c>
      <c r="D213" s="1">
        <v>22</v>
      </c>
      <c r="E213" s="1" t="str">
        <f>VLOOKUP(D213,Table3[[#All],[RB]:[OIB]],2,0)</f>
        <v>International Line d.o.o.</v>
      </c>
      <c r="F213" s="4">
        <f>VLOOKUP(D213,Table3[],3,0)</f>
        <v>16157428650</v>
      </c>
      <c r="G213" s="1" t="str">
        <f>VLOOKUP(D213,Table3[],4,0)</f>
        <v>Zoltan Kiri</v>
      </c>
      <c r="H213" s="1" t="str">
        <f>VLOOKUP(D213,POSLODAVCI!$A$2:$J$107,9,0)</f>
        <v>Osijek</v>
      </c>
      <c r="I213" s="1" t="str">
        <f>VLOOKUP(D213,Table3[],10,0)</f>
        <v>Ivana Gundulića 28</v>
      </c>
      <c r="J213" s="1" t="s">
        <v>334</v>
      </c>
      <c r="K213" s="61">
        <v>43466</v>
      </c>
      <c r="L213" s="61">
        <v>43585</v>
      </c>
      <c r="M213" s="182">
        <v>91673634768</v>
      </c>
      <c r="N213" t="s">
        <v>80</v>
      </c>
      <c r="O213" s="7">
        <v>35655</v>
      </c>
      <c r="P213" t="s">
        <v>94</v>
      </c>
      <c r="Q213" t="s">
        <v>82</v>
      </c>
      <c r="R213" t="s">
        <v>335</v>
      </c>
      <c r="S213" s="5" t="s">
        <v>428</v>
      </c>
      <c r="T213" t="s">
        <v>84</v>
      </c>
      <c r="V213" t="s">
        <v>143</v>
      </c>
      <c r="W213" t="s">
        <v>143</v>
      </c>
      <c r="X213" s="304" t="s">
        <v>103</v>
      </c>
      <c r="Y213" s="7"/>
      <c r="Z213" t="s">
        <v>86</v>
      </c>
      <c r="AA213">
        <v>40</v>
      </c>
      <c r="AC213" s="183"/>
      <c r="AE213" s="183"/>
      <c r="AH213" t="s">
        <v>94</v>
      </c>
      <c r="AL213" t="s">
        <v>428</v>
      </c>
      <c r="AM213" s="90">
        <v>3750</v>
      </c>
      <c r="AN213" s="184">
        <v>1</v>
      </c>
      <c r="AO213" s="15">
        <v>3000</v>
      </c>
      <c r="AW213" s="7"/>
      <c r="AZ213" s="16" t="s">
        <v>255</v>
      </c>
      <c r="BA213">
        <f t="shared" si="16"/>
        <v>46</v>
      </c>
    </row>
    <row r="214" spans="1:80" s="259" customFormat="1" ht="15.75" customHeight="1">
      <c r="A214" s="273">
        <v>15</v>
      </c>
      <c r="B214" s="273" t="str">
        <f t="shared" si="15"/>
        <v>NEAKTIVAN</v>
      </c>
      <c r="C214" s="302">
        <f t="shared" si="14"/>
        <v>212</v>
      </c>
      <c r="D214" s="1">
        <v>3</v>
      </c>
      <c r="E214" s="1" t="str">
        <f>VLOOKUP(D214,Table3[[#All],[RB]:[OIB]],2,0)</f>
        <v>AGRO PMD d.o.o.</v>
      </c>
      <c r="F214" s="4" t="str">
        <f>VLOOKUP(D214,Table3[],3,0)</f>
        <v>09677499852</v>
      </c>
      <c r="G214" s="1" t="str">
        <f>VLOOKUP(D214,Table3[],4,0)</f>
        <v>Imre Bata</v>
      </c>
      <c r="H214" s="1" t="str">
        <f>VLOOKUP(D214,POSLODAVCI!$A$2:$J$107,9,0)</f>
        <v>Osijek</v>
      </c>
      <c r="I214" s="1" t="str">
        <f>VLOOKUP(D214,Table3[],10,0)</f>
        <v>Južno Pregrađe 38, Osijek</v>
      </c>
      <c r="J214" s="1" t="s">
        <v>514</v>
      </c>
      <c r="K214" s="61">
        <v>43497</v>
      </c>
      <c r="L214" s="61">
        <v>43585</v>
      </c>
      <c r="M214" s="182">
        <v>64253340535</v>
      </c>
      <c r="N214" t="s">
        <v>89</v>
      </c>
      <c r="O214" s="7">
        <v>30862</v>
      </c>
      <c r="P214" t="s">
        <v>94</v>
      </c>
      <c r="Q214" t="s">
        <v>82</v>
      </c>
      <c r="R214" t="s">
        <v>515</v>
      </c>
      <c r="S214" s="17" t="s">
        <v>83</v>
      </c>
      <c r="T214" t="s">
        <v>84</v>
      </c>
      <c r="U214"/>
      <c r="V214"/>
      <c r="W214" t="s">
        <v>96</v>
      </c>
      <c r="X214" s="304" t="s">
        <v>85</v>
      </c>
      <c r="Y214" s="7">
        <v>43585</v>
      </c>
      <c r="Z214" t="s">
        <v>86</v>
      </c>
      <c r="AA214">
        <v>40</v>
      </c>
      <c r="AB214" t="s">
        <v>516</v>
      </c>
      <c r="AC214" s="183"/>
      <c r="AD214"/>
      <c r="AE214" s="183"/>
      <c r="AF214"/>
      <c r="AG214"/>
      <c r="AH214" t="s">
        <v>81</v>
      </c>
      <c r="AI214"/>
      <c r="AJ214"/>
      <c r="AK214"/>
      <c r="AL214" t="s">
        <v>83</v>
      </c>
      <c r="AM214" s="90">
        <v>3750</v>
      </c>
      <c r="AN214" s="184">
        <v>1</v>
      </c>
      <c r="AO214" s="15">
        <v>3000</v>
      </c>
      <c r="AP214" s="15"/>
      <c r="AQ214"/>
      <c r="AR214"/>
      <c r="AS214"/>
      <c r="AT214"/>
      <c r="AU214"/>
      <c r="AV214"/>
      <c r="AW214" s="7"/>
      <c r="AX214"/>
      <c r="AY214"/>
      <c r="AZ214" s="16" t="s">
        <v>255</v>
      </c>
      <c r="BA214">
        <v>15</v>
      </c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</row>
    <row r="215" spans="1:80" ht="15.75" customHeight="1">
      <c r="A215" s="273">
        <v>47</v>
      </c>
      <c r="B215" s="273" t="str">
        <f t="shared" si="15"/>
        <v>NEAKTIVAN</v>
      </c>
      <c r="C215" s="302">
        <f t="shared" si="14"/>
        <v>213</v>
      </c>
      <c r="D215" s="1">
        <v>22</v>
      </c>
      <c r="E215" s="1" t="str">
        <f>VLOOKUP(D215,Table3[[#All],[RB]:[OIB]],2,0)</f>
        <v>International Line d.o.o.</v>
      </c>
      <c r="F215" s="4">
        <f>VLOOKUP(D215,Table3[],3,0)</f>
        <v>16157428650</v>
      </c>
      <c r="G215" s="1" t="str">
        <f>VLOOKUP(D215,Table3[],4,0)</f>
        <v>Zoltan Kiri</v>
      </c>
      <c r="H215" s="1" t="str">
        <f>VLOOKUP(D215,POSLODAVCI!$A$2:$J$107,9,0)</f>
        <v>Osijek</v>
      </c>
      <c r="I215" s="1" t="str">
        <f>VLOOKUP(D215,Table3[],10,0)</f>
        <v>Ivana Gundulića 28</v>
      </c>
      <c r="J215" s="1" t="s">
        <v>339</v>
      </c>
      <c r="K215" s="61">
        <v>43466</v>
      </c>
      <c r="L215" s="61">
        <v>43734</v>
      </c>
      <c r="M215" s="182">
        <v>40041577579</v>
      </c>
      <c r="N215" t="s">
        <v>80</v>
      </c>
      <c r="O215" s="7">
        <v>29215</v>
      </c>
      <c r="P215" t="s">
        <v>94</v>
      </c>
      <c r="Q215" t="s">
        <v>82</v>
      </c>
      <c r="R215" t="s">
        <v>340</v>
      </c>
      <c r="S215" s="5" t="s">
        <v>428</v>
      </c>
      <c r="T215" t="s">
        <v>84</v>
      </c>
      <c r="V215" t="s">
        <v>143</v>
      </c>
      <c r="W215" t="s">
        <v>143</v>
      </c>
      <c r="X215" s="304" t="s">
        <v>103</v>
      </c>
      <c r="Y215" s="7"/>
      <c r="Z215" t="s">
        <v>86</v>
      </c>
      <c r="AA215">
        <v>40</v>
      </c>
      <c r="AC215" s="183"/>
      <c r="AE215" s="183"/>
      <c r="AH215" t="s">
        <v>94</v>
      </c>
      <c r="AL215" t="s">
        <v>428</v>
      </c>
      <c r="AM215" s="90">
        <v>3750</v>
      </c>
      <c r="AN215" s="184">
        <v>1</v>
      </c>
      <c r="AO215" s="15">
        <v>3000</v>
      </c>
      <c r="AW215" s="7"/>
      <c r="AZ215" t="s">
        <v>255</v>
      </c>
      <c r="BA215">
        <f>A215</f>
        <v>47</v>
      </c>
    </row>
    <row r="216" spans="1:80" ht="15.75" customHeight="1">
      <c r="A216" s="273">
        <v>1</v>
      </c>
      <c r="B216" s="273" t="str">
        <f t="shared" si="15"/>
        <v>NEAKTIVAN</v>
      </c>
      <c r="C216" s="302">
        <f t="shared" si="14"/>
        <v>214</v>
      </c>
      <c r="D216" s="1">
        <v>24</v>
      </c>
      <c r="E216" s="1" t="str">
        <f>VLOOKUP(D216,Table3[[#All],[RB]:[OIB]],2,0)</f>
        <v>JS MENSOR</v>
      </c>
      <c r="F216" s="4">
        <f>VLOOKUP(D216,Table3[],3,0)</f>
        <v>19941838505</v>
      </c>
      <c r="G216" s="1" t="str">
        <f>VLOOKUP(D216,Table3[],4,0)</f>
        <v>GABOR ISTVAN JENEI</v>
      </c>
      <c r="H216" s="1" t="str">
        <f>VLOOKUP(D216,POSLODAVCI!$A$2:$J$107,9,0)</f>
        <v>Osijek</v>
      </c>
      <c r="I216" s="1" t="str">
        <f>VLOOKUP(D216,Table3[],10,0)</f>
        <v>Šetalište Petra Preradovića 5, 31000 Osijek</v>
      </c>
      <c r="J216" s="1" t="s">
        <v>521</v>
      </c>
      <c r="K216" s="61">
        <v>43497</v>
      </c>
      <c r="L216" s="61">
        <v>44135</v>
      </c>
      <c r="M216" s="182">
        <v>85123028571</v>
      </c>
      <c r="N216" s="16" t="s">
        <v>89</v>
      </c>
      <c r="O216" s="7">
        <v>30008</v>
      </c>
      <c r="P216" s="16" t="s">
        <v>522</v>
      </c>
      <c r="Q216" s="16" t="s">
        <v>376</v>
      </c>
      <c r="R216" s="16" t="s">
        <v>523</v>
      </c>
      <c r="S216" s="17" t="s">
        <v>83</v>
      </c>
      <c r="T216" s="16" t="s">
        <v>84</v>
      </c>
      <c r="U216" s="16"/>
      <c r="V216" s="16"/>
      <c r="W216" s="16" t="s">
        <v>524</v>
      </c>
      <c r="X216" s="303" t="s">
        <v>103</v>
      </c>
      <c r="Y216" s="7"/>
      <c r="Z216" s="16" t="s">
        <v>86</v>
      </c>
      <c r="AA216" s="16">
        <v>40</v>
      </c>
      <c r="AB216" s="16" t="s">
        <v>425</v>
      </c>
      <c r="AC216" s="183"/>
      <c r="AD216" s="16"/>
      <c r="AE216" s="183"/>
      <c r="AF216" s="16"/>
      <c r="AG216" s="16"/>
      <c r="AH216" s="16" t="s">
        <v>94</v>
      </c>
      <c r="AI216" s="16"/>
      <c r="AJ216" s="16"/>
      <c r="AK216" s="16"/>
      <c r="AL216" s="16" t="s">
        <v>83</v>
      </c>
      <c r="AM216" s="90">
        <v>5491.2</v>
      </c>
      <c r="AN216" s="184">
        <v>1</v>
      </c>
      <c r="AQ216" s="16"/>
      <c r="AR216" s="16"/>
      <c r="AS216" s="16"/>
      <c r="AT216" s="16"/>
      <c r="AU216" s="16"/>
      <c r="AV216" s="16"/>
      <c r="AW216" s="7"/>
      <c r="AX216" s="16"/>
      <c r="AY216" s="16"/>
      <c r="AZ216" s="16" t="s">
        <v>374</v>
      </c>
      <c r="BA216" s="16">
        <v>1</v>
      </c>
    </row>
    <row r="217" spans="1:80" ht="15.75" customHeight="1">
      <c r="A217" s="273">
        <v>48</v>
      </c>
      <c r="B217" s="273" t="str">
        <f t="shared" si="15"/>
        <v>NEAKTIVAN</v>
      </c>
      <c r="C217" s="302">
        <f t="shared" si="14"/>
        <v>215</v>
      </c>
      <c r="D217" s="1">
        <v>22</v>
      </c>
      <c r="E217" s="1" t="str">
        <f>VLOOKUP(D217,Table3[[#All],[RB]:[OIB]],2,0)</f>
        <v>International Line d.o.o.</v>
      </c>
      <c r="F217" s="4">
        <f>VLOOKUP(D217,Table3[],3,0)</f>
        <v>16157428650</v>
      </c>
      <c r="G217" s="1" t="str">
        <f>VLOOKUP(D217,Table3[],4,0)</f>
        <v>Zoltan Kiri</v>
      </c>
      <c r="H217" s="1" t="str">
        <f>VLOOKUP(D217,POSLODAVCI!$A$2:$J$107,9,0)</f>
        <v>Osijek</v>
      </c>
      <c r="I217" s="1" t="str">
        <f>VLOOKUP(D217,Table3[],10,0)</f>
        <v>Ivana Gundulića 28</v>
      </c>
      <c r="J217" s="1" t="s">
        <v>358</v>
      </c>
      <c r="K217" s="61">
        <v>43466</v>
      </c>
      <c r="L217" s="61">
        <v>43578</v>
      </c>
      <c r="M217" s="182">
        <v>27422215847</v>
      </c>
      <c r="N217" t="s">
        <v>80</v>
      </c>
      <c r="O217" s="7">
        <v>35182</v>
      </c>
      <c r="P217" t="s">
        <v>94</v>
      </c>
      <c r="Q217" t="s">
        <v>82</v>
      </c>
      <c r="R217" t="s">
        <v>466</v>
      </c>
      <c r="S217" s="5" t="s">
        <v>428</v>
      </c>
      <c r="T217" t="s">
        <v>84</v>
      </c>
      <c r="V217" t="s">
        <v>143</v>
      </c>
      <c r="W217" t="s">
        <v>143</v>
      </c>
      <c r="X217" s="304" t="s">
        <v>103</v>
      </c>
      <c r="Y217" s="7"/>
      <c r="Z217" t="s">
        <v>86</v>
      </c>
      <c r="AA217">
        <v>40</v>
      </c>
      <c r="AC217" s="183"/>
      <c r="AE217" s="183"/>
      <c r="AH217" t="s">
        <v>94</v>
      </c>
      <c r="AL217" t="s">
        <v>428</v>
      </c>
      <c r="AM217" s="90">
        <v>3750</v>
      </c>
      <c r="AN217" s="184">
        <v>1</v>
      </c>
      <c r="AO217" s="15">
        <v>3000</v>
      </c>
      <c r="AW217" s="7"/>
      <c r="AZ217" s="16" t="s">
        <v>255</v>
      </c>
      <c r="BA217">
        <f>A217</f>
        <v>48</v>
      </c>
    </row>
    <row r="218" spans="1:80" ht="15.75" customHeight="1">
      <c r="A218" s="273">
        <v>49</v>
      </c>
      <c r="B218" s="273" t="str">
        <f t="shared" si="15"/>
        <v>NEAKTIVAN</v>
      </c>
      <c r="C218" s="302">
        <f t="shared" si="14"/>
        <v>216</v>
      </c>
      <c r="D218" s="1">
        <v>22</v>
      </c>
      <c r="E218" s="1" t="str">
        <f>VLOOKUP(D218,Table3[[#All],[RB]:[OIB]],2,0)</f>
        <v>International Line d.o.o.</v>
      </c>
      <c r="F218" s="4">
        <f>VLOOKUP(D218,Table3[],3,0)</f>
        <v>16157428650</v>
      </c>
      <c r="G218" s="1" t="str">
        <f>VLOOKUP(D218,Table3[],4,0)</f>
        <v>Zoltan Kiri</v>
      </c>
      <c r="H218" s="1" t="str">
        <f>VLOOKUP(D218,POSLODAVCI!$A$2:$J$107,9,0)</f>
        <v>Osijek</v>
      </c>
      <c r="I218" s="1" t="str">
        <f>VLOOKUP(D218,Table3[],10,0)</f>
        <v>Ivana Gundulića 28</v>
      </c>
      <c r="J218" s="1" t="s">
        <v>473</v>
      </c>
      <c r="K218" s="61">
        <v>43466</v>
      </c>
      <c r="L218" s="61">
        <v>43738</v>
      </c>
      <c r="M218" s="182" t="s">
        <v>172</v>
      </c>
      <c r="N218" t="s">
        <v>80</v>
      </c>
      <c r="O218" s="7">
        <v>26699</v>
      </c>
      <c r="P218" t="s">
        <v>94</v>
      </c>
      <c r="Q218" t="s">
        <v>82</v>
      </c>
      <c r="R218" t="s">
        <v>173</v>
      </c>
      <c r="S218" s="5" t="s">
        <v>428</v>
      </c>
      <c r="T218" t="s">
        <v>84</v>
      </c>
      <c r="V218" t="s">
        <v>143</v>
      </c>
      <c r="W218" t="s">
        <v>143</v>
      </c>
      <c r="X218" s="304" t="s">
        <v>103</v>
      </c>
      <c r="Y218" s="7"/>
      <c r="Z218" t="s">
        <v>86</v>
      </c>
      <c r="AA218">
        <v>40</v>
      </c>
      <c r="AC218" s="183"/>
      <c r="AE218" s="183"/>
      <c r="AH218" t="s">
        <v>94</v>
      </c>
      <c r="AL218" t="s">
        <v>428</v>
      </c>
      <c r="AM218" s="90">
        <v>3750</v>
      </c>
      <c r="AN218" s="184">
        <v>1</v>
      </c>
      <c r="AO218" s="15">
        <v>3000</v>
      </c>
      <c r="AW218" s="7"/>
      <c r="AZ218" t="s">
        <v>255</v>
      </c>
      <c r="BA218">
        <f>A218</f>
        <v>49</v>
      </c>
    </row>
    <row r="219" spans="1:80" ht="15.75" customHeight="1">
      <c r="A219" s="273">
        <v>50</v>
      </c>
      <c r="B219" s="273" t="str">
        <f t="shared" si="15"/>
        <v>NEAKTIVAN</v>
      </c>
      <c r="C219" s="302">
        <f t="shared" si="14"/>
        <v>217</v>
      </c>
      <c r="D219" s="1">
        <v>22</v>
      </c>
      <c r="E219" s="1" t="str">
        <f>VLOOKUP(D219,Table3[[#All],[RB]:[OIB]],2,0)</f>
        <v>International Line d.o.o.</v>
      </c>
      <c r="F219" s="4">
        <f>VLOOKUP(D219,Table3[],3,0)</f>
        <v>16157428650</v>
      </c>
      <c r="G219" s="1" t="str">
        <f>VLOOKUP(D219,Table3[],4,0)</f>
        <v>Zoltan Kiri</v>
      </c>
      <c r="H219" s="1" t="str">
        <f>VLOOKUP(D219,POSLODAVCI!$A$2:$J$107,9,0)</f>
        <v>Osijek</v>
      </c>
      <c r="I219" s="1" t="str">
        <f>VLOOKUP(D219,Table3[],10,0)</f>
        <v>Ivana Gundulića 28</v>
      </c>
      <c r="J219" s="1" t="s">
        <v>174</v>
      </c>
      <c r="K219" s="61">
        <v>43466</v>
      </c>
      <c r="L219" s="61">
        <v>44196</v>
      </c>
      <c r="M219" s="182">
        <v>16260284290</v>
      </c>
      <c r="N219" t="s">
        <v>80</v>
      </c>
      <c r="O219" s="7">
        <v>28659</v>
      </c>
      <c r="P219" t="s">
        <v>94</v>
      </c>
      <c r="Q219" t="s">
        <v>82</v>
      </c>
      <c r="R219" t="s">
        <v>176</v>
      </c>
      <c r="S219" s="5" t="s">
        <v>428</v>
      </c>
      <c r="T219" t="s">
        <v>84</v>
      </c>
      <c r="V219" t="s">
        <v>177</v>
      </c>
      <c r="W219" t="s">
        <v>177</v>
      </c>
      <c r="X219" s="304" t="s">
        <v>103</v>
      </c>
      <c r="Y219" s="7"/>
      <c r="Z219" t="s">
        <v>86</v>
      </c>
      <c r="AA219">
        <v>40</v>
      </c>
      <c r="AC219" s="183"/>
      <c r="AE219" s="183"/>
      <c r="AH219" t="s">
        <v>94</v>
      </c>
      <c r="AL219" t="s">
        <v>428</v>
      </c>
      <c r="AM219" s="90">
        <v>5875</v>
      </c>
      <c r="AN219" s="184">
        <v>1</v>
      </c>
      <c r="AO219" s="15">
        <v>4200</v>
      </c>
      <c r="AW219" s="7"/>
      <c r="AZ219" t="s">
        <v>374</v>
      </c>
      <c r="BA219">
        <f>A219</f>
        <v>50</v>
      </c>
    </row>
    <row r="220" spans="1:80" ht="15.75" customHeight="1">
      <c r="A220" s="273">
        <v>52</v>
      </c>
      <c r="B220" s="273" t="str">
        <f t="shared" si="15"/>
        <v>NEAKTIVAN</v>
      </c>
      <c r="C220" s="302">
        <f t="shared" si="14"/>
        <v>218</v>
      </c>
      <c r="D220" s="1">
        <v>22</v>
      </c>
      <c r="E220" s="1" t="str">
        <f>VLOOKUP(D220,Table3[[#All],[RB]:[OIB]],2,0)</f>
        <v>International Line d.o.o.</v>
      </c>
      <c r="F220" s="4">
        <f>VLOOKUP(D220,Table3[],3,0)</f>
        <v>16157428650</v>
      </c>
      <c r="G220" s="1" t="str">
        <f>VLOOKUP(D220,Table3[],4,0)</f>
        <v>Zoltan Kiri</v>
      </c>
      <c r="H220" s="1" t="str">
        <f>VLOOKUP(D220,POSLODAVCI!$A$2:$J$107,9,0)</f>
        <v>Osijek</v>
      </c>
      <c r="I220" s="1" t="str">
        <f>VLOOKUP(D220,Table3[],10,0)</f>
        <v>Ivana Gundulića 28</v>
      </c>
      <c r="J220" s="1" t="s">
        <v>193</v>
      </c>
      <c r="K220" s="61">
        <v>43466</v>
      </c>
      <c r="L220" s="61">
        <v>43767</v>
      </c>
      <c r="M220" s="158">
        <v>7065659312</v>
      </c>
      <c r="N220" t="s">
        <v>80</v>
      </c>
      <c r="O220" s="7">
        <v>30535</v>
      </c>
      <c r="P220" t="s">
        <v>94</v>
      </c>
      <c r="Q220" t="s">
        <v>82</v>
      </c>
      <c r="R220" t="s">
        <v>475</v>
      </c>
      <c r="S220" s="5" t="s">
        <v>428</v>
      </c>
      <c r="T220" t="s">
        <v>84</v>
      </c>
      <c r="V220" t="s">
        <v>149</v>
      </c>
      <c r="W220" t="s">
        <v>149</v>
      </c>
      <c r="X220" s="304" t="s">
        <v>103</v>
      </c>
      <c r="Y220" s="7"/>
      <c r="Z220" t="s">
        <v>86</v>
      </c>
      <c r="AA220">
        <v>40</v>
      </c>
      <c r="AC220" s="183"/>
      <c r="AE220" s="183"/>
      <c r="AH220" t="s">
        <v>94</v>
      </c>
      <c r="AL220" t="s">
        <v>428</v>
      </c>
      <c r="AM220" s="90">
        <v>5084.22</v>
      </c>
      <c r="AN220" s="184">
        <v>1</v>
      </c>
      <c r="AO220" s="15">
        <v>4000</v>
      </c>
      <c r="AP220" s="298">
        <v>747</v>
      </c>
      <c r="AW220" s="7"/>
      <c r="AZ220" t="s">
        <v>255</v>
      </c>
      <c r="BA220">
        <f>A220</f>
        <v>52</v>
      </c>
    </row>
    <row r="221" spans="1:80" ht="15.75" customHeight="1">
      <c r="A221" s="273">
        <v>1</v>
      </c>
      <c r="B221" s="273" t="str">
        <f t="shared" si="15"/>
        <v>AKTIVAN</v>
      </c>
      <c r="C221" s="302">
        <f t="shared" si="14"/>
        <v>219</v>
      </c>
      <c r="D221" s="1">
        <v>25</v>
      </c>
      <c r="E221" s="1" t="str">
        <f>VLOOKUP(D221,Table3[[#All],[RB]:[OIB]],2,0)</f>
        <v>BELLISSIMA</v>
      </c>
      <c r="F221" s="4">
        <f>VLOOKUP(D221,Table3[],3,0)</f>
        <v>15728896207</v>
      </c>
      <c r="G221" s="1" t="str">
        <f>VLOOKUP(D221,Table3[],4,0)</f>
        <v>VEZAJ KRISTINA</v>
      </c>
      <c r="H221" s="1" t="str">
        <f>VLOOKUP(D221,POSLODAVCI!$A$2:$J$107,9,0)</f>
        <v>OSIJEK</v>
      </c>
      <c r="I221" s="1" t="str">
        <f>VLOOKUP(D221,Table3[],10,0)</f>
        <v>BOSUTSKO 13, 31000 OSIJEK</v>
      </c>
      <c r="J221" s="1" t="s">
        <v>531</v>
      </c>
      <c r="K221" s="61">
        <v>41621</v>
      </c>
      <c r="L221" s="61"/>
      <c r="M221" s="182">
        <v>70729208004</v>
      </c>
      <c r="N221" t="s">
        <v>80</v>
      </c>
      <c r="O221" s="7">
        <v>27061</v>
      </c>
      <c r="P221" t="s">
        <v>94</v>
      </c>
      <c r="Q221" t="s">
        <v>82</v>
      </c>
      <c r="R221" t="s">
        <v>532</v>
      </c>
      <c r="S221" s="5" t="s">
        <v>83</v>
      </c>
      <c r="T221" t="s">
        <v>84</v>
      </c>
      <c r="W221" t="s">
        <v>378</v>
      </c>
      <c r="X221" s="304" t="s">
        <v>103</v>
      </c>
      <c r="Y221" s="7"/>
      <c r="Z221" t="s">
        <v>86</v>
      </c>
      <c r="AA221">
        <v>40</v>
      </c>
      <c r="AC221" s="183"/>
      <c r="AE221" s="183"/>
      <c r="AH221" t="s">
        <v>94</v>
      </c>
      <c r="AL221" t="s">
        <v>83</v>
      </c>
      <c r="AM221" s="90">
        <v>5491.2</v>
      </c>
      <c r="AN221" s="184">
        <v>1</v>
      </c>
      <c r="AO221" s="15">
        <v>4500</v>
      </c>
      <c r="AW221" s="7"/>
      <c r="AZ221" t="s">
        <v>374</v>
      </c>
      <c r="BA221">
        <v>1</v>
      </c>
    </row>
    <row r="222" spans="1:80" ht="15.75" customHeight="1">
      <c r="A222" s="273">
        <v>1</v>
      </c>
      <c r="B222" s="273" t="str">
        <f t="shared" si="15"/>
        <v>NEAKTIVAN</v>
      </c>
      <c r="C222" s="302">
        <f t="shared" si="14"/>
        <v>220</v>
      </c>
      <c r="D222" s="1">
        <v>26</v>
      </c>
      <c r="E222" s="1" t="str">
        <f>VLOOKUP(D222,Table3[[#All],[RB]:[OIB]],2,0)</f>
        <v>D-INVOICE D.O.O.</v>
      </c>
      <c r="F222" s="4">
        <f>VLOOKUP(D222,Table3[],3,0)</f>
        <v>95114485977</v>
      </c>
      <c r="G222" s="1" t="str">
        <f>VLOOKUP(D222,Table3[],4,0)</f>
        <v>LAURA GERGELJ</v>
      </c>
      <c r="H222" s="1" t="str">
        <f>VLOOKUP(D222,POSLODAVCI!$A$2:$J$107,9,0)</f>
        <v>Osijek</v>
      </c>
      <c r="I222" s="1" t="str">
        <f>VLOOKUP(D222,Table3[],10,0)</f>
        <v>SV.IVANA KRSTITELJA 15, DARDA</v>
      </c>
      <c r="J222" s="1" t="s">
        <v>302</v>
      </c>
      <c r="K222" s="61">
        <v>43512</v>
      </c>
      <c r="L222" s="61">
        <v>43601</v>
      </c>
      <c r="M222" s="182">
        <v>65592272975</v>
      </c>
      <c r="N222" t="s">
        <v>80</v>
      </c>
      <c r="O222" s="7">
        <v>26422</v>
      </c>
      <c r="P222" t="s">
        <v>192</v>
      </c>
      <c r="Q222" t="s">
        <v>82</v>
      </c>
      <c r="R222" t="s">
        <v>303</v>
      </c>
      <c r="S222" s="5" t="s">
        <v>83</v>
      </c>
      <c r="T222" t="s">
        <v>84</v>
      </c>
      <c r="V222" t="s">
        <v>304</v>
      </c>
      <c r="W222" t="s">
        <v>304</v>
      </c>
      <c r="X222" s="304" t="s">
        <v>85</v>
      </c>
      <c r="Y222" s="7">
        <v>43601</v>
      </c>
      <c r="Z222" t="s">
        <v>86</v>
      </c>
      <c r="AA222">
        <v>40</v>
      </c>
      <c r="AC222" s="183"/>
      <c r="AE222" s="183"/>
      <c r="AH222" t="s">
        <v>94</v>
      </c>
      <c r="AL222" t="s">
        <v>83</v>
      </c>
      <c r="AM222" s="90">
        <v>5923.12</v>
      </c>
      <c r="AN222" s="184">
        <v>1</v>
      </c>
      <c r="AO222" s="15">
        <v>4000</v>
      </c>
      <c r="AP222">
        <v>0</v>
      </c>
      <c r="AS222">
        <v>20</v>
      </c>
      <c r="AZ222" t="s">
        <v>255</v>
      </c>
      <c r="BA222">
        <f>A222</f>
        <v>1</v>
      </c>
    </row>
    <row r="223" spans="1:80" ht="15.75" customHeight="1">
      <c r="A223" s="273">
        <v>53</v>
      </c>
      <c r="B223" s="273" t="str">
        <f t="shared" si="15"/>
        <v>NEAKTIVAN</v>
      </c>
      <c r="C223" s="302">
        <f t="shared" si="14"/>
        <v>221</v>
      </c>
      <c r="D223" s="1">
        <v>22</v>
      </c>
      <c r="E223" s="1" t="str">
        <f>VLOOKUP(D223,Table3[[#All],[RB]:[OIB]],2,0)</f>
        <v>International Line d.o.o.</v>
      </c>
      <c r="F223" s="4">
        <f>VLOOKUP(D223,Table3[],3,0)</f>
        <v>16157428650</v>
      </c>
      <c r="G223" s="1" t="str">
        <f>VLOOKUP(D223,Table3[],4,0)</f>
        <v>Zoltan Kiri</v>
      </c>
      <c r="H223" s="1" t="str">
        <f>VLOOKUP(D223,POSLODAVCI!$A$2:$J$107,9,0)</f>
        <v>Osijek</v>
      </c>
      <c r="I223" s="1" t="str">
        <f>VLOOKUP(D223,Table3[],10,0)</f>
        <v>Ivana Gundulića 28</v>
      </c>
      <c r="J223" s="294" t="s">
        <v>197</v>
      </c>
      <c r="K223" s="61">
        <v>43466</v>
      </c>
      <c r="L223" s="61">
        <v>43878</v>
      </c>
      <c r="M223" s="158">
        <v>85912850218</v>
      </c>
      <c r="N223" t="s">
        <v>80</v>
      </c>
      <c r="O223" s="7">
        <v>35642</v>
      </c>
      <c r="P223" t="s">
        <v>199</v>
      </c>
      <c r="Q223" t="s">
        <v>82</v>
      </c>
      <c r="R223" t="s">
        <v>200</v>
      </c>
      <c r="S223" s="5" t="s">
        <v>428</v>
      </c>
      <c r="T223" t="s">
        <v>84</v>
      </c>
      <c r="V223" t="s">
        <v>116</v>
      </c>
      <c r="W223" t="s">
        <v>116</v>
      </c>
      <c r="X223" s="304" t="s">
        <v>103</v>
      </c>
      <c r="Y223" s="7"/>
      <c r="Z223" t="s">
        <v>86</v>
      </c>
      <c r="AA223">
        <v>40</v>
      </c>
      <c r="AC223" s="183"/>
      <c r="AE223" s="183"/>
      <c r="AH223" t="s">
        <v>94</v>
      </c>
      <c r="AL223" t="s">
        <v>428</v>
      </c>
      <c r="AM223" s="90">
        <v>4062.51</v>
      </c>
      <c r="AN223" s="184">
        <v>1</v>
      </c>
      <c r="AO223" s="15">
        <v>3200</v>
      </c>
      <c r="AW223" s="7"/>
      <c r="AZ223" t="s">
        <v>255</v>
      </c>
      <c r="BA223">
        <f>A223</f>
        <v>53</v>
      </c>
    </row>
    <row r="224" spans="1:80" ht="15.75" customHeight="1">
      <c r="A224" s="273">
        <v>54</v>
      </c>
      <c r="B224" s="273" t="str">
        <f t="shared" si="15"/>
        <v>NEAKTIVAN</v>
      </c>
      <c r="C224" s="302">
        <f t="shared" si="14"/>
        <v>222</v>
      </c>
      <c r="D224" s="1">
        <v>22</v>
      </c>
      <c r="E224" s="1" t="str">
        <f>VLOOKUP(D224,Table3[[#All],[RB]:[OIB]],2,0)</f>
        <v>International Line d.o.o.</v>
      </c>
      <c r="F224" s="4">
        <f>VLOOKUP(D224,Table3[],3,0)</f>
        <v>16157428650</v>
      </c>
      <c r="G224" s="1" t="str">
        <f>VLOOKUP(D224,Table3[],4,0)</f>
        <v>Zoltan Kiri</v>
      </c>
      <c r="H224" s="1" t="str">
        <f>VLOOKUP(D224,POSLODAVCI!$A$2:$J$107,9,0)</f>
        <v>Osijek</v>
      </c>
      <c r="I224" s="1" t="str">
        <f>VLOOKUP(D224,Table3[],10,0)</f>
        <v>Ivana Gundulića 28</v>
      </c>
      <c r="J224" s="1" t="s">
        <v>330</v>
      </c>
      <c r="K224" s="61">
        <v>43466</v>
      </c>
      <c r="L224" s="61">
        <v>43717</v>
      </c>
      <c r="M224" s="182">
        <v>46616191748</v>
      </c>
      <c r="N224" t="s">
        <v>80</v>
      </c>
      <c r="O224" s="7">
        <v>34389</v>
      </c>
      <c r="P224" t="s">
        <v>94</v>
      </c>
      <c r="Q224" t="s">
        <v>82</v>
      </c>
      <c r="R224" t="s">
        <v>331</v>
      </c>
      <c r="S224" s="5" t="s">
        <v>428</v>
      </c>
      <c r="T224" t="s">
        <v>84</v>
      </c>
      <c r="V224" t="s">
        <v>116</v>
      </c>
      <c r="W224" t="s">
        <v>116</v>
      </c>
      <c r="X224" s="304" t="s">
        <v>103</v>
      </c>
      <c r="Y224" s="7"/>
      <c r="Z224" t="s">
        <v>86</v>
      </c>
      <c r="AA224">
        <v>40</v>
      </c>
      <c r="AC224" s="183"/>
      <c r="AE224" s="183"/>
      <c r="AH224" t="s">
        <v>94</v>
      </c>
      <c r="AL224" t="s">
        <v>428</v>
      </c>
      <c r="AM224" s="90">
        <v>3750</v>
      </c>
      <c r="AN224" s="184">
        <v>1</v>
      </c>
      <c r="AO224" s="15">
        <v>3000</v>
      </c>
      <c r="AW224" s="7"/>
      <c r="AZ224" t="s">
        <v>255</v>
      </c>
      <c r="BA224">
        <f>A224</f>
        <v>54</v>
      </c>
    </row>
    <row r="225" spans="1:80" ht="15.75" customHeight="1">
      <c r="A225" s="273">
        <v>55</v>
      </c>
      <c r="B225" s="273" t="str">
        <f t="shared" si="15"/>
        <v>NEAKTIVAN</v>
      </c>
      <c r="C225" s="302">
        <f t="shared" si="14"/>
        <v>223</v>
      </c>
      <c r="D225" s="1">
        <v>22</v>
      </c>
      <c r="E225" s="1" t="str">
        <f>VLOOKUP(D225,Table3[[#All],[RB]:[OIB]],2,0)</f>
        <v>International Line d.o.o.</v>
      </c>
      <c r="F225" s="4">
        <f>VLOOKUP(D225,Table3[],3,0)</f>
        <v>16157428650</v>
      </c>
      <c r="G225" s="1" t="str">
        <f>VLOOKUP(D225,Table3[],4,0)</f>
        <v>Zoltan Kiri</v>
      </c>
      <c r="H225" s="1" t="str">
        <f>VLOOKUP(D225,POSLODAVCI!$A$2:$J$107,9,0)</f>
        <v>Osijek</v>
      </c>
      <c r="I225" s="1" t="str">
        <f>VLOOKUP(D225,Table3[],10,0)</f>
        <v>Ivana Gundulića 28</v>
      </c>
      <c r="J225" s="1" t="s">
        <v>332</v>
      </c>
      <c r="K225" s="61">
        <v>43466</v>
      </c>
      <c r="L225" s="61">
        <v>43832</v>
      </c>
      <c r="M225" s="182">
        <v>32686911736</v>
      </c>
      <c r="N225" t="s">
        <v>89</v>
      </c>
      <c r="O225" s="7">
        <v>35114</v>
      </c>
      <c r="P225" t="s">
        <v>94</v>
      </c>
      <c r="Q225" t="s">
        <v>82</v>
      </c>
      <c r="R225" t="s">
        <v>333</v>
      </c>
      <c r="S225" s="5" t="s">
        <v>428</v>
      </c>
      <c r="T225" t="s">
        <v>84</v>
      </c>
      <c r="V225" t="s">
        <v>116</v>
      </c>
      <c r="W225" t="s">
        <v>116</v>
      </c>
      <c r="X225" s="304" t="s">
        <v>103</v>
      </c>
      <c r="Y225" s="7"/>
      <c r="Z225" t="s">
        <v>86</v>
      </c>
      <c r="AA225">
        <v>40</v>
      </c>
      <c r="AC225" s="183"/>
      <c r="AE225" s="183"/>
      <c r="AH225" t="s">
        <v>94</v>
      </c>
      <c r="AL225" t="s">
        <v>428</v>
      </c>
      <c r="AM225" s="90">
        <v>4062.51</v>
      </c>
      <c r="AN225" s="184">
        <v>1</v>
      </c>
      <c r="AO225" s="15">
        <v>3200</v>
      </c>
      <c r="AW225" s="7"/>
      <c r="AZ225" t="s">
        <v>255</v>
      </c>
      <c r="BA225">
        <f>A225</f>
        <v>55</v>
      </c>
    </row>
    <row r="226" spans="1:80" ht="15.75" customHeight="1">
      <c r="A226" s="273">
        <v>56</v>
      </c>
      <c r="B226" s="273" t="str">
        <f t="shared" si="15"/>
        <v>NEAKTIVAN</v>
      </c>
      <c r="C226" s="302">
        <f t="shared" si="14"/>
        <v>224</v>
      </c>
      <c r="D226" s="1">
        <v>22</v>
      </c>
      <c r="E226" s="1" t="str">
        <f>VLOOKUP(D226,Table3[[#All],[RB]:[OIB]],2,0)</f>
        <v>International Line d.o.o.</v>
      </c>
      <c r="F226" s="4">
        <f>VLOOKUP(D226,Table3[],3,0)</f>
        <v>16157428650</v>
      </c>
      <c r="G226" s="1" t="str">
        <f>VLOOKUP(D226,Table3[],4,0)</f>
        <v>Zoltan Kiri</v>
      </c>
      <c r="H226" s="1" t="str">
        <f>VLOOKUP(D226,POSLODAVCI!$A$2:$J$107,9,0)</f>
        <v>Osijek</v>
      </c>
      <c r="I226" s="1" t="str">
        <f>VLOOKUP(D226,Table3[],10,0)</f>
        <v>Ivana Gundulića 28</v>
      </c>
      <c r="J226" s="1" t="s">
        <v>477</v>
      </c>
      <c r="K226" s="61">
        <v>43466</v>
      </c>
      <c r="L226" s="61">
        <v>43487</v>
      </c>
      <c r="M226" s="182">
        <v>26136427629</v>
      </c>
      <c r="N226" t="s">
        <v>89</v>
      </c>
      <c r="O226" s="7">
        <v>33619</v>
      </c>
      <c r="P226" t="s">
        <v>478</v>
      </c>
      <c r="Q226" t="s">
        <v>82</v>
      </c>
      <c r="R226" t="s">
        <v>479</v>
      </c>
      <c r="S226" s="5" t="s">
        <v>428</v>
      </c>
      <c r="T226" t="s">
        <v>84</v>
      </c>
      <c r="V226" t="s">
        <v>116</v>
      </c>
      <c r="W226" t="s">
        <v>116</v>
      </c>
      <c r="X226" s="304" t="s">
        <v>85</v>
      </c>
      <c r="Y226" s="7">
        <v>43534</v>
      </c>
      <c r="Z226" t="s">
        <v>86</v>
      </c>
      <c r="AA226">
        <v>40</v>
      </c>
      <c r="AC226" s="183"/>
      <c r="AE226" s="183"/>
      <c r="AH226" t="s">
        <v>94</v>
      </c>
      <c r="AL226" t="s">
        <v>428</v>
      </c>
      <c r="AM226" s="90">
        <v>4375</v>
      </c>
      <c r="AN226" s="184">
        <v>1</v>
      </c>
      <c r="AO226" s="15">
        <v>3500</v>
      </c>
      <c r="AW226" s="7"/>
      <c r="AZ226" t="s">
        <v>255</v>
      </c>
      <c r="BA226">
        <f>A226</f>
        <v>56</v>
      </c>
    </row>
    <row r="227" spans="1:80" s="259" customFormat="1" ht="15.75" customHeight="1">
      <c r="A227" s="273">
        <v>16</v>
      </c>
      <c r="B227" s="273" t="str">
        <f t="shared" si="15"/>
        <v>NEAKTIVAN</v>
      </c>
      <c r="C227" s="302">
        <f t="shared" si="14"/>
        <v>225</v>
      </c>
      <c r="D227" s="1">
        <v>3</v>
      </c>
      <c r="E227" s="1" t="str">
        <f>VLOOKUP(D227,Table3[[#All],[RB]:[OIB]],2,0)</f>
        <v>AGRO PMD d.o.o.</v>
      </c>
      <c r="F227" s="4" t="str">
        <f>VLOOKUP(D227,Table3[],3,0)</f>
        <v>09677499852</v>
      </c>
      <c r="G227" s="1" t="str">
        <f>VLOOKUP(D227,Table3[],4,0)</f>
        <v>Imre Bata</v>
      </c>
      <c r="H227" s="1" t="str">
        <f>VLOOKUP(D227,POSLODAVCI!$A$2:$J$107,9,0)</f>
        <v>Osijek</v>
      </c>
      <c r="I227" s="1" t="str">
        <f>VLOOKUP(D227,Table3[],10,0)</f>
        <v>Južno Pregrađe 38, Osijek</v>
      </c>
      <c r="J227" s="1" t="s">
        <v>546</v>
      </c>
      <c r="K227" s="61">
        <v>43556</v>
      </c>
      <c r="L227" s="61">
        <v>43738</v>
      </c>
      <c r="M227" s="182">
        <v>67836602395</v>
      </c>
      <c r="N227" t="s">
        <v>89</v>
      </c>
      <c r="O227" s="7">
        <v>30170</v>
      </c>
      <c r="P227"/>
      <c r="Q227" t="s">
        <v>82</v>
      </c>
      <c r="R227" t="s">
        <v>547</v>
      </c>
      <c r="S227" s="5" t="s">
        <v>83</v>
      </c>
      <c r="T227" t="s">
        <v>111</v>
      </c>
      <c r="U227"/>
      <c r="V227" t="s">
        <v>112</v>
      </c>
      <c r="W227" t="s">
        <v>548</v>
      </c>
      <c r="X227" s="304" t="s">
        <v>85</v>
      </c>
      <c r="Y227" s="7">
        <v>43646</v>
      </c>
      <c r="Z227" t="s">
        <v>86</v>
      </c>
      <c r="AA227">
        <v>40</v>
      </c>
      <c r="AB227" t="s">
        <v>549</v>
      </c>
      <c r="AC227" s="183"/>
      <c r="AD227"/>
      <c r="AE227" s="183"/>
      <c r="AF227"/>
      <c r="AG227"/>
      <c r="AH227" t="s">
        <v>550</v>
      </c>
      <c r="AI227"/>
      <c r="AJ227"/>
      <c r="AK227"/>
      <c r="AL227" t="s">
        <v>428</v>
      </c>
      <c r="AM227" s="90">
        <v>3750</v>
      </c>
      <c r="AN227" s="184">
        <v>1</v>
      </c>
      <c r="AO227" s="15">
        <v>3000</v>
      </c>
      <c r="AP227" s="15"/>
      <c r="AQ227"/>
      <c r="AR227"/>
      <c r="AS227"/>
      <c r="AT227"/>
      <c r="AU227"/>
      <c r="AV227"/>
      <c r="AW227" s="7"/>
      <c r="AX227"/>
      <c r="AY227"/>
      <c r="AZ227" t="s">
        <v>255</v>
      </c>
      <c r="BA227">
        <v>16</v>
      </c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</row>
    <row r="228" spans="1:80" ht="15.75" customHeight="1">
      <c r="A228" s="273">
        <v>57</v>
      </c>
      <c r="B228" s="273" t="str">
        <f t="shared" si="15"/>
        <v>NEAKTIVAN</v>
      </c>
      <c r="C228" s="302">
        <f t="shared" si="14"/>
        <v>226</v>
      </c>
      <c r="D228" s="1">
        <v>22</v>
      </c>
      <c r="E228" s="1" t="str">
        <f>VLOOKUP(D228,Table3[[#All],[RB]:[OIB]],2,0)</f>
        <v>International Line d.o.o.</v>
      </c>
      <c r="F228" s="4">
        <f>VLOOKUP(D228,Table3[],3,0)</f>
        <v>16157428650</v>
      </c>
      <c r="G228" s="1" t="str">
        <f>VLOOKUP(D228,Table3[],4,0)</f>
        <v>Zoltan Kiri</v>
      </c>
      <c r="H228" s="1" t="str">
        <f>VLOOKUP(D228,POSLODAVCI!$A$2:$J$107,9,0)</f>
        <v>Osijek</v>
      </c>
      <c r="I228" s="1" t="str">
        <f>VLOOKUP(D228,Table3[],10,0)</f>
        <v>Ivana Gundulića 28</v>
      </c>
      <c r="J228" s="1" t="s">
        <v>480</v>
      </c>
      <c r="K228" s="61">
        <v>43466</v>
      </c>
      <c r="L228" s="61">
        <v>43832</v>
      </c>
      <c r="M228" s="182">
        <v>89349780831</v>
      </c>
      <c r="N228" t="s">
        <v>80</v>
      </c>
      <c r="O228" s="7">
        <v>35251</v>
      </c>
      <c r="P228" t="s">
        <v>481</v>
      </c>
      <c r="Q228" t="s">
        <v>82</v>
      </c>
      <c r="R228" t="s">
        <v>482</v>
      </c>
      <c r="S228" s="5" t="s">
        <v>428</v>
      </c>
      <c r="T228" t="s">
        <v>84</v>
      </c>
      <c r="V228" t="s">
        <v>116</v>
      </c>
      <c r="W228" t="s">
        <v>116</v>
      </c>
      <c r="X228" s="304" t="s">
        <v>103</v>
      </c>
      <c r="Y228" s="7"/>
      <c r="Z228" t="s">
        <v>86</v>
      </c>
      <c r="AA228">
        <v>40</v>
      </c>
      <c r="AC228" s="183"/>
      <c r="AE228" s="183"/>
      <c r="AH228" t="s">
        <v>94</v>
      </c>
      <c r="AL228" t="s">
        <v>428</v>
      </c>
      <c r="AM228" s="90">
        <v>4375</v>
      </c>
      <c r="AN228" s="184">
        <v>1</v>
      </c>
      <c r="AO228" s="15">
        <v>3500</v>
      </c>
      <c r="AW228" s="7"/>
      <c r="AZ228" t="s">
        <v>255</v>
      </c>
      <c r="BA228">
        <f t="shared" ref="BA228:BA233" si="17">A228</f>
        <v>57</v>
      </c>
    </row>
    <row r="229" spans="1:80" ht="15.75" customHeight="1">
      <c r="A229" s="273">
        <v>58</v>
      </c>
      <c r="B229" s="273" t="str">
        <f t="shared" si="15"/>
        <v>NEAKTIVAN</v>
      </c>
      <c r="C229" s="302">
        <f t="shared" si="14"/>
        <v>227</v>
      </c>
      <c r="D229" s="1">
        <v>22</v>
      </c>
      <c r="E229" s="1" t="str">
        <f>VLOOKUP(D229,Table3[[#All],[RB]:[OIB]],2,0)</f>
        <v>International Line d.o.o.</v>
      </c>
      <c r="F229" s="4">
        <f>VLOOKUP(D229,Table3[],3,0)</f>
        <v>16157428650</v>
      </c>
      <c r="G229" s="1" t="str">
        <f>VLOOKUP(D229,Table3[],4,0)</f>
        <v>Zoltan Kiri</v>
      </c>
      <c r="H229" s="1" t="str">
        <f>VLOOKUP(D229,POSLODAVCI!$A$2:$J$107,9,0)</f>
        <v>Osijek</v>
      </c>
      <c r="I229" s="1" t="str">
        <f>VLOOKUP(D229,Table3[],10,0)</f>
        <v>Ivana Gundulića 28</v>
      </c>
      <c r="J229" s="1" t="s">
        <v>483</v>
      </c>
      <c r="K229" s="61">
        <v>43466</v>
      </c>
      <c r="L229" s="61">
        <v>43776</v>
      </c>
      <c r="M229" s="182">
        <v>75824709921</v>
      </c>
      <c r="N229" t="s">
        <v>89</v>
      </c>
      <c r="O229" s="7">
        <v>34851</v>
      </c>
      <c r="P229" t="s">
        <v>484</v>
      </c>
      <c r="Q229" t="s">
        <v>82</v>
      </c>
      <c r="R229" t="s">
        <v>485</v>
      </c>
      <c r="S229" s="5" t="s">
        <v>428</v>
      </c>
      <c r="T229" t="s">
        <v>84</v>
      </c>
      <c r="V229" t="s">
        <v>116</v>
      </c>
      <c r="W229" t="s">
        <v>116</v>
      </c>
      <c r="X229" s="304" t="s">
        <v>103</v>
      </c>
      <c r="Y229" s="7"/>
      <c r="Z229" t="s">
        <v>86</v>
      </c>
      <c r="AA229">
        <v>40</v>
      </c>
      <c r="AC229" s="183"/>
      <c r="AE229" s="183"/>
      <c r="AH229" t="s">
        <v>94</v>
      </c>
      <c r="AL229" t="s">
        <v>428</v>
      </c>
      <c r="AM229" s="90">
        <v>4375</v>
      </c>
      <c r="AN229" s="184">
        <v>1</v>
      </c>
      <c r="AO229" s="15">
        <v>3500</v>
      </c>
      <c r="AW229" s="7"/>
      <c r="AZ229" t="s">
        <v>255</v>
      </c>
      <c r="BA229">
        <f t="shared" si="17"/>
        <v>58</v>
      </c>
    </row>
    <row r="230" spans="1:80" ht="15.75" customHeight="1">
      <c r="A230" s="273">
        <v>59</v>
      </c>
      <c r="B230" s="273" t="str">
        <f t="shared" si="15"/>
        <v>NEAKTIVAN</v>
      </c>
      <c r="C230" s="302">
        <f t="shared" si="14"/>
        <v>228</v>
      </c>
      <c r="D230" s="1">
        <v>22</v>
      </c>
      <c r="E230" s="1" t="str">
        <f>VLOOKUP(D230,Table3[[#All],[RB]:[OIB]],2,0)</f>
        <v>International Line d.o.o.</v>
      </c>
      <c r="F230" s="4">
        <f>VLOOKUP(D230,Table3[],3,0)</f>
        <v>16157428650</v>
      </c>
      <c r="G230" s="1" t="str">
        <f>VLOOKUP(D230,Table3[],4,0)</f>
        <v>Zoltan Kiri</v>
      </c>
      <c r="H230" s="1" t="str">
        <f>VLOOKUP(D230,POSLODAVCI!$A$2:$J$107,9,0)</f>
        <v>Osijek</v>
      </c>
      <c r="I230" s="1" t="str">
        <f>VLOOKUP(D230,Table3[],10,0)</f>
        <v>Ivana Gundulića 28</v>
      </c>
      <c r="J230" s="1" t="s">
        <v>486</v>
      </c>
      <c r="K230" s="61">
        <v>43466</v>
      </c>
      <c r="L230" s="61">
        <v>43902</v>
      </c>
      <c r="M230" s="182">
        <v>74541092706</v>
      </c>
      <c r="N230" t="s">
        <v>89</v>
      </c>
      <c r="O230" s="7">
        <v>35058</v>
      </c>
      <c r="P230" t="s">
        <v>94</v>
      </c>
      <c r="Q230" t="s">
        <v>82</v>
      </c>
      <c r="R230" t="s">
        <v>487</v>
      </c>
      <c r="S230" s="5" t="s">
        <v>428</v>
      </c>
      <c r="T230" t="s">
        <v>84</v>
      </c>
      <c r="V230" t="s">
        <v>116</v>
      </c>
      <c r="W230" t="s">
        <v>116</v>
      </c>
      <c r="X230" s="304" t="s">
        <v>103</v>
      </c>
      <c r="Y230" s="7"/>
      <c r="Z230" t="s">
        <v>86</v>
      </c>
      <c r="AA230">
        <v>40</v>
      </c>
      <c r="AC230" s="183"/>
      <c r="AE230" s="183"/>
      <c r="AH230" t="s">
        <v>94</v>
      </c>
      <c r="AL230" t="s">
        <v>428</v>
      </c>
      <c r="AM230" s="90">
        <v>4375</v>
      </c>
      <c r="AN230" s="184">
        <v>1</v>
      </c>
      <c r="AO230" s="15">
        <v>3500</v>
      </c>
      <c r="AW230" s="7"/>
      <c r="AZ230" t="s">
        <v>255</v>
      </c>
      <c r="BA230">
        <f t="shared" si="17"/>
        <v>59</v>
      </c>
    </row>
    <row r="231" spans="1:80" ht="15.75" customHeight="1">
      <c r="A231" s="273">
        <v>60</v>
      </c>
      <c r="B231" s="273" t="str">
        <f t="shared" si="15"/>
        <v>NEAKTIVAN</v>
      </c>
      <c r="C231" s="302">
        <f t="shared" si="14"/>
        <v>229</v>
      </c>
      <c r="D231" s="1">
        <v>22</v>
      </c>
      <c r="E231" s="1" t="str">
        <f>VLOOKUP(D231,Table3[[#All],[RB]:[OIB]],2,0)</f>
        <v>International Line d.o.o.</v>
      </c>
      <c r="F231" s="4">
        <f>VLOOKUP(D231,Table3[],3,0)</f>
        <v>16157428650</v>
      </c>
      <c r="G231" s="1" t="str">
        <f>VLOOKUP(D231,Table3[],4,0)</f>
        <v>Zoltan Kiri</v>
      </c>
      <c r="H231" s="1" t="str">
        <f>VLOOKUP(D231,POSLODAVCI!$A$2:$J$107,9,0)</f>
        <v>Osijek</v>
      </c>
      <c r="I231" s="1" t="str">
        <f>VLOOKUP(D231,Table3[],10,0)</f>
        <v>Ivana Gundulića 28</v>
      </c>
      <c r="J231" s="1" t="s">
        <v>499</v>
      </c>
      <c r="K231" s="61">
        <v>43466</v>
      </c>
      <c r="L231" s="61">
        <v>43496</v>
      </c>
      <c r="M231" s="182">
        <v>37394837225</v>
      </c>
      <c r="N231" t="s">
        <v>80</v>
      </c>
      <c r="O231" s="7">
        <v>35135</v>
      </c>
      <c r="P231" t="s">
        <v>94</v>
      </c>
      <c r="Q231" t="s">
        <v>82</v>
      </c>
      <c r="R231" t="s">
        <v>419</v>
      </c>
      <c r="S231" s="5" t="s">
        <v>83</v>
      </c>
      <c r="T231" t="s">
        <v>84</v>
      </c>
      <c r="V231" t="s">
        <v>143</v>
      </c>
      <c r="W231" t="s">
        <v>143</v>
      </c>
      <c r="X231" s="304" t="s">
        <v>85</v>
      </c>
      <c r="Y231" s="7">
        <v>43496</v>
      </c>
      <c r="Z231" t="s">
        <v>86</v>
      </c>
      <c r="AA231">
        <v>40</v>
      </c>
      <c r="AB231" t="s">
        <v>420</v>
      </c>
      <c r="AC231" s="183"/>
      <c r="AE231" s="183"/>
      <c r="AH231" t="s">
        <v>94</v>
      </c>
      <c r="AL231" t="s">
        <v>83</v>
      </c>
      <c r="AM231" s="90">
        <v>3750</v>
      </c>
      <c r="AN231" s="184">
        <v>1</v>
      </c>
      <c r="AO231" s="15">
        <v>3000</v>
      </c>
      <c r="AW231" s="7"/>
      <c r="AZ231" s="16" t="s">
        <v>255</v>
      </c>
      <c r="BA231">
        <f t="shared" si="17"/>
        <v>60</v>
      </c>
    </row>
    <row r="232" spans="1:80" ht="15.75" customHeight="1">
      <c r="A232" s="273">
        <v>61</v>
      </c>
      <c r="B232" s="273" t="str">
        <f t="shared" si="15"/>
        <v>NEAKTIVAN</v>
      </c>
      <c r="C232" s="302">
        <f t="shared" si="14"/>
        <v>230</v>
      </c>
      <c r="D232" s="299">
        <v>22</v>
      </c>
      <c r="E232" s="1" t="str">
        <f>VLOOKUP(D232,Table3[[#All],[RB]:[OIB]],2,0)</f>
        <v>International Line d.o.o.</v>
      </c>
      <c r="F232" s="4">
        <f>VLOOKUP(D232,Table3[],3,0)</f>
        <v>16157428650</v>
      </c>
      <c r="G232" s="1" t="str">
        <f>VLOOKUP(D232,Table3[],4,0)</f>
        <v>Zoltan Kiri</v>
      </c>
      <c r="H232" s="1" t="str">
        <f>VLOOKUP(D232,POSLODAVCI!$A$2:$J$107,9,0)</f>
        <v>Osijek</v>
      </c>
      <c r="I232" s="1" t="str">
        <f>VLOOKUP(D232,Table3[],10,0)</f>
        <v>Ivana Gundulića 28</v>
      </c>
      <c r="J232" s="1" t="s">
        <v>319</v>
      </c>
      <c r="K232" s="61">
        <v>43466</v>
      </c>
      <c r="L232" s="61">
        <v>43555</v>
      </c>
      <c r="M232" s="182">
        <v>27081082594</v>
      </c>
      <c r="N232" t="s">
        <v>80</v>
      </c>
      <c r="O232" s="7">
        <v>26341</v>
      </c>
      <c r="P232" t="s">
        <v>94</v>
      </c>
      <c r="Q232" t="s">
        <v>82</v>
      </c>
      <c r="R232" t="s">
        <v>320</v>
      </c>
      <c r="S232" s="17" t="s">
        <v>83</v>
      </c>
      <c r="T232" t="s">
        <v>84</v>
      </c>
      <c r="V232" t="s">
        <v>143</v>
      </c>
      <c r="W232" t="s">
        <v>143</v>
      </c>
      <c r="X232" s="303" t="s">
        <v>85</v>
      </c>
      <c r="Y232" s="300">
        <v>43159</v>
      </c>
      <c r="Z232" t="s">
        <v>86</v>
      </c>
      <c r="AA232">
        <v>40</v>
      </c>
      <c r="AH232" t="s">
        <v>94</v>
      </c>
      <c r="AL232" t="s">
        <v>83</v>
      </c>
      <c r="AM232" s="90">
        <v>3750</v>
      </c>
      <c r="AN232" s="184">
        <v>1</v>
      </c>
      <c r="AO232" s="15">
        <v>3000</v>
      </c>
      <c r="AS232">
        <v>19</v>
      </c>
      <c r="AT232">
        <v>12</v>
      </c>
      <c r="AW232" s="7"/>
      <c r="AY232">
        <v>0</v>
      </c>
      <c r="AZ232" t="str">
        <f>IF(L232&gt;0,"NEAKTIVAN","AKTIVAN")</f>
        <v>NEAKTIVAN</v>
      </c>
      <c r="BA232">
        <f t="shared" si="17"/>
        <v>61</v>
      </c>
    </row>
    <row r="233" spans="1:80" ht="15.75" customHeight="1">
      <c r="A233" s="273">
        <v>62</v>
      </c>
      <c r="B233" s="273" t="str">
        <f t="shared" si="15"/>
        <v>NEAKTIVAN</v>
      </c>
      <c r="C233" s="302">
        <f t="shared" si="14"/>
        <v>231</v>
      </c>
      <c r="D233" s="1">
        <v>22</v>
      </c>
      <c r="E233" s="1" t="str">
        <f>VLOOKUP(D233,Table3[[#All],[RB]:[OIB]],2,0)</f>
        <v>International Line d.o.o.</v>
      </c>
      <c r="F233" s="4">
        <f>VLOOKUP(D233,Table3[],3,0)</f>
        <v>16157428650</v>
      </c>
      <c r="G233" s="1" t="str">
        <f>VLOOKUP(D233,Table3[],4,0)</f>
        <v>Zoltan Kiri</v>
      </c>
      <c r="H233" s="1" t="str">
        <f>VLOOKUP(D233,POSLODAVCI!$A$2:$J$107,9,0)</f>
        <v>Osijek</v>
      </c>
      <c r="I233" s="1" t="str">
        <f>VLOOKUP(D233,Table3[],10,0)</f>
        <v>Ivana Gundulića 28</v>
      </c>
      <c r="J233" s="1" t="s">
        <v>500</v>
      </c>
      <c r="K233" s="61">
        <v>43472</v>
      </c>
      <c r="L233" s="61">
        <v>43496</v>
      </c>
      <c r="M233" s="89" t="s">
        <v>501</v>
      </c>
      <c r="N233" t="s">
        <v>80</v>
      </c>
      <c r="O233" s="7">
        <v>28918</v>
      </c>
      <c r="P233" t="s">
        <v>81</v>
      </c>
      <c r="Q233" t="s">
        <v>82</v>
      </c>
      <c r="R233" t="s">
        <v>502</v>
      </c>
      <c r="S233" s="5" t="s">
        <v>83</v>
      </c>
      <c r="T233" t="s">
        <v>84</v>
      </c>
      <c r="U233" t="s">
        <v>503</v>
      </c>
      <c r="V233" t="s">
        <v>143</v>
      </c>
      <c r="W233" t="s">
        <v>143</v>
      </c>
      <c r="X233" s="304" t="s">
        <v>85</v>
      </c>
      <c r="Y233" s="300">
        <v>43496</v>
      </c>
      <c r="Z233" t="s">
        <v>86</v>
      </c>
      <c r="AA233">
        <v>40</v>
      </c>
      <c r="AB233" t="s">
        <v>504</v>
      </c>
      <c r="AC233" s="183"/>
      <c r="AE233" s="183"/>
      <c r="AH233" t="s">
        <v>94</v>
      </c>
      <c r="AL233" t="s">
        <v>83</v>
      </c>
      <c r="AM233" s="90">
        <v>3750</v>
      </c>
      <c r="AN233" s="184">
        <v>1</v>
      </c>
      <c r="AO233" s="15">
        <v>3000</v>
      </c>
      <c r="AW233" s="7"/>
      <c r="AZ233" t="s">
        <v>255</v>
      </c>
      <c r="BA233">
        <f t="shared" si="17"/>
        <v>62</v>
      </c>
    </row>
    <row r="234" spans="1:80" s="259" customFormat="1" ht="15.75" customHeight="1">
      <c r="A234" s="273">
        <v>17</v>
      </c>
      <c r="B234" s="273" t="str">
        <f t="shared" si="15"/>
        <v>NEAKTIVAN</v>
      </c>
      <c r="C234" s="302">
        <f t="shared" si="14"/>
        <v>232</v>
      </c>
      <c r="D234" s="1">
        <v>3</v>
      </c>
      <c r="E234" s="1" t="str">
        <f>VLOOKUP(D234,Table3[[#All],[RB]:[OIB]],2,0)</f>
        <v>AGRO PMD d.o.o.</v>
      </c>
      <c r="F234" s="4" t="str">
        <f>VLOOKUP(D234,Table3[],3,0)</f>
        <v>09677499852</v>
      </c>
      <c r="G234" s="1" t="str">
        <f>VLOOKUP(D234,Table3[],4,0)</f>
        <v>Imre Bata</v>
      </c>
      <c r="H234" s="1" t="str">
        <f>VLOOKUP(D234,POSLODAVCI!$A$2:$J$107,9,0)</f>
        <v>Osijek</v>
      </c>
      <c r="I234" s="1" t="str">
        <f>VLOOKUP(D234,Table3[],10,0)</f>
        <v>Južno Pregrađe 38, Osijek</v>
      </c>
      <c r="J234" s="1" t="s">
        <v>514</v>
      </c>
      <c r="K234" s="61">
        <v>43586</v>
      </c>
      <c r="L234" s="61">
        <v>43850</v>
      </c>
      <c r="M234" s="182">
        <v>64253340535</v>
      </c>
      <c r="N234" t="s">
        <v>89</v>
      </c>
      <c r="O234" s="7">
        <v>30862</v>
      </c>
      <c r="P234"/>
      <c r="Q234" t="s">
        <v>82</v>
      </c>
      <c r="R234" t="s">
        <v>571</v>
      </c>
      <c r="S234" s="5" t="s">
        <v>83</v>
      </c>
      <c r="T234" t="s">
        <v>84</v>
      </c>
      <c r="U234"/>
      <c r="V234" t="s">
        <v>96</v>
      </c>
      <c r="W234" t="s">
        <v>548</v>
      </c>
      <c r="X234" s="304" t="s">
        <v>85</v>
      </c>
      <c r="Y234" s="7">
        <v>43616</v>
      </c>
      <c r="Z234" t="s">
        <v>86</v>
      </c>
      <c r="AA234">
        <v>40</v>
      </c>
      <c r="AB234" t="s">
        <v>516</v>
      </c>
      <c r="AC234" s="183"/>
      <c r="AD234"/>
      <c r="AE234" s="183"/>
      <c r="AF234"/>
      <c r="AG234"/>
      <c r="AH234" t="s">
        <v>81</v>
      </c>
      <c r="AI234"/>
      <c r="AJ234"/>
      <c r="AK234"/>
      <c r="AL234" t="s">
        <v>83</v>
      </c>
      <c r="AM234" s="90">
        <v>3750</v>
      </c>
      <c r="AN234" s="184">
        <v>1</v>
      </c>
      <c r="AO234" s="15">
        <v>3000</v>
      </c>
      <c r="AP234" s="15"/>
      <c r="AQ234"/>
      <c r="AR234"/>
      <c r="AS234"/>
      <c r="AT234"/>
      <c r="AU234"/>
      <c r="AV234"/>
      <c r="AW234" s="7"/>
      <c r="AX234"/>
      <c r="AY234"/>
      <c r="AZ234" t="s">
        <v>374</v>
      </c>
      <c r="BA234">
        <v>15</v>
      </c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</row>
    <row r="235" spans="1:80" ht="15.75" customHeight="1">
      <c r="A235" s="273">
        <v>63</v>
      </c>
      <c r="B235" s="273" t="str">
        <f t="shared" si="15"/>
        <v>NEAKTIVAN</v>
      </c>
      <c r="C235" s="302">
        <f t="shared" si="14"/>
        <v>233</v>
      </c>
      <c r="D235" s="1">
        <v>22</v>
      </c>
      <c r="E235" s="1" t="str">
        <f>VLOOKUP(D235,Table3[[#All],[RB]:[OIB]],2,0)</f>
        <v>International Line d.o.o.</v>
      </c>
      <c r="F235" s="4">
        <f>VLOOKUP(D235,Table3[],3,0)</f>
        <v>16157428650</v>
      </c>
      <c r="G235" s="1" t="str">
        <f>VLOOKUP(D235,Table3[],4,0)</f>
        <v>Zoltan Kiri</v>
      </c>
      <c r="H235" s="1" t="str">
        <f>VLOOKUP(D235,POSLODAVCI!$A$2:$J$107,9,0)</f>
        <v>Osijek</v>
      </c>
      <c r="I235" s="1" t="str">
        <f>VLOOKUP(D235,Table3[],10,0)</f>
        <v>Ivana Gundulića 28</v>
      </c>
      <c r="J235" s="1" t="s">
        <v>505</v>
      </c>
      <c r="K235" s="61">
        <v>43556</v>
      </c>
      <c r="L235" s="61">
        <v>44085</v>
      </c>
      <c r="M235" s="89">
        <v>81476803276</v>
      </c>
      <c r="N235" t="s">
        <v>80</v>
      </c>
      <c r="O235" s="7">
        <v>29370</v>
      </c>
      <c r="P235" t="s">
        <v>81</v>
      </c>
      <c r="Q235" t="s">
        <v>82</v>
      </c>
      <c r="R235" t="s">
        <v>506</v>
      </c>
      <c r="S235" s="5" t="s">
        <v>83</v>
      </c>
      <c r="T235" t="s">
        <v>84</v>
      </c>
      <c r="V235" t="s">
        <v>507</v>
      </c>
      <c r="W235" t="s">
        <v>507</v>
      </c>
      <c r="X235" s="304" t="s">
        <v>103</v>
      </c>
      <c r="Y235" s="300">
        <v>44085</v>
      </c>
      <c r="Z235" t="s">
        <v>86</v>
      </c>
      <c r="AA235">
        <v>40</v>
      </c>
      <c r="AC235" s="183"/>
      <c r="AE235" s="183"/>
      <c r="AH235" t="s">
        <v>94</v>
      </c>
      <c r="AL235" t="s">
        <v>83</v>
      </c>
      <c r="AM235" s="90">
        <v>4375</v>
      </c>
      <c r="AN235" s="184">
        <v>1</v>
      </c>
      <c r="AO235" s="15">
        <v>4000</v>
      </c>
      <c r="AW235" s="7"/>
      <c r="AZ235" t="s">
        <v>255</v>
      </c>
      <c r="BA235">
        <f t="shared" ref="BA235:BA258" si="18">A235</f>
        <v>63</v>
      </c>
    </row>
    <row r="236" spans="1:80" ht="15.75" customHeight="1">
      <c r="A236" s="273">
        <v>64</v>
      </c>
      <c r="B236" s="273" t="str">
        <f t="shared" si="15"/>
        <v>NEAKTIVAN</v>
      </c>
      <c r="C236" s="302">
        <f t="shared" si="14"/>
        <v>234</v>
      </c>
      <c r="D236" s="1">
        <v>22</v>
      </c>
      <c r="E236" s="1" t="str">
        <f>VLOOKUP(D236,Table3[[#All],[RB]:[OIB]],2,0)</f>
        <v>International Line d.o.o.</v>
      </c>
      <c r="F236" s="4">
        <f>VLOOKUP(D236,Table3[],3,0)</f>
        <v>16157428650</v>
      </c>
      <c r="G236" s="1" t="str">
        <f>VLOOKUP(D236,Table3[],4,0)</f>
        <v>Zoltan Kiri</v>
      </c>
      <c r="H236" s="1" t="str">
        <f>VLOOKUP(D236,POSLODAVCI!$A$2:$J$107,9,0)</f>
        <v>Osijek</v>
      </c>
      <c r="I236" s="1" t="str">
        <f>VLOOKUP(D236,Table3[],10,0)</f>
        <v>Ivana Gundulića 28</v>
      </c>
      <c r="J236" s="1" t="s">
        <v>508</v>
      </c>
      <c r="K236" s="61">
        <v>43486</v>
      </c>
      <c r="L236" s="61">
        <v>43500</v>
      </c>
      <c r="M236" s="182">
        <v>88382913187</v>
      </c>
      <c r="N236" t="s">
        <v>89</v>
      </c>
      <c r="O236" s="7">
        <v>35220</v>
      </c>
      <c r="P236" t="s">
        <v>81</v>
      </c>
      <c r="Q236" t="s">
        <v>82</v>
      </c>
      <c r="R236" t="s">
        <v>509</v>
      </c>
      <c r="S236" s="5" t="s">
        <v>83</v>
      </c>
      <c r="T236" t="s">
        <v>84</v>
      </c>
      <c r="U236" t="s">
        <v>510</v>
      </c>
      <c r="V236" t="s">
        <v>507</v>
      </c>
      <c r="W236" t="s">
        <v>507</v>
      </c>
      <c r="X236" s="304" t="s">
        <v>85</v>
      </c>
      <c r="Y236" s="300">
        <v>43576</v>
      </c>
      <c r="Z236" t="s">
        <v>86</v>
      </c>
      <c r="AA236">
        <v>40</v>
      </c>
      <c r="AB236" t="s">
        <v>511</v>
      </c>
      <c r="AC236" s="183"/>
      <c r="AE236" s="183"/>
      <c r="AH236" t="s">
        <v>81</v>
      </c>
      <c r="AL236" t="s">
        <v>83</v>
      </c>
      <c r="AM236" s="90">
        <v>4375</v>
      </c>
      <c r="AN236" s="184">
        <v>1</v>
      </c>
      <c r="AO236" s="15">
        <v>3500</v>
      </c>
      <c r="AW236" s="7"/>
      <c r="AZ236" s="16" t="s">
        <v>255</v>
      </c>
      <c r="BA236">
        <f t="shared" si="18"/>
        <v>64</v>
      </c>
    </row>
    <row r="237" spans="1:80" ht="15.75" customHeight="1">
      <c r="A237" s="273">
        <v>65</v>
      </c>
      <c r="B237" s="273" t="str">
        <f t="shared" si="15"/>
        <v>NEAKTIVAN</v>
      </c>
      <c r="C237" s="302">
        <f t="shared" si="14"/>
        <v>235</v>
      </c>
      <c r="D237" s="1">
        <v>22</v>
      </c>
      <c r="E237" s="1" t="str">
        <f>VLOOKUP(D237,Table3[[#All],[RB]:[OIB]],2,0)</f>
        <v>International Line d.o.o.</v>
      </c>
      <c r="F237" s="4">
        <f>VLOOKUP(D237,Table3[],3,0)</f>
        <v>16157428650</v>
      </c>
      <c r="G237" s="1" t="str">
        <f>VLOOKUP(D237,Table3[],4,0)</f>
        <v>Zoltan Kiri</v>
      </c>
      <c r="H237" s="1" t="str">
        <f>VLOOKUP(D237,POSLODAVCI!$A$2:$J$107,9,0)</f>
        <v>Osijek</v>
      </c>
      <c r="I237" s="1" t="str">
        <f>VLOOKUP(D237,Table3[],10,0)</f>
        <v>Ivana Gundulića 28</v>
      </c>
      <c r="J237" s="1" t="s">
        <v>512</v>
      </c>
      <c r="K237" s="61">
        <v>43494</v>
      </c>
      <c r="L237" s="61">
        <v>43717</v>
      </c>
      <c r="M237" s="182">
        <v>70061804961</v>
      </c>
      <c r="N237" s="16" t="s">
        <v>89</v>
      </c>
      <c r="O237" s="7">
        <v>35803</v>
      </c>
      <c r="P237" s="16" t="s">
        <v>94</v>
      </c>
      <c r="Q237" s="16" t="s">
        <v>82</v>
      </c>
      <c r="R237" s="16" t="s">
        <v>513</v>
      </c>
      <c r="S237" s="17" t="s">
        <v>83</v>
      </c>
      <c r="T237" s="16" t="s">
        <v>84</v>
      </c>
      <c r="U237" s="16"/>
      <c r="V237" s="16"/>
      <c r="W237" t="s">
        <v>507</v>
      </c>
      <c r="X237" s="303" t="s">
        <v>103</v>
      </c>
      <c r="Y237" s="7"/>
      <c r="Z237" s="16" t="s">
        <v>86</v>
      </c>
      <c r="AA237" s="16">
        <v>40</v>
      </c>
      <c r="AB237" s="16"/>
      <c r="AC237" s="183"/>
      <c r="AD237" s="16"/>
      <c r="AE237" s="183"/>
      <c r="AF237" s="16"/>
      <c r="AG237" s="16"/>
      <c r="AH237" t="s">
        <v>81</v>
      </c>
      <c r="AI237" s="16"/>
      <c r="AJ237" s="16"/>
      <c r="AK237" s="16"/>
      <c r="AL237" t="s">
        <v>83</v>
      </c>
      <c r="AM237" s="90">
        <v>4375</v>
      </c>
      <c r="AN237" s="184">
        <v>1</v>
      </c>
      <c r="AO237" s="15">
        <v>3500</v>
      </c>
      <c r="AQ237" s="16"/>
      <c r="AR237" s="16"/>
      <c r="AS237" s="16"/>
      <c r="AT237" s="16"/>
      <c r="AU237" s="16"/>
      <c r="AV237" s="16"/>
      <c r="AW237" s="7"/>
      <c r="AX237" s="16"/>
      <c r="AY237" s="16"/>
      <c r="AZ237" s="16" t="s">
        <v>255</v>
      </c>
      <c r="BA237">
        <f t="shared" si="18"/>
        <v>65</v>
      </c>
    </row>
    <row r="238" spans="1:80" ht="15.75" customHeight="1">
      <c r="A238" s="273">
        <v>2</v>
      </c>
      <c r="B238" s="273" t="str">
        <f t="shared" si="15"/>
        <v>NEAKTIVAN</v>
      </c>
      <c r="C238" s="302">
        <f t="shared" si="14"/>
        <v>236</v>
      </c>
      <c r="D238" s="1">
        <v>26</v>
      </c>
      <c r="E238" s="1" t="str">
        <f>VLOOKUP(D238,Table3[[#All],[RB]:[OIB]],2,0)</f>
        <v>D-INVOICE D.O.O.</v>
      </c>
      <c r="F238" s="4">
        <f>VLOOKUP(D238,Table3[],3,0)</f>
        <v>95114485977</v>
      </c>
      <c r="G238" s="1" t="str">
        <f>VLOOKUP(D238,Table3[],4,0)</f>
        <v>LAURA GERGELJ</v>
      </c>
      <c r="H238" s="1" t="str">
        <f>VLOOKUP(D238,POSLODAVCI!$A$2:$J$107,9,0)</f>
        <v>Osijek</v>
      </c>
      <c r="I238" s="1" t="str">
        <f>VLOOKUP(D238,Table3[],10,0)</f>
        <v>SV.IVANA KRSTITELJA 15, DARDA</v>
      </c>
      <c r="J238" s="1" t="s">
        <v>302</v>
      </c>
      <c r="K238" s="61">
        <v>43602</v>
      </c>
      <c r="L238" s="61">
        <v>44060</v>
      </c>
      <c r="M238" s="182">
        <v>65592272975</v>
      </c>
      <c r="N238" t="s">
        <v>80</v>
      </c>
      <c r="O238" s="7">
        <v>26422</v>
      </c>
      <c r="P238" t="s">
        <v>192</v>
      </c>
      <c r="Q238" t="s">
        <v>82</v>
      </c>
      <c r="R238" t="s">
        <v>303</v>
      </c>
      <c r="S238" s="5" t="s">
        <v>83</v>
      </c>
      <c r="T238" t="s">
        <v>84</v>
      </c>
      <c r="V238" t="s">
        <v>304</v>
      </c>
      <c r="W238" t="s">
        <v>304</v>
      </c>
      <c r="X238" s="304" t="s">
        <v>85</v>
      </c>
      <c r="Y238" s="7">
        <v>43693</v>
      </c>
      <c r="Z238" t="s">
        <v>86</v>
      </c>
      <c r="AA238">
        <v>40</v>
      </c>
      <c r="AC238" s="183"/>
      <c r="AE238" s="183"/>
      <c r="AH238" t="s">
        <v>94</v>
      </c>
      <c r="AL238" t="s">
        <v>83</v>
      </c>
      <c r="AM238" s="90">
        <v>5923.12</v>
      </c>
      <c r="AN238" s="184">
        <v>1</v>
      </c>
      <c r="AO238" s="15">
        <v>4000</v>
      </c>
      <c r="AP238" s="15">
        <v>0</v>
      </c>
      <c r="AS238">
        <v>20</v>
      </c>
      <c r="AW238" s="7"/>
      <c r="AZ238" t="s">
        <v>255</v>
      </c>
      <c r="BA238">
        <f t="shared" si="18"/>
        <v>2</v>
      </c>
    </row>
    <row r="239" spans="1:80" ht="15.75" customHeight="1">
      <c r="A239" s="273">
        <v>65</v>
      </c>
      <c r="B239" s="273" t="str">
        <f t="shared" si="15"/>
        <v>NEAKTIVAN</v>
      </c>
      <c r="C239" s="302">
        <f t="shared" si="14"/>
        <v>237</v>
      </c>
      <c r="D239" s="1">
        <v>22</v>
      </c>
      <c r="E239" s="1" t="str">
        <f>VLOOKUP(D239,Table3[[#All],[RB]:[OIB]],2,0)</f>
        <v>International Line d.o.o.</v>
      </c>
      <c r="F239" s="4">
        <f>VLOOKUP(D239,Table3[],3,0)</f>
        <v>16157428650</v>
      </c>
      <c r="G239" s="1" t="str">
        <f>VLOOKUP(D239,Table3[],4,0)</f>
        <v>Zoltan Kiri</v>
      </c>
      <c r="H239" s="1" t="str">
        <f>VLOOKUP(D239,POSLODAVCI!$A$2:$J$107,9,0)</f>
        <v>Osijek</v>
      </c>
      <c r="I239" s="1" t="str">
        <f>VLOOKUP(D239,Table3[],10,0)</f>
        <v>Ivana Gundulića 28</v>
      </c>
      <c r="J239" s="1" t="s">
        <v>517</v>
      </c>
      <c r="K239" s="61">
        <v>43495</v>
      </c>
      <c r="L239" s="61">
        <v>43585</v>
      </c>
      <c r="M239" s="182">
        <v>49675744742</v>
      </c>
      <c r="N239" s="16" t="s">
        <v>80</v>
      </c>
      <c r="O239" s="7">
        <v>32611</v>
      </c>
      <c r="P239" s="16" t="s">
        <v>94</v>
      </c>
      <c r="Q239" s="16" t="s">
        <v>82</v>
      </c>
      <c r="R239" s="16" t="s">
        <v>518</v>
      </c>
      <c r="S239" s="17" t="s">
        <v>83</v>
      </c>
      <c r="T239" s="16" t="s">
        <v>84</v>
      </c>
      <c r="U239" s="16"/>
      <c r="V239" s="16"/>
      <c r="W239" t="s">
        <v>507</v>
      </c>
      <c r="X239" s="303" t="s">
        <v>85</v>
      </c>
      <c r="Y239" s="7">
        <v>43585</v>
      </c>
      <c r="Z239" s="16" t="s">
        <v>86</v>
      </c>
      <c r="AA239" s="16">
        <v>40</v>
      </c>
      <c r="AB239" s="16" t="s">
        <v>519</v>
      </c>
      <c r="AC239" s="183"/>
      <c r="AD239" s="16"/>
      <c r="AE239" s="183"/>
      <c r="AF239" s="16"/>
      <c r="AG239" s="16"/>
      <c r="AH239" s="16" t="s">
        <v>520</v>
      </c>
      <c r="AI239" s="16"/>
      <c r="AJ239" s="16"/>
      <c r="AK239" s="16"/>
      <c r="AL239" t="s">
        <v>83</v>
      </c>
      <c r="AM239" s="90">
        <v>6755.35</v>
      </c>
      <c r="AN239" s="184">
        <v>1</v>
      </c>
      <c r="AO239" s="15">
        <v>5000</v>
      </c>
      <c r="AQ239" s="16"/>
      <c r="AR239" s="16"/>
      <c r="AS239" s="16"/>
      <c r="AT239" s="16"/>
      <c r="AU239" s="16"/>
      <c r="AV239" s="16"/>
      <c r="AW239" s="7"/>
      <c r="AX239" s="16"/>
      <c r="AY239" s="16"/>
      <c r="AZ239" s="16" t="s">
        <v>255</v>
      </c>
      <c r="BA239">
        <f t="shared" si="18"/>
        <v>65</v>
      </c>
    </row>
    <row r="240" spans="1:80" ht="15.75" customHeight="1">
      <c r="A240" s="273">
        <v>67</v>
      </c>
      <c r="B240" s="273" t="str">
        <f t="shared" si="15"/>
        <v>NEAKTIVAN</v>
      </c>
      <c r="C240" s="302">
        <f t="shared" si="14"/>
        <v>238</v>
      </c>
      <c r="D240" s="1">
        <v>22</v>
      </c>
      <c r="E240" s="1" t="str">
        <f>VLOOKUP(D240,Table3[[#All],[RB]:[OIB]],2,0)</f>
        <v>International Line d.o.o.</v>
      </c>
      <c r="F240" s="4">
        <f>VLOOKUP(D240,Table3[],3,0)</f>
        <v>16157428650</v>
      </c>
      <c r="G240" s="1" t="str">
        <f>VLOOKUP(D240,Table3[],4,0)</f>
        <v>Zoltan Kiri</v>
      </c>
      <c r="H240" s="1" t="str">
        <f>VLOOKUP(D240,POSLODAVCI!$A$2:$J$107,9,0)</f>
        <v>Osijek</v>
      </c>
      <c r="I240" s="1" t="str">
        <f>VLOOKUP(D240,Table3[],10,0)</f>
        <v>Ivana Gundulića 28</v>
      </c>
      <c r="J240" s="1" t="s">
        <v>456</v>
      </c>
      <c r="K240" s="61">
        <v>43497</v>
      </c>
      <c r="L240" s="61">
        <v>44097</v>
      </c>
      <c r="M240" s="182">
        <v>65362867403</v>
      </c>
      <c r="N240" s="16" t="s">
        <v>80</v>
      </c>
      <c r="O240" s="7">
        <v>25889</v>
      </c>
      <c r="P240" s="16" t="s">
        <v>457</v>
      </c>
      <c r="Q240" s="16" t="s">
        <v>82</v>
      </c>
      <c r="R240" s="16" t="s">
        <v>458</v>
      </c>
      <c r="S240" s="17" t="s">
        <v>428</v>
      </c>
      <c r="T240" s="16" t="s">
        <v>84</v>
      </c>
      <c r="U240" t="s">
        <v>143</v>
      </c>
      <c r="W240" s="67" t="s">
        <v>143</v>
      </c>
      <c r="X240" s="303" t="s">
        <v>103</v>
      </c>
      <c r="Z240" s="16" t="s">
        <v>86</v>
      </c>
      <c r="AA240" s="183">
        <v>40</v>
      </c>
      <c r="AC240" s="183"/>
      <c r="AF240" s="16"/>
      <c r="AG240" s="16"/>
      <c r="AH240" s="16" t="s">
        <v>94</v>
      </c>
      <c r="AI240" s="16"/>
      <c r="AJ240" s="16"/>
      <c r="AK240" s="16"/>
      <c r="AL240" s="16" t="s">
        <v>428</v>
      </c>
      <c r="AM240" s="90">
        <v>4062.51</v>
      </c>
      <c r="AN240" s="184">
        <v>1</v>
      </c>
      <c r="AO240" s="15">
        <v>3250</v>
      </c>
      <c r="AP240"/>
      <c r="AU240" s="7"/>
      <c r="AX240" s="16"/>
      <c r="AY240" s="16"/>
      <c r="AZ240" s="16" t="s">
        <v>255</v>
      </c>
      <c r="BA240">
        <f t="shared" si="18"/>
        <v>67</v>
      </c>
    </row>
    <row r="241" spans="1:53" ht="15.75" customHeight="1">
      <c r="A241" s="273">
        <v>68</v>
      </c>
      <c r="B241" s="273" t="str">
        <f t="shared" si="15"/>
        <v>NEAKTIVAN</v>
      </c>
      <c r="C241" s="302">
        <f t="shared" si="14"/>
        <v>239</v>
      </c>
      <c r="D241" s="1">
        <v>22</v>
      </c>
      <c r="E241" s="1" t="str">
        <f>VLOOKUP(D241,Table3[[#All],[RB]:[OIB]],2,0)</f>
        <v>International Line d.o.o.</v>
      </c>
      <c r="F241" s="4">
        <f>VLOOKUP(D241,Table3[],3,0)</f>
        <v>16157428650</v>
      </c>
      <c r="G241" s="1" t="str">
        <f>VLOOKUP(D241,Table3[],4,0)</f>
        <v>Zoltan Kiri</v>
      </c>
      <c r="H241" s="1" t="str">
        <f>VLOOKUP(D241,POSLODAVCI!$A$2:$J$107,9,0)</f>
        <v>Osijek</v>
      </c>
      <c r="I241" s="1" t="str">
        <f>VLOOKUP(D241,Table3[],10,0)</f>
        <v>Ivana Gundulića 28</v>
      </c>
      <c r="J241" s="1" t="s">
        <v>500</v>
      </c>
      <c r="K241" s="61">
        <v>43472</v>
      </c>
      <c r="L241" s="61">
        <v>44178</v>
      </c>
      <c r="M241" s="89" t="s">
        <v>501</v>
      </c>
      <c r="N241" s="16" t="s">
        <v>80</v>
      </c>
      <c r="O241" s="7">
        <v>28918</v>
      </c>
      <c r="P241" s="16" t="s">
        <v>81</v>
      </c>
      <c r="Q241" s="16" t="s">
        <v>82</v>
      </c>
      <c r="R241" s="16" t="s">
        <v>529</v>
      </c>
      <c r="S241" s="17" t="s">
        <v>83</v>
      </c>
      <c r="T241" s="16" t="s">
        <v>84</v>
      </c>
      <c r="U241" s="16" t="s">
        <v>503</v>
      </c>
      <c r="V241" s="16" t="s">
        <v>143</v>
      </c>
      <c r="W241" s="67" t="s">
        <v>143</v>
      </c>
      <c r="X241" s="303" t="s">
        <v>103</v>
      </c>
      <c r="Y241" s="7"/>
      <c r="Z241" s="16" t="s">
        <v>86</v>
      </c>
      <c r="AA241" s="128">
        <v>40</v>
      </c>
      <c r="AB241" s="16" t="s">
        <v>504</v>
      </c>
      <c r="AC241" s="183"/>
      <c r="AD241" s="16"/>
      <c r="AE241" s="183"/>
      <c r="AF241" s="16"/>
      <c r="AG241" s="16"/>
      <c r="AH241" t="s">
        <v>94</v>
      </c>
      <c r="AL241" t="s">
        <v>83</v>
      </c>
      <c r="AM241" s="90">
        <v>4062.51</v>
      </c>
      <c r="AN241" s="184">
        <v>1</v>
      </c>
      <c r="AO241" s="15">
        <v>3250</v>
      </c>
      <c r="AW241" s="7"/>
      <c r="AZ241" t="s">
        <v>374</v>
      </c>
      <c r="BA241">
        <f t="shared" si="18"/>
        <v>68</v>
      </c>
    </row>
    <row r="242" spans="1:53" ht="15.75" customHeight="1">
      <c r="A242" s="273">
        <v>69</v>
      </c>
      <c r="B242" s="273" t="str">
        <f t="shared" si="15"/>
        <v>NEAKTIVAN</v>
      </c>
      <c r="C242" s="302">
        <f t="shared" si="14"/>
        <v>240</v>
      </c>
      <c r="D242" s="1">
        <v>22</v>
      </c>
      <c r="E242" s="1" t="str">
        <f>VLOOKUP(D242,Table3[[#All],[RB]:[OIB]],2,0)</f>
        <v>International Line d.o.o.</v>
      </c>
      <c r="F242" s="4">
        <f>VLOOKUP(D242,Table3[],3,0)</f>
        <v>16157428650</v>
      </c>
      <c r="G242" s="1" t="str">
        <f>VLOOKUP(D242,Table3[],4,0)</f>
        <v>Zoltan Kiri</v>
      </c>
      <c r="H242" s="1" t="str">
        <f>VLOOKUP(D242,POSLODAVCI!$A$2:$J$107,9,0)</f>
        <v>Osijek</v>
      </c>
      <c r="I242" s="1" t="str">
        <f>VLOOKUP(D242,Table3[],10,0)</f>
        <v>Ivana Gundulića 28</v>
      </c>
      <c r="J242" s="1" t="s">
        <v>499</v>
      </c>
      <c r="K242" s="61">
        <v>43466</v>
      </c>
      <c r="L242" s="61">
        <v>44178</v>
      </c>
      <c r="M242" s="182">
        <v>37394837225</v>
      </c>
      <c r="N242" s="16" t="s">
        <v>80</v>
      </c>
      <c r="O242" s="7">
        <v>35135</v>
      </c>
      <c r="P242" s="16" t="s">
        <v>94</v>
      </c>
      <c r="Q242" s="16" t="s">
        <v>82</v>
      </c>
      <c r="R242" s="16" t="s">
        <v>419</v>
      </c>
      <c r="S242" s="17" t="s">
        <v>83</v>
      </c>
      <c r="T242" s="16" t="s">
        <v>84</v>
      </c>
      <c r="U242" s="16"/>
      <c r="V242" s="16" t="s">
        <v>143</v>
      </c>
      <c r="W242" s="16" t="s">
        <v>143</v>
      </c>
      <c r="X242" s="303" t="s">
        <v>103</v>
      </c>
      <c r="Y242" s="7"/>
      <c r="Z242" s="16" t="s">
        <v>86</v>
      </c>
      <c r="AA242" s="16">
        <v>40</v>
      </c>
      <c r="AB242" s="16" t="s">
        <v>420</v>
      </c>
      <c r="AC242" s="183"/>
      <c r="AD242" s="16"/>
      <c r="AE242" s="183"/>
      <c r="AF242" s="16"/>
      <c r="AG242" s="16"/>
      <c r="AH242" s="16" t="s">
        <v>94</v>
      </c>
      <c r="AI242" s="16"/>
      <c r="AJ242" s="16"/>
      <c r="AK242" s="16"/>
      <c r="AL242" s="16" t="s">
        <v>83</v>
      </c>
      <c r="AM242" s="90">
        <v>4062.51</v>
      </c>
      <c r="AN242" s="184">
        <v>1</v>
      </c>
      <c r="AO242" s="15">
        <v>3250</v>
      </c>
      <c r="AQ242" s="16"/>
      <c r="AR242" s="16"/>
      <c r="AS242" s="16"/>
      <c r="AT242" s="16"/>
      <c r="AU242" s="16"/>
      <c r="AV242" s="16"/>
      <c r="AW242" s="7"/>
      <c r="AX242" s="16"/>
      <c r="AY242" s="16"/>
      <c r="AZ242" s="16" t="s">
        <v>374</v>
      </c>
      <c r="BA242">
        <f t="shared" si="18"/>
        <v>69</v>
      </c>
    </row>
    <row r="243" spans="1:53" ht="15.75" customHeight="1">
      <c r="A243" s="273">
        <v>70</v>
      </c>
      <c r="B243" s="273" t="str">
        <f t="shared" si="15"/>
        <v>NEAKTIVAN</v>
      </c>
      <c r="C243" s="302">
        <f t="shared" si="14"/>
        <v>241</v>
      </c>
      <c r="D243" s="1">
        <v>22</v>
      </c>
      <c r="E243" s="1" t="str">
        <f>VLOOKUP(D243,Table3[[#All],[RB]:[OIB]],2,0)</f>
        <v>International Line d.o.o.</v>
      </c>
      <c r="F243" s="4">
        <f>VLOOKUP(D243,Table3[],3,0)</f>
        <v>16157428650</v>
      </c>
      <c r="G243" s="1" t="str">
        <f>VLOOKUP(D243,Table3[],4,0)</f>
        <v>Zoltan Kiri</v>
      </c>
      <c r="H243" s="1" t="str">
        <f>VLOOKUP(D243,POSLODAVCI!$A$2:$J$107,9,0)</f>
        <v>Osijek</v>
      </c>
      <c r="I243" s="1" t="str">
        <f>VLOOKUP(D243,Table3[],10,0)</f>
        <v>Ivana Gundulića 28</v>
      </c>
      <c r="J243" s="1" t="s">
        <v>533</v>
      </c>
      <c r="K243" s="61">
        <v>43514</v>
      </c>
      <c r="L243" s="61">
        <v>43717</v>
      </c>
      <c r="M243" s="182">
        <v>63856633557</v>
      </c>
      <c r="N243" t="s">
        <v>80</v>
      </c>
      <c r="O243" s="7">
        <v>33997</v>
      </c>
      <c r="P243" t="s">
        <v>94</v>
      </c>
      <c r="Q243" t="s">
        <v>82</v>
      </c>
      <c r="R243" t="s">
        <v>534</v>
      </c>
      <c r="S243" s="5" t="s">
        <v>83</v>
      </c>
      <c r="T243" t="s">
        <v>84</v>
      </c>
      <c r="V243" t="s">
        <v>143</v>
      </c>
      <c r="W243" t="s">
        <v>143</v>
      </c>
      <c r="X243" s="304" t="s">
        <v>85</v>
      </c>
      <c r="Y243" s="7"/>
      <c r="Z243" t="s">
        <v>86</v>
      </c>
      <c r="AA243">
        <v>40</v>
      </c>
      <c r="AB243" t="s">
        <v>535</v>
      </c>
      <c r="AC243" s="183"/>
      <c r="AE243" s="183"/>
      <c r="AH243" t="s">
        <v>94</v>
      </c>
      <c r="AL243" t="s">
        <v>83</v>
      </c>
      <c r="AM243" s="90">
        <v>4375</v>
      </c>
      <c r="AN243" s="184">
        <v>1</v>
      </c>
      <c r="AO243" s="15">
        <v>3500</v>
      </c>
      <c r="AW243" s="7"/>
      <c r="AZ243" t="s">
        <v>255</v>
      </c>
      <c r="BA243">
        <f t="shared" si="18"/>
        <v>70</v>
      </c>
    </row>
    <row r="244" spans="1:53" ht="15.75" customHeight="1">
      <c r="A244" s="273">
        <v>71</v>
      </c>
      <c r="B244" s="273" t="str">
        <f t="shared" si="15"/>
        <v>NEAKTIVAN</v>
      </c>
      <c r="C244" s="302">
        <f t="shared" si="14"/>
        <v>242</v>
      </c>
      <c r="D244" s="1">
        <v>22</v>
      </c>
      <c r="E244" s="1" t="str">
        <f>VLOOKUP(D244,Table3[[#All],[RB]:[OIB]],2,0)</f>
        <v>International Line d.o.o.</v>
      </c>
      <c r="F244" s="4">
        <f>VLOOKUP(D244,Table3[],3,0)</f>
        <v>16157428650</v>
      </c>
      <c r="G244" s="1" t="str">
        <f>VLOOKUP(D244,Table3[],4,0)</f>
        <v>Zoltan Kiri</v>
      </c>
      <c r="H244" s="1" t="str">
        <f>VLOOKUP(D244,POSLODAVCI!$A$2:$J$107,9,0)</f>
        <v>Osijek</v>
      </c>
      <c r="I244" s="1" t="str">
        <f>VLOOKUP(D244,Table3[],10,0)</f>
        <v>Ivana Gundulića 28</v>
      </c>
      <c r="J244" s="1" t="s">
        <v>536</v>
      </c>
      <c r="K244" s="61">
        <v>43531</v>
      </c>
      <c r="L244" s="61">
        <v>43587</v>
      </c>
      <c r="M244" s="182">
        <v>6846340645</v>
      </c>
      <c r="N244" t="s">
        <v>80</v>
      </c>
      <c r="O244" s="7">
        <v>31618</v>
      </c>
      <c r="P244" t="s">
        <v>94</v>
      </c>
      <c r="Q244" t="s">
        <v>82</v>
      </c>
      <c r="R244" t="s">
        <v>537</v>
      </c>
      <c r="S244" s="5" t="s">
        <v>83</v>
      </c>
      <c r="T244" t="s">
        <v>310</v>
      </c>
      <c r="V244" t="s">
        <v>143</v>
      </c>
      <c r="W244" t="s">
        <v>143</v>
      </c>
      <c r="X244" s="304" t="s">
        <v>85</v>
      </c>
      <c r="Y244" s="7">
        <v>43555</v>
      </c>
      <c r="Z244" t="s">
        <v>86</v>
      </c>
      <c r="AA244">
        <v>40</v>
      </c>
      <c r="AB244" t="s">
        <v>538</v>
      </c>
      <c r="AC244" s="183"/>
      <c r="AE244" s="183"/>
      <c r="AH244" t="s">
        <v>94</v>
      </c>
      <c r="AL244" t="s">
        <v>83</v>
      </c>
      <c r="AM244" s="90">
        <v>3750</v>
      </c>
      <c r="AN244" s="184">
        <v>1</v>
      </c>
      <c r="AO244" s="15">
        <v>3000</v>
      </c>
      <c r="AW244" s="7"/>
      <c r="AZ244" t="s">
        <v>255</v>
      </c>
      <c r="BA244">
        <f t="shared" si="18"/>
        <v>71</v>
      </c>
    </row>
    <row r="245" spans="1:53" ht="15.75" customHeight="1">
      <c r="A245" s="273">
        <v>72</v>
      </c>
      <c r="B245" s="273" t="str">
        <f t="shared" si="15"/>
        <v>NEAKTIVAN</v>
      </c>
      <c r="C245" s="302">
        <f t="shared" si="14"/>
        <v>243</v>
      </c>
      <c r="D245" s="1">
        <v>22</v>
      </c>
      <c r="E245" s="1" t="str">
        <f>VLOOKUP(D245,Table3[[#All],[RB]:[OIB]],2,0)</f>
        <v>International Line d.o.o.</v>
      </c>
      <c r="F245" s="4">
        <f>VLOOKUP(D245,Table3[],3,0)</f>
        <v>16157428650</v>
      </c>
      <c r="G245" s="1" t="str">
        <f>VLOOKUP(D245,Table3[],4,0)</f>
        <v>Zoltan Kiri</v>
      </c>
      <c r="H245" s="1" t="str">
        <f>VLOOKUP(D245,POSLODAVCI!$A$2:$J$107,9,0)</f>
        <v>Osijek</v>
      </c>
      <c r="I245" s="1" t="str">
        <f>VLOOKUP(D245,Table3[],10,0)</f>
        <v>Ivana Gundulića 28</v>
      </c>
      <c r="J245" s="1" t="s">
        <v>539</v>
      </c>
      <c r="K245" s="61">
        <v>43549</v>
      </c>
      <c r="L245" s="61">
        <v>43202</v>
      </c>
      <c r="M245" s="182">
        <v>22398538860</v>
      </c>
      <c r="N245" s="16" t="s">
        <v>89</v>
      </c>
      <c r="O245" s="7">
        <v>34668</v>
      </c>
      <c r="P245" s="16" t="s">
        <v>94</v>
      </c>
      <c r="Q245" s="16" t="s">
        <v>82</v>
      </c>
      <c r="R245" s="16" t="s">
        <v>540</v>
      </c>
      <c r="S245" s="17" t="s">
        <v>83</v>
      </c>
      <c r="T245" s="16" t="s">
        <v>84</v>
      </c>
      <c r="U245" s="16"/>
      <c r="V245" t="s">
        <v>507</v>
      </c>
      <c r="W245" t="s">
        <v>507</v>
      </c>
      <c r="X245" s="303" t="s">
        <v>85</v>
      </c>
      <c r="Y245" s="7">
        <v>43549</v>
      </c>
      <c r="Z245" s="16" t="s">
        <v>86</v>
      </c>
      <c r="AA245" s="16">
        <v>40</v>
      </c>
      <c r="AB245" s="16" t="s">
        <v>541</v>
      </c>
      <c r="AC245" s="183"/>
      <c r="AD245" s="16"/>
      <c r="AE245" s="183"/>
      <c r="AF245" s="16"/>
      <c r="AG245" s="16"/>
      <c r="AH245" s="16" t="s">
        <v>94</v>
      </c>
      <c r="AI245" s="16"/>
      <c r="AJ245" s="16"/>
      <c r="AK245" s="16"/>
      <c r="AL245" s="16" t="s">
        <v>83</v>
      </c>
      <c r="AM245" s="90">
        <v>4375</v>
      </c>
      <c r="AN245" s="184"/>
      <c r="AO245" s="15">
        <v>3500</v>
      </c>
      <c r="AQ245" s="16"/>
      <c r="AR245" s="16"/>
      <c r="AS245" s="16"/>
      <c r="AT245" s="16"/>
      <c r="AU245" s="16"/>
      <c r="AV245" s="16"/>
      <c r="AW245" s="7"/>
      <c r="AX245" s="16"/>
      <c r="AY245" s="16"/>
      <c r="AZ245" s="16" t="s">
        <v>255</v>
      </c>
      <c r="BA245">
        <f t="shared" si="18"/>
        <v>72</v>
      </c>
    </row>
    <row r="246" spans="1:53" ht="15.75" customHeight="1">
      <c r="A246" s="273">
        <v>73</v>
      </c>
      <c r="B246" s="273" t="str">
        <f t="shared" si="15"/>
        <v>NEAKTIVAN</v>
      </c>
      <c r="C246" s="302">
        <f t="shared" si="14"/>
        <v>244</v>
      </c>
      <c r="D246" s="1">
        <v>22</v>
      </c>
      <c r="E246" s="1" t="str">
        <f>VLOOKUP(D246,Table3[[#All],[RB]:[OIB]],2,0)</f>
        <v>International Line d.o.o.</v>
      </c>
      <c r="F246" s="4">
        <f>VLOOKUP(D246,Table3[],3,0)</f>
        <v>16157428650</v>
      </c>
      <c r="G246" s="1" t="str">
        <f>VLOOKUP(D246,Table3[],4,0)</f>
        <v>Zoltan Kiri</v>
      </c>
      <c r="H246" s="1" t="str">
        <f>VLOOKUP(D246,POSLODAVCI!$A$2:$J$107,9,0)</f>
        <v>Osijek</v>
      </c>
      <c r="I246" s="1" t="str">
        <f>VLOOKUP(D246,Table3[],10,0)</f>
        <v>Ivana Gundulića 28</v>
      </c>
      <c r="J246" s="1" t="s">
        <v>542</v>
      </c>
      <c r="K246" s="61">
        <v>43556</v>
      </c>
      <c r="L246" s="61">
        <v>43708</v>
      </c>
      <c r="M246" s="137" t="s">
        <v>543</v>
      </c>
      <c r="N246" s="16" t="s">
        <v>80</v>
      </c>
      <c r="O246" s="7">
        <v>31770</v>
      </c>
      <c r="P246" s="16" t="s">
        <v>94</v>
      </c>
      <c r="Q246" s="16" t="s">
        <v>82</v>
      </c>
      <c r="R246" s="16" t="s">
        <v>544</v>
      </c>
      <c r="S246" s="17" t="s">
        <v>83</v>
      </c>
      <c r="T246" s="16" t="s">
        <v>84</v>
      </c>
      <c r="U246" s="16"/>
      <c r="V246" s="16" t="s">
        <v>143</v>
      </c>
      <c r="W246" s="16" t="s">
        <v>143</v>
      </c>
      <c r="X246" s="303" t="s">
        <v>85</v>
      </c>
      <c r="Y246" s="7">
        <v>43585</v>
      </c>
      <c r="Z246" s="16" t="s">
        <v>86</v>
      </c>
      <c r="AA246" s="16">
        <v>40</v>
      </c>
      <c r="AB246" s="16" t="s">
        <v>545</v>
      </c>
      <c r="AC246" s="183"/>
      <c r="AD246" s="16"/>
      <c r="AE246" s="183"/>
      <c r="AF246" s="16"/>
      <c r="AG246" s="16"/>
      <c r="AH246" s="16" t="s">
        <v>94</v>
      </c>
      <c r="AI246" s="16"/>
      <c r="AJ246" s="16"/>
      <c r="AK246" s="16"/>
      <c r="AL246" s="16" t="s">
        <v>83</v>
      </c>
      <c r="AM246" s="90">
        <v>3750</v>
      </c>
      <c r="AN246" s="184">
        <v>1</v>
      </c>
      <c r="AO246" s="15">
        <v>3000</v>
      </c>
      <c r="AQ246" s="16"/>
      <c r="AR246" s="16"/>
      <c r="AS246" s="16"/>
      <c r="AT246" s="16"/>
      <c r="AU246" s="16"/>
      <c r="AV246" s="16"/>
      <c r="AW246" s="7"/>
      <c r="AX246" s="16"/>
      <c r="AY246" s="16"/>
      <c r="AZ246" s="16" t="s">
        <v>255</v>
      </c>
      <c r="BA246">
        <f t="shared" si="18"/>
        <v>73</v>
      </c>
    </row>
    <row r="247" spans="1:53" ht="15.75" customHeight="1">
      <c r="A247" s="273">
        <v>74</v>
      </c>
      <c r="B247" s="273" t="str">
        <f t="shared" si="15"/>
        <v>NEAKTIVAN</v>
      </c>
      <c r="C247" s="302">
        <f t="shared" si="14"/>
        <v>245</v>
      </c>
      <c r="D247" s="1">
        <v>22</v>
      </c>
      <c r="E247" s="1" t="str">
        <f>VLOOKUP(D247,Table3[[#All],[RB]:[OIB]],2,0)</f>
        <v>International Line d.o.o.</v>
      </c>
      <c r="F247" s="4">
        <f>VLOOKUP(D247,Table3[],3,0)</f>
        <v>16157428650</v>
      </c>
      <c r="G247" s="1" t="str">
        <f>VLOOKUP(D247,Table3[],4,0)</f>
        <v>Zoltan Kiri</v>
      </c>
      <c r="H247" s="1" t="str">
        <f>VLOOKUP(D247,POSLODAVCI!$A$2:$J$107,9,0)</f>
        <v>Osijek</v>
      </c>
      <c r="I247" s="1" t="str">
        <f>VLOOKUP(D247,Table3[],10,0)</f>
        <v>Ivana Gundulića 28</v>
      </c>
      <c r="J247" s="1" t="s">
        <v>551</v>
      </c>
      <c r="K247" s="61">
        <v>43566</v>
      </c>
      <c r="L247" s="61">
        <v>43570</v>
      </c>
      <c r="M247" s="182">
        <v>90178627877</v>
      </c>
      <c r="N247" s="16" t="s">
        <v>80</v>
      </c>
      <c r="O247" s="7">
        <v>43617</v>
      </c>
      <c r="P247" s="16"/>
      <c r="Q247" s="16" t="s">
        <v>82</v>
      </c>
      <c r="R247" s="16" t="s">
        <v>552</v>
      </c>
      <c r="S247" s="17" t="s">
        <v>83</v>
      </c>
      <c r="T247" s="16" t="s">
        <v>84</v>
      </c>
      <c r="U247" s="16"/>
      <c r="V247" s="16" t="s">
        <v>143</v>
      </c>
      <c r="W247" s="16" t="s">
        <v>143</v>
      </c>
      <c r="X247" s="303" t="s">
        <v>85</v>
      </c>
      <c r="Y247" s="7">
        <v>43616</v>
      </c>
      <c r="Z247" s="16" t="s">
        <v>86</v>
      </c>
      <c r="AA247" s="16">
        <v>40</v>
      </c>
      <c r="AB247" s="16" t="s">
        <v>553</v>
      </c>
      <c r="AC247" s="183"/>
      <c r="AD247" s="16"/>
      <c r="AE247" s="183"/>
      <c r="AF247" s="16"/>
      <c r="AG247" s="16"/>
      <c r="AH247" s="16" t="s">
        <v>94</v>
      </c>
      <c r="AI247" s="16"/>
      <c r="AJ247" s="16"/>
      <c r="AK247" s="16"/>
      <c r="AL247" s="16" t="s">
        <v>83</v>
      </c>
      <c r="AM247" s="90">
        <v>3750</v>
      </c>
      <c r="AN247" s="184">
        <v>1</v>
      </c>
      <c r="AO247" s="15">
        <v>3000</v>
      </c>
      <c r="AQ247" s="16"/>
      <c r="AR247" s="16"/>
      <c r="AS247" s="16"/>
      <c r="AT247" s="16"/>
      <c r="AU247" s="16"/>
      <c r="AV247" s="16"/>
      <c r="AW247" s="7"/>
      <c r="AX247" s="16"/>
      <c r="AY247" s="16"/>
      <c r="AZ247" s="16" t="s">
        <v>255</v>
      </c>
      <c r="BA247">
        <f t="shared" si="18"/>
        <v>74</v>
      </c>
    </row>
    <row r="248" spans="1:53" ht="15.75" customHeight="1">
      <c r="A248" s="273">
        <v>75</v>
      </c>
      <c r="B248" s="273" t="str">
        <f t="shared" si="15"/>
        <v>NEAKTIVAN</v>
      </c>
      <c r="C248" s="302">
        <f t="shared" si="14"/>
        <v>246</v>
      </c>
      <c r="D248" s="1">
        <v>22</v>
      </c>
      <c r="E248" s="1" t="str">
        <f>VLOOKUP(D248,Table3[[#All],[RB]:[OIB]],2,0)</f>
        <v>International Line d.o.o.</v>
      </c>
      <c r="F248" s="4">
        <f>VLOOKUP(D248,Table3[],3,0)</f>
        <v>16157428650</v>
      </c>
      <c r="G248" s="1" t="str">
        <f>VLOOKUP(D248,Table3[],4,0)</f>
        <v>Zoltan Kiri</v>
      </c>
      <c r="H248" s="1" t="str">
        <f>VLOOKUP(D248,POSLODAVCI!$A$2:$J$107,9,0)</f>
        <v>Osijek</v>
      </c>
      <c r="I248" s="1" t="str">
        <f>VLOOKUP(D248,Table3[],10,0)</f>
        <v>Ivana Gundulića 28</v>
      </c>
      <c r="J248" s="1" t="s">
        <v>554</v>
      </c>
      <c r="K248" s="61">
        <v>43570</v>
      </c>
      <c r="L248" s="61">
        <v>43616</v>
      </c>
      <c r="M248" s="182">
        <v>19504503963</v>
      </c>
      <c r="N248" s="16" t="s">
        <v>80</v>
      </c>
      <c r="O248" s="7">
        <v>35328</v>
      </c>
      <c r="P248" s="16"/>
      <c r="Q248" s="16" t="s">
        <v>82</v>
      </c>
      <c r="R248" s="16" t="s">
        <v>555</v>
      </c>
      <c r="S248" s="17" t="s">
        <v>428</v>
      </c>
      <c r="T248" s="16" t="s">
        <v>84</v>
      </c>
      <c r="U248" s="16"/>
      <c r="V248" s="16" t="s">
        <v>143</v>
      </c>
      <c r="W248" s="16" t="s">
        <v>143</v>
      </c>
      <c r="X248" s="303" t="s">
        <v>85</v>
      </c>
      <c r="Y248" s="7">
        <v>43616</v>
      </c>
      <c r="Z248" s="16" t="s">
        <v>86</v>
      </c>
      <c r="AA248" s="16">
        <v>40</v>
      </c>
      <c r="AB248" s="16" t="s">
        <v>556</v>
      </c>
      <c r="AC248" s="183"/>
      <c r="AD248" s="16"/>
      <c r="AE248" s="183"/>
      <c r="AF248" s="16"/>
      <c r="AG248" s="16"/>
      <c r="AH248" s="16" t="s">
        <v>94</v>
      </c>
      <c r="AI248" s="16"/>
      <c r="AJ248" s="16"/>
      <c r="AK248" s="16"/>
      <c r="AL248" s="16" t="s">
        <v>428</v>
      </c>
      <c r="AM248" s="90">
        <v>3750</v>
      </c>
      <c r="AN248" s="184">
        <v>1</v>
      </c>
      <c r="AO248" s="15">
        <v>3000</v>
      </c>
      <c r="AQ248" s="16"/>
      <c r="AR248" s="16"/>
      <c r="AS248" s="16"/>
      <c r="AT248" s="16"/>
      <c r="AU248" s="16"/>
      <c r="AV248" s="16"/>
      <c r="AW248" s="7"/>
      <c r="AX248" s="16"/>
      <c r="AY248" s="16"/>
      <c r="AZ248" s="16" t="s">
        <v>255</v>
      </c>
      <c r="BA248">
        <f t="shared" si="18"/>
        <v>75</v>
      </c>
    </row>
    <row r="249" spans="1:53" ht="15.75" customHeight="1">
      <c r="A249" s="273">
        <v>76</v>
      </c>
      <c r="B249" s="273" t="str">
        <f t="shared" si="15"/>
        <v>NEAKTIVAN</v>
      </c>
      <c r="C249" s="302">
        <f t="shared" si="14"/>
        <v>247</v>
      </c>
      <c r="D249" s="1">
        <v>22</v>
      </c>
      <c r="E249" s="1" t="str">
        <f>VLOOKUP(D249,Table3[[#All],[RB]:[OIB]],2,0)</f>
        <v>International Line d.o.o.</v>
      </c>
      <c r="F249" s="4">
        <f>VLOOKUP(D249,Table3[],3,0)</f>
        <v>16157428650</v>
      </c>
      <c r="G249" s="1" t="str">
        <f>VLOOKUP(D249,Table3[],4,0)</f>
        <v>Zoltan Kiri</v>
      </c>
      <c r="H249" s="1" t="str">
        <f>VLOOKUP(D249,POSLODAVCI!$A$2:$J$107,9,0)</f>
        <v>Osijek</v>
      </c>
      <c r="I249" s="1" t="str">
        <f>VLOOKUP(D249,Table3[],10,0)</f>
        <v>Ivana Gundulića 28</v>
      </c>
      <c r="J249" s="1" t="s">
        <v>557</v>
      </c>
      <c r="K249" s="61">
        <v>43571</v>
      </c>
      <c r="L249" s="61">
        <v>43591</v>
      </c>
      <c r="M249" s="182">
        <v>28411895669</v>
      </c>
      <c r="N249" s="16" t="s">
        <v>80</v>
      </c>
      <c r="O249" s="7">
        <v>43578</v>
      </c>
      <c r="P249" s="16"/>
      <c r="Q249" s="16" t="s">
        <v>82</v>
      </c>
      <c r="R249" s="16" t="s">
        <v>558</v>
      </c>
      <c r="S249" s="17" t="s">
        <v>428</v>
      </c>
      <c r="T249" s="16" t="s">
        <v>84</v>
      </c>
      <c r="U249" s="16"/>
      <c r="V249" s="16" t="s">
        <v>143</v>
      </c>
      <c r="W249" s="16" t="s">
        <v>143</v>
      </c>
      <c r="X249" s="303" t="s">
        <v>85</v>
      </c>
      <c r="Y249" s="7">
        <v>42155</v>
      </c>
      <c r="Z249" s="16" t="s">
        <v>86</v>
      </c>
      <c r="AA249" s="16">
        <v>40</v>
      </c>
      <c r="AB249" s="16" t="s">
        <v>559</v>
      </c>
      <c r="AC249" s="183"/>
      <c r="AD249" s="16"/>
      <c r="AE249" s="183"/>
      <c r="AF249" s="16"/>
      <c r="AG249" s="16"/>
      <c r="AH249" s="16" t="s">
        <v>94</v>
      </c>
      <c r="AI249" s="16"/>
      <c r="AJ249" s="16"/>
      <c r="AK249" s="16"/>
      <c r="AL249" s="16" t="s">
        <v>428</v>
      </c>
      <c r="AM249" s="90">
        <v>3750</v>
      </c>
      <c r="AN249" s="184">
        <v>1</v>
      </c>
      <c r="AO249" s="15">
        <v>3000</v>
      </c>
      <c r="AQ249" s="16"/>
      <c r="AR249" s="16"/>
      <c r="AS249" s="16"/>
      <c r="AT249" s="16"/>
      <c r="AU249" s="16"/>
      <c r="AV249" s="16"/>
      <c r="AW249" s="7"/>
      <c r="AX249" s="16"/>
      <c r="AY249" s="16"/>
      <c r="AZ249" s="16" t="s">
        <v>255</v>
      </c>
      <c r="BA249">
        <f t="shared" si="18"/>
        <v>76</v>
      </c>
    </row>
    <row r="250" spans="1:53" ht="15.75" customHeight="1">
      <c r="A250" s="273">
        <v>77</v>
      </c>
      <c r="B250" s="273" t="str">
        <f t="shared" si="15"/>
        <v>NEAKTIVAN</v>
      </c>
      <c r="C250" s="302">
        <f t="shared" si="14"/>
        <v>248</v>
      </c>
      <c r="D250" s="1">
        <v>22</v>
      </c>
      <c r="E250" s="1" t="str">
        <f>VLOOKUP(D250,Table3[[#All],[RB]:[OIB]],2,0)</f>
        <v>International Line d.o.o.</v>
      </c>
      <c r="F250" s="4">
        <f>VLOOKUP(D250,Table3[],3,0)</f>
        <v>16157428650</v>
      </c>
      <c r="G250" s="1" t="str">
        <f>VLOOKUP(D250,Table3[],4,0)</f>
        <v>Zoltan Kiri</v>
      </c>
      <c r="H250" s="1" t="str">
        <f>VLOOKUP(D250,POSLODAVCI!$A$2:$J$107,9,0)</f>
        <v>Osijek</v>
      </c>
      <c r="I250" s="1" t="str">
        <f>VLOOKUP(D250,Table3[],10,0)</f>
        <v>Ivana Gundulića 28</v>
      </c>
      <c r="J250" s="1" t="s">
        <v>564</v>
      </c>
      <c r="K250" s="61">
        <v>43579</v>
      </c>
      <c r="L250" s="61">
        <v>43580</v>
      </c>
      <c r="M250" s="182">
        <v>28667022761</v>
      </c>
      <c r="N250" t="s">
        <v>452</v>
      </c>
      <c r="O250" s="7">
        <v>31250</v>
      </c>
      <c r="Q250" t="s">
        <v>82</v>
      </c>
      <c r="R250" t="s">
        <v>565</v>
      </c>
      <c r="S250" s="5" t="s">
        <v>428</v>
      </c>
      <c r="T250" t="s">
        <v>84</v>
      </c>
      <c r="V250" t="s">
        <v>143</v>
      </c>
      <c r="W250" t="s">
        <v>143</v>
      </c>
      <c r="X250" s="304" t="s">
        <v>85</v>
      </c>
      <c r="Y250" s="7">
        <v>43616</v>
      </c>
      <c r="Z250" t="s">
        <v>86</v>
      </c>
      <c r="AA250">
        <v>40</v>
      </c>
      <c r="AB250" t="s">
        <v>566</v>
      </c>
      <c r="AC250" s="183"/>
      <c r="AE250" s="183"/>
      <c r="AH250" t="s">
        <v>94</v>
      </c>
      <c r="AL250" t="s">
        <v>428</v>
      </c>
      <c r="AM250" s="90">
        <v>3750</v>
      </c>
      <c r="AN250" s="184">
        <v>1</v>
      </c>
      <c r="AO250" s="15">
        <v>3000</v>
      </c>
      <c r="AW250" s="7"/>
      <c r="AZ250" s="16" t="s">
        <v>255</v>
      </c>
      <c r="BA250">
        <f t="shared" si="18"/>
        <v>77</v>
      </c>
    </row>
    <row r="251" spans="1:53" ht="15.75" customHeight="1">
      <c r="A251" s="273">
        <v>78</v>
      </c>
      <c r="B251" s="273" t="str">
        <f t="shared" si="15"/>
        <v>NEAKTIVAN</v>
      </c>
      <c r="C251" s="302">
        <f t="shared" si="14"/>
        <v>249</v>
      </c>
      <c r="D251" s="1">
        <v>22</v>
      </c>
      <c r="E251" s="1" t="str">
        <f>VLOOKUP(D251,Table3[[#All],[RB]:[OIB]],2,0)</f>
        <v>International Line d.o.o.</v>
      </c>
      <c r="F251" s="4">
        <f>VLOOKUP(D251,Table3[],3,0)</f>
        <v>16157428650</v>
      </c>
      <c r="G251" s="1" t="str">
        <f>VLOOKUP(D251,Table3[],4,0)</f>
        <v>Zoltan Kiri</v>
      </c>
      <c r="H251" s="1" t="str">
        <f>VLOOKUP(D251,POSLODAVCI!$A$2:$J$107,9,0)</f>
        <v>Osijek</v>
      </c>
      <c r="I251" s="1" t="str">
        <f>VLOOKUP(D251,Table3[],10,0)</f>
        <v>Ivana Gundulića 28</v>
      </c>
      <c r="J251" s="1" t="s">
        <v>567</v>
      </c>
      <c r="K251" s="61">
        <v>43584</v>
      </c>
      <c r="L251" s="61">
        <v>43708</v>
      </c>
      <c r="M251" s="182">
        <v>95564302024</v>
      </c>
      <c r="N251" t="s">
        <v>89</v>
      </c>
      <c r="O251" s="7">
        <v>29518</v>
      </c>
      <c r="Q251" t="s">
        <v>82</v>
      </c>
      <c r="R251" t="s">
        <v>568</v>
      </c>
      <c r="S251" s="5" t="s">
        <v>428</v>
      </c>
      <c r="T251" t="s">
        <v>84</v>
      </c>
      <c r="V251" t="s">
        <v>507</v>
      </c>
      <c r="W251" t="s">
        <v>507</v>
      </c>
      <c r="X251" s="304" t="s">
        <v>85</v>
      </c>
      <c r="Y251" s="7">
        <v>43708</v>
      </c>
      <c r="Z251" t="s">
        <v>86</v>
      </c>
      <c r="AA251">
        <v>40</v>
      </c>
      <c r="AB251" t="s">
        <v>569</v>
      </c>
      <c r="AC251" s="183"/>
      <c r="AE251" s="183"/>
      <c r="AH251" s="16" t="s">
        <v>94</v>
      </c>
      <c r="AL251" s="16" t="s">
        <v>428</v>
      </c>
      <c r="AM251" s="90">
        <v>8426.4699999999993</v>
      </c>
      <c r="AN251" s="184">
        <v>1</v>
      </c>
      <c r="AO251" s="15">
        <v>6000</v>
      </c>
      <c r="AR251" t="s">
        <v>570</v>
      </c>
      <c r="AW251" s="7"/>
      <c r="AZ251" s="16" t="s">
        <v>255</v>
      </c>
      <c r="BA251">
        <f t="shared" si="18"/>
        <v>78</v>
      </c>
    </row>
    <row r="252" spans="1:53" ht="15.75" customHeight="1">
      <c r="A252" s="273">
        <v>79</v>
      </c>
      <c r="B252" s="273" t="str">
        <f t="shared" si="15"/>
        <v>NEAKTIVAN</v>
      </c>
      <c r="C252" s="302">
        <f t="shared" si="14"/>
        <v>250</v>
      </c>
      <c r="D252" s="1">
        <v>22</v>
      </c>
      <c r="E252" s="1" t="str">
        <f>VLOOKUP(D252,Table3[[#All],[RB]:[OIB]],2,0)</f>
        <v>International Line d.o.o.</v>
      </c>
      <c r="F252" s="4">
        <f>VLOOKUP(D252,Table3[],3,0)</f>
        <v>16157428650</v>
      </c>
      <c r="G252" s="1" t="str">
        <f>VLOOKUP(D252,Table3[],4,0)</f>
        <v>Zoltan Kiri</v>
      </c>
      <c r="H252" s="1" t="str">
        <f>VLOOKUP(D252,POSLODAVCI!$A$2:$J$107,9,0)</f>
        <v>Osijek</v>
      </c>
      <c r="I252" s="1" t="str">
        <f>VLOOKUP(D252,Table3[],10,0)</f>
        <v>Ivana Gundulića 28</v>
      </c>
      <c r="J252" s="1" t="s">
        <v>572</v>
      </c>
      <c r="K252" s="61">
        <v>43587</v>
      </c>
      <c r="L252" s="61">
        <v>43677</v>
      </c>
      <c r="M252" s="89" t="s">
        <v>573</v>
      </c>
      <c r="N252" t="s">
        <v>80</v>
      </c>
      <c r="O252" s="7">
        <v>29790</v>
      </c>
      <c r="Q252" t="s">
        <v>82</v>
      </c>
      <c r="R252" t="s">
        <v>574</v>
      </c>
      <c r="S252" s="5" t="s">
        <v>428</v>
      </c>
      <c r="T252" t="s">
        <v>84</v>
      </c>
      <c r="V252" t="s">
        <v>143</v>
      </c>
      <c r="W252" t="s">
        <v>143</v>
      </c>
      <c r="X252" s="304" t="s">
        <v>85</v>
      </c>
      <c r="Y252" s="7">
        <v>43616</v>
      </c>
      <c r="Z252" t="s">
        <v>86</v>
      </c>
      <c r="AA252">
        <v>40</v>
      </c>
      <c r="AB252" t="s">
        <v>575</v>
      </c>
      <c r="AC252" s="183"/>
      <c r="AE252" s="183"/>
      <c r="AH252" t="s">
        <v>94</v>
      </c>
      <c r="AL252" t="s">
        <v>428</v>
      </c>
      <c r="AM252" s="90">
        <v>3750</v>
      </c>
      <c r="AN252" s="184">
        <v>1</v>
      </c>
      <c r="AO252" s="15">
        <v>3000</v>
      </c>
      <c r="AW252" s="7"/>
      <c r="AZ252" t="s">
        <v>255</v>
      </c>
      <c r="BA252">
        <f t="shared" si="18"/>
        <v>79</v>
      </c>
    </row>
    <row r="253" spans="1:53" ht="15.75" customHeight="1">
      <c r="A253" s="273">
        <v>80</v>
      </c>
      <c r="B253" s="273" t="str">
        <f t="shared" si="15"/>
        <v>NEAKTIVAN</v>
      </c>
      <c r="C253" s="302">
        <f t="shared" si="14"/>
        <v>251</v>
      </c>
      <c r="D253" s="1">
        <v>22</v>
      </c>
      <c r="E253" s="1" t="str">
        <f>VLOOKUP(D253,Table3[[#All],[RB]:[OIB]],2,0)</f>
        <v>International Line d.o.o.</v>
      </c>
      <c r="F253" s="4">
        <f>VLOOKUP(D253,Table3[],3,0)</f>
        <v>16157428650</v>
      </c>
      <c r="G253" s="1" t="str">
        <f>VLOOKUP(D253,Table3[],4,0)</f>
        <v>Zoltan Kiri</v>
      </c>
      <c r="H253" s="1" t="str">
        <f>VLOOKUP(D253,POSLODAVCI!$A$2:$J$107,9,0)</f>
        <v>Osijek</v>
      </c>
      <c r="I253" s="1" t="str">
        <f>VLOOKUP(D253,Table3[],10,0)</f>
        <v>Ivana Gundulića 28</v>
      </c>
      <c r="J253" s="1" t="s">
        <v>576</v>
      </c>
      <c r="K253" s="61">
        <v>43587</v>
      </c>
      <c r="L253" s="61">
        <v>43646</v>
      </c>
      <c r="M253" s="89" t="s">
        <v>577</v>
      </c>
      <c r="N253" t="s">
        <v>80</v>
      </c>
      <c r="O253" s="7">
        <v>32107</v>
      </c>
      <c r="Q253" t="s">
        <v>82</v>
      </c>
      <c r="R253" t="s">
        <v>578</v>
      </c>
      <c r="S253" s="5" t="s">
        <v>428</v>
      </c>
      <c r="T253" t="s">
        <v>84</v>
      </c>
      <c r="V253" t="s">
        <v>143</v>
      </c>
      <c r="W253" t="s">
        <v>143</v>
      </c>
      <c r="X253" s="304" t="s">
        <v>85</v>
      </c>
      <c r="Y253" s="7">
        <v>43616</v>
      </c>
      <c r="Z253" t="s">
        <v>86</v>
      </c>
      <c r="AA253">
        <v>40</v>
      </c>
      <c r="AB253" t="s">
        <v>579</v>
      </c>
      <c r="AC253" s="183"/>
      <c r="AE253" s="183"/>
      <c r="AH253" t="s">
        <v>94</v>
      </c>
      <c r="AL253" t="s">
        <v>428</v>
      </c>
      <c r="AM253" s="90">
        <v>3750</v>
      </c>
      <c r="AN253" s="184">
        <v>1</v>
      </c>
      <c r="AO253" s="15">
        <v>3000</v>
      </c>
      <c r="AW253" s="7"/>
      <c r="AZ253" s="16" t="s">
        <v>255</v>
      </c>
      <c r="BA253">
        <f t="shared" si="18"/>
        <v>80</v>
      </c>
    </row>
    <row r="254" spans="1:53" ht="15.75" customHeight="1">
      <c r="A254" s="273">
        <v>81</v>
      </c>
      <c r="B254" s="273" t="str">
        <f t="shared" si="15"/>
        <v>NEAKTIVAN</v>
      </c>
      <c r="C254" s="302">
        <f t="shared" si="14"/>
        <v>252</v>
      </c>
      <c r="D254" s="1">
        <v>22</v>
      </c>
      <c r="E254" s="1" t="str">
        <f>VLOOKUP(D254,Table3[[#All],[RB]:[OIB]],2,0)</f>
        <v>International Line d.o.o.</v>
      </c>
      <c r="F254" s="4">
        <f>VLOOKUP(D254,Table3[],3,0)</f>
        <v>16157428650</v>
      </c>
      <c r="G254" s="1" t="str">
        <f>VLOOKUP(D254,Table3[],4,0)</f>
        <v>Zoltan Kiri</v>
      </c>
      <c r="H254" s="1" t="str">
        <f>VLOOKUP(D254,POSLODAVCI!$A$2:$J$107,9,0)</f>
        <v>Osijek</v>
      </c>
      <c r="I254" s="1" t="str">
        <f>VLOOKUP(D254,Table3[],10,0)</f>
        <v>Ivana Gundulića 28</v>
      </c>
      <c r="J254" s="1" t="s">
        <v>580</v>
      </c>
      <c r="K254" s="61">
        <v>43588</v>
      </c>
      <c r="L254" s="61">
        <v>44178</v>
      </c>
      <c r="M254" s="182">
        <v>61923614848</v>
      </c>
      <c r="N254" t="s">
        <v>80</v>
      </c>
      <c r="O254" s="7">
        <v>33116</v>
      </c>
      <c r="P254" t="s">
        <v>94</v>
      </c>
      <c r="Q254" t="s">
        <v>82</v>
      </c>
      <c r="R254" t="s">
        <v>1478</v>
      </c>
      <c r="S254" s="5" t="s">
        <v>428</v>
      </c>
      <c r="T254" t="s">
        <v>84</v>
      </c>
      <c r="V254" t="s">
        <v>143</v>
      </c>
      <c r="W254" t="s">
        <v>143</v>
      </c>
      <c r="X254" s="304" t="s">
        <v>85</v>
      </c>
      <c r="Y254" s="7">
        <v>43616</v>
      </c>
      <c r="Z254" t="s">
        <v>86</v>
      </c>
      <c r="AA254">
        <v>40</v>
      </c>
      <c r="AB254" t="s">
        <v>581</v>
      </c>
      <c r="AC254" s="183"/>
      <c r="AE254" s="183"/>
      <c r="AH254" t="s">
        <v>94</v>
      </c>
      <c r="AL254" t="s">
        <v>428</v>
      </c>
      <c r="AM254" s="90">
        <v>4062.51</v>
      </c>
      <c r="AN254" s="184">
        <v>1</v>
      </c>
      <c r="AO254" s="15">
        <v>3250</v>
      </c>
      <c r="AW254" s="7"/>
      <c r="AZ254" t="s">
        <v>374</v>
      </c>
      <c r="BA254">
        <f t="shared" si="18"/>
        <v>81</v>
      </c>
    </row>
    <row r="255" spans="1:53" ht="15.75" customHeight="1">
      <c r="A255" s="273">
        <v>82</v>
      </c>
      <c r="B255" s="273" t="str">
        <f t="shared" si="15"/>
        <v>NEAKTIVAN</v>
      </c>
      <c r="C255" s="302">
        <f t="shared" si="14"/>
        <v>253</v>
      </c>
      <c r="D255" s="1">
        <v>22</v>
      </c>
      <c r="E255" s="1" t="str">
        <f>VLOOKUP(D255,Table3[[#All],[RB]:[OIB]],2,0)</f>
        <v>International Line d.o.o.</v>
      </c>
      <c r="F255" s="4">
        <f>VLOOKUP(D255,Table3[],3,0)</f>
        <v>16157428650</v>
      </c>
      <c r="G255" s="1" t="str">
        <f>VLOOKUP(D255,Table3[],4,0)</f>
        <v>Zoltan Kiri</v>
      </c>
      <c r="H255" s="1" t="str">
        <f>VLOOKUP(D255,POSLODAVCI!$A$2:$J$107,9,0)</f>
        <v>Osijek</v>
      </c>
      <c r="I255" s="1" t="str">
        <f>VLOOKUP(D255,Table3[],10,0)</f>
        <v>Ivana Gundulića 28</v>
      </c>
      <c r="J255" s="1" t="s">
        <v>586</v>
      </c>
      <c r="K255" s="61">
        <v>43593</v>
      </c>
      <c r="L255" s="61">
        <v>43602</v>
      </c>
      <c r="M255" s="89">
        <v>20738620097</v>
      </c>
      <c r="N255" t="s">
        <v>89</v>
      </c>
      <c r="O255" s="7">
        <v>29633</v>
      </c>
      <c r="Q255" t="s">
        <v>82</v>
      </c>
      <c r="R255" t="s">
        <v>587</v>
      </c>
      <c r="S255" s="5" t="s">
        <v>428</v>
      </c>
      <c r="T255" t="s">
        <v>84</v>
      </c>
      <c r="V255" t="s">
        <v>143</v>
      </c>
      <c r="W255" t="s">
        <v>143</v>
      </c>
      <c r="X255" s="304" t="s">
        <v>85</v>
      </c>
      <c r="Y255" s="7">
        <v>43616</v>
      </c>
      <c r="Z255" t="s">
        <v>86</v>
      </c>
      <c r="AA255">
        <v>40</v>
      </c>
      <c r="AB255" t="s">
        <v>588</v>
      </c>
      <c r="AC255" s="183"/>
      <c r="AE255" s="183"/>
      <c r="AH255" t="s">
        <v>94</v>
      </c>
      <c r="AL255" t="s">
        <v>428</v>
      </c>
      <c r="AM255" s="90">
        <v>3750</v>
      </c>
      <c r="AN255" s="184">
        <v>1</v>
      </c>
      <c r="AO255" s="15">
        <v>3000</v>
      </c>
      <c r="AW255" s="7"/>
      <c r="AZ255" t="s">
        <v>255</v>
      </c>
      <c r="BA255">
        <f t="shared" si="18"/>
        <v>82</v>
      </c>
    </row>
    <row r="256" spans="1:53" ht="15.75" customHeight="1">
      <c r="A256" s="273">
        <v>83</v>
      </c>
      <c r="B256" s="273" t="str">
        <f t="shared" si="15"/>
        <v>NEAKTIVAN</v>
      </c>
      <c r="C256" s="302">
        <f t="shared" si="14"/>
        <v>254</v>
      </c>
      <c r="D256" s="1">
        <v>22</v>
      </c>
      <c r="E256" s="1" t="str">
        <f>VLOOKUP(D256,Table3[[#All],[RB]:[OIB]],2,0)</f>
        <v>International Line d.o.o.</v>
      </c>
      <c r="F256" s="4">
        <f>VLOOKUP(D256,Table3[],3,0)</f>
        <v>16157428650</v>
      </c>
      <c r="G256" s="1" t="str">
        <f>VLOOKUP(D256,Table3[],4,0)</f>
        <v>Zoltan Kiri</v>
      </c>
      <c r="H256" s="1" t="str">
        <f>VLOOKUP(D256,POSLODAVCI!$A$2:$J$107,9,0)</f>
        <v>Osijek</v>
      </c>
      <c r="I256" s="1" t="str">
        <f>VLOOKUP(D256,Table3[],10,0)</f>
        <v>Ivana Gundulića 28</v>
      </c>
      <c r="J256" s="1" t="s">
        <v>589</v>
      </c>
      <c r="K256" s="61">
        <v>43595</v>
      </c>
      <c r="L256" s="61">
        <v>43616</v>
      </c>
      <c r="M256" s="89" t="s">
        <v>590</v>
      </c>
      <c r="N256" t="s">
        <v>80</v>
      </c>
      <c r="O256" s="7">
        <v>36025</v>
      </c>
      <c r="Q256" t="s">
        <v>82</v>
      </c>
      <c r="R256" t="s">
        <v>591</v>
      </c>
      <c r="S256" s="5" t="s">
        <v>428</v>
      </c>
      <c r="T256" t="s">
        <v>84</v>
      </c>
      <c r="V256" t="s">
        <v>143</v>
      </c>
      <c r="W256" t="s">
        <v>143</v>
      </c>
      <c r="X256" s="304" t="s">
        <v>85</v>
      </c>
      <c r="Y256" s="7">
        <v>43616</v>
      </c>
      <c r="Z256" t="s">
        <v>86</v>
      </c>
      <c r="AA256">
        <v>40</v>
      </c>
      <c r="AB256" t="s">
        <v>592</v>
      </c>
      <c r="AC256" s="183"/>
      <c r="AE256" s="183"/>
      <c r="AH256" t="s">
        <v>94</v>
      </c>
      <c r="AL256" t="s">
        <v>428</v>
      </c>
      <c r="AM256" s="90">
        <v>3750</v>
      </c>
      <c r="AN256" s="184">
        <v>1</v>
      </c>
      <c r="AO256" s="15">
        <v>3000</v>
      </c>
      <c r="AW256" s="7"/>
      <c r="AZ256" t="s">
        <v>255</v>
      </c>
      <c r="BA256">
        <f t="shared" si="18"/>
        <v>83</v>
      </c>
    </row>
    <row r="257" spans="1:80" ht="15.75" customHeight="1">
      <c r="A257" s="273">
        <v>84</v>
      </c>
      <c r="B257" s="273" t="str">
        <f t="shared" si="15"/>
        <v>NEAKTIVAN</v>
      </c>
      <c r="C257" s="302">
        <f t="shared" si="14"/>
        <v>255</v>
      </c>
      <c r="D257" s="1">
        <v>22</v>
      </c>
      <c r="E257" s="1" t="str">
        <f>VLOOKUP(D257,Table3[[#All],[RB]:[OIB]],2,0)</f>
        <v>International Line d.o.o.</v>
      </c>
      <c r="F257" s="4">
        <f>VLOOKUP(D257,Table3[],3,0)</f>
        <v>16157428650</v>
      </c>
      <c r="G257" s="1" t="str">
        <f>VLOOKUP(D257,Table3[],4,0)</f>
        <v>Zoltan Kiri</v>
      </c>
      <c r="H257" s="1" t="str">
        <f>VLOOKUP(D257,POSLODAVCI!$A$2:$J$107,9,0)</f>
        <v>Osijek</v>
      </c>
      <c r="I257" s="1" t="str">
        <f>VLOOKUP(D257,Table3[],10,0)</f>
        <v>Ivana Gundulića 28</v>
      </c>
      <c r="J257" s="1" t="s">
        <v>597</v>
      </c>
      <c r="K257" s="61">
        <v>43605</v>
      </c>
      <c r="L257" s="61">
        <v>44074</v>
      </c>
      <c r="M257" s="182">
        <v>8869661100</v>
      </c>
      <c r="N257" t="s">
        <v>80</v>
      </c>
      <c r="O257" s="7">
        <v>31871</v>
      </c>
      <c r="Q257" t="s">
        <v>82</v>
      </c>
      <c r="R257" t="s">
        <v>598</v>
      </c>
      <c r="S257" s="5" t="s">
        <v>428</v>
      </c>
      <c r="T257" t="s">
        <v>84</v>
      </c>
      <c r="V257" t="s">
        <v>143</v>
      </c>
      <c r="W257" t="s">
        <v>143</v>
      </c>
      <c r="X257" s="304" t="s">
        <v>85</v>
      </c>
      <c r="Y257" s="7">
        <v>43616</v>
      </c>
      <c r="Z257" t="s">
        <v>86</v>
      </c>
      <c r="AA257">
        <v>40</v>
      </c>
      <c r="AB257" t="s">
        <v>599</v>
      </c>
      <c r="AC257" s="183"/>
      <c r="AE257" s="183"/>
      <c r="AH257" t="s">
        <v>94</v>
      </c>
      <c r="AL257" t="s">
        <v>428</v>
      </c>
      <c r="AM257" s="90">
        <v>4062.51</v>
      </c>
      <c r="AN257" s="184">
        <v>1</v>
      </c>
      <c r="AO257" s="15">
        <v>3250</v>
      </c>
      <c r="AW257" s="7"/>
      <c r="AZ257" t="s">
        <v>255</v>
      </c>
      <c r="BA257">
        <f t="shared" si="18"/>
        <v>84</v>
      </c>
    </row>
    <row r="258" spans="1:80" ht="15.75" customHeight="1">
      <c r="A258" s="273">
        <v>85</v>
      </c>
      <c r="B258" s="273" t="str">
        <f t="shared" si="15"/>
        <v>NEAKTIVAN</v>
      </c>
      <c r="C258" s="302">
        <f t="shared" si="14"/>
        <v>256</v>
      </c>
      <c r="D258" s="1">
        <v>22</v>
      </c>
      <c r="E258" s="1" t="str">
        <f>VLOOKUP(D258,Table3[[#All],[RB]:[OIB]],2,0)</f>
        <v>International Line d.o.o.</v>
      </c>
      <c r="F258" s="4">
        <f>VLOOKUP(D258,Table3[],3,0)</f>
        <v>16157428650</v>
      </c>
      <c r="G258" s="1" t="str">
        <f>VLOOKUP(D258,Table3[],4,0)</f>
        <v>Zoltan Kiri</v>
      </c>
      <c r="H258" s="1" t="str">
        <f>VLOOKUP(D258,POSLODAVCI!$A$2:$J$107,9,0)</f>
        <v>Osijek</v>
      </c>
      <c r="I258" s="1" t="str">
        <f>VLOOKUP(D258,Table3[],10,0)</f>
        <v>Ivana Gundulića 28</v>
      </c>
      <c r="J258" s="1" t="s">
        <v>603</v>
      </c>
      <c r="K258" s="61">
        <v>43612</v>
      </c>
      <c r="L258" s="61">
        <v>43738</v>
      </c>
      <c r="M258" s="182">
        <v>49752439242</v>
      </c>
      <c r="N258" t="s">
        <v>80</v>
      </c>
      <c r="O258" s="7">
        <v>36571</v>
      </c>
      <c r="Q258" t="s">
        <v>82</v>
      </c>
      <c r="R258" t="s">
        <v>604</v>
      </c>
      <c r="S258" s="5" t="s">
        <v>428</v>
      </c>
      <c r="T258" t="s">
        <v>84</v>
      </c>
      <c r="V258" t="s">
        <v>143</v>
      </c>
      <c r="W258" t="s">
        <v>143</v>
      </c>
      <c r="X258" s="304" t="s">
        <v>85</v>
      </c>
      <c r="Y258" s="7">
        <v>43646</v>
      </c>
      <c r="Z258" t="s">
        <v>86</v>
      </c>
      <c r="AA258">
        <v>40</v>
      </c>
      <c r="AB258" t="s">
        <v>605</v>
      </c>
      <c r="AC258" s="183"/>
      <c r="AE258" s="183"/>
      <c r="AH258" t="s">
        <v>94</v>
      </c>
      <c r="AL258" t="s">
        <v>428</v>
      </c>
      <c r="AM258" s="90">
        <v>3750</v>
      </c>
      <c r="AN258" s="184">
        <v>1</v>
      </c>
      <c r="AO258" s="15">
        <v>3000</v>
      </c>
      <c r="AW258" s="7"/>
      <c r="AZ258" t="s">
        <v>255</v>
      </c>
      <c r="BA258">
        <f t="shared" si="18"/>
        <v>85</v>
      </c>
    </row>
    <row r="259" spans="1:80" ht="15.75" customHeight="1">
      <c r="A259" s="273">
        <v>3</v>
      </c>
      <c r="B259" s="273" t="str">
        <f t="shared" si="15"/>
        <v>NEAKTIVAN</v>
      </c>
      <c r="C259" s="302">
        <f t="shared" ref="C259:C322" si="19">C258+1</f>
        <v>257</v>
      </c>
      <c r="D259" s="1">
        <v>15</v>
      </c>
      <c r="E259" s="1" t="str">
        <f>VLOOKUP(D259,Table3[[#All],[RB]:[OIB]],2,0)</f>
        <v>KERAMIKA ZOKA J.D.O.O.</v>
      </c>
      <c r="F259" s="4">
        <f>VLOOKUP(D259,Table3[],3,0)</f>
        <v>85005325176</v>
      </c>
      <c r="G259" s="1" t="str">
        <f>VLOOKUP(D259,Table3[],4,0)</f>
        <v>Zoran Francisković</v>
      </c>
      <c r="H259" s="1" t="str">
        <f>VLOOKUP(D259,POSLODAVCI!$A$2:$J$107,9,0)</f>
        <v>osijek</v>
      </c>
      <c r="I259" s="1" t="str">
        <f>VLOOKUP(D259,Table3[],10,0)</f>
        <v>Koprivnička 25 a, 31000 Osijek</v>
      </c>
      <c r="J259" s="1" t="s">
        <v>645</v>
      </c>
      <c r="K259" s="61">
        <v>43724</v>
      </c>
      <c r="L259" s="61">
        <v>44011</v>
      </c>
      <c r="M259" s="182">
        <v>97376823782</v>
      </c>
      <c r="N259" t="s">
        <v>89</v>
      </c>
      <c r="O259" s="7">
        <v>23662</v>
      </c>
      <c r="P259" t="s">
        <v>94</v>
      </c>
      <c r="Q259" t="s">
        <v>82</v>
      </c>
      <c r="R259" t="s">
        <v>646</v>
      </c>
      <c r="S259" s="5" t="s">
        <v>83</v>
      </c>
      <c r="T259" t="s">
        <v>310</v>
      </c>
      <c r="V259" t="s">
        <v>350</v>
      </c>
      <c r="W259" t="s">
        <v>350</v>
      </c>
      <c r="X259" s="304" t="s">
        <v>103</v>
      </c>
      <c r="Y259" s="7">
        <v>44011</v>
      </c>
      <c r="Z259" t="s">
        <v>86</v>
      </c>
      <c r="AA259">
        <v>40</v>
      </c>
      <c r="AB259" t="s">
        <v>647</v>
      </c>
      <c r="AC259" s="183"/>
      <c r="AE259" s="183"/>
      <c r="AH259" t="s">
        <v>94</v>
      </c>
      <c r="AM259" s="90">
        <v>4200</v>
      </c>
      <c r="AN259" s="184">
        <v>1</v>
      </c>
      <c r="AW259" s="7"/>
      <c r="AZ259" t="s">
        <v>374</v>
      </c>
    </row>
    <row r="260" spans="1:80" ht="15.75" customHeight="1">
      <c r="A260" s="273">
        <v>86</v>
      </c>
      <c r="B260" s="273" t="str">
        <f t="shared" si="15"/>
        <v>NEAKTIVAN</v>
      </c>
      <c r="C260" s="302">
        <f t="shared" si="19"/>
        <v>258</v>
      </c>
      <c r="D260" s="1">
        <v>22</v>
      </c>
      <c r="E260" s="1" t="str">
        <f>VLOOKUP(D260,Table3[[#All],[RB]:[OIB]],2,0)</f>
        <v>International Line d.o.o.</v>
      </c>
      <c r="F260" s="4">
        <f>VLOOKUP(D260,Table3[],3,0)</f>
        <v>16157428650</v>
      </c>
      <c r="G260" s="1" t="str">
        <f>VLOOKUP(D260,Table3[],4,0)</f>
        <v>Zoltan Kiri</v>
      </c>
      <c r="H260" s="1" t="str">
        <f>VLOOKUP(D260,POSLODAVCI!$A$2:$J$107,9,0)</f>
        <v>Osijek</v>
      </c>
      <c r="I260" s="1" t="str">
        <f>VLOOKUP(D260,Table3[],10,0)</f>
        <v>Ivana Gundulića 28</v>
      </c>
      <c r="J260" s="1" t="s">
        <v>606</v>
      </c>
      <c r="K260" s="61">
        <v>43613</v>
      </c>
      <c r="L260" s="61">
        <v>43619</v>
      </c>
      <c r="M260" s="182">
        <v>11971211274</v>
      </c>
      <c r="N260" t="s">
        <v>80</v>
      </c>
      <c r="O260" s="7">
        <v>29563</v>
      </c>
      <c r="Q260" t="s">
        <v>82</v>
      </c>
      <c r="R260" t="s">
        <v>607</v>
      </c>
      <c r="S260" s="5" t="s">
        <v>428</v>
      </c>
      <c r="T260" t="s">
        <v>84</v>
      </c>
      <c r="V260" t="s">
        <v>143</v>
      </c>
      <c r="W260" t="s">
        <v>143</v>
      </c>
      <c r="X260" s="304" t="s">
        <v>85</v>
      </c>
      <c r="Y260" s="7">
        <v>43646</v>
      </c>
      <c r="Z260" t="s">
        <v>86</v>
      </c>
      <c r="AA260">
        <v>40</v>
      </c>
      <c r="AB260" t="s">
        <v>608</v>
      </c>
      <c r="AC260" s="183"/>
      <c r="AE260" s="183"/>
      <c r="AH260" t="s">
        <v>94</v>
      </c>
      <c r="AL260" t="s">
        <v>428</v>
      </c>
      <c r="AM260" s="90">
        <v>3750</v>
      </c>
      <c r="AN260" s="184">
        <v>1</v>
      </c>
      <c r="AO260" s="15">
        <v>3000</v>
      </c>
      <c r="AW260" s="7"/>
      <c r="AZ260" s="16" t="s">
        <v>255</v>
      </c>
      <c r="BA260">
        <f t="shared" ref="BA260:BA265" si="20">A260</f>
        <v>86</v>
      </c>
    </row>
    <row r="261" spans="1:80" ht="15.75" customHeight="1">
      <c r="A261" s="273">
        <v>87</v>
      </c>
      <c r="B261" s="273" t="str">
        <f t="shared" si="15"/>
        <v>NEAKTIVAN</v>
      </c>
      <c r="C261" s="302">
        <f t="shared" si="19"/>
        <v>259</v>
      </c>
      <c r="D261" s="1">
        <v>22</v>
      </c>
      <c r="E261" s="1" t="str">
        <f>VLOOKUP(D261,Table3[[#All],[RB]:[OIB]],2,0)</f>
        <v>International Line d.o.o.</v>
      </c>
      <c r="F261" s="4">
        <f>VLOOKUP(D261,Table3[],3,0)</f>
        <v>16157428650</v>
      </c>
      <c r="G261" s="1" t="str">
        <f>VLOOKUP(D261,Table3[],4,0)</f>
        <v>Zoltan Kiri</v>
      </c>
      <c r="H261" s="1" t="str">
        <f>VLOOKUP(D261,POSLODAVCI!$A$2:$J$107,9,0)</f>
        <v>Osijek</v>
      </c>
      <c r="I261" s="1" t="str">
        <f>VLOOKUP(D261,Table3[],10,0)</f>
        <v>Ivana Gundulića 28</v>
      </c>
      <c r="J261" s="1" t="s">
        <v>609</v>
      </c>
      <c r="K261" s="61">
        <v>43612</v>
      </c>
      <c r="L261" s="61">
        <v>43616</v>
      </c>
      <c r="M261" s="182">
        <v>71786069922</v>
      </c>
      <c r="N261" t="s">
        <v>80</v>
      </c>
      <c r="O261" s="7" t="s">
        <v>610</v>
      </c>
      <c r="Q261" t="s">
        <v>82</v>
      </c>
      <c r="R261" t="s">
        <v>611</v>
      </c>
      <c r="S261" s="5" t="s">
        <v>428</v>
      </c>
      <c r="T261" t="s">
        <v>84</v>
      </c>
      <c r="V261" t="s">
        <v>143</v>
      </c>
      <c r="W261" t="s">
        <v>143</v>
      </c>
      <c r="X261" s="304" t="s">
        <v>85</v>
      </c>
      <c r="Y261" s="7">
        <v>43702</v>
      </c>
      <c r="Z261" t="s">
        <v>86</v>
      </c>
      <c r="AA261">
        <v>40</v>
      </c>
      <c r="AB261" t="s">
        <v>612</v>
      </c>
      <c r="AC261" s="183"/>
      <c r="AE261" s="183"/>
      <c r="AH261" t="s">
        <v>94</v>
      </c>
      <c r="AL261" t="s">
        <v>83</v>
      </c>
      <c r="AM261" s="90">
        <v>4375</v>
      </c>
      <c r="AN261" s="184">
        <v>1</v>
      </c>
      <c r="AO261" s="15">
        <v>3500</v>
      </c>
      <c r="AW261" s="7"/>
      <c r="AZ261" t="s">
        <v>255</v>
      </c>
      <c r="BA261">
        <f t="shared" si="20"/>
        <v>87</v>
      </c>
    </row>
    <row r="262" spans="1:80" ht="15.75" customHeight="1">
      <c r="A262" s="273">
        <v>88</v>
      </c>
      <c r="B262" s="273" t="str">
        <f t="shared" si="15"/>
        <v>NEAKTIVAN</v>
      </c>
      <c r="C262" s="302">
        <f t="shared" si="19"/>
        <v>260</v>
      </c>
      <c r="D262" s="1">
        <v>22</v>
      </c>
      <c r="E262" s="1" t="str">
        <f>VLOOKUP(D262,Table3[[#All],[RB]:[OIB]],2,0)</f>
        <v>International Line d.o.o.</v>
      </c>
      <c r="F262" s="4">
        <f>VLOOKUP(D262,Table3[],3,0)</f>
        <v>16157428650</v>
      </c>
      <c r="G262" s="1" t="str">
        <f>VLOOKUP(D262,Table3[],4,0)</f>
        <v>Zoltan Kiri</v>
      </c>
      <c r="H262" s="1" t="str">
        <f>VLOOKUP(D262,POSLODAVCI!$A$2:$J$107,9,0)</f>
        <v>Osijek</v>
      </c>
      <c r="I262" s="1" t="str">
        <f>VLOOKUP(D262,Table3[],10,0)</f>
        <v>Ivana Gundulića 28</v>
      </c>
      <c r="J262" s="1" t="s">
        <v>613</v>
      </c>
      <c r="K262" s="61">
        <v>43619</v>
      </c>
      <c r="L262" s="61">
        <v>43734</v>
      </c>
      <c r="M262" s="182">
        <v>12378528119</v>
      </c>
      <c r="N262" t="s">
        <v>80</v>
      </c>
      <c r="O262" s="7">
        <v>28171</v>
      </c>
      <c r="Q262" t="s">
        <v>82</v>
      </c>
      <c r="R262" t="s">
        <v>235</v>
      </c>
      <c r="S262" s="5" t="s">
        <v>428</v>
      </c>
      <c r="T262" t="s">
        <v>84</v>
      </c>
      <c r="V262" t="s">
        <v>143</v>
      </c>
      <c r="W262" t="s">
        <v>143</v>
      </c>
      <c r="X262" s="304" t="s">
        <v>85</v>
      </c>
      <c r="Y262" s="7">
        <v>43619</v>
      </c>
      <c r="Z262" t="s">
        <v>86</v>
      </c>
      <c r="AA262">
        <v>40</v>
      </c>
      <c r="AB262" t="s">
        <v>614</v>
      </c>
      <c r="AC262" s="183"/>
      <c r="AE262" s="183"/>
      <c r="AH262" t="s">
        <v>94</v>
      </c>
      <c r="AL262" t="s">
        <v>428</v>
      </c>
      <c r="AM262" s="90">
        <v>3750</v>
      </c>
      <c r="AN262" s="184">
        <v>1</v>
      </c>
      <c r="AO262" s="15">
        <v>3000</v>
      </c>
      <c r="AW262" s="7"/>
      <c r="AZ262" t="s">
        <v>255</v>
      </c>
      <c r="BA262">
        <f t="shared" si="20"/>
        <v>88</v>
      </c>
    </row>
    <row r="263" spans="1:80" ht="15.75" customHeight="1">
      <c r="A263" s="273">
        <v>89</v>
      </c>
      <c r="B263" s="273" t="str">
        <f t="shared" si="15"/>
        <v>NEAKTIVAN</v>
      </c>
      <c r="C263" s="302">
        <f t="shared" si="19"/>
        <v>261</v>
      </c>
      <c r="D263" s="1">
        <v>22</v>
      </c>
      <c r="E263" s="1" t="str">
        <f>VLOOKUP(D263,Table3[[#All],[RB]:[OIB]],2,0)</f>
        <v>International Line d.o.o.</v>
      </c>
      <c r="F263" s="4">
        <f>VLOOKUP(D263,Table3[],3,0)</f>
        <v>16157428650</v>
      </c>
      <c r="G263" s="1" t="str">
        <f>VLOOKUP(D263,Table3[],4,0)</f>
        <v>Zoltan Kiri</v>
      </c>
      <c r="H263" s="1" t="str">
        <f>VLOOKUP(D263,POSLODAVCI!$A$2:$J$107,9,0)</f>
        <v>Osijek</v>
      </c>
      <c r="I263" s="1" t="str">
        <f>VLOOKUP(D263,Table3[],10,0)</f>
        <v>Ivana Gundulića 28</v>
      </c>
      <c r="J263" s="1" t="s">
        <v>615</v>
      </c>
      <c r="K263" s="61">
        <v>43634</v>
      </c>
      <c r="L263" s="61">
        <v>43799</v>
      </c>
      <c r="M263" s="182">
        <v>71570040716</v>
      </c>
      <c r="N263" t="s">
        <v>80</v>
      </c>
      <c r="O263" s="7">
        <v>29801</v>
      </c>
      <c r="Q263" t="s">
        <v>82</v>
      </c>
      <c r="R263" t="s">
        <v>616</v>
      </c>
      <c r="S263" s="5" t="s">
        <v>428</v>
      </c>
      <c r="T263" t="s">
        <v>84</v>
      </c>
      <c r="V263" t="s">
        <v>143</v>
      </c>
      <c r="W263" t="s">
        <v>143</v>
      </c>
      <c r="X263" s="304" t="s">
        <v>85</v>
      </c>
      <c r="Y263" s="7">
        <v>43677</v>
      </c>
      <c r="Z263" t="s">
        <v>86</v>
      </c>
      <c r="AA263">
        <v>40</v>
      </c>
      <c r="AB263" t="s">
        <v>617</v>
      </c>
      <c r="AC263" s="183"/>
      <c r="AE263" s="183"/>
      <c r="AH263" t="s">
        <v>94</v>
      </c>
      <c r="AL263" t="s">
        <v>428</v>
      </c>
      <c r="AM263" s="90">
        <v>3750</v>
      </c>
      <c r="AN263" s="184">
        <v>2.7</v>
      </c>
      <c r="AO263" s="15">
        <v>3000</v>
      </c>
      <c r="AW263" s="7"/>
      <c r="AZ263" t="s">
        <v>255</v>
      </c>
      <c r="BA263">
        <f t="shared" si="20"/>
        <v>89</v>
      </c>
    </row>
    <row r="264" spans="1:80" ht="15.75" customHeight="1">
      <c r="A264" s="273">
        <v>90</v>
      </c>
      <c r="B264" s="273" t="str">
        <f t="shared" si="15"/>
        <v>NEAKTIVAN</v>
      </c>
      <c r="C264" s="302">
        <f t="shared" si="19"/>
        <v>262</v>
      </c>
      <c r="D264" s="1">
        <v>22</v>
      </c>
      <c r="E264" s="1" t="str">
        <f>VLOOKUP(D264,Table3[[#All],[RB]:[OIB]],2,0)</f>
        <v>International Line d.o.o.</v>
      </c>
      <c r="F264" s="4">
        <f>VLOOKUP(D264,Table3[],3,0)</f>
        <v>16157428650</v>
      </c>
      <c r="G264" s="1" t="str">
        <f>VLOOKUP(D264,Table3[],4,0)</f>
        <v>Zoltan Kiri</v>
      </c>
      <c r="H264" s="1" t="str">
        <f>VLOOKUP(D264,POSLODAVCI!$A$2:$J$107,9,0)</f>
        <v>Osijek</v>
      </c>
      <c r="I264" s="1" t="str">
        <f>VLOOKUP(D264,Table3[],10,0)</f>
        <v>Ivana Gundulića 28</v>
      </c>
      <c r="J264" s="1" t="s">
        <v>618</v>
      </c>
      <c r="K264" s="61">
        <v>43640</v>
      </c>
      <c r="L264" s="61">
        <v>44189</v>
      </c>
      <c r="M264" s="182">
        <v>37440200087</v>
      </c>
      <c r="N264" t="s">
        <v>89</v>
      </c>
      <c r="O264" s="7">
        <v>25599</v>
      </c>
      <c r="P264" t="s">
        <v>94</v>
      </c>
      <c r="Q264" t="s">
        <v>82</v>
      </c>
      <c r="R264" t="s">
        <v>619</v>
      </c>
      <c r="S264" s="5" t="s">
        <v>428</v>
      </c>
      <c r="T264" t="s">
        <v>84</v>
      </c>
      <c r="V264" t="s">
        <v>507</v>
      </c>
      <c r="W264" t="s">
        <v>507</v>
      </c>
      <c r="X264" s="304" t="s">
        <v>85</v>
      </c>
      <c r="Y264" s="7">
        <v>43738</v>
      </c>
      <c r="Z264" t="s">
        <v>86</v>
      </c>
      <c r="AA264">
        <v>40</v>
      </c>
      <c r="AC264" s="183"/>
      <c r="AE264" s="183"/>
      <c r="AH264" t="s">
        <v>94</v>
      </c>
      <c r="AL264" t="s">
        <v>428</v>
      </c>
      <c r="AM264" s="90">
        <v>4375</v>
      </c>
      <c r="AN264" s="184">
        <v>1</v>
      </c>
      <c r="AO264" s="15">
        <v>3500</v>
      </c>
      <c r="AW264" s="7"/>
      <c r="AZ264" t="s">
        <v>374</v>
      </c>
      <c r="BA264">
        <f t="shared" si="20"/>
        <v>90</v>
      </c>
    </row>
    <row r="265" spans="1:80" ht="15.75" customHeight="1">
      <c r="A265" s="273">
        <v>91</v>
      </c>
      <c r="B265" s="273" t="str">
        <f t="shared" si="15"/>
        <v>NEAKTIVAN</v>
      </c>
      <c r="C265" s="302">
        <f t="shared" si="19"/>
        <v>263</v>
      </c>
      <c r="D265" s="1">
        <v>22</v>
      </c>
      <c r="E265" s="1" t="str">
        <f>VLOOKUP(D265,Table3[[#All],[RB]:[OIB]],2,0)</f>
        <v>International Line d.o.o.</v>
      </c>
      <c r="F265" s="4">
        <f>VLOOKUP(D265,Table3[],3,0)</f>
        <v>16157428650</v>
      </c>
      <c r="G265" s="1" t="str">
        <f>VLOOKUP(D265,Table3[],4,0)</f>
        <v>Zoltan Kiri</v>
      </c>
      <c r="H265" s="1" t="str">
        <f>VLOOKUP(D265,POSLODAVCI!$A$2:$J$107,9,0)</f>
        <v>Osijek</v>
      </c>
      <c r="I265" s="1" t="str">
        <f>VLOOKUP(D265,Table3[],10,0)</f>
        <v>Ivana Gundulića 28</v>
      </c>
      <c r="J265" s="1" t="s">
        <v>620</v>
      </c>
      <c r="K265" s="61">
        <v>43661</v>
      </c>
      <c r="L265" s="61">
        <v>44074</v>
      </c>
      <c r="M265" s="182">
        <v>20384352697</v>
      </c>
      <c r="N265" t="s">
        <v>89</v>
      </c>
      <c r="O265" s="7">
        <v>35325</v>
      </c>
      <c r="Q265" t="s">
        <v>82</v>
      </c>
      <c r="R265" t="s">
        <v>621</v>
      </c>
      <c r="S265" s="5" t="s">
        <v>428</v>
      </c>
      <c r="T265" t="s">
        <v>84</v>
      </c>
      <c r="V265" t="s">
        <v>143</v>
      </c>
      <c r="W265" t="s">
        <v>143</v>
      </c>
      <c r="X265" s="304" t="s">
        <v>85</v>
      </c>
      <c r="Y265" s="7">
        <v>43708</v>
      </c>
      <c r="Z265" t="s">
        <v>86</v>
      </c>
      <c r="AA265">
        <v>40</v>
      </c>
      <c r="AB265" t="s">
        <v>622</v>
      </c>
      <c r="AC265" s="183"/>
      <c r="AE265" s="183"/>
      <c r="AH265" t="s">
        <v>94</v>
      </c>
      <c r="AL265" t="s">
        <v>428</v>
      </c>
      <c r="AM265" s="90">
        <v>4062.51</v>
      </c>
      <c r="AN265" s="184">
        <v>1</v>
      </c>
      <c r="AO265" s="15">
        <v>3250</v>
      </c>
      <c r="AW265" s="7"/>
      <c r="AZ265" t="s">
        <v>255</v>
      </c>
      <c r="BA265">
        <f t="shared" si="20"/>
        <v>91</v>
      </c>
    </row>
    <row r="266" spans="1:80" s="259" customFormat="1" ht="15.75" customHeight="1">
      <c r="A266" s="273">
        <v>18</v>
      </c>
      <c r="B266" s="273" t="str">
        <f t="shared" si="15"/>
        <v>NEAKTIVAN</v>
      </c>
      <c r="C266" s="302">
        <f t="shared" si="19"/>
        <v>264</v>
      </c>
      <c r="D266" s="1">
        <v>3</v>
      </c>
      <c r="E266" s="1" t="str">
        <f>VLOOKUP(D266,Table3[[#All],[RB]:[OIB]],2,0)</f>
        <v>AGRO PMD d.o.o.</v>
      </c>
      <c r="F266" s="4" t="str">
        <f>VLOOKUP(D266,Table3[],3,0)</f>
        <v>09677499852</v>
      </c>
      <c r="G266" s="1" t="str">
        <f>VLOOKUP(D266,Table3[],4,0)</f>
        <v>Imre Bata</v>
      </c>
      <c r="H266" s="1" t="str">
        <f>VLOOKUP(D266,POSLODAVCI!$A$2:$J$107,9,0)</f>
        <v>Osijek</v>
      </c>
      <c r="I266" s="1" t="str">
        <f>VLOOKUP(D266,Table3[],10,0)</f>
        <v>Južno Pregrađe 38, Osijek</v>
      </c>
      <c r="J266" s="1" t="s">
        <v>629</v>
      </c>
      <c r="K266" s="61">
        <v>43739</v>
      </c>
      <c r="L266" s="61">
        <v>43830</v>
      </c>
      <c r="M266" s="182">
        <v>33945890205</v>
      </c>
      <c r="N266" t="s">
        <v>89</v>
      </c>
      <c r="O266" s="7">
        <v>35255</v>
      </c>
      <c r="P266"/>
      <c r="Q266" t="s">
        <v>82</v>
      </c>
      <c r="R266" t="s">
        <v>630</v>
      </c>
      <c r="S266" s="5" t="s">
        <v>428</v>
      </c>
      <c r="T266" t="s">
        <v>84</v>
      </c>
      <c r="U266"/>
      <c r="V266" t="s">
        <v>96</v>
      </c>
      <c r="W266" t="s">
        <v>96</v>
      </c>
      <c r="X266" s="304" t="s">
        <v>85</v>
      </c>
      <c r="Y266" s="7">
        <v>43830</v>
      </c>
      <c r="Z266" t="s">
        <v>86</v>
      </c>
      <c r="AA266">
        <v>40</v>
      </c>
      <c r="AB266" t="s">
        <v>631</v>
      </c>
      <c r="AC266" s="183"/>
      <c r="AD266"/>
      <c r="AE266" s="183"/>
      <c r="AF266"/>
      <c r="AG266"/>
      <c r="AH266" t="s">
        <v>94</v>
      </c>
      <c r="AI266"/>
      <c r="AJ266"/>
      <c r="AK266"/>
      <c r="AL266" t="s">
        <v>428</v>
      </c>
      <c r="AM266" s="90">
        <v>3750</v>
      </c>
      <c r="AN266" s="184">
        <v>1</v>
      </c>
      <c r="AO266" s="15">
        <v>3000</v>
      </c>
      <c r="AP266" s="15"/>
      <c r="AQ266"/>
      <c r="AR266"/>
      <c r="AS266"/>
      <c r="AT266"/>
      <c r="AU266"/>
      <c r="AV266"/>
      <c r="AW266" s="7"/>
      <c r="AX266"/>
      <c r="AY266"/>
      <c r="AZ266" t="s">
        <v>374</v>
      </c>
      <c r="BA266">
        <v>24</v>
      </c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</row>
    <row r="267" spans="1:80" ht="15.75" customHeight="1">
      <c r="A267" s="273">
        <v>92</v>
      </c>
      <c r="B267" s="273" t="str">
        <f t="shared" ref="B267:B330" si="21">IF(L267&gt;0,"NEAKTIVAN","AKTIVAN")</f>
        <v>NEAKTIVAN</v>
      </c>
      <c r="C267" s="302">
        <f t="shared" si="19"/>
        <v>265</v>
      </c>
      <c r="D267" s="1">
        <v>22</v>
      </c>
      <c r="E267" s="1" t="str">
        <f>VLOOKUP(D267,Table3[[#All],[RB]:[OIB]],2,0)</f>
        <v>International Line d.o.o.</v>
      </c>
      <c r="F267" s="4">
        <f>VLOOKUP(D267,Table3[],3,0)</f>
        <v>16157428650</v>
      </c>
      <c r="G267" s="1" t="str">
        <f>VLOOKUP(D267,Table3[],4,0)</f>
        <v>Zoltan Kiri</v>
      </c>
      <c r="H267" s="1" t="str">
        <f>VLOOKUP(D267,POSLODAVCI!$A$2:$J$107,9,0)</f>
        <v>Osijek</v>
      </c>
      <c r="I267" s="1" t="str">
        <f>VLOOKUP(D267,Table3[],10,0)</f>
        <v>Ivana Gundulića 28</v>
      </c>
      <c r="J267" s="1" t="s">
        <v>1190</v>
      </c>
      <c r="K267" s="61">
        <v>43662</v>
      </c>
      <c r="L267" s="61">
        <v>43919</v>
      </c>
      <c r="M267" s="182">
        <v>79304023231</v>
      </c>
      <c r="N267" t="s">
        <v>89</v>
      </c>
      <c r="O267" s="7">
        <v>36671</v>
      </c>
      <c r="Q267" t="s">
        <v>82</v>
      </c>
      <c r="R267" t="s">
        <v>624</v>
      </c>
      <c r="S267" s="5" t="s">
        <v>428</v>
      </c>
      <c r="T267" t="s">
        <v>84</v>
      </c>
      <c r="V267" t="s">
        <v>507</v>
      </c>
      <c r="W267" t="s">
        <v>507</v>
      </c>
      <c r="X267" s="304" t="s">
        <v>85</v>
      </c>
      <c r="Y267" s="7">
        <v>43752</v>
      </c>
      <c r="Z267" t="s">
        <v>86</v>
      </c>
      <c r="AA267">
        <v>40</v>
      </c>
      <c r="AB267" t="s">
        <v>625</v>
      </c>
      <c r="AC267" s="183"/>
      <c r="AE267" s="183"/>
      <c r="AH267" t="s">
        <v>94</v>
      </c>
      <c r="AL267" t="s">
        <v>428</v>
      </c>
      <c r="AM267" s="90">
        <v>8426.4699999999993</v>
      </c>
      <c r="AN267" s="184">
        <v>1</v>
      </c>
      <c r="AO267" s="15">
        <v>6000</v>
      </c>
      <c r="AW267" s="7"/>
      <c r="AZ267" t="s">
        <v>255</v>
      </c>
      <c r="BA267">
        <f>A267</f>
        <v>92</v>
      </c>
    </row>
    <row r="268" spans="1:80" ht="15.75" customHeight="1">
      <c r="A268" s="273">
        <v>93</v>
      </c>
      <c r="B268" s="273" t="str">
        <f t="shared" si="21"/>
        <v>NEAKTIVAN</v>
      </c>
      <c r="C268" s="302">
        <f t="shared" si="19"/>
        <v>266</v>
      </c>
      <c r="D268" s="1">
        <v>22</v>
      </c>
      <c r="E268" s="1" t="str">
        <f>VLOOKUP(D268,Table3[[#All],[RB]:[OIB]],2,0)</f>
        <v>International Line d.o.o.</v>
      </c>
      <c r="F268" s="4">
        <f>VLOOKUP(D268,Table3[],3,0)</f>
        <v>16157428650</v>
      </c>
      <c r="G268" s="1" t="str">
        <f>VLOOKUP(D268,Table3[],4,0)</f>
        <v>Zoltan Kiri</v>
      </c>
      <c r="H268" s="1" t="str">
        <f>VLOOKUP(D268,POSLODAVCI!$A$2:$J$107,9,0)</f>
        <v>Osijek</v>
      </c>
      <c r="I268" s="1" t="str">
        <f>VLOOKUP(D268,Table3[],10,0)</f>
        <v>Ivana Gundulića 28</v>
      </c>
      <c r="J268" s="1" t="s">
        <v>626</v>
      </c>
      <c r="K268" s="61">
        <v>43669</v>
      </c>
      <c r="L268" s="61">
        <v>43708</v>
      </c>
      <c r="M268" s="182">
        <v>93607450725</v>
      </c>
      <c r="N268" t="s">
        <v>80</v>
      </c>
      <c r="O268" s="7">
        <v>33927</v>
      </c>
      <c r="Q268" t="s">
        <v>82</v>
      </c>
      <c r="R268" t="s">
        <v>627</v>
      </c>
      <c r="S268" s="5" t="s">
        <v>83</v>
      </c>
      <c r="T268" t="s">
        <v>111</v>
      </c>
      <c r="V268" t="s">
        <v>143</v>
      </c>
      <c r="W268" t="s">
        <v>143</v>
      </c>
      <c r="X268" s="304" t="s">
        <v>85</v>
      </c>
      <c r="Y268" s="7">
        <v>43708</v>
      </c>
      <c r="Z268" t="s">
        <v>86</v>
      </c>
      <c r="AA268">
        <v>40</v>
      </c>
      <c r="AB268" t="s">
        <v>628</v>
      </c>
      <c r="AC268" s="183"/>
      <c r="AE268" s="183"/>
      <c r="AH268" t="s">
        <v>94</v>
      </c>
      <c r="AL268" t="s">
        <v>428</v>
      </c>
      <c r="AM268" s="90">
        <v>3750</v>
      </c>
      <c r="AN268" s="184">
        <v>1</v>
      </c>
      <c r="AO268" s="15">
        <v>3000</v>
      </c>
      <c r="AW268" s="7"/>
      <c r="AZ268" t="s">
        <v>255</v>
      </c>
      <c r="BA268">
        <f>A268</f>
        <v>93</v>
      </c>
    </row>
    <row r="269" spans="1:80" ht="15.75" customHeight="1">
      <c r="A269" s="273">
        <v>94</v>
      </c>
      <c r="B269" s="273" t="str">
        <f t="shared" si="21"/>
        <v>NEAKTIVAN</v>
      </c>
      <c r="C269" s="302">
        <f t="shared" si="19"/>
        <v>267</v>
      </c>
      <c r="D269" s="1">
        <v>22</v>
      </c>
      <c r="E269" s="1" t="str">
        <f>VLOOKUP(D269,Table3[[#All],[RB]:[OIB]],2,0)</f>
        <v>International Line d.o.o.</v>
      </c>
      <c r="F269" s="4">
        <f>VLOOKUP(D269,Table3[],3,0)</f>
        <v>16157428650</v>
      </c>
      <c r="G269" s="1" t="str">
        <f>VLOOKUP(D269,Table3[],4,0)</f>
        <v>Zoltan Kiri</v>
      </c>
      <c r="H269" s="1" t="str">
        <f>VLOOKUP(D269,POSLODAVCI!$A$2:$J$107,9,0)</f>
        <v>Osijek</v>
      </c>
      <c r="I269" s="1" t="str">
        <f>VLOOKUP(D269,Table3[],10,0)</f>
        <v>Ivana Gundulića 28</v>
      </c>
      <c r="J269" s="1" t="s">
        <v>629</v>
      </c>
      <c r="K269" s="61">
        <v>43677</v>
      </c>
      <c r="L269" s="61">
        <v>43678</v>
      </c>
      <c r="M269" s="182">
        <v>33945890205</v>
      </c>
      <c r="N269" t="s">
        <v>89</v>
      </c>
      <c r="O269" s="7">
        <v>35255</v>
      </c>
      <c r="Q269" t="s">
        <v>82</v>
      </c>
      <c r="R269" t="s">
        <v>630</v>
      </c>
      <c r="S269" s="5" t="s">
        <v>428</v>
      </c>
      <c r="T269" t="s">
        <v>84</v>
      </c>
      <c r="V269" t="s">
        <v>507</v>
      </c>
      <c r="W269" t="s">
        <v>507</v>
      </c>
      <c r="X269" s="304" t="s">
        <v>85</v>
      </c>
      <c r="Y269" s="7">
        <v>43767</v>
      </c>
      <c r="Z269" t="s">
        <v>86</v>
      </c>
      <c r="AA269">
        <v>40</v>
      </c>
      <c r="AB269" t="s">
        <v>631</v>
      </c>
      <c r="AC269" s="183"/>
      <c r="AE269" s="183"/>
      <c r="AH269" t="s">
        <v>94</v>
      </c>
      <c r="AL269" t="s">
        <v>428</v>
      </c>
      <c r="AM269" s="90">
        <v>8426.4699999999993</v>
      </c>
      <c r="AN269" s="184">
        <v>1</v>
      </c>
      <c r="AO269" s="15">
        <v>6000</v>
      </c>
      <c r="AW269" s="7"/>
      <c r="AZ269" t="s">
        <v>255</v>
      </c>
      <c r="BA269">
        <f>A269</f>
        <v>94</v>
      </c>
    </row>
    <row r="270" spans="1:80" ht="15.75" customHeight="1">
      <c r="A270" s="273">
        <v>95</v>
      </c>
      <c r="B270" s="273" t="str">
        <f t="shared" si="21"/>
        <v>NEAKTIVAN</v>
      </c>
      <c r="C270" s="302">
        <f t="shared" si="19"/>
        <v>268</v>
      </c>
      <c r="D270" s="1">
        <v>22</v>
      </c>
      <c r="E270" s="1" t="str">
        <f>VLOOKUP(D270,Table3[[#All],[RB]:[OIB]],2,0)</f>
        <v>International Line d.o.o.</v>
      </c>
      <c r="F270" s="4">
        <f>VLOOKUP(D270,Table3[],3,0)</f>
        <v>16157428650</v>
      </c>
      <c r="G270" s="1" t="str">
        <f>VLOOKUP(D270,Table3[],4,0)</f>
        <v>Zoltan Kiri</v>
      </c>
      <c r="H270" s="1" t="str">
        <f>VLOOKUP(D270,POSLODAVCI!$A$2:$J$107,9,0)</f>
        <v>Osijek</v>
      </c>
      <c r="I270" s="1" t="str">
        <f>VLOOKUP(D270,Table3[],10,0)</f>
        <v>Ivana Gundulića 28</v>
      </c>
      <c r="J270" s="1" t="s">
        <v>633</v>
      </c>
      <c r="K270" s="61">
        <v>43696</v>
      </c>
      <c r="L270" s="61">
        <v>43707</v>
      </c>
      <c r="M270" s="182">
        <v>61386713412</v>
      </c>
      <c r="N270" t="s">
        <v>89</v>
      </c>
      <c r="O270" s="7">
        <v>35831</v>
      </c>
      <c r="Q270" t="s">
        <v>82</v>
      </c>
      <c r="R270" t="s">
        <v>634</v>
      </c>
      <c r="S270" s="5" t="s">
        <v>83</v>
      </c>
      <c r="T270" t="s">
        <v>84</v>
      </c>
      <c r="V270" t="s">
        <v>507</v>
      </c>
      <c r="W270" t="s">
        <v>507</v>
      </c>
      <c r="X270" s="304" t="s">
        <v>85</v>
      </c>
      <c r="Y270" s="7">
        <v>43786</v>
      </c>
      <c r="Z270" t="s">
        <v>86</v>
      </c>
      <c r="AA270">
        <v>40</v>
      </c>
      <c r="AB270" t="s">
        <v>635</v>
      </c>
      <c r="AC270" s="183"/>
      <c r="AE270" s="183"/>
      <c r="AH270" t="s">
        <v>94</v>
      </c>
      <c r="AL270" t="s">
        <v>428</v>
      </c>
      <c r="AM270" s="90">
        <v>5093.03</v>
      </c>
      <c r="AN270" s="184">
        <v>1</v>
      </c>
      <c r="AO270" s="15">
        <v>4000</v>
      </c>
      <c r="AW270" s="7"/>
      <c r="AZ270" t="s">
        <v>255</v>
      </c>
      <c r="BA270">
        <f>A270</f>
        <v>95</v>
      </c>
    </row>
    <row r="271" spans="1:80" ht="15.75" customHeight="1">
      <c r="A271" s="273">
        <v>96</v>
      </c>
      <c r="B271" s="273" t="str">
        <f t="shared" si="21"/>
        <v>NEAKTIVAN</v>
      </c>
      <c r="C271" s="302">
        <f t="shared" si="19"/>
        <v>269</v>
      </c>
      <c r="D271" s="1">
        <v>22</v>
      </c>
      <c r="E271" s="1" t="str">
        <f>VLOOKUP(D271,Table3[[#All],[RB]:[OIB]],2,0)</f>
        <v>International Line d.o.o.</v>
      </c>
      <c r="F271" s="4">
        <f>VLOOKUP(D271,Table3[],3,0)</f>
        <v>16157428650</v>
      </c>
      <c r="G271" s="1" t="str">
        <f>VLOOKUP(D271,Table3[],4,0)</f>
        <v>Zoltan Kiri</v>
      </c>
      <c r="H271" s="1" t="str">
        <f>VLOOKUP(D271,POSLODAVCI!$A$2:$J$107,9,0)</f>
        <v>Osijek</v>
      </c>
      <c r="I271" s="1" t="str">
        <f>VLOOKUP(D271,Table3[],10,0)</f>
        <v>Ivana Gundulića 28</v>
      </c>
      <c r="J271" s="1" t="s">
        <v>636</v>
      </c>
      <c r="K271" s="61">
        <v>43709</v>
      </c>
      <c r="L271" s="61">
        <v>43738</v>
      </c>
      <c r="M271" s="182">
        <v>67957505499</v>
      </c>
      <c r="N271" t="s">
        <v>80</v>
      </c>
      <c r="O271" s="7">
        <v>43738</v>
      </c>
      <c r="Q271" t="s">
        <v>82</v>
      </c>
      <c r="R271" t="s">
        <v>637</v>
      </c>
      <c r="S271" s="5" t="s">
        <v>428</v>
      </c>
      <c r="T271" t="s">
        <v>84</v>
      </c>
      <c r="V271" t="s">
        <v>143</v>
      </c>
      <c r="W271" t="s">
        <v>143</v>
      </c>
      <c r="X271" s="304" t="s">
        <v>85</v>
      </c>
      <c r="Y271" s="7">
        <v>43738</v>
      </c>
      <c r="Z271" s="16" t="s">
        <v>86</v>
      </c>
      <c r="AA271">
        <v>40</v>
      </c>
      <c r="AB271" s="16" t="s">
        <v>638</v>
      </c>
      <c r="AC271" s="183"/>
      <c r="AE271" s="183"/>
      <c r="AH271" t="s">
        <v>94</v>
      </c>
      <c r="AL271" t="s">
        <v>428</v>
      </c>
      <c r="AM271" s="90">
        <v>3750</v>
      </c>
      <c r="AN271" s="184">
        <v>1</v>
      </c>
      <c r="AO271" s="15">
        <v>3000</v>
      </c>
      <c r="AW271" s="7"/>
      <c r="AZ271" t="s">
        <v>255</v>
      </c>
      <c r="BA271">
        <f>A271</f>
        <v>96</v>
      </c>
    </row>
    <row r="272" spans="1:80" s="259" customFormat="1" ht="15.75" customHeight="1">
      <c r="A272" s="273">
        <v>19</v>
      </c>
      <c r="B272" s="273" t="str">
        <f t="shared" si="21"/>
        <v>NEAKTIVAN</v>
      </c>
      <c r="C272" s="302">
        <f t="shared" si="19"/>
        <v>270</v>
      </c>
      <c r="D272" s="1">
        <v>3</v>
      </c>
      <c r="E272" s="1" t="str">
        <f>VLOOKUP(D272,Table3[[#All],[RB]:[OIB]],2,0)</f>
        <v>AGRO PMD d.o.o.</v>
      </c>
      <c r="F272" s="4" t="str">
        <f>VLOOKUP(D272,Table3[],3,0)</f>
        <v>09677499852</v>
      </c>
      <c r="G272" s="1" t="str">
        <f>VLOOKUP(D272,Table3[],4,0)</f>
        <v>Imre Bata</v>
      </c>
      <c r="H272" s="1" t="str">
        <f>VLOOKUP(D272,POSLODAVCI!$A$2:$J$107,9,0)</f>
        <v>Osijek</v>
      </c>
      <c r="I272" s="1" t="str">
        <f>VLOOKUP(D272,Table3[],10,0)</f>
        <v>Južno Pregrađe 38, Osijek</v>
      </c>
      <c r="J272" s="1" t="s">
        <v>684</v>
      </c>
      <c r="K272" s="61">
        <v>43747</v>
      </c>
      <c r="L272" s="61">
        <v>44393</v>
      </c>
      <c r="M272" s="182">
        <v>15373856424</v>
      </c>
      <c r="N272" t="s">
        <v>89</v>
      </c>
      <c r="O272" s="7">
        <v>34471</v>
      </c>
      <c r="P272" t="s">
        <v>94</v>
      </c>
      <c r="Q272" t="s">
        <v>82</v>
      </c>
      <c r="R272" t="s">
        <v>685</v>
      </c>
      <c r="S272" s="5" t="s">
        <v>83</v>
      </c>
      <c r="T272" t="s">
        <v>111</v>
      </c>
      <c r="U272"/>
      <c r="V272" t="s">
        <v>96</v>
      </c>
      <c r="W272" t="s">
        <v>96</v>
      </c>
      <c r="X272" s="304" t="s">
        <v>85</v>
      </c>
      <c r="Y272" s="7">
        <v>43474</v>
      </c>
      <c r="Z272" t="s">
        <v>86</v>
      </c>
      <c r="AA272">
        <v>40</v>
      </c>
      <c r="AB272" t="s">
        <v>686</v>
      </c>
      <c r="AC272" s="183"/>
      <c r="AD272"/>
      <c r="AE272" s="183"/>
      <c r="AF272"/>
      <c r="AG272"/>
      <c r="AH272" t="s">
        <v>94</v>
      </c>
      <c r="AI272"/>
      <c r="AJ272"/>
      <c r="AK272"/>
      <c r="AL272" t="s">
        <v>83</v>
      </c>
      <c r="AM272" s="90">
        <v>4375</v>
      </c>
      <c r="AN272" s="184">
        <v>1</v>
      </c>
      <c r="AO272" s="15">
        <v>3000</v>
      </c>
      <c r="AP272" s="15"/>
      <c r="AQ272"/>
      <c r="AR272"/>
      <c r="AS272"/>
      <c r="AT272"/>
      <c r="AU272"/>
      <c r="AV272"/>
      <c r="AW272" s="7"/>
      <c r="AX272"/>
      <c r="AY272"/>
      <c r="AZ272" t="s">
        <v>374</v>
      </c>
      <c r="BA272">
        <v>25</v>
      </c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</row>
    <row r="273" spans="1:53" ht="15.75" customHeight="1">
      <c r="A273" s="273">
        <v>97</v>
      </c>
      <c r="B273" s="273" t="str">
        <f t="shared" si="21"/>
        <v>NEAKTIVAN</v>
      </c>
      <c r="C273" s="302">
        <f t="shared" si="19"/>
        <v>271</v>
      </c>
      <c r="D273" s="1">
        <v>22</v>
      </c>
      <c r="E273" s="1" t="str">
        <f>VLOOKUP(D273,Table3[[#All],[RB]:[OIB]],2,0)</f>
        <v>International Line d.o.o.</v>
      </c>
      <c r="F273" s="4">
        <f>VLOOKUP(D273,Table3[],3,0)</f>
        <v>16157428650</v>
      </c>
      <c r="G273" s="1" t="str">
        <f>VLOOKUP(D273,Table3[],4,0)</f>
        <v>Zoltan Kiri</v>
      </c>
      <c r="H273" s="1" t="str">
        <f>VLOOKUP(D273,POSLODAVCI!$A$2:$J$107,9,0)</f>
        <v>Osijek</v>
      </c>
      <c r="I273" s="1" t="str">
        <f>VLOOKUP(D273,Table3[],10,0)</f>
        <v>Ivana Gundulića 28</v>
      </c>
      <c r="J273" s="1" t="s">
        <v>639</v>
      </c>
      <c r="K273" s="61">
        <v>43710</v>
      </c>
      <c r="L273" s="61">
        <v>43748</v>
      </c>
      <c r="M273" s="182">
        <v>85522191923</v>
      </c>
      <c r="N273" t="s">
        <v>89</v>
      </c>
      <c r="O273" s="7">
        <v>33942</v>
      </c>
      <c r="Q273" t="s">
        <v>82</v>
      </c>
      <c r="R273" t="s">
        <v>640</v>
      </c>
      <c r="S273" s="5" t="s">
        <v>428</v>
      </c>
      <c r="T273" t="s">
        <v>84</v>
      </c>
      <c r="V273" s="21" t="s">
        <v>507</v>
      </c>
      <c r="W273" s="21" t="s">
        <v>507</v>
      </c>
      <c r="X273" s="303" t="s">
        <v>103</v>
      </c>
      <c r="Y273" s="7"/>
      <c r="Z273" s="16" t="s">
        <v>86</v>
      </c>
      <c r="AA273">
        <v>40</v>
      </c>
      <c r="AB273" s="16" t="s">
        <v>641</v>
      </c>
      <c r="AC273" s="183"/>
      <c r="AE273" s="183"/>
      <c r="AH273" s="16" t="s">
        <v>94</v>
      </c>
      <c r="AL273" s="16" t="s">
        <v>428</v>
      </c>
      <c r="AM273" s="90">
        <v>4375</v>
      </c>
      <c r="AN273" s="184">
        <v>1</v>
      </c>
      <c r="AO273" s="15">
        <v>3500</v>
      </c>
      <c r="AW273" s="7"/>
      <c r="AZ273" s="16" t="s">
        <v>255</v>
      </c>
      <c r="BA273">
        <f t="shared" ref="BA273:BA284" si="22">A273</f>
        <v>97</v>
      </c>
    </row>
    <row r="274" spans="1:53" ht="15.75" customHeight="1">
      <c r="A274" s="273">
        <v>98</v>
      </c>
      <c r="B274" s="273" t="str">
        <f t="shared" si="21"/>
        <v>NEAKTIVAN</v>
      </c>
      <c r="C274" s="302">
        <f t="shared" si="19"/>
        <v>272</v>
      </c>
      <c r="D274" s="1">
        <v>22</v>
      </c>
      <c r="E274" s="1" t="str">
        <f>VLOOKUP(D274,Table3[[#All],[RB]:[OIB]],2,0)</f>
        <v>International Line d.o.o.</v>
      </c>
      <c r="F274" s="4">
        <f>VLOOKUP(D274,Table3[],3,0)</f>
        <v>16157428650</v>
      </c>
      <c r="G274" s="1" t="str">
        <f>VLOOKUP(D274,Table3[],4,0)</f>
        <v>Zoltan Kiri</v>
      </c>
      <c r="H274" s="1" t="str">
        <f>VLOOKUP(D274,POSLODAVCI!$A$2:$J$107,9,0)</f>
        <v>Osijek</v>
      </c>
      <c r="I274" s="1" t="str">
        <f>VLOOKUP(D274,Table3[],10,0)</f>
        <v>Ivana Gundulića 28</v>
      </c>
      <c r="J274" s="1" t="s">
        <v>648</v>
      </c>
      <c r="K274" s="61">
        <v>43725</v>
      </c>
      <c r="L274" s="61">
        <v>44014</v>
      </c>
      <c r="M274" s="182">
        <v>86034825742</v>
      </c>
      <c r="N274" t="s">
        <v>89</v>
      </c>
      <c r="O274" s="7">
        <v>36514</v>
      </c>
      <c r="Q274" t="s">
        <v>82</v>
      </c>
      <c r="R274" t="s">
        <v>135</v>
      </c>
      <c r="S274" s="5" t="s">
        <v>83</v>
      </c>
      <c r="T274" t="s">
        <v>84</v>
      </c>
      <c r="V274" t="s">
        <v>649</v>
      </c>
      <c r="W274" t="s">
        <v>507</v>
      </c>
      <c r="X274" s="304" t="s">
        <v>103</v>
      </c>
      <c r="Y274" s="7"/>
      <c r="Z274" t="s">
        <v>86</v>
      </c>
      <c r="AA274">
        <v>40</v>
      </c>
      <c r="AC274" s="183"/>
      <c r="AE274" s="183"/>
      <c r="AH274" t="s">
        <v>94</v>
      </c>
      <c r="AL274" t="s">
        <v>428</v>
      </c>
      <c r="AM274" s="90">
        <v>4375</v>
      </c>
      <c r="AN274" s="184">
        <v>1</v>
      </c>
      <c r="AO274" s="15">
        <v>3500</v>
      </c>
      <c r="AW274" s="7"/>
      <c r="AZ274" t="s">
        <v>255</v>
      </c>
      <c r="BA274">
        <f t="shared" si="22"/>
        <v>98</v>
      </c>
    </row>
    <row r="275" spans="1:53" ht="15.75" customHeight="1">
      <c r="A275" s="273">
        <v>99</v>
      </c>
      <c r="B275" s="273" t="str">
        <f t="shared" si="21"/>
        <v>NEAKTIVAN</v>
      </c>
      <c r="C275" s="302">
        <f t="shared" si="19"/>
        <v>273</v>
      </c>
      <c r="D275" s="1">
        <v>22</v>
      </c>
      <c r="E275" s="1" t="str">
        <f>VLOOKUP(D275,Table3[[#All],[RB]:[OIB]],2,0)</f>
        <v>International Line d.o.o.</v>
      </c>
      <c r="F275" s="4">
        <f>VLOOKUP(D275,Table3[],3,0)</f>
        <v>16157428650</v>
      </c>
      <c r="G275" s="1" t="str">
        <f>VLOOKUP(D275,Table3[],4,0)</f>
        <v>Zoltan Kiri</v>
      </c>
      <c r="H275" s="1" t="str">
        <f>VLOOKUP(D275,POSLODAVCI!$A$2:$J$107,9,0)</f>
        <v>Osijek</v>
      </c>
      <c r="I275" s="1" t="str">
        <f>VLOOKUP(D275,Table3[],10,0)</f>
        <v>Ivana Gundulića 28</v>
      </c>
      <c r="J275" s="1" t="s">
        <v>658</v>
      </c>
      <c r="K275" s="61">
        <v>43738</v>
      </c>
      <c r="L275" s="61">
        <v>43740</v>
      </c>
      <c r="M275" s="182">
        <v>78322261498</v>
      </c>
      <c r="N275" t="s">
        <v>89</v>
      </c>
      <c r="O275" s="7">
        <v>30928</v>
      </c>
      <c r="Q275" t="s">
        <v>82</v>
      </c>
      <c r="R275" t="s">
        <v>659</v>
      </c>
      <c r="S275" s="5" t="s">
        <v>83</v>
      </c>
      <c r="T275" t="s">
        <v>84</v>
      </c>
      <c r="V275" t="s">
        <v>660</v>
      </c>
      <c r="W275" t="s">
        <v>507</v>
      </c>
      <c r="X275" s="304" t="s">
        <v>103</v>
      </c>
      <c r="Y275" s="7"/>
      <c r="Z275" t="s">
        <v>86</v>
      </c>
      <c r="AA275">
        <v>40</v>
      </c>
      <c r="AC275" s="183"/>
      <c r="AE275" s="183"/>
      <c r="AH275" t="s">
        <v>94</v>
      </c>
      <c r="AL275" t="s">
        <v>83</v>
      </c>
      <c r="AM275" s="90">
        <v>5093.03</v>
      </c>
      <c r="AN275" s="184">
        <v>1</v>
      </c>
      <c r="AO275" s="15">
        <v>4000</v>
      </c>
      <c r="AW275" s="7"/>
      <c r="AZ275" t="s">
        <v>255</v>
      </c>
      <c r="BA275">
        <f t="shared" si="22"/>
        <v>99</v>
      </c>
    </row>
    <row r="276" spans="1:53" ht="15.75" customHeight="1">
      <c r="A276" s="273">
        <v>100</v>
      </c>
      <c r="B276" s="273" t="str">
        <f t="shared" si="21"/>
        <v>NEAKTIVAN</v>
      </c>
      <c r="C276" s="302">
        <f t="shared" si="19"/>
        <v>274</v>
      </c>
      <c r="D276" s="1">
        <v>22</v>
      </c>
      <c r="E276" s="1" t="str">
        <f>VLOOKUP(D276,Table3[[#All],[RB]:[OIB]],2,0)</f>
        <v>International Line d.o.o.</v>
      </c>
      <c r="F276" s="4">
        <f>VLOOKUP(D276,Table3[],3,0)</f>
        <v>16157428650</v>
      </c>
      <c r="G276" s="1" t="str">
        <f>VLOOKUP(D276,Table3[],4,0)</f>
        <v>Zoltan Kiri</v>
      </c>
      <c r="H276" s="1" t="str">
        <f>VLOOKUP(D276,POSLODAVCI!$A$2:$J$107,9,0)</f>
        <v>Osijek</v>
      </c>
      <c r="I276" s="1" t="str">
        <f>VLOOKUP(D276,Table3[],10,0)</f>
        <v>Ivana Gundulića 28</v>
      </c>
      <c r="J276" s="1" t="s">
        <v>661</v>
      </c>
      <c r="K276" s="61">
        <v>43738</v>
      </c>
      <c r="L276" s="61">
        <v>43830</v>
      </c>
      <c r="M276" s="182">
        <v>11182815520</v>
      </c>
      <c r="N276" t="s">
        <v>80</v>
      </c>
      <c r="O276" s="7">
        <v>34775</v>
      </c>
      <c r="Q276" t="s">
        <v>82</v>
      </c>
      <c r="R276" t="s">
        <v>662</v>
      </c>
      <c r="S276" s="5" t="s">
        <v>83</v>
      </c>
      <c r="T276" t="s">
        <v>84</v>
      </c>
      <c r="V276" t="s">
        <v>663</v>
      </c>
      <c r="W276" t="s">
        <v>664</v>
      </c>
      <c r="X276" s="304" t="s">
        <v>103</v>
      </c>
      <c r="Y276" s="7"/>
      <c r="Z276" t="s">
        <v>86</v>
      </c>
      <c r="AA276">
        <v>40</v>
      </c>
      <c r="AB276" t="s">
        <v>665</v>
      </c>
      <c r="AC276" s="183"/>
      <c r="AE276" s="183"/>
      <c r="AH276" t="s">
        <v>94</v>
      </c>
      <c r="AL276" t="s">
        <v>83</v>
      </c>
      <c r="AM276" s="90">
        <v>5093.03</v>
      </c>
      <c r="AN276" s="184">
        <v>1</v>
      </c>
      <c r="AO276" s="15">
        <v>4000</v>
      </c>
      <c r="AW276" s="7"/>
      <c r="AZ276" t="s">
        <v>255</v>
      </c>
      <c r="BA276">
        <f t="shared" si="22"/>
        <v>100</v>
      </c>
    </row>
    <row r="277" spans="1:53" ht="15.75" customHeight="1">
      <c r="A277" s="273">
        <v>101</v>
      </c>
      <c r="B277" s="273" t="str">
        <f t="shared" si="21"/>
        <v>NEAKTIVAN</v>
      </c>
      <c r="C277" s="302">
        <f t="shared" si="19"/>
        <v>275</v>
      </c>
      <c r="D277" s="1">
        <v>22</v>
      </c>
      <c r="E277" s="1" t="str">
        <f>VLOOKUP(D277,Table3[[#All],[RB]:[OIB]],2,0)</f>
        <v>International Line d.o.o.</v>
      </c>
      <c r="F277" s="4">
        <f>VLOOKUP(D277,Table3[],3,0)</f>
        <v>16157428650</v>
      </c>
      <c r="G277" s="1" t="str">
        <f>VLOOKUP(D277,Table3[],4,0)</f>
        <v>Zoltan Kiri</v>
      </c>
      <c r="H277" s="1" t="str">
        <f>VLOOKUP(D277,POSLODAVCI!$A$2:$J$107,9,0)</f>
        <v>Osijek</v>
      </c>
      <c r="I277" s="1" t="str">
        <f>VLOOKUP(D277,Table3[],10,0)</f>
        <v>Ivana Gundulića 28</v>
      </c>
      <c r="J277" s="1" t="s">
        <v>666</v>
      </c>
      <c r="K277" s="61">
        <v>43739</v>
      </c>
      <c r="L277" s="61">
        <v>43921</v>
      </c>
      <c r="M277" s="137" t="s">
        <v>667</v>
      </c>
      <c r="N277" t="s">
        <v>80</v>
      </c>
      <c r="O277" s="7">
        <v>43604</v>
      </c>
      <c r="P277" t="s">
        <v>81</v>
      </c>
      <c r="Q277" t="s">
        <v>82</v>
      </c>
      <c r="R277" t="s">
        <v>668</v>
      </c>
      <c r="S277" s="5" t="s">
        <v>83</v>
      </c>
      <c r="T277" t="s">
        <v>84</v>
      </c>
      <c r="V277" t="s">
        <v>143</v>
      </c>
      <c r="W277" t="s">
        <v>143</v>
      </c>
      <c r="X277" s="304" t="s">
        <v>85</v>
      </c>
      <c r="Y277" s="7">
        <v>43769</v>
      </c>
      <c r="Z277" t="s">
        <v>86</v>
      </c>
      <c r="AA277">
        <v>40</v>
      </c>
      <c r="AB277" t="s">
        <v>669</v>
      </c>
      <c r="AC277" s="183"/>
      <c r="AE277" s="183"/>
      <c r="AH277" t="s">
        <v>94</v>
      </c>
      <c r="AL277" t="s">
        <v>83</v>
      </c>
      <c r="AM277" s="90">
        <v>4062.51</v>
      </c>
      <c r="AN277" s="184">
        <v>1</v>
      </c>
      <c r="AO277" s="15">
        <v>3200</v>
      </c>
      <c r="AW277" s="7"/>
      <c r="AZ277" t="s">
        <v>255</v>
      </c>
      <c r="BA277">
        <f t="shared" si="22"/>
        <v>101</v>
      </c>
    </row>
    <row r="278" spans="1:53" ht="15.75" customHeight="1">
      <c r="A278" s="273">
        <v>102</v>
      </c>
      <c r="B278" s="273" t="str">
        <f t="shared" si="21"/>
        <v>NEAKTIVAN</v>
      </c>
      <c r="C278" s="302">
        <f t="shared" si="19"/>
        <v>276</v>
      </c>
      <c r="D278" s="1">
        <v>22</v>
      </c>
      <c r="E278" s="1" t="str">
        <f>VLOOKUP(D278,Table3[[#All],[RB]:[OIB]],2,0)</f>
        <v>International Line d.o.o.</v>
      </c>
      <c r="F278" s="4">
        <f>VLOOKUP(D278,Table3[],3,0)</f>
        <v>16157428650</v>
      </c>
      <c r="G278" s="1" t="str">
        <f>VLOOKUP(D278,Table3[],4,0)</f>
        <v>Zoltan Kiri</v>
      </c>
      <c r="H278" s="1" t="str">
        <f>VLOOKUP(D278,POSLODAVCI!$A$2:$J$107,9,0)</f>
        <v>Osijek</v>
      </c>
      <c r="I278" s="1" t="str">
        <f>VLOOKUP(D278,Table3[],10,0)</f>
        <v>Ivana Gundulića 28</v>
      </c>
      <c r="J278" s="1" t="s">
        <v>670</v>
      </c>
      <c r="K278" s="61">
        <v>43739</v>
      </c>
      <c r="L278" s="61">
        <v>43777</v>
      </c>
      <c r="M278" s="182">
        <v>43885343400</v>
      </c>
      <c r="N278" t="s">
        <v>80</v>
      </c>
      <c r="O278" s="7">
        <v>26627</v>
      </c>
      <c r="Q278" t="s">
        <v>82</v>
      </c>
      <c r="R278" t="s">
        <v>671</v>
      </c>
      <c r="S278" s="5" t="s">
        <v>83</v>
      </c>
      <c r="T278" t="s">
        <v>84</v>
      </c>
      <c r="V278" t="s">
        <v>93</v>
      </c>
      <c r="W278" t="s">
        <v>93</v>
      </c>
      <c r="X278" s="304" t="s">
        <v>103</v>
      </c>
      <c r="Y278" s="7"/>
      <c r="Z278" t="s">
        <v>86</v>
      </c>
      <c r="AA278">
        <v>40</v>
      </c>
      <c r="AB278" t="s">
        <v>672</v>
      </c>
      <c r="AC278" s="183"/>
      <c r="AE278" s="183"/>
      <c r="AH278" t="s">
        <v>94</v>
      </c>
      <c r="AL278" t="s">
        <v>83</v>
      </c>
      <c r="AM278" s="90">
        <v>5084.22</v>
      </c>
      <c r="AN278" s="184">
        <v>1</v>
      </c>
      <c r="AO278" s="15">
        <v>4000</v>
      </c>
      <c r="AW278" s="7"/>
      <c r="AZ278" t="s">
        <v>255</v>
      </c>
      <c r="BA278">
        <f t="shared" si="22"/>
        <v>102</v>
      </c>
    </row>
    <row r="279" spans="1:53" ht="15.75" customHeight="1">
      <c r="A279" s="273">
        <v>3</v>
      </c>
      <c r="B279" s="273" t="str">
        <f t="shared" si="21"/>
        <v>NEAKTIVAN</v>
      </c>
      <c r="C279" s="302">
        <f t="shared" si="19"/>
        <v>277</v>
      </c>
      <c r="D279" s="1">
        <v>26</v>
      </c>
      <c r="E279" s="1" t="str">
        <f>VLOOKUP(D279,Table3[[#All],[RB]:[OIB]],2,0)</f>
        <v>D-INVOICE D.O.O.</v>
      </c>
      <c r="F279" s="4">
        <f>VLOOKUP(D279,Table3[],3,0)</f>
        <v>95114485977</v>
      </c>
      <c r="G279" s="1" t="str">
        <f>VLOOKUP(D279,Table3[],4,0)</f>
        <v>LAURA GERGELJ</v>
      </c>
      <c r="H279" s="1" t="str">
        <f>VLOOKUP(D279,POSLODAVCI!$A$2:$J$107,9,0)</f>
        <v>Osijek</v>
      </c>
      <c r="I279" s="1" t="str">
        <f>VLOOKUP(D279,Table3[],10,0)</f>
        <v>SV.IVANA KRSTITELJA 15, DARDA</v>
      </c>
      <c r="J279" s="1" t="s">
        <v>708</v>
      </c>
      <c r="K279" s="61">
        <v>43759</v>
      </c>
      <c r="L279" s="61">
        <v>43760</v>
      </c>
      <c r="M279" s="182">
        <v>24297927326</v>
      </c>
      <c r="N279" t="s">
        <v>80</v>
      </c>
      <c r="O279" s="7">
        <v>32295</v>
      </c>
      <c r="P279" t="s">
        <v>180</v>
      </c>
      <c r="Q279" t="s">
        <v>82</v>
      </c>
      <c r="R279" t="s">
        <v>709</v>
      </c>
      <c r="S279" s="5" t="s">
        <v>83</v>
      </c>
      <c r="T279" t="s">
        <v>84</v>
      </c>
      <c r="V279" t="s">
        <v>710</v>
      </c>
      <c r="W279" t="s">
        <v>710</v>
      </c>
      <c r="X279" s="304" t="s">
        <v>85</v>
      </c>
      <c r="Y279" s="7">
        <v>43760</v>
      </c>
      <c r="Z279" t="s">
        <v>86</v>
      </c>
      <c r="AA279">
        <v>40</v>
      </c>
      <c r="AB279" t="s">
        <v>711</v>
      </c>
      <c r="AC279" s="183"/>
      <c r="AE279" s="183"/>
      <c r="AH279" t="s">
        <v>94</v>
      </c>
      <c r="AL279" t="s">
        <v>83</v>
      </c>
      <c r="AM279" s="90">
        <v>3750</v>
      </c>
      <c r="AN279" s="184">
        <v>1</v>
      </c>
      <c r="AO279" s="15">
        <v>3000</v>
      </c>
      <c r="AP279">
        <v>275</v>
      </c>
      <c r="AW279" s="7"/>
      <c r="AZ279" t="s">
        <v>255</v>
      </c>
      <c r="BA279">
        <f t="shared" si="22"/>
        <v>3</v>
      </c>
    </row>
    <row r="280" spans="1:53" ht="15.75" customHeight="1">
      <c r="A280" s="273">
        <v>4</v>
      </c>
      <c r="B280" s="273" t="str">
        <f t="shared" si="21"/>
        <v>NEAKTIVAN</v>
      </c>
      <c r="C280" s="302">
        <f t="shared" si="19"/>
        <v>278</v>
      </c>
      <c r="D280" s="1">
        <v>26</v>
      </c>
      <c r="E280" s="1" t="str">
        <f>VLOOKUP(D280,Table3[[#All],[RB]:[OIB]],2,0)</f>
        <v>D-INVOICE D.O.O.</v>
      </c>
      <c r="F280" s="4">
        <f>VLOOKUP(D280,Table3[],3,0)</f>
        <v>95114485977</v>
      </c>
      <c r="G280" s="1" t="str">
        <f>VLOOKUP(D280,Table3[],4,0)</f>
        <v>LAURA GERGELJ</v>
      </c>
      <c r="H280" s="1" t="str">
        <f>VLOOKUP(D280,POSLODAVCI!$A$2:$J$107,9,0)</f>
        <v>Osijek</v>
      </c>
      <c r="I280" s="1" t="str">
        <f>VLOOKUP(D280,Table3[],10,0)</f>
        <v>SV.IVANA KRSTITELJA 15, DARDA</v>
      </c>
      <c r="J280" s="1" t="s">
        <v>708</v>
      </c>
      <c r="K280" s="61">
        <v>43761</v>
      </c>
      <c r="L280" s="61">
        <v>43763</v>
      </c>
      <c r="M280" s="182">
        <v>24297927326</v>
      </c>
      <c r="N280" t="s">
        <v>80</v>
      </c>
      <c r="O280" s="7">
        <v>32295</v>
      </c>
      <c r="P280" t="s">
        <v>180</v>
      </c>
      <c r="Q280" t="s">
        <v>82</v>
      </c>
      <c r="R280" t="s">
        <v>709</v>
      </c>
      <c r="S280" s="5" t="s">
        <v>83</v>
      </c>
      <c r="T280" t="s">
        <v>84</v>
      </c>
      <c r="V280" t="s">
        <v>710</v>
      </c>
      <c r="W280" t="s">
        <v>710</v>
      </c>
      <c r="X280" s="304" t="s">
        <v>85</v>
      </c>
      <c r="Y280" s="7">
        <v>43763</v>
      </c>
      <c r="Z280" t="s">
        <v>86</v>
      </c>
      <c r="AA280">
        <v>40</v>
      </c>
      <c r="AB280" t="s">
        <v>711</v>
      </c>
      <c r="AC280" s="183"/>
      <c r="AE280" s="183"/>
      <c r="AH280" t="s">
        <v>94</v>
      </c>
      <c r="AL280" t="s">
        <v>83</v>
      </c>
      <c r="AM280" s="90">
        <v>3750</v>
      </c>
      <c r="AN280" s="184">
        <v>1</v>
      </c>
      <c r="AO280" s="15">
        <v>3000</v>
      </c>
      <c r="AP280"/>
      <c r="AW280" s="7"/>
      <c r="AZ280" t="s">
        <v>255</v>
      </c>
      <c r="BA280">
        <f t="shared" si="22"/>
        <v>4</v>
      </c>
    </row>
    <row r="281" spans="1:53" ht="15.75" customHeight="1">
      <c r="A281" s="273">
        <v>103</v>
      </c>
      <c r="B281" s="273" t="str">
        <f t="shared" si="21"/>
        <v>NEAKTIVAN</v>
      </c>
      <c r="C281" s="302">
        <f t="shared" si="19"/>
        <v>279</v>
      </c>
      <c r="D281" s="1">
        <v>22</v>
      </c>
      <c r="E281" s="1" t="str">
        <f>VLOOKUP(D281,Table3[[#All],[RB]:[OIB]],2,0)</f>
        <v>International Line d.o.o.</v>
      </c>
      <c r="F281" s="4">
        <f>VLOOKUP(D281,Table3[],3,0)</f>
        <v>16157428650</v>
      </c>
      <c r="G281" s="1" t="str">
        <f>VLOOKUP(D281,Table3[],4,0)</f>
        <v>Zoltan Kiri</v>
      </c>
      <c r="H281" s="1" t="str">
        <f>VLOOKUP(D281,POSLODAVCI!$A$2:$J$107,9,0)</f>
        <v>Osijek</v>
      </c>
      <c r="I281" s="1" t="str">
        <f>VLOOKUP(D281,Table3[],10,0)</f>
        <v>Ivana Gundulića 28</v>
      </c>
      <c r="J281" s="1" t="s">
        <v>673</v>
      </c>
      <c r="K281" s="61">
        <v>43745</v>
      </c>
      <c r="L281" s="61">
        <v>43833</v>
      </c>
      <c r="M281" s="182">
        <v>43967381603</v>
      </c>
      <c r="N281" t="s">
        <v>80</v>
      </c>
      <c r="O281" s="7">
        <v>36216</v>
      </c>
      <c r="P281" t="s">
        <v>81</v>
      </c>
      <c r="Q281" t="s">
        <v>82</v>
      </c>
      <c r="R281" t="s">
        <v>674</v>
      </c>
      <c r="S281" s="5" t="s">
        <v>83</v>
      </c>
      <c r="T281" t="s">
        <v>84</v>
      </c>
      <c r="V281" t="s">
        <v>143</v>
      </c>
      <c r="W281" t="s">
        <v>143</v>
      </c>
      <c r="X281" s="304" t="s">
        <v>85</v>
      </c>
      <c r="Y281" s="7">
        <v>43769</v>
      </c>
      <c r="Z281" t="s">
        <v>86</v>
      </c>
      <c r="AA281">
        <v>40</v>
      </c>
      <c r="AB281" t="s">
        <v>675</v>
      </c>
      <c r="AC281" s="183"/>
      <c r="AE281" s="183"/>
      <c r="AH281" t="s">
        <v>94</v>
      </c>
      <c r="AL281" t="s">
        <v>83</v>
      </c>
      <c r="AM281" s="90">
        <v>4062.51</v>
      </c>
      <c r="AN281" s="184">
        <v>1</v>
      </c>
      <c r="AO281" s="15">
        <v>3200</v>
      </c>
      <c r="AW281" s="7"/>
      <c r="AZ281" t="s">
        <v>255</v>
      </c>
      <c r="BA281">
        <f t="shared" si="22"/>
        <v>103</v>
      </c>
    </row>
    <row r="282" spans="1:53" ht="15.75" customHeight="1">
      <c r="A282" s="273">
        <v>104</v>
      </c>
      <c r="B282" s="273" t="str">
        <f t="shared" si="21"/>
        <v>NEAKTIVAN</v>
      </c>
      <c r="C282" s="302">
        <f t="shared" si="19"/>
        <v>280</v>
      </c>
      <c r="D282" s="1">
        <v>22</v>
      </c>
      <c r="E282" s="1" t="str">
        <f>VLOOKUP(D282,Table3[[#All],[RB]:[OIB]],2,0)</f>
        <v>International Line d.o.o.</v>
      </c>
      <c r="F282" s="4">
        <f>VLOOKUP(D282,Table3[],3,0)</f>
        <v>16157428650</v>
      </c>
      <c r="G282" s="1" t="str">
        <f>VLOOKUP(D282,Table3[],4,0)</f>
        <v>Zoltan Kiri</v>
      </c>
      <c r="H282" s="1" t="str">
        <f>VLOOKUP(D282,POSLODAVCI!$A$2:$J$107,9,0)</f>
        <v>Osijek</v>
      </c>
      <c r="I282" s="1" t="str">
        <f>VLOOKUP(D282,Table3[],10,0)</f>
        <v>Ivana Gundulića 28</v>
      </c>
      <c r="J282" s="1" t="s">
        <v>676</v>
      </c>
      <c r="K282" s="61">
        <v>43745</v>
      </c>
      <c r="L282" s="61">
        <v>43921</v>
      </c>
      <c r="M282" s="182">
        <v>19801410326</v>
      </c>
      <c r="N282" t="s">
        <v>80</v>
      </c>
      <c r="O282" s="7">
        <v>29133</v>
      </c>
      <c r="P282" t="s">
        <v>677</v>
      </c>
      <c r="Q282" t="s">
        <v>82</v>
      </c>
      <c r="R282" t="s">
        <v>678</v>
      </c>
      <c r="S282" s="5" t="s">
        <v>83</v>
      </c>
      <c r="T282" t="s">
        <v>84</v>
      </c>
      <c r="V282" t="s">
        <v>143</v>
      </c>
      <c r="W282" t="s">
        <v>143</v>
      </c>
      <c r="X282" s="304" t="s">
        <v>85</v>
      </c>
      <c r="Y282" s="7">
        <v>43769</v>
      </c>
      <c r="Z282" t="s">
        <v>86</v>
      </c>
      <c r="AA282">
        <v>40</v>
      </c>
      <c r="AB282" t="s">
        <v>679</v>
      </c>
      <c r="AC282" s="183"/>
      <c r="AE282" s="183"/>
      <c r="AH282" t="s">
        <v>81</v>
      </c>
      <c r="AL282" t="s">
        <v>83</v>
      </c>
      <c r="AM282" s="90">
        <v>4062.51</v>
      </c>
      <c r="AN282" s="184">
        <v>1</v>
      </c>
      <c r="AO282" s="15">
        <v>3200</v>
      </c>
      <c r="AW282" s="7"/>
      <c r="AZ282" t="s">
        <v>255</v>
      </c>
      <c r="BA282">
        <f t="shared" si="22"/>
        <v>104</v>
      </c>
    </row>
    <row r="283" spans="1:53" ht="15.75" customHeight="1">
      <c r="A283" s="273">
        <v>105</v>
      </c>
      <c r="B283" s="273" t="str">
        <f t="shared" si="21"/>
        <v>NEAKTIVAN</v>
      </c>
      <c r="C283" s="302">
        <f t="shared" si="19"/>
        <v>281</v>
      </c>
      <c r="D283" s="1">
        <v>22</v>
      </c>
      <c r="E283" s="1" t="str">
        <f>VLOOKUP(D283,Table3[[#All],[RB]:[OIB]],2,0)</f>
        <v>International Line d.o.o.</v>
      </c>
      <c r="F283" s="4">
        <f>VLOOKUP(D283,Table3[],3,0)</f>
        <v>16157428650</v>
      </c>
      <c r="G283" s="1" t="str">
        <f>VLOOKUP(D283,Table3[],4,0)</f>
        <v>Zoltan Kiri</v>
      </c>
      <c r="H283" s="1" t="str">
        <f>VLOOKUP(D283,POSLODAVCI!$A$2:$J$107,9,0)</f>
        <v>Osijek</v>
      </c>
      <c r="I283" s="1" t="str">
        <f>VLOOKUP(D283,Table3[],10,0)</f>
        <v>Ivana Gundulića 28</v>
      </c>
      <c r="J283" s="1" t="s">
        <v>680</v>
      </c>
      <c r="K283" s="61">
        <v>43745</v>
      </c>
      <c r="L283" s="61">
        <v>43792</v>
      </c>
      <c r="M283" s="182">
        <v>70897654173</v>
      </c>
      <c r="N283" t="s">
        <v>80</v>
      </c>
      <c r="O283" s="7">
        <v>28587</v>
      </c>
      <c r="P283" t="s">
        <v>81</v>
      </c>
      <c r="Q283" t="s">
        <v>82</v>
      </c>
      <c r="R283" t="s">
        <v>681</v>
      </c>
      <c r="S283" s="5" t="s">
        <v>83</v>
      </c>
      <c r="T283" t="s">
        <v>84</v>
      </c>
      <c r="V283" t="s">
        <v>682</v>
      </c>
      <c r="X283" s="304" t="s">
        <v>103</v>
      </c>
      <c r="Y283" s="7"/>
      <c r="Z283" t="s">
        <v>86</v>
      </c>
      <c r="AA283">
        <v>40</v>
      </c>
      <c r="AB283" t="s">
        <v>683</v>
      </c>
      <c r="AC283" s="183"/>
      <c r="AE283" s="183"/>
      <c r="AH283" t="s">
        <v>94</v>
      </c>
      <c r="AL283" t="s">
        <v>83</v>
      </c>
      <c r="AM283" s="90">
        <v>4375</v>
      </c>
      <c r="AN283" s="184">
        <v>1</v>
      </c>
      <c r="AO283" s="15">
        <v>4000</v>
      </c>
      <c r="AW283" s="7"/>
      <c r="AZ283" t="s">
        <v>255</v>
      </c>
      <c r="BA283">
        <f t="shared" si="22"/>
        <v>105</v>
      </c>
    </row>
    <row r="284" spans="1:53" ht="15.75" customHeight="1">
      <c r="A284" s="273">
        <v>106</v>
      </c>
      <c r="B284" s="273" t="str">
        <f t="shared" si="21"/>
        <v>NEAKTIVAN</v>
      </c>
      <c r="C284" s="302">
        <f t="shared" si="19"/>
        <v>282</v>
      </c>
      <c r="D284" s="1">
        <v>22</v>
      </c>
      <c r="E284" s="1" t="str">
        <f>VLOOKUP(D284,Table3[[#All],[RB]:[OIB]],2,0)</f>
        <v>International Line d.o.o.</v>
      </c>
      <c r="F284" s="4">
        <f>VLOOKUP(D284,Table3[],3,0)</f>
        <v>16157428650</v>
      </c>
      <c r="G284" s="1" t="str">
        <f>VLOOKUP(D284,Table3[],4,0)</f>
        <v>Zoltan Kiri</v>
      </c>
      <c r="H284" s="1" t="str">
        <f>VLOOKUP(D284,POSLODAVCI!$A$2:$J$107,9,0)</f>
        <v>Osijek</v>
      </c>
      <c r="I284" s="1" t="str">
        <f>VLOOKUP(D284,Table3[],10,0)</f>
        <v>Ivana Gundulića 28</v>
      </c>
      <c r="J284" s="1" t="s">
        <v>687</v>
      </c>
      <c r="K284" s="61">
        <v>43748</v>
      </c>
      <c r="L284" s="61">
        <v>43755</v>
      </c>
      <c r="M284" s="182">
        <v>49549168392</v>
      </c>
      <c r="N284" t="s">
        <v>80</v>
      </c>
      <c r="O284" s="7">
        <v>27333</v>
      </c>
      <c r="P284" t="s">
        <v>81</v>
      </c>
      <c r="Q284" t="s">
        <v>82</v>
      </c>
      <c r="R284" t="s">
        <v>688</v>
      </c>
      <c r="S284" s="5" t="s">
        <v>83</v>
      </c>
      <c r="T284" t="s">
        <v>310</v>
      </c>
      <c r="V284" t="s">
        <v>143</v>
      </c>
      <c r="W284" t="s">
        <v>143</v>
      </c>
      <c r="X284" s="304" t="s">
        <v>85</v>
      </c>
      <c r="Y284" s="7">
        <v>43769</v>
      </c>
      <c r="Z284" t="s">
        <v>86</v>
      </c>
      <c r="AA284">
        <v>40</v>
      </c>
      <c r="AB284" t="s">
        <v>689</v>
      </c>
      <c r="AC284" s="183"/>
      <c r="AE284" s="183"/>
      <c r="AH284" t="s">
        <v>94</v>
      </c>
      <c r="AL284" t="s">
        <v>428</v>
      </c>
      <c r="AM284" s="90">
        <v>3750</v>
      </c>
      <c r="AN284" s="184">
        <v>1</v>
      </c>
      <c r="AO284" s="15">
        <v>3000</v>
      </c>
      <c r="AW284" s="7"/>
      <c r="AZ284" t="s">
        <v>255</v>
      </c>
      <c r="BA284">
        <f t="shared" si="22"/>
        <v>106</v>
      </c>
    </row>
    <row r="285" spans="1:53" ht="15.75" customHeight="1">
      <c r="A285" s="273">
        <v>1</v>
      </c>
      <c r="B285" s="273" t="str">
        <f t="shared" si="21"/>
        <v>NEAKTIVAN</v>
      </c>
      <c r="C285" s="302">
        <f t="shared" si="19"/>
        <v>283</v>
      </c>
      <c r="D285" s="1">
        <v>29</v>
      </c>
      <c r="E285" s="1" t="str">
        <f>VLOOKUP(D285,Table3[[#All],[RB]:[OIB]],2,0)</f>
        <v>Alpha Adria Charter d.o.o.</v>
      </c>
      <c r="F285" s="4">
        <f>VLOOKUP(D285,Table3[],3,0)</f>
        <v>57699683738</v>
      </c>
      <c r="G285" s="1" t="str">
        <f>VLOOKUP(D285,Table3[],4,0)</f>
        <v>Adrienn Kinga Német</v>
      </c>
      <c r="H285" s="1" t="str">
        <f>VLOOKUP(D285,POSLODAVCI!$A$2:$J$107,9,0)</f>
        <v>MAKARSKA</v>
      </c>
      <c r="I285" s="1" t="str">
        <f>VLOOKUP(D285,Table3[],10,0)</f>
        <v>Ante Starčevića 32, etaža B/21</v>
      </c>
      <c r="J285" s="1" t="s">
        <v>726</v>
      </c>
      <c r="K285" s="61">
        <v>43831</v>
      </c>
      <c r="L285" s="61">
        <v>45069</v>
      </c>
      <c r="M285" s="182">
        <v>78645846484</v>
      </c>
      <c r="N285" s="16" t="s">
        <v>80</v>
      </c>
      <c r="O285" s="7"/>
      <c r="P285" s="16"/>
      <c r="Q285" s="16" t="s">
        <v>376</v>
      </c>
      <c r="R285" s="16"/>
      <c r="S285" s="17" t="s">
        <v>83</v>
      </c>
      <c r="T285" s="16" t="s">
        <v>84</v>
      </c>
      <c r="U285" s="16"/>
      <c r="V285" s="16" t="s">
        <v>418</v>
      </c>
      <c r="W285" s="16" t="s">
        <v>418</v>
      </c>
      <c r="X285" s="303" t="s">
        <v>103</v>
      </c>
      <c r="Y285" s="7"/>
      <c r="Z285" s="16" t="s">
        <v>1894</v>
      </c>
      <c r="AA285" s="16">
        <v>8</v>
      </c>
      <c r="AB285" s="16"/>
      <c r="AC285" s="183"/>
      <c r="AD285" s="16"/>
      <c r="AE285" s="183"/>
      <c r="AF285" s="16"/>
      <c r="AG285" s="16"/>
      <c r="AH285" s="16" t="s">
        <v>94</v>
      </c>
      <c r="AI285" s="16"/>
      <c r="AJ285" s="16"/>
      <c r="AK285" s="16"/>
      <c r="AL285" s="16" t="s">
        <v>83</v>
      </c>
      <c r="AM285" s="90">
        <f>5491.2/4</f>
        <v>1372.8</v>
      </c>
      <c r="AN285" s="184">
        <v>1</v>
      </c>
      <c r="AO285" s="15">
        <v>0</v>
      </c>
      <c r="AQ285" s="16"/>
      <c r="AR285" s="16"/>
      <c r="AS285" s="16"/>
      <c r="AT285" s="16"/>
      <c r="AU285" s="16"/>
      <c r="AV285" s="16"/>
      <c r="AW285" s="7"/>
      <c r="AX285" s="16"/>
      <c r="AY285" s="16"/>
      <c r="AZ285" s="16" t="s">
        <v>374</v>
      </c>
      <c r="BA285" s="16">
        <v>1</v>
      </c>
    </row>
    <row r="286" spans="1:53" ht="15.75" customHeight="1">
      <c r="A286" s="273">
        <v>3</v>
      </c>
      <c r="B286" s="273" t="str">
        <f t="shared" si="21"/>
        <v>NEAKTIVAN</v>
      </c>
      <c r="C286" s="302">
        <f t="shared" si="19"/>
        <v>284</v>
      </c>
      <c r="D286" s="1">
        <v>12</v>
      </c>
      <c r="E286" s="1" t="str">
        <f>VLOOKUP(D286,Table3[[#All],[RB]:[OIB]],2,0)</f>
        <v>Gumenet d.o.o.</v>
      </c>
      <c r="F286" s="4">
        <f>VLOOKUP(D286,Table3[],3,0)</f>
        <v>15151568161</v>
      </c>
      <c r="G286" s="1" t="str">
        <f>VLOOKUP(D286,Table3[],4,0)</f>
        <v>Zoltan Buthi</v>
      </c>
      <c r="H286" s="1" t="str">
        <f>VLOOKUP(D286,POSLODAVCI!$A$2:$J$107,9,0)</f>
        <v>Osijek</v>
      </c>
      <c r="I286" s="1" t="str">
        <f>VLOOKUP(D286,Table3[],10,0)</f>
        <v>I.F. Gundulića 5, 31000 Osijek</v>
      </c>
      <c r="J286" s="1" t="s">
        <v>727</v>
      </c>
      <c r="K286" s="61">
        <v>43466</v>
      </c>
      <c r="L286" s="61">
        <v>44255</v>
      </c>
      <c r="M286" s="89" t="s">
        <v>728</v>
      </c>
      <c r="N286" t="s">
        <v>80</v>
      </c>
      <c r="O286" s="7">
        <v>29580</v>
      </c>
      <c r="P286" t="s">
        <v>729</v>
      </c>
      <c r="Q286" t="s">
        <v>82</v>
      </c>
      <c r="R286" t="s">
        <v>730</v>
      </c>
      <c r="S286" s="5" t="s">
        <v>83</v>
      </c>
      <c r="T286" t="s">
        <v>84</v>
      </c>
      <c r="V286" t="s">
        <v>93</v>
      </c>
      <c r="W286" t="s">
        <v>93</v>
      </c>
      <c r="X286" s="304" t="s">
        <v>103</v>
      </c>
      <c r="Y286" s="7"/>
      <c r="Z286" s="16" t="s">
        <v>1894</v>
      </c>
      <c r="AA286">
        <v>20</v>
      </c>
      <c r="AB286" t="s">
        <v>731</v>
      </c>
      <c r="AC286" s="183"/>
      <c r="AE286" s="183"/>
      <c r="AH286" t="s">
        <v>94</v>
      </c>
      <c r="AL286" t="s">
        <v>83</v>
      </c>
      <c r="AM286" s="90">
        <v>4062.51</v>
      </c>
      <c r="AN286" s="184">
        <v>0</v>
      </c>
      <c r="AO286" s="15">
        <v>3200</v>
      </c>
      <c r="AW286" s="7"/>
      <c r="AZ286" s="16" t="s">
        <v>255</v>
      </c>
      <c r="BA286">
        <v>2</v>
      </c>
    </row>
    <row r="287" spans="1:53" ht="15.75" customHeight="1">
      <c r="A287" s="273">
        <v>20</v>
      </c>
      <c r="B287" s="273" t="str">
        <f t="shared" si="21"/>
        <v>AKTIVAN</v>
      </c>
      <c r="C287" s="302">
        <f t="shared" si="19"/>
        <v>285</v>
      </c>
      <c r="D287" s="1">
        <v>3</v>
      </c>
      <c r="E287" s="1" t="str">
        <f>VLOOKUP(D287,Table3[[#All],[RB]:[OIB]],2,0)</f>
        <v>AGRO PMD d.o.o.</v>
      </c>
      <c r="F287" s="4" t="str">
        <f>VLOOKUP(D287,Table3[],3,0)</f>
        <v>09677499852</v>
      </c>
      <c r="G287" s="1" t="str">
        <f>VLOOKUP(D287,Table3[],4,0)</f>
        <v>Imre Bata</v>
      </c>
      <c r="H287" s="1" t="str">
        <f>VLOOKUP(D287,POSLODAVCI!$A$2:$J$107,9,0)</f>
        <v>Osijek</v>
      </c>
      <c r="I287" s="1" t="str">
        <f>VLOOKUP(D287,Table3[],10,0)</f>
        <v>Južno Pregrađe 38, Osijek</v>
      </c>
      <c r="J287" s="1" t="s">
        <v>629</v>
      </c>
      <c r="K287" s="61">
        <v>43831</v>
      </c>
      <c r="L287" s="61"/>
      <c r="M287" s="182">
        <v>33945890205</v>
      </c>
      <c r="N287" t="s">
        <v>89</v>
      </c>
      <c r="O287" s="7">
        <v>35255</v>
      </c>
      <c r="Q287" t="s">
        <v>82</v>
      </c>
      <c r="R287" t="s">
        <v>630</v>
      </c>
      <c r="S287" s="5" t="s">
        <v>428</v>
      </c>
      <c r="T287" t="s">
        <v>84</v>
      </c>
      <c r="V287" t="s">
        <v>96</v>
      </c>
      <c r="W287" t="s">
        <v>96</v>
      </c>
      <c r="X287" s="304" t="s">
        <v>85</v>
      </c>
      <c r="Y287" s="7">
        <v>43555</v>
      </c>
      <c r="Z287" t="s">
        <v>86</v>
      </c>
      <c r="AA287">
        <v>40</v>
      </c>
      <c r="AB287" t="s">
        <v>631</v>
      </c>
      <c r="AC287" s="183"/>
      <c r="AE287" s="183"/>
      <c r="AH287" t="s">
        <v>94</v>
      </c>
      <c r="AL287" t="s">
        <v>428</v>
      </c>
      <c r="AM287" s="90">
        <v>5000</v>
      </c>
      <c r="AN287" s="184">
        <v>1</v>
      </c>
      <c r="AO287" s="15">
        <v>4000</v>
      </c>
      <c r="AW287" s="7"/>
      <c r="AZ287" t="s">
        <v>374</v>
      </c>
      <c r="BA287">
        <v>26</v>
      </c>
    </row>
    <row r="288" spans="1:53" ht="15.75" customHeight="1">
      <c r="A288" s="273">
        <v>107</v>
      </c>
      <c r="B288" s="273" t="str">
        <f t="shared" si="21"/>
        <v>NEAKTIVAN</v>
      </c>
      <c r="C288" s="302">
        <f t="shared" si="19"/>
        <v>286</v>
      </c>
      <c r="D288" s="1">
        <v>22</v>
      </c>
      <c r="E288" s="1" t="str">
        <f>VLOOKUP(D288,Table3[[#All],[RB]:[OIB]],2,0)</f>
        <v>International Line d.o.o.</v>
      </c>
      <c r="F288" s="4">
        <f>VLOOKUP(D288,Table3[],3,0)</f>
        <v>16157428650</v>
      </c>
      <c r="G288" s="1" t="str">
        <f>VLOOKUP(D288,Table3[],4,0)</f>
        <v>Zoltan Kiri</v>
      </c>
      <c r="H288" s="1" t="str">
        <f>VLOOKUP(D288,POSLODAVCI!$A$2:$J$107,9,0)</f>
        <v>Osijek</v>
      </c>
      <c r="I288" s="1" t="str">
        <f>VLOOKUP(D288,Table3[],10,0)</f>
        <v>Ivana Gundulića 28</v>
      </c>
      <c r="J288" s="1" t="s">
        <v>690</v>
      </c>
      <c r="K288" s="61">
        <v>43748</v>
      </c>
      <c r="L288" s="61">
        <v>43833</v>
      </c>
      <c r="M288" s="182">
        <v>55250378050</v>
      </c>
      <c r="N288" t="s">
        <v>89</v>
      </c>
      <c r="O288" s="7">
        <v>33383</v>
      </c>
      <c r="P288" t="s">
        <v>81</v>
      </c>
      <c r="Q288" t="s">
        <v>82</v>
      </c>
      <c r="R288" t="s">
        <v>691</v>
      </c>
      <c r="S288" s="5" t="s">
        <v>83</v>
      </c>
      <c r="T288" t="s">
        <v>247</v>
      </c>
      <c r="V288" t="s">
        <v>143</v>
      </c>
      <c r="W288" t="s">
        <v>143</v>
      </c>
      <c r="X288" s="304" t="s">
        <v>85</v>
      </c>
      <c r="Y288" s="7">
        <v>43769</v>
      </c>
      <c r="Z288" t="s">
        <v>86</v>
      </c>
      <c r="AA288">
        <v>40</v>
      </c>
      <c r="AB288" t="s">
        <v>692</v>
      </c>
      <c r="AC288" s="183"/>
      <c r="AE288" s="183"/>
      <c r="AH288" t="s">
        <v>94</v>
      </c>
      <c r="AL288" t="s">
        <v>83</v>
      </c>
      <c r="AM288" s="90">
        <v>4062.51</v>
      </c>
      <c r="AN288" s="184">
        <v>1</v>
      </c>
      <c r="AO288" s="15">
        <v>3200</v>
      </c>
      <c r="AW288" s="7"/>
      <c r="AZ288" t="s">
        <v>255</v>
      </c>
      <c r="BA288">
        <f>A288</f>
        <v>107</v>
      </c>
    </row>
    <row r="289" spans="1:80" ht="15.75" customHeight="1">
      <c r="A289" s="273">
        <v>108</v>
      </c>
      <c r="B289" s="273" t="str">
        <f t="shared" si="21"/>
        <v>NEAKTIVAN</v>
      </c>
      <c r="C289" s="302">
        <f t="shared" si="19"/>
        <v>287</v>
      </c>
      <c r="D289" s="1">
        <v>22</v>
      </c>
      <c r="E289" s="1" t="str">
        <f>VLOOKUP(D289,Table3[[#All],[RB]:[OIB]],2,0)</f>
        <v>International Line d.o.o.</v>
      </c>
      <c r="F289" s="4">
        <f>VLOOKUP(D289,Table3[],3,0)</f>
        <v>16157428650</v>
      </c>
      <c r="G289" s="1" t="str">
        <f>VLOOKUP(D289,Table3[],4,0)</f>
        <v>Zoltan Kiri</v>
      </c>
      <c r="H289" s="1" t="str">
        <f>VLOOKUP(D289,POSLODAVCI!$A$2:$J$107,9,0)</f>
        <v>Osijek</v>
      </c>
      <c r="I289" s="1" t="str">
        <f>VLOOKUP(D289,Table3[],10,0)</f>
        <v>Ivana Gundulića 28</v>
      </c>
      <c r="J289" s="1" t="s">
        <v>693</v>
      </c>
      <c r="K289" s="61">
        <v>43752</v>
      </c>
      <c r="L289" s="61">
        <v>43776</v>
      </c>
      <c r="M289" s="182">
        <v>43666946081</v>
      </c>
      <c r="N289" t="s">
        <v>89</v>
      </c>
      <c r="O289" s="7">
        <v>36094</v>
      </c>
      <c r="P289" t="s">
        <v>81</v>
      </c>
      <c r="Q289" t="s">
        <v>82</v>
      </c>
      <c r="R289" t="s">
        <v>694</v>
      </c>
      <c r="S289" s="5" t="s">
        <v>83</v>
      </c>
      <c r="T289" t="s">
        <v>84</v>
      </c>
      <c r="V289" t="s">
        <v>507</v>
      </c>
      <c r="W289" t="s">
        <v>507</v>
      </c>
      <c r="X289" s="304" t="s">
        <v>103</v>
      </c>
      <c r="Y289" s="7"/>
      <c r="Z289" t="s">
        <v>86</v>
      </c>
      <c r="AA289">
        <v>40</v>
      </c>
      <c r="AB289" t="s">
        <v>695</v>
      </c>
      <c r="AC289" s="183"/>
      <c r="AE289" s="183"/>
      <c r="AH289" t="s">
        <v>94</v>
      </c>
      <c r="AL289" t="s">
        <v>83</v>
      </c>
      <c r="AM289" s="90">
        <v>4375</v>
      </c>
      <c r="AN289" s="184">
        <v>1</v>
      </c>
      <c r="AO289" s="15">
        <v>4000</v>
      </c>
      <c r="AW289" s="7"/>
      <c r="AZ289" t="s">
        <v>255</v>
      </c>
      <c r="BA289">
        <f>A289</f>
        <v>108</v>
      </c>
    </row>
    <row r="290" spans="1:80" ht="15.75" customHeight="1">
      <c r="A290" s="273">
        <v>109</v>
      </c>
      <c r="B290" s="273" t="str">
        <f t="shared" si="21"/>
        <v>NEAKTIVAN</v>
      </c>
      <c r="C290" s="302">
        <f t="shared" si="19"/>
        <v>288</v>
      </c>
      <c r="D290" s="1">
        <v>22</v>
      </c>
      <c r="E290" s="1" t="str">
        <f>VLOOKUP(D290,Table3[[#All],[RB]:[OIB]],2,0)</f>
        <v>International Line d.o.o.</v>
      </c>
      <c r="F290" s="4">
        <f>VLOOKUP(D290,Table3[],3,0)</f>
        <v>16157428650</v>
      </c>
      <c r="G290" s="1" t="str">
        <f>VLOOKUP(D290,Table3[],4,0)</f>
        <v>Zoltan Kiri</v>
      </c>
      <c r="H290" s="1" t="str">
        <f>VLOOKUP(D290,POSLODAVCI!$A$2:$J$107,9,0)</f>
        <v>Osijek</v>
      </c>
      <c r="I290" s="1" t="str">
        <f>VLOOKUP(D290,Table3[],10,0)</f>
        <v>Ivana Gundulića 28</v>
      </c>
      <c r="J290" s="1" t="s">
        <v>696</v>
      </c>
      <c r="K290" s="61">
        <v>43754</v>
      </c>
      <c r="L290" s="61">
        <v>43903</v>
      </c>
      <c r="M290" s="182">
        <v>14787735803</v>
      </c>
      <c r="N290" t="s">
        <v>89</v>
      </c>
      <c r="O290" s="7">
        <v>32176</v>
      </c>
      <c r="P290" t="s">
        <v>81</v>
      </c>
      <c r="Q290" t="s">
        <v>82</v>
      </c>
      <c r="R290" t="s">
        <v>697</v>
      </c>
      <c r="S290" s="5" t="s">
        <v>83</v>
      </c>
      <c r="T290" t="s">
        <v>111</v>
      </c>
      <c r="V290" t="s">
        <v>143</v>
      </c>
      <c r="W290" t="s">
        <v>143</v>
      </c>
      <c r="X290" s="304" t="s">
        <v>85</v>
      </c>
      <c r="Y290" s="7"/>
      <c r="Z290" t="s">
        <v>86</v>
      </c>
      <c r="AA290">
        <v>40</v>
      </c>
      <c r="AB290" t="s">
        <v>698</v>
      </c>
      <c r="AC290" s="183"/>
      <c r="AE290" s="183"/>
      <c r="AH290" t="s">
        <v>94</v>
      </c>
      <c r="AL290" t="s">
        <v>428</v>
      </c>
      <c r="AM290" s="90">
        <v>4062.51</v>
      </c>
      <c r="AN290" s="184">
        <v>1</v>
      </c>
      <c r="AO290" s="15">
        <v>3200</v>
      </c>
      <c r="AW290" s="7"/>
      <c r="AZ290" t="s">
        <v>255</v>
      </c>
      <c r="BA290">
        <f>A290</f>
        <v>109</v>
      </c>
    </row>
    <row r="291" spans="1:80" ht="15.75" customHeight="1">
      <c r="A291" s="273">
        <v>110</v>
      </c>
      <c r="B291" s="273" t="str">
        <f t="shared" si="21"/>
        <v>NEAKTIVAN</v>
      </c>
      <c r="C291" s="302">
        <f t="shared" si="19"/>
        <v>289</v>
      </c>
      <c r="D291" s="1">
        <v>22</v>
      </c>
      <c r="E291" s="1" t="str">
        <f>VLOOKUP(D291,Table3[[#All],[RB]:[OIB]],2,0)</f>
        <v>International Line d.o.o.</v>
      </c>
      <c r="F291" s="4">
        <f>VLOOKUP(D291,Table3[],3,0)</f>
        <v>16157428650</v>
      </c>
      <c r="G291" s="1" t="str">
        <f>VLOOKUP(D291,Table3[],4,0)</f>
        <v>Zoltan Kiri</v>
      </c>
      <c r="H291" s="1" t="str">
        <f>VLOOKUP(D291,POSLODAVCI!$A$2:$J$107,9,0)</f>
        <v>Osijek</v>
      </c>
      <c r="I291" s="1" t="str">
        <f>VLOOKUP(D291,Table3[],10,0)</f>
        <v>Ivana Gundulića 28</v>
      </c>
      <c r="J291" s="1" t="s">
        <v>699</v>
      </c>
      <c r="K291" s="61">
        <v>43755</v>
      </c>
      <c r="L291" s="61">
        <v>43921</v>
      </c>
      <c r="M291" s="182">
        <v>95296633011</v>
      </c>
      <c r="N291" t="s">
        <v>89</v>
      </c>
      <c r="O291" s="7">
        <v>35284</v>
      </c>
      <c r="P291" t="s">
        <v>81</v>
      </c>
      <c r="Q291" t="s">
        <v>82</v>
      </c>
      <c r="R291" t="s">
        <v>700</v>
      </c>
      <c r="S291" s="5" t="s">
        <v>83</v>
      </c>
      <c r="T291" t="s">
        <v>84</v>
      </c>
      <c r="V291" t="s">
        <v>507</v>
      </c>
      <c r="W291" t="s">
        <v>701</v>
      </c>
      <c r="X291" s="304" t="s">
        <v>103</v>
      </c>
      <c r="Y291" s="7"/>
      <c r="Z291" t="s">
        <v>86</v>
      </c>
      <c r="AA291">
        <v>40</v>
      </c>
      <c r="AC291" s="183"/>
      <c r="AE291" s="183"/>
      <c r="AH291" t="s">
        <v>94</v>
      </c>
      <c r="AL291" t="s">
        <v>428</v>
      </c>
      <c r="AM291" s="90">
        <v>8426.4599999999991</v>
      </c>
      <c r="AN291" s="184">
        <v>1</v>
      </c>
      <c r="AO291" s="15">
        <v>6000</v>
      </c>
      <c r="AW291" s="7"/>
      <c r="AZ291" t="s">
        <v>255</v>
      </c>
      <c r="BA291">
        <f>A291</f>
        <v>110</v>
      </c>
    </row>
    <row r="292" spans="1:80" ht="15.75" customHeight="1">
      <c r="A292" s="273">
        <v>1</v>
      </c>
      <c r="B292" s="273" t="str">
        <f t="shared" si="21"/>
        <v>NEAKTIVAN</v>
      </c>
      <c r="C292" s="302">
        <f t="shared" si="19"/>
        <v>290</v>
      </c>
      <c r="D292" s="1">
        <v>30</v>
      </c>
      <c r="E292" s="1" t="str">
        <f>VLOOKUP(D292,Table3[[#All],[RB]:[OIB]],2,0)</f>
        <v>Čušpajz j.d.o.o.</v>
      </c>
      <c r="F292" s="4">
        <f>VLOOKUP(D292,Table3[],3,0)</f>
        <v>17119334585</v>
      </c>
      <c r="G292" s="1" t="str">
        <f>VLOOKUP(D292,Table3[],4,0)</f>
        <v>MARTINA ZAVRŠKI</v>
      </c>
      <c r="H292" s="1" t="str">
        <f>VLOOKUP(D292,POSLODAVCI!$A$2:$J$107,9,0)</f>
        <v>OSIJEK</v>
      </c>
      <c r="I292" s="1" t="str">
        <f>VLOOKUP(D292,Table3[],10,0)</f>
        <v>Gajev trg 6</v>
      </c>
      <c r="J292" s="1" t="s">
        <v>747</v>
      </c>
      <c r="K292" s="61">
        <v>43488</v>
      </c>
      <c r="L292" s="61">
        <v>43868</v>
      </c>
      <c r="M292" s="182">
        <v>71676673364</v>
      </c>
      <c r="N292" t="s">
        <v>80</v>
      </c>
      <c r="O292" s="7">
        <v>28077</v>
      </c>
      <c r="P292" t="s">
        <v>94</v>
      </c>
      <c r="Q292" t="s">
        <v>82</v>
      </c>
      <c r="R292" t="s">
        <v>748</v>
      </c>
      <c r="S292" s="5" t="s">
        <v>83</v>
      </c>
      <c r="T292" t="s">
        <v>84</v>
      </c>
      <c r="X292" s="303" t="s">
        <v>103</v>
      </c>
      <c r="Y292" s="7"/>
      <c r="Z292" t="s">
        <v>86</v>
      </c>
      <c r="AC292" s="183"/>
      <c r="AE292" s="183"/>
      <c r="AM292" s="90"/>
      <c r="AN292" s="184"/>
      <c r="AW292" s="7"/>
      <c r="AZ292" t="s">
        <v>255</v>
      </c>
      <c r="BA292">
        <v>1</v>
      </c>
    </row>
    <row r="293" spans="1:80" ht="15.75" customHeight="1">
      <c r="A293" s="273">
        <v>111</v>
      </c>
      <c r="B293" s="273" t="str">
        <f t="shared" si="21"/>
        <v>NEAKTIVAN</v>
      </c>
      <c r="C293" s="302">
        <f t="shared" si="19"/>
        <v>291</v>
      </c>
      <c r="D293" s="1">
        <v>22</v>
      </c>
      <c r="E293" s="1" t="str">
        <f>VLOOKUP(D293,Table3[[#All],[RB]:[OIB]],2,0)</f>
        <v>International Line d.o.o.</v>
      </c>
      <c r="F293" s="4">
        <f>VLOOKUP(D293,Table3[],3,0)</f>
        <v>16157428650</v>
      </c>
      <c r="G293" s="1" t="str">
        <f>VLOOKUP(D293,Table3[],4,0)</f>
        <v>Zoltan Kiri</v>
      </c>
      <c r="H293" s="1" t="str">
        <f>VLOOKUP(D293,POSLODAVCI!$A$2:$J$107,9,0)</f>
        <v>Osijek</v>
      </c>
      <c r="I293" s="1" t="str">
        <f>VLOOKUP(D293,Table3[],10,0)</f>
        <v>Ivana Gundulića 28</v>
      </c>
      <c r="J293" s="1" t="s">
        <v>702</v>
      </c>
      <c r="K293" s="61">
        <v>43759</v>
      </c>
      <c r="L293" s="61">
        <v>44196</v>
      </c>
      <c r="M293" s="182">
        <v>73717195719</v>
      </c>
      <c r="N293" t="s">
        <v>80</v>
      </c>
      <c r="O293" s="7">
        <v>31282</v>
      </c>
      <c r="P293" t="s">
        <v>81</v>
      </c>
      <c r="Q293" t="s">
        <v>82</v>
      </c>
      <c r="R293" t="s">
        <v>703</v>
      </c>
      <c r="S293" s="5" t="s">
        <v>83</v>
      </c>
      <c r="T293" t="s">
        <v>84</v>
      </c>
      <c r="V293" t="s">
        <v>143</v>
      </c>
      <c r="W293" t="s">
        <v>143</v>
      </c>
      <c r="X293" s="304" t="s">
        <v>85</v>
      </c>
      <c r="Y293" s="7">
        <v>43799</v>
      </c>
      <c r="Z293" t="s">
        <v>86</v>
      </c>
      <c r="AA293">
        <v>40</v>
      </c>
      <c r="AB293" t="s">
        <v>704</v>
      </c>
      <c r="AC293" s="183"/>
      <c r="AE293" s="183"/>
      <c r="AH293" t="s">
        <v>81</v>
      </c>
      <c r="AL293" t="s">
        <v>428</v>
      </c>
      <c r="AM293" s="90">
        <v>5084.22</v>
      </c>
      <c r="AN293" s="184">
        <v>1</v>
      </c>
      <c r="AO293" s="15">
        <v>3250</v>
      </c>
      <c r="AW293" s="7"/>
      <c r="AZ293" t="s">
        <v>374</v>
      </c>
      <c r="BA293">
        <f>A293</f>
        <v>111</v>
      </c>
    </row>
    <row r="294" spans="1:80" ht="15.75" customHeight="1">
      <c r="A294" s="273">
        <v>112</v>
      </c>
      <c r="B294" s="273" t="str">
        <f t="shared" si="21"/>
        <v>NEAKTIVAN</v>
      </c>
      <c r="C294" s="302">
        <f t="shared" si="19"/>
        <v>292</v>
      </c>
      <c r="D294" s="1">
        <v>22</v>
      </c>
      <c r="E294" s="1" t="str">
        <f>VLOOKUP(D294,Table3[[#All],[RB]:[OIB]],2,0)</f>
        <v>International Line d.o.o.</v>
      </c>
      <c r="F294" s="4">
        <f>VLOOKUP(D294,Table3[],3,0)</f>
        <v>16157428650</v>
      </c>
      <c r="G294" s="1" t="str">
        <f>VLOOKUP(D294,Table3[],4,0)</f>
        <v>Zoltan Kiri</v>
      </c>
      <c r="H294" s="1" t="str">
        <f>VLOOKUP(D294,POSLODAVCI!$A$2:$J$107,9,0)</f>
        <v>Osijek</v>
      </c>
      <c r="I294" s="1" t="str">
        <f>VLOOKUP(D294,Table3[],10,0)</f>
        <v>Ivana Gundulića 28</v>
      </c>
      <c r="J294" s="1" t="s">
        <v>712</v>
      </c>
      <c r="K294" s="61">
        <v>43787</v>
      </c>
      <c r="L294" s="61">
        <v>44135</v>
      </c>
      <c r="M294" s="182">
        <v>8074805255</v>
      </c>
      <c r="N294" t="s">
        <v>80</v>
      </c>
      <c r="O294" s="7">
        <v>36826</v>
      </c>
      <c r="P294" t="s">
        <v>81</v>
      </c>
      <c r="Q294" t="s">
        <v>82</v>
      </c>
      <c r="R294" t="s">
        <v>713</v>
      </c>
      <c r="S294" s="5" t="s">
        <v>83</v>
      </c>
      <c r="T294" t="s">
        <v>84</v>
      </c>
      <c r="V294" t="s">
        <v>143</v>
      </c>
      <c r="W294" t="s">
        <v>143</v>
      </c>
      <c r="X294" s="304" t="s">
        <v>85</v>
      </c>
      <c r="Y294" s="7"/>
      <c r="Z294" t="s">
        <v>86</v>
      </c>
      <c r="AA294">
        <v>40</v>
      </c>
      <c r="AB294" t="s">
        <v>714</v>
      </c>
      <c r="AC294" s="183"/>
      <c r="AE294" s="183"/>
      <c r="AH294" t="s">
        <v>81</v>
      </c>
      <c r="AL294" t="s">
        <v>83</v>
      </c>
      <c r="AM294" s="90">
        <v>4062.51</v>
      </c>
      <c r="AN294" s="184">
        <v>1</v>
      </c>
      <c r="AO294" s="15">
        <v>3250</v>
      </c>
      <c r="AW294" s="7"/>
      <c r="AZ294" t="s">
        <v>255</v>
      </c>
      <c r="BA294">
        <f>A294</f>
        <v>112</v>
      </c>
    </row>
    <row r="295" spans="1:80" ht="15.75" customHeight="1">
      <c r="A295" s="273">
        <v>113</v>
      </c>
      <c r="B295" s="273" t="str">
        <f t="shared" si="21"/>
        <v>NEAKTIVAN</v>
      </c>
      <c r="C295" s="302">
        <f t="shared" si="19"/>
        <v>293</v>
      </c>
      <c r="D295" s="1">
        <v>22</v>
      </c>
      <c r="E295" s="1" t="str">
        <f>VLOOKUP(D295,Table3[[#All],[RB]:[OIB]],2,0)</f>
        <v>International Line d.o.o.</v>
      </c>
      <c r="F295" s="4">
        <f>VLOOKUP(D295,Table3[],3,0)</f>
        <v>16157428650</v>
      </c>
      <c r="G295" s="1" t="str">
        <f>VLOOKUP(D295,Table3[],4,0)</f>
        <v>Zoltan Kiri</v>
      </c>
      <c r="H295" s="1" t="str">
        <f>VLOOKUP(D295,POSLODAVCI!$A$2:$J$107,9,0)</f>
        <v>Osijek</v>
      </c>
      <c r="I295" s="1" t="str">
        <f>VLOOKUP(D295,Table3[],10,0)</f>
        <v>Ivana Gundulića 28</v>
      </c>
      <c r="J295" s="1" t="s">
        <v>720</v>
      </c>
      <c r="K295" s="61">
        <v>43794</v>
      </c>
      <c r="L295" s="61">
        <v>43921</v>
      </c>
      <c r="M295" s="182">
        <v>36681141390</v>
      </c>
      <c r="N295" s="16" t="s">
        <v>80</v>
      </c>
      <c r="O295" s="7">
        <v>37110</v>
      </c>
      <c r="P295" s="16" t="s">
        <v>721</v>
      </c>
      <c r="Q295" s="16" t="s">
        <v>82</v>
      </c>
      <c r="R295" s="16" t="s">
        <v>722</v>
      </c>
      <c r="S295" s="17" t="s">
        <v>83</v>
      </c>
      <c r="T295" s="16" t="s">
        <v>84</v>
      </c>
      <c r="U295" s="16"/>
      <c r="V295" s="16" t="s">
        <v>143</v>
      </c>
      <c r="W295" s="16" t="s">
        <v>143</v>
      </c>
      <c r="X295" s="303" t="s">
        <v>85</v>
      </c>
      <c r="Y295" s="7"/>
      <c r="Z295" s="16" t="s">
        <v>86</v>
      </c>
      <c r="AA295" s="16">
        <v>40</v>
      </c>
      <c r="AB295" s="16" t="s">
        <v>723</v>
      </c>
      <c r="AC295" s="183"/>
      <c r="AD295" s="16"/>
      <c r="AE295" s="183"/>
      <c r="AF295" s="16"/>
      <c r="AG295" s="16"/>
      <c r="AH295" s="16" t="s">
        <v>94</v>
      </c>
      <c r="AI295" s="16"/>
      <c r="AJ295" s="16"/>
      <c r="AK295" s="16"/>
      <c r="AL295" s="16" t="s">
        <v>83</v>
      </c>
      <c r="AM295" s="90">
        <v>4062.51</v>
      </c>
      <c r="AN295" s="184">
        <v>1</v>
      </c>
      <c r="AO295" s="15">
        <v>3200</v>
      </c>
      <c r="AQ295" s="16"/>
      <c r="AR295" s="16"/>
      <c r="AS295" s="16"/>
      <c r="AT295" s="16"/>
      <c r="AU295" s="16"/>
      <c r="AV295" s="16"/>
      <c r="AW295" s="7"/>
      <c r="AX295" s="16"/>
      <c r="AY295" s="16"/>
      <c r="AZ295" s="16" t="s">
        <v>255</v>
      </c>
      <c r="BA295">
        <f>A295</f>
        <v>113</v>
      </c>
    </row>
    <row r="296" spans="1:80" ht="15.75" customHeight="1">
      <c r="A296" s="273">
        <v>5</v>
      </c>
      <c r="B296" s="273" t="str">
        <f t="shared" si="21"/>
        <v>AKTIVAN</v>
      </c>
      <c r="C296" s="302">
        <f t="shared" si="19"/>
        <v>294</v>
      </c>
      <c r="D296" s="194">
        <v>26</v>
      </c>
      <c r="E296" s="1" t="str">
        <f>VLOOKUP(D296,Table3[[#All],[RB]:[OIB]],2,0)</f>
        <v>D-INVOICE D.O.O.</v>
      </c>
      <c r="F296" s="4">
        <f>VLOOKUP(D296,Table3[],3,0)</f>
        <v>95114485977</v>
      </c>
      <c r="G296" s="1" t="str">
        <f>VLOOKUP(D296,Table3[],4,0)</f>
        <v>LAURA GERGELJ</v>
      </c>
      <c r="H296" s="1" t="str">
        <f>VLOOKUP(D296,POSLODAVCI!$A$2:$J$107,9,0)</f>
        <v>Osijek</v>
      </c>
      <c r="I296" s="1" t="str">
        <f>VLOOKUP(D296,Table3[],10,0)</f>
        <v>SV.IVANA KRSTITELJA 15, DARDA</v>
      </c>
      <c r="J296" s="194" t="s">
        <v>706</v>
      </c>
      <c r="K296" s="195">
        <v>43851</v>
      </c>
      <c r="L296" s="195"/>
      <c r="M296" s="182">
        <v>38072963871</v>
      </c>
      <c r="N296" t="s">
        <v>80</v>
      </c>
      <c r="O296" s="7">
        <v>43894</v>
      </c>
      <c r="P296" t="s">
        <v>763</v>
      </c>
      <c r="X296" s="304"/>
      <c r="Y296" s="7"/>
      <c r="AC296" s="183"/>
      <c r="AE296" s="183"/>
      <c r="AM296" s="355">
        <v>8500</v>
      </c>
      <c r="AN296" s="184"/>
      <c r="AO296" s="15">
        <v>6005.42</v>
      </c>
      <c r="AW296" s="7"/>
      <c r="AZ296" s="16" t="s">
        <v>374</v>
      </c>
      <c r="BA296">
        <v>7</v>
      </c>
    </row>
    <row r="297" spans="1:80" ht="15.75" customHeight="1">
      <c r="A297" s="273">
        <v>114</v>
      </c>
      <c r="B297" s="273" t="str">
        <f t="shared" si="21"/>
        <v>NEAKTIVAN</v>
      </c>
      <c r="C297" s="302">
        <f t="shared" si="19"/>
        <v>295</v>
      </c>
      <c r="D297" s="1">
        <v>22</v>
      </c>
      <c r="E297" s="1" t="str">
        <f>VLOOKUP(D297,Table3[[#All],[RB]:[OIB]],2,0)</f>
        <v>International Line d.o.o.</v>
      </c>
      <c r="F297" s="4">
        <f>VLOOKUP(D297,Table3[],3,0)</f>
        <v>16157428650</v>
      </c>
      <c r="G297" s="1" t="str">
        <f>VLOOKUP(D297,Table3[],4,0)</f>
        <v>Zoltan Kiri</v>
      </c>
      <c r="H297" s="1" t="str">
        <f>VLOOKUP(D297,POSLODAVCI!$A$2:$J$107,9,0)</f>
        <v>Osijek</v>
      </c>
      <c r="I297" s="1" t="str">
        <f>VLOOKUP(D297,Table3[],10,0)</f>
        <v>Ivana Gundulića 28</v>
      </c>
      <c r="J297" s="1" t="s">
        <v>724</v>
      </c>
      <c r="K297" s="61">
        <v>43795</v>
      </c>
      <c r="L297" s="61">
        <v>44165</v>
      </c>
      <c r="M297" s="182">
        <v>72105749783</v>
      </c>
      <c r="N297" t="s">
        <v>80</v>
      </c>
      <c r="O297" s="7">
        <v>34073</v>
      </c>
      <c r="P297" t="s">
        <v>81</v>
      </c>
      <c r="Q297" t="s">
        <v>82</v>
      </c>
      <c r="S297" s="5" t="s">
        <v>83</v>
      </c>
      <c r="T297" t="s">
        <v>84</v>
      </c>
      <c r="V297" t="s">
        <v>143</v>
      </c>
      <c r="W297" t="s">
        <v>143</v>
      </c>
      <c r="X297" s="304" t="s">
        <v>85</v>
      </c>
      <c r="Y297" s="7"/>
      <c r="Z297" t="s">
        <v>86</v>
      </c>
      <c r="AA297">
        <v>40</v>
      </c>
      <c r="AB297" t="s">
        <v>725</v>
      </c>
      <c r="AC297" s="183"/>
      <c r="AE297" s="183"/>
      <c r="AH297" t="s">
        <v>81</v>
      </c>
      <c r="AL297" t="s">
        <v>83</v>
      </c>
      <c r="AM297" s="90">
        <v>4062.51</v>
      </c>
      <c r="AN297" s="184">
        <v>1</v>
      </c>
      <c r="AO297" s="15">
        <v>3250</v>
      </c>
      <c r="AW297" s="7"/>
      <c r="AZ297" t="s">
        <v>255</v>
      </c>
      <c r="BA297">
        <f>A297</f>
        <v>114</v>
      </c>
    </row>
    <row r="298" spans="1:80" ht="15.75" customHeight="1">
      <c r="A298" s="273">
        <v>115</v>
      </c>
      <c r="B298" s="273" t="str">
        <f t="shared" si="21"/>
        <v>NEAKTIVAN</v>
      </c>
      <c r="C298" s="302">
        <f t="shared" si="19"/>
        <v>296</v>
      </c>
      <c r="D298" s="1">
        <v>22</v>
      </c>
      <c r="E298" s="1" t="str">
        <f>VLOOKUP(D298,Table3[[#All],[RB]:[OIB]],2,0)</f>
        <v>International Line d.o.o.</v>
      </c>
      <c r="F298" s="4">
        <f>VLOOKUP(D298,Table3[],3,0)</f>
        <v>16157428650</v>
      </c>
      <c r="G298" s="1" t="str">
        <f>VLOOKUP(D298,Table3[],4,0)</f>
        <v>Zoltan Kiri</v>
      </c>
      <c r="H298" s="1" t="str">
        <f>VLOOKUP(D298,POSLODAVCI!$A$2:$J$107,9,0)</f>
        <v>Osijek</v>
      </c>
      <c r="I298" s="1" t="str">
        <f>VLOOKUP(D298,Table3[],10,0)</f>
        <v>Ivana Gundulića 28</v>
      </c>
      <c r="J298" s="1" t="s">
        <v>732</v>
      </c>
      <c r="K298" s="61">
        <v>43837</v>
      </c>
      <c r="L298" s="61">
        <v>44029</v>
      </c>
      <c r="M298" s="182">
        <v>40752728430</v>
      </c>
      <c r="N298" t="s">
        <v>89</v>
      </c>
      <c r="O298" s="7">
        <v>34779</v>
      </c>
      <c r="P298" t="s">
        <v>94</v>
      </c>
      <c r="Q298" t="s">
        <v>82</v>
      </c>
      <c r="R298" t="s">
        <v>733</v>
      </c>
      <c r="S298" s="5" t="s">
        <v>83</v>
      </c>
      <c r="T298" t="s">
        <v>84</v>
      </c>
      <c r="U298" t="s">
        <v>734</v>
      </c>
      <c r="V298" t="s">
        <v>735</v>
      </c>
      <c r="W298" t="s">
        <v>735</v>
      </c>
      <c r="X298" s="304" t="s">
        <v>103</v>
      </c>
      <c r="Y298" s="7"/>
      <c r="Z298" t="s">
        <v>86</v>
      </c>
      <c r="AA298">
        <v>40</v>
      </c>
      <c r="AB298" t="s">
        <v>736</v>
      </c>
      <c r="AC298" s="183"/>
      <c r="AE298" s="183"/>
      <c r="AH298" t="s">
        <v>94</v>
      </c>
      <c r="AL298" t="s">
        <v>83</v>
      </c>
      <c r="AM298" s="90">
        <v>4375</v>
      </c>
      <c r="AN298" s="184">
        <v>1</v>
      </c>
      <c r="AO298" s="15">
        <v>3500</v>
      </c>
      <c r="AW298" s="7"/>
      <c r="AZ298" t="s">
        <v>255</v>
      </c>
      <c r="BA298">
        <f>A298</f>
        <v>115</v>
      </c>
    </row>
    <row r="299" spans="1:80" s="259" customFormat="1" ht="15" customHeight="1">
      <c r="A299" s="273">
        <v>6</v>
      </c>
      <c r="B299" s="273" t="str">
        <f t="shared" si="21"/>
        <v>NEAKTIVAN</v>
      </c>
      <c r="C299" s="302">
        <f t="shared" si="19"/>
        <v>297</v>
      </c>
      <c r="D299" s="194">
        <v>26</v>
      </c>
      <c r="E299" s="1" t="str">
        <f>VLOOKUP(D299,Table3[[#All],[RB]:[OIB]],2,0)</f>
        <v>D-INVOICE D.O.O.</v>
      </c>
      <c r="F299" s="4">
        <f>VLOOKUP(D299,Table3[],3,0)</f>
        <v>95114485977</v>
      </c>
      <c r="G299" s="1" t="str">
        <f>VLOOKUP(D299,Table3[],4,0)</f>
        <v>LAURA GERGELJ</v>
      </c>
      <c r="H299" s="1" t="str">
        <f>VLOOKUP(D299,POSLODAVCI!$A$2:$J$107,9,0)</f>
        <v>Osijek</v>
      </c>
      <c r="I299" s="1" t="str">
        <f>VLOOKUP(D299,Table3[],10,0)</f>
        <v>SV.IVANA KRSTITELJA 15, DARDA</v>
      </c>
      <c r="J299" s="194" t="s">
        <v>774</v>
      </c>
      <c r="K299" s="195">
        <v>43862</v>
      </c>
      <c r="L299" s="195">
        <v>45816</v>
      </c>
      <c r="M299" s="308" t="s">
        <v>775</v>
      </c>
      <c r="N299" s="16" t="s">
        <v>80</v>
      </c>
      <c r="O299" s="7">
        <v>33849</v>
      </c>
      <c r="P299" s="16" t="s">
        <v>122</v>
      </c>
      <c r="Q299" s="16" t="s">
        <v>82</v>
      </c>
      <c r="R299" s="16" t="s">
        <v>776</v>
      </c>
      <c r="S299" s="17" t="s">
        <v>83</v>
      </c>
      <c r="T299" s="16" t="s">
        <v>111</v>
      </c>
      <c r="U299"/>
      <c r="V299" s="16" t="s">
        <v>772</v>
      </c>
      <c r="W299" s="16" t="s">
        <v>777</v>
      </c>
      <c r="X299" s="303" t="s">
        <v>103</v>
      </c>
      <c r="Y299" s="7"/>
      <c r="Z299" s="16" t="s">
        <v>86</v>
      </c>
      <c r="AA299">
        <v>40</v>
      </c>
      <c r="AB299" s="16" t="s">
        <v>778</v>
      </c>
      <c r="AC299" s="183"/>
      <c r="AD299"/>
      <c r="AE299" s="183"/>
      <c r="AF299"/>
      <c r="AG299"/>
      <c r="AH299" s="16" t="s">
        <v>94</v>
      </c>
      <c r="AI299"/>
      <c r="AJ299"/>
      <c r="AK299"/>
      <c r="AL299" s="16" t="s">
        <v>83</v>
      </c>
      <c r="AM299" s="311">
        <v>6300</v>
      </c>
      <c r="AN299" s="184">
        <v>1</v>
      </c>
      <c r="AO299" s="15">
        <v>4821.2</v>
      </c>
      <c r="AP299" s="15"/>
      <c r="AQ299"/>
      <c r="AR299"/>
      <c r="AS299"/>
      <c r="AT299"/>
      <c r="AU299"/>
      <c r="AV299"/>
      <c r="AW299" s="7"/>
      <c r="AX299"/>
      <c r="AY299"/>
      <c r="AZ299" s="16" t="s">
        <v>374</v>
      </c>
      <c r="BA299">
        <v>8</v>
      </c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</row>
    <row r="300" spans="1:80" s="259" customFormat="1" ht="15.75" customHeight="1">
      <c r="A300" s="273">
        <v>2</v>
      </c>
      <c r="B300" s="273" t="str">
        <f t="shared" si="21"/>
        <v>NEAKTIVAN</v>
      </c>
      <c r="C300" s="302">
        <f t="shared" si="19"/>
        <v>298</v>
      </c>
      <c r="D300" s="1">
        <v>30</v>
      </c>
      <c r="E300" s="1" t="str">
        <f>VLOOKUP(D300,Table3[[#All],[RB]:[OIB]],2,0)</f>
        <v>Čušpajz j.d.o.o.</v>
      </c>
      <c r="F300" s="4">
        <f>VLOOKUP(D300,Table3[],3,0)</f>
        <v>17119334585</v>
      </c>
      <c r="G300" s="1" t="str">
        <f>VLOOKUP(D300,Table3[],4,0)</f>
        <v>MARTINA ZAVRŠKI</v>
      </c>
      <c r="H300" s="1" t="str">
        <f>VLOOKUP(D300,POSLODAVCI!$A$2:$J$107,9,0)</f>
        <v>OSIJEK</v>
      </c>
      <c r="I300" s="1" t="str">
        <f>VLOOKUP(D300,Table3[],10,0)</f>
        <v>Gajev trg 6</v>
      </c>
      <c r="J300" s="1" t="s">
        <v>779</v>
      </c>
      <c r="K300" s="61">
        <v>43895</v>
      </c>
      <c r="L300" s="61">
        <v>44078</v>
      </c>
      <c r="M300" s="182">
        <v>93954234538</v>
      </c>
      <c r="N300" s="16" t="s">
        <v>89</v>
      </c>
      <c r="O300" s="7">
        <v>29606</v>
      </c>
      <c r="P300" s="16" t="s">
        <v>780</v>
      </c>
      <c r="Q300" s="16" t="s">
        <v>82</v>
      </c>
      <c r="R300" s="16" t="s">
        <v>781</v>
      </c>
      <c r="S300" s="17" t="s">
        <v>83</v>
      </c>
      <c r="T300" s="16" t="s">
        <v>84</v>
      </c>
      <c r="U300" s="16"/>
      <c r="V300" s="16" t="s">
        <v>488</v>
      </c>
      <c r="W300" s="16" t="s">
        <v>488</v>
      </c>
      <c r="X300" s="303" t="s">
        <v>103</v>
      </c>
      <c r="Y300" s="7"/>
      <c r="Z300" s="16" t="s">
        <v>86</v>
      </c>
      <c r="AA300" s="16">
        <v>40</v>
      </c>
      <c r="AB300" s="16" t="s">
        <v>782</v>
      </c>
      <c r="AC300" s="183"/>
      <c r="AD300" s="16"/>
      <c r="AE300" s="183"/>
      <c r="AF300" s="16"/>
      <c r="AG300" s="16"/>
      <c r="AH300" s="16" t="s">
        <v>94</v>
      </c>
      <c r="AI300" s="16"/>
      <c r="AJ300" s="16"/>
      <c r="AK300" s="16"/>
      <c r="AL300" s="16" t="s">
        <v>83</v>
      </c>
      <c r="AM300" s="90">
        <v>5575.47</v>
      </c>
      <c r="AN300" s="184">
        <v>1</v>
      </c>
      <c r="AO300" s="15">
        <v>4335.5200000000004</v>
      </c>
      <c r="AP300" s="15"/>
      <c r="AQ300" s="16"/>
      <c r="AR300" s="16"/>
      <c r="AS300" s="16"/>
      <c r="AT300" s="16"/>
      <c r="AU300" s="16"/>
      <c r="AV300" s="16"/>
      <c r="AW300" s="7"/>
      <c r="AX300" s="16"/>
      <c r="AY300" s="16"/>
      <c r="AZ300" s="16" t="s">
        <v>255</v>
      </c>
      <c r="BA300" s="16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</row>
    <row r="301" spans="1:80" s="259" customFormat="1" ht="15.75" customHeight="1">
      <c r="A301" s="273">
        <v>7</v>
      </c>
      <c r="B301" s="273" t="str">
        <f t="shared" si="21"/>
        <v>NEAKTIVAN</v>
      </c>
      <c r="C301" s="302">
        <f t="shared" si="19"/>
        <v>299</v>
      </c>
      <c r="D301" s="194">
        <v>26</v>
      </c>
      <c r="E301" s="1" t="str">
        <f>VLOOKUP(D301,Table3[[#All],[RB]:[OIB]],2,0)</f>
        <v>D-INVOICE D.O.O.</v>
      </c>
      <c r="F301" s="4">
        <f>VLOOKUP(D301,Table3[],3,0)</f>
        <v>95114485977</v>
      </c>
      <c r="G301" s="1" t="str">
        <f>VLOOKUP(D301,Table3[],4,0)</f>
        <v>LAURA GERGELJ</v>
      </c>
      <c r="H301" s="1" t="str">
        <f>VLOOKUP(D301,POSLODAVCI!$A$2:$J$107,9,0)</f>
        <v>Osijek</v>
      </c>
      <c r="I301" s="1" t="str">
        <f>VLOOKUP(D301,Table3[],10,0)</f>
        <v>SV.IVANA KRSTITELJA 15, DARDA</v>
      </c>
      <c r="J301" s="194" t="s">
        <v>1191</v>
      </c>
      <c r="K301" s="195">
        <v>43731</v>
      </c>
      <c r="L301" s="195">
        <v>44096</v>
      </c>
      <c r="M301" s="235">
        <v>10547537081</v>
      </c>
      <c r="N301" s="16" t="s">
        <v>89</v>
      </c>
      <c r="O301" s="7">
        <v>36790</v>
      </c>
      <c r="P301" s="16" t="s">
        <v>94</v>
      </c>
      <c r="Q301" s="16" t="s">
        <v>82</v>
      </c>
      <c r="R301" s="16" t="s">
        <v>1192</v>
      </c>
      <c r="S301" s="17" t="s">
        <v>83</v>
      </c>
      <c r="T301" s="16" t="s">
        <v>84</v>
      </c>
      <c r="U301"/>
      <c r="V301" s="16" t="s">
        <v>772</v>
      </c>
      <c r="W301" s="16" t="s">
        <v>777</v>
      </c>
      <c r="X301" s="303" t="s">
        <v>85</v>
      </c>
      <c r="Y301" s="7">
        <v>44096</v>
      </c>
      <c r="Z301" s="16" t="s">
        <v>86</v>
      </c>
      <c r="AA301">
        <v>40</v>
      </c>
      <c r="AB301" s="16" t="s">
        <v>1193</v>
      </c>
      <c r="AC301" s="183"/>
      <c r="AD301"/>
      <c r="AE301" s="183"/>
      <c r="AF301"/>
      <c r="AG301"/>
      <c r="AH301" s="16" t="s">
        <v>94</v>
      </c>
      <c r="AI301"/>
      <c r="AJ301"/>
      <c r="AK301"/>
      <c r="AL301" s="16" t="s">
        <v>428</v>
      </c>
      <c r="AM301" s="196">
        <v>4062.51</v>
      </c>
      <c r="AN301" s="184">
        <v>1</v>
      </c>
      <c r="AO301" s="15">
        <v>3250</v>
      </c>
      <c r="AP301" s="15"/>
      <c r="AQ301"/>
      <c r="AR301"/>
      <c r="AS301"/>
      <c r="AT301"/>
      <c r="AU301"/>
      <c r="AV301"/>
      <c r="AW301" s="7"/>
      <c r="AX301"/>
      <c r="AY301"/>
      <c r="AZ301" t="s">
        <v>255</v>
      </c>
      <c r="BA301">
        <f>A301</f>
        <v>7</v>
      </c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</row>
    <row r="302" spans="1:80" s="259" customFormat="1" ht="15.75" customHeight="1">
      <c r="A302" s="273">
        <v>1</v>
      </c>
      <c r="B302" s="273" t="str">
        <f t="shared" si="21"/>
        <v>NEAKTIVAN</v>
      </c>
      <c r="C302" s="302">
        <f t="shared" si="19"/>
        <v>300</v>
      </c>
      <c r="D302" s="1">
        <v>32</v>
      </c>
      <c r="E302" s="1" t="str">
        <f>VLOOKUP(D302,Table3[[#All],[RB]:[OIB]],2,0)</f>
        <v>Špajz j.d.o.o.</v>
      </c>
      <c r="F302" s="4">
        <f>VLOOKUP(D302,Table3[],3,0)</f>
        <v>15795338441</v>
      </c>
      <c r="G302" s="1" t="str">
        <f>VLOOKUP(D302,Table3[],4,0)</f>
        <v>Martina Završki</v>
      </c>
      <c r="H302" s="1" t="str">
        <f>VLOOKUP(D302,POSLODAVCI!$A$2:$J$107,9,0)</f>
        <v>Darda</v>
      </c>
      <c r="I302" s="1" t="str">
        <f>VLOOKUP(D302,Table3[],10,0)</f>
        <v>Ilirska ulica 53, Darda</v>
      </c>
      <c r="J302" s="1" t="s">
        <v>1201</v>
      </c>
      <c r="K302" s="61">
        <v>43410</v>
      </c>
      <c r="L302" s="61">
        <v>43908</v>
      </c>
      <c r="M302" s="182">
        <v>96120874726</v>
      </c>
      <c r="N302" s="16" t="s">
        <v>80</v>
      </c>
      <c r="O302" s="7">
        <v>35462</v>
      </c>
      <c r="P302" s="16" t="s">
        <v>94</v>
      </c>
      <c r="Q302" s="16" t="s">
        <v>82</v>
      </c>
      <c r="R302" s="16" t="s">
        <v>1192</v>
      </c>
      <c r="S302" s="17" t="s">
        <v>83</v>
      </c>
      <c r="T302" s="16" t="s">
        <v>84</v>
      </c>
      <c r="U302" s="16"/>
      <c r="V302" s="16" t="s">
        <v>488</v>
      </c>
      <c r="W302" s="16" t="s">
        <v>488</v>
      </c>
      <c r="X302" s="303" t="s">
        <v>103</v>
      </c>
      <c r="Y302" s="7"/>
      <c r="Z302" s="16" t="s">
        <v>86</v>
      </c>
      <c r="AA302" s="16">
        <v>40</v>
      </c>
      <c r="AB302" s="16" t="s">
        <v>1202</v>
      </c>
      <c r="AC302" s="183"/>
      <c r="AD302" s="16"/>
      <c r="AE302" s="183"/>
      <c r="AF302" s="16"/>
      <c r="AG302" s="16"/>
      <c r="AH302" s="16" t="s">
        <v>94</v>
      </c>
      <c r="AI302" s="16"/>
      <c r="AJ302" s="16"/>
      <c r="AK302" s="16"/>
      <c r="AL302" s="16" t="s">
        <v>428</v>
      </c>
      <c r="AM302" s="90">
        <v>4062.51</v>
      </c>
      <c r="AN302" s="184">
        <v>1</v>
      </c>
      <c r="AO302" s="15">
        <v>3250</v>
      </c>
      <c r="AP302" s="15"/>
      <c r="AQ302" s="16"/>
      <c r="AR302" s="16"/>
      <c r="AS302" s="16"/>
      <c r="AT302" s="16"/>
      <c r="AU302" s="16"/>
      <c r="AV302" s="16"/>
      <c r="AW302" s="7"/>
      <c r="AX302" s="16"/>
      <c r="AY302" s="16"/>
      <c r="AZ302" s="16" t="s">
        <v>374</v>
      </c>
      <c r="BA302" s="16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</row>
    <row r="303" spans="1:80" s="259" customFormat="1" ht="15.75" customHeight="1">
      <c r="A303" s="273">
        <v>2</v>
      </c>
      <c r="B303" s="273" t="str">
        <f t="shared" si="21"/>
        <v>NEAKTIVAN</v>
      </c>
      <c r="C303" s="302">
        <f t="shared" si="19"/>
        <v>301</v>
      </c>
      <c r="D303" s="1">
        <v>32</v>
      </c>
      <c r="E303" s="1" t="str">
        <f>VLOOKUP(D303,Table3[[#All],[RB]:[OIB]],2,0)</f>
        <v>Špajz j.d.o.o.</v>
      </c>
      <c r="F303" s="4">
        <f>VLOOKUP(D303,Table3[],3,0)</f>
        <v>15795338441</v>
      </c>
      <c r="G303" s="1" t="str">
        <f>VLOOKUP(D303,Table3[],4,0)</f>
        <v>Martina Završki</v>
      </c>
      <c r="H303" s="1" t="str">
        <f>VLOOKUP(D303,POSLODAVCI!$A$2:$J$107,9,0)</f>
        <v>Darda</v>
      </c>
      <c r="I303" s="1" t="str">
        <f>VLOOKUP(D303,Table3[],10,0)</f>
        <v>Ilirska ulica 53, Darda</v>
      </c>
      <c r="J303" s="1" t="s">
        <v>1203</v>
      </c>
      <c r="K303" s="61">
        <v>43584</v>
      </c>
      <c r="L303" s="61">
        <v>43949</v>
      </c>
      <c r="M303" s="89" t="s">
        <v>1212</v>
      </c>
      <c r="N303" s="16" t="s">
        <v>80</v>
      </c>
      <c r="O303" s="7">
        <v>34539</v>
      </c>
      <c r="P303" s="16" t="s">
        <v>94</v>
      </c>
      <c r="Q303" s="16" t="s">
        <v>82</v>
      </c>
      <c r="R303" s="16" t="s">
        <v>1204</v>
      </c>
      <c r="S303" s="17" t="s">
        <v>428</v>
      </c>
      <c r="T303" s="16" t="s">
        <v>84</v>
      </c>
      <c r="U303" s="16"/>
      <c r="V303" s="16" t="s">
        <v>210</v>
      </c>
      <c r="W303" s="16" t="s">
        <v>210</v>
      </c>
      <c r="X303" s="303" t="s">
        <v>103</v>
      </c>
      <c r="Y303" s="7"/>
      <c r="Z303" s="16" t="s">
        <v>86</v>
      </c>
      <c r="AA303" s="16">
        <v>40</v>
      </c>
      <c r="AB303" s="16" t="s">
        <v>1205</v>
      </c>
      <c r="AC303" s="183"/>
      <c r="AD303" s="16"/>
      <c r="AE303" s="183"/>
      <c r="AF303" s="16"/>
      <c r="AG303" s="16"/>
      <c r="AH303" s="16" t="s">
        <v>94</v>
      </c>
      <c r="AI303" s="16"/>
      <c r="AJ303" s="16"/>
      <c r="AK303" s="16"/>
      <c r="AL303" s="16" t="s">
        <v>83</v>
      </c>
      <c r="AM303" s="90">
        <v>4200</v>
      </c>
      <c r="AN303" s="184">
        <v>1</v>
      </c>
      <c r="AO303" s="15">
        <v>3360</v>
      </c>
      <c r="AP303" s="15"/>
      <c r="AQ303" s="16"/>
      <c r="AR303" s="16"/>
      <c r="AS303" s="16"/>
      <c r="AT303" s="16"/>
      <c r="AU303" s="16"/>
      <c r="AV303" s="16"/>
      <c r="AW303" s="7"/>
      <c r="AX303" s="16"/>
      <c r="AY303" s="16"/>
      <c r="AZ303" s="16" t="s">
        <v>255</v>
      </c>
      <c r="BA303" s="16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</row>
    <row r="304" spans="1:80" s="259" customFormat="1" ht="15.75" customHeight="1">
      <c r="A304" s="273">
        <v>3</v>
      </c>
      <c r="B304" s="273" t="str">
        <f t="shared" si="21"/>
        <v>NEAKTIVAN</v>
      </c>
      <c r="C304" s="302">
        <f t="shared" si="19"/>
        <v>302</v>
      </c>
      <c r="D304" s="1">
        <v>32</v>
      </c>
      <c r="E304" s="1" t="str">
        <f>VLOOKUP(D304,Table3[[#All],[RB]:[OIB]],2,0)</f>
        <v>Špajz j.d.o.o.</v>
      </c>
      <c r="F304" s="4">
        <f>VLOOKUP(D304,Table3[],3,0)</f>
        <v>15795338441</v>
      </c>
      <c r="G304" s="1" t="str">
        <f>VLOOKUP(D304,Table3[],4,0)</f>
        <v>Martina Završki</v>
      </c>
      <c r="H304" s="1" t="str">
        <f>VLOOKUP(D304,POSLODAVCI!$A$2:$J$107,9,0)</f>
        <v>Darda</v>
      </c>
      <c r="I304" s="1" t="str">
        <f>VLOOKUP(D304,Table3[],10,0)</f>
        <v>Ilirska ulica 53, Darda</v>
      </c>
      <c r="J304" s="1" t="s">
        <v>1197</v>
      </c>
      <c r="K304" s="61">
        <v>42965</v>
      </c>
      <c r="L304" s="61">
        <v>43861</v>
      </c>
      <c r="M304" s="182">
        <v>47650763216</v>
      </c>
      <c r="N304" s="16" t="s">
        <v>80</v>
      </c>
      <c r="O304" s="7">
        <v>35463</v>
      </c>
      <c r="P304" s="16" t="s">
        <v>94</v>
      </c>
      <c r="Q304" s="16" t="s">
        <v>82</v>
      </c>
      <c r="R304" s="16" t="s">
        <v>1204</v>
      </c>
      <c r="S304" s="17" t="s">
        <v>428</v>
      </c>
      <c r="T304" s="16" t="s">
        <v>84</v>
      </c>
      <c r="U304" s="16"/>
      <c r="V304" s="16" t="s">
        <v>1206</v>
      </c>
      <c r="W304" s="16" t="s">
        <v>1206</v>
      </c>
      <c r="X304" s="303" t="s">
        <v>103</v>
      </c>
      <c r="Y304" s="7"/>
      <c r="Z304" s="16" t="s">
        <v>86</v>
      </c>
      <c r="AA304" s="16">
        <v>40</v>
      </c>
      <c r="AB304" s="16" t="s">
        <v>1207</v>
      </c>
      <c r="AC304" s="183"/>
      <c r="AD304" s="16"/>
      <c r="AE304" s="183"/>
      <c r="AF304" s="16"/>
      <c r="AG304" s="16"/>
      <c r="AH304" s="16" t="s">
        <v>94</v>
      </c>
      <c r="AI304" s="16"/>
      <c r="AJ304" s="16"/>
      <c r="AK304" s="16"/>
      <c r="AL304" s="16" t="s">
        <v>428</v>
      </c>
      <c r="AM304" s="90">
        <v>5682.3</v>
      </c>
      <c r="AN304" s="184">
        <v>1</v>
      </c>
      <c r="AO304" s="15">
        <v>4408.29</v>
      </c>
      <c r="AP304" s="15"/>
      <c r="AQ304" s="16"/>
      <c r="AR304" s="16"/>
      <c r="AS304" s="16"/>
      <c r="AT304" s="16"/>
      <c r="AU304" s="16"/>
      <c r="AV304" s="16"/>
      <c r="AW304" s="7"/>
      <c r="AX304" s="16"/>
      <c r="AY304" s="16"/>
      <c r="AZ304" s="16" t="s">
        <v>255</v>
      </c>
      <c r="BA304" s="16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</row>
    <row r="305" spans="1:80" s="259" customFormat="1" ht="15.75" customHeight="1">
      <c r="A305" s="273">
        <v>3</v>
      </c>
      <c r="B305" s="273" t="str">
        <f t="shared" si="21"/>
        <v>NEAKTIVAN</v>
      </c>
      <c r="C305" s="302">
        <f t="shared" si="19"/>
        <v>303</v>
      </c>
      <c r="D305" s="1">
        <v>30</v>
      </c>
      <c r="E305" s="1" t="str">
        <f>VLOOKUP(D305,Table3[[#All],[RB]:[OIB]],2,0)</f>
        <v>Čušpajz j.d.o.o.</v>
      </c>
      <c r="F305" s="4">
        <f>VLOOKUP(D305,Table3[],3,0)</f>
        <v>17119334585</v>
      </c>
      <c r="G305" s="1" t="str">
        <f>VLOOKUP(D305,Table3[],4,0)</f>
        <v>MARTINA ZAVRŠKI</v>
      </c>
      <c r="H305" s="1" t="str">
        <f>VLOOKUP(D305,POSLODAVCI!$A$2:$J$107,9,0)</f>
        <v>OSIJEK</v>
      </c>
      <c r="I305" s="1" t="str">
        <f>VLOOKUP(D305,Table3[],10,0)</f>
        <v>Gajev trg 6</v>
      </c>
      <c r="J305" s="1" t="s">
        <v>1197</v>
      </c>
      <c r="K305" s="61">
        <v>43862</v>
      </c>
      <c r="L305" s="61">
        <v>44112</v>
      </c>
      <c r="M305" s="182">
        <v>47650763217</v>
      </c>
      <c r="N305" s="16" t="s">
        <v>80</v>
      </c>
      <c r="O305" s="7">
        <v>35464</v>
      </c>
      <c r="P305" s="16" t="s">
        <v>94</v>
      </c>
      <c r="Q305" s="16" t="s">
        <v>82</v>
      </c>
      <c r="R305" s="16" t="s">
        <v>1204</v>
      </c>
      <c r="S305" s="17" t="s">
        <v>428</v>
      </c>
      <c r="T305" s="16" t="s">
        <v>84</v>
      </c>
      <c r="U305" s="16"/>
      <c r="V305" s="16" t="s">
        <v>1206</v>
      </c>
      <c r="W305" s="16" t="s">
        <v>1206</v>
      </c>
      <c r="X305" s="303" t="s">
        <v>103</v>
      </c>
      <c r="Y305" s="7"/>
      <c r="Z305" s="16" t="s">
        <v>86</v>
      </c>
      <c r="AA305" s="16">
        <v>41</v>
      </c>
      <c r="AB305" s="16" t="s">
        <v>1207</v>
      </c>
      <c r="AC305" s="183"/>
      <c r="AD305" s="16"/>
      <c r="AE305" s="183"/>
      <c r="AF305" s="16"/>
      <c r="AG305" s="16"/>
      <c r="AH305" s="16" t="s">
        <v>94</v>
      </c>
      <c r="AI305" s="16"/>
      <c r="AJ305" s="16"/>
      <c r="AK305" s="16"/>
      <c r="AL305" s="16" t="s">
        <v>428</v>
      </c>
      <c r="AM305" s="90">
        <v>5682.3</v>
      </c>
      <c r="AN305" s="184">
        <v>1</v>
      </c>
      <c r="AO305" s="15">
        <v>4408.29</v>
      </c>
      <c r="AP305" s="15"/>
      <c r="AQ305" s="16"/>
      <c r="AR305" s="16"/>
      <c r="AS305" s="16"/>
      <c r="AT305" s="16"/>
      <c r="AU305" s="16"/>
      <c r="AV305" s="16"/>
      <c r="AW305" s="7"/>
      <c r="AX305" s="16"/>
      <c r="AY305" s="16"/>
      <c r="AZ305" s="16" t="s">
        <v>374</v>
      </c>
      <c r="BA305" s="16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</row>
    <row r="306" spans="1:80" s="259" customFormat="1" ht="15.75" customHeight="1">
      <c r="A306" s="273">
        <v>4</v>
      </c>
      <c r="B306" s="273" t="str">
        <f t="shared" si="21"/>
        <v>NEAKTIVAN</v>
      </c>
      <c r="C306" s="302">
        <f t="shared" si="19"/>
        <v>304</v>
      </c>
      <c r="D306" s="309">
        <v>30</v>
      </c>
      <c r="E306" s="1" t="str">
        <f>VLOOKUP(D306,Table3[[#All],[RB]:[OIB]],2,0)</f>
        <v>Čušpajz j.d.o.o.</v>
      </c>
      <c r="F306" s="4">
        <f>VLOOKUP(D306,Table3[],3,0)</f>
        <v>17119334585</v>
      </c>
      <c r="G306" s="1" t="str">
        <f>VLOOKUP(D306,Table3[],4,0)</f>
        <v>MARTINA ZAVRŠKI</v>
      </c>
      <c r="H306" s="1" t="str">
        <f>VLOOKUP(D306,POSLODAVCI!$A$2:$J$107,9,0)</f>
        <v>OSIJEK</v>
      </c>
      <c r="I306" s="1" t="str">
        <f>VLOOKUP(D306,Table3[],10,0)</f>
        <v>Gajev trg 6</v>
      </c>
      <c r="J306" s="309" t="s">
        <v>747</v>
      </c>
      <c r="K306" s="310">
        <v>43488</v>
      </c>
      <c r="L306" s="310">
        <v>43868</v>
      </c>
      <c r="M306" s="182">
        <v>71676673364</v>
      </c>
      <c r="N306" t="s">
        <v>80</v>
      </c>
      <c r="O306" s="7">
        <v>28077</v>
      </c>
      <c r="P306" t="s">
        <v>94</v>
      </c>
      <c r="Q306" t="s">
        <v>82</v>
      </c>
      <c r="R306" t="s">
        <v>1210</v>
      </c>
      <c r="S306" s="5" t="s">
        <v>83</v>
      </c>
      <c r="T306" t="s">
        <v>84</v>
      </c>
      <c r="U306"/>
      <c r="V306" t="s">
        <v>488</v>
      </c>
      <c r="W306" t="s">
        <v>488</v>
      </c>
      <c r="X306" s="304" t="s">
        <v>103</v>
      </c>
      <c r="Y306" s="7"/>
      <c r="Z306" t="s">
        <v>86</v>
      </c>
      <c r="AA306">
        <v>40</v>
      </c>
      <c r="AB306" t="s">
        <v>1209</v>
      </c>
      <c r="AC306" s="183"/>
      <c r="AD306"/>
      <c r="AE306" s="183"/>
      <c r="AF306"/>
      <c r="AG306"/>
      <c r="AH306" t="s">
        <v>94</v>
      </c>
      <c r="AI306"/>
      <c r="AJ306"/>
      <c r="AK306"/>
      <c r="AL306" t="s">
        <v>83</v>
      </c>
      <c r="AM306" s="312">
        <v>3750</v>
      </c>
      <c r="AN306" s="184">
        <v>1</v>
      </c>
      <c r="AO306" s="15">
        <v>3000</v>
      </c>
      <c r="AP306" s="15"/>
      <c r="AQ306"/>
      <c r="AR306"/>
      <c r="AS306"/>
      <c r="AT306"/>
      <c r="AU306"/>
      <c r="AV306"/>
      <c r="AW306" s="7"/>
      <c r="AX306"/>
      <c r="AY306"/>
      <c r="AZ306" t="s">
        <v>255</v>
      </c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</row>
    <row r="307" spans="1:80" s="259" customFormat="1" ht="15.75" customHeight="1">
      <c r="A307" s="273">
        <v>4</v>
      </c>
      <c r="B307" s="273" t="str">
        <f t="shared" si="21"/>
        <v>NEAKTIVAN</v>
      </c>
      <c r="C307" s="302">
        <f t="shared" si="19"/>
        <v>305</v>
      </c>
      <c r="D307" s="258">
        <v>32</v>
      </c>
      <c r="E307" s="1" t="str">
        <f>VLOOKUP(D307,Table3[[#All],[RB]:[OIB]],2,0)</f>
        <v>Špajz j.d.o.o.</v>
      </c>
      <c r="F307" s="4">
        <f>VLOOKUP(D307,Table3[],3,0)</f>
        <v>15795338441</v>
      </c>
      <c r="G307" s="1" t="str">
        <f>VLOOKUP(D307,Table3[],4,0)</f>
        <v>Martina Završki</v>
      </c>
      <c r="H307" s="1" t="str">
        <f>VLOOKUP(D307,POSLODAVCI!$A$2:$J$107,9,0)</f>
        <v>Darda</v>
      </c>
      <c r="I307" s="1" t="str">
        <f>VLOOKUP(D307,Table3[],10,0)</f>
        <v>Ilirska ulica 53, Darda</v>
      </c>
      <c r="J307" s="258" t="s">
        <v>1203</v>
      </c>
      <c r="K307" s="272">
        <v>43950</v>
      </c>
      <c r="L307" s="272">
        <v>43979</v>
      </c>
      <c r="M307" s="89" t="s">
        <v>1212</v>
      </c>
      <c r="N307" s="16" t="s">
        <v>80</v>
      </c>
      <c r="O307" s="7">
        <v>34539</v>
      </c>
      <c r="P307" s="16" t="s">
        <v>94</v>
      </c>
      <c r="Q307" s="16" t="s">
        <v>82</v>
      </c>
      <c r="R307" s="16" t="s">
        <v>1204</v>
      </c>
      <c r="S307" s="17" t="s">
        <v>428</v>
      </c>
      <c r="T307" s="16" t="s">
        <v>84</v>
      </c>
      <c r="U307" s="16"/>
      <c r="V307" s="16" t="s">
        <v>210</v>
      </c>
      <c r="W307" s="16" t="s">
        <v>210</v>
      </c>
      <c r="X307" s="303" t="s">
        <v>85</v>
      </c>
      <c r="Y307" s="7"/>
      <c r="Z307" s="16" t="s">
        <v>86</v>
      </c>
      <c r="AA307" s="16">
        <v>40</v>
      </c>
      <c r="AB307" s="16" t="s">
        <v>1205</v>
      </c>
      <c r="AC307" s="183"/>
      <c r="AD307" s="16"/>
      <c r="AE307" s="183"/>
      <c r="AF307" s="16"/>
      <c r="AG307" s="16"/>
      <c r="AH307" s="16" t="s">
        <v>94</v>
      </c>
      <c r="AI307" s="16"/>
      <c r="AJ307" s="16"/>
      <c r="AK307" s="16"/>
      <c r="AL307" s="16" t="s">
        <v>83</v>
      </c>
      <c r="AM307" s="90">
        <v>4200</v>
      </c>
      <c r="AN307" s="184">
        <v>1</v>
      </c>
      <c r="AO307" s="15">
        <v>3360</v>
      </c>
      <c r="AP307" s="15"/>
      <c r="AQ307" s="16"/>
      <c r="AR307" s="16"/>
      <c r="AS307" s="16"/>
      <c r="AT307" s="16"/>
      <c r="AU307" s="16"/>
      <c r="AV307" s="16"/>
      <c r="AW307" s="7"/>
      <c r="AX307" s="16"/>
      <c r="AY307" s="16"/>
      <c r="AZ307" s="16" t="s">
        <v>374</v>
      </c>
      <c r="BA307" s="16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</row>
    <row r="308" spans="1:80" s="259" customFormat="1" ht="15.75" customHeight="1">
      <c r="A308" s="273">
        <v>5</v>
      </c>
      <c r="B308" s="273" t="str">
        <f t="shared" si="21"/>
        <v>AKTIVAN</v>
      </c>
      <c r="C308" s="302">
        <f t="shared" si="19"/>
        <v>306</v>
      </c>
      <c r="D308" s="258">
        <v>30</v>
      </c>
      <c r="E308" s="1" t="str">
        <f>VLOOKUP(D308,Table3[[#All],[RB]:[OIB]],2,0)</f>
        <v>Čušpajz j.d.o.o.</v>
      </c>
      <c r="F308" s="4">
        <f>VLOOKUP(D308,Table3[],3,0)</f>
        <v>17119334585</v>
      </c>
      <c r="G308" s="1" t="str">
        <f>VLOOKUP(D308,Table3[],4,0)</f>
        <v>MARTINA ZAVRŠKI</v>
      </c>
      <c r="H308" s="1" t="str">
        <f>VLOOKUP(D308,POSLODAVCI!$A$2:$J$107,9,0)</f>
        <v>OSIJEK</v>
      </c>
      <c r="I308" s="1" t="str">
        <f>VLOOKUP(D308,Table3[],10,0)</f>
        <v>Gajev trg 6</v>
      </c>
      <c r="J308" s="258" t="s">
        <v>1214</v>
      </c>
      <c r="K308" s="272">
        <v>43983</v>
      </c>
      <c r="L308" s="272"/>
      <c r="M308" s="182">
        <v>14683535812</v>
      </c>
      <c r="N308" t="s">
        <v>80</v>
      </c>
      <c r="O308" s="7">
        <v>25022</v>
      </c>
      <c r="P308" t="s">
        <v>94</v>
      </c>
      <c r="Q308" t="s">
        <v>82</v>
      </c>
      <c r="R308" t="s">
        <v>1216</v>
      </c>
      <c r="S308" s="5" t="s">
        <v>83</v>
      </c>
      <c r="T308" t="s">
        <v>310</v>
      </c>
      <c r="U308"/>
      <c r="V308" t="s">
        <v>1215</v>
      </c>
      <c r="W308" t="s">
        <v>1215</v>
      </c>
      <c r="X308" s="304" t="s">
        <v>103</v>
      </c>
      <c r="Y308" s="7"/>
      <c r="Z308" t="s">
        <v>86</v>
      </c>
      <c r="AA308">
        <v>40</v>
      </c>
      <c r="AB308" t="s">
        <v>1217</v>
      </c>
      <c r="AC308" s="183"/>
      <c r="AD308"/>
      <c r="AE308" s="183"/>
      <c r="AF308"/>
      <c r="AG308"/>
      <c r="AH308" t="s">
        <v>94</v>
      </c>
      <c r="AI308"/>
      <c r="AJ308"/>
      <c r="AK308"/>
      <c r="AL308" t="s">
        <v>83</v>
      </c>
      <c r="AM308" s="261">
        <v>4062.51</v>
      </c>
      <c r="AN308" s="184">
        <v>1</v>
      </c>
      <c r="AO308" s="15">
        <v>3250</v>
      </c>
      <c r="AP308" s="15"/>
      <c r="AQ308"/>
      <c r="AR308"/>
      <c r="AS308"/>
      <c r="AT308"/>
      <c r="AU308"/>
      <c r="AV308"/>
      <c r="AW308" s="7"/>
      <c r="AX308"/>
      <c r="AY308"/>
      <c r="AZ308" t="s">
        <v>374</v>
      </c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</row>
    <row r="309" spans="1:80" ht="15.75" customHeight="1">
      <c r="A309" s="273">
        <v>116</v>
      </c>
      <c r="B309" s="273" t="str">
        <f t="shared" si="21"/>
        <v>NEAKTIVAN</v>
      </c>
      <c r="C309" s="302">
        <f t="shared" si="19"/>
        <v>307</v>
      </c>
      <c r="D309" s="1">
        <v>22</v>
      </c>
      <c r="E309" s="1" t="str">
        <f>VLOOKUP(D309,Table3[[#All],[RB]:[OIB]],2,0)</f>
        <v>International Line d.o.o.</v>
      </c>
      <c r="F309" s="4">
        <f>VLOOKUP(D309,Table3[],3,0)</f>
        <v>16157428650</v>
      </c>
      <c r="G309" s="1" t="str">
        <f>VLOOKUP(D309,Table3[],4,0)</f>
        <v>Zoltan Kiri</v>
      </c>
      <c r="H309" s="1" t="str">
        <f>VLOOKUP(D309,POSLODAVCI!$A$2:$J$107,9,0)</f>
        <v>Osijek</v>
      </c>
      <c r="I309" s="1" t="str">
        <f>VLOOKUP(D309,Table3[],10,0)</f>
        <v>Ivana Gundulića 28</v>
      </c>
      <c r="J309" s="1" t="s">
        <v>737</v>
      </c>
      <c r="K309" s="61">
        <v>43838</v>
      </c>
      <c r="L309" s="61">
        <v>43861</v>
      </c>
      <c r="M309" s="182">
        <v>87631245346</v>
      </c>
      <c r="N309" t="s">
        <v>80</v>
      </c>
      <c r="O309" s="7">
        <v>31591</v>
      </c>
      <c r="P309" t="s">
        <v>94</v>
      </c>
      <c r="Q309" t="s">
        <v>82</v>
      </c>
      <c r="R309" t="s">
        <v>738</v>
      </c>
      <c r="S309" s="5" t="s">
        <v>83</v>
      </c>
      <c r="T309" t="s">
        <v>310</v>
      </c>
      <c r="V309" t="s">
        <v>143</v>
      </c>
      <c r="W309" t="s">
        <v>143</v>
      </c>
      <c r="X309" s="304" t="s">
        <v>85</v>
      </c>
      <c r="Y309" s="7"/>
      <c r="Z309" t="s">
        <v>86</v>
      </c>
      <c r="AA309">
        <v>40</v>
      </c>
      <c r="AB309" t="s">
        <v>739</v>
      </c>
      <c r="AC309" s="183"/>
      <c r="AE309" s="183"/>
      <c r="AH309" t="s">
        <v>94</v>
      </c>
      <c r="AL309" t="s">
        <v>83</v>
      </c>
      <c r="AM309" s="90">
        <v>4062.51</v>
      </c>
      <c r="AN309" s="184">
        <v>1</v>
      </c>
      <c r="AO309" s="15">
        <v>3200</v>
      </c>
      <c r="AW309" s="7"/>
      <c r="AZ309" t="s">
        <v>255</v>
      </c>
      <c r="BA309">
        <f>A309</f>
        <v>116</v>
      </c>
    </row>
    <row r="310" spans="1:80" ht="15.75" customHeight="1">
      <c r="A310" s="273">
        <v>117</v>
      </c>
      <c r="B310" s="273" t="str">
        <f t="shared" si="21"/>
        <v>NEAKTIVAN</v>
      </c>
      <c r="C310" s="302">
        <f t="shared" si="19"/>
        <v>308</v>
      </c>
      <c r="D310" s="1">
        <v>22</v>
      </c>
      <c r="E310" s="1" t="str">
        <f>VLOOKUP(D310,Table3[[#All],[RB]:[OIB]],2,0)</f>
        <v>International Line d.o.o.</v>
      </c>
      <c r="F310" s="4">
        <f>VLOOKUP(D310,Table3[],3,0)</f>
        <v>16157428650</v>
      </c>
      <c r="G310" s="1" t="str">
        <f>VLOOKUP(D310,Table3[],4,0)</f>
        <v>Zoltan Kiri</v>
      </c>
      <c r="H310" s="1" t="str">
        <f>VLOOKUP(D310,POSLODAVCI!$A$2:$J$107,9,0)</f>
        <v>Osijek</v>
      </c>
      <c r="I310" s="1" t="str">
        <f>VLOOKUP(D310,Table3[],10,0)</f>
        <v>Ivana Gundulića 28</v>
      </c>
      <c r="J310" s="1" t="s">
        <v>740</v>
      </c>
      <c r="K310" s="61">
        <v>43845</v>
      </c>
      <c r="L310" s="61">
        <v>44074</v>
      </c>
      <c r="M310" s="182">
        <v>28037142835</v>
      </c>
      <c r="N310" s="16" t="s">
        <v>80</v>
      </c>
      <c r="O310" s="7">
        <v>30884</v>
      </c>
      <c r="P310" s="16" t="s">
        <v>94</v>
      </c>
      <c r="Q310" s="16" t="s">
        <v>82</v>
      </c>
      <c r="R310" s="16" t="s">
        <v>741</v>
      </c>
      <c r="S310" s="17" t="s">
        <v>83</v>
      </c>
      <c r="T310" s="16" t="s">
        <v>111</v>
      </c>
      <c r="U310" s="16" t="s">
        <v>562</v>
      </c>
      <c r="V310" s="16" t="s">
        <v>143</v>
      </c>
      <c r="W310" s="16" t="s">
        <v>143</v>
      </c>
      <c r="X310" s="303" t="s">
        <v>85</v>
      </c>
      <c r="Y310" s="67"/>
      <c r="Z310" s="16" t="s">
        <v>86</v>
      </c>
      <c r="AA310" s="16">
        <v>40</v>
      </c>
      <c r="AB310" s="16" t="s">
        <v>742</v>
      </c>
      <c r="AC310" s="183"/>
      <c r="AD310" s="16"/>
      <c r="AE310" s="183"/>
      <c r="AF310" s="16"/>
      <c r="AG310" s="16"/>
      <c r="AH310" s="16" t="s">
        <v>94</v>
      </c>
      <c r="AI310" s="16"/>
      <c r="AJ310" s="16"/>
      <c r="AK310" s="16"/>
      <c r="AL310" s="16" t="s">
        <v>83</v>
      </c>
      <c r="AM310" s="90">
        <v>4062.51</v>
      </c>
      <c r="AN310" s="184">
        <v>1</v>
      </c>
      <c r="AO310" s="15">
        <v>3250</v>
      </c>
      <c r="AQ310" s="16"/>
      <c r="AR310" s="16"/>
      <c r="AS310" s="16"/>
      <c r="AT310" s="16"/>
      <c r="AU310" s="16"/>
      <c r="AV310" s="16"/>
      <c r="AW310" s="7"/>
      <c r="AX310" s="16"/>
      <c r="AY310" s="16"/>
      <c r="AZ310" s="16" t="s">
        <v>255</v>
      </c>
      <c r="BA310">
        <f>A310</f>
        <v>117</v>
      </c>
    </row>
    <row r="311" spans="1:80" ht="15.75" customHeight="1">
      <c r="A311" s="273">
        <v>1</v>
      </c>
      <c r="B311" s="273" t="str">
        <f t="shared" si="21"/>
        <v>NEAKTIVAN</v>
      </c>
      <c r="C311" s="302">
        <f t="shared" si="19"/>
        <v>309</v>
      </c>
      <c r="D311" s="258">
        <v>33</v>
      </c>
      <c r="E311" s="1" t="str">
        <f>VLOOKUP(D311,Table3[[#All],[RB]:[OIB]],2,0)</f>
        <v>HR-DRONE d.o.o.</v>
      </c>
      <c r="F311" s="4">
        <f>VLOOKUP(D311,Table3[],3,0)</f>
        <v>66364254606</v>
      </c>
      <c r="G311" s="1" t="str">
        <f>VLOOKUP(D311,Table3[],4,0)</f>
        <v>ZSOLT JÓZSEF BARKÓCZI</v>
      </c>
      <c r="H311" s="1" t="str">
        <f>VLOOKUP(D311,POSLODAVCI!$A$2:$J$107,9,0)</f>
        <v>Bilje</v>
      </c>
      <c r="I311" s="1" t="str">
        <f>VLOOKUP(D311,Table3[],10,0)</f>
        <v>Kralja Zvonimira 61, Bilje</v>
      </c>
      <c r="J311" s="258" t="s">
        <v>1239</v>
      </c>
      <c r="K311" s="272">
        <v>43997</v>
      </c>
      <c r="L311" s="272">
        <v>44061</v>
      </c>
      <c r="M311" s="182">
        <v>14065632002</v>
      </c>
      <c r="N311" t="s">
        <v>89</v>
      </c>
      <c r="O311" s="7">
        <v>26698</v>
      </c>
      <c r="P311" t="s">
        <v>81</v>
      </c>
      <c r="Q311" t="s">
        <v>82</v>
      </c>
      <c r="R311" t="s">
        <v>1243</v>
      </c>
      <c r="S311" s="5" t="s">
        <v>83</v>
      </c>
      <c r="T311" t="s">
        <v>84</v>
      </c>
      <c r="V311" t="s">
        <v>1244</v>
      </c>
      <c r="W311" t="s">
        <v>1244</v>
      </c>
      <c r="X311" s="304" t="s">
        <v>103</v>
      </c>
      <c r="Y311" s="7"/>
      <c r="Z311" s="16" t="s">
        <v>1894</v>
      </c>
      <c r="AA311">
        <v>2</v>
      </c>
      <c r="AB311" t="s">
        <v>1245</v>
      </c>
      <c r="AC311" s="183"/>
      <c r="AE311" s="183"/>
      <c r="AH311" t="s">
        <v>94</v>
      </c>
      <c r="AL311" t="s">
        <v>83</v>
      </c>
      <c r="AM311" s="90">
        <v>5682.3</v>
      </c>
      <c r="AN311" s="184">
        <v>1</v>
      </c>
      <c r="AO311" s="15">
        <v>4408.29</v>
      </c>
      <c r="AW311" s="7"/>
      <c r="AZ311" t="s">
        <v>374</v>
      </c>
    </row>
    <row r="312" spans="1:80" ht="15.75" customHeight="1">
      <c r="A312" s="273">
        <v>118</v>
      </c>
      <c r="B312" s="273" t="str">
        <f t="shared" si="21"/>
        <v>NEAKTIVAN</v>
      </c>
      <c r="C312" s="302">
        <f t="shared" si="19"/>
        <v>310</v>
      </c>
      <c r="D312" s="1">
        <v>22</v>
      </c>
      <c r="E312" s="1" t="str">
        <f>VLOOKUP(D312,Table3[[#All],[RB]:[OIB]],2,0)</f>
        <v>International Line d.o.o.</v>
      </c>
      <c r="F312" s="4">
        <f>VLOOKUP(D312,Table3[],3,0)</f>
        <v>16157428650</v>
      </c>
      <c r="G312" s="1" t="str">
        <f>VLOOKUP(D312,Table3[],4,0)</f>
        <v>Zoltan Kiri</v>
      </c>
      <c r="H312" s="1" t="str">
        <f>VLOOKUP(D312,POSLODAVCI!$A$2:$J$107,9,0)</f>
        <v>Osijek</v>
      </c>
      <c r="I312" s="1" t="str">
        <f>VLOOKUP(D312,Table3[],10,0)</f>
        <v>Ivana Gundulića 28</v>
      </c>
      <c r="J312" s="1" t="s">
        <v>743</v>
      </c>
      <c r="K312" s="61">
        <v>43851</v>
      </c>
      <c r="L312" s="61">
        <v>44165</v>
      </c>
      <c r="M312" s="182">
        <v>86750963969</v>
      </c>
      <c r="N312" s="16" t="s">
        <v>80</v>
      </c>
      <c r="O312" s="7">
        <v>31153</v>
      </c>
      <c r="P312" s="16" t="s">
        <v>94</v>
      </c>
      <c r="Q312" s="16" t="s">
        <v>82</v>
      </c>
      <c r="R312" s="16" t="s">
        <v>744</v>
      </c>
      <c r="S312" s="17" t="s">
        <v>83</v>
      </c>
      <c r="T312" s="16" t="s">
        <v>84</v>
      </c>
      <c r="U312" s="16" t="s">
        <v>745</v>
      </c>
      <c r="V312" s="16" t="s">
        <v>143</v>
      </c>
      <c r="W312" s="16" t="s">
        <v>143</v>
      </c>
      <c r="X312" s="303" t="s">
        <v>85</v>
      </c>
      <c r="Y312" s="7"/>
      <c r="Z312" s="16" t="s">
        <v>86</v>
      </c>
      <c r="AA312" s="16">
        <v>40</v>
      </c>
      <c r="AB312" s="16" t="s">
        <v>746</v>
      </c>
      <c r="AC312" s="183"/>
      <c r="AD312" s="16"/>
      <c r="AE312" s="183"/>
      <c r="AF312" s="16"/>
      <c r="AG312" s="16"/>
      <c r="AH312" s="16" t="s">
        <v>94</v>
      </c>
      <c r="AI312" s="16"/>
      <c r="AJ312" s="16"/>
      <c r="AK312" s="16"/>
      <c r="AL312" s="16" t="s">
        <v>83</v>
      </c>
      <c r="AM312" s="90">
        <v>4062.51</v>
      </c>
      <c r="AN312" s="184">
        <v>1</v>
      </c>
      <c r="AO312" s="15">
        <v>3250</v>
      </c>
      <c r="AQ312" s="16"/>
      <c r="AR312" s="16"/>
      <c r="AS312" s="16"/>
      <c r="AT312" s="16"/>
      <c r="AU312" s="16"/>
      <c r="AV312" s="16"/>
      <c r="AW312" s="7"/>
      <c r="AX312" s="16"/>
      <c r="AY312" s="16"/>
      <c r="AZ312" s="16" t="s">
        <v>255</v>
      </c>
      <c r="BA312">
        <f>A312</f>
        <v>118</v>
      </c>
    </row>
    <row r="313" spans="1:80" ht="15.75" customHeight="1">
      <c r="A313" s="273">
        <v>119</v>
      </c>
      <c r="B313" s="273" t="str">
        <f t="shared" si="21"/>
        <v>NEAKTIVAN</v>
      </c>
      <c r="C313" s="302">
        <f t="shared" si="19"/>
        <v>311</v>
      </c>
      <c r="D313" s="1">
        <v>22</v>
      </c>
      <c r="E313" s="1" t="str">
        <f>VLOOKUP(D313,Table3[[#All],[RB]:[OIB]],2,0)</f>
        <v>International Line d.o.o.</v>
      </c>
      <c r="F313" s="4">
        <f>VLOOKUP(D313,Table3[],3,0)</f>
        <v>16157428650</v>
      </c>
      <c r="G313" s="1" t="str">
        <f>VLOOKUP(D313,Table3[],4,0)</f>
        <v>Zoltan Kiri</v>
      </c>
      <c r="H313" s="1" t="str">
        <f>VLOOKUP(D313,POSLODAVCI!$A$2:$J$107,9,0)</f>
        <v>Osijek</v>
      </c>
      <c r="I313" s="1" t="str">
        <f>VLOOKUP(D313,Table3[],10,0)</f>
        <v>Ivana Gundulića 28</v>
      </c>
      <c r="J313" s="1" t="s">
        <v>749</v>
      </c>
      <c r="K313" s="61">
        <v>43864</v>
      </c>
      <c r="L313" s="61">
        <v>44161</v>
      </c>
      <c r="M313" s="89" t="s">
        <v>750</v>
      </c>
      <c r="N313" t="s">
        <v>89</v>
      </c>
      <c r="O313" s="7">
        <v>35609</v>
      </c>
      <c r="P313" t="s">
        <v>94</v>
      </c>
      <c r="Q313" t="s">
        <v>82</v>
      </c>
      <c r="R313" t="s">
        <v>751</v>
      </c>
      <c r="S313" s="5" t="s">
        <v>83</v>
      </c>
      <c r="T313" t="s">
        <v>84</v>
      </c>
      <c r="U313" t="s">
        <v>752</v>
      </c>
      <c r="V313" t="s">
        <v>507</v>
      </c>
      <c r="W313" t="s">
        <v>701</v>
      </c>
      <c r="X313" s="304" t="s">
        <v>103</v>
      </c>
      <c r="Y313" s="7"/>
      <c r="Z313" t="s">
        <v>86</v>
      </c>
      <c r="AA313">
        <v>40</v>
      </c>
      <c r="AB313" t="s">
        <v>753</v>
      </c>
      <c r="AC313" s="183"/>
      <c r="AE313" s="183"/>
      <c r="AH313" t="s">
        <v>94</v>
      </c>
      <c r="AL313" t="s">
        <v>83</v>
      </c>
      <c r="AM313" s="90">
        <v>4375</v>
      </c>
      <c r="AN313" s="184">
        <v>1</v>
      </c>
      <c r="AO313" s="15">
        <v>3500</v>
      </c>
      <c r="AW313" s="7"/>
      <c r="AZ313" t="s">
        <v>255</v>
      </c>
      <c r="BA313">
        <f>A313</f>
        <v>119</v>
      </c>
    </row>
    <row r="314" spans="1:80" ht="15.75" customHeight="1">
      <c r="A314" s="273">
        <v>120</v>
      </c>
      <c r="B314" s="273" t="str">
        <f t="shared" si="21"/>
        <v>NEAKTIVAN</v>
      </c>
      <c r="C314" s="302">
        <f t="shared" si="19"/>
        <v>312</v>
      </c>
      <c r="D314" s="1">
        <v>22</v>
      </c>
      <c r="E314" s="1" t="str">
        <f>VLOOKUP(D314,Table3[[#All],[RB]:[OIB]],2,0)</f>
        <v>International Line d.o.o.</v>
      </c>
      <c r="F314" s="4">
        <f>VLOOKUP(D314,Table3[],3,0)</f>
        <v>16157428650</v>
      </c>
      <c r="G314" s="1" t="str">
        <f>VLOOKUP(D314,Table3[],4,0)</f>
        <v>Zoltan Kiri</v>
      </c>
      <c r="H314" s="1" t="str">
        <f>VLOOKUP(D314,POSLODAVCI!$A$2:$J$107,9,0)</f>
        <v>Osijek</v>
      </c>
      <c r="I314" s="1" t="str">
        <f>VLOOKUP(D314,Table3[],10,0)</f>
        <v>Ivana Gundulića 28</v>
      </c>
      <c r="J314" s="1" t="s">
        <v>754</v>
      </c>
      <c r="K314" s="61">
        <v>43864</v>
      </c>
      <c r="L314" s="61">
        <v>43921</v>
      </c>
      <c r="M314" s="89" t="s">
        <v>755</v>
      </c>
      <c r="N314" t="s">
        <v>80</v>
      </c>
      <c r="O314" s="7">
        <v>31416</v>
      </c>
      <c r="P314" t="s">
        <v>94</v>
      </c>
      <c r="Q314" t="s">
        <v>82</v>
      </c>
      <c r="R314" t="s">
        <v>756</v>
      </c>
      <c r="S314" s="5" t="s">
        <v>83</v>
      </c>
      <c r="T314" t="s">
        <v>84</v>
      </c>
      <c r="U314" t="s">
        <v>757</v>
      </c>
      <c r="V314" t="s">
        <v>143</v>
      </c>
      <c r="W314" t="s">
        <v>143</v>
      </c>
      <c r="X314" s="304" t="s">
        <v>85</v>
      </c>
      <c r="Y314" s="7"/>
      <c r="Z314" t="s">
        <v>86</v>
      </c>
      <c r="AA314">
        <v>40</v>
      </c>
      <c r="AB314" t="s">
        <v>758</v>
      </c>
      <c r="AC314" s="183"/>
      <c r="AE314" s="183"/>
      <c r="AH314" t="s">
        <v>94</v>
      </c>
      <c r="AL314" t="s">
        <v>83</v>
      </c>
      <c r="AM314" s="90">
        <v>4062.51</v>
      </c>
      <c r="AN314" s="184">
        <v>1</v>
      </c>
      <c r="AO314" s="15">
        <v>3200</v>
      </c>
      <c r="AW314" s="7"/>
      <c r="AZ314" t="s">
        <v>255</v>
      </c>
      <c r="BA314">
        <f>A314</f>
        <v>120</v>
      </c>
    </row>
    <row r="315" spans="1:80" ht="15.75" customHeight="1">
      <c r="A315" s="273">
        <v>121</v>
      </c>
      <c r="B315" s="273" t="str">
        <f t="shared" si="21"/>
        <v>NEAKTIVAN</v>
      </c>
      <c r="C315" s="302">
        <f t="shared" si="19"/>
        <v>313</v>
      </c>
      <c r="D315" s="194">
        <v>22</v>
      </c>
      <c r="E315" s="1" t="str">
        <f>VLOOKUP(D315,Table3[[#All],[RB]:[OIB]],2,0)</f>
        <v>International Line d.o.o.</v>
      </c>
      <c r="F315" s="4">
        <f>VLOOKUP(D315,Table3[],3,0)</f>
        <v>16157428650</v>
      </c>
      <c r="G315" s="1" t="str">
        <f>VLOOKUP(D315,Table3[],4,0)</f>
        <v>Zoltan Kiri</v>
      </c>
      <c r="H315" s="1" t="str">
        <f>VLOOKUP(D315,POSLODAVCI!$A$2:$J$107,9,0)</f>
        <v>Osijek</v>
      </c>
      <c r="I315" s="1" t="str">
        <f>VLOOKUP(D315,Table3[],10,0)</f>
        <v>Ivana Gundulića 28</v>
      </c>
      <c r="J315" s="194" t="s">
        <v>759</v>
      </c>
      <c r="K315" s="195">
        <v>43871</v>
      </c>
      <c r="L315" s="195">
        <v>43921</v>
      </c>
      <c r="M315" s="182">
        <v>22210776938</v>
      </c>
      <c r="N315" t="s">
        <v>80</v>
      </c>
      <c r="O315" s="7">
        <v>35209</v>
      </c>
      <c r="P315" t="s">
        <v>81</v>
      </c>
      <c r="Q315" t="s">
        <v>82</v>
      </c>
      <c r="R315" t="s">
        <v>760</v>
      </c>
      <c r="S315" s="5" t="s">
        <v>83</v>
      </c>
      <c r="T315" t="s">
        <v>84</v>
      </c>
      <c r="U315" t="s">
        <v>761</v>
      </c>
      <c r="V315" t="s">
        <v>143</v>
      </c>
      <c r="W315" t="s">
        <v>143</v>
      </c>
      <c r="X315" s="304" t="s">
        <v>85</v>
      </c>
      <c r="Y315" s="7"/>
      <c r="Z315" t="s">
        <v>86</v>
      </c>
      <c r="AA315">
        <v>40</v>
      </c>
      <c r="AB315" t="s">
        <v>762</v>
      </c>
      <c r="AC315" s="183"/>
      <c r="AE315" s="183"/>
      <c r="AH315" t="s">
        <v>94</v>
      </c>
      <c r="AL315" t="s">
        <v>83</v>
      </c>
      <c r="AM315" s="196">
        <v>4062.51</v>
      </c>
      <c r="AN315" s="184">
        <v>1</v>
      </c>
      <c r="AO315" s="15">
        <v>3200</v>
      </c>
      <c r="AW315" s="7"/>
      <c r="AZ315" t="s">
        <v>255</v>
      </c>
      <c r="BA315">
        <f>A315</f>
        <v>121</v>
      </c>
    </row>
    <row r="316" spans="1:80" s="259" customFormat="1" ht="15.75" customHeight="1">
      <c r="A316" s="273">
        <v>5</v>
      </c>
      <c r="B316" s="273" t="str">
        <f t="shared" si="21"/>
        <v>NEAKTIVAN</v>
      </c>
      <c r="C316" s="302">
        <f t="shared" si="19"/>
        <v>314</v>
      </c>
      <c r="D316" s="258">
        <v>32</v>
      </c>
      <c r="E316" s="1" t="str">
        <f>VLOOKUP(D316,Table3[[#All],[RB]:[OIB]],2,0)</f>
        <v>Špajz j.d.o.o.</v>
      </c>
      <c r="F316" s="4">
        <f>VLOOKUP(D316,Table3[],3,0)</f>
        <v>15795338441</v>
      </c>
      <c r="G316" s="1" t="str">
        <f>VLOOKUP(D316,Table3[],4,0)</f>
        <v>Martina Završki</v>
      </c>
      <c r="H316" s="1" t="str">
        <f>VLOOKUP(D316,POSLODAVCI!$A$2:$J$107,9,0)</f>
        <v>Darda</v>
      </c>
      <c r="I316" s="1" t="str">
        <f>VLOOKUP(D316,Table3[],10,0)</f>
        <v>Ilirska ulica 53, Darda</v>
      </c>
      <c r="J316" s="258" t="s">
        <v>1255</v>
      </c>
      <c r="K316" s="272">
        <v>44043</v>
      </c>
      <c r="L316" s="272">
        <v>44120</v>
      </c>
      <c r="M316" s="182">
        <v>15740614143</v>
      </c>
      <c r="N316" t="s">
        <v>80</v>
      </c>
      <c r="O316" s="7">
        <v>36962</v>
      </c>
      <c r="P316" t="s">
        <v>94</v>
      </c>
      <c r="Q316" t="s">
        <v>82</v>
      </c>
      <c r="R316" t="s">
        <v>1256</v>
      </c>
      <c r="S316" s="5" t="s">
        <v>83</v>
      </c>
      <c r="T316" t="s">
        <v>84</v>
      </c>
      <c r="U316"/>
      <c r="V316" t="s">
        <v>210</v>
      </c>
      <c r="W316" t="s">
        <v>210</v>
      </c>
      <c r="X316" s="304" t="s">
        <v>85</v>
      </c>
      <c r="Y316" s="7">
        <v>44135</v>
      </c>
      <c r="Z316" t="s">
        <v>86</v>
      </c>
      <c r="AA316">
        <v>40</v>
      </c>
      <c r="AB316" t="s">
        <v>1257</v>
      </c>
      <c r="AC316" s="183"/>
      <c r="AD316"/>
      <c r="AE316" s="183"/>
      <c r="AF316"/>
      <c r="AG316"/>
      <c r="AH316" t="s">
        <v>94</v>
      </c>
      <c r="AI316"/>
      <c r="AJ316"/>
      <c r="AK316"/>
      <c r="AL316" t="s">
        <v>83</v>
      </c>
      <c r="AM316" s="261">
        <v>4062.51</v>
      </c>
      <c r="AN316" s="184">
        <v>1</v>
      </c>
      <c r="AO316" s="15">
        <v>3250</v>
      </c>
      <c r="AP316" s="15"/>
      <c r="AQ316"/>
      <c r="AR316"/>
      <c r="AS316"/>
      <c r="AT316"/>
      <c r="AU316"/>
      <c r="AV316"/>
      <c r="AW316" s="7"/>
      <c r="AX316"/>
      <c r="AY316"/>
      <c r="AZ316" t="s">
        <v>374</v>
      </c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</row>
    <row r="317" spans="1:80" s="259" customFormat="1" ht="15.75" customHeight="1">
      <c r="A317" s="273">
        <v>1</v>
      </c>
      <c r="B317" s="273" t="str">
        <f t="shared" si="21"/>
        <v>NEAKTIVAN</v>
      </c>
      <c r="C317" s="302">
        <f t="shared" si="19"/>
        <v>315</v>
      </c>
      <c r="D317" s="258">
        <v>34</v>
      </c>
      <c r="E317" s="1" t="str">
        <f>VLOOKUP(D317,Table3[[#All],[RB]:[OIB]],2,0)</f>
        <v>SAZOL TRANS j.d.o.o.</v>
      </c>
      <c r="F317" s="4">
        <f>VLOOKUP(D317,Table3[],3,0)</f>
        <v>21428597692</v>
      </c>
      <c r="G317" s="1" t="str">
        <f>VLOOKUP(D317,Table3[],4,0)</f>
        <v>Darinka Huber</v>
      </c>
      <c r="H317" s="1" t="str">
        <f>VLOOKUP(D317,POSLODAVCI!$A$2:$J$107,9,0)</f>
        <v>Beli Manastir</v>
      </c>
      <c r="I317" s="1" t="str">
        <f>VLOOKUP(D317,Table3[],10,0)</f>
        <v>Osječka 16A, 31300 Beli Manastir</v>
      </c>
      <c r="J317" s="258" t="s">
        <v>1284</v>
      </c>
      <c r="K317" s="272">
        <v>44016</v>
      </c>
      <c r="L317" s="272">
        <v>44165</v>
      </c>
      <c r="M317" s="182">
        <v>70429569630</v>
      </c>
      <c r="N317" t="s">
        <v>80</v>
      </c>
      <c r="O317" s="7">
        <v>32770</v>
      </c>
      <c r="P317" t="s">
        <v>81</v>
      </c>
      <c r="Q317" s="313" t="s">
        <v>82</v>
      </c>
      <c r="R317" t="s">
        <v>1261</v>
      </c>
      <c r="S317" s="5" t="s">
        <v>83</v>
      </c>
      <c r="T317" t="s">
        <v>84</v>
      </c>
      <c r="U317" t="s">
        <v>1262</v>
      </c>
      <c r="V317" t="s">
        <v>1263</v>
      </c>
      <c r="W317" t="s">
        <v>488</v>
      </c>
      <c r="X317" s="304" t="s">
        <v>85</v>
      </c>
      <c r="Y317" s="7">
        <v>44104</v>
      </c>
      <c r="Z317" t="s">
        <v>86</v>
      </c>
      <c r="AA317">
        <v>40</v>
      </c>
      <c r="AB317" t="s">
        <v>1264</v>
      </c>
      <c r="AC317" s="183"/>
      <c r="AD317"/>
      <c r="AE317" s="183"/>
      <c r="AF317"/>
      <c r="AG317"/>
      <c r="AH317" t="s">
        <v>1265</v>
      </c>
      <c r="AI317"/>
      <c r="AJ317"/>
      <c r="AK317"/>
      <c r="AL317" t="s">
        <v>83</v>
      </c>
      <c r="AM317" s="261">
        <v>5835.56</v>
      </c>
      <c r="AN317" s="184">
        <v>1</v>
      </c>
      <c r="AO317" s="15">
        <v>4500</v>
      </c>
      <c r="AP317" s="15"/>
      <c r="AQ317"/>
      <c r="AR317"/>
      <c r="AS317"/>
      <c r="AT317"/>
      <c r="AU317"/>
      <c r="AV317"/>
      <c r="AW317" s="7"/>
      <c r="AX317"/>
      <c r="AY317"/>
      <c r="AZ317" t="s">
        <v>374</v>
      </c>
      <c r="BA317">
        <v>1</v>
      </c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</row>
    <row r="318" spans="1:80" s="259" customFormat="1" ht="15.75" customHeight="1">
      <c r="A318" s="273">
        <v>2</v>
      </c>
      <c r="B318" s="273" t="str">
        <f t="shared" si="21"/>
        <v>NEAKTIVAN</v>
      </c>
      <c r="C318" s="302">
        <f t="shared" si="19"/>
        <v>316</v>
      </c>
      <c r="D318" s="258">
        <v>34</v>
      </c>
      <c r="E318" s="1" t="str">
        <f>VLOOKUP(D318,Table3[[#All],[RB]:[OIB]],2,0)</f>
        <v>SAZOL TRANS j.d.o.o.</v>
      </c>
      <c r="F318" s="4">
        <f>VLOOKUP(D318,Table3[],3,0)</f>
        <v>21428597692</v>
      </c>
      <c r="G318" s="1" t="str">
        <f>VLOOKUP(D318,Table3[],4,0)</f>
        <v>Darinka Huber</v>
      </c>
      <c r="H318" s="1" t="str">
        <f>VLOOKUP(D318,POSLODAVCI!$A$2:$J$107,9,0)</f>
        <v>Beli Manastir</v>
      </c>
      <c r="I318" s="1" t="str">
        <f>VLOOKUP(D318,Table3[],10,0)</f>
        <v>Osječka 16A, 31300 Beli Manastir</v>
      </c>
      <c r="J318" s="258" t="s">
        <v>1266</v>
      </c>
      <c r="K318" s="272">
        <v>44016</v>
      </c>
      <c r="L318" s="272">
        <v>44165</v>
      </c>
      <c r="M318" s="182">
        <v>33075612312</v>
      </c>
      <c r="N318" t="s">
        <v>80</v>
      </c>
      <c r="O318" s="7">
        <v>26428</v>
      </c>
      <c r="P318" t="s">
        <v>94</v>
      </c>
      <c r="Q318" s="313" t="s">
        <v>82</v>
      </c>
      <c r="R318" t="s">
        <v>1267</v>
      </c>
      <c r="S318" s="5" t="s">
        <v>83</v>
      </c>
      <c r="T318" t="s">
        <v>310</v>
      </c>
      <c r="U318" t="s">
        <v>1268</v>
      </c>
      <c r="V318" t="s">
        <v>310</v>
      </c>
      <c r="W318" t="s">
        <v>1215</v>
      </c>
      <c r="X318" s="304" t="s">
        <v>85</v>
      </c>
      <c r="Y318" s="7">
        <v>44104</v>
      </c>
      <c r="Z318" t="s">
        <v>86</v>
      </c>
      <c r="AA318">
        <v>40</v>
      </c>
      <c r="AB318" t="s">
        <v>1269</v>
      </c>
      <c r="AC318" s="183"/>
      <c r="AD318"/>
      <c r="AE318" s="183"/>
      <c r="AF318"/>
      <c r="AG318"/>
      <c r="AH318" t="s">
        <v>1265</v>
      </c>
      <c r="AI318"/>
      <c r="AJ318"/>
      <c r="AK318"/>
      <c r="AL318" t="s">
        <v>83</v>
      </c>
      <c r="AM318" s="261">
        <v>5000</v>
      </c>
      <c r="AN318" s="184">
        <v>1</v>
      </c>
      <c r="AO318" s="15">
        <v>4000</v>
      </c>
      <c r="AP318" s="15"/>
      <c r="AQ318"/>
      <c r="AR318"/>
      <c r="AS318"/>
      <c r="AT318"/>
      <c r="AU318"/>
      <c r="AV318"/>
      <c r="AW318" s="7"/>
      <c r="AX318"/>
      <c r="AY318"/>
      <c r="AZ318" t="s">
        <v>374</v>
      </c>
      <c r="BA318">
        <v>2</v>
      </c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</row>
    <row r="319" spans="1:80" s="259" customFormat="1" ht="15.75" customHeight="1">
      <c r="A319" s="273">
        <v>3</v>
      </c>
      <c r="B319" s="273" t="str">
        <f t="shared" si="21"/>
        <v>NEAKTIVAN</v>
      </c>
      <c r="C319" s="302">
        <f t="shared" si="19"/>
        <v>317</v>
      </c>
      <c r="D319" s="258">
        <v>34</v>
      </c>
      <c r="E319" s="1" t="str">
        <f>VLOOKUP(D319,Table3[[#All],[RB]:[OIB]],2,0)</f>
        <v>SAZOL TRANS j.d.o.o.</v>
      </c>
      <c r="F319" s="4">
        <f>VLOOKUP(D319,Table3[],3,0)</f>
        <v>21428597692</v>
      </c>
      <c r="G319" s="1" t="str">
        <f>VLOOKUP(D319,Table3[],4,0)</f>
        <v>Darinka Huber</v>
      </c>
      <c r="H319" s="1" t="str">
        <f>VLOOKUP(D319,POSLODAVCI!$A$2:$J$107,9,0)</f>
        <v>Beli Manastir</v>
      </c>
      <c r="I319" s="1" t="str">
        <f>VLOOKUP(D319,Table3[],10,0)</f>
        <v>Osječka 16A, 31300 Beli Manastir</v>
      </c>
      <c r="J319" s="258" t="s">
        <v>1270</v>
      </c>
      <c r="K319" s="272">
        <v>44016</v>
      </c>
      <c r="L319" s="272">
        <v>44165</v>
      </c>
      <c r="M319" s="182">
        <v>82904965345</v>
      </c>
      <c r="N319" t="s">
        <v>80</v>
      </c>
      <c r="O319" s="7">
        <v>25210</v>
      </c>
      <c r="P319" t="s">
        <v>94</v>
      </c>
      <c r="Q319" t="s">
        <v>82</v>
      </c>
      <c r="R319" t="s">
        <v>1271</v>
      </c>
      <c r="S319" s="5" t="s">
        <v>83</v>
      </c>
      <c r="T319" t="s">
        <v>310</v>
      </c>
      <c r="U319" t="s">
        <v>1272</v>
      </c>
      <c r="V319" t="s">
        <v>310</v>
      </c>
      <c r="W319" t="s">
        <v>1215</v>
      </c>
      <c r="X319" s="304" t="s">
        <v>85</v>
      </c>
      <c r="Y319" s="7">
        <v>44104</v>
      </c>
      <c r="Z319" t="s">
        <v>86</v>
      </c>
      <c r="AA319">
        <v>40</v>
      </c>
      <c r="AB319" t="s">
        <v>1273</v>
      </c>
      <c r="AC319" s="183"/>
      <c r="AD319"/>
      <c r="AE319" s="183"/>
      <c r="AF319"/>
      <c r="AG319"/>
      <c r="AH319" t="s">
        <v>1265</v>
      </c>
      <c r="AI319"/>
      <c r="AJ319"/>
      <c r="AK319"/>
      <c r="AL319" t="s">
        <v>83</v>
      </c>
      <c r="AM319" s="261">
        <v>5000</v>
      </c>
      <c r="AN319" s="184">
        <v>1.7</v>
      </c>
      <c r="AO319" s="15">
        <v>4000</v>
      </c>
      <c r="AP319" s="15"/>
      <c r="AQ319"/>
      <c r="AR319"/>
      <c r="AS319"/>
      <c r="AT319"/>
      <c r="AU319"/>
      <c r="AV319"/>
      <c r="AW319" s="7"/>
      <c r="AX319"/>
      <c r="AY319"/>
      <c r="AZ319" t="s">
        <v>374</v>
      </c>
      <c r="BA319">
        <v>3</v>
      </c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</row>
    <row r="320" spans="1:80" s="259" customFormat="1" ht="15.75" customHeight="1">
      <c r="A320" s="273">
        <v>4</v>
      </c>
      <c r="B320" s="273" t="str">
        <f t="shared" si="21"/>
        <v>NEAKTIVAN</v>
      </c>
      <c r="C320" s="302">
        <f t="shared" si="19"/>
        <v>318</v>
      </c>
      <c r="D320" s="258">
        <v>34</v>
      </c>
      <c r="E320" s="1" t="str">
        <f>VLOOKUP(D320,Table3[[#All],[RB]:[OIB]],2,0)</f>
        <v>SAZOL TRANS j.d.o.o.</v>
      </c>
      <c r="F320" s="4">
        <f>VLOOKUP(D320,Table3[],3,0)</f>
        <v>21428597692</v>
      </c>
      <c r="G320" s="1" t="str">
        <f>VLOOKUP(D320,Table3[],4,0)</f>
        <v>Darinka Huber</v>
      </c>
      <c r="H320" s="1" t="str">
        <f>VLOOKUP(D320,POSLODAVCI!$A$2:$J$107,9,0)</f>
        <v>Beli Manastir</v>
      </c>
      <c r="I320" s="1" t="str">
        <f>VLOOKUP(D320,Table3[],10,0)</f>
        <v>Osječka 16A, 31300 Beli Manastir</v>
      </c>
      <c r="J320" s="258" t="s">
        <v>1274</v>
      </c>
      <c r="K320" s="272">
        <v>44016</v>
      </c>
      <c r="L320" s="272">
        <v>44081</v>
      </c>
      <c r="M320" s="182">
        <v>92496072519</v>
      </c>
      <c r="N320" t="s">
        <v>89</v>
      </c>
      <c r="O320" s="7">
        <v>31019</v>
      </c>
      <c r="P320" t="s">
        <v>81</v>
      </c>
      <c r="Q320" t="s">
        <v>82</v>
      </c>
      <c r="R320" t="s">
        <v>1275</v>
      </c>
      <c r="S320" s="5" t="s">
        <v>83</v>
      </c>
      <c r="T320" t="s">
        <v>84</v>
      </c>
      <c r="U320" t="s">
        <v>1276</v>
      </c>
      <c r="V320" t="s">
        <v>1277</v>
      </c>
      <c r="W320" t="s">
        <v>210</v>
      </c>
      <c r="X320" s="304" t="s">
        <v>85</v>
      </c>
      <c r="Y320" s="7">
        <v>44104</v>
      </c>
      <c r="Z320" t="s">
        <v>86</v>
      </c>
      <c r="AA320">
        <v>40</v>
      </c>
      <c r="AB320" t="s">
        <v>1278</v>
      </c>
      <c r="AC320" s="183"/>
      <c r="AD320"/>
      <c r="AE320" s="183"/>
      <c r="AF320"/>
      <c r="AG320"/>
      <c r="AH320" t="s">
        <v>1265</v>
      </c>
      <c r="AI320"/>
      <c r="AJ320"/>
      <c r="AK320"/>
      <c r="AL320" t="s">
        <v>83</v>
      </c>
      <c r="AM320" s="261">
        <v>4375</v>
      </c>
      <c r="AN320" s="184">
        <v>1</v>
      </c>
      <c r="AO320" s="15">
        <v>3500</v>
      </c>
      <c r="AP320" s="15"/>
      <c r="AQ320"/>
      <c r="AR320"/>
      <c r="AS320"/>
      <c r="AT320"/>
      <c r="AU320"/>
      <c r="AV320"/>
      <c r="AW320" s="7"/>
      <c r="AX320"/>
      <c r="AY320"/>
      <c r="AZ320" t="s">
        <v>255</v>
      </c>
      <c r="BA320">
        <v>4</v>
      </c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</row>
    <row r="321" spans="1:80" s="259" customFormat="1" ht="15.75" customHeight="1">
      <c r="A321" s="273">
        <v>5</v>
      </c>
      <c r="B321" s="273" t="str">
        <f t="shared" si="21"/>
        <v>NEAKTIVAN</v>
      </c>
      <c r="C321" s="302">
        <f t="shared" si="19"/>
        <v>319</v>
      </c>
      <c r="D321" s="258">
        <v>34</v>
      </c>
      <c r="E321" s="1" t="str">
        <f>VLOOKUP(D321,Table3[[#All],[RB]:[OIB]],2,0)</f>
        <v>SAZOL TRANS j.d.o.o.</v>
      </c>
      <c r="F321" s="4">
        <f>VLOOKUP(D321,Table3[],3,0)</f>
        <v>21428597692</v>
      </c>
      <c r="G321" s="1" t="str">
        <f>VLOOKUP(D321,Table3[],4,0)</f>
        <v>Darinka Huber</v>
      </c>
      <c r="H321" s="1" t="str">
        <f>VLOOKUP(D321,POSLODAVCI!$A$2:$J$107,9,0)</f>
        <v>Beli Manastir</v>
      </c>
      <c r="I321" s="1" t="str">
        <f>VLOOKUP(D321,Table3[],10,0)</f>
        <v>Osječka 16A, 31300 Beli Manastir</v>
      </c>
      <c r="J321" s="258" t="s">
        <v>1279</v>
      </c>
      <c r="K321" s="272">
        <v>44016</v>
      </c>
      <c r="L321" s="272">
        <v>44165</v>
      </c>
      <c r="M321" s="182">
        <v>58105064289</v>
      </c>
      <c r="N321" t="s">
        <v>80</v>
      </c>
      <c r="O321" s="7">
        <v>35809</v>
      </c>
      <c r="P321" t="s">
        <v>81</v>
      </c>
      <c r="Q321" t="s">
        <v>82</v>
      </c>
      <c r="R321" t="s">
        <v>1280</v>
      </c>
      <c r="S321" s="5" t="s">
        <v>83</v>
      </c>
      <c r="T321" t="s">
        <v>84</v>
      </c>
      <c r="U321" t="s">
        <v>745</v>
      </c>
      <c r="V321" t="s">
        <v>1281</v>
      </c>
      <c r="W321" t="s">
        <v>210</v>
      </c>
      <c r="X321" s="304" t="s">
        <v>85</v>
      </c>
      <c r="Y321" s="7">
        <v>44104</v>
      </c>
      <c r="Z321" t="s">
        <v>86</v>
      </c>
      <c r="AA321">
        <v>40</v>
      </c>
      <c r="AB321" t="s">
        <v>569</v>
      </c>
      <c r="AC321" s="183"/>
      <c r="AD321"/>
      <c r="AE321" s="183"/>
      <c r="AF321"/>
      <c r="AG321"/>
      <c r="AH321" t="s">
        <v>1265</v>
      </c>
      <c r="AI321"/>
      <c r="AJ321"/>
      <c r="AK321"/>
      <c r="AL321" t="s">
        <v>83</v>
      </c>
      <c r="AM321" s="261">
        <v>4375</v>
      </c>
      <c r="AN321" s="184">
        <v>1</v>
      </c>
      <c r="AO321" s="15">
        <v>3500</v>
      </c>
      <c r="AP321" s="15"/>
      <c r="AQ321"/>
      <c r="AR321"/>
      <c r="AS321"/>
      <c r="AT321"/>
      <c r="AU321"/>
      <c r="AV321"/>
      <c r="AW321" s="7"/>
      <c r="AX321"/>
      <c r="AY321"/>
      <c r="AZ321" t="s">
        <v>374</v>
      </c>
      <c r="BA321">
        <v>5</v>
      </c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</row>
    <row r="322" spans="1:80" ht="15.75" customHeight="1">
      <c r="A322" s="273">
        <v>122</v>
      </c>
      <c r="B322" s="273" t="str">
        <f t="shared" si="21"/>
        <v>NEAKTIVAN</v>
      </c>
      <c r="C322" s="302">
        <f t="shared" si="19"/>
        <v>320</v>
      </c>
      <c r="D322" s="194">
        <v>22</v>
      </c>
      <c r="E322" s="1" t="str">
        <f>VLOOKUP(D322,Table3[[#All],[RB]:[OIB]],2,0)</f>
        <v>International Line d.o.o.</v>
      </c>
      <c r="F322" s="4">
        <f>VLOOKUP(D322,Table3[],3,0)</f>
        <v>16157428650</v>
      </c>
      <c r="G322" s="1" t="str">
        <f>VLOOKUP(D322,Table3[],4,0)</f>
        <v>Zoltan Kiri</v>
      </c>
      <c r="H322" s="1" t="str">
        <f>VLOOKUP(D322,POSLODAVCI!$A$2:$J$107,9,0)</f>
        <v>Osijek</v>
      </c>
      <c r="I322" s="1" t="str">
        <f>VLOOKUP(D322,Table3[],10,0)</f>
        <v>Ivana Gundulića 28</v>
      </c>
      <c r="J322" s="194" t="s">
        <v>770</v>
      </c>
      <c r="K322" s="195">
        <v>43892</v>
      </c>
      <c r="L322" s="195">
        <v>44021</v>
      </c>
      <c r="M322" s="182">
        <v>93342553119</v>
      </c>
      <c r="N322" t="s">
        <v>89</v>
      </c>
      <c r="O322" s="7">
        <v>36740</v>
      </c>
      <c r="P322" t="s">
        <v>94</v>
      </c>
      <c r="Q322" t="s">
        <v>82</v>
      </c>
      <c r="R322" t="s">
        <v>771</v>
      </c>
      <c r="S322" s="5" t="s">
        <v>83</v>
      </c>
      <c r="T322" t="s">
        <v>84</v>
      </c>
      <c r="V322" t="s">
        <v>772</v>
      </c>
      <c r="W322" t="s">
        <v>660</v>
      </c>
      <c r="X322" s="304" t="s">
        <v>103</v>
      </c>
      <c r="Y322" s="7"/>
      <c r="Z322" t="s">
        <v>86</v>
      </c>
      <c r="AA322">
        <v>40</v>
      </c>
      <c r="AB322" t="s">
        <v>773</v>
      </c>
      <c r="AC322" s="183"/>
      <c r="AE322" s="183"/>
      <c r="AH322" t="s">
        <v>94</v>
      </c>
      <c r="AL322" t="s">
        <v>83</v>
      </c>
      <c r="AM322" s="90">
        <v>4375</v>
      </c>
      <c r="AN322" s="184">
        <v>1</v>
      </c>
      <c r="AO322" s="15">
        <v>3500</v>
      </c>
      <c r="AW322" s="7"/>
      <c r="AZ322" t="s">
        <v>255</v>
      </c>
      <c r="BA322">
        <f>A322</f>
        <v>122</v>
      </c>
    </row>
    <row r="323" spans="1:80" ht="15.75" customHeight="1">
      <c r="A323" s="273">
        <v>123</v>
      </c>
      <c r="B323" s="273" t="str">
        <f t="shared" si="21"/>
        <v>NEAKTIVAN</v>
      </c>
      <c r="C323" s="302">
        <f t="shared" ref="C323:C386" si="23">C322+1</f>
        <v>321</v>
      </c>
      <c r="D323" s="258">
        <v>22</v>
      </c>
      <c r="E323" s="1" t="str">
        <f>VLOOKUP(D323,Table3[[#All],[RB]:[OIB]],2,0)</f>
        <v>International Line d.o.o.</v>
      </c>
      <c r="F323" s="4">
        <f>VLOOKUP(D323,Table3[],3,0)</f>
        <v>16157428650</v>
      </c>
      <c r="G323" s="1" t="str">
        <f>VLOOKUP(D323,Table3[],4,0)</f>
        <v>Zoltan Kiri</v>
      </c>
      <c r="H323" s="1" t="str">
        <f>VLOOKUP(D323,POSLODAVCI!$A$2:$J$107,9,0)</f>
        <v>Osijek</v>
      </c>
      <c r="I323" s="1" t="str">
        <f>VLOOKUP(D323,Table3[],10,0)</f>
        <v>Ivana Gundulića 28</v>
      </c>
      <c r="J323" s="258" t="s">
        <v>1219</v>
      </c>
      <c r="K323" s="272">
        <v>43990</v>
      </c>
      <c r="L323" s="272">
        <v>43999</v>
      </c>
      <c r="M323" s="182">
        <v>72974121650</v>
      </c>
      <c r="N323" t="s">
        <v>80</v>
      </c>
      <c r="O323" s="7">
        <v>34137</v>
      </c>
      <c r="P323" t="s">
        <v>94</v>
      </c>
      <c r="Q323" t="s">
        <v>82</v>
      </c>
      <c r="R323" t="s">
        <v>1223</v>
      </c>
      <c r="S323" s="5" t="s">
        <v>83</v>
      </c>
      <c r="T323" t="s">
        <v>111</v>
      </c>
      <c r="V323" t="s">
        <v>507</v>
      </c>
      <c r="W323" t="s">
        <v>507</v>
      </c>
      <c r="X323" s="304" t="s">
        <v>103</v>
      </c>
      <c r="Y323" s="7"/>
      <c r="Z323" t="s">
        <v>86</v>
      </c>
      <c r="AA323">
        <v>40</v>
      </c>
      <c r="AB323" t="s">
        <v>1220</v>
      </c>
      <c r="AC323" s="183"/>
      <c r="AE323" s="183"/>
      <c r="AH323" t="s">
        <v>94</v>
      </c>
      <c r="AL323" t="s">
        <v>83</v>
      </c>
      <c r="AM323" s="261">
        <v>4375</v>
      </c>
      <c r="AN323" s="184">
        <v>1</v>
      </c>
      <c r="AO323" s="15">
        <v>3500</v>
      </c>
      <c r="AW323" s="7"/>
      <c r="AZ323" t="s">
        <v>255</v>
      </c>
      <c r="BA323">
        <f>A323</f>
        <v>123</v>
      </c>
    </row>
    <row r="324" spans="1:80" ht="15.75" customHeight="1">
      <c r="A324" s="273">
        <v>6</v>
      </c>
      <c r="B324" s="273" t="str">
        <f t="shared" si="21"/>
        <v>NEAKTIVAN</v>
      </c>
      <c r="C324" s="302">
        <f t="shared" si="23"/>
        <v>322</v>
      </c>
      <c r="D324" s="258">
        <v>34</v>
      </c>
      <c r="E324" s="1" t="str">
        <f>VLOOKUP(D324,Table3[[#All],[RB]:[OIB]],2,0)</f>
        <v>SAZOL TRANS j.d.o.o.</v>
      </c>
      <c r="F324" s="4">
        <f>VLOOKUP(D324,Table3[],3,0)</f>
        <v>21428597692</v>
      </c>
      <c r="G324" s="1" t="str">
        <f>VLOOKUP(D324,Table3[],4,0)</f>
        <v>Darinka Huber</v>
      </c>
      <c r="H324" s="1" t="str">
        <f>VLOOKUP(D324,POSLODAVCI!$A$2:$J$107,9,0)</f>
        <v>Beli Manastir</v>
      </c>
      <c r="I324" s="1" t="str">
        <f>VLOOKUP(D324,Table3[],10,0)</f>
        <v>Osječka 16A, 31300 Beli Manastir</v>
      </c>
      <c r="J324" s="258" t="s">
        <v>1285</v>
      </c>
      <c r="K324" s="272">
        <v>44019</v>
      </c>
      <c r="L324" s="272">
        <v>44377</v>
      </c>
      <c r="M324" s="182">
        <v>39112878817</v>
      </c>
      <c r="N324" t="s">
        <v>80</v>
      </c>
      <c r="O324" s="7">
        <v>30586</v>
      </c>
      <c r="P324" t="s">
        <v>94</v>
      </c>
      <c r="Q324" t="s">
        <v>82</v>
      </c>
      <c r="R324" t="s">
        <v>232</v>
      </c>
      <c r="S324" s="5" t="s">
        <v>83</v>
      </c>
      <c r="T324" t="s">
        <v>84</v>
      </c>
      <c r="V324" t="s">
        <v>1206</v>
      </c>
      <c r="W324" t="s">
        <v>1206</v>
      </c>
      <c r="X324" s="304" t="s">
        <v>103</v>
      </c>
      <c r="Y324" s="7"/>
      <c r="Z324" t="s">
        <v>86</v>
      </c>
      <c r="AA324">
        <v>40</v>
      </c>
      <c r="AB324" t="s">
        <v>1286</v>
      </c>
      <c r="AC324" s="183"/>
      <c r="AE324" s="183"/>
      <c r="AH324" t="s">
        <v>1265</v>
      </c>
      <c r="AL324" t="s">
        <v>87</v>
      </c>
      <c r="AM324" s="261">
        <v>5682.3</v>
      </c>
      <c r="AN324" s="184">
        <v>2.7</v>
      </c>
      <c r="AO324" s="15">
        <v>4397.8</v>
      </c>
      <c r="AW324" s="7"/>
      <c r="AZ324" t="s">
        <v>374</v>
      </c>
      <c r="BA324">
        <v>6</v>
      </c>
    </row>
    <row r="325" spans="1:80" ht="15.75" customHeight="1">
      <c r="A325" s="273">
        <v>124</v>
      </c>
      <c r="B325" s="273" t="str">
        <f t="shared" si="21"/>
        <v>NEAKTIVAN</v>
      </c>
      <c r="C325" s="302">
        <f t="shared" si="23"/>
        <v>323</v>
      </c>
      <c r="D325" s="258">
        <v>22</v>
      </c>
      <c r="E325" s="1" t="str">
        <f>VLOOKUP(D325,Table3[[#All],[RB]:[OIB]],2,0)</f>
        <v>International Line d.o.o.</v>
      </c>
      <c r="F325" s="4">
        <f>VLOOKUP(D325,Table3[],3,0)</f>
        <v>16157428650</v>
      </c>
      <c r="G325" s="1" t="str">
        <f>VLOOKUP(D325,Table3[],4,0)</f>
        <v>Zoltan Kiri</v>
      </c>
      <c r="H325" s="1" t="str">
        <f>VLOOKUP(D325,POSLODAVCI!$A$2:$J$107,9,0)</f>
        <v>Osijek</v>
      </c>
      <c r="I325" s="1" t="str">
        <f>VLOOKUP(D325,Table3[],10,0)</f>
        <v>Ivana Gundulića 28</v>
      </c>
      <c r="J325" s="258" t="s">
        <v>676</v>
      </c>
      <c r="K325" s="272">
        <v>43997</v>
      </c>
      <c r="L325" s="272">
        <v>44165</v>
      </c>
      <c r="M325" s="182">
        <v>19801410326</v>
      </c>
      <c r="N325" t="s">
        <v>80</v>
      </c>
      <c r="O325" s="7">
        <v>29133</v>
      </c>
      <c r="P325" t="s">
        <v>81</v>
      </c>
      <c r="Q325" t="s">
        <v>82</v>
      </c>
      <c r="R325" t="s">
        <v>1246</v>
      </c>
      <c r="S325" s="5" t="s">
        <v>83</v>
      </c>
      <c r="T325" t="s">
        <v>84</v>
      </c>
      <c r="V325" t="s">
        <v>143</v>
      </c>
      <c r="W325" t="s">
        <v>143</v>
      </c>
      <c r="X325" s="304" t="s">
        <v>85</v>
      </c>
      <c r="Y325" s="7"/>
      <c r="Z325" t="s">
        <v>86</v>
      </c>
      <c r="AA325">
        <v>40</v>
      </c>
      <c r="AB325" t="s">
        <v>679</v>
      </c>
      <c r="AC325" s="183"/>
      <c r="AE325" s="183"/>
      <c r="AH325" t="s">
        <v>94</v>
      </c>
      <c r="AL325" t="s">
        <v>83</v>
      </c>
      <c r="AM325" s="261">
        <v>4062.51</v>
      </c>
      <c r="AN325" s="184">
        <v>1</v>
      </c>
      <c r="AO325" s="15">
        <v>3250</v>
      </c>
      <c r="AW325" s="7"/>
      <c r="AZ325" t="s">
        <v>255</v>
      </c>
      <c r="BA325">
        <f t="shared" ref="BA325:BA333" si="24">A325</f>
        <v>124</v>
      </c>
    </row>
    <row r="326" spans="1:80" ht="15.75" customHeight="1">
      <c r="A326" s="273">
        <v>125</v>
      </c>
      <c r="B326" s="273" t="str">
        <f t="shared" si="21"/>
        <v>NEAKTIVAN</v>
      </c>
      <c r="C326" s="302">
        <f t="shared" si="23"/>
        <v>324</v>
      </c>
      <c r="D326" s="258">
        <v>22</v>
      </c>
      <c r="E326" s="1" t="str">
        <f>VLOOKUP(D326,Table3[[#All],[RB]:[OIB]],2,0)</f>
        <v>International Line d.o.o.</v>
      </c>
      <c r="F326" s="4">
        <f>VLOOKUP(D326,Table3[],3,0)</f>
        <v>16157428650</v>
      </c>
      <c r="G326" s="1" t="str">
        <f>VLOOKUP(D326,Table3[],4,0)</f>
        <v>Zoltan Kiri</v>
      </c>
      <c r="H326" s="1" t="str">
        <f>VLOOKUP(D326,POSLODAVCI!$A$2:$J$107,9,0)</f>
        <v>Osijek</v>
      </c>
      <c r="I326" s="1" t="str">
        <f>VLOOKUP(D326,Table3[],10,0)</f>
        <v>Ivana Gundulića 28</v>
      </c>
      <c r="J326" s="1" t="s">
        <v>754</v>
      </c>
      <c r="K326" s="61">
        <v>43998</v>
      </c>
      <c r="L326" s="61">
        <v>44028</v>
      </c>
      <c r="M326" s="89" t="s">
        <v>755</v>
      </c>
      <c r="N326" t="s">
        <v>80</v>
      </c>
      <c r="O326" s="7">
        <v>31416</v>
      </c>
      <c r="P326" t="s">
        <v>94</v>
      </c>
      <c r="Q326" t="s">
        <v>82</v>
      </c>
      <c r="R326" t="s">
        <v>756</v>
      </c>
      <c r="S326" s="5" t="s">
        <v>83</v>
      </c>
      <c r="T326" t="s">
        <v>84</v>
      </c>
      <c r="U326" t="s">
        <v>757</v>
      </c>
      <c r="V326" t="s">
        <v>143</v>
      </c>
      <c r="W326" t="s">
        <v>143</v>
      </c>
      <c r="X326" s="304" t="s">
        <v>85</v>
      </c>
      <c r="Y326" s="7"/>
      <c r="Z326" t="s">
        <v>86</v>
      </c>
      <c r="AA326">
        <v>40</v>
      </c>
      <c r="AB326" t="s">
        <v>758</v>
      </c>
      <c r="AC326" s="183"/>
      <c r="AE326" s="183"/>
      <c r="AH326" t="s">
        <v>94</v>
      </c>
      <c r="AL326" t="s">
        <v>83</v>
      </c>
      <c r="AM326" s="90">
        <v>4062.51</v>
      </c>
      <c r="AN326" s="184">
        <v>1</v>
      </c>
      <c r="AO326" s="15">
        <v>3250</v>
      </c>
      <c r="AW326" s="7"/>
      <c r="AZ326" s="16" t="s">
        <v>255</v>
      </c>
      <c r="BA326">
        <f t="shared" si="24"/>
        <v>125</v>
      </c>
    </row>
    <row r="327" spans="1:80" ht="15.75" customHeight="1">
      <c r="A327" s="273">
        <v>126</v>
      </c>
      <c r="B327" s="273" t="str">
        <f t="shared" si="21"/>
        <v>NEAKTIVAN</v>
      </c>
      <c r="C327" s="302">
        <f t="shared" si="23"/>
        <v>325</v>
      </c>
      <c r="D327" s="258">
        <v>22</v>
      </c>
      <c r="E327" s="1" t="str">
        <f>VLOOKUP(D327,Table3[[#All],[RB]:[OIB]],2,0)</f>
        <v>International Line d.o.o.</v>
      </c>
      <c r="F327" s="4">
        <f>VLOOKUP(D327,Table3[],3,0)</f>
        <v>16157428650</v>
      </c>
      <c r="G327" s="1" t="str">
        <f>VLOOKUP(D327,Table3[],4,0)</f>
        <v>Zoltan Kiri</v>
      </c>
      <c r="H327" s="1" t="str">
        <f>VLOOKUP(D327,POSLODAVCI!$A$2:$J$107,9,0)</f>
        <v>Osijek</v>
      </c>
      <c r="I327" s="1" t="str">
        <f>VLOOKUP(D327,Table3[],10,0)</f>
        <v>Ivana Gundulića 28</v>
      </c>
      <c r="J327" s="258" t="s">
        <v>1247</v>
      </c>
      <c r="K327" s="272">
        <v>44005</v>
      </c>
      <c r="L327" s="272">
        <v>44165</v>
      </c>
      <c r="M327" s="137" t="s">
        <v>1248</v>
      </c>
      <c r="N327" s="16" t="s">
        <v>80</v>
      </c>
      <c r="O327" s="7">
        <v>30168</v>
      </c>
      <c r="P327" s="16" t="s">
        <v>94</v>
      </c>
      <c r="Q327" s="16" t="s">
        <v>82</v>
      </c>
      <c r="R327" s="16" t="s">
        <v>1249</v>
      </c>
      <c r="S327" s="17" t="s">
        <v>83</v>
      </c>
      <c r="T327" s="16" t="s">
        <v>84</v>
      </c>
      <c r="V327" s="16" t="s">
        <v>143</v>
      </c>
      <c r="W327" s="16" t="s">
        <v>143</v>
      </c>
      <c r="X327" s="303" t="s">
        <v>85</v>
      </c>
      <c r="Y327" s="7"/>
      <c r="Z327" s="16" t="s">
        <v>86</v>
      </c>
      <c r="AA327">
        <v>40</v>
      </c>
      <c r="AB327" s="16" t="s">
        <v>1250</v>
      </c>
      <c r="AC327" s="183"/>
      <c r="AE327" s="183"/>
      <c r="AH327" s="16" t="s">
        <v>81</v>
      </c>
      <c r="AL327" s="16" t="s">
        <v>83</v>
      </c>
      <c r="AM327" s="261">
        <v>4062.51</v>
      </c>
      <c r="AN327" s="184">
        <v>1</v>
      </c>
      <c r="AO327" s="15">
        <v>3250</v>
      </c>
      <c r="AW327" s="7"/>
      <c r="AZ327" s="16" t="s">
        <v>255</v>
      </c>
      <c r="BA327">
        <f t="shared" si="24"/>
        <v>126</v>
      </c>
    </row>
    <row r="328" spans="1:80" ht="15.75" customHeight="1">
      <c r="A328" s="273">
        <v>127</v>
      </c>
      <c r="B328" s="273" t="str">
        <f t="shared" si="21"/>
        <v>NEAKTIVAN</v>
      </c>
      <c r="C328" s="302">
        <f t="shared" si="23"/>
        <v>326</v>
      </c>
      <c r="D328" s="258">
        <v>22</v>
      </c>
      <c r="E328" s="1" t="str">
        <f>VLOOKUP(D328,Table3[[#All],[RB]:[OIB]],2,0)</f>
        <v>International Line d.o.o.</v>
      </c>
      <c r="F328" s="4">
        <f>VLOOKUP(D328,Table3[],3,0)</f>
        <v>16157428650</v>
      </c>
      <c r="G328" s="1" t="str">
        <f>VLOOKUP(D328,Table3[],4,0)</f>
        <v>Zoltan Kiri</v>
      </c>
      <c r="H328" s="1" t="str">
        <f>VLOOKUP(D328,POSLODAVCI!$A$2:$J$107,9,0)</f>
        <v>Osijek</v>
      </c>
      <c r="I328" s="1" t="str">
        <f>VLOOKUP(D328,Table3[],10,0)</f>
        <v>Ivana Gundulića 28</v>
      </c>
      <c r="J328" s="258" t="s">
        <v>1251</v>
      </c>
      <c r="K328" s="272">
        <v>44006</v>
      </c>
      <c r="L328" s="272">
        <v>44135</v>
      </c>
      <c r="M328" s="182">
        <v>64962266902</v>
      </c>
      <c r="N328" t="s">
        <v>80</v>
      </c>
      <c r="O328" s="7">
        <v>36267</v>
      </c>
      <c r="P328" t="s">
        <v>94</v>
      </c>
      <c r="Q328" t="s">
        <v>82</v>
      </c>
      <c r="R328" t="s">
        <v>1252</v>
      </c>
      <c r="S328" s="5" t="s">
        <v>83</v>
      </c>
      <c r="T328" t="s">
        <v>84</v>
      </c>
      <c r="V328" t="s">
        <v>143</v>
      </c>
      <c r="W328" t="s">
        <v>143</v>
      </c>
      <c r="X328" s="304" t="s">
        <v>85</v>
      </c>
      <c r="Y328" s="7"/>
      <c r="Z328" t="s">
        <v>86</v>
      </c>
      <c r="AA328">
        <v>40</v>
      </c>
      <c r="AB328" t="s">
        <v>1253</v>
      </c>
      <c r="AC328" s="183"/>
      <c r="AE328" s="183"/>
      <c r="AH328" t="s">
        <v>81</v>
      </c>
      <c r="AL328" t="s">
        <v>83</v>
      </c>
      <c r="AM328" s="261">
        <v>4062.51</v>
      </c>
      <c r="AN328" s="184">
        <v>1</v>
      </c>
      <c r="AO328" s="15">
        <v>3250</v>
      </c>
      <c r="AW328" s="7"/>
      <c r="AZ328" t="s">
        <v>255</v>
      </c>
      <c r="BA328">
        <f t="shared" si="24"/>
        <v>127</v>
      </c>
    </row>
    <row r="329" spans="1:80" ht="15.75" customHeight="1">
      <c r="A329" s="273">
        <v>128</v>
      </c>
      <c r="B329" s="273" t="str">
        <f t="shared" si="21"/>
        <v>NEAKTIVAN</v>
      </c>
      <c r="C329" s="302">
        <f t="shared" si="23"/>
        <v>327</v>
      </c>
      <c r="D329" s="258">
        <v>22</v>
      </c>
      <c r="E329" s="1" t="str">
        <f>VLOOKUP(D329,Table3[[#All],[RB]:[OIB]],2,0)</f>
        <v>International Line d.o.o.</v>
      </c>
      <c r="F329" s="4">
        <f>VLOOKUP(D329,Table3[],3,0)</f>
        <v>16157428650</v>
      </c>
      <c r="G329" s="1" t="str">
        <f>VLOOKUP(D329,Table3[],4,0)</f>
        <v>Zoltan Kiri</v>
      </c>
      <c r="H329" s="1" t="str">
        <f>VLOOKUP(D329,POSLODAVCI!$A$2:$J$107,9,0)</f>
        <v>Osijek</v>
      </c>
      <c r="I329" s="1" t="str">
        <f>VLOOKUP(D329,Table3[],10,0)</f>
        <v>Ivana Gundulića 28</v>
      </c>
      <c r="J329" s="258" t="s">
        <v>1282</v>
      </c>
      <c r="K329" s="272">
        <v>44018</v>
      </c>
      <c r="L329" s="272">
        <v>44104</v>
      </c>
      <c r="M329" s="182">
        <v>51819513820</v>
      </c>
      <c r="N329" t="s">
        <v>80</v>
      </c>
      <c r="O329" s="7">
        <v>37325</v>
      </c>
      <c r="P329" t="s">
        <v>94</v>
      </c>
      <c r="Q329" t="s">
        <v>82</v>
      </c>
      <c r="R329" t="s">
        <v>289</v>
      </c>
      <c r="S329" s="5" t="s">
        <v>83</v>
      </c>
      <c r="T329" t="s">
        <v>84</v>
      </c>
      <c r="V329" t="s">
        <v>143</v>
      </c>
      <c r="W329" t="s">
        <v>143</v>
      </c>
      <c r="X329" s="304" t="s">
        <v>85</v>
      </c>
      <c r="Y329" s="7"/>
      <c r="Z329" t="s">
        <v>86</v>
      </c>
      <c r="AA329">
        <v>40</v>
      </c>
      <c r="AB329" t="s">
        <v>1283</v>
      </c>
      <c r="AC329" s="183"/>
      <c r="AE329" s="183"/>
      <c r="AH329" t="s">
        <v>94</v>
      </c>
      <c r="AL329" t="s">
        <v>83</v>
      </c>
      <c r="AM329" s="261">
        <v>4062.51</v>
      </c>
      <c r="AN329" s="184">
        <v>1</v>
      </c>
      <c r="AO329" s="15">
        <v>3250</v>
      </c>
      <c r="AW329" s="7"/>
      <c r="AZ329" t="s">
        <v>255</v>
      </c>
      <c r="BA329">
        <f t="shared" si="24"/>
        <v>128</v>
      </c>
    </row>
    <row r="330" spans="1:80" ht="15.75" customHeight="1">
      <c r="A330" s="273">
        <v>129</v>
      </c>
      <c r="B330" s="273" t="str">
        <f t="shared" si="21"/>
        <v>NEAKTIVAN</v>
      </c>
      <c r="C330" s="302">
        <f t="shared" si="23"/>
        <v>328</v>
      </c>
      <c r="D330" s="258">
        <v>22</v>
      </c>
      <c r="E330" s="1" t="str">
        <f>VLOOKUP(D330,Table3[[#All],[RB]:[OIB]],2,0)</f>
        <v>International Line d.o.o.</v>
      </c>
      <c r="F330" s="4">
        <f>VLOOKUP(D330,Table3[],3,0)</f>
        <v>16157428650</v>
      </c>
      <c r="G330" s="1" t="str">
        <f>VLOOKUP(D330,Table3[],4,0)</f>
        <v>Zoltan Kiri</v>
      </c>
      <c r="H330" s="1" t="str">
        <f>VLOOKUP(D330,POSLODAVCI!$A$2:$J$107,9,0)</f>
        <v>Osijek</v>
      </c>
      <c r="I330" s="1" t="str">
        <f>VLOOKUP(D330,Table3[],10,0)</f>
        <v>Ivana Gundulića 28</v>
      </c>
      <c r="J330" s="1" t="s">
        <v>1297</v>
      </c>
      <c r="K330" s="61">
        <v>44018</v>
      </c>
      <c r="L330" s="61">
        <v>44165</v>
      </c>
      <c r="M330" s="137" t="s">
        <v>667</v>
      </c>
      <c r="N330" t="s">
        <v>80</v>
      </c>
      <c r="O330" s="7">
        <v>43604</v>
      </c>
      <c r="P330" t="s">
        <v>81</v>
      </c>
      <c r="Q330" t="s">
        <v>82</v>
      </c>
      <c r="R330" t="s">
        <v>668</v>
      </c>
      <c r="S330" s="5" t="s">
        <v>83</v>
      </c>
      <c r="T330" t="s">
        <v>84</v>
      </c>
      <c r="V330" t="s">
        <v>143</v>
      </c>
      <c r="W330" t="s">
        <v>143</v>
      </c>
      <c r="X330" s="304" t="s">
        <v>85</v>
      </c>
      <c r="Y330" s="7"/>
      <c r="Z330" t="s">
        <v>86</v>
      </c>
      <c r="AA330">
        <v>40</v>
      </c>
      <c r="AB330" t="s">
        <v>669</v>
      </c>
      <c r="AC330" s="183"/>
      <c r="AE330" s="183"/>
      <c r="AH330" t="s">
        <v>94</v>
      </c>
      <c r="AL330" t="s">
        <v>83</v>
      </c>
      <c r="AM330" s="90">
        <v>4062.51</v>
      </c>
      <c r="AN330" s="184">
        <v>1</v>
      </c>
      <c r="AO330" s="15">
        <v>3250</v>
      </c>
      <c r="AW330" s="7"/>
      <c r="AZ330" t="s">
        <v>255</v>
      </c>
      <c r="BA330">
        <f t="shared" si="24"/>
        <v>129</v>
      </c>
    </row>
    <row r="331" spans="1:80" ht="15.75" customHeight="1">
      <c r="A331" s="273">
        <v>130</v>
      </c>
      <c r="B331" s="273" t="str">
        <f t="shared" ref="B331:B394" si="25">IF(L331&gt;0,"NEAKTIVAN","AKTIVAN")</f>
        <v>NEAKTIVAN</v>
      </c>
      <c r="C331" s="302">
        <f t="shared" si="23"/>
        <v>329</v>
      </c>
      <c r="D331" s="258">
        <v>22</v>
      </c>
      <c r="E331" s="1" t="str">
        <f>VLOOKUP(D331,Table3[[#All],[RB]:[OIB]],2,0)</f>
        <v>International Line d.o.o.</v>
      </c>
      <c r="F331" s="4">
        <f>VLOOKUP(D331,Table3[],3,0)</f>
        <v>16157428650</v>
      </c>
      <c r="G331" s="1" t="str">
        <f>VLOOKUP(D331,Table3[],4,0)</f>
        <v>Zoltan Kiri</v>
      </c>
      <c r="H331" s="1" t="str">
        <f>VLOOKUP(D331,POSLODAVCI!$A$2:$J$107,9,0)</f>
        <v>Osijek</v>
      </c>
      <c r="I331" s="1" t="str">
        <f>VLOOKUP(D331,Table3[],10,0)</f>
        <v>Ivana Gundulića 28</v>
      </c>
      <c r="J331" s="258" t="s">
        <v>1287</v>
      </c>
      <c r="K331" s="272">
        <v>44025</v>
      </c>
      <c r="L331" s="272">
        <v>44099</v>
      </c>
      <c r="M331" s="182">
        <v>51750614319</v>
      </c>
      <c r="N331" t="s">
        <v>89</v>
      </c>
      <c r="O331" s="7">
        <v>35513</v>
      </c>
      <c r="P331" t="s">
        <v>94</v>
      </c>
      <c r="Q331" t="s">
        <v>82</v>
      </c>
      <c r="R331" t="s">
        <v>1288</v>
      </c>
      <c r="S331" s="5" t="s">
        <v>83</v>
      </c>
      <c r="T331" t="s">
        <v>84</v>
      </c>
      <c r="V331" t="s">
        <v>116</v>
      </c>
      <c r="W331" t="s">
        <v>116</v>
      </c>
      <c r="X331" s="304" t="s">
        <v>103</v>
      </c>
      <c r="Y331" s="7"/>
      <c r="Z331" t="s">
        <v>86</v>
      </c>
      <c r="AA331">
        <v>40</v>
      </c>
      <c r="AB331" t="s">
        <v>1289</v>
      </c>
      <c r="AC331" s="183"/>
      <c r="AE331" s="183"/>
      <c r="AH331" t="s">
        <v>94</v>
      </c>
      <c r="AL331" t="s">
        <v>83</v>
      </c>
      <c r="AM331" s="261">
        <v>4375</v>
      </c>
      <c r="AN331" s="184">
        <v>1</v>
      </c>
      <c r="AO331" s="15">
        <v>3500</v>
      </c>
      <c r="AW331" s="7"/>
      <c r="AZ331" t="s">
        <v>255</v>
      </c>
      <c r="BA331">
        <f t="shared" si="24"/>
        <v>130</v>
      </c>
    </row>
    <row r="332" spans="1:80" ht="15.75" customHeight="1">
      <c r="A332" s="273">
        <v>131</v>
      </c>
      <c r="B332" s="273" t="str">
        <f t="shared" si="25"/>
        <v>NEAKTIVAN</v>
      </c>
      <c r="C332" s="302">
        <f t="shared" si="23"/>
        <v>330</v>
      </c>
      <c r="D332" s="258">
        <v>22</v>
      </c>
      <c r="E332" s="1" t="str">
        <f>VLOOKUP(D332,Table3[[#All],[RB]:[OIB]],2,0)</f>
        <v>International Line d.o.o.</v>
      </c>
      <c r="F332" s="4">
        <f>VLOOKUP(D332,Table3[],3,0)</f>
        <v>16157428650</v>
      </c>
      <c r="G332" s="1" t="str">
        <f>VLOOKUP(D332,Table3[],4,0)</f>
        <v>Zoltan Kiri</v>
      </c>
      <c r="H332" s="1" t="str">
        <f>VLOOKUP(D332,POSLODAVCI!$A$2:$J$107,9,0)</f>
        <v>Osijek</v>
      </c>
      <c r="I332" s="1" t="str">
        <f>VLOOKUP(D332,Table3[],10,0)</f>
        <v>Ivana Gundulića 28</v>
      </c>
      <c r="J332" s="258" t="s">
        <v>1290</v>
      </c>
      <c r="K332" s="272">
        <v>44026</v>
      </c>
      <c r="L332" s="272">
        <v>44042</v>
      </c>
      <c r="M332" s="182">
        <v>63543566143</v>
      </c>
      <c r="N332" t="s">
        <v>89</v>
      </c>
      <c r="O332" s="7">
        <v>36516</v>
      </c>
      <c r="P332" t="s">
        <v>94</v>
      </c>
      <c r="Q332" t="s">
        <v>82</v>
      </c>
      <c r="R332" t="s">
        <v>1291</v>
      </c>
      <c r="S332" s="5" t="s">
        <v>83</v>
      </c>
      <c r="T332" t="s">
        <v>84</v>
      </c>
      <c r="V332" t="s">
        <v>116</v>
      </c>
      <c r="W332" t="s">
        <v>116</v>
      </c>
      <c r="X332" s="304" t="s">
        <v>103</v>
      </c>
      <c r="Y332" s="7"/>
      <c r="Z332" t="s">
        <v>86</v>
      </c>
      <c r="AA332">
        <v>40</v>
      </c>
      <c r="AB332" t="s">
        <v>1292</v>
      </c>
      <c r="AC332" s="183"/>
      <c r="AE332" s="183"/>
      <c r="AH332" t="s">
        <v>94</v>
      </c>
      <c r="AL332" t="s">
        <v>83</v>
      </c>
      <c r="AM332" s="261">
        <v>4375</v>
      </c>
      <c r="AN332" s="184">
        <v>1</v>
      </c>
      <c r="AO332" s="15">
        <v>3500</v>
      </c>
      <c r="AW332" s="7"/>
      <c r="AZ332" t="s">
        <v>255</v>
      </c>
      <c r="BA332">
        <f t="shared" si="24"/>
        <v>131</v>
      </c>
    </row>
    <row r="333" spans="1:80" ht="15.75" customHeight="1">
      <c r="A333" s="273">
        <v>132</v>
      </c>
      <c r="B333" s="273" t="str">
        <f t="shared" si="25"/>
        <v>NEAKTIVAN</v>
      </c>
      <c r="C333" s="302">
        <f t="shared" si="23"/>
        <v>331</v>
      </c>
      <c r="D333" s="258">
        <v>22</v>
      </c>
      <c r="E333" s="1" t="str">
        <f>VLOOKUP(D333,Table3[[#All],[RB]:[OIB]],2,0)</f>
        <v>International Line d.o.o.</v>
      </c>
      <c r="F333" s="4">
        <f>VLOOKUP(D333,Table3[],3,0)</f>
        <v>16157428650</v>
      </c>
      <c r="G333" s="1" t="str">
        <f>VLOOKUP(D333,Table3[],4,0)</f>
        <v>Zoltan Kiri</v>
      </c>
      <c r="H333" s="1" t="str">
        <f>VLOOKUP(D333,POSLODAVCI!$A$2:$J$107,9,0)</f>
        <v>Osijek</v>
      </c>
      <c r="I333" s="1" t="str">
        <f>VLOOKUP(D333,Table3[],10,0)</f>
        <v>Ivana Gundulića 28</v>
      </c>
      <c r="J333" s="258" t="s">
        <v>1302</v>
      </c>
      <c r="K333" s="272">
        <v>44050</v>
      </c>
      <c r="L333" s="272">
        <v>44113</v>
      </c>
      <c r="M333" s="182">
        <v>82327969024</v>
      </c>
      <c r="N333" t="s">
        <v>89</v>
      </c>
      <c r="O333" s="7">
        <v>36261</v>
      </c>
      <c r="P333" t="s">
        <v>94</v>
      </c>
      <c r="Q333" t="s">
        <v>82</v>
      </c>
      <c r="R333" t="s">
        <v>1303</v>
      </c>
      <c r="S333" s="5" t="s">
        <v>428</v>
      </c>
      <c r="T333" t="s">
        <v>84</v>
      </c>
      <c r="V333" s="16" t="s">
        <v>116</v>
      </c>
      <c r="W333" s="16" t="s">
        <v>116</v>
      </c>
      <c r="X333" s="304" t="s">
        <v>103</v>
      </c>
      <c r="Y333" s="7"/>
      <c r="Z333" t="s">
        <v>86</v>
      </c>
      <c r="AA333">
        <v>40</v>
      </c>
      <c r="AB333" t="s">
        <v>1304</v>
      </c>
      <c r="AC333" s="183"/>
      <c r="AE333" s="183"/>
      <c r="AH333" t="s">
        <v>94</v>
      </c>
      <c r="AL333" t="s">
        <v>428</v>
      </c>
      <c r="AM333" s="261">
        <v>4375</v>
      </c>
      <c r="AN333" s="184">
        <v>1</v>
      </c>
      <c r="AO333" s="15">
        <v>3500</v>
      </c>
      <c r="AW333" s="7"/>
      <c r="AZ333" t="s">
        <v>255</v>
      </c>
      <c r="BA333">
        <f t="shared" si="24"/>
        <v>132</v>
      </c>
    </row>
    <row r="334" spans="1:80" ht="15.75" customHeight="1">
      <c r="A334" s="273">
        <v>133</v>
      </c>
      <c r="B334" s="273" t="str">
        <f t="shared" si="25"/>
        <v>NEAKTIVAN</v>
      </c>
      <c r="C334" s="302">
        <f t="shared" si="23"/>
        <v>332</v>
      </c>
      <c r="D334" s="258">
        <v>22</v>
      </c>
      <c r="E334" s="1" t="str">
        <f>VLOOKUP(D334,Table3[[#All],[RB]:[OIB]],2,0)</f>
        <v>International Line d.o.o.</v>
      </c>
      <c r="F334" s="4">
        <f>VLOOKUP(D334,Table3[],3,0)</f>
        <v>16157428650</v>
      </c>
      <c r="G334" s="1" t="str">
        <f>VLOOKUP(D334,Table3[],4,0)</f>
        <v>Zoltan Kiri</v>
      </c>
      <c r="H334" s="1" t="str">
        <f>VLOOKUP(D334,POSLODAVCI!$A$2:$J$107,9,0)</f>
        <v>Osijek</v>
      </c>
      <c r="I334" s="1" t="str">
        <f>VLOOKUP(D334,Table3[],10,0)</f>
        <v>Ivana Gundulića 28</v>
      </c>
      <c r="J334" s="258" t="s">
        <v>1305</v>
      </c>
      <c r="K334" s="272">
        <v>44053</v>
      </c>
      <c r="L334" s="272">
        <v>44074</v>
      </c>
      <c r="M334" s="182">
        <v>44917773125</v>
      </c>
      <c r="N334" t="s">
        <v>89</v>
      </c>
      <c r="O334" s="7">
        <v>36566</v>
      </c>
      <c r="P334" t="s">
        <v>94</v>
      </c>
      <c r="Q334" t="s">
        <v>82</v>
      </c>
      <c r="R334" t="s">
        <v>1306</v>
      </c>
      <c r="S334" s="5" t="s">
        <v>428</v>
      </c>
      <c r="T334" t="s">
        <v>84</v>
      </c>
      <c r="V334" t="s">
        <v>143</v>
      </c>
      <c r="W334" t="s">
        <v>143</v>
      </c>
      <c r="X334" s="304" t="s">
        <v>85</v>
      </c>
      <c r="Y334" s="7"/>
      <c r="Z334" t="s">
        <v>86</v>
      </c>
      <c r="AA334">
        <v>40</v>
      </c>
      <c r="AB334" t="s">
        <v>1307</v>
      </c>
      <c r="AC334" s="183"/>
      <c r="AE334" s="183"/>
      <c r="AH334" t="s">
        <v>94</v>
      </c>
      <c r="AL334" t="s">
        <v>428</v>
      </c>
      <c r="AM334" s="261">
        <v>4062.51</v>
      </c>
      <c r="AN334" s="184">
        <v>1</v>
      </c>
      <c r="AO334" s="15">
        <v>3250</v>
      </c>
      <c r="AW334" s="7"/>
      <c r="AZ334" t="s">
        <v>255</v>
      </c>
      <c r="BA334">
        <v>131</v>
      </c>
    </row>
    <row r="335" spans="1:80" ht="15.75" customHeight="1">
      <c r="A335" s="273">
        <v>134</v>
      </c>
      <c r="B335" s="273" t="str">
        <f t="shared" si="25"/>
        <v>NEAKTIVAN</v>
      </c>
      <c r="C335" s="302">
        <f t="shared" si="23"/>
        <v>333</v>
      </c>
      <c r="D335" s="258">
        <v>22</v>
      </c>
      <c r="E335" s="1" t="str">
        <f>VLOOKUP(D335,Table3[[#All],[RB]:[OIB]],2,0)</f>
        <v>International Line d.o.o.</v>
      </c>
      <c r="F335" s="4">
        <f>VLOOKUP(D335,Table3[],3,0)</f>
        <v>16157428650</v>
      </c>
      <c r="G335" s="1" t="str">
        <f>VLOOKUP(D335,Table3[],4,0)</f>
        <v>Zoltan Kiri</v>
      </c>
      <c r="H335" s="1" t="str">
        <f>VLOOKUP(D335,POSLODAVCI!$A$2:$J$107,9,0)</f>
        <v>Osijek</v>
      </c>
      <c r="I335" s="1" t="str">
        <f>VLOOKUP(D335,Table3[],10,0)</f>
        <v>Ivana Gundulića 28</v>
      </c>
      <c r="J335" s="258" t="s">
        <v>1308</v>
      </c>
      <c r="K335" s="272">
        <v>44075</v>
      </c>
      <c r="L335" s="272">
        <v>44165</v>
      </c>
      <c r="M335" s="182">
        <v>34003274057</v>
      </c>
      <c r="N335" t="s">
        <v>80</v>
      </c>
      <c r="O335" s="7">
        <v>35196</v>
      </c>
      <c r="P335" t="s">
        <v>294</v>
      </c>
      <c r="Q335" t="s">
        <v>82</v>
      </c>
      <c r="R335" t="s">
        <v>1309</v>
      </c>
      <c r="S335" s="5" t="s">
        <v>428</v>
      </c>
      <c r="T335" t="s">
        <v>84</v>
      </c>
      <c r="V335" t="s">
        <v>143</v>
      </c>
      <c r="W335" t="s">
        <v>143</v>
      </c>
      <c r="X335" s="304" t="s">
        <v>85</v>
      </c>
      <c r="Y335" s="7"/>
      <c r="Z335" t="s">
        <v>86</v>
      </c>
      <c r="AA335">
        <v>40</v>
      </c>
      <c r="AB335" t="s">
        <v>1310</v>
      </c>
      <c r="AC335" s="183"/>
      <c r="AE335" s="183"/>
      <c r="AH335" t="s">
        <v>94</v>
      </c>
      <c r="AL335" t="s">
        <v>428</v>
      </c>
      <c r="AM335" s="261">
        <v>4062.51</v>
      </c>
      <c r="AN335" s="184">
        <v>1</v>
      </c>
      <c r="AO335" s="15">
        <v>3250</v>
      </c>
      <c r="AW335" s="7"/>
      <c r="AZ335" t="s">
        <v>255</v>
      </c>
      <c r="BA335">
        <v>132</v>
      </c>
    </row>
    <row r="336" spans="1:80" ht="15.75" customHeight="1">
      <c r="A336" s="273">
        <v>135</v>
      </c>
      <c r="B336" s="273" t="str">
        <f t="shared" si="25"/>
        <v>NEAKTIVAN</v>
      </c>
      <c r="C336" s="302">
        <f t="shared" si="23"/>
        <v>334</v>
      </c>
      <c r="D336" s="258">
        <v>22</v>
      </c>
      <c r="E336" s="1" t="str">
        <f>VLOOKUP(D336,Table3[[#All],[RB]:[OIB]],2,0)</f>
        <v>International Line d.o.o.</v>
      </c>
      <c r="F336" s="4">
        <f>VLOOKUP(D336,Table3[],3,0)</f>
        <v>16157428650</v>
      </c>
      <c r="G336" s="1" t="str">
        <f>VLOOKUP(D336,Table3[],4,0)</f>
        <v>Zoltan Kiri</v>
      </c>
      <c r="H336" s="1" t="str">
        <f>VLOOKUP(D336,POSLODAVCI!$A$2:$J$107,9,0)</f>
        <v>Osijek</v>
      </c>
      <c r="I336" s="1" t="str">
        <f>VLOOKUP(D336,Table3[],10,0)</f>
        <v>Ivana Gundulića 28</v>
      </c>
      <c r="J336" s="258" t="s">
        <v>1311</v>
      </c>
      <c r="K336" s="272">
        <v>44075</v>
      </c>
      <c r="L336" s="272">
        <v>44165</v>
      </c>
      <c r="M336" s="182">
        <v>16687376785</v>
      </c>
      <c r="N336" t="s">
        <v>452</v>
      </c>
      <c r="O336" s="7">
        <v>30446</v>
      </c>
      <c r="P336" t="s">
        <v>294</v>
      </c>
      <c r="Q336" t="s">
        <v>82</v>
      </c>
      <c r="R336" t="s">
        <v>1312</v>
      </c>
      <c r="S336" s="5" t="s">
        <v>428</v>
      </c>
      <c r="T336" t="s">
        <v>84</v>
      </c>
      <c r="V336" t="s">
        <v>143</v>
      </c>
      <c r="W336" t="s">
        <v>143</v>
      </c>
      <c r="X336" s="304" t="s">
        <v>85</v>
      </c>
      <c r="Y336" s="7"/>
      <c r="Z336" t="s">
        <v>86</v>
      </c>
      <c r="AA336">
        <v>40</v>
      </c>
      <c r="AB336" t="s">
        <v>1313</v>
      </c>
      <c r="AC336" s="183"/>
      <c r="AE336" s="183"/>
      <c r="AH336" t="s">
        <v>94</v>
      </c>
      <c r="AL336" t="s">
        <v>428</v>
      </c>
      <c r="AM336" s="261">
        <v>4062.51</v>
      </c>
      <c r="AN336" s="184">
        <v>1</v>
      </c>
      <c r="AO336" s="15">
        <v>3250</v>
      </c>
      <c r="AW336" s="7"/>
      <c r="AZ336" t="s">
        <v>255</v>
      </c>
      <c r="BA336">
        <v>133</v>
      </c>
    </row>
    <row r="337" spans="1:53" ht="15.75" customHeight="1">
      <c r="A337" s="273">
        <v>7</v>
      </c>
      <c r="B337" s="273" t="str">
        <f t="shared" si="25"/>
        <v>NEAKTIVAN</v>
      </c>
      <c r="C337" s="302">
        <f t="shared" si="23"/>
        <v>335</v>
      </c>
      <c r="D337" s="258">
        <v>34</v>
      </c>
      <c r="E337" s="1" t="str">
        <f>VLOOKUP(D337,Table3[[#All],[RB]:[OIB]],2,0)</f>
        <v>SAZOL TRANS j.d.o.o.</v>
      </c>
      <c r="F337" s="4">
        <f>VLOOKUP(D337,Table3[],3,0)</f>
        <v>21428597692</v>
      </c>
      <c r="G337" s="1" t="str">
        <f>VLOOKUP(D337,Table3[],4,0)</f>
        <v>Darinka Huber</v>
      </c>
      <c r="H337" s="1" t="str">
        <f>VLOOKUP(D337,POSLODAVCI!$A$2:$J$107,9,0)</f>
        <v>Beli Manastir</v>
      </c>
      <c r="I337" s="1" t="str">
        <f>VLOOKUP(D337,Table3[],10,0)</f>
        <v>Osječka 16A, 31300 Beli Manastir</v>
      </c>
      <c r="J337" s="258" t="s">
        <v>1319</v>
      </c>
      <c r="K337" s="272">
        <v>44078</v>
      </c>
      <c r="L337" s="272">
        <v>44165</v>
      </c>
      <c r="M337" s="182">
        <v>64662447870</v>
      </c>
      <c r="N337" t="s">
        <v>80</v>
      </c>
      <c r="O337" s="7">
        <v>37244</v>
      </c>
      <c r="P337" t="s">
        <v>94</v>
      </c>
      <c r="Q337" t="s">
        <v>82</v>
      </c>
      <c r="R337" t="s">
        <v>1320</v>
      </c>
      <c r="S337" s="5" t="s">
        <v>428</v>
      </c>
      <c r="T337" t="s">
        <v>84</v>
      </c>
      <c r="V337" t="s">
        <v>210</v>
      </c>
      <c r="W337" t="s">
        <v>210</v>
      </c>
      <c r="X337" s="304" t="s">
        <v>103</v>
      </c>
      <c r="Y337" s="7"/>
      <c r="Z337" t="s">
        <v>86</v>
      </c>
      <c r="AA337">
        <v>40</v>
      </c>
      <c r="AB337" t="s">
        <v>1321</v>
      </c>
      <c r="AC337" s="183"/>
      <c r="AE337" s="183"/>
      <c r="AH337" t="s">
        <v>1265</v>
      </c>
      <c r="AL337" t="s">
        <v>428</v>
      </c>
      <c r="AM337" s="261">
        <v>4062.51</v>
      </c>
      <c r="AN337" s="184">
        <v>1</v>
      </c>
      <c r="AO337" s="15">
        <v>3250</v>
      </c>
      <c r="AW337" s="7"/>
      <c r="AZ337" t="s">
        <v>374</v>
      </c>
      <c r="BA337">
        <v>137</v>
      </c>
    </row>
    <row r="338" spans="1:53" ht="15.75" customHeight="1">
      <c r="A338" s="273">
        <v>136</v>
      </c>
      <c r="B338" s="273" t="str">
        <f t="shared" si="25"/>
        <v>NEAKTIVAN</v>
      </c>
      <c r="C338" s="302">
        <f t="shared" si="23"/>
        <v>336</v>
      </c>
      <c r="D338" s="258">
        <v>22</v>
      </c>
      <c r="E338" s="1" t="str">
        <f>VLOOKUP(D338,Table3[[#All],[RB]:[OIB]],2,0)</f>
        <v>International Line d.o.o.</v>
      </c>
      <c r="F338" s="4">
        <f>VLOOKUP(D338,Table3[],3,0)</f>
        <v>16157428650</v>
      </c>
      <c r="G338" s="1" t="str">
        <f>VLOOKUP(D338,Table3[],4,0)</f>
        <v>Zoltan Kiri</v>
      </c>
      <c r="H338" s="1" t="str">
        <f>VLOOKUP(D338,POSLODAVCI!$A$2:$J$107,9,0)</f>
        <v>Osijek</v>
      </c>
      <c r="I338" s="1" t="str">
        <f>VLOOKUP(D338,Table3[],10,0)</f>
        <v>Ivana Gundulića 28</v>
      </c>
      <c r="J338" s="258" t="s">
        <v>1314</v>
      </c>
      <c r="K338" s="272">
        <v>44075</v>
      </c>
      <c r="L338" s="272">
        <v>44165</v>
      </c>
      <c r="M338" s="182">
        <v>23175632985</v>
      </c>
      <c r="N338" t="s">
        <v>80</v>
      </c>
      <c r="O338" s="7">
        <v>30024</v>
      </c>
      <c r="P338" t="s">
        <v>294</v>
      </c>
      <c r="Q338" t="s">
        <v>82</v>
      </c>
      <c r="R338" t="s">
        <v>1315</v>
      </c>
      <c r="S338" s="5" t="s">
        <v>428</v>
      </c>
      <c r="T338" t="s">
        <v>84</v>
      </c>
      <c r="V338" t="s">
        <v>143</v>
      </c>
      <c r="W338" t="s">
        <v>143</v>
      </c>
      <c r="X338" s="304" t="s">
        <v>85</v>
      </c>
      <c r="Y338" s="7"/>
      <c r="Z338" t="s">
        <v>86</v>
      </c>
      <c r="AA338">
        <v>40</v>
      </c>
      <c r="AB338" t="s">
        <v>1316</v>
      </c>
      <c r="AC338" s="183"/>
      <c r="AE338" s="183"/>
      <c r="AH338" t="s">
        <v>94</v>
      </c>
      <c r="AL338" t="s">
        <v>428</v>
      </c>
      <c r="AM338" s="261">
        <v>4062.51</v>
      </c>
      <c r="AN338" s="184">
        <v>1</v>
      </c>
      <c r="AO338" s="15">
        <v>3250</v>
      </c>
      <c r="AW338" s="7"/>
      <c r="AZ338" t="s">
        <v>255</v>
      </c>
      <c r="BA338">
        <v>134</v>
      </c>
    </row>
    <row r="339" spans="1:53" ht="15.75" customHeight="1">
      <c r="A339" s="273">
        <v>137</v>
      </c>
      <c r="B339" s="273" t="str">
        <f t="shared" si="25"/>
        <v>NEAKTIVAN</v>
      </c>
      <c r="C339" s="302">
        <f t="shared" si="23"/>
        <v>337</v>
      </c>
      <c r="D339" s="258">
        <v>22</v>
      </c>
      <c r="E339" s="1" t="str">
        <f>VLOOKUP(D339,Table3[[#All],[RB]:[OIB]],2,0)</f>
        <v>International Line d.o.o.</v>
      </c>
      <c r="F339" s="4">
        <f>VLOOKUP(D339,Table3[],3,0)</f>
        <v>16157428650</v>
      </c>
      <c r="G339" s="1" t="str">
        <f>VLOOKUP(D339,Table3[],4,0)</f>
        <v>Zoltan Kiri</v>
      </c>
      <c r="H339" s="1" t="str">
        <f>VLOOKUP(D339,POSLODAVCI!$A$2:$J$107,9,0)</f>
        <v>Osijek</v>
      </c>
      <c r="I339" s="1" t="str">
        <f>VLOOKUP(D339,Table3[],10,0)</f>
        <v>Ivana Gundulića 28</v>
      </c>
      <c r="J339" s="258" t="s">
        <v>1317</v>
      </c>
      <c r="K339" s="272">
        <v>44077</v>
      </c>
      <c r="L339" s="272">
        <v>44183</v>
      </c>
      <c r="M339" s="182">
        <v>27417404460</v>
      </c>
      <c r="N339" t="s">
        <v>89</v>
      </c>
      <c r="O339" s="7">
        <v>31866</v>
      </c>
      <c r="P339" t="s">
        <v>1325</v>
      </c>
      <c r="Q339" t="s">
        <v>1326</v>
      </c>
      <c r="R339" t="s">
        <v>1327</v>
      </c>
      <c r="S339" s="5" t="s">
        <v>87</v>
      </c>
      <c r="T339" t="s">
        <v>84</v>
      </c>
      <c r="V339" t="s">
        <v>393</v>
      </c>
      <c r="W339" t="s">
        <v>393</v>
      </c>
      <c r="X339" s="304" t="s">
        <v>85</v>
      </c>
      <c r="Y339" s="7"/>
      <c r="Z339" t="s">
        <v>86</v>
      </c>
      <c r="AA339">
        <v>40</v>
      </c>
      <c r="AB339" t="s">
        <v>1377</v>
      </c>
      <c r="AC339" s="183"/>
      <c r="AE339" s="183"/>
      <c r="AH339" t="s">
        <v>94</v>
      </c>
      <c r="AL339" t="s">
        <v>428</v>
      </c>
      <c r="AM339" s="261">
        <v>4375</v>
      </c>
      <c r="AN339" s="184">
        <v>1</v>
      </c>
      <c r="AO339" s="15">
        <v>3500</v>
      </c>
      <c r="AW339" s="7"/>
      <c r="AZ339" t="s">
        <v>374</v>
      </c>
      <c r="BA339">
        <v>135</v>
      </c>
    </row>
    <row r="340" spans="1:53" ht="15.75" customHeight="1">
      <c r="A340" s="273">
        <v>138</v>
      </c>
      <c r="B340" s="273" t="str">
        <f t="shared" si="25"/>
        <v>NEAKTIVAN</v>
      </c>
      <c r="C340" s="302">
        <f t="shared" si="23"/>
        <v>338</v>
      </c>
      <c r="D340" s="258">
        <v>22</v>
      </c>
      <c r="E340" s="1" t="str">
        <f>VLOOKUP(D340,Table3[[#All],[RB]:[OIB]],2,0)</f>
        <v>International Line d.o.o.</v>
      </c>
      <c r="F340" s="4">
        <f>VLOOKUP(D340,Table3[],3,0)</f>
        <v>16157428650</v>
      </c>
      <c r="G340" s="1" t="str">
        <f>VLOOKUP(D340,Table3[],4,0)</f>
        <v>Zoltan Kiri</v>
      </c>
      <c r="H340" s="1" t="str">
        <f>VLOOKUP(D340,POSLODAVCI!$A$2:$J$107,9,0)</f>
        <v>Osijek</v>
      </c>
      <c r="I340" s="1" t="str">
        <f>VLOOKUP(D340,Table3[],10,0)</f>
        <v>Ivana Gundulića 28</v>
      </c>
      <c r="J340" s="258" t="s">
        <v>1318</v>
      </c>
      <c r="K340" s="272">
        <v>44077</v>
      </c>
      <c r="L340" s="272">
        <v>44155</v>
      </c>
      <c r="M340" s="182">
        <v>32225879445</v>
      </c>
      <c r="N340" t="s">
        <v>80</v>
      </c>
      <c r="O340" s="7">
        <v>35745</v>
      </c>
      <c r="P340" t="s">
        <v>1328</v>
      </c>
      <c r="Q340" t="s">
        <v>1326</v>
      </c>
      <c r="R340" t="s">
        <v>81</v>
      </c>
      <c r="S340" s="5" t="s">
        <v>87</v>
      </c>
      <c r="T340" t="s">
        <v>84</v>
      </c>
      <c r="V340" t="s">
        <v>393</v>
      </c>
      <c r="W340" t="s">
        <v>393</v>
      </c>
      <c r="X340" s="304" t="s">
        <v>85</v>
      </c>
      <c r="Y340" s="7"/>
      <c r="Z340" t="s">
        <v>86</v>
      </c>
      <c r="AA340">
        <v>40</v>
      </c>
      <c r="AB340" t="s">
        <v>1378</v>
      </c>
      <c r="AC340" s="183"/>
      <c r="AE340" s="183"/>
      <c r="AH340" t="s">
        <v>94</v>
      </c>
      <c r="AL340" t="s">
        <v>428</v>
      </c>
      <c r="AM340" s="261">
        <v>4375</v>
      </c>
      <c r="AN340" s="184">
        <v>1</v>
      </c>
      <c r="AO340" s="15">
        <v>3500</v>
      </c>
      <c r="AW340" s="7"/>
      <c r="AZ340" t="s">
        <v>255</v>
      </c>
      <c r="BA340">
        <v>136</v>
      </c>
    </row>
    <row r="341" spans="1:53" ht="15.75" customHeight="1">
      <c r="A341" s="273">
        <v>139</v>
      </c>
      <c r="B341" s="273" t="str">
        <f t="shared" si="25"/>
        <v>NEAKTIVAN</v>
      </c>
      <c r="C341" s="302">
        <f t="shared" si="23"/>
        <v>339</v>
      </c>
      <c r="D341" s="258">
        <v>22</v>
      </c>
      <c r="E341" s="1" t="str">
        <f>VLOOKUP(D341,Table3[[#All],[RB]:[OIB]],2,0)</f>
        <v>International Line d.o.o.</v>
      </c>
      <c r="F341" s="4">
        <f>VLOOKUP(D341,Table3[],3,0)</f>
        <v>16157428650</v>
      </c>
      <c r="G341" s="1" t="str">
        <f>VLOOKUP(D341,Table3[],4,0)</f>
        <v>Zoltan Kiri</v>
      </c>
      <c r="H341" s="1" t="str">
        <f>VLOOKUP(D341,POSLODAVCI!$A$2:$J$107,9,0)</f>
        <v>Osijek</v>
      </c>
      <c r="I341" s="1" t="str">
        <f>VLOOKUP(D341,Table3[],10,0)</f>
        <v>Ivana Gundulića 28</v>
      </c>
      <c r="J341" s="258" t="s">
        <v>1322</v>
      </c>
      <c r="K341" s="272">
        <v>44082</v>
      </c>
      <c r="L341" s="272">
        <v>44165</v>
      </c>
      <c r="M341" s="182">
        <v>34639907395</v>
      </c>
      <c r="N341" t="s">
        <v>80</v>
      </c>
      <c r="O341" s="7">
        <v>32734</v>
      </c>
      <c r="P341" t="s">
        <v>94</v>
      </c>
      <c r="Q341" t="s">
        <v>82</v>
      </c>
      <c r="R341" t="s">
        <v>1323</v>
      </c>
      <c r="S341" s="5" t="s">
        <v>428</v>
      </c>
      <c r="T341" t="s">
        <v>84</v>
      </c>
      <c r="V341" t="s">
        <v>143</v>
      </c>
      <c r="W341" t="s">
        <v>143</v>
      </c>
      <c r="X341" s="304" t="s">
        <v>85</v>
      </c>
      <c r="Y341" s="7"/>
      <c r="Z341" t="s">
        <v>86</v>
      </c>
      <c r="AA341">
        <v>40</v>
      </c>
      <c r="AB341" t="s">
        <v>1324</v>
      </c>
      <c r="AC341" s="183"/>
      <c r="AE341" s="183"/>
      <c r="AH341" t="s">
        <v>94</v>
      </c>
      <c r="AL341" t="s">
        <v>428</v>
      </c>
      <c r="AM341" s="261">
        <v>4062.51</v>
      </c>
      <c r="AN341" s="184">
        <v>1</v>
      </c>
      <c r="AO341" s="15">
        <v>3250</v>
      </c>
      <c r="AW341" s="7"/>
      <c r="AZ341" t="s">
        <v>255</v>
      </c>
      <c r="BA341">
        <v>138</v>
      </c>
    </row>
    <row r="342" spans="1:53" ht="15.75" customHeight="1">
      <c r="A342" s="273">
        <v>140</v>
      </c>
      <c r="B342" s="273" t="str">
        <f t="shared" si="25"/>
        <v>NEAKTIVAN</v>
      </c>
      <c r="C342" s="302">
        <f t="shared" si="23"/>
        <v>340</v>
      </c>
      <c r="D342" s="258">
        <v>22</v>
      </c>
      <c r="E342" s="1" t="str">
        <f>VLOOKUP(D342,Table3[[#All],[RB]:[OIB]],2,0)</f>
        <v>International Line d.o.o.</v>
      </c>
      <c r="F342" s="4">
        <f>VLOOKUP(D342,Table3[],3,0)</f>
        <v>16157428650</v>
      </c>
      <c r="G342" s="1" t="str">
        <f>VLOOKUP(D342,Table3[],4,0)</f>
        <v>Zoltan Kiri</v>
      </c>
      <c r="H342" s="1" t="str">
        <f>VLOOKUP(D342,POSLODAVCI!$A$2:$J$107,9,0)</f>
        <v>Osijek</v>
      </c>
      <c r="I342" s="1" t="str">
        <f>VLOOKUP(D342,Table3[],10,0)</f>
        <v>Ivana Gundulića 28</v>
      </c>
      <c r="J342" s="258" t="s">
        <v>1329</v>
      </c>
      <c r="K342" s="272">
        <v>44092</v>
      </c>
      <c r="L342" s="272">
        <v>44125</v>
      </c>
      <c r="M342" s="182">
        <v>28980512417</v>
      </c>
      <c r="N342" t="s">
        <v>80</v>
      </c>
      <c r="O342" s="7">
        <v>32533</v>
      </c>
      <c r="P342" t="s">
        <v>94</v>
      </c>
      <c r="Q342" t="s">
        <v>82</v>
      </c>
      <c r="R342" t="s">
        <v>1330</v>
      </c>
      <c r="S342" s="5" t="s">
        <v>83</v>
      </c>
      <c r="T342" t="s">
        <v>310</v>
      </c>
      <c r="V342" t="s">
        <v>143</v>
      </c>
      <c r="W342" t="s">
        <v>143</v>
      </c>
      <c r="X342" s="304" t="s">
        <v>85</v>
      </c>
      <c r="Y342" s="7"/>
      <c r="Z342" t="s">
        <v>86</v>
      </c>
      <c r="AA342">
        <v>40</v>
      </c>
      <c r="AB342" t="s">
        <v>1331</v>
      </c>
      <c r="AC342" s="183"/>
      <c r="AE342" s="183"/>
      <c r="AH342" t="s">
        <v>94</v>
      </c>
      <c r="AL342" t="s">
        <v>83</v>
      </c>
      <c r="AM342" s="261">
        <v>4062.51</v>
      </c>
      <c r="AN342" s="184">
        <v>1</v>
      </c>
      <c r="AO342" s="15">
        <v>3250</v>
      </c>
      <c r="AW342" s="7"/>
      <c r="AZ342" t="s">
        <v>255</v>
      </c>
      <c r="BA342">
        <v>139</v>
      </c>
    </row>
    <row r="343" spans="1:53" ht="15.75" customHeight="1">
      <c r="A343" s="273">
        <v>141</v>
      </c>
      <c r="B343" s="273" t="str">
        <f t="shared" si="25"/>
        <v>NEAKTIVAN</v>
      </c>
      <c r="C343" s="302">
        <f t="shared" si="23"/>
        <v>341</v>
      </c>
      <c r="D343" s="258">
        <v>22</v>
      </c>
      <c r="E343" s="1" t="str">
        <f>VLOOKUP(D343,Table3[[#All],[RB]:[OIB]],2,0)</f>
        <v>International Line d.o.o.</v>
      </c>
      <c r="F343" s="4">
        <f>VLOOKUP(D343,Table3[],3,0)</f>
        <v>16157428650</v>
      </c>
      <c r="G343" s="1" t="str">
        <f>VLOOKUP(D343,Table3[],4,0)</f>
        <v>Zoltan Kiri</v>
      </c>
      <c r="H343" s="1" t="str">
        <f>VLOOKUP(D343,POSLODAVCI!$A$2:$J$107,9,0)</f>
        <v>Osijek</v>
      </c>
      <c r="I343" s="1" t="str">
        <f>VLOOKUP(D343,Table3[],10,0)</f>
        <v>Ivana Gundulića 28</v>
      </c>
      <c r="J343" s="258" t="s">
        <v>1332</v>
      </c>
      <c r="K343" s="272">
        <v>44095</v>
      </c>
      <c r="L343" s="272">
        <v>44102</v>
      </c>
      <c r="M343" s="89" t="s">
        <v>1333</v>
      </c>
      <c r="N343" t="s">
        <v>89</v>
      </c>
      <c r="O343" s="7">
        <v>33938</v>
      </c>
      <c r="P343" t="s">
        <v>94</v>
      </c>
      <c r="Q343" t="s">
        <v>82</v>
      </c>
      <c r="R343" t="s">
        <v>1334</v>
      </c>
      <c r="S343" s="5" t="s">
        <v>428</v>
      </c>
      <c r="T343" t="s">
        <v>84</v>
      </c>
      <c r="V343" t="s">
        <v>143</v>
      </c>
      <c r="W343" t="s">
        <v>143</v>
      </c>
      <c r="X343" s="304" t="s">
        <v>85</v>
      </c>
      <c r="Y343" s="7"/>
      <c r="Z343" t="s">
        <v>86</v>
      </c>
      <c r="AA343">
        <v>40</v>
      </c>
      <c r="AB343" t="s">
        <v>1335</v>
      </c>
      <c r="AC343" s="183"/>
      <c r="AE343" s="183"/>
      <c r="AH343" t="s">
        <v>1265</v>
      </c>
      <c r="AL343" t="s">
        <v>428</v>
      </c>
      <c r="AM343" s="261">
        <v>4062.51</v>
      </c>
      <c r="AN343" s="184">
        <v>1</v>
      </c>
      <c r="AO343" s="15">
        <v>3250</v>
      </c>
      <c r="AW343" s="7"/>
      <c r="AZ343" t="s">
        <v>255</v>
      </c>
      <c r="BA343">
        <v>140</v>
      </c>
    </row>
    <row r="344" spans="1:53" ht="15.75" customHeight="1">
      <c r="A344" s="273">
        <v>142</v>
      </c>
      <c r="B344" s="273" t="str">
        <f t="shared" si="25"/>
        <v>NEAKTIVAN</v>
      </c>
      <c r="C344" s="302">
        <f t="shared" si="23"/>
        <v>342</v>
      </c>
      <c r="D344" s="258">
        <v>22</v>
      </c>
      <c r="E344" s="1" t="str">
        <f>VLOOKUP(D344,Table3[[#All],[RB]:[OIB]],2,0)</f>
        <v>International Line d.o.o.</v>
      </c>
      <c r="F344" s="4">
        <f>VLOOKUP(D344,Table3[],3,0)</f>
        <v>16157428650</v>
      </c>
      <c r="G344" s="1" t="str">
        <f>VLOOKUP(D344,Table3[],4,0)</f>
        <v>Zoltan Kiri</v>
      </c>
      <c r="H344" s="1" t="str">
        <f>VLOOKUP(D344,POSLODAVCI!$A$2:$J$107,9,0)</f>
        <v>Osijek</v>
      </c>
      <c r="I344" s="1" t="str">
        <f>VLOOKUP(D344,Table3[],10,0)</f>
        <v>Ivana Gundulića 28</v>
      </c>
      <c r="J344" s="258" t="s">
        <v>1336</v>
      </c>
      <c r="K344" s="272">
        <v>44095</v>
      </c>
      <c r="L344" s="272">
        <v>44123</v>
      </c>
      <c r="M344" s="182">
        <v>93962818071</v>
      </c>
      <c r="N344" t="s">
        <v>80</v>
      </c>
      <c r="O344" s="7">
        <v>37319</v>
      </c>
      <c r="P344" t="s">
        <v>94</v>
      </c>
      <c r="Q344" t="s">
        <v>82</v>
      </c>
      <c r="R344" t="s">
        <v>1337</v>
      </c>
      <c r="S344" s="5" t="s">
        <v>428</v>
      </c>
      <c r="T344" t="s">
        <v>84</v>
      </c>
      <c r="V344" t="s">
        <v>143</v>
      </c>
      <c r="W344" t="s">
        <v>143</v>
      </c>
      <c r="X344" s="304" t="s">
        <v>85</v>
      </c>
      <c r="Y344" s="7"/>
      <c r="Z344" t="s">
        <v>86</v>
      </c>
      <c r="AA344">
        <v>40</v>
      </c>
      <c r="AB344" t="s">
        <v>1338</v>
      </c>
      <c r="AC344" s="183"/>
      <c r="AE344" s="183"/>
      <c r="AH344" t="s">
        <v>1265</v>
      </c>
      <c r="AL344" t="s">
        <v>428</v>
      </c>
      <c r="AM344" s="261">
        <v>4062.51</v>
      </c>
      <c r="AN344" s="184">
        <v>1</v>
      </c>
      <c r="AO344" s="15">
        <v>3250</v>
      </c>
      <c r="AW344" s="7"/>
      <c r="AZ344" t="s">
        <v>255</v>
      </c>
      <c r="BA344">
        <v>141</v>
      </c>
    </row>
    <row r="345" spans="1:53" ht="15.75" customHeight="1">
      <c r="A345" s="273">
        <v>143</v>
      </c>
      <c r="B345" s="273" t="str">
        <f t="shared" si="25"/>
        <v>NEAKTIVAN</v>
      </c>
      <c r="C345" s="302">
        <f t="shared" si="23"/>
        <v>343</v>
      </c>
      <c r="D345" s="258">
        <v>22</v>
      </c>
      <c r="E345" s="1" t="str">
        <f>VLOOKUP(D345,Table3[[#All],[RB]:[OIB]],2,0)</f>
        <v>International Line d.o.o.</v>
      </c>
      <c r="F345" s="4">
        <f>VLOOKUP(D345,Table3[],3,0)</f>
        <v>16157428650</v>
      </c>
      <c r="G345" s="1" t="str">
        <f>VLOOKUP(D345,Table3[],4,0)</f>
        <v>Zoltan Kiri</v>
      </c>
      <c r="H345" s="1" t="str">
        <f>VLOOKUP(D345,POSLODAVCI!$A$2:$J$107,9,0)</f>
        <v>Osijek</v>
      </c>
      <c r="I345" s="1" t="str">
        <f>VLOOKUP(D345,Table3[],10,0)</f>
        <v>Ivana Gundulića 28</v>
      </c>
      <c r="J345" s="258" t="s">
        <v>1339</v>
      </c>
      <c r="K345" s="272">
        <v>44095</v>
      </c>
      <c r="L345" s="272">
        <v>44102</v>
      </c>
      <c r="M345" s="182">
        <v>95297325085</v>
      </c>
      <c r="N345" t="s">
        <v>89</v>
      </c>
      <c r="O345" s="7">
        <v>33499</v>
      </c>
      <c r="P345" t="s">
        <v>94</v>
      </c>
      <c r="Q345" t="s">
        <v>82</v>
      </c>
      <c r="R345" t="s">
        <v>1340</v>
      </c>
      <c r="S345" s="5" t="s">
        <v>428</v>
      </c>
      <c r="T345" t="s">
        <v>84</v>
      </c>
      <c r="V345" t="s">
        <v>143</v>
      </c>
      <c r="W345" t="s">
        <v>143</v>
      </c>
      <c r="X345" s="304" t="s">
        <v>85</v>
      </c>
      <c r="Y345" s="7"/>
      <c r="Z345" t="s">
        <v>86</v>
      </c>
      <c r="AA345">
        <v>40</v>
      </c>
      <c r="AB345" t="s">
        <v>1341</v>
      </c>
      <c r="AC345" s="183"/>
      <c r="AE345" s="183"/>
      <c r="AH345" t="s">
        <v>1265</v>
      </c>
      <c r="AL345" t="s">
        <v>428</v>
      </c>
      <c r="AM345" s="261">
        <v>4062.51</v>
      </c>
      <c r="AN345" s="184">
        <v>1</v>
      </c>
      <c r="AO345" s="15">
        <v>3250</v>
      </c>
      <c r="AW345" s="7"/>
      <c r="AZ345" t="s">
        <v>255</v>
      </c>
      <c r="BA345">
        <v>142</v>
      </c>
    </row>
    <row r="346" spans="1:53" ht="15.75" customHeight="1">
      <c r="A346" s="273">
        <v>144</v>
      </c>
      <c r="B346" s="273" t="str">
        <f t="shared" si="25"/>
        <v>NEAKTIVAN</v>
      </c>
      <c r="C346" s="302">
        <f t="shared" si="23"/>
        <v>344</v>
      </c>
      <c r="D346" s="258">
        <v>22</v>
      </c>
      <c r="E346" s="1" t="str">
        <f>VLOOKUP(D346,Table3[[#All],[RB]:[OIB]],2,0)</f>
        <v>International Line d.o.o.</v>
      </c>
      <c r="F346" s="4">
        <f>VLOOKUP(D346,Table3[],3,0)</f>
        <v>16157428650</v>
      </c>
      <c r="G346" s="1" t="str">
        <f>VLOOKUP(D346,Table3[],4,0)</f>
        <v>Zoltan Kiri</v>
      </c>
      <c r="H346" s="1" t="str">
        <f>VLOOKUP(D346,POSLODAVCI!$A$2:$J$107,9,0)</f>
        <v>Osijek</v>
      </c>
      <c r="I346" s="1" t="str">
        <f>VLOOKUP(D346,Table3[],10,0)</f>
        <v>Ivana Gundulića 28</v>
      </c>
      <c r="J346" s="258" t="s">
        <v>1342</v>
      </c>
      <c r="K346" s="272">
        <v>44095</v>
      </c>
      <c r="L346" s="272">
        <v>44132</v>
      </c>
      <c r="M346" s="182">
        <v>46872110260</v>
      </c>
      <c r="N346" t="s">
        <v>89</v>
      </c>
      <c r="O346" s="7">
        <v>35168</v>
      </c>
      <c r="P346" t="s">
        <v>94</v>
      </c>
      <c r="Q346" t="s">
        <v>82</v>
      </c>
      <c r="R346" t="s">
        <v>1343</v>
      </c>
      <c r="S346" s="5" t="s">
        <v>428</v>
      </c>
      <c r="T346" t="s">
        <v>84</v>
      </c>
      <c r="V346" t="s">
        <v>143</v>
      </c>
      <c r="W346" t="s">
        <v>143</v>
      </c>
      <c r="X346" s="304" t="s">
        <v>85</v>
      </c>
      <c r="Y346" s="7"/>
      <c r="Z346" t="s">
        <v>86</v>
      </c>
      <c r="AA346">
        <v>40</v>
      </c>
      <c r="AB346" t="s">
        <v>1344</v>
      </c>
      <c r="AC346" s="183"/>
      <c r="AE346" s="183"/>
      <c r="AH346" t="s">
        <v>1265</v>
      </c>
      <c r="AL346" t="s">
        <v>428</v>
      </c>
      <c r="AM346" s="261">
        <v>4062.51</v>
      </c>
      <c r="AN346" s="184">
        <v>1</v>
      </c>
      <c r="AO346" s="15">
        <v>3250</v>
      </c>
      <c r="AW346" s="7"/>
      <c r="AZ346" t="s">
        <v>255</v>
      </c>
      <c r="BA346">
        <v>143</v>
      </c>
    </row>
    <row r="347" spans="1:53" ht="15.75" customHeight="1">
      <c r="A347" s="273">
        <v>145</v>
      </c>
      <c r="B347" s="273" t="str">
        <f t="shared" si="25"/>
        <v>NEAKTIVAN</v>
      </c>
      <c r="C347" s="302">
        <f t="shared" si="23"/>
        <v>345</v>
      </c>
      <c r="D347" s="258">
        <v>22</v>
      </c>
      <c r="E347" s="1" t="str">
        <f>VLOOKUP(D347,Table3[[#All],[RB]:[OIB]],2,0)</f>
        <v>International Line d.o.o.</v>
      </c>
      <c r="F347" s="4">
        <f>VLOOKUP(D347,Table3[],3,0)</f>
        <v>16157428650</v>
      </c>
      <c r="G347" s="1" t="str">
        <f>VLOOKUP(D347,Table3[],4,0)</f>
        <v>Zoltan Kiri</v>
      </c>
      <c r="H347" s="1" t="str">
        <f>VLOOKUP(D347,POSLODAVCI!$A$2:$J$107,9,0)</f>
        <v>Osijek</v>
      </c>
      <c r="I347" s="1" t="str">
        <f>VLOOKUP(D347,Table3[],10,0)</f>
        <v>Ivana Gundulića 28</v>
      </c>
      <c r="J347" s="258" t="s">
        <v>1345</v>
      </c>
      <c r="K347" s="272">
        <v>44095</v>
      </c>
      <c r="L347" s="272">
        <v>44131</v>
      </c>
      <c r="M347" s="182">
        <v>89244104255</v>
      </c>
      <c r="N347" t="s">
        <v>80</v>
      </c>
      <c r="O347" s="7">
        <v>34384</v>
      </c>
      <c r="P347" t="s">
        <v>94</v>
      </c>
      <c r="Q347" t="s">
        <v>82</v>
      </c>
      <c r="R347" t="s">
        <v>1346</v>
      </c>
      <c r="S347" s="5" t="s">
        <v>428</v>
      </c>
      <c r="T347" t="s">
        <v>111</v>
      </c>
      <c r="V347" t="s">
        <v>143</v>
      </c>
      <c r="W347" t="s">
        <v>143</v>
      </c>
      <c r="X347" s="304" t="s">
        <v>85</v>
      </c>
      <c r="Y347" s="7"/>
      <c r="Z347" t="s">
        <v>86</v>
      </c>
      <c r="AA347">
        <v>40</v>
      </c>
      <c r="AB347" t="s">
        <v>1347</v>
      </c>
      <c r="AC347" s="183"/>
      <c r="AE347" s="183"/>
      <c r="AH347" t="s">
        <v>1265</v>
      </c>
      <c r="AL347" t="s">
        <v>428</v>
      </c>
      <c r="AM347" s="261">
        <v>4062.51</v>
      </c>
      <c r="AN347" s="184">
        <v>1</v>
      </c>
      <c r="AO347" s="15">
        <v>3250</v>
      </c>
      <c r="AW347" s="7"/>
      <c r="AZ347" t="s">
        <v>255</v>
      </c>
      <c r="BA347">
        <v>144</v>
      </c>
    </row>
    <row r="348" spans="1:53" ht="15.75" customHeight="1">
      <c r="A348" s="273">
        <v>146</v>
      </c>
      <c r="B348" s="273" t="str">
        <f t="shared" si="25"/>
        <v>NEAKTIVAN</v>
      </c>
      <c r="C348" s="302">
        <f t="shared" si="23"/>
        <v>346</v>
      </c>
      <c r="D348" s="258">
        <v>22</v>
      </c>
      <c r="E348" s="1" t="str">
        <f>VLOOKUP(D348,Table3[[#All],[RB]:[OIB]],2,0)</f>
        <v>International Line d.o.o.</v>
      </c>
      <c r="F348" s="4">
        <f>VLOOKUP(D348,Table3[],3,0)</f>
        <v>16157428650</v>
      </c>
      <c r="G348" s="1" t="str">
        <f>VLOOKUP(D348,Table3[],4,0)</f>
        <v>Zoltan Kiri</v>
      </c>
      <c r="H348" s="1" t="str">
        <f>VLOOKUP(D348,POSLODAVCI!$A$2:$J$107,9,0)</f>
        <v>Osijek</v>
      </c>
      <c r="I348" s="1" t="str">
        <f>VLOOKUP(D348,Table3[],10,0)</f>
        <v>Ivana Gundulića 28</v>
      </c>
      <c r="J348" s="258" t="s">
        <v>1348</v>
      </c>
      <c r="K348" s="272">
        <v>44095</v>
      </c>
      <c r="L348" s="272">
        <v>44165</v>
      </c>
      <c r="M348" s="182">
        <v>44433666966</v>
      </c>
      <c r="N348" t="s">
        <v>80</v>
      </c>
      <c r="O348" s="7">
        <v>30112</v>
      </c>
      <c r="P348" t="s">
        <v>94</v>
      </c>
      <c r="Q348" t="s">
        <v>82</v>
      </c>
      <c r="R348" t="s">
        <v>1349</v>
      </c>
      <c r="S348" s="5" t="s">
        <v>83</v>
      </c>
      <c r="T348" t="s">
        <v>84</v>
      </c>
      <c r="V348" t="s">
        <v>143</v>
      </c>
      <c r="W348" t="s">
        <v>143</v>
      </c>
      <c r="X348" s="304" t="s">
        <v>85</v>
      </c>
      <c r="Y348" s="7"/>
      <c r="Z348" t="s">
        <v>86</v>
      </c>
      <c r="AA348">
        <v>40</v>
      </c>
      <c r="AB348" t="s">
        <v>1350</v>
      </c>
      <c r="AC348" s="183"/>
      <c r="AE348" s="183"/>
      <c r="AH348" t="s">
        <v>1265</v>
      </c>
      <c r="AL348" t="s">
        <v>428</v>
      </c>
      <c r="AM348" s="261">
        <v>4062.51</v>
      </c>
      <c r="AN348" s="184">
        <v>1</v>
      </c>
      <c r="AO348" s="15">
        <v>3250</v>
      </c>
      <c r="AW348" s="7"/>
      <c r="AZ348" t="s">
        <v>255</v>
      </c>
      <c r="BA348">
        <v>145</v>
      </c>
    </row>
    <row r="349" spans="1:53" ht="15.75" customHeight="1">
      <c r="A349" s="273">
        <v>147</v>
      </c>
      <c r="B349" s="273" t="str">
        <f t="shared" si="25"/>
        <v>NEAKTIVAN</v>
      </c>
      <c r="C349" s="302">
        <f t="shared" si="23"/>
        <v>347</v>
      </c>
      <c r="D349" s="258">
        <v>22</v>
      </c>
      <c r="E349" s="1" t="str">
        <f>VLOOKUP(D349,Table3[[#All],[RB]:[OIB]],2,0)</f>
        <v>International Line d.o.o.</v>
      </c>
      <c r="F349" s="4">
        <f>VLOOKUP(D349,Table3[],3,0)</f>
        <v>16157428650</v>
      </c>
      <c r="G349" s="1" t="str">
        <f>VLOOKUP(D349,Table3[],4,0)</f>
        <v>Zoltan Kiri</v>
      </c>
      <c r="H349" s="1" t="str">
        <f>VLOOKUP(D349,POSLODAVCI!$A$2:$J$107,9,0)</f>
        <v>Osijek</v>
      </c>
      <c r="I349" s="1" t="str">
        <f>VLOOKUP(D349,Table3[],10,0)</f>
        <v>Ivana Gundulića 28</v>
      </c>
      <c r="J349" s="258" t="s">
        <v>1351</v>
      </c>
      <c r="K349" s="272">
        <v>44095</v>
      </c>
      <c r="L349" s="272">
        <v>44165</v>
      </c>
      <c r="M349" s="89" t="s">
        <v>1352</v>
      </c>
      <c r="N349" t="s">
        <v>80</v>
      </c>
      <c r="O349" s="7">
        <v>28022</v>
      </c>
      <c r="P349" t="s">
        <v>94</v>
      </c>
      <c r="Q349" t="s">
        <v>82</v>
      </c>
      <c r="R349" t="s">
        <v>1353</v>
      </c>
      <c r="S349" s="5" t="s">
        <v>428</v>
      </c>
      <c r="T349" t="s">
        <v>84</v>
      </c>
      <c r="V349" t="s">
        <v>143</v>
      </c>
      <c r="W349" t="s">
        <v>143</v>
      </c>
      <c r="X349" s="304" t="s">
        <v>85</v>
      </c>
      <c r="Y349" s="7"/>
      <c r="Z349" t="s">
        <v>86</v>
      </c>
      <c r="AA349">
        <v>40</v>
      </c>
      <c r="AB349" t="s">
        <v>1354</v>
      </c>
      <c r="AC349" s="183"/>
      <c r="AE349" s="183"/>
      <c r="AH349" t="s">
        <v>1265</v>
      </c>
      <c r="AL349" t="s">
        <v>428</v>
      </c>
      <c r="AM349" s="261">
        <v>4062.51</v>
      </c>
      <c r="AN349" s="184">
        <v>1</v>
      </c>
      <c r="AO349" s="15">
        <v>3250</v>
      </c>
      <c r="AW349" s="7"/>
      <c r="AZ349" t="s">
        <v>255</v>
      </c>
      <c r="BA349">
        <v>146</v>
      </c>
    </row>
    <row r="350" spans="1:53" ht="15.75" customHeight="1">
      <c r="A350" s="273">
        <v>148</v>
      </c>
      <c r="B350" s="273" t="str">
        <f t="shared" si="25"/>
        <v>NEAKTIVAN</v>
      </c>
      <c r="C350" s="302">
        <f t="shared" si="23"/>
        <v>348</v>
      </c>
      <c r="D350" s="258">
        <v>22</v>
      </c>
      <c r="E350" s="1" t="str">
        <f>VLOOKUP(D350,Table3[[#All],[RB]:[OIB]],2,0)</f>
        <v>International Line d.o.o.</v>
      </c>
      <c r="F350" s="4">
        <f>VLOOKUP(D350,Table3[],3,0)</f>
        <v>16157428650</v>
      </c>
      <c r="G350" s="1" t="str">
        <f>VLOOKUP(D350,Table3[],4,0)</f>
        <v>Zoltan Kiri</v>
      </c>
      <c r="H350" s="1" t="str">
        <f>VLOOKUP(D350,POSLODAVCI!$A$2:$J$107,9,0)</f>
        <v>Osijek</v>
      </c>
      <c r="I350" s="1" t="str">
        <f>VLOOKUP(D350,Table3[],10,0)</f>
        <v>Ivana Gundulića 28</v>
      </c>
      <c r="J350" s="258" t="s">
        <v>1355</v>
      </c>
      <c r="K350" s="272">
        <v>44095</v>
      </c>
      <c r="L350" s="272">
        <v>44165</v>
      </c>
      <c r="M350" s="182">
        <v>57018957627</v>
      </c>
      <c r="N350" t="s">
        <v>80</v>
      </c>
      <c r="O350" s="7">
        <v>35210</v>
      </c>
      <c r="P350" t="s">
        <v>94</v>
      </c>
      <c r="Q350" t="s">
        <v>82</v>
      </c>
      <c r="R350" t="s">
        <v>1356</v>
      </c>
      <c r="S350" s="5" t="s">
        <v>428</v>
      </c>
      <c r="T350" t="s">
        <v>84</v>
      </c>
      <c r="V350" t="s">
        <v>143</v>
      </c>
      <c r="W350" t="s">
        <v>143</v>
      </c>
      <c r="X350" s="304" t="s">
        <v>85</v>
      </c>
      <c r="Y350" s="7"/>
      <c r="Z350" t="s">
        <v>86</v>
      </c>
      <c r="AA350">
        <v>40</v>
      </c>
      <c r="AB350" t="s">
        <v>1357</v>
      </c>
      <c r="AC350" s="183"/>
      <c r="AE350" s="183"/>
      <c r="AH350" t="s">
        <v>1265</v>
      </c>
      <c r="AL350" t="s">
        <v>428</v>
      </c>
      <c r="AM350" s="261">
        <v>4062.51</v>
      </c>
      <c r="AN350" s="184">
        <v>1</v>
      </c>
      <c r="AO350" s="15">
        <v>3250</v>
      </c>
      <c r="AW350" s="7"/>
      <c r="AZ350" t="s">
        <v>255</v>
      </c>
      <c r="BA350">
        <v>147</v>
      </c>
    </row>
    <row r="351" spans="1:53" ht="15.75" customHeight="1">
      <c r="A351" s="273">
        <v>149</v>
      </c>
      <c r="B351" s="273" t="str">
        <f t="shared" si="25"/>
        <v>NEAKTIVAN</v>
      </c>
      <c r="C351" s="302">
        <f t="shared" si="23"/>
        <v>349</v>
      </c>
      <c r="D351" s="258">
        <v>22</v>
      </c>
      <c r="E351" s="1" t="str">
        <f>VLOOKUP(D351,Table3[[#All],[RB]:[OIB]],2,0)</f>
        <v>International Line d.o.o.</v>
      </c>
      <c r="F351" s="4">
        <f>VLOOKUP(D351,Table3[],3,0)</f>
        <v>16157428650</v>
      </c>
      <c r="G351" s="1" t="str">
        <f>VLOOKUP(D351,Table3[],4,0)</f>
        <v>Zoltan Kiri</v>
      </c>
      <c r="H351" s="1" t="str">
        <f>VLOOKUP(D351,POSLODAVCI!$A$2:$J$107,9,0)</f>
        <v>Osijek</v>
      </c>
      <c r="I351" s="1" t="str">
        <f>VLOOKUP(D351,Table3[],10,0)</f>
        <v>Ivana Gundulića 28</v>
      </c>
      <c r="J351" s="258" t="s">
        <v>1453</v>
      </c>
      <c r="K351" s="272">
        <v>44095</v>
      </c>
      <c r="L351" s="272">
        <v>44165</v>
      </c>
      <c r="M351" s="182">
        <v>54713469938</v>
      </c>
      <c r="N351" t="s">
        <v>80</v>
      </c>
      <c r="O351" s="7">
        <v>35234</v>
      </c>
      <c r="P351" t="s">
        <v>94</v>
      </c>
      <c r="Q351" t="s">
        <v>82</v>
      </c>
      <c r="R351" t="s">
        <v>1358</v>
      </c>
      <c r="S351" s="5" t="s">
        <v>428</v>
      </c>
      <c r="T351" t="s">
        <v>84</v>
      </c>
      <c r="V351" t="s">
        <v>143</v>
      </c>
      <c r="W351" t="s">
        <v>143</v>
      </c>
      <c r="X351" s="304" t="s">
        <v>85</v>
      </c>
      <c r="Y351" s="7"/>
      <c r="Z351" t="s">
        <v>86</v>
      </c>
      <c r="AA351">
        <v>40</v>
      </c>
      <c r="AB351" t="s">
        <v>1359</v>
      </c>
      <c r="AC351" s="183"/>
      <c r="AE351" s="183"/>
      <c r="AH351" t="s">
        <v>1265</v>
      </c>
      <c r="AL351" t="s">
        <v>83</v>
      </c>
      <c r="AM351" s="261">
        <v>4062.51</v>
      </c>
      <c r="AN351" s="184">
        <v>1</v>
      </c>
      <c r="AO351" s="15">
        <v>3250</v>
      </c>
      <c r="AW351" s="7"/>
      <c r="AZ351" t="s">
        <v>255</v>
      </c>
      <c r="BA351">
        <v>148</v>
      </c>
    </row>
    <row r="352" spans="1:53" ht="15.75" customHeight="1">
      <c r="A352" s="273">
        <v>150</v>
      </c>
      <c r="B352" s="273" t="str">
        <f t="shared" si="25"/>
        <v>NEAKTIVAN</v>
      </c>
      <c r="C352" s="302">
        <f t="shared" si="23"/>
        <v>350</v>
      </c>
      <c r="D352" s="258">
        <v>22</v>
      </c>
      <c r="E352" s="1" t="str">
        <f>VLOOKUP(D352,Table3[[#All],[RB]:[OIB]],2,0)</f>
        <v>International Line d.o.o.</v>
      </c>
      <c r="F352" s="4">
        <f>VLOOKUP(D352,Table3[],3,0)</f>
        <v>16157428650</v>
      </c>
      <c r="G352" s="1" t="str">
        <f>VLOOKUP(D352,Table3[],4,0)</f>
        <v>Zoltan Kiri</v>
      </c>
      <c r="H352" s="1" t="str">
        <f>VLOOKUP(D352,POSLODAVCI!$A$2:$J$107,9,0)</f>
        <v>Osijek</v>
      </c>
      <c r="I352" s="1" t="str">
        <f>VLOOKUP(D352,Table3[],10,0)</f>
        <v>Ivana Gundulića 28</v>
      </c>
      <c r="J352" s="258" t="s">
        <v>1360</v>
      </c>
      <c r="K352" s="272">
        <v>44095</v>
      </c>
      <c r="L352" s="272">
        <v>44140</v>
      </c>
      <c r="M352" s="182">
        <v>76866047912</v>
      </c>
      <c r="N352" t="s">
        <v>80</v>
      </c>
      <c r="O352" s="7">
        <v>27641</v>
      </c>
      <c r="P352" t="s">
        <v>94</v>
      </c>
      <c r="Q352" t="s">
        <v>82</v>
      </c>
      <c r="R352" t="s">
        <v>1361</v>
      </c>
      <c r="S352" s="5" t="s">
        <v>428</v>
      </c>
      <c r="T352" t="s">
        <v>84</v>
      </c>
      <c r="V352" t="s">
        <v>143</v>
      </c>
      <c r="W352" t="s">
        <v>143</v>
      </c>
      <c r="X352" s="304" t="s">
        <v>85</v>
      </c>
      <c r="Y352" s="7"/>
      <c r="Z352" t="s">
        <v>86</v>
      </c>
      <c r="AA352">
        <v>40</v>
      </c>
      <c r="AB352" t="s">
        <v>1362</v>
      </c>
      <c r="AC352" s="183"/>
      <c r="AE352" s="183"/>
      <c r="AH352" t="s">
        <v>1265</v>
      </c>
      <c r="AL352" t="s">
        <v>428</v>
      </c>
      <c r="AM352" s="261">
        <v>4062.51</v>
      </c>
      <c r="AN352" s="184">
        <v>1</v>
      </c>
      <c r="AO352" s="15">
        <v>3250</v>
      </c>
      <c r="AW352" s="7"/>
      <c r="AZ352" t="s">
        <v>255</v>
      </c>
      <c r="BA352">
        <v>149</v>
      </c>
    </row>
    <row r="353" spans="1:53" ht="15.75" customHeight="1">
      <c r="A353" s="273">
        <v>151</v>
      </c>
      <c r="B353" s="273" t="str">
        <f t="shared" si="25"/>
        <v>NEAKTIVAN</v>
      </c>
      <c r="C353" s="302">
        <f t="shared" si="23"/>
        <v>351</v>
      </c>
      <c r="D353" s="258">
        <v>22</v>
      </c>
      <c r="E353" s="1" t="str">
        <f>VLOOKUP(D353,Table3[[#All],[RB]:[OIB]],2,0)</f>
        <v>International Line d.o.o.</v>
      </c>
      <c r="F353" s="4">
        <f>VLOOKUP(D353,Table3[],3,0)</f>
        <v>16157428650</v>
      </c>
      <c r="G353" s="1" t="str">
        <f>VLOOKUP(D353,Table3[],4,0)</f>
        <v>Zoltan Kiri</v>
      </c>
      <c r="H353" s="1" t="str">
        <f>VLOOKUP(D353,POSLODAVCI!$A$2:$J$107,9,0)</f>
        <v>Osijek</v>
      </c>
      <c r="I353" s="1" t="str">
        <f>VLOOKUP(D353,Table3[],10,0)</f>
        <v>Ivana Gundulića 28</v>
      </c>
      <c r="J353" s="258" t="s">
        <v>1363</v>
      </c>
      <c r="K353" s="272">
        <v>44096</v>
      </c>
      <c r="L353" s="272">
        <v>44135</v>
      </c>
      <c r="M353" s="182">
        <v>97620591075</v>
      </c>
      <c r="N353" t="s">
        <v>89</v>
      </c>
      <c r="O353" s="7">
        <v>32893</v>
      </c>
      <c r="P353" t="s">
        <v>94</v>
      </c>
      <c r="Q353" t="s">
        <v>82</v>
      </c>
      <c r="R353" t="s">
        <v>1271</v>
      </c>
      <c r="S353" s="5" t="s">
        <v>428</v>
      </c>
      <c r="T353" t="s">
        <v>84</v>
      </c>
      <c r="V353" t="s">
        <v>143</v>
      </c>
      <c r="W353" t="s">
        <v>143</v>
      </c>
      <c r="X353" s="304" t="s">
        <v>85</v>
      </c>
      <c r="Y353" s="7"/>
      <c r="Z353" t="s">
        <v>86</v>
      </c>
      <c r="AA353">
        <v>40</v>
      </c>
      <c r="AB353" t="s">
        <v>1364</v>
      </c>
      <c r="AC353" s="183"/>
      <c r="AE353" s="183"/>
      <c r="AH353" t="s">
        <v>1265</v>
      </c>
      <c r="AL353" t="s">
        <v>428</v>
      </c>
      <c r="AM353" s="261">
        <v>4062.51</v>
      </c>
      <c r="AN353" s="184">
        <v>1</v>
      </c>
      <c r="AO353" s="15">
        <v>3250</v>
      </c>
      <c r="AW353" s="7"/>
      <c r="AZ353" t="s">
        <v>255</v>
      </c>
      <c r="BA353">
        <v>150</v>
      </c>
    </row>
    <row r="354" spans="1:53" ht="15.75" customHeight="1">
      <c r="A354" s="273">
        <v>152</v>
      </c>
      <c r="B354" s="273" t="str">
        <f t="shared" si="25"/>
        <v>NEAKTIVAN</v>
      </c>
      <c r="C354" s="302">
        <f t="shared" si="23"/>
        <v>352</v>
      </c>
      <c r="D354" s="258">
        <v>22</v>
      </c>
      <c r="E354" s="1" t="str">
        <f>VLOOKUP(D354,Table3[[#All],[RB]:[OIB]],2,0)</f>
        <v>International Line d.o.o.</v>
      </c>
      <c r="F354" s="4">
        <f>VLOOKUP(D354,Table3[],3,0)</f>
        <v>16157428650</v>
      </c>
      <c r="G354" s="1" t="str">
        <f>VLOOKUP(D354,Table3[],4,0)</f>
        <v>Zoltan Kiri</v>
      </c>
      <c r="H354" s="1" t="str">
        <f>VLOOKUP(D354,POSLODAVCI!$A$2:$J$107,9,0)</f>
        <v>Osijek</v>
      </c>
      <c r="I354" s="1" t="str">
        <f>VLOOKUP(D354,Table3[],10,0)</f>
        <v>Ivana Gundulića 28</v>
      </c>
      <c r="J354" s="258" t="s">
        <v>1365</v>
      </c>
      <c r="K354" s="272">
        <v>44096</v>
      </c>
      <c r="L354" s="272">
        <v>44165</v>
      </c>
      <c r="M354" s="182">
        <v>77939122827</v>
      </c>
      <c r="N354" t="s">
        <v>80</v>
      </c>
      <c r="O354" s="7">
        <v>33886</v>
      </c>
      <c r="P354" t="s">
        <v>94</v>
      </c>
      <c r="Q354" t="s">
        <v>82</v>
      </c>
      <c r="R354" t="s">
        <v>1366</v>
      </c>
      <c r="S354" s="5" t="s">
        <v>428</v>
      </c>
      <c r="T354" t="s">
        <v>84</v>
      </c>
      <c r="V354" t="s">
        <v>143</v>
      </c>
      <c r="W354" t="s">
        <v>143</v>
      </c>
      <c r="X354" s="304" t="s">
        <v>85</v>
      </c>
      <c r="Y354" s="7"/>
      <c r="Z354" t="s">
        <v>86</v>
      </c>
      <c r="AA354">
        <v>40</v>
      </c>
      <c r="AB354" t="s">
        <v>1367</v>
      </c>
      <c r="AC354" s="183"/>
      <c r="AE354" s="183"/>
      <c r="AH354" t="s">
        <v>1265</v>
      </c>
      <c r="AL354" t="s">
        <v>428</v>
      </c>
      <c r="AM354" s="261">
        <v>4062.51</v>
      </c>
      <c r="AN354" s="184">
        <v>1</v>
      </c>
      <c r="AO354" s="15">
        <v>3250</v>
      </c>
      <c r="AW354" s="7"/>
      <c r="AZ354" t="s">
        <v>255</v>
      </c>
      <c r="BA354">
        <v>151</v>
      </c>
    </row>
    <row r="355" spans="1:53" ht="15.75" customHeight="1">
      <c r="A355" s="273">
        <v>153</v>
      </c>
      <c r="B355" s="273" t="str">
        <f t="shared" si="25"/>
        <v>NEAKTIVAN</v>
      </c>
      <c r="C355" s="302">
        <f t="shared" si="23"/>
        <v>353</v>
      </c>
      <c r="D355" s="258">
        <v>22</v>
      </c>
      <c r="E355" s="1" t="str">
        <f>VLOOKUP(D355,Table3[[#All],[RB]:[OIB]],2,0)</f>
        <v>International Line d.o.o.</v>
      </c>
      <c r="F355" s="4">
        <f>VLOOKUP(D355,Table3[],3,0)</f>
        <v>16157428650</v>
      </c>
      <c r="G355" s="1" t="str">
        <f>VLOOKUP(D355,Table3[],4,0)</f>
        <v>Zoltan Kiri</v>
      </c>
      <c r="H355" s="1" t="str">
        <f>VLOOKUP(D355,POSLODAVCI!$A$2:$J$107,9,0)</f>
        <v>Osijek</v>
      </c>
      <c r="I355" s="1" t="str">
        <f>VLOOKUP(D355,Table3[],10,0)</f>
        <v>Ivana Gundulića 28</v>
      </c>
      <c r="J355" s="258" t="s">
        <v>1368</v>
      </c>
      <c r="K355" s="272">
        <v>44097</v>
      </c>
      <c r="L355" s="272">
        <v>44135</v>
      </c>
      <c r="M355" s="89" t="s">
        <v>1369</v>
      </c>
      <c r="N355" t="s">
        <v>80</v>
      </c>
      <c r="O355" s="7">
        <v>31423</v>
      </c>
      <c r="P355" t="s">
        <v>94</v>
      </c>
      <c r="Q355" t="s">
        <v>82</v>
      </c>
      <c r="R355" t="s">
        <v>1370</v>
      </c>
      <c r="S355" s="5" t="s">
        <v>428</v>
      </c>
      <c r="T355" t="s">
        <v>84</v>
      </c>
      <c r="V355" t="s">
        <v>143</v>
      </c>
      <c r="W355" t="s">
        <v>143</v>
      </c>
      <c r="X355" s="304" t="s">
        <v>85</v>
      </c>
      <c r="Y355" s="7"/>
      <c r="Z355" t="s">
        <v>86</v>
      </c>
      <c r="AA355">
        <v>40</v>
      </c>
      <c r="AB355" t="s">
        <v>1371</v>
      </c>
      <c r="AC355" s="183"/>
      <c r="AE355" s="183"/>
      <c r="AH355" t="s">
        <v>1265</v>
      </c>
      <c r="AL355" t="s">
        <v>428</v>
      </c>
      <c r="AM355" s="261">
        <v>4062.51</v>
      </c>
      <c r="AN355" s="184">
        <v>1</v>
      </c>
      <c r="AO355" s="15">
        <v>3250</v>
      </c>
      <c r="AW355" s="7"/>
      <c r="AZ355" t="s">
        <v>255</v>
      </c>
      <c r="BA355">
        <v>152</v>
      </c>
    </row>
    <row r="356" spans="1:53" ht="15.75" customHeight="1">
      <c r="A356" s="273">
        <v>8</v>
      </c>
      <c r="B356" s="273" t="str">
        <f t="shared" si="25"/>
        <v>NEAKTIVAN</v>
      </c>
      <c r="C356" s="302">
        <f t="shared" si="23"/>
        <v>354</v>
      </c>
      <c r="D356" s="258">
        <v>26</v>
      </c>
      <c r="E356" s="1" t="str">
        <f>VLOOKUP(D356,Table3[[#All],[RB]:[OIB]],2,0)</f>
        <v>D-INVOICE D.O.O.</v>
      </c>
      <c r="F356" s="4">
        <f>VLOOKUP(D356,Table3[],3,0)</f>
        <v>95114485977</v>
      </c>
      <c r="G356" s="1" t="str">
        <f>VLOOKUP(D356,Table3[],4,0)</f>
        <v>LAURA GERGELJ</v>
      </c>
      <c r="H356" s="1" t="str">
        <f>VLOOKUP(D356,POSLODAVCI!$A$2:$J$107,9,0)</f>
        <v>Osijek</v>
      </c>
      <c r="I356" s="1" t="str">
        <f>VLOOKUP(D356,Table3[],10,0)</f>
        <v>SV.IVANA KRSTITELJA 15, DARDA</v>
      </c>
      <c r="J356" s="258" t="s">
        <v>302</v>
      </c>
      <c r="K356" s="272">
        <v>44061</v>
      </c>
      <c r="L356" s="272">
        <v>46234</v>
      </c>
      <c r="M356" s="182">
        <v>65592272975</v>
      </c>
      <c r="N356" t="s">
        <v>80</v>
      </c>
      <c r="O356" s="7">
        <v>26422</v>
      </c>
      <c r="P356" t="s">
        <v>192</v>
      </c>
      <c r="Q356" t="s">
        <v>82</v>
      </c>
      <c r="R356" t="s">
        <v>303</v>
      </c>
      <c r="S356" s="5" t="s">
        <v>83</v>
      </c>
      <c r="T356" t="s">
        <v>84</v>
      </c>
      <c r="V356" t="s">
        <v>304</v>
      </c>
      <c r="W356" t="s">
        <v>304</v>
      </c>
      <c r="X356" s="303" t="s">
        <v>103</v>
      </c>
      <c r="Y356" s="7"/>
      <c r="Z356" t="s">
        <v>86</v>
      </c>
      <c r="AA356">
        <v>40</v>
      </c>
      <c r="AC356" s="183"/>
      <c r="AE356" s="183"/>
      <c r="AH356" t="s">
        <v>94</v>
      </c>
      <c r="AL356" t="s">
        <v>83</v>
      </c>
      <c r="AM356" s="356">
        <v>8300</v>
      </c>
      <c r="AN356" s="184">
        <v>1</v>
      </c>
      <c r="AO356" s="15">
        <v>5327.2</v>
      </c>
      <c r="AP356" s="15">
        <v>0</v>
      </c>
      <c r="AS356">
        <v>20</v>
      </c>
      <c r="AW356" s="7"/>
      <c r="AZ356" s="16" t="s">
        <v>374</v>
      </c>
      <c r="BA356">
        <v>3</v>
      </c>
    </row>
    <row r="357" spans="1:53" ht="15.75" customHeight="1">
      <c r="A357" s="273">
        <v>154</v>
      </c>
      <c r="B357" s="273" t="str">
        <f t="shared" si="25"/>
        <v>NEAKTIVAN</v>
      </c>
      <c r="C357" s="302">
        <f t="shared" si="23"/>
        <v>355</v>
      </c>
      <c r="D357" s="258">
        <v>22</v>
      </c>
      <c r="E357" s="1" t="str">
        <f>VLOOKUP(D357,Table3[[#All],[RB]:[OIB]],2,0)</f>
        <v>International Line d.o.o.</v>
      </c>
      <c r="F357" s="4">
        <f>VLOOKUP(D357,Table3[],3,0)</f>
        <v>16157428650</v>
      </c>
      <c r="G357" s="1" t="str">
        <f>VLOOKUP(D357,Table3[],4,0)</f>
        <v>Zoltan Kiri</v>
      </c>
      <c r="H357" s="1" t="str">
        <f>VLOOKUP(D357,POSLODAVCI!$A$2:$J$107,9,0)</f>
        <v>Osijek</v>
      </c>
      <c r="I357" s="1" t="str">
        <f>VLOOKUP(D357,Table3[],10,0)</f>
        <v>Ivana Gundulića 28</v>
      </c>
      <c r="J357" s="258" t="s">
        <v>429</v>
      </c>
      <c r="K357" s="272">
        <v>44102</v>
      </c>
      <c r="L357" s="272">
        <v>44104</v>
      </c>
      <c r="M357" s="182">
        <v>46973378536</v>
      </c>
      <c r="N357" t="s">
        <v>89</v>
      </c>
      <c r="O357" s="7">
        <v>36829</v>
      </c>
      <c r="P357" t="s">
        <v>94</v>
      </c>
      <c r="Q357" t="s">
        <v>82</v>
      </c>
      <c r="R357" t="s">
        <v>1372</v>
      </c>
      <c r="S357" s="5" t="s">
        <v>428</v>
      </c>
      <c r="T357" t="s">
        <v>84</v>
      </c>
      <c r="V357" s="16" t="s">
        <v>116</v>
      </c>
      <c r="W357" s="16" t="s">
        <v>116</v>
      </c>
      <c r="X357" s="304" t="s">
        <v>103</v>
      </c>
      <c r="Y357" s="7"/>
      <c r="Z357" t="s">
        <v>86</v>
      </c>
      <c r="AA357">
        <v>40</v>
      </c>
      <c r="AB357" t="s">
        <v>1373</v>
      </c>
      <c r="AC357" s="183"/>
      <c r="AE357" s="183"/>
      <c r="AH357" t="s">
        <v>94</v>
      </c>
      <c r="AL357" t="s">
        <v>428</v>
      </c>
      <c r="AM357" s="261">
        <v>4375</v>
      </c>
      <c r="AN357" s="184">
        <v>1</v>
      </c>
      <c r="AO357" s="15">
        <v>3500</v>
      </c>
      <c r="AW357" s="7"/>
      <c r="AZ357" t="s">
        <v>255</v>
      </c>
      <c r="BA357">
        <v>153</v>
      </c>
    </row>
    <row r="358" spans="1:53" ht="15.75" customHeight="1">
      <c r="A358" s="273">
        <v>156</v>
      </c>
      <c r="B358" s="273" t="str">
        <f t="shared" si="25"/>
        <v>NEAKTIVAN</v>
      </c>
      <c r="C358" s="302">
        <f t="shared" si="23"/>
        <v>356</v>
      </c>
      <c r="D358" s="258">
        <v>22</v>
      </c>
      <c r="E358" s="1" t="str">
        <f>VLOOKUP(D358,Table3[[#All],[RB]:[OIB]],2,0)</f>
        <v>International Line d.o.o.</v>
      </c>
      <c r="F358" s="4">
        <f>VLOOKUP(D358,Table3[],3,0)</f>
        <v>16157428650</v>
      </c>
      <c r="G358" s="1" t="str">
        <f>VLOOKUP(D358,Table3[],4,0)</f>
        <v>Zoltan Kiri</v>
      </c>
      <c r="H358" s="1" t="str">
        <f>VLOOKUP(D358,POSLODAVCI!$A$2:$J$107,9,0)</f>
        <v>Osijek</v>
      </c>
      <c r="I358" s="1" t="str">
        <f>VLOOKUP(D358,Table3[],10,0)</f>
        <v>Ivana Gundulića 28</v>
      </c>
      <c r="J358" s="258" t="s">
        <v>1374</v>
      </c>
      <c r="K358" s="272">
        <v>44102</v>
      </c>
      <c r="L358" s="272">
        <v>44156</v>
      </c>
      <c r="M358" s="182">
        <v>36838779456</v>
      </c>
      <c r="N358" t="s">
        <v>89</v>
      </c>
      <c r="O358" s="7">
        <v>36821</v>
      </c>
      <c r="P358" t="s">
        <v>94</v>
      </c>
      <c r="Q358" t="s">
        <v>82</v>
      </c>
      <c r="R358" t="s">
        <v>1375</v>
      </c>
      <c r="S358" s="5" t="s">
        <v>83</v>
      </c>
      <c r="T358" t="s">
        <v>84</v>
      </c>
      <c r="V358" s="16" t="s">
        <v>116</v>
      </c>
      <c r="W358" s="16" t="s">
        <v>116</v>
      </c>
      <c r="X358" s="304" t="s">
        <v>103</v>
      </c>
      <c r="Y358" s="7"/>
      <c r="Z358" t="s">
        <v>86</v>
      </c>
      <c r="AA358">
        <v>40</v>
      </c>
      <c r="AB358" t="s">
        <v>1376</v>
      </c>
      <c r="AC358" s="183"/>
      <c r="AE358" s="183"/>
      <c r="AH358" t="s">
        <v>94</v>
      </c>
      <c r="AL358" t="s">
        <v>428</v>
      </c>
      <c r="AM358" s="261">
        <v>4375</v>
      </c>
      <c r="AN358" s="184">
        <v>1</v>
      </c>
      <c r="AO358" s="15">
        <v>3500</v>
      </c>
      <c r="AW358" s="7"/>
      <c r="AZ358" t="s">
        <v>255</v>
      </c>
      <c r="BA358">
        <v>154</v>
      </c>
    </row>
    <row r="359" spans="1:53" ht="15.75" customHeight="1">
      <c r="A359" s="273">
        <v>9</v>
      </c>
      <c r="B359" s="273" t="str">
        <f t="shared" si="25"/>
        <v>NEAKTIVAN</v>
      </c>
      <c r="C359" s="302">
        <f t="shared" si="23"/>
        <v>357</v>
      </c>
      <c r="D359" s="258">
        <v>26</v>
      </c>
      <c r="E359" s="1" t="str">
        <f>VLOOKUP(D359,Table3[[#All],[RB]:[OIB]],2,0)</f>
        <v>D-INVOICE D.O.O.</v>
      </c>
      <c r="F359" s="4">
        <f>VLOOKUP(D359,Table3[],3,0)</f>
        <v>95114485977</v>
      </c>
      <c r="G359" s="1" t="str">
        <f>VLOOKUP(D359,Table3[],4,0)</f>
        <v>LAURA GERGELJ</v>
      </c>
      <c r="H359" s="1" t="str">
        <f>VLOOKUP(D359,POSLODAVCI!$A$2:$J$107,9,0)</f>
        <v>Osijek</v>
      </c>
      <c r="I359" s="1" t="str">
        <f>VLOOKUP(D359,Table3[],10,0)</f>
        <v>SV.IVANA KRSTITELJA 15, DARDA</v>
      </c>
      <c r="J359" s="258" t="s">
        <v>1388</v>
      </c>
      <c r="K359" s="272">
        <v>44113</v>
      </c>
      <c r="L359" s="272">
        <v>45382</v>
      </c>
      <c r="M359" s="182">
        <v>81101761185</v>
      </c>
      <c r="N359" t="s">
        <v>80</v>
      </c>
      <c r="O359" s="7">
        <v>35240</v>
      </c>
      <c r="P359" t="s">
        <v>180</v>
      </c>
      <c r="Q359" t="s">
        <v>82</v>
      </c>
      <c r="R359" t="s">
        <v>2508</v>
      </c>
      <c r="S359" s="5" t="s">
        <v>428</v>
      </c>
      <c r="T359" t="s">
        <v>84</v>
      </c>
      <c r="V359" t="s">
        <v>1390</v>
      </c>
      <c r="W359" t="s">
        <v>777</v>
      </c>
      <c r="X359" s="304" t="s">
        <v>103</v>
      </c>
      <c r="Y359" s="7"/>
      <c r="Z359" t="s">
        <v>86</v>
      </c>
      <c r="AA359">
        <v>40</v>
      </c>
      <c r="AB359" t="s">
        <v>1389</v>
      </c>
      <c r="AC359" s="183"/>
      <c r="AE359" s="183"/>
      <c r="AH359" t="s">
        <v>94</v>
      </c>
      <c r="AL359" t="s">
        <v>428</v>
      </c>
      <c r="AM359" s="261">
        <v>6300</v>
      </c>
      <c r="AN359" s="184">
        <v>1</v>
      </c>
      <c r="AO359" s="15">
        <v>4821.6000000000004</v>
      </c>
      <c r="AW359" s="7"/>
      <c r="AZ359" s="16" t="s">
        <v>255</v>
      </c>
      <c r="BA359">
        <v>9</v>
      </c>
    </row>
    <row r="360" spans="1:53" ht="15.75" customHeight="1">
      <c r="A360" s="273">
        <v>6</v>
      </c>
      <c r="B360" s="273" t="str">
        <f t="shared" si="25"/>
        <v>AKTIVAN</v>
      </c>
      <c r="C360" s="302">
        <f t="shared" si="23"/>
        <v>358</v>
      </c>
      <c r="D360" s="258">
        <v>32</v>
      </c>
      <c r="E360" s="1" t="str">
        <f>VLOOKUP(D360,Table3[[#All],[RB]:[OIB]],2,0)</f>
        <v>Špajz j.d.o.o.</v>
      </c>
      <c r="F360" s="4">
        <f>VLOOKUP(D360,Table3[],3,0)</f>
        <v>15795338441</v>
      </c>
      <c r="G360" s="1" t="str">
        <f>VLOOKUP(D360,Table3[],4,0)</f>
        <v>Martina Završki</v>
      </c>
      <c r="H360" s="1" t="str">
        <f>VLOOKUP(D360,POSLODAVCI!$A$2:$J$107,9,0)</f>
        <v>Darda</v>
      </c>
      <c r="I360" s="1" t="str">
        <f>VLOOKUP(D360,Table3[],10,0)</f>
        <v>Ilirska ulica 53, Darda</v>
      </c>
      <c r="J360" s="1" t="s">
        <v>1197</v>
      </c>
      <c r="K360" s="61">
        <v>44113</v>
      </c>
      <c r="L360" s="61"/>
      <c r="M360" s="182">
        <v>47650763217</v>
      </c>
      <c r="N360" s="16" t="s">
        <v>80</v>
      </c>
      <c r="O360" s="7">
        <v>35464</v>
      </c>
      <c r="P360" s="16" t="s">
        <v>94</v>
      </c>
      <c r="Q360" s="16" t="s">
        <v>82</v>
      </c>
      <c r="R360" s="16" t="s">
        <v>1204</v>
      </c>
      <c r="S360" s="17" t="s">
        <v>428</v>
      </c>
      <c r="T360" s="16" t="s">
        <v>84</v>
      </c>
      <c r="U360" s="16"/>
      <c r="V360" s="16" t="s">
        <v>1206</v>
      </c>
      <c r="W360" s="16" t="s">
        <v>1206</v>
      </c>
      <c r="X360" s="303" t="s">
        <v>103</v>
      </c>
      <c r="Y360" s="7"/>
      <c r="Z360" s="16" t="s">
        <v>86</v>
      </c>
      <c r="AA360" s="16">
        <v>40</v>
      </c>
      <c r="AB360" s="16" t="s">
        <v>1207</v>
      </c>
      <c r="AC360" s="183"/>
      <c r="AD360" s="16"/>
      <c r="AE360" s="183"/>
      <c r="AF360" s="16"/>
      <c r="AG360" s="16"/>
      <c r="AH360" s="16" t="s">
        <v>94</v>
      </c>
      <c r="AI360" s="16"/>
      <c r="AJ360" s="16"/>
      <c r="AK360" s="16"/>
      <c r="AL360" s="16" t="s">
        <v>428</v>
      </c>
      <c r="AM360" s="90">
        <v>5682.3</v>
      </c>
      <c r="AN360" s="184">
        <v>1</v>
      </c>
      <c r="AO360" s="15">
        <v>4408.29</v>
      </c>
      <c r="AQ360" s="16"/>
      <c r="AR360" s="16"/>
      <c r="AS360" s="16"/>
      <c r="AT360" s="16"/>
      <c r="AU360" s="16"/>
      <c r="AV360" s="16"/>
      <c r="AW360" s="7"/>
      <c r="AX360" s="16"/>
      <c r="AY360" s="16"/>
      <c r="AZ360" s="16" t="s">
        <v>374</v>
      </c>
      <c r="BA360" s="16"/>
    </row>
    <row r="361" spans="1:53" ht="15.75" customHeight="1">
      <c r="A361" s="273">
        <v>157</v>
      </c>
      <c r="B361" s="273" t="str">
        <f t="shared" si="25"/>
        <v>NEAKTIVAN</v>
      </c>
      <c r="C361" s="302">
        <f t="shared" si="23"/>
        <v>359</v>
      </c>
      <c r="D361" s="258">
        <v>22</v>
      </c>
      <c r="E361" s="1" t="str">
        <f>VLOOKUP(D361,Table3[[#All],[RB]:[OIB]],2,0)</f>
        <v>International Line d.o.o.</v>
      </c>
      <c r="F361" s="4">
        <f>VLOOKUP(D361,Table3[],3,0)</f>
        <v>16157428650</v>
      </c>
      <c r="G361" s="1" t="str">
        <f>VLOOKUP(D361,Table3[],4,0)</f>
        <v>Zoltan Kiri</v>
      </c>
      <c r="H361" s="1" t="str">
        <f>VLOOKUP(D361,POSLODAVCI!$A$2:$J$107,9,0)</f>
        <v>Osijek</v>
      </c>
      <c r="I361" s="1" t="str">
        <f>VLOOKUP(D361,Table3[],10,0)</f>
        <v>Ivana Gundulića 28</v>
      </c>
      <c r="J361" s="258" t="s">
        <v>1379</v>
      </c>
      <c r="K361" s="272">
        <v>44109</v>
      </c>
      <c r="L361" s="272">
        <v>44127</v>
      </c>
      <c r="M361" s="182">
        <v>87058584186</v>
      </c>
      <c r="N361" t="s">
        <v>80</v>
      </c>
      <c r="O361" s="7">
        <v>36101</v>
      </c>
      <c r="P361" t="s">
        <v>94</v>
      </c>
      <c r="Q361" t="s">
        <v>82</v>
      </c>
      <c r="R361" t="s">
        <v>1380</v>
      </c>
      <c r="S361" s="5" t="s">
        <v>428</v>
      </c>
      <c r="T361" t="s">
        <v>84</v>
      </c>
      <c r="V361" t="s">
        <v>143</v>
      </c>
      <c r="W361" t="s">
        <v>143</v>
      </c>
      <c r="X361" s="304" t="s">
        <v>85</v>
      </c>
      <c r="Y361" s="7"/>
      <c r="Z361" t="s">
        <v>86</v>
      </c>
      <c r="AA361">
        <v>40</v>
      </c>
      <c r="AB361" t="s">
        <v>1381</v>
      </c>
      <c r="AC361" s="183"/>
      <c r="AE361" s="183"/>
      <c r="AH361" t="s">
        <v>94</v>
      </c>
      <c r="AL361" t="s">
        <v>428</v>
      </c>
      <c r="AM361" s="261">
        <v>4062.51</v>
      </c>
      <c r="AN361" s="184">
        <v>1</v>
      </c>
      <c r="AO361" s="15">
        <v>3250</v>
      </c>
      <c r="AW361" s="7"/>
      <c r="AZ361" t="s">
        <v>255</v>
      </c>
      <c r="BA361">
        <v>155</v>
      </c>
    </row>
    <row r="362" spans="1:53" ht="15.75" customHeight="1">
      <c r="A362" s="273">
        <v>158</v>
      </c>
      <c r="B362" s="273" t="str">
        <f t="shared" si="25"/>
        <v>NEAKTIVAN</v>
      </c>
      <c r="C362" s="302">
        <f t="shared" si="23"/>
        <v>360</v>
      </c>
      <c r="D362" s="258">
        <v>22</v>
      </c>
      <c r="E362" s="1" t="str">
        <f>VLOOKUP(D362,Table3[[#All],[RB]:[OIB]],2,0)</f>
        <v>International Line d.o.o.</v>
      </c>
      <c r="F362" s="4">
        <f>VLOOKUP(D362,Table3[],3,0)</f>
        <v>16157428650</v>
      </c>
      <c r="G362" s="1" t="str">
        <f>VLOOKUP(D362,Table3[],4,0)</f>
        <v>Zoltan Kiri</v>
      </c>
      <c r="H362" s="1" t="str">
        <f>VLOOKUP(D362,POSLODAVCI!$A$2:$J$107,9,0)</f>
        <v>Osijek</v>
      </c>
      <c r="I362" s="1" t="str">
        <f>VLOOKUP(D362,Table3[],10,0)</f>
        <v>Ivana Gundulića 28</v>
      </c>
      <c r="J362" s="258" t="s">
        <v>1382</v>
      </c>
      <c r="K362" s="272">
        <v>44110</v>
      </c>
      <c r="L362" s="272">
        <v>44165</v>
      </c>
      <c r="M362" s="182">
        <v>38592709269</v>
      </c>
      <c r="N362" t="s">
        <v>80</v>
      </c>
      <c r="O362" s="7">
        <v>30556</v>
      </c>
      <c r="P362" t="s">
        <v>94</v>
      </c>
      <c r="Q362" t="s">
        <v>82</v>
      </c>
      <c r="R362" t="s">
        <v>1383</v>
      </c>
      <c r="S362" s="5" t="s">
        <v>428</v>
      </c>
      <c r="T362" t="s">
        <v>84</v>
      </c>
      <c r="V362" t="s">
        <v>143</v>
      </c>
      <c r="W362" t="s">
        <v>143</v>
      </c>
      <c r="X362" s="304" t="s">
        <v>85</v>
      </c>
      <c r="Y362" s="7"/>
      <c r="Z362" t="s">
        <v>86</v>
      </c>
      <c r="AA362">
        <v>40</v>
      </c>
      <c r="AB362" t="s">
        <v>1384</v>
      </c>
      <c r="AC362" s="183"/>
      <c r="AE362" s="183"/>
      <c r="AH362" t="s">
        <v>1265</v>
      </c>
      <c r="AL362" t="s">
        <v>428</v>
      </c>
      <c r="AM362" s="261">
        <v>4062.51</v>
      </c>
      <c r="AN362" s="184">
        <v>1</v>
      </c>
      <c r="AO362" s="15">
        <v>3250</v>
      </c>
      <c r="AW362" s="7"/>
      <c r="AZ362" t="s">
        <v>255</v>
      </c>
      <c r="BA362">
        <v>197</v>
      </c>
    </row>
    <row r="363" spans="1:53" ht="15.75" customHeight="1">
      <c r="A363" s="273">
        <v>159</v>
      </c>
      <c r="B363" s="273" t="str">
        <f t="shared" si="25"/>
        <v>NEAKTIVAN</v>
      </c>
      <c r="C363" s="302">
        <f t="shared" si="23"/>
        <v>361</v>
      </c>
      <c r="D363" s="258">
        <v>22</v>
      </c>
      <c r="E363" s="1" t="str">
        <f>VLOOKUP(D363,Table3[[#All],[RB]:[OIB]],2,0)</f>
        <v>International Line d.o.o.</v>
      </c>
      <c r="F363" s="4">
        <f>VLOOKUP(D363,Table3[],3,0)</f>
        <v>16157428650</v>
      </c>
      <c r="G363" s="1" t="str">
        <f>VLOOKUP(D363,Table3[],4,0)</f>
        <v>Zoltan Kiri</v>
      </c>
      <c r="H363" s="1" t="str">
        <f>VLOOKUP(D363,POSLODAVCI!$A$2:$J$107,9,0)</f>
        <v>Osijek</v>
      </c>
      <c r="I363" s="1" t="str">
        <f>VLOOKUP(D363,Table3[],10,0)</f>
        <v>Ivana Gundulića 28</v>
      </c>
      <c r="J363" s="258" t="s">
        <v>1385</v>
      </c>
      <c r="K363" s="272">
        <v>44110</v>
      </c>
      <c r="L363" s="272">
        <v>44165</v>
      </c>
      <c r="M363" s="182">
        <v>20919860131</v>
      </c>
      <c r="N363" t="s">
        <v>80</v>
      </c>
      <c r="O363" s="7">
        <v>35279</v>
      </c>
      <c r="P363" t="s">
        <v>94</v>
      </c>
      <c r="Q363" t="s">
        <v>82</v>
      </c>
      <c r="R363" t="s">
        <v>1386</v>
      </c>
      <c r="S363" s="5" t="s">
        <v>428</v>
      </c>
      <c r="T363" t="s">
        <v>84</v>
      </c>
      <c r="V363" t="s">
        <v>143</v>
      </c>
      <c r="W363" t="s">
        <v>143</v>
      </c>
      <c r="X363" s="304" t="s">
        <v>85</v>
      </c>
      <c r="Y363" s="7"/>
      <c r="Z363" t="s">
        <v>86</v>
      </c>
      <c r="AA363">
        <v>40</v>
      </c>
      <c r="AB363" t="s">
        <v>1387</v>
      </c>
      <c r="AC363" s="183"/>
      <c r="AE363" s="183"/>
      <c r="AH363" t="s">
        <v>1265</v>
      </c>
      <c r="AL363" t="s">
        <v>428</v>
      </c>
      <c r="AM363" s="261">
        <v>4062.51</v>
      </c>
      <c r="AN363" s="184">
        <v>1</v>
      </c>
      <c r="AO363" s="15">
        <v>3250</v>
      </c>
      <c r="AW363" s="7"/>
      <c r="AZ363" t="s">
        <v>255</v>
      </c>
      <c r="BA363">
        <v>198</v>
      </c>
    </row>
    <row r="364" spans="1:53" ht="15.75" customHeight="1">
      <c r="A364" s="273">
        <v>160</v>
      </c>
      <c r="B364" s="273" t="str">
        <f t="shared" si="25"/>
        <v>NEAKTIVAN</v>
      </c>
      <c r="C364" s="302">
        <f t="shared" si="23"/>
        <v>362</v>
      </c>
      <c r="D364" s="258">
        <v>22</v>
      </c>
      <c r="E364" s="1" t="str">
        <f>VLOOKUP(D364,Table3[[#All],[RB]:[OIB]],2,0)</f>
        <v>International Line d.o.o.</v>
      </c>
      <c r="F364" s="4">
        <f>VLOOKUP(D364,Table3[],3,0)</f>
        <v>16157428650</v>
      </c>
      <c r="G364" s="1" t="str">
        <f>VLOOKUP(D364,Table3[],4,0)</f>
        <v>Zoltan Kiri</v>
      </c>
      <c r="H364" s="1" t="str">
        <f>VLOOKUP(D364,POSLODAVCI!$A$2:$J$107,9,0)</f>
        <v>Osijek</v>
      </c>
      <c r="I364" s="1" t="str">
        <f>VLOOKUP(D364,Table3[],10,0)</f>
        <v>Ivana Gundulića 28</v>
      </c>
      <c r="J364" s="258" t="s">
        <v>1391</v>
      </c>
      <c r="K364" s="272">
        <v>44113</v>
      </c>
      <c r="L364" s="272">
        <v>44183</v>
      </c>
      <c r="M364" s="182">
        <v>10509169768</v>
      </c>
      <c r="N364" t="s">
        <v>80</v>
      </c>
      <c r="O364" s="7">
        <v>32826</v>
      </c>
      <c r="P364" t="s">
        <v>1392</v>
      </c>
      <c r="Q364" t="s">
        <v>1326</v>
      </c>
      <c r="R364" t="s">
        <v>1393</v>
      </c>
      <c r="S364" s="5" t="s">
        <v>87</v>
      </c>
      <c r="T364" t="s">
        <v>84</v>
      </c>
      <c r="V364" t="s">
        <v>393</v>
      </c>
      <c r="W364" t="s">
        <v>393</v>
      </c>
      <c r="X364" s="304" t="s">
        <v>85</v>
      </c>
      <c r="Y364" s="7"/>
      <c r="Z364" t="s">
        <v>86</v>
      </c>
      <c r="AA364">
        <v>40</v>
      </c>
      <c r="AB364" t="s">
        <v>1408</v>
      </c>
      <c r="AC364" s="183"/>
      <c r="AE364" s="183"/>
      <c r="AH364" t="s">
        <v>94</v>
      </c>
      <c r="AL364" t="s">
        <v>428</v>
      </c>
      <c r="AM364" s="261">
        <v>4375</v>
      </c>
      <c r="AN364" s="184">
        <v>1</v>
      </c>
      <c r="AO364" s="15">
        <v>3500</v>
      </c>
      <c r="AW364" s="7"/>
      <c r="AZ364" t="s">
        <v>374</v>
      </c>
      <c r="BA364">
        <v>191</v>
      </c>
    </row>
    <row r="365" spans="1:53" ht="15.75" customHeight="1">
      <c r="A365" s="273">
        <v>161</v>
      </c>
      <c r="B365" s="273" t="str">
        <f t="shared" si="25"/>
        <v>NEAKTIVAN</v>
      </c>
      <c r="C365" s="302">
        <f t="shared" si="23"/>
        <v>363</v>
      </c>
      <c r="D365" s="258">
        <v>22</v>
      </c>
      <c r="E365" s="1" t="str">
        <f>VLOOKUP(D365,Table3[[#All],[RB]:[OIB]],2,0)</f>
        <v>International Line d.o.o.</v>
      </c>
      <c r="F365" s="4">
        <f>VLOOKUP(D365,Table3[],3,0)</f>
        <v>16157428650</v>
      </c>
      <c r="G365" s="1" t="str">
        <f>VLOOKUP(D365,Table3[],4,0)</f>
        <v>Zoltan Kiri</v>
      </c>
      <c r="H365" s="1" t="str">
        <f>VLOOKUP(D365,POSLODAVCI!$A$2:$J$107,9,0)</f>
        <v>Osijek</v>
      </c>
      <c r="I365" s="1" t="str">
        <f>VLOOKUP(D365,Table3[],10,0)</f>
        <v>Ivana Gundulića 28</v>
      </c>
      <c r="J365" s="258" t="s">
        <v>1396</v>
      </c>
      <c r="K365" s="272">
        <v>44113</v>
      </c>
      <c r="L365" s="272">
        <v>44173</v>
      </c>
      <c r="M365" s="182">
        <v>14887279696</v>
      </c>
      <c r="N365" t="s">
        <v>89</v>
      </c>
      <c r="O365" s="7">
        <v>32359</v>
      </c>
      <c r="P365" t="s">
        <v>1397</v>
      </c>
      <c r="Q365" t="s">
        <v>1326</v>
      </c>
      <c r="R365" t="s">
        <v>1393</v>
      </c>
      <c r="S365" s="5" t="s">
        <v>87</v>
      </c>
      <c r="T365" t="s">
        <v>84</v>
      </c>
      <c r="V365" t="s">
        <v>393</v>
      </c>
      <c r="W365" t="s">
        <v>393</v>
      </c>
      <c r="X365" s="304" t="s">
        <v>85</v>
      </c>
      <c r="Y365" s="7"/>
      <c r="Z365" t="s">
        <v>86</v>
      </c>
      <c r="AA365">
        <v>40</v>
      </c>
      <c r="AB365" t="s">
        <v>1410</v>
      </c>
      <c r="AC365" s="183"/>
      <c r="AE365" s="183"/>
      <c r="AH365" t="s">
        <v>94</v>
      </c>
      <c r="AL365" t="s">
        <v>83</v>
      </c>
      <c r="AM365" s="261">
        <v>4375</v>
      </c>
      <c r="AN365" s="184">
        <v>1</v>
      </c>
      <c r="AO365" s="15">
        <v>3500</v>
      </c>
      <c r="AW365" s="7"/>
      <c r="AZ365" t="s">
        <v>374</v>
      </c>
      <c r="BA365">
        <v>193</v>
      </c>
    </row>
    <row r="366" spans="1:53" ht="15.75" customHeight="1">
      <c r="A366" s="273">
        <v>7</v>
      </c>
      <c r="B366" s="273" t="str">
        <f t="shared" si="25"/>
        <v>AKTIVAN</v>
      </c>
      <c r="C366" s="302">
        <f t="shared" si="23"/>
        <v>364</v>
      </c>
      <c r="D366" s="258">
        <v>32</v>
      </c>
      <c r="E366" s="1" t="str">
        <f>VLOOKUP(D366,Table3[[#All],[RB]:[OIB]],2,0)</f>
        <v>Špajz j.d.o.o.</v>
      </c>
      <c r="F366" s="4">
        <f>VLOOKUP(D366,Table3[],3,0)</f>
        <v>15795338441</v>
      </c>
      <c r="G366" s="1" t="str">
        <f>VLOOKUP(D366,Table3[],4,0)</f>
        <v>Martina Završki</v>
      </c>
      <c r="H366" s="1" t="str">
        <f>VLOOKUP(D366,POSLODAVCI!$A$2:$J$107,9,0)</f>
        <v>Darda</v>
      </c>
      <c r="I366" s="1" t="str">
        <f>VLOOKUP(D366,Table3[],10,0)</f>
        <v>Ilirska ulica 53, Darda</v>
      </c>
      <c r="J366" s="258" t="s">
        <v>1255</v>
      </c>
      <c r="K366" s="272">
        <v>44120</v>
      </c>
      <c r="L366" s="272"/>
      <c r="M366" s="182">
        <v>15740614143</v>
      </c>
      <c r="N366" t="s">
        <v>80</v>
      </c>
      <c r="O366" s="7">
        <v>36962</v>
      </c>
      <c r="P366" t="s">
        <v>94</v>
      </c>
      <c r="Q366" t="s">
        <v>82</v>
      </c>
      <c r="R366" t="s">
        <v>1256</v>
      </c>
      <c r="S366" s="5" t="s">
        <v>83</v>
      </c>
      <c r="T366" t="s">
        <v>84</v>
      </c>
      <c r="V366" t="s">
        <v>210</v>
      </c>
      <c r="W366" t="s">
        <v>210</v>
      </c>
      <c r="X366" s="304" t="s">
        <v>103</v>
      </c>
      <c r="Y366" s="7">
        <v>44135</v>
      </c>
      <c r="Z366" t="s">
        <v>86</v>
      </c>
      <c r="AA366">
        <v>40</v>
      </c>
      <c r="AB366" t="s">
        <v>1257</v>
      </c>
      <c r="AC366" s="183"/>
      <c r="AE366" s="183"/>
      <c r="AH366" t="s">
        <v>94</v>
      </c>
      <c r="AL366" t="s">
        <v>83</v>
      </c>
      <c r="AM366" s="261">
        <v>4062.51</v>
      </c>
      <c r="AN366" s="184">
        <v>1</v>
      </c>
      <c r="AO366" s="15">
        <v>3250</v>
      </c>
      <c r="AW366" s="7"/>
      <c r="AZ366" t="s">
        <v>374</v>
      </c>
    </row>
    <row r="367" spans="1:53" ht="15.75" customHeight="1">
      <c r="A367" s="273">
        <v>162</v>
      </c>
      <c r="B367" s="273" t="str">
        <f t="shared" si="25"/>
        <v>NEAKTIVAN</v>
      </c>
      <c r="C367" s="302">
        <f t="shared" si="23"/>
        <v>365</v>
      </c>
      <c r="D367" s="258">
        <v>22</v>
      </c>
      <c r="E367" s="1" t="str">
        <f>VLOOKUP(D367,Table3[[#All],[RB]:[OIB]],2,0)</f>
        <v>International Line d.o.o.</v>
      </c>
      <c r="F367" s="4">
        <f>VLOOKUP(D367,Table3[],3,0)</f>
        <v>16157428650</v>
      </c>
      <c r="G367" s="1" t="str">
        <f>VLOOKUP(D367,Table3[],4,0)</f>
        <v>Zoltan Kiri</v>
      </c>
      <c r="H367" s="1" t="str">
        <f>VLOOKUP(D367,POSLODAVCI!$A$2:$J$107,9,0)</f>
        <v>Osijek</v>
      </c>
      <c r="I367" s="1" t="str">
        <f>VLOOKUP(D367,Table3[],10,0)</f>
        <v>Ivana Gundulića 28</v>
      </c>
      <c r="J367" s="258" t="s">
        <v>1399</v>
      </c>
      <c r="K367" s="272">
        <v>44116</v>
      </c>
      <c r="L367" s="272">
        <v>44135</v>
      </c>
      <c r="M367" s="182">
        <v>20112988151</v>
      </c>
      <c r="N367" t="s">
        <v>80</v>
      </c>
      <c r="O367" s="7">
        <v>29478</v>
      </c>
      <c r="P367" t="s">
        <v>226</v>
      </c>
      <c r="Q367" t="s">
        <v>82</v>
      </c>
      <c r="R367" t="s">
        <v>1401</v>
      </c>
      <c r="S367" s="5" t="s">
        <v>83</v>
      </c>
      <c r="T367" t="s">
        <v>84</v>
      </c>
      <c r="V367" t="s">
        <v>143</v>
      </c>
      <c r="W367" t="s">
        <v>143</v>
      </c>
      <c r="X367" s="304" t="s">
        <v>85</v>
      </c>
      <c r="Y367" s="7"/>
      <c r="Z367" t="s">
        <v>86</v>
      </c>
      <c r="AA367">
        <v>40</v>
      </c>
      <c r="AB367" t="s">
        <v>1402</v>
      </c>
      <c r="AC367" s="183"/>
      <c r="AE367" s="183"/>
      <c r="AH367" t="s">
        <v>94</v>
      </c>
      <c r="AL367" t="s">
        <v>83</v>
      </c>
      <c r="AM367" s="261">
        <v>4062.51</v>
      </c>
      <c r="AN367" s="184">
        <v>1</v>
      </c>
      <c r="AO367" s="15">
        <v>3250</v>
      </c>
      <c r="AW367" s="7"/>
      <c r="AZ367" t="s">
        <v>255</v>
      </c>
      <c r="BA367">
        <v>195</v>
      </c>
    </row>
    <row r="368" spans="1:53" ht="15.75" customHeight="1">
      <c r="A368" s="273">
        <v>10</v>
      </c>
      <c r="B368" s="273" t="str">
        <f t="shared" si="25"/>
        <v>NEAKTIVAN</v>
      </c>
      <c r="C368" s="302">
        <f t="shared" si="23"/>
        <v>366</v>
      </c>
      <c r="D368" s="258">
        <v>26</v>
      </c>
      <c r="E368" s="1" t="str">
        <f>VLOOKUP(D368,Table3[[#All],[RB]:[OIB]],2,0)</f>
        <v>D-INVOICE D.O.O.</v>
      </c>
      <c r="F368" s="4">
        <f>VLOOKUP(D368,Table3[],3,0)</f>
        <v>95114485977</v>
      </c>
      <c r="G368" s="1" t="str">
        <f>VLOOKUP(D368,Table3[],4,0)</f>
        <v>LAURA GERGELJ</v>
      </c>
      <c r="H368" s="1" t="str">
        <f>VLOOKUP(D368,POSLODAVCI!$A$2:$J$107,9,0)</f>
        <v>Osijek</v>
      </c>
      <c r="I368" s="1" t="str">
        <f>VLOOKUP(D368,Table3[],10,0)</f>
        <v>SV.IVANA KRSTITELJA 15, DARDA</v>
      </c>
      <c r="J368" s="194" t="s">
        <v>1191</v>
      </c>
      <c r="K368" s="195">
        <v>44125</v>
      </c>
      <c r="L368" s="195">
        <v>45031</v>
      </c>
      <c r="M368" s="235">
        <v>10547537081</v>
      </c>
      <c r="N368" s="16" t="s">
        <v>89</v>
      </c>
      <c r="O368" s="7">
        <v>36790</v>
      </c>
      <c r="P368" s="16" t="s">
        <v>94</v>
      </c>
      <c r="Q368" s="16" t="s">
        <v>82</v>
      </c>
      <c r="R368" s="16" t="s">
        <v>1192</v>
      </c>
      <c r="S368" s="17" t="s">
        <v>83</v>
      </c>
      <c r="T368" s="16" t="s">
        <v>84</v>
      </c>
      <c r="V368" s="16" t="s">
        <v>772</v>
      </c>
      <c r="W368" s="16" t="s">
        <v>777</v>
      </c>
      <c r="X368" s="303" t="s">
        <v>103</v>
      </c>
      <c r="Y368" s="7"/>
      <c r="Z368" s="16" t="s">
        <v>1817</v>
      </c>
      <c r="AA368">
        <v>40</v>
      </c>
      <c r="AB368" s="16" t="s">
        <v>1193</v>
      </c>
      <c r="AC368" s="183"/>
      <c r="AE368" s="183"/>
      <c r="AH368" s="16" t="s">
        <v>94</v>
      </c>
      <c r="AL368" s="16" t="s">
        <v>428</v>
      </c>
      <c r="AM368" s="196">
        <v>6300</v>
      </c>
      <c r="AN368" s="184">
        <v>1</v>
      </c>
      <c r="AO368" s="15">
        <v>4804.96</v>
      </c>
      <c r="AW368" s="7"/>
      <c r="AZ368" t="s">
        <v>374</v>
      </c>
      <c r="BA368">
        <f>A368</f>
        <v>10</v>
      </c>
    </row>
    <row r="369" spans="1:53" ht="15.75" customHeight="1">
      <c r="A369" s="273">
        <v>163</v>
      </c>
      <c r="B369" s="273" t="str">
        <f t="shared" si="25"/>
        <v>NEAKTIVAN</v>
      </c>
      <c r="C369" s="302">
        <f t="shared" si="23"/>
        <v>367</v>
      </c>
      <c r="D369" s="258">
        <v>22</v>
      </c>
      <c r="E369" s="1" t="str">
        <f>VLOOKUP(D369,Table3[[#All],[RB]:[OIB]],2,0)</f>
        <v>International Line d.o.o.</v>
      </c>
      <c r="F369" s="4">
        <f>VLOOKUP(D369,Table3[],3,0)</f>
        <v>16157428650</v>
      </c>
      <c r="G369" s="1" t="str">
        <f>VLOOKUP(D369,Table3[],4,0)</f>
        <v>Zoltan Kiri</v>
      </c>
      <c r="H369" s="1" t="str">
        <f>VLOOKUP(D369,POSLODAVCI!$A$2:$J$107,9,0)</f>
        <v>Osijek</v>
      </c>
      <c r="I369" s="1" t="str">
        <f>VLOOKUP(D369,Table3[],10,0)</f>
        <v>Ivana Gundulića 28</v>
      </c>
      <c r="J369" s="258" t="s">
        <v>1403</v>
      </c>
      <c r="K369" s="301" t="s">
        <v>1404</v>
      </c>
      <c r="L369" s="272">
        <v>44165</v>
      </c>
      <c r="M369" s="182">
        <v>72967372303</v>
      </c>
      <c r="N369" t="s">
        <v>80</v>
      </c>
      <c r="O369" s="7" t="s">
        <v>1405</v>
      </c>
      <c r="P369" t="s">
        <v>81</v>
      </c>
      <c r="Q369" t="s">
        <v>82</v>
      </c>
      <c r="R369" t="s">
        <v>1406</v>
      </c>
      <c r="S369" s="5" t="s">
        <v>428</v>
      </c>
      <c r="T369" t="s">
        <v>84</v>
      </c>
      <c r="V369" t="s">
        <v>143</v>
      </c>
      <c r="W369" t="s">
        <v>143</v>
      </c>
      <c r="X369" s="304" t="s">
        <v>85</v>
      </c>
      <c r="Y369" s="7"/>
      <c r="Z369" s="16" t="s">
        <v>1817</v>
      </c>
      <c r="AA369">
        <v>40</v>
      </c>
      <c r="AB369" t="s">
        <v>1407</v>
      </c>
      <c r="AC369" s="183"/>
      <c r="AE369" s="183"/>
      <c r="AH369" t="s">
        <v>1265</v>
      </c>
      <c r="AL369" t="s">
        <v>428</v>
      </c>
      <c r="AM369" s="261">
        <v>4062.51</v>
      </c>
      <c r="AN369" s="184">
        <v>1</v>
      </c>
      <c r="AO369" s="15">
        <v>3250</v>
      </c>
      <c r="AW369" s="7"/>
      <c r="AZ369" t="s">
        <v>255</v>
      </c>
      <c r="BA369">
        <v>196</v>
      </c>
    </row>
    <row r="370" spans="1:53" ht="15.75" customHeight="1">
      <c r="A370" s="273">
        <v>2</v>
      </c>
      <c r="B370" s="273" t="str">
        <f t="shared" si="25"/>
        <v>AKTIVAN</v>
      </c>
      <c r="C370" s="302">
        <f t="shared" si="23"/>
        <v>368</v>
      </c>
      <c r="D370" s="258">
        <v>24</v>
      </c>
      <c r="E370" s="1" t="str">
        <f>VLOOKUP(D370,Table3[[#All],[RB]:[OIB]],2,0)</f>
        <v>JS MENSOR</v>
      </c>
      <c r="F370" s="4">
        <f>VLOOKUP(D370,Table3[],3,0)</f>
        <v>19941838505</v>
      </c>
      <c r="G370" s="1" t="str">
        <f>VLOOKUP(D370,Table3[],4,0)</f>
        <v>GABOR ISTVAN JENEI</v>
      </c>
      <c r="H370" s="1" t="str">
        <f>VLOOKUP(D370,POSLODAVCI!$A$2:$J$107,9,0)</f>
        <v>Osijek</v>
      </c>
      <c r="I370" s="1" t="str">
        <f>VLOOKUP(D370,Table3[],10,0)</f>
        <v>Šetalište Petra Preradovića 5, 31000 Osijek</v>
      </c>
      <c r="J370" s="258" t="s">
        <v>1432</v>
      </c>
      <c r="K370" s="272">
        <v>44136</v>
      </c>
      <c r="L370" s="272"/>
      <c r="M370" s="182">
        <v>65686172815</v>
      </c>
      <c r="N370" t="s">
        <v>89</v>
      </c>
      <c r="O370" s="7">
        <v>31983</v>
      </c>
      <c r="P370" s="16" t="s">
        <v>522</v>
      </c>
      <c r="Q370" t="s">
        <v>376</v>
      </c>
      <c r="R370" t="s">
        <v>1433</v>
      </c>
      <c r="T370" t="s">
        <v>111</v>
      </c>
      <c r="W370" t="s">
        <v>524</v>
      </c>
      <c r="X370" s="304" t="s">
        <v>103</v>
      </c>
      <c r="Y370" s="7"/>
      <c r="Z370" s="16" t="s">
        <v>1817</v>
      </c>
      <c r="AA370">
        <v>40</v>
      </c>
      <c r="AB370" t="s">
        <v>425</v>
      </c>
      <c r="AC370" s="183"/>
      <c r="AE370" s="183"/>
      <c r="AH370" t="s">
        <v>94</v>
      </c>
      <c r="AL370" t="s">
        <v>83</v>
      </c>
      <c r="AM370" s="261">
        <v>5491.2</v>
      </c>
      <c r="AN370" s="184">
        <v>1</v>
      </c>
      <c r="AW370" s="7"/>
      <c r="AZ370" t="s">
        <v>374</v>
      </c>
      <c r="BA370">
        <v>2</v>
      </c>
    </row>
    <row r="371" spans="1:53" ht="15.75" customHeight="1">
      <c r="A371" s="273">
        <v>164</v>
      </c>
      <c r="B371" s="273" t="str">
        <f t="shared" si="25"/>
        <v>NEAKTIVAN</v>
      </c>
      <c r="C371" s="302">
        <f t="shared" si="23"/>
        <v>369</v>
      </c>
      <c r="D371" s="258">
        <v>22</v>
      </c>
      <c r="E371" s="1" t="str">
        <f>VLOOKUP(D371,Table3[[#All],[RB]:[OIB]],2,0)</f>
        <v>International Line d.o.o.</v>
      </c>
      <c r="F371" s="4">
        <f>VLOOKUP(D371,Table3[],3,0)</f>
        <v>16157428650</v>
      </c>
      <c r="G371" s="1" t="str">
        <f>VLOOKUP(D371,Table3[],4,0)</f>
        <v>Zoltan Kiri</v>
      </c>
      <c r="H371" s="1" t="str">
        <f>VLOOKUP(D371,POSLODAVCI!$A$2:$J$107,9,0)</f>
        <v>Osijek</v>
      </c>
      <c r="I371" s="1" t="str">
        <f>VLOOKUP(D371,Table3[],10,0)</f>
        <v>Ivana Gundulića 28</v>
      </c>
      <c r="J371" s="258" t="s">
        <v>1418</v>
      </c>
      <c r="K371" s="272">
        <v>44136</v>
      </c>
      <c r="L371" s="272">
        <v>44178</v>
      </c>
      <c r="M371" s="182">
        <v>16238851829</v>
      </c>
      <c r="N371" t="s">
        <v>89</v>
      </c>
      <c r="O371" s="7">
        <v>24125</v>
      </c>
      <c r="P371" t="s">
        <v>81</v>
      </c>
      <c r="Q371" t="s">
        <v>82</v>
      </c>
      <c r="R371" t="s">
        <v>1419</v>
      </c>
      <c r="S371" s="5" t="s">
        <v>83</v>
      </c>
      <c r="T371" t="s">
        <v>84</v>
      </c>
      <c r="V371" t="s">
        <v>1420</v>
      </c>
      <c r="W371" t="s">
        <v>1420</v>
      </c>
      <c r="X371" s="304" t="s">
        <v>103</v>
      </c>
      <c r="Y371" s="7"/>
      <c r="Z371" t="s">
        <v>3042</v>
      </c>
      <c r="AA371">
        <v>2</v>
      </c>
      <c r="AB371" t="s">
        <v>1421</v>
      </c>
      <c r="AC371" s="183"/>
      <c r="AE371" s="183"/>
      <c r="AH371" t="s">
        <v>94</v>
      </c>
      <c r="AL371" t="s">
        <v>83</v>
      </c>
      <c r="AM371" s="261">
        <v>514.54</v>
      </c>
      <c r="AN371" s="184">
        <v>1</v>
      </c>
      <c r="AO371" s="15">
        <v>300</v>
      </c>
      <c r="AW371" s="7"/>
      <c r="AZ371" t="s">
        <v>374</v>
      </c>
      <c r="BA371">
        <v>197</v>
      </c>
    </row>
    <row r="372" spans="1:53" ht="15.75" customHeight="1">
      <c r="A372" s="273">
        <v>165</v>
      </c>
      <c r="B372" s="273" t="str">
        <f t="shared" si="25"/>
        <v>NEAKTIVAN</v>
      </c>
      <c r="C372" s="302">
        <f t="shared" si="23"/>
        <v>370</v>
      </c>
      <c r="D372" s="258">
        <v>22</v>
      </c>
      <c r="E372" s="1" t="str">
        <f>VLOOKUP(D372,Table3[[#All],[RB]:[OIB]],2,0)</f>
        <v>International Line d.o.o.</v>
      </c>
      <c r="F372" s="4">
        <f>VLOOKUP(D372,Table3[],3,0)</f>
        <v>16157428650</v>
      </c>
      <c r="G372" s="1" t="str">
        <f>VLOOKUP(D372,Table3[],4,0)</f>
        <v>Zoltan Kiri</v>
      </c>
      <c r="H372" s="1" t="str">
        <f>VLOOKUP(D372,POSLODAVCI!$A$2:$J$107,9,0)</f>
        <v>Osijek</v>
      </c>
      <c r="I372" s="1" t="str">
        <f>VLOOKUP(D372,Table3[],10,0)</f>
        <v>Ivana Gundulića 28</v>
      </c>
      <c r="J372" s="258" t="s">
        <v>1434</v>
      </c>
      <c r="K372" s="272">
        <v>44137</v>
      </c>
      <c r="L372" s="272">
        <v>44165</v>
      </c>
      <c r="M372" s="182">
        <v>40826379926</v>
      </c>
      <c r="N372" t="s">
        <v>80</v>
      </c>
      <c r="O372" s="7">
        <v>25188</v>
      </c>
      <c r="P372" t="s">
        <v>81</v>
      </c>
      <c r="Q372" t="s">
        <v>82</v>
      </c>
      <c r="R372" t="s">
        <v>1435</v>
      </c>
      <c r="S372" s="5" t="s">
        <v>83</v>
      </c>
      <c r="T372" t="s">
        <v>84</v>
      </c>
      <c r="V372" t="s">
        <v>143</v>
      </c>
      <c r="W372" t="s">
        <v>143</v>
      </c>
      <c r="X372" s="304" t="s">
        <v>85</v>
      </c>
      <c r="Y372" s="7"/>
      <c r="Z372" s="16" t="s">
        <v>1817</v>
      </c>
      <c r="AA372">
        <v>40</v>
      </c>
      <c r="AB372" t="s">
        <v>1436</v>
      </c>
      <c r="AC372" s="183"/>
      <c r="AE372" s="183"/>
      <c r="AH372" t="s">
        <v>81</v>
      </c>
      <c r="AL372" t="s">
        <v>83</v>
      </c>
      <c r="AM372" s="261">
        <v>4062.51</v>
      </c>
      <c r="AN372" s="184">
        <v>1</v>
      </c>
      <c r="AO372" s="15">
        <v>3250</v>
      </c>
      <c r="AW372" s="7"/>
      <c r="AZ372" t="s">
        <v>255</v>
      </c>
      <c r="BA372">
        <v>198</v>
      </c>
    </row>
    <row r="373" spans="1:53" ht="15.75" customHeight="1">
      <c r="A373" s="273">
        <v>166</v>
      </c>
      <c r="B373" s="273" t="str">
        <f t="shared" si="25"/>
        <v>NEAKTIVAN</v>
      </c>
      <c r="C373" s="302">
        <f t="shared" si="23"/>
        <v>371</v>
      </c>
      <c r="D373" s="258">
        <v>22</v>
      </c>
      <c r="E373" s="1" t="str">
        <f>VLOOKUP(D373,Table3[[#All],[RB]:[OIB]],2,0)</f>
        <v>International Line d.o.o.</v>
      </c>
      <c r="F373" s="4">
        <f>VLOOKUP(D373,Table3[],3,0)</f>
        <v>16157428650</v>
      </c>
      <c r="G373" s="1" t="str">
        <f>VLOOKUP(D373,Table3[],4,0)</f>
        <v>Zoltan Kiri</v>
      </c>
      <c r="H373" s="1" t="str">
        <f>VLOOKUP(D373,POSLODAVCI!$A$2:$J$107,9,0)</f>
        <v>Osijek</v>
      </c>
      <c r="I373" s="1" t="str">
        <f>VLOOKUP(D373,Table3[],10,0)</f>
        <v>Ivana Gundulića 28</v>
      </c>
      <c r="J373" s="258" t="s">
        <v>1437</v>
      </c>
      <c r="K373" s="272">
        <v>44138</v>
      </c>
      <c r="L373" s="272">
        <v>44165</v>
      </c>
      <c r="M373" s="182">
        <v>73342525134</v>
      </c>
      <c r="N373" t="s">
        <v>80</v>
      </c>
      <c r="O373" s="7">
        <v>27057</v>
      </c>
      <c r="P373" t="s">
        <v>81</v>
      </c>
      <c r="Q373" t="s">
        <v>82</v>
      </c>
      <c r="R373" t="s">
        <v>1438</v>
      </c>
      <c r="S373" s="5" t="s">
        <v>83</v>
      </c>
      <c r="T373" t="s">
        <v>84</v>
      </c>
      <c r="V373" t="s">
        <v>143</v>
      </c>
      <c r="W373" t="s">
        <v>143</v>
      </c>
      <c r="X373" s="304" t="s">
        <v>85</v>
      </c>
      <c r="Y373" s="7"/>
      <c r="Z373" s="16" t="s">
        <v>1817</v>
      </c>
      <c r="AA373">
        <v>40</v>
      </c>
      <c r="AB373" t="s">
        <v>1439</v>
      </c>
      <c r="AC373" s="183"/>
      <c r="AE373" s="183"/>
      <c r="AH373" t="s">
        <v>94</v>
      </c>
      <c r="AL373" t="s">
        <v>83</v>
      </c>
      <c r="AM373" s="261">
        <v>4062.51</v>
      </c>
      <c r="AN373" s="184">
        <v>1</v>
      </c>
      <c r="AO373" s="15">
        <v>3250</v>
      </c>
      <c r="AW373" s="7"/>
      <c r="AZ373" t="s">
        <v>255</v>
      </c>
      <c r="BA373">
        <v>199</v>
      </c>
    </row>
    <row r="374" spans="1:53" ht="15.75" customHeight="1">
      <c r="A374" s="273">
        <v>168</v>
      </c>
      <c r="B374" s="273" t="str">
        <f t="shared" si="25"/>
        <v>NEAKTIVAN</v>
      </c>
      <c r="C374" s="302">
        <f t="shared" si="23"/>
        <v>372</v>
      </c>
      <c r="D374" s="258">
        <v>22</v>
      </c>
      <c r="E374" s="1" t="str">
        <f>VLOOKUP(D374,Table3[[#All],[RB]:[OIB]],2,0)</f>
        <v>International Line d.o.o.</v>
      </c>
      <c r="F374" s="4">
        <f>VLOOKUP(D374,Table3[],3,0)</f>
        <v>16157428650</v>
      </c>
      <c r="G374" s="1" t="str">
        <f>VLOOKUP(D374,Table3[],4,0)</f>
        <v>Zoltan Kiri</v>
      </c>
      <c r="H374" s="1" t="str">
        <f>VLOOKUP(D374,POSLODAVCI!$A$2:$J$107,9,0)</f>
        <v>Osijek</v>
      </c>
      <c r="I374" s="1" t="str">
        <f>VLOOKUP(D374,Table3[],10,0)</f>
        <v>Ivana Gundulića 28</v>
      </c>
      <c r="J374" s="258" t="s">
        <v>1440</v>
      </c>
      <c r="K374" s="272">
        <v>44138</v>
      </c>
      <c r="L374" s="272">
        <v>44141</v>
      </c>
      <c r="M374" s="182">
        <v>64018450877</v>
      </c>
      <c r="N374" t="s">
        <v>80</v>
      </c>
      <c r="O374" s="7">
        <v>28140</v>
      </c>
      <c r="P374" t="s">
        <v>94</v>
      </c>
      <c r="Q374" t="s">
        <v>82</v>
      </c>
      <c r="R374" t="s">
        <v>1441</v>
      </c>
      <c r="S374" s="5" t="s">
        <v>83</v>
      </c>
      <c r="T374" t="s">
        <v>111</v>
      </c>
      <c r="V374" t="s">
        <v>143</v>
      </c>
      <c r="W374" t="s">
        <v>143</v>
      </c>
      <c r="X374" s="304" t="s">
        <v>85</v>
      </c>
      <c r="Y374" s="7"/>
      <c r="Z374" s="16" t="s">
        <v>1817</v>
      </c>
      <c r="AA374">
        <v>40</v>
      </c>
      <c r="AB374" t="s">
        <v>1442</v>
      </c>
      <c r="AC374" s="183"/>
      <c r="AE374" s="183"/>
      <c r="AH374" t="s">
        <v>94</v>
      </c>
      <c r="AL374" t="s">
        <v>83</v>
      </c>
      <c r="AM374" s="261">
        <v>4062.51</v>
      </c>
      <c r="AN374" s="184">
        <v>1</v>
      </c>
      <c r="AO374" s="15">
        <v>3250</v>
      </c>
      <c r="AW374" s="7"/>
      <c r="AZ374" t="s">
        <v>255</v>
      </c>
      <c r="BA374">
        <v>200</v>
      </c>
    </row>
    <row r="375" spans="1:53" ht="15.75" customHeight="1">
      <c r="A375" s="273">
        <v>1</v>
      </c>
      <c r="B375" s="273" t="str">
        <f t="shared" si="25"/>
        <v>AKTIVAN</v>
      </c>
      <c r="C375" s="302">
        <f t="shared" si="23"/>
        <v>373</v>
      </c>
      <c r="D375" s="1">
        <v>35</v>
      </c>
      <c r="E375" s="1" t="str">
        <f>VLOOKUP(D375,Table3[[#All],[RB]:[OIB]],2,0)</f>
        <v>LEONOS j.d.o.o.</v>
      </c>
      <c r="F375" s="4" t="str">
        <f>VLOOKUP(D375,Table3[],3,0)</f>
        <v>06914228422</v>
      </c>
      <c r="G375" s="1" t="str">
        <f>VLOOKUP(D375,Table3[],4,0)</f>
        <v>Valentin Varga</v>
      </c>
      <c r="H375" s="1" t="str">
        <f>VLOOKUP(D375,POSLODAVCI!$A$2:$J$107,9,0)</f>
        <v>Osijek</v>
      </c>
      <c r="I375" s="1" t="str">
        <f>VLOOKUP(D375,Table3[],10,0)</f>
        <v>Ivana Gundulića 28</v>
      </c>
      <c r="J375" s="1" t="s">
        <v>1450</v>
      </c>
      <c r="K375" s="61">
        <v>44075</v>
      </c>
      <c r="L375" s="61"/>
      <c r="M375" s="182">
        <v>22999527740</v>
      </c>
      <c r="N375" s="16" t="s">
        <v>89</v>
      </c>
      <c r="O375" s="7">
        <v>36439</v>
      </c>
      <c r="P375" s="16" t="s">
        <v>81</v>
      </c>
      <c r="Q375" s="16" t="s">
        <v>82</v>
      </c>
      <c r="R375" s="16" t="s">
        <v>1451</v>
      </c>
      <c r="S375" s="17" t="s">
        <v>83</v>
      </c>
      <c r="T375" s="16" t="s">
        <v>84</v>
      </c>
      <c r="U375" s="16"/>
      <c r="V375" s="16" t="s">
        <v>418</v>
      </c>
      <c r="W375" s="16" t="s">
        <v>418</v>
      </c>
      <c r="X375" s="303" t="s">
        <v>103</v>
      </c>
      <c r="Y375" s="7"/>
      <c r="Z375" s="16" t="s">
        <v>1817</v>
      </c>
      <c r="AA375" s="16">
        <v>40</v>
      </c>
      <c r="AB375" s="16" t="s">
        <v>1452</v>
      </c>
      <c r="AC375" s="183"/>
      <c r="AD375" s="16"/>
      <c r="AE375" s="183"/>
      <c r="AF375" s="16"/>
      <c r="AG375" s="16"/>
      <c r="AH375" s="16" t="s">
        <v>94</v>
      </c>
      <c r="AI375" s="16"/>
      <c r="AJ375" s="16"/>
      <c r="AK375" s="16"/>
      <c r="AL375" s="16" t="s">
        <v>83</v>
      </c>
      <c r="AM375" s="90">
        <v>5491.2</v>
      </c>
      <c r="AN375" s="184">
        <v>1</v>
      </c>
      <c r="AO375" s="15">
        <v>4408.29</v>
      </c>
      <c r="AQ375" s="16"/>
      <c r="AR375" s="16"/>
      <c r="AS375" s="16"/>
      <c r="AT375" s="16"/>
      <c r="AU375" s="16"/>
      <c r="AV375" s="16"/>
      <c r="AW375" s="7"/>
      <c r="AX375" s="16"/>
      <c r="AY375" s="16"/>
      <c r="AZ375" s="16" t="s">
        <v>374</v>
      </c>
      <c r="BA375" s="16">
        <v>1</v>
      </c>
    </row>
    <row r="376" spans="1:53" ht="15.75" customHeight="1">
      <c r="A376" s="273">
        <v>168</v>
      </c>
      <c r="B376" s="273" t="str">
        <f t="shared" si="25"/>
        <v>NEAKTIVAN</v>
      </c>
      <c r="C376" s="302">
        <f t="shared" si="23"/>
        <v>374</v>
      </c>
      <c r="D376" s="258">
        <v>22</v>
      </c>
      <c r="E376" s="1" t="str">
        <f>VLOOKUP(D376,Table3[[#All],[RB]:[OIB]],2,0)</f>
        <v>International Line d.o.o.</v>
      </c>
      <c r="F376" s="4">
        <f>VLOOKUP(D376,Table3[],3,0)</f>
        <v>16157428650</v>
      </c>
      <c r="G376" s="1" t="str">
        <f>VLOOKUP(D376,Table3[],4,0)</f>
        <v>Zoltan Kiri</v>
      </c>
      <c r="H376" s="1" t="str">
        <f>VLOOKUP(D376,POSLODAVCI!$A$2:$J$107,9,0)</f>
        <v>Osijek</v>
      </c>
      <c r="I376" s="1" t="str">
        <f>VLOOKUP(D376,Table3[],10,0)</f>
        <v>Ivana Gundulića 28</v>
      </c>
      <c r="J376" s="258" t="s">
        <v>1443</v>
      </c>
      <c r="K376" s="272">
        <v>44139</v>
      </c>
      <c r="L376" s="272">
        <v>44165</v>
      </c>
      <c r="M376" s="182">
        <v>81001608709</v>
      </c>
      <c r="N376" t="s">
        <v>80</v>
      </c>
      <c r="O376" s="7">
        <v>33696</v>
      </c>
      <c r="P376" t="s">
        <v>81</v>
      </c>
      <c r="Q376" t="s">
        <v>82</v>
      </c>
      <c r="R376" t="s">
        <v>1444</v>
      </c>
      <c r="S376" s="5" t="s">
        <v>83</v>
      </c>
      <c r="T376" t="s">
        <v>84</v>
      </c>
      <c r="V376" t="s">
        <v>143</v>
      </c>
      <c r="W376" t="s">
        <v>143</v>
      </c>
      <c r="X376" s="304" t="s">
        <v>85</v>
      </c>
      <c r="Y376" s="7"/>
      <c r="Z376" s="16" t="s">
        <v>1817</v>
      </c>
      <c r="AA376">
        <v>40</v>
      </c>
      <c r="AB376" t="s">
        <v>1445</v>
      </c>
      <c r="AC376" s="183"/>
      <c r="AE376" s="183"/>
      <c r="AH376" t="s">
        <v>1265</v>
      </c>
      <c r="AL376" t="s">
        <v>428</v>
      </c>
      <c r="AM376" s="261">
        <v>4062.51</v>
      </c>
      <c r="AN376" s="184">
        <v>1</v>
      </c>
      <c r="AO376" s="15">
        <v>3250</v>
      </c>
      <c r="AW376" s="7"/>
      <c r="AZ376" t="s">
        <v>255</v>
      </c>
      <c r="BA376">
        <v>201</v>
      </c>
    </row>
    <row r="377" spans="1:53" ht="15.75" customHeight="1">
      <c r="A377" s="273">
        <v>169</v>
      </c>
      <c r="B377" s="273" t="str">
        <f t="shared" si="25"/>
        <v>NEAKTIVAN</v>
      </c>
      <c r="C377" s="302">
        <f t="shared" si="23"/>
        <v>375</v>
      </c>
      <c r="D377" s="258">
        <v>22</v>
      </c>
      <c r="E377" s="1" t="str">
        <f>VLOOKUP(D377,Table3[[#All],[RB]:[OIB]],2,0)</f>
        <v>International Line d.o.o.</v>
      </c>
      <c r="F377" s="4">
        <f>VLOOKUP(D377,Table3[],3,0)</f>
        <v>16157428650</v>
      </c>
      <c r="G377" s="1" t="str">
        <f>VLOOKUP(D377,Table3[],4,0)</f>
        <v>Zoltan Kiri</v>
      </c>
      <c r="H377" s="1" t="str">
        <f>VLOOKUP(D377,POSLODAVCI!$A$2:$J$107,9,0)</f>
        <v>Osijek</v>
      </c>
      <c r="I377" s="1" t="str">
        <f>VLOOKUP(D377,Table3[],10,0)</f>
        <v>Ivana Gundulića 28</v>
      </c>
      <c r="J377" s="258" t="s">
        <v>469</v>
      </c>
      <c r="K377" s="272">
        <v>43466</v>
      </c>
      <c r="L377" s="272">
        <v>44178</v>
      </c>
      <c r="M377" s="89" t="s">
        <v>182</v>
      </c>
      <c r="N377" t="s">
        <v>80</v>
      </c>
      <c r="O377" s="7">
        <v>35722</v>
      </c>
      <c r="P377" t="s">
        <v>94</v>
      </c>
      <c r="Q377" t="s">
        <v>82</v>
      </c>
      <c r="R377" t="s">
        <v>470</v>
      </c>
      <c r="S377" s="5" t="s">
        <v>428</v>
      </c>
      <c r="T377" t="s">
        <v>84</v>
      </c>
      <c r="V377" t="s">
        <v>143</v>
      </c>
      <c r="W377" t="s">
        <v>143</v>
      </c>
      <c r="X377" s="304" t="s">
        <v>103</v>
      </c>
      <c r="Y377" s="7"/>
      <c r="Z377" s="16" t="s">
        <v>1817</v>
      </c>
      <c r="AA377">
        <v>40</v>
      </c>
      <c r="AC377" s="183"/>
      <c r="AE377" s="183"/>
      <c r="AH377" t="s">
        <v>471</v>
      </c>
      <c r="AL377" t="s">
        <v>428</v>
      </c>
      <c r="AM377" s="261">
        <v>4062.51</v>
      </c>
      <c r="AN377" s="184">
        <v>1</v>
      </c>
      <c r="AO377" s="15">
        <v>3250</v>
      </c>
      <c r="AW377" s="7"/>
      <c r="AZ377" t="s">
        <v>374</v>
      </c>
      <c r="BA377">
        <f>A377</f>
        <v>169</v>
      </c>
    </row>
    <row r="378" spans="1:53" ht="15.75" customHeight="1">
      <c r="A378" s="273">
        <v>1</v>
      </c>
      <c r="B378" s="273" t="str">
        <f t="shared" si="25"/>
        <v>AKTIVAN</v>
      </c>
      <c r="C378" s="302">
        <f t="shared" si="23"/>
        <v>376</v>
      </c>
      <c r="D378" s="258">
        <v>36</v>
      </c>
      <c r="E378" s="1" t="str">
        <f>VLOOKUP(D378,Table3[[#All],[RB]:[OIB]],2,0)</f>
        <v>Vital Group d.o.o.</v>
      </c>
      <c r="F378" s="4">
        <f>VLOOKUP(D378,Table3[],3,0)</f>
        <v>45575918003</v>
      </c>
      <c r="G378" s="1" t="str">
        <f>VLOOKUP(D378,Table3[],4,0)</f>
        <v>Balázs Kulcsár</v>
      </c>
      <c r="H378" s="1" t="str">
        <f>VLOOKUP(D378,POSLODAVCI!$A$2:$J$107,9,0)</f>
        <v>Osijek</v>
      </c>
      <c r="I378" s="1" t="str">
        <f>VLOOKUP(D378,Table3[],10,0)</f>
        <v>Ribarska 10</v>
      </c>
      <c r="J378" s="439" t="s">
        <v>1508</v>
      </c>
      <c r="K378" s="438">
        <v>44197</v>
      </c>
      <c r="L378" s="438"/>
      <c r="M378" s="182">
        <v>73717195719</v>
      </c>
      <c r="N378" t="s">
        <v>80</v>
      </c>
      <c r="O378" s="7">
        <v>31282</v>
      </c>
      <c r="P378" t="s">
        <v>94</v>
      </c>
      <c r="Q378" t="s">
        <v>82</v>
      </c>
      <c r="R378" t="s">
        <v>703</v>
      </c>
      <c r="S378" s="5" t="s">
        <v>428</v>
      </c>
      <c r="T378" t="s">
        <v>111</v>
      </c>
      <c r="V378" t="s">
        <v>93</v>
      </c>
      <c r="W378" t="s">
        <v>93</v>
      </c>
      <c r="X378" s="304" t="s">
        <v>103</v>
      </c>
      <c r="Y378" s="7"/>
      <c r="Z378" s="16" t="s">
        <v>1817</v>
      </c>
      <c r="AA378">
        <v>40</v>
      </c>
      <c r="AB378" t="s">
        <v>1490</v>
      </c>
      <c r="AC378" s="183"/>
      <c r="AE378" s="183"/>
      <c r="AH378" t="s">
        <v>94</v>
      </c>
      <c r="AL378" t="s">
        <v>428</v>
      </c>
      <c r="AM378" s="261">
        <v>5084.22</v>
      </c>
      <c r="AN378" s="184">
        <v>1</v>
      </c>
      <c r="AO378" s="15">
        <v>4000</v>
      </c>
      <c r="AP378" s="15">
        <v>275</v>
      </c>
      <c r="AW378" s="7"/>
      <c r="AZ378" t="s">
        <v>374</v>
      </c>
      <c r="BA378">
        <v>1</v>
      </c>
    </row>
    <row r="379" spans="1:53" ht="15.75" customHeight="1">
      <c r="A379" s="273">
        <v>2</v>
      </c>
      <c r="B379" s="273" t="str">
        <f t="shared" si="25"/>
        <v>AKTIVAN</v>
      </c>
      <c r="C379" s="302">
        <f t="shared" si="23"/>
        <v>377</v>
      </c>
      <c r="D379" s="258">
        <v>36</v>
      </c>
      <c r="E379" s="1" t="str">
        <f>VLOOKUP(D379,Table3[[#All],[RB]:[OIB]],2,0)</f>
        <v>Vital Group d.o.o.</v>
      </c>
      <c r="F379" s="4">
        <f>VLOOKUP(D379,Table3[],3,0)</f>
        <v>45575918003</v>
      </c>
      <c r="G379" s="1" t="str">
        <f>VLOOKUP(D379,Table3[],4,0)</f>
        <v>Balázs Kulcsár</v>
      </c>
      <c r="H379" s="1" t="str">
        <f>VLOOKUP(D379,POSLODAVCI!$A$2:$J$107,9,0)</f>
        <v>Osijek</v>
      </c>
      <c r="I379" s="1" t="str">
        <f>VLOOKUP(D379,Table3[],10,0)</f>
        <v>Ribarska 10</v>
      </c>
      <c r="J379" s="436" t="s">
        <v>174</v>
      </c>
      <c r="K379" s="438">
        <v>44197</v>
      </c>
      <c r="L379" s="438"/>
      <c r="M379" s="182">
        <v>16260284290</v>
      </c>
      <c r="N379" s="16" t="s">
        <v>80</v>
      </c>
      <c r="O379" s="7">
        <v>28659</v>
      </c>
      <c r="P379" s="16" t="s">
        <v>94</v>
      </c>
      <c r="Q379" s="16" t="s">
        <v>82</v>
      </c>
      <c r="R379" t="s">
        <v>176</v>
      </c>
      <c r="S379" s="17" t="s">
        <v>428</v>
      </c>
      <c r="T379" s="16" t="s">
        <v>84</v>
      </c>
      <c r="V379" s="16" t="s">
        <v>177</v>
      </c>
      <c r="W379" s="16" t="s">
        <v>177</v>
      </c>
      <c r="X379" s="303" t="s">
        <v>103</v>
      </c>
      <c r="Y379" s="7"/>
      <c r="Z379" s="16" t="s">
        <v>1817</v>
      </c>
      <c r="AA379">
        <v>40</v>
      </c>
      <c r="AB379" t="s">
        <v>1491</v>
      </c>
      <c r="AC379" s="183"/>
      <c r="AE379" s="183"/>
      <c r="AH379" s="16" t="s">
        <v>94</v>
      </c>
      <c r="AL379" s="16" t="s">
        <v>428</v>
      </c>
      <c r="AM379" s="261">
        <v>5875</v>
      </c>
      <c r="AN379" s="184">
        <v>1</v>
      </c>
      <c r="AO379" s="15">
        <v>4700</v>
      </c>
      <c r="AP379" s="15">
        <v>275</v>
      </c>
      <c r="AW379" s="7"/>
      <c r="AZ379" t="s">
        <v>374</v>
      </c>
      <c r="BA379">
        <v>2</v>
      </c>
    </row>
    <row r="380" spans="1:53" ht="15.75" customHeight="1">
      <c r="A380" s="273">
        <v>3</v>
      </c>
      <c r="B380" s="273" t="str">
        <f t="shared" si="25"/>
        <v>AKTIVAN</v>
      </c>
      <c r="C380" s="302">
        <f t="shared" si="23"/>
        <v>378</v>
      </c>
      <c r="D380" s="258">
        <v>36</v>
      </c>
      <c r="E380" s="1" t="str">
        <f>VLOOKUP(D380,Table3[[#All],[RB]:[OIB]],2,0)</f>
        <v>Vital Group d.o.o.</v>
      </c>
      <c r="F380" s="4">
        <f>VLOOKUP(D380,Table3[],3,0)</f>
        <v>45575918003</v>
      </c>
      <c r="G380" s="1" t="str">
        <f>VLOOKUP(D380,Table3[],4,0)</f>
        <v>Balázs Kulcsár</v>
      </c>
      <c r="H380" s="1" t="str">
        <f>VLOOKUP(D380,POSLODAVCI!$A$2:$J$107,9,0)</f>
        <v>Osijek</v>
      </c>
      <c r="I380" s="1" t="str">
        <f>VLOOKUP(D380,Table3[],10,0)</f>
        <v>Ribarska 10</v>
      </c>
      <c r="J380" s="436" t="s">
        <v>147</v>
      </c>
      <c r="K380" s="437">
        <v>44197</v>
      </c>
      <c r="L380" s="438"/>
      <c r="M380" s="158">
        <v>16065838903</v>
      </c>
      <c r="N380" s="16" t="s">
        <v>80</v>
      </c>
      <c r="O380" s="7">
        <v>30216</v>
      </c>
      <c r="P380" s="16" t="s">
        <v>94</v>
      </c>
      <c r="Q380" s="16" t="s">
        <v>82</v>
      </c>
      <c r="R380" s="16" t="s">
        <v>1483</v>
      </c>
      <c r="S380" s="17" t="s">
        <v>428</v>
      </c>
      <c r="T380" s="16" t="s">
        <v>1484</v>
      </c>
      <c r="V380" s="16" t="s">
        <v>93</v>
      </c>
      <c r="W380" s="16" t="s">
        <v>93</v>
      </c>
      <c r="X380" s="303" t="s">
        <v>103</v>
      </c>
      <c r="Y380" s="7"/>
      <c r="Z380" s="16" t="s">
        <v>1817</v>
      </c>
      <c r="AA380">
        <v>40</v>
      </c>
      <c r="AB380" t="s">
        <v>1492</v>
      </c>
      <c r="AC380" s="183"/>
      <c r="AE380" s="183"/>
      <c r="AH380" s="16" t="s">
        <v>94</v>
      </c>
      <c r="AL380" s="16" t="s">
        <v>428</v>
      </c>
      <c r="AM380" s="261">
        <v>5875</v>
      </c>
      <c r="AN380" s="184">
        <v>1</v>
      </c>
      <c r="AO380" s="15">
        <v>4700</v>
      </c>
      <c r="AP380" s="15">
        <v>275</v>
      </c>
      <c r="AW380" s="7"/>
      <c r="AZ380" t="s">
        <v>374</v>
      </c>
      <c r="BA380">
        <v>3</v>
      </c>
    </row>
    <row r="381" spans="1:53" ht="15.75" customHeight="1">
      <c r="A381" s="273">
        <v>4</v>
      </c>
      <c r="B381" s="273" t="str">
        <f t="shared" si="25"/>
        <v>AKTIVAN</v>
      </c>
      <c r="C381" s="302">
        <f t="shared" si="23"/>
        <v>379</v>
      </c>
      <c r="D381" s="258">
        <v>36</v>
      </c>
      <c r="E381" s="1" t="str">
        <f>VLOOKUP(D381,Table3[[#All],[RB]:[OIB]],2,0)</f>
        <v>Vital Group d.o.o.</v>
      </c>
      <c r="F381" s="4">
        <f>VLOOKUP(D381,Table3[],3,0)</f>
        <v>45575918003</v>
      </c>
      <c r="G381" s="1" t="str">
        <f>VLOOKUP(D381,Table3[],4,0)</f>
        <v>Balázs Kulcsár</v>
      </c>
      <c r="H381" s="1" t="str">
        <f>VLOOKUP(D381,POSLODAVCI!$A$2:$J$107,9,0)</f>
        <v>Osijek</v>
      </c>
      <c r="I381" s="1" t="str">
        <f>VLOOKUP(D381,Table3[],10,0)</f>
        <v>Ribarska 10</v>
      </c>
      <c r="J381" s="436" t="s">
        <v>155</v>
      </c>
      <c r="K381" s="437">
        <v>44200</v>
      </c>
      <c r="L381" s="438"/>
      <c r="M381" s="137">
        <v>68121059947</v>
      </c>
      <c r="N381" s="16" t="s">
        <v>80</v>
      </c>
      <c r="O381" s="7">
        <v>23612</v>
      </c>
      <c r="P381" s="16" t="s">
        <v>94</v>
      </c>
      <c r="Q381" s="16" t="s">
        <v>82</v>
      </c>
      <c r="R381" s="16" t="s">
        <v>1485</v>
      </c>
      <c r="S381" s="17" t="s">
        <v>428</v>
      </c>
      <c r="T381" s="16" t="s">
        <v>84</v>
      </c>
      <c r="V381" s="16" t="s">
        <v>143</v>
      </c>
      <c r="W381" s="16" t="s">
        <v>143</v>
      </c>
      <c r="X381" s="303" t="s">
        <v>103</v>
      </c>
      <c r="Y381" s="7"/>
      <c r="Z381" s="16" t="s">
        <v>1817</v>
      </c>
      <c r="AA381">
        <v>40</v>
      </c>
      <c r="AB381" t="s">
        <v>1493</v>
      </c>
      <c r="AC381" s="183"/>
      <c r="AE381" s="183"/>
      <c r="AH381" s="16" t="s">
        <v>94</v>
      </c>
      <c r="AL381" s="16" t="s">
        <v>428</v>
      </c>
      <c r="AM381" s="261">
        <v>4250</v>
      </c>
      <c r="AN381" s="184">
        <v>1</v>
      </c>
      <c r="AO381" s="15">
        <v>3400</v>
      </c>
      <c r="AW381" s="7"/>
      <c r="AZ381" t="s">
        <v>374</v>
      </c>
      <c r="BA381">
        <v>4</v>
      </c>
    </row>
    <row r="382" spans="1:53" ht="15.75" customHeight="1">
      <c r="A382" s="273">
        <v>5</v>
      </c>
      <c r="B382" s="273" t="str">
        <f t="shared" si="25"/>
        <v>AKTIVAN</v>
      </c>
      <c r="C382" s="302">
        <f t="shared" si="23"/>
        <v>380</v>
      </c>
      <c r="D382" s="258">
        <v>36</v>
      </c>
      <c r="E382" s="1" t="str">
        <f>VLOOKUP(D382,Table3[[#All],[RB]:[OIB]],2,0)</f>
        <v>Vital Group d.o.o.</v>
      </c>
      <c r="F382" s="4">
        <f>VLOOKUP(D382,Table3[],3,0)</f>
        <v>45575918003</v>
      </c>
      <c r="G382" s="1" t="str">
        <f>VLOOKUP(D382,Table3[],4,0)</f>
        <v>Balázs Kulcsár</v>
      </c>
      <c r="H382" s="1" t="str">
        <f>VLOOKUP(D382,POSLODAVCI!$A$2:$J$107,9,0)</f>
        <v>Osijek</v>
      </c>
      <c r="I382" s="1" t="str">
        <f>VLOOKUP(D382,Table3[],10,0)</f>
        <v>Ribarska 10</v>
      </c>
      <c r="J382" s="436" t="s">
        <v>1509</v>
      </c>
      <c r="K382" s="438">
        <v>44200</v>
      </c>
      <c r="L382" s="438"/>
      <c r="M382" s="137">
        <v>13956960436</v>
      </c>
      <c r="N382" s="16" t="s">
        <v>80</v>
      </c>
      <c r="O382" s="7">
        <v>29134</v>
      </c>
      <c r="P382" s="16" t="s">
        <v>94</v>
      </c>
      <c r="Q382" s="16" t="s">
        <v>82</v>
      </c>
      <c r="R382" s="16" t="s">
        <v>651</v>
      </c>
      <c r="S382" s="17" t="s">
        <v>428</v>
      </c>
      <c r="T382" s="16" t="s">
        <v>84</v>
      </c>
      <c r="V382" s="16" t="s">
        <v>143</v>
      </c>
      <c r="W382" s="16" t="s">
        <v>143</v>
      </c>
      <c r="X382" s="303" t="s">
        <v>103</v>
      </c>
      <c r="Y382" s="7"/>
      <c r="Z382" s="16" t="s">
        <v>1817</v>
      </c>
      <c r="AA382">
        <v>40</v>
      </c>
      <c r="AB382" t="s">
        <v>1494</v>
      </c>
      <c r="AC382" s="183"/>
      <c r="AE382" s="183"/>
      <c r="AH382" s="16" t="s">
        <v>94</v>
      </c>
      <c r="AL382" s="16" t="s">
        <v>428</v>
      </c>
      <c r="AM382" s="261">
        <v>4250</v>
      </c>
      <c r="AN382" s="184">
        <v>1</v>
      </c>
      <c r="AO382" s="15">
        <v>3400</v>
      </c>
      <c r="AW382" s="7"/>
      <c r="AZ382" t="s">
        <v>374</v>
      </c>
      <c r="BA382">
        <v>5</v>
      </c>
    </row>
    <row r="383" spans="1:53" ht="15.75" customHeight="1">
      <c r="A383" s="273">
        <v>6</v>
      </c>
      <c r="B383" s="273" t="str">
        <f t="shared" si="25"/>
        <v>AKTIVAN</v>
      </c>
      <c r="C383" s="302">
        <f t="shared" si="23"/>
        <v>381</v>
      </c>
      <c r="D383" s="258">
        <v>36</v>
      </c>
      <c r="E383" s="1" t="str">
        <f>VLOOKUP(D383,Table3[[#All],[RB]:[OIB]],2,0)</f>
        <v>Vital Group d.o.o.</v>
      </c>
      <c r="F383" s="4">
        <f>VLOOKUP(D383,Table3[],3,0)</f>
        <v>45575918003</v>
      </c>
      <c r="G383" s="1" t="str">
        <f>VLOOKUP(D383,Table3[],4,0)</f>
        <v>Balázs Kulcsár</v>
      </c>
      <c r="H383" s="1" t="str">
        <f>VLOOKUP(D383,POSLODAVCI!$A$2:$J$107,9,0)</f>
        <v>Osijek</v>
      </c>
      <c r="I383" s="1" t="str">
        <f>VLOOKUP(D383,Table3[],10,0)</f>
        <v>Ribarska 10</v>
      </c>
      <c r="J383" s="436" t="s">
        <v>150</v>
      </c>
      <c r="K383" s="438">
        <v>44200</v>
      </c>
      <c r="L383" s="438"/>
      <c r="M383" s="137">
        <v>91993718714</v>
      </c>
      <c r="N383" s="16" t="s">
        <v>80</v>
      </c>
      <c r="O383" s="7">
        <v>24545</v>
      </c>
      <c r="P383" s="16" t="s">
        <v>152</v>
      </c>
      <c r="Q383" s="16" t="s">
        <v>82</v>
      </c>
      <c r="R383" s="16" t="s">
        <v>135</v>
      </c>
      <c r="S383" s="17" t="s">
        <v>428</v>
      </c>
      <c r="T383" s="16" t="s">
        <v>84</v>
      </c>
      <c r="V383" s="16" t="s">
        <v>143</v>
      </c>
      <c r="W383" s="16" t="s">
        <v>143</v>
      </c>
      <c r="X383" s="303" t="s">
        <v>103</v>
      </c>
      <c r="Y383" s="7"/>
      <c r="Z383" s="16" t="s">
        <v>1817</v>
      </c>
      <c r="AA383">
        <v>40</v>
      </c>
      <c r="AB383" t="s">
        <v>1495</v>
      </c>
      <c r="AC383" s="183"/>
      <c r="AE383" s="183"/>
      <c r="AH383" s="16" t="s">
        <v>94</v>
      </c>
      <c r="AL383" s="16" t="s">
        <v>428</v>
      </c>
      <c r="AM383" s="261">
        <v>4250</v>
      </c>
      <c r="AN383" s="184">
        <v>1</v>
      </c>
      <c r="AO383" s="15">
        <v>3400</v>
      </c>
      <c r="AW383" s="7"/>
      <c r="AZ383" t="s">
        <v>374</v>
      </c>
      <c r="BA383">
        <v>6</v>
      </c>
    </row>
    <row r="384" spans="1:53" ht="15.75" customHeight="1">
      <c r="A384" s="273">
        <v>7</v>
      </c>
      <c r="B384" s="273" t="str">
        <f t="shared" si="25"/>
        <v>AKTIVAN</v>
      </c>
      <c r="C384" s="302">
        <f t="shared" si="23"/>
        <v>382</v>
      </c>
      <c r="D384" s="258">
        <v>36</v>
      </c>
      <c r="E384" s="1" t="str">
        <f>VLOOKUP(D384,Table3[[#All],[RB]:[OIB]],2,0)</f>
        <v>Vital Group d.o.o.</v>
      </c>
      <c r="F384" s="4">
        <f>VLOOKUP(D384,Table3[],3,0)</f>
        <v>45575918003</v>
      </c>
      <c r="G384" s="1" t="str">
        <f>VLOOKUP(D384,Table3[],4,0)</f>
        <v>Balázs Kulcsár</v>
      </c>
      <c r="H384" s="1" t="str">
        <f>VLOOKUP(D384,POSLODAVCI!$A$2:$J$107,9,0)</f>
        <v>Osijek</v>
      </c>
      <c r="I384" s="1" t="str">
        <f>VLOOKUP(D384,Table3[],10,0)</f>
        <v>Ribarska 10</v>
      </c>
      <c r="J384" s="436" t="s">
        <v>145</v>
      </c>
      <c r="K384" s="438">
        <v>44200</v>
      </c>
      <c r="L384" s="438"/>
      <c r="M384" s="137">
        <v>46651411474</v>
      </c>
      <c r="N384" s="16" t="s">
        <v>80</v>
      </c>
      <c r="O384" s="7">
        <v>24096</v>
      </c>
      <c r="P384" s="16" t="s">
        <v>94</v>
      </c>
      <c r="Q384" s="16" t="s">
        <v>82</v>
      </c>
      <c r="R384" s="16" t="s">
        <v>454</v>
      </c>
      <c r="S384" s="17" t="s">
        <v>428</v>
      </c>
      <c r="T384" s="16" t="s">
        <v>84</v>
      </c>
      <c r="V384" s="16" t="s">
        <v>143</v>
      </c>
      <c r="W384" s="16" t="s">
        <v>143</v>
      </c>
      <c r="X384" s="303" t="s">
        <v>103</v>
      </c>
      <c r="Y384" s="7"/>
      <c r="Z384" s="16" t="s">
        <v>1817</v>
      </c>
      <c r="AA384">
        <v>40</v>
      </c>
      <c r="AB384" t="s">
        <v>1496</v>
      </c>
      <c r="AC384" s="183"/>
      <c r="AE384" s="183"/>
      <c r="AH384" s="16" t="s">
        <v>94</v>
      </c>
      <c r="AL384" s="16" t="s">
        <v>428</v>
      </c>
      <c r="AM384" s="261">
        <v>4250</v>
      </c>
      <c r="AN384" s="184">
        <v>1</v>
      </c>
      <c r="AO384" s="15">
        <v>3400</v>
      </c>
      <c r="AW384" s="7"/>
      <c r="AZ384" t="s">
        <v>374</v>
      </c>
      <c r="BA384">
        <v>7</v>
      </c>
    </row>
    <row r="385" spans="1:53" ht="15.75" customHeight="1">
      <c r="A385" s="273">
        <v>8</v>
      </c>
      <c r="B385" s="273" t="str">
        <f t="shared" si="25"/>
        <v>AKTIVAN</v>
      </c>
      <c r="C385" s="302">
        <f t="shared" si="23"/>
        <v>383</v>
      </c>
      <c r="D385" s="258">
        <v>36</v>
      </c>
      <c r="E385" s="1" t="str">
        <f>VLOOKUP(D385,Table3[[#All],[RB]:[OIB]],2,0)</f>
        <v>Vital Group d.o.o.</v>
      </c>
      <c r="F385" s="4">
        <f>VLOOKUP(D385,Table3[],3,0)</f>
        <v>45575918003</v>
      </c>
      <c r="G385" s="1" t="str">
        <f>VLOOKUP(D385,Table3[],4,0)</f>
        <v>Balázs Kulcsár</v>
      </c>
      <c r="H385" s="1" t="str">
        <f>VLOOKUP(D385,POSLODAVCI!$A$2:$J$107,9,0)</f>
        <v>Osijek</v>
      </c>
      <c r="I385" s="1" t="str">
        <f>VLOOKUP(D385,Table3[],10,0)</f>
        <v>Ribarska 10</v>
      </c>
      <c r="J385" s="436" t="s">
        <v>346</v>
      </c>
      <c r="K385" s="438">
        <v>44200</v>
      </c>
      <c r="L385" s="438"/>
      <c r="M385" s="137">
        <v>21298366100</v>
      </c>
      <c r="N385" s="16" t="s">
        <v>80</v>
      </c>
      <c r="O385" s="7">
        <v>26200</v>
      </c>
      <c r="P385" s="16" t="s">
        <v>306</v>
      </c>
      <c r="Q385" s="16" t="s">
        <v>82</v>
      </c>
      <c r="R385" s="16" t="s">
        <v>465</v>
      </c>
      <c r="S385" s="17" t="s">
        <v>428</v>
      </c>
      <c r="T385" s="16" t="s">
        <v>84</v>
      </c>
      <c r="V385" s="16" t="s">
        <v>143</v>
      </c>
      <c r="W385" s="16" t="s">
        <v>143</v>
      </c>
      <c r="X385" s="303" t="s">
        <v>103</v>
      </c>
      <c r="Y385" s="7"/>
      <c r="Z385" s="16" t="s">
        <v>1817</v>
      </c>
      <c r="AA385">
        <v>40</v>
      </c>
      <c r="AB385" t="s">
        <v>1497</v>
      </c>
      <c r="AC385" s="183"/>
      <c r="AE385" s="183"/>
      <c r="AH385" s="16" t="s">
        <v>94</v>
      </c>
      <c r="AL385" s="16" t="s">
        <v>428</v>
      </c>
      <c r="AM385" s="261">
        <v>4250</v>
      </c>
      <c r="AN385" s="184">
        <v>1</v>
      </c>
      <c r="AO385" s="15">
        <v>3400</v>
      </c>
      <c r="AW385" s="7"/>
      <c r="AZ385" t="s">
        <v>374</v>
      </c>
      <c r="BA385">
        <v>8</v>
      </c>
    </row>
    <row r="386" spans="1:53" ht="15.75" customHeight="1">
      <c r="A386" s="273">
        <v>9</v>
      </c>
      <c r="B386" s="273" t="str">
        <f t="shared" si="25"/>
        <v>NEAKTIVAN</v>
      </c>
      <c r="C386" s="302">
        <f t="shared" si="23"/>
        <v>384</v>
      </c>
      <c r="D386" s="258">
        <v>36</v>
      </c>
      <c r="E386" s="1" t="str">
        <f>VLOOKUP(D386,Table3[[#All],[RB]:[OIB]],2,0)</f>
        <v>Vital Group d.o.o.</v>
      </c>
      <c r="F386" s="4">
        <f>VLOOKUP(D386,Table3[],3,0)</f>
        <v>45575918003</v>
      </c>
      <c r="G386" s="1" t="str">
        <f>VLOOKUP(D386,Table3[],4,0)</f>
        <v>Balázs Kulcsár</v>
      </c>
      <c r="H386" s="1" t="str">
        <f>VLOOKUP(D386,POSLODAVCI!$A$2:$J$107,9,0)</f>
        <v>Osijek</v>
      </c>
      <c r="I386" s="1" t="str">
        <f>VLOOKUP(D386,Table3[],10,0)</f>
        <v>Ribarska 10</v>
      </c>
      <c r="J386" s="1" t="s">
        <v>305</v>
      </c>
      <c r="K386" s="272">
        <v>44200</v>
      </c>
      <c r="L386" s="272">
        <v>44929</v>
      </c>
      <c r="M386" s="137">
        <v>89289096005</v>
      </c>
      <c r="N386" s="16" t="s">
        <v>80</v>
      </c>
      <c r="O386" s="7">
        <v>27020</v>
      </c>
      <c r="P386" s="16" t="s">
        <v>306</v>
      </c>
      <c r="Q386" s="16" t="s">
        <v>82</v>
      </c>
      <c r="R386" s="16" t="s">
        <v>472</v>
      </c>
      <c r="S386" s="17" t="s">
        <v>428</v>
      </c>
      <c r="T386" s="16" t="s">
        <v>84</v>
      </c>
      <c r="V386" s="16" t="s">
        <v>143</v>
      </c>
      <c r="W386" s="16" t="s">
        <v>143</v>
      </c>
      <c r="X386" s="303" t="s">
        <v>103</v>
      </c>
      <c r="Y386" s="7"/>
      <c r="Z386" s="16" t="s">
        <v>1817</v>
      </c>
      <c r="AA386">
        <v>40</v>
      </c>
      <c r="AB386" t="s">
        <v>1550</v>
      </c>
      <c r="AC386" s="183"/>
      <c r="AE386" s="183"/>
      <c r="AH386" s="16" t="s">
        <v>94</v>
      </c>
      <c r="AL386" s="16" t="s">
        <v>428</v>
      </c>
      <c r="AM386" s="261">
        <v>4250</v>
      </c>
      <c r="AN386" s="184">
        <v>1</v>
      </c>
      <c r="AO386" s="15">
        <v>3400</v>
      </c>
      <c r="AW386" s="7"/>
      <c r="AZ386" t="s">
        <v>374</v>
      </c>
      <c r="BA386">
        <v>9</v>
      </c>
    </row>
    <row r="387" spans="1:53" ht="15.75" customHeight="1">
      <c r="A387" s="273">
        <v>10</v>
      </c>
      <c r="B387" s="273" t="str">
        <f t="shared" si="25"/>
        <v>NEAKTIVAN</v>
      </c>
      <c r="C387" s="302">
        <f t="shared" ref="C387:C431" si="26">C386+1</f>
        <v>385</v>
      </c>
      <c r="D387" s="258">
        <v>36</v>
      </c>
      <c r="E387" s="1" t="str">
        <f>VLOOKUP(D387,Table3[[#All],[RB]:[OIB]],2,0)</f>
        <v>Vital Group d.o.o.</v>
      </c>
      <c r="F387" s="4">
        <f>VLOOKUP(D387,Table3[],3,0)</f>
        <v>45575918003</v>
      </c>
      <c r="G387" s="1" t="str">
        <f>VLOOKUP(D387,Table3[],4,0)</f>
        <v>Balázs Kulcsár</v>
      </c>
      <c r="H387" s="1" t="str">
        <f>VLOOKUP(D387,POSLODAVCI!$A$2:$J$107,9,0)</f>
        <v>Osijek</v>
      </c>
      <c r="I387" s="1" t="str">
        <f>VLOOKUP(D387,Table3[],10,0)</f>
        <v>Ribarska 10</v>
      </c>
      <c r="J387" s="1" t="s">
        <v>120</v>
      </c>
      <c r="K387" s="272">
        <v>44200</v>
      </c>
      <c r="L387" s="272">
        <v>44776</v>
      </c>
      <c r="M387" s="137">
        <v>22044787722</v>
      </c>
      <c r="N387" s="16" t="s">
        <v>89</v>
      </c>
      <c r="O387" s="7">
        <v>34879</v>
      </c>
      <c r="P387" s="16" t="s">
        <v>122</v>
      </c>
      <c r="Q387" s="16" t="s">
        <v>82</v>
      </c>
      <c r="R387" s="16" t="s">
        <v>123</v>
      </c>
      <c r="S387" s="17" t="s">
        <v>83</v>
      </c>
      <c r="T387" s="16" t="s">
        <v>84</v>
      </c>
      <c r="V387" s="16" t="s">
        <v>507</v>
      </c>
      <c r="W387" s="16" t="s">
        <v>507</v>
      </c>
      <c r="X387" s="303" t="s">
        <v>103</v>
      </c>
      <c r="Y387" s="7"/>
      <c r="Z387" s="16" t="s">
        <v>1817</v>
      </c>
      <c r="AA387">
        <v>40</v>
      </c>
      <c r="AB387" t="s">
        <v>1498</v>
      </c>
      <c r="AC387" s="183"/>
      <c r="AE387" s="183"/>
      <c r="AH387" s="16" t="s">
        <v>94</v>
      </c>
      <c r="AL387" s="16" t="s">
        <v>428</v>
      </c>
      <c r="AM387" s="261">
        <v>4375</v>
      </c>
      <c r="AN387" s="184">
        <v>1</v>
      </c>
      <c r="AO387" s="15">
        <v>3500</v>
      </c>
      <c r="AW387" s="7"/>
      <c r="AZ387" t="s">
        <v>374</v>
      </c>
      <c r="BA387">
        <v>10</v>
      </c>
    </row>
    <row r="388" spans="1:53" ht="15.75" customHeight="1">
      <c r="A388" s="273">
        <v>11</v>
      </c>
      <c r="B388" s="273" t="str">
        <f t="shared" si="25"/>
        <v>NEAKTIVAN</v>
      </c>
      <c r="C388" s="302">
        <f t="shared" si="26"/>
        <v>386</v>
      </c>
      <c r="D388" s="258">
        <v>36</v>
      </c>
      <c r="E388" s="1" t="str">
        <f>VLOOKUP(D388,Table3[[#All],[RB]:[OIB]],2,0)</f>
        <v>Vital Group d.o.o.</v>
      </c>
      <c r="F388" s="4">
        <f>VLOOKUP(D388,Table3[],3,0)</f>
        <v>45575918003</v>
      </c>
      <c r="G388" s="1" t="str">
        <f>VLOOKUP(D388,Table3[],4,0)</f>
        <v>Balázs Kulcsár</v>
      </c>
      <c r="H388" s="1" t="str">
        <f>VLOOKUP(D388,POSLODAVCI!$A$2:$J$107,9,0)</f>
        <v>Osijek</v>
      </c>
      <c r="I388" s="1" t="str">
        <f>VLOOKUP(D388,Table3[],10,0)</f>
        <v>Ribarska 10</v>
      </c>
      <c r="J388" s="1" t="s">
        <v>119</v>
      </c>
      <c r="K388" s="61">
        <v>44200</v>
      </c>
      <c r="L388" s="61">
        <v>44776</v>
      </c>
      <c r="M388" s="137">
        <v>24461973764</v>
      </c>
      <c r="N388" s="16" t="s">
        <v>80</v>
      </c>
      <c r="O388" s="7">
        <v>33685</v>
      </c>
      <c r="P388" s="16" t="s">
        <v>94</v>
      </c>
      <c r="Q388" s="16" t="s">
        <v>82</v>
      </c>
      <c r="R388" s="16" t="s">
        <v>1519</v>
      </c>
      <c r="S388" s="17" t="s">
        <v>83</v>
      </c>
      <c r="T388" s="16" t="s">
        <v>84</v>
      </c>
      <c r="U388" s="16"/>
      <c r="V388" s="16" t="s">
        <v>507</v>
      </c>
      <c r="W388" s="16" t="s">
        <v>507</v>
      </c>
      <c r="X388" s="303" t="s">
        <v>103</v>
      </c>
      <c r="Y388" s="7"/>
      <c r="Z388" s="16" t="s">
        <v>1817</v>
      </c>
      <c r="AA388" s="16">
        <v>40</v>
      </c>
      <c r="AB388" s="16" t="s">
        <v>1499</v>
      </c>
      <c r="AC388" s="183"/>
      <c r="AD388" s="16"/>
      <c r="AE388" s="183"/>
      <c r="AF388" s="16"/>
      <c r="AG388" s="16"/>
      <c r="AH388" s="16" t="s">
        <v>94</v>
      </c>
      <c r="AI388" s="16"/>
      <c r="AJ388" s="16"/>
      <c r="AK388" s="16"/>
      <c r="AL388" s="16" t="s">
        <v>428</v>
      </c>
      <c r="AM388" s="90">
        <v>4375</v>
      </c>
      <c r="AN388" s="184">
        <v>1</v>
      </c>
      <c r="AO388" s="15">
        <v>3500</v>
      </c>
      <c r="AQ388" s="16"/>
      <c r="AR388" s="16"/>
      <c r="AS388" s="16"/>
      <c r="AT388" s="16"/>
      <c r="AU388" s="16"/>
      <c r="AV388" s="16"/>
      <c r="AW388" s="7"/>
      <c r="AX388" s="16"/>
      <c r="AY388" s="16"/>
      <c r="AZ388" t="s">
        <v>374</v>
      </c>
      <c r="BA388" s="16">
        <v>11</v>
      </c>
    </row>
    <row r="389" spans="1:53" ht="15.75" customHeight="1">
      <c r="A389" s="273">
        <v>12</v>
      </c>
      <c r="B389" s="273" t="str">
        <f t="shared" si="25"/>
        <v>AKTIVAN</v>
      </c>
      <c r="C389" s="302">
        <f t="shared" si="26"/>
        <v>387</v>
      </c>
      <c r="D389" s="258">
        <v>36</v>
      </c>
      <c r="E389" s="1" t="str">
        <f>VLOOKUP(D389,Table3[[#All],[RB]:[OIB]],2,0)</f>
        <v>Vital Group d.o.o.</v>
      </c>
      <c r="F389" s="4">
        <f>VLOOKUP(D389,Table3[],3,0)</f>
        <v>45575918003</v>
      </c>
      <c r="G389" s="1" t="str">
        <f>VLOOKUP(D389,Table3[],4,0)</f>
        <v>Balázs Kulcsár</v>
      </c>
      <c r="H389" s="1" t="str">
        <f>VLOOKUP(D389,POSLODAVCI!$A$2:$J$107,9,0)</f>
        <v>Osijek</v>
      </c>
      <c r="I389" s="1" t="str">
        <f>VLOOKUP(D389,Table3[],10,0)</f>
        <v>Ribarska 10</v>
      </c>
      <c r="J389" s="436" t="s">
        <v>117</v>
      </c>
      <c r="K389" s="437">
        <v>44200</v>
      </c>
      <c r="L389" s="437"/>
      <c r="M389" s="137">
        <v>92132715760</v>
      </c>
      <c r="N389" s="16" t="s">
        <v>89</v>
      </c>
      <c r="O389" s="7">
        <v>33176</v>
      </c>
      <c r="P389" s="16" t="s">
        <v>94</v>
      </c>
      <c r="Q389" s="16" t="s">
        <v>82</v>
      </c>
      <c r="R389" s="16" t="s">
        <v>1486</v>
      </c>
      <c r="S389" s="17" t="s">
        <v>83</v>
      </c>
      <c r="T389" s="16" t="s">
        <v>84</v>
      </c>
      <c r="U389" s="16"/>
      <c r="V389" s="16" t="s">
        <v>507</v>
      </c>
      <c r="W389" s="16" t="s">
        <v>507</v>
      </c>
      <c r="X389" s="303" t="s">
        <v>103</v>
      </c>
      <c r="Y389" s="7"/>
      <c r="Z389" s="16" t="s">
        <v>1817</v>
      </c>
      <c r="AA389" s="16">
        <v>40</v>
      </c>
      <c r="AB389" s="16" t="s">
        <v>1500</v>
      </c>
      <c r="AC389" s="183"/>
      <c r="AD389" s="16"/>
      <c r="AE389" s="183"/>
      <c r="AF389" s="16"/>
      <c r="AG389" s="16"/>
      <c r="AH389" s="16" t="s">
        <v>94</v>
      </c>
      <c r="AI389" s="16"/>
      <c r="AJ389" s="16"/>
      <c r="AK389" s="16"/>
      <c r="AL389" s="16" t="s">
        <v>428</v>
      </c>
      <c r="AM389" s="90">
        <v>4375</v>
      </c>
      <c r="AN389" s="184">
        <v>1</v>
      </c>
      <c r="AO389" s="15">
        <v>3500</v>
      </c>
      <c r="AQ389" s="16"/>
      <c r="AR389" s="16"/>
      <c r="AS389" s="16"/>
      <c r="AT389" s="16"/>
      <c r="AU389" s="16"/>
      <c r="AV389" s="16"/>
      <c r="AW389" s="7"/>
      <c r="AX389" s="16"/>
      <c r="AY389" s="16"/>
      <c r="AZ389" t="s">
        <v>374</v>
      </c>
      <c r="BA389" s="16">
        <v>12</v>
      </c>
    </row>
    <row r="390" spans="1:53" ht="15.5">
      <c r="A390" s="273">
        <v>13</v>
      </c>
      <c r="B390" s="273" t="str">
        <f t="shared" si="25"/>
        <v>NEAKTIVAN</v>
      </c>
      <c r="C390" s="302">
        <f t="shared" si="26"/>
        <v>388</v>
      </c>
      <c r="D390" s="258">
        <v>36</v>
      </c>
      <c r="E390" s="1" t="str">
        <f>VLOOKUP(D390,Table3[[#All],[RB]:[OIB]],2,0)</f>
        <v>Vital Group d.o.o.</v>
      </c>
      <c r="F390" s="4">
        <f>VLOOKUP(D390,Table3[],3,0)</f>
        <v>45575918003</v>
      </c>
      <c r="G390" s="1" t="str">
        <f>VLOOKUP(D390,Table3[],4,0)</f>
        <v>Balázs Kulcsár</v>
      </c>
      <c r="H390" s="1" t="str">
        <f>VLOOKUP(D390,POSLODAVCI!$A$2:$J$107,9,0)</f>
        <v>Osijek</v>
      </c>
      <c r="I390" s="1" t="str">
        <f>VLOOKUP(D390,Table3[],10,0)</f>
        <v>Ribarska 10</v>
      </c>
      <c r="J390" s="1" t="s">
        <v>127</v>
      </c>
      <c r="K390" s="61">
        <v>44200</v>
      </c>
      <c r="L390" s="61">
        <v>44686</v>
      </c>
      <c r="M390" s="137">
        <v>48436445080</v>
      </c>
      <c r="N390" s="16" t="s">
        <v>80</v>
      </c>
      <c r="O390" s="7">
        <v>34306</v>
      </c>
      <c r="P390" s="16" t="s">
        <v>94</v>
      </c>
      <c r="Q390" s="16" t="s">
        <v>82</v>
      </c>
      <c r="R390" s="16" t="s">
        <v>1487</v>
      </c>
      <c r="S390" s="17" t="s">
        <v>83</v>
      </c>
      <c r="T390" s="16" t="s">
        <v>84</v>
      </c>
      <c r="U390" s="16"/>
      <c r="V390" s="16" t="s">
        <v>507</v>
      </c>
      <c r="W390" s="16" t="s">
        <v>507</v>
      </c>
      <c r="X390" s="303" t="s">
        <v>103</v>
      </c>
      <c r="Y390" s="7">
        <v>44686</v>
      </c>
      <c r="Z390" s="16" t="s">
        <v>1817</v>
      </c>
      <c r="AA390" s="16">
        <v>40</v>
      </c>
      <c r="AB390" s="16" t="s">
        <v>1501</v>
      </c>
      <c r="AC390" s="183"/>
      <c r="AD390" s="16"/>
      <c r="AE390" s="183"/>
      <c r="AF390" s="16"/>
      <c r="AG390" s="16"/>
      <c r="AH390" s="16" t="s">
        <v>94</v>
      </c>
      <c r="AI390" s="16"/>
      <c r="AJ390" s="16"/>
      <c r="AK390" s="16"/>
      <c r="AL390" s="16" t="s">
        <v>428</v>
      </c>
      <c r="AM390" s="90">
        <v>4375</v>
      </c>
      <c r="AN390" s="184">
        <v>1</v>
      </c>
      <c r="AO390" s="15">
        <v>3500</v>
      </c>
      <c r="AQ390" s="16"/>
      <c r="AR390" s="16"/>
      <c r="AS390" s="16"/>
      <c r="AT390" s="16"/>
      <c r="AU390" s="16"/>
      <c r="AV390" s="16"/>
      <c r="AW390" s="7"/>
      <c r="AX390" s="16"/>
      <c r="AY390" s="16"/>
      <c r="AZ390" t="s">
        <v>374</v>
      </c>
      <c r="BA390" s="16">
        <v>13</v>
      </c>
    </row>
    <row r="391" spans="1:53" ht="15.75" customHeight="1">
      <c r="A391" s="273">
        <v>14</v>
      </c>
      <c r="B391" s="273" t="str">
        <f t="shared" si="25"/>
        <v>NEAKTIVAN</v>
      </c>
      <c r="C391" s="302">
        <f t="shared" si="26"/>
        <v>389</v>
      </c>
      <c r="D391" s="258">
        <v>36</v>
      </c>
      <c r="E391" s="1" t="str">
        <f>VLOOKUP(D391,Table3[[#All],[RB]:[OIB]],2,0)</f>
        <v>Vital Group d.o.o.</v>
      </c>
      <c r="F391" s="4">
        <f>VLOOKUP(D391,Table3[],3,0)</f>
        <v>45575918003</v>
      </c>
      <c r="G391" s="1" t="str">
        <f>VLOOKUP(D391,Table3[],4,0)</f>
        <v>Balázs Kulcsár</v>
      </c>
      <c r="H391" s="1" t="str">
        <f>VLOOKUP(D391,POSLODAVCI!$A$2:$J$107,9,0)</f>
        <v>Osijek</v>
      </c>
      <c r="I391" s="1" t="str">
        <f>VLOOKUP(D391,Table3[],10,0)</f>
        <v>Ribarska 10</v>
      </c>
      <c r="J391" s="1" t="s">
        <v>133</v>
      </c>
      <c r="K391" s="61">
        <v>44200</v>
      </c>
      <c r="L391" s="61">
        <v>44956</v>
      </c>
      <c r="M391" s="137">
        <v>25820706885</v>
      </c>
      <c r="N391" s="16" t="s">
        <v>89</v>
      </c>
      <c r="O391" s="7">
        <v>35312</v>
      </c>
      <c r="P391" s="16" t="s">
        <v>94</v>
      </c>
      <c r="Q391" s="16" t="s">
        <v>82</v>
      </c>
      <c r="R391" s="16" t="s">
        <v>135</v>
      </c>
      <c r="S391" s="17" t="s">
        <v>428</v>
      </c>
      <c r="T391" s="16" t="s">
        <v>84</v>
      </c>
      <c r="U391" s="16"/>
      <c r="V391" s="16" t="s">
        <v>507</v>
      </c>
      <c r="W391" s="16" t="s">
        <v>507</v>
      </c>
      <c r="X391" s="303" t="s">
        <v>103</v>
      </c>
      <c r="Y391" s="7"/>
      <c r="Z391" s="16" t="s">
        <v>1817</v>
      </c>
      <c r="AA391" s="16">
        <v>40</v>
      </c>
      <c r="AB391" s="16" t="s">
        <v>1502</v>
      </c>
      <c r="AC391" s="183"/>
      <c r="AD391" s="16"/>
      <c r="AE391" s="183"/>
      <c r="AF391" s="16"/>
      <c r="AG391" s="16"/>
      <c r="AH391" s="16" t="s">
        <v>94</v>
      </c>
      <c r="AI391" s="16"/>
      <c r="AJ391" s="16"/>
      <c r="AK391" s="16"/>
      <c r="AL391" s="16" t="s">
        <v>428</v>
      </c>
      <c r="AM391" s="90">
        <v>4375</v>
      </c>
      <c r="AN391" s="184">
        <v>1</v>
      </c>
      <c r="AO391" s="15">
        <v>3500</v>
      </c>
      <c r="AQ391" s="16"/>
      <c r="AR391" s="16"/>
      <c r="AS391" s="16"/>
      <c r="AT391" s="16"/>
      <c r="AU391" s="16"/>
      <c r="AV391" s="16"/>
      <c r="AW391" s="7"/>
      <c r="AX391" s="16"/>
      <c r="AY391" s="16"/>
      <c r="AZ391" t="s">
        <v>374</v>
      </c>
      <c r="BA391" s="16">
        <v>14</v>
      </c>
    </row>
    <row r="392" spans="1:53" ht="15.75" customHeight="1">
      <c r="A392" s="273">
        <v>15</v>
      </c>
      <c r="B392" s="273" t="str">
        <f t="shared" si="25"/>
        <v>AKTIVAN</v>
      </c>
      <c r="C392" s="302">
        <f t="shared" si="26"/>
        <v>390</v>
      </c>
      <c r="D392" s="258">
        <v>36</v>
      </c>
      <c r="E392" s="1" t="str">
        <f>VLOOKUP(D392,Table3[[#All],[RB]:[OIB]],2,0)</f>
        <v>Vital Group d.o.o.</v>
      </c>
      <c r="F392" s="4">
        <f>VLOOKUP(D392,Table3[],3,0)</f>
        <v>45575918003</v>
      </c>
      <c r="G392" s="1" t="str">
        <f>VLOOKUP(D392,Table3[],4,0)</f>
        <v>Balázs Kulcsár</v>
      </c>
      <c r="H392" s="1" t="str">
        <f>VLOOKUP(D392,POSLODAVCI!$A$2:$J$107,9,0)</f>
        <v>Osijek</v>
      </c>
      <c r="I392" s="1" t="str">
        <f>VLOOKUP(D392,Table3[],10,0)</f>
        <v>Ribarska 10</v>
      </c>
      <c r="J392" s="436" t="s">
        <v>476</v>
      </c>
      <c r="K392" s="437">
        <v>44200</v>
      </c>
      <c r="L392" s="437"/>
      <c r="M392" s="137">
        <v>77889524913</v>
      </c>
      <c r="N392" s="16" t="s">
        <v>89</v>
      </c>
      <c r="O392" s="7">
        <v>34036</v>
      </c>
      <c r="P392" s="16" t="s">
        <v>94</v>
      </c>
      <c r="Q392" s="16" t="s">
        <v>82</v>
      </c>
      <c r="R392" s="16" t="s">
        <v>1488</v>
      </c>
      <c r="S392" s="17" t="s">
        <v>428</v>
      </c>
      <c r="T392" s="16" t="s">
        <v>84</v>
      </c>
      <c r="U392" s="16"/>
      <c r="V392" s="16" t="s">
        <v>507</v>
      </c>
      <c r="W392" s="16" t="s">
        <v>507</v>
      </c>
      <c r="X392" s="303" t="s">
        <v>103</v>
      </c>
      <c r="Y392" s="7"/>
      <c r="Z392" s="16" t="s">
        <v>1817</v>
      </c>
      <c r="AA392" s="16">
        <v>40</v>
      </c>
      <c r="AB392" s="16" t="s">
        <v>1503</v>
      </c>
      <c r="AC392" s="183"/>
      <c r="AD392" s="16"/>
      <c r="AE392" s="183"/>
      <c r="AF392" s="16"/>
      <c r="AG392" s="16"/>
      <c r="AH392" s="16" t="s">
        <v>94</v>
      </c>
      <c r="AI392" s="16"/>
      <c r="AJ392" s="16"/>
      <c r="AK392" s="16"/>
      <c r="AL392" s="16" t="s">
        <v>428</v>
      </c>
      <c r="AM392" s="90">
        <v>4375</v>
      </c>
      <c r="AN392" s="184">
        <v>1</v>
      </c>
      <c r="AO392" s="15">
        <v>3500</v>
      </c>
      <c r="AQ392" s="16"/>
      <c r="AR392" s="16"/>
      <c r="AS392" s="16"/>
      <c r="AT392" s="16"/>
      <c r="AU392" s="16"/>
      <c r="AV392" s="16"/>
      <c r="AW392" s="7"/>
      <c r="AX392" s="16"/>
      <c r="AY392" s="16"/>
      <c r="AZ392" t="s">
        <v>374</v>
      </c>
      <c r="BA392" s="16">
        <v>15</v>
      </c>
    </row>
    <row r="393" spans="1:53" ht="15.75" customHeight="1">
      <c r="A393" s="273">
        <v>16</v>
      </c>
      <c r="B393" s="273" t="str">
        <f t="shared" si="25"/>
        <v>NEAKTIVAN</v>
      </c>
      <c r="C393" s="302">
        <f t="shared" si="26"/>
        <v>391</v>
      </c>
      <c r="D393" s="258">
        <v>36</v>
      </c>
      <c r="E393" s="1" t="str">
        <f>VLOOKUP(D393,Table3[[#All],[RB]:[OIB]],2,0)</f>
        <v>Vital Group d.o.o.</v>
      </c>
      <c r="F393" s="4">
        <f>VLOOKUP(D393,Table3[],3,0)</f>
        <v>45575918003</v>
      </c>
      <c r="G393" s="1" t="str">
        <f>VLOOKUP(D393,Table3[],4,0)</f>
        <v>Balázs Kulcsár</v>
      </c>
      <c r="H393" s="1" t="str">
        <f>VLOOKUP(D393,POSLODAVCI!$A$2:$J$107,9,0)</f>
        <v>Osijek</v>
      </c>
      <c r="I393" s="1" t="str">
        <f>VLOOKUP(D393,Table3[],10,0)</f>
        <v>Ribarska 10</v>
      </c>
      <c r="J393" s="1" t="s">
        <v>1221</v>
      </c>
      <c r="K393" s="61">
        <v>44200</v>
      </c>
      <c r="L393" s="61">
        <v>44585</v>
      </c>
      <c r="M393" s="137">
        <v>56588131100</v>
      </c>
      <c r="N393" s="16" t="s">
        <v>80</v>
      </c>
      <c r="O393" s="7">
        <v>36552</v>
      </c>
      <c r="P393" s="16" t="s">
        <v>94</v>
      </c>
      <c r="Q393" s="16" t="s">
        <v>82</v>
      </c>
      <c r="R393" s="16" t="s">
        <v>1489</v>
      </c>
      <c r="S393" s="17" t="s">
        <v>428</v>
      </c>
      <c r="T393" s="16" t="s">
        <v>84</v>
      </c>
      <c r="U393" s="16"/>
      <c r="V393" s="16" t="s">
        <v>507</v>
      </c>
      <c r="W393" s="16" t="s">
        <v>507</v>
      </c>
      <c r="X393" s="303" t="s">
        <v>103</v>
      </c>
      <c r="Y393" s="7"/>
      <c r="Z393" s="16" t="s">
        <v>1817</v>
      </c>
      <c r="AA393" s="16">
        <v>40</v>
      </c>
      <c r="AB393" s="16" t="s">
        <v>1504</v>
      </c>
      <c r="AC393" s="183"/>
      <c r="AD393" s="16"/>
      <c r="AE393" s="183"/>
      <c r="AF393" s="16"/>
      <c r="AG393" s="16"/>
      <c r="AH393" s="16" t="s">
        <v>94</v>
      </c>
      <c r="AI393" s="16"/>
      <c r="AJ393" s="16"/>
      <c r="AK393" s="16"/>
      <c r="AL393" s="16" t="s">
        <v>428</v>
      </c>
      <c r="AM393" s="90">
        <v>4375</v>
      </c>
      <c r="AN393" s="184">
        <v>1</v>
      </c>
      <c r="AO393" s="15">
        <v>3500</v>
      </c>
      <c r="AQ393" s="16"/>
      <c r="AR393" s="16"/>
      <c r="AS393" s="16"/>
      <c r="AT393" s="16"/>
      <c r="AU393" s="16"/>
      <c r="AV393" s="16"/>
      <c r="AW393" s="7"/>
      <c r="AX393" s="16"/>
      <c r="AY393" s="16"/>
      <c r="AZ393" t="s">
        <v>255</v>
      </c>
      <c r="BA393" s="16">
        <v>16</v>
      </c>
    </row>
    <row r="394" spans="1:53" ht="15.75" customHeight="1">
      <c r="A394" s="273">
        <v>17</v>
      </c>
      <c r="B394" s="273" t="str">
        <f t="shared" si="25"/>
        <v>AKTIVAN</v>
      </c>
      <c r="C394" s="302">
        <f t="shared" si="26"/>
        <v>392</v>
      </c>
      <c r="D394" s="258">
        <v>36</v>
      </c>
      <c r="E394" s="1" t="str">
        <f>VLOOKUP(D394,Table3[[#All],[RB]:[OIB]],2,0)</f>
        <v>Vital Group d.o.o.</v>
      </c>
      <c r="F394" s="4">
        <f>VLOOKUP(D394,Table3[],3,0)</f>
        <v>45575918003</v>
      </c>
      <c r="G394" s="1" t="str">
        <f>VLOOKUP(D394,Table3[],4,0)</f>
        <v>Balázs Kulcsár</v>
      </c>
      <c r="H394" s="1" t="str">
        <f>VLOOKUP(D394,POSLODAVCI!$A$2:$J$107,9,0)</f>
        <v>Osijek</v>
      </c>
      <c r="I394" s="1" t="str">
        <f>VLOOKUP(D394,Table3[],10,0)</f>
        <v>Ribarska 10</v>
      </c>
      <c r="J394" s="436" t="s">
        <v>178</v>
      </c>
      <c r="K394" s="437">
        <v>44209</v>
      </c>
      <c r="L394" s="437"/>
      <c r="M394" s="305" t="s">
        <v>179</v>
      </c>
      <c r="N394" s="16" t="s">
        <v>80</v>
      </c>
      <c r="O394" s="7">
        <v>20954</v>
      </c>
      <c r="P394" s="16" t="s">
        <v>180</v>
      </c>
      <c r="Q394" s="16" t="s">
        <v>82</v>
      </c>
      <c r="R394" s="16" t="s">
        <v>279</v>
      </c>
      <c r="S394" s="17" t="s">
        <v>83</v>
      </c>
      <c r="T394" s="16" t="s">
        <v>84</v>
      </c>
      <c r="V394" s="16" t="s">
        <v>143</v>
      </c>
      <c r="W394" s="16" t="s">
        <v>143</v>
      </c>
      <c r="X394" s="303" t="s">
        <v>103</v>
      </c>
      <c r="Z394" s="16" t="s">
        <v>1817</v>
      </c>
      <c r="AA394">
        <v>40</v>
      </c>
      <c r="AB394" t="s">
        <v>1505</v>
      </c>
      <c r="AC394" s="183"/>
      <c r="AE394" s="183"/>
      <c r="AH394" s="16" t="s">
        <v>94</v>
      </c>
      <c r="AL394" s="16" t="s">
        <v>83</v>
      </c>
      <c r="AM394" s="90">
        <v>4250</v>
      </c>
      <c r="AN394" s="79">
        <v>1</v>
      </c>
      <c r="AO394" s="15">
        <v>3400</v>
      </c>
      <c r="AW394" s="7"/>
      <c r="AZ394" t="s">
        <v>374</v>
      </c>
      <c r="BA394">
        <v>17</v>
      </c>
    </row>
    <row r="395" spans="1:53" ht="15.75" customHeight="1">
      <c r="A395" s="273">
        <v>18</v>
      </c>
      <c r="B395" s="273" t="str">
        <f t="shared" ref="B395:B458" si="27">IF(L395&gt;0,"NEAKTIVAN","AKTIVAN")</f>
        <v>AKTIVAN</v>
      </c>
      <c r="C395" s="302">
        <f t="shared" si="26"/>
        <v>393</v>
      </c>
      <c r="D395" s="258">
        <v>36</v>
      </c>
      <c r="E395" s="1" t="str">
        <f>VLOOKUP(D395,Table3[[#All],[RB]:[OIB]],2,0)</f>
        <v>Vital Group d.o.o.</v>
      </c>
      <c r="F395" s="4">
        <f>VLOOKUP(D395,Table3[],3,0)</f>
        <v>45575918003</v>
      </c>
      <c r="G395" s="1" t="str">
        <f>VLOOKUP(D395,Table3[],4,0)</f>
        <v>Balázs Kulcsár</v>
      </c>
      <c r="H395" s="1" t="str">
        <f>VLOOKUP(D395,POSLODAVCI!$A$2:$J$107,9,0)</f>
        <v>Osijek</v>
      </c>
      <c r="I395" s="1" t="str">
        <f>VLOOKUP(D395,Table3[],10,0)</f>
        <v>Ribarska 10</v>
      </c>
      <c r="J395" s="439" t="s">
        <v>141</v>
      </c>
      <c r="K395" s="437">
        <v>44215</v>
      </c>
      <c r="L395" s="437"/>
      <c r="M395">
        <v>951235574</v>
      </c>
      <c r="N395" s="16" t="s">
        <v>80</v>
      </c>
      <c r="O395" s="7">
        <v>25776</v>
      </c>
      <c r="P395" s="16" t="s">
        <v>94</v>
      </c>
      <c r="Q395" s="16" t="s">
        <v>82</v>
      </c>
      <c r="R395" s="16" t="s">
        <v>266</v>
      </c>
      <c r="S395" s="17" t="s">
        <v>83</v>
      </c>
      <c r="T395" s="16" t="s">
        <v>84</v>
      </c>
      <c r="V395" s="16" t="s">
        <v>143</v>
      </c>
      <c r="W395" s="16" t="s">
        <v>143</v>
      </c>
      <c r="X395" s="303" t="s">
        <v>103</v>
      </c>
      <c r="Z395" s="16" t="s">
        <v>1817</v>
      </c>
      <c r="AA395">
        <v>40</v>
      </c>
      <c r="AB395" t="s">
        <v>1507</v>
      </c>
      <c r="AC395" s="183"/>
      <c r="AE395" s="183"/>
      <c r="AH395" s="16" t="s">
        <v>94</v>
      </c>
      <c r="AL395" s="16" t="s">
        <v>83</v>
      </c>
      <c r="AM395" s="90">
        <v>4250</v>
      </c>
      <c r="AN395" s="79">
        <v>1.7</v>
      </c>
      <c r="AO395" s="15">
        <v>3400</v>
      </c>
      <c r="AW395" s="7"/>
      <c r="AY395">
        <v>0</v>
      </c>
      <c r="AZ395" t="str">
        <f>IF(L395&gt;0,"NEAKTIVAN","AKTIVAN")</f>
        <v>AKTIVAN</v>
      </c>
      <c r="BA395">
        <v>18</v>
      </c>
    </row>
    <row r="396" spans="1:53" ht="15.75" customHeight="1">
      <c r="A396" s="273">
        <v>19</v>
      </c>
      <c r="B396" s="273" t="str">
        <f t="shared" si="27"/>
        <v>AKTIVAN</v>
      </c>
      <c r="C396" s="302">
        <f t="shared" si="26"/>
        <v>394</v>
      </c>
      <c r="D396" s="258">
        <v>36</v>
      </c>
      <c r="E396" s="1" t="str">
        <f>VLOOKUP(D396,Table3[[#All],[RB]:[OIB]],2,0)</f>
        <v>Vital Group d.o.o.</v>
      </c>
      <c r="F396" s="4">
        <f>VLOOKUP(D396,Table3[],3,0)</f>
        <v>45575918003</v>
      </c>
      <c r="G396" s="1" t="str">
        <f>VLOOKUP(D396,Table3[],4,0)</f>
        <v>Balázs Kulcsár</v>
      </c>
      <c r="H396" s="1" t="str">
        <f>VLOOKUP(D396,POSLODAVCI!$A$2:$J$107,9,0)</f>
        <v>Osijek</v>
      </c>
      <c r="I396" s="1" t="str">
        <f>VLOOKUP(D396,Table3[],10,0)</f>
        <v>Ribarska 10</v>
      </c>
      <c r="J396" s="439" t="s">
        <v>1506</v>
      </c>
      <c r="K396" s="437">
        <v>44215</v>
      </c>
      <c r="L396" s="437"/>
      <c r="M396" s="182">
        <v>20968805238</v>
      </c>
      <c r="N396" s="16" t="s">
        <v>80</v>
      </c>
      <c r="O396" s="67">
        <v>29604</v>
      </c>
      <c r="P396" s="16" t="s">
        <v>94</v>
      </c>
      <c r="Q396" s="16" t="s">
        <v>82</v>
      </c>
      <c r="R396" s="16" t="s">
        <v>525</v>
      </c>
      <c r="S396" s="17" t="s">
        <v>83</v>
      </c>
      <c r="T396" s="16" t="s">
        <v>84</v>
      </c>
      <c r="U396" s="16"/>
      <c r="V396" s="16" t="s">
        <v>143</v>
      </c>
      <c r="W396" s="16" t="s">
        <v>143</v>
      </c>
      <c r="X396" s="303" t="s">
        <v>103</v>
      </c>
      <c r="Y396" s="7"/>
      <c r="Z396" s="16" t="s">
        <v>1817</v>
      </c>
      <c r="AA396" s="16">
        <v>40</v>
      </c>
      <c r="AB396" s="16" t="s">
        <v>526</v>
      </c>
      <c r="AC396" s="183"/>
      <c r="AD396" s="16"/>
      <c r="AE396" s="183"/>
      <c r="AF396" s="16"/>
      <c r="AG396" s="16"/>
      <c r="AH396" s="16" t="s">
        <v>94</v>
      </c>
      <c r="AI396" s="16"/>
      <c r="AJ396" s="16"/>
      <c r="AK396" s="16"/>
      <c r="AL396" s="16" t="s">
        <v>83</v>
      </c>
      <c r="AM396" s="90">
        <v>4250</v>
      </c>
      <c r="AN396" s="184">
        <v>1</v>
      </c>
      <c r="AO396" s="15">
        <v>3400</v>
      </c>
      <c r="AQ396" s="16"/>
      <c r="AR396" s="16"/>
      <c r="AS396" s="16"/>
      <c r="AT396" s="16"/>
      <c r="AU396" s="16"/>
      <c r="AV396" s="16"/>
      <c r="AW396" s="7"/>
      <c r="AX396" s="16"/>
      <c r="AY396" s="16"/>
      <c r="AZ396" s="16" t="s">
        <v>374</v>
      </c>
      <c r="BA396">
        <f>A396</f>
        <v>19</v>
      </c>
    </row>
    <row r="397" spans="1:53" ht="15.75" customHeight="1">
      <c r="A397" s="273">
        <v>20</v>
      </c>
      <c r="B397" s="273" t="str">
        <f t="shared" si="27"/>
        <v>AKTIVAN</v>
      </c>
      <c r="C397" s="302">
        <f t="shared" si="26"/>
        <v>395</v>
      </c>
      <c r="D397" s="258">
        <v>36</v>
      </c>
      <c r="E397" s="1" t="str">
        <f>VLOOKUP(D397,Table3[[#All],[RB]:[OIB]],2,0)</f>
        <v>Vital Group d.o.o.</v>
      </c>
      <c r="F397" s="4">
        <f>VLOOKUP(D397,Table3[],3,0)</f>
        <v>45575918003</v>
      </c>
      <c r="G397" s="1" t="str">
        <f>VLOOKUP(D397,Table3[],4,0)</f>
        <v>Balázs Kulcsár</v>
      </c>
      <c r="H397" s="1" t="str">
        <f>VLOOKUP(D397,POSLODAVCI!$A$2:$J$107,9,0)</f>
        <v>Osijek</v>
      </c>
      <c r="I397" s="1" t="str">
        <f>VLOOKUP(D397,Table3[],10,0)</f>
        <v>Ribarska 10</v>
      </c>
      <c r="J397" s="439" t="s">
        <v>190</v>
      </c>
      <c r="K397" s="438">
        <v>44216</v>
      </c>
      <c r="L397" s="438"/>
      <c r="M397" s="89" t="s">
        <v>191</v>
      </c>
      <c r="N397" t="s">
        <v>80</v>
      </c>
      <c r="O397" s="7">
        <v>21982</v>
      </c>
      <c r="P397" t="s">
        <v>81</v>
      </c>
      <c r="Q397" t="s">
        <v>82</v>
      </c>
      <c r="R397" t="s">
        <v>1510</v>
      </c>
      <c r="S397" s="5" t="s">
        <v>83</v>
      </c>
      <c r="T397" t="s">
        <v>84</v>
      </c>
      <c r="V397" t="s">
        <v>143</v>
      </c>
      <c r="W397" t="s">
        <v>143</v>
      </c>
      <c r="X397" s="306" t="s">
        <v>103</v>
      </c>
      <c r="Y397" s="7"/>
      <c r="Z397" s="16" t="s">
        <v>1817</v>
      </c>
      <c r="AA397">
        <v>40</v>
      </c>
      <c r="AB397" t="s">
        <v>1511</v>
      </c>
      <c r="AC397" s="183"/>
      <c r="AE397" s="183"/>
      <c r="AH397" t="s">
        <v>94</v>
      </c>
      <c r="AL397" t="s">
        <v>83</v>
      </c>
      <c r="AM397" s="261">
        <v>4250</v>
      </c>
      <c r="AN397" s="184">
        <v>1</v>
      </c>
      <c r="AO397" s="15">
        <v>3400</v>
      </c>
      <c r="AW397" s="7"/>
      <c r="AZ397" t="s">
        <v>374</v>
      </c>
      <c r="BA397">
        <v>20</v>
      </c>
    </row>
    <row r="398" spans="1:53" ht="15.75" customHeight="1">
      <c r="A398" s="273">
        <v>21</v>
      </c>
      <c r="B398" s="273" t="str">
        <f t="shared" si="27"/>
        <v>NEAKTIVAN</v>
      </c>
      <c r="C398" s="302">
        <f t="shared" si="26"/>
        <v>396</v>
      </c>
      <c r="D398" s="258">
        <v>36</v>
      </c>
      <c r="E398" s="1" t="str">
        <f>VLOOKUP(D398,Table3[[#All],[RB]:[OIB]],2,0)</f>
        <v>Vital Group d.o.o.</v>
      </c>
      <c r="F398" s="4">
        <f>VLOOKUP(D398,Table3[],3,0)</f>
        <v>45575918003</v>
      </c>
      <c r="G398" s="1" t="str">
        <f>VLOOKUP(D398,Table3[],4,0)</f>
        <v>Balázs Kulcsár</v>
      </c>
      <c r="H398" s="1" t="str">
        <f>VLOOKUP(D398,POSLODAVCI!$A$2:$J$107,9,0)</f>
        <v>Osijek</v>
      </c>
      <c r="I398" s="1" t="str">
        <f>VLOOKUP(D398,Table3[],10,0)</f>
        <v>Ribarska 10</v>
      </c>
      <c r="J398" s="258" t="s">
        <v>159</v>
      </c>
      <c r="K398" s="272">
        <v>44216</v>
      </c>
      <c r="L398" s="272">
        <v>44232</v>
      </c>
      <c r="M398" s="182">
        <v>35395242811</v>
      </c>
      <c r="N398" t="s">
        <v>80</v>
      </c>
      <c r="O398" s="7">
        <v>28404</v>
      </c>
      <c r="P398" t="s">
        <v>94</v>
      </c>
      <c r="Q398" t="s">
        <v>82</v>
      </c>
      <c r="R398" t="s">
        <v>161</v>
      </c>
      <c r="S398" s="5" t="s">
        <v>83</v>
      </c>
      <c r="T398" t="s">
        <v>84</v>
      </c>
      <c r="V398" t="s">
        <v>143</v>
      </c>
      <c r="W398" t="s">
        <v>143</v>
      </c>
      <c r="X398" s="306" t="s">
        <v>103</v>
      </c>
      <c r="Y398" s="7"/>
      <c r="Z398" s="16" t="s">
        <v>1817</v>
      </c>
      <c r="AA398">
        <v>40</v>
      </c>
      <c r="AB398" t="s">
        <v>1512</v>
      </c>
      <c r="AC398" s="183"/>
      <c r="AE398" s="183"/>
      <c r="AH398" t="s">
        <v>94</v>
      </c>
      <c r="AL398" t="s">
        <v>83</v>
      </c>
      <c r="AM398" s="261">
        <v>4250</v>
      </c>
      <c r="AN398" s="184">
        <v>1</v>
      </c>
      <c r="AO398" s="15">
        <v>3400</v>
      </c>
      <c r="AW398" s="7"/>
      <c r="AZ398" t="s">
        <v>255</v>
      </c>
      <c r="BA398">
        <v>21</v>
      </c>
    </row>
    <row r="399" spans="1:53" ht="15.75" customHeight="1">
      <c r="A399" s="273">
        <v>22</v>
      </c>
      <c r="B399" s="273" t="str">
        <f t="shared" si="27"/>
        <v>NEAKTIVAN</v>
      </c>
      <c r="C399" s="302">
        <f t="shared" si="26"/>
        <v>397</v>
      </c>
      <c r="D399" s="258">
        <v>36</v>
      </c>
      <c r="E399" s="1" t="str">
        <f>VLOOKUP(D399,Table3[[#All],[RB]:[OIB]],2,0)</f>
        <v>Vital Group d.o.o.</v>
      </c>
      <c r="F399" s="4">
        <f>VLOOKUP(D399,Table3[],3,0)</f>
        <v>45575918003</v>
      </c>
      <c r="G399" s="1" t="str">
        <f>VLOOKUP(D399,Table3[],4,0)</f>
        <v>Balázs Kulcsár</v>
      </c>
      <c r="H399" s="1" t="str">
        <f>VLOOKUP(D399,POSLODAVCI!$A$2:$J$107,9,0)</f>
        <v>Osijek</v>
      </c>
      <c r="I399" s="1" t="str">
        <f>VLOOKUP(D399,Table3[],10,0)</f>
        <v>Ribarska 10</v>
      </c>
      <c r="J399" s="258" t="s">
        <v>1513</v>
      </c>
      <c r="K399" s="272">
        <v>44216</v>
      </c>
      <c r="L399" s="272">
        <v>44391</v>
      </c>
      <c r="M399" s="182">
        <v>35070183473</v>
      </c>
      <c r="N399" t="s">
        <v>80</v>
      </c>
      <c r="O399" s="7">
        <v>31100</v>
      </c>
      <c r="P399" t="s">
        <v>94</v>
      </c>
      <c r="Q399" t="s">
        <v>82</v>
      </c>
      <c r="R399" t="s">
        <v>1521</v>
      </c>
      <c r="S399" s="5" t="s">
        <v>83</v>
      </c>
      <c r="T399" t="s">
        <v>84</v>
      </c>
      <c r="V399" t="s">
        <v>143</v>
      </c>
      <c r="W399" t="s">
        <v>143</v>
      </c>
      <c r="X399" s="306" t="s">
        <v>103</v>
      </c>
      <c r="Y399" s="7"/>
      <c r="Z399" s="16" t="s">
        <v>1817</v>
      </c>
      <c r="AA399">
        <v>40</v>
      </c>
      <c r="AB399" t="s">
        <v>563</v>
      </c>
      <c r="AC399" s="183"/>
      <c r="AE399" s="183"/>
      <c r="AH399" t="s">
        <v>94</v>
      </c>
      <c r="AL399" t="s">
        <v>83</v>
      </c>
      <c r="AM399" s="261">
        <v>4250</v>
      </c>
      <c r="AN399" s="184">
        <v>1</v>
      </c>
      <c r="AO399" s="15">
        <v>3400</v>
      </c>
      <c r="AW399" s="7"/>
      <c r="AZ399" t="s">
        <v>255</v>
      </c>
      <c r="BA399">
        <v>22</v>
      </c>
    </row>
    <row r="400" spans="1:53" ht="15.75" customHeight="1">
      <c r="A400" s="273">
        <v>23</v>
      </c>
      <c r="B400" s="273" t="str">
        <f t="shared" si="27"/>
        <v>AKTIVAN</v>
      </c>
      <c r="C400" s="302">
        <f t="shared" si="26"/>
        <v>398</v>
      </c>
      <c r="D400" s="258">
        <v>36</v>
      </c>
      <c r="E400" s="1" t="str">
        <f>VLOOKUP(D400,Table3[[#All],[RB]:[OIB]],2,0)</f>
        <v>Vital Group d.o.o.</v>
      </c>
      <c r="F400" s="4">
        <f>VLOOKUP(D400,Table3[],3,0)</f>
        <v>45575918003</v>
      </c>
      <c r="G400" s="1" t="str">
        <f>VLOOKUP(D400,Table3[],4,0)</f>
        <v>Balázs Kulcsár</v>
      </c>
      <c r="H400" s="1" t="str">
        <f>VLOOKUP(D400,POSLODAVCI!$A$2:$J$107,9,0)</f>
        <v>Osijek</v>
      </c>
      <c r="I400" s="1" t="str">
        <f>VLOOKUP(D400,Table3[],10,0)</f>
        <v>Ribarska 10</v>
      </c>
      <c r="J400" s="439" t="s">
        <v>1514</v>
      </c>
      <c r="K400" s="438">
        <v>44216</v>
      </c>
      <c r="L400" s="438"/>
      <c r="M400" s="89" t="s">
        <v>1516</v>
      </c>
      <c r="N400" t="s">
        <v>80</v>
      </c>
      <c r="O400" s="7">
        <v>21814</v>
      </c>
      <c r="P400" t="s">
        <v>94</v>
      </c>
      <c r="Q400" t="s">
        <v>82</v>
      </c>
      <c r="R400" t="s">
        <v>1515</v>
      </c>
      <c r="S400" s="5" t="s">
        <v>83</v>
      </c>
      <c r="T400" t="s">
        <v>84</v>
      </c>
      <c r="V400" t="s">
        <v>143</v>
      </c>
      <c r="W400" t="s">
        <v>143</v>
      </c>
      <c r="X400" s="306" t="s">
        <v>103</v>
      </c>
      <c r="Y400" s="7"/>
      <c r="Z400" s="16" t="s">
        <v>1817</v>
      </c>
      <c r="AA400">
        <v>40</v>
      </c>
      <c r="AB400" t="s">
        <v>585</v>
      </c>
      <c r="AC400" s="183"/>
      <c r="AE400" s="183"/>
      <c r="AH400" t="s">
        <v>94</v>
      </c>
      <c r="AL400" t="s">
        <v>83</v>
      </c>
      <c r="AM400" s="261">
        <v>4250</v>
      </c>
      <c r="AN400" s="184">
        <v>1</v>
      </c>
      <c r="AO400" s="15">
        <v>3400</v>
      </c>
      <c r="AW400" s="7"/>
      <c r="AZ400" t="s">
        <v>374</v>
      </c>
      <c r="BA400">
        <v>23</v>
      </c>
    </row>
    <row r="401" spans="1:53" ht="15.75" customHeight="1">
      <c r="A401" s="273">
        <v>24</v>
      </c>
      <c r="B401" s="273" t="str">
        <f t="shared" si="27"/>
        <v>NEAKTIVAN</v>
      </c>
      <c r="C401" s="302">
        <f t="shared" si="26"/>
        <v>399</v>
      </c>
      <c r="D401" s="258">
        <v>36</v>
      </c>
      <c r="E401" s="1" t="str">
        <f>VLOOKUP(D401,Table3[[#All],[RB]:[OIB]],2,0)</f>
        <v>Vital Group d.o.o.</v>
      </c>
      <c r="F401" s="4">
        <f>VLOOKUP(D401,Table3[],3,0)</f>
        <v>45575918003</v>
      </c>
      <c r="G401" s="1" t="str">
        <f>VLOOKUP(D401,Table3[],4,0)</f>
        <v>Balázs Kulcsár</v>
      </c>
      <c r="H401" s="1" t="str">
        <f>VLOOKUP(D401,POSLODAVCI!$A$2:$J$107,9,0)</f>
        <v>Osijek</v>
      </c>
      <c r="I401" s="1" t="str">
        <f>VLOOKUP(D401,Table3[],10,0)</f>
        <v>Ribarska 10</v>
      </c>
      <c r="J401" s="258" t="s">
        <v>1517</v>
      </c>
      <c r="K401" s="272">
        <v>44221</v>
      </c>
      <c r="L401" s="272">
        <v>44395</v>
      </c>
      <c r="M401" s="182">
        <v>72094958860</v>
      </c>
      <c r="N401" s="16" t="s">
        <v>80</v>
      </c>
      <c r="O401" s="7">
        <v>35137</v>
      </c>
      <c r="P401" s="16" t="s">
        <v>1518</v>
      </c>
      <c r="Q401" s="16" t="s">
        <v>82</v>
      </c>
      <c r="R401" s="16" t="s">
        <v>717</v>
      </c>
      <c r="S401" s="17" t="s">
        <v>83</v>
      </c>
      <c r="T401" s="16" t="s">
        <v>84</v>
      </c>
      <c r="U401" s="16"/>
      <c r="V401" s="16" t="s">
        <v>660</v>
      </c>
      <c r="W401" s="16" t="s">
        <v>718</v>
      </c>
      <c r="X401" s="303" t="s">
        <v>103</v>
      </c>
      <c r="Y401" s="7"/>
      <c r="Z401" s="16" t="s">
        <v>1817</v>
      </c>
      <c r="AA401" s="16">
        <v>40</v>
      </c>
      <c r="AB401" s="16" t="s">
        <v>719</v>
      </c>
      <c r="AC401" s="183"/>
      <c r="AD401" s="16"/>
      <c r="AE401" s="183"/>
      <c r="AF401" s="16"/>
      <c r="AG401" s="16"/>
      <c r="AH401" s="16" t="s">
        <v>81</v>
      </c>
      <c r="AI401" s="16"/>
      <c r="AJ401" s="16"/>
      <c r="AK401" s="16"/>
      <c r="AL401" s="16" t="s">
        <v>83</v>
      </c>
      <c r="AM401" s="90">
        <v>4375</v>
      </c>
      <c r="AN401" s="184">
        <v>1</v>
      </c>
      <c r="AO401" s="15">
        <v>3500</v>
      </c>
      <c r="AQ401" s="16"/>
      <c r="AR401" s="16"/>
      <c r="AS401" s="16"/>
      <c r="AT401" s="16"/>
      <c r="AU401" s="16"/>
      <c r="AV401" s="16"/>
      <c r="AW401" s="7"/>
      <c r="AX401" s="16"/>
      <c r="AY401" s="16"/>
      <c r="AZ401" s="16" t="s">
        <v>255</v>
      </c>
      <c r="BA401">
        <v>24</v>
      </c>
    </row>
    <row r="402" spans="1:53" ht="15" customHeight="1">
      <c r="A402" s="273">
        <v>25</v>
      </c>
      <c r="B402" s="273" t="str">
        <f t="shared" si="27"/>
        <v>NEAKTIVAN</v>
      </c>
      <c r="C402" s="302">
        <f t="shared" si="26"/>
        <v>400</v>
      </c>
      <c r="D402" s="258">
        <v>36</v>
      </c>
      <c r="E402" s="1" t="str">
        <f>VLOOKUP(D402,Table3[[#All],[RB]:[OIB]],2,0)</f>
        <v>Vital Group d.o.o.</v>
      </c>
      <c r="F402" s="4">
        <f>VLOOKUP(D402,Table3[],3,0)</f>
        <v>45575918003</v>
      </c>
      <c r="G402" s="1" t="str">
        <f>VLOOKUP(D402,Table3[],4,0)</f>
        <v>Balázs Kulcsár</v>
      </c>
      <c r="H402" s="1" t="str">
        <f>VLOOKUP(D402,POSLODAVCI!$A$2:$J$107,9,0)</f>
        <v>Osijek</v>
      </c>
      <c r="I402" s="1" t="str">
        <f>VLOOKUP(D402,Table3[],10,0)</f>
        <v>Ribarska 10</v>
      </c>
      <c r="J402" s="258" t="s">
        <v>139</v>
      </c>
      <c r="K402" s="272">
        <v>44221</v>
      </c>
      <c r="L402" s="272">
        <v>44589</v>
      </c>
      <c r="M402" s="78" t="s">
        <v>140</v>
      </c>
      <c r="N402" s="16" t="s">
        <v>89</v>
      </c>
      <c r="O402" s="7">
        <v>34051</v>
      </c>
      <c r="P402" s="16" t="s">
        <v>94</v>
      </c>
      <c r="Q402" s="16" t="s">
        <v>82</v>
      </c>
      <c r="R402" s="16" t="s">
        <v>1520</v>
      </c>
      <c r="S402" s="17" t="s">
        <v>83</v>
      </c>
      <c r="T402" s="16" t="s">
        <v>84</v>
      </c>
      <c r="V402" s="16" t="s">
        <v>116</v>
      </c>
      <c r="W402" s="16" t="s">
        <v>116</v>
      </c>
      <c r="X402" s="303" t="s">
        <v>103</v>
      </c>
      <c r="Z402" s="16" t="s">
        <v>1817</v>
      </c>
      <c r="AA402">
        <v>40</v>
      </c>
      <c r="AC402" s="183"/>
      <c r="AE402" s="183"/>
      <c r="AH402" s="16" t="s">
        <v>94</v>
      </c>
      <c r="AL402" s="16" t="s">
        <v>83</v>
      </c>
      <c r="AM402" s="15">
        <v>4375</v>
      </c>
      <c r="AN402" s="79">
        <v>1</v>
      </c>
      <c r="AO402" s="15">
        <v>3500</v>
      </c>
      <c r="AW402" s="7"/>
      <c r="AY402">
        <v>0</v>
      </c>
      <c r="AZ402" t="s">
        <v>255</v>
      </c>
      <c r="BA402">
        <v>25</v>
      </c>
    </row>
    <row r="403" spans="1:53" ht="15.75" customHeight="1">
      <c r="A403" s="273">
        <v>1</v>
      </c>
      <c r="B403" s="273" t="str">
        <f t="shared" si="27"/>
        <v>NEAKTIVAN</v>
      </c>
      <c r="C403" s="302">
        <f t="shared" si="26"/>
        <v>401</v>
      </c>
      <c r="D403" s="258">
        <v>37</v>
      </c>
      <c r="E403" s="1" t="str">
        <f>VLOOKUP(D403,Table3[[#All],[RB]:[OIB]],2,0)</f>
        <v>DAZOL TRANS d.o.o.</v>
      </c>
      <c r="F403" s="4">
        <f>VLOOKUP(D403,Table3[],3,0)</f>
        <v>29241410238</v>
      </c>
      <c r="G403" s="1" t="str">
        <f>VLOOKUP(D403,Table3[],4,0)</f>
        <v>Zoltán Károly Sinkovits</v>
      </c>
      <c r="H403" s="1" t="str">
        <f>VLOOKUP(D403,POSLODAVCI!$A$2:$J$107,9,0)</f>
        <v>Zagreb</v>
      </c>
      <c r="I403" s="1" t="str">
        <f>VLOOKUP(D403,Table3[],10,0)</f>
        <v>Cankarova ulica 1</v>
      </c>
      <c r="J403" s="258" t="s">
        <v>1526</v>
      </c>
      <c r="K403" s="272">
        <v>44166</v>
      </c>
      <c r="L403" s="272">
        <v>44168</v>
      </c>
      <c r="M403" s="182">
        <v>65607516186</v>
      </c>
      <c r="N403" t="s">
        <v>80</v>
      </c>
      <c r="O403" s="7">
        <v>36861</v>
      </c>
      <c r="P403" t="s">
        <v>94</v>
      </c>
      <c r="Q403" t="s">
        <v>82</v>
      </c>
      <c r="R403" t="s">
        <v>1531</v>
      </c>
      <c r="S403" s="5" t="s">
        <v>428</v>
      </c>
      <c r="T403" t="s">
        <v>84</v>
      </c>
      <c r="V403" t="s">
        <v>1529</v>
      </c>
      <c r="W403" t="s">
        <v>1529</v>
      </c>
      <c r="X403" s="306" t="s">
        <v>85</v>
      </c>
      <c r="Y403" s="7">
        <v>44168</v>
      </c>
      <c r="Z403" s="16" t="s">
        <v>1817</v>
      </c>
      <c r="AA403">
        <v>40</v>
      </c>
      <c r="AC403" s="183"/>
      <c r="AE403" s="183"/>
      <c r="AH403" t="s">
        <v>94</v>
      </c>
      <c r="AL403" t="s">
        <v>83</v>
      </c>
      <c r="AM403" s="261">
        <v>4062.51</v>
      </c>
      <c r="AN403" s="184">
        <v>1</v>
      </c>
      <c r="AO403" s="15">
        <v>3250</v>
      </c>
      <c r="AW403" s="7"/>
      <c r="AZ403" t="s">
        <v>255</v>
      </c>
      <c r="BA403">
        <v>1</v>
      </c>
    </row>
    <row r="404" spans="1:53" ht="15.75" customHeight="1">
      <c r="A404" s="273">
        <v>2</v>
      </c>
      <c r="B404" s="273" t="str">
        <f t="shared" si="27"/>
        <v>AKTIVAN</v>
      </c>
      <c r="C404" s="302">
        <f t="shared" si="26"/>
        <v>402</v>
      </c>
      <c r="D404" s="258">
        <v>37</v>
      </c>
      <c r="E404" s="1" t="str">
        <f>VLOOKUP(D404,Table3[[#All],[RB]:[OIB]],2,0)</f>
        <v>DAZOL TRANS d.o.o.</v>
      </c>
      <c r="F404" s="4">
        <f>VLOOKUP(D404,Table3[],3,0)</f>
        <v>29241410238</v>
      </c>
      <c r="G404" s="1" t="str">
        <f>VLOOKUP(D404,Table3[],4,0)</f>
        <v>Zoltán Károly Sinkovits</v>
      </c>
      <c r="H404" s="1" t="str">
        <f>VLOOKUP(D404,POSLODAVCI!$A$2:$J$107,9,0)</f>
        <v>Zagreb</v>
      </c>
      <c r="I404" s="1" t="str">
        <f>VLOOKUP(D404,Table3[],10,0)</f>
        <v>Cankarova ulica 1</v>
      </c>
      <c r="J404" s="258" t="s">
        <v>1527</v>
      </c>
      <c r="K404" s="272">
        <v>44228</v>
      </c>
      <c r="L404" s="272"/>
      <c r="M404" s="182">
        <v>99678442480</v>
      </c>
      <c r="N404" t="s">
        <v>80</v>
      </c>
      <c r="O404" s="7">
        <v>32959</v>
      </c>
      <c r="P404" t="s">
        <v>94</v>
      </c>
      <c r="Q404" t="s">
        <v>82</v>
      </c>
      <c r="R404" t="s">
        <v>1528</v>
      </c>
      <c r="S404" s="5" t="s">
        <v>428</v>
      </c>
      <c r="T404" t="s">
        <v>84</v>
      </c>
      <c r="V404" t="s">
        <v>1529</v>
      </c>
      <c r="W404" t="s">
        <v>1529</v>
      </c>
      <c r="X404" s="306" t="s">
        <v>85</v>
      </c>
      <c r="Y404" s="7">
        <v>44316</v>
      </c>
      <c r="Z404" s="16" t="s">
        <v>1817</v>
      </c>
      <c r="AA404">
        <v>40</v>
      </c>
      <c r="AB404" t="s">
        <v>1530</v>
      </c>
      <c r="AC404" s="183"/>
      <c r="AE404" s="183"/>
      <c r="AH404" t="s">
        <v>192</v>
      </c>
      <c r="AL404" t="s">
        <v>83</v>
      </c>
      <c r="AM404" s="261">
        <v>4250</v>
      </c>
      <c r="AN404" s="184">
        <v>1</v>
      </c>
      <c r="AO404" s="15">
        <v>3400</v>
      </c>
      <c r="AW404" s="7"/>
      <c r="AZ404" t="s">
        <v>374</v>
      </c>
      <c r="BA404">
        <v>2</v>
      </c>
    </row>
    <row r="405" spans="1:53" ht="15.75" customHeight="1">
      <c r="A405" s="273">
        <v>1</v>
      </c>
      <c r="B405" s="273" t="str">
        <f t="shared" si="27"/>
        <v>AKTIVAN</v>
      </c>
      <c r="C405" s="302">
        <f t="shared" si="26"/>
        <v>403</v>
      </c>
      <c r="D405" s="258">
        <v>38</v>
      </c>
      <c r="E405" s="1" t="str">
        <f>VLOOKUP(D405,Table3[[#All],[RB]:[OIB]],2,0)</f>
        <v>Doran031 j.d.o.o.</v>
      </c>
      <c r="F405" s="4" t="str">
        <f>VLOOKUP(D405,Table3[],3,0)</f>
        <v>06024223998</v>
      </c>
      <c r="G405" s="1" t="str">
        <f>VLOOKUP(D405,Table3[],4,0)</f>
        <v>Gyula Kovács</v>
      </c>
      <c r="H405" s="1" t="str">
        <f>VLOOKUP(D405,POSLODAVCI!$A$2:$J$107,9,0)</f>
        <v>Osijek</v>
      </c>
      <c r="I405" s="1" t="str">
        <f>VLOOKUP(D405,Table3[],10,0)</f>
        <v>Ivana Gundulića 28</v>
      </c>
      <c r="J405" s="258" t="s">
        <v>1533</v>
      </c>
      <c r="K405" s="272">
        <v>44236</v>
      </c>
      <c r="L405" s="272"/>
      <c r="M405" s="182">
        <v>45889176122</v>
      </c>
      <c r="N405" t="s">
        <v>89</v>
      </c>
      <c r="O405" s="7">
        <v>26764</v>
      </c>
      <c r="P405" t="s">
        <v>1535</v>
      </c>
      <c r="Q405" t="s">
        <v>1536</v>
      </c>
      <c r="R405" t="s">
        <v>1537</v>
      </c>
      <c r="S405" s="5" t="s">
        <v>428</v>
      </c>
      <c r="T405" t="s">
        <v>84</v>
      </c>
      <c r="V405" t="s">
        <v>1538</v>
      </c>
      <c r="W405" t="s">
        <v>1538</v>
      </c>
      <c r="X405" s="306" t="s">
        <v>103</v>
      </c>
      <c r="Y405" s="7"/>
      <c r="Z405" s="16" t="s">
        <v>1894</v>
      </c>
      <c r="AA405">
        <v>2</v>
      </c>
      <c r="AB405" t="s">
        <v>1539</v>
      </c>
      <c r="AC405" s="183"/>
      <c r="AE405" s="183"/>
      <c r="AH405" t="s">
        <v>94</v>
      </c>
      <c r="AL405" t="s">
        <v>428</v>
      </c>
      <c r="AM405" s="261">
        <v>300</v>
      </c>
      <c r="AN405" s="184">
        <v>1</v>
      </c>
      <c r="AO405" s="15">
        <v>185.76</v>
      </c>
      <c r="AW405" s="7"/>
      <c r="AZ405" t="s">
        <v>374</v>
      </c>
      <c r="BA405">
        <v>1</v>
      </c>
    </row>
    <row r="406" spans="1:53" ht="15.75" customHeight="1">
      <c r="A406" s="273">
        <v>3</v>
      </c>
      <c r="B406" s="273" t="str">
        <f t="shared" si="27"/>
        <v>AKTIVAN</v>
      </c>
      <c r="C406" s="302">
        <f t="shared" si="26"/>
        <v>404</v>
      </c>
      <c r="D406" s="258">
        <v>12</v>
      </c>
      <c r="E406" s="1" t="str">
        <f>VLOOKUP(D406,Table3[[#All],[RB]:[OIB]],2,0)</f>
        <v>Gumenet d.o.o.</v>
      </c>
      <c r="F406" s="4">
        <f>VLOOKUP(D406,Table3[],3,0)</f>
        <v>15151568161</v>
      </c>
      <c r="G406" s="1" t="str">
        <f>VLOOKUP(D406,Table3[],4,0)</f>
        <v>Zoltan Buthi</v>
      </c>
      <c r="H406" s="1" t="str">
        <f>VLOOKUP(D406,POSLODAVCI!$A$2:$J$107,9,0)</f>
        <v>Osijek</v>
      </c>
      <c r="I406" s="1" t="str">
        <f>VLOOKUP(D406,Table3[],10,0)</f>
        <v>I.F. Gundulića 5, 31000 Osijek</v>
      </c>
      <c r="J406" s="315" t="s">
        <v>727</v>
      </c>
      <c r="K406" s="317">
        <v>44256</v>
      </c>
      <c r="L406" s="317"/>
      <c r="M406" s="318" t="s">
        <v>728</v>
      </c>
      <c r="N406" s="316" t="s">
        <v>80</v>
      </c>
      <c r="O406" s="319">
        <v>29580</v>
      </c>
      <c r="P406" s="316" t="s">
        <v>729</v>
      </c>
      <c r="Q406" s="316" t="s">
        <v>82</v>
      </c>
      <c r="R406" s="316" t="s">
        <v>730</v>
      </c>
      <c r="S406" s="320" t="s">
        <v>83</v>
      </c>
      <c r="T406" s="316" t="s">
        <v>84</v>
      </c>
      <c r="U406" s="316"/>
      <c r="V406" s="316" t="s">
        <v>93</v>
      </c>
      <c r="W406" s="316" t="s">
        <v>93</v>
      </c>
      <c r="X406" s="314" t="s">
        <v>103</v>
      </c>
      <c r="Y406" s="319"/>
      <c r="Z406" s="16" t="s">
        <v>1817</v>
      </c>
      <c r="AA406" s="316">
        <v>40</v>
      </c>
      <c r="AB406" s="316" t="s">
        <v>731</v>
      </c>
      <c r="AC406" s="321"/>
      <c r="AD406" s="316"/>
      <c r="AE406" s="321"/>
      <c r="AF406" s="316"/>
      <c r="AG406" s="316"/>
      <c r="AH406" s="316" t="s">
        <v>94</v>
      </c>
      <c r="AI406" s="316"/>
      <c r="AJ406" s="316"/>
      <c r="AK406" s="316"/>
      <c r="AL406" s="316" t="s">
        <v>83</v>
      </c>
      <c r="AM406" s="322">
        <v>4250</v>
      </c>
      <c r="AN406" s="323">
        <v>0</v>
      </c>
      <c r="AO406" s="324">
        <v>3200</v>
      </c>
      <c r="AP406" s="324"/>
      <c r="AQ406" s="316"/>
      <c r="AR406" s="316"/>
      <c r="AS406" s="316"/>
      <c r="AT406" s="316"/>
      <c r="AU406" s="316"/>
      <c r="AV406" s="316"/>
      <c r="AW406" s="319"/>
      <c r="AX406" s="316"/>
      <c r="AY406" s="316"/>
      <c r="AZ406" s="316" t="s">
        <v>374</v>
      </c>
      <c r="BA406" s="316">
        <v>2</v>
      </c>
    </row>
    <row r="407" spans="1:53" ht="15.75" customHeight="1">
      <c r="A407" s="273">
        <v>26</v>
      </c>
      <c r="B407" s="273" t="str">
        <f t="shared" si="27"/>
        <v>AKTIVAN</v>
      </c>
      <c r="C407" s="302">
        <f t="shared" si="26"/>
        <v>405</v>
      </c>
      <c r="D407" s="258">
        <v>36</v>
      </c>
      <c r="E407" s="1" t="str">
        <f>VLOOKUP(D407,Table3[[#All],[RB]:[OIB]],2,0)</f>
        <v>Vital Group d.o.o.</v>
      </c>
      <c r="F407" s="4">
        <f>VLOOKUP(D407,Table3[],3,0)</f>
        <v>45575918003</v>
      </c>
      <c r="G407" s="1" t="str">
        <f>VLOOKUP(D407,Table3[],4,0)</f>
        <v>Balázs Kulcsár</v>
      </c>
      <c r="H407" s="1" t="str">
        <f>VLOOKUP(D407,POSLODAVCI!$A$2:$J$107,9,0)</f>
        <v>Osijek</v>
      </c>
      <c r="I407" s="1" t="str">
        <f>VLOOKUP(D407,Table3[],10,0)</f>
        <v>Ribarska 10</v>
      </c>
      <c r="J407" s="439" t="s">
        <v>124</v>
      </c>
      <c r="K407" s="438">
        <v>44256</v>
      </c>
      <c r="L407" s="438"/>
      <c r="M407" s="182">
        <v>45227899437</v>
      </c>
      <c r="N407" t="s">
        <v>89</v>
      </c>
      <c r="O407" s="7">
        <v>35296</v>
      </c>
      <c r="P407" t="s">
        <v>306</v>
      </c>
      <c r="Q407" t="s">
        <v>82</v>
      </c>
      <c r="R407" t="s">
        <v>1541</v>
      </c>
      <c r="S407" s="5" t="s">
        <v>1542</v>
      </c>
      <c r="T407" t="s">
        <v>84</v>
      </c>
      <c r="V407" s="16" t="s">
        <v>116</v>
      </c>
      <c r="W407" s="16" t="s">
        <v>116</v>
      </c>
      <c r="X407" s="306" t="s">
        <v>103</v>
      </c>
      <c r="Y407" s="7"/>
      <c r="Z407" s="16" t="s">
        <v>1817</v>
      </c>
      <c r="AA407">
        <v>40</v>
      </c>
      <c r="AB407" t="s">
        <v>1543</v>
      </c>
      <c r="AC407" s="183"/>
      <c r="AE407" s="183"/>
      <c r="AH407" t="s">
        <v>94</v>
      </c>
      <c r="AL407" t="s">
        <v>83</v>
      </c>
      <c r="AM407" s="261">
        <v>4375</v>
      </c>
      <c r="AN407" s="184">
        <v>1</v>
      </c>
      <c r="AO407" s="15">
        <v>3500</v>
      </c>
      <c r="AS407">
        <v>20</v>
      </c>
      <c r="AW407" s="7"/>
      <c r="AZ407" t="s">
        <v>374</v>
      </c>
      <c r="BA407">
        <v>26</v>
      </c>
    </row>
    <row r="408" spans="1:53" ht="15.75" customHeight="1">
      <c r="A408" s="273">
        <v>1</v>
      </c>
      <c r="B408" s="273" t="str">
        <f t="shared" si="27"/>
        <v>NEAKTIVAN</v>
      </c>
      <c r="C408" s="302">
        <f t="shared" si="26"/>
        <v>406</v>
      </c>
      <c r="D408" s="1">
        <v>39</v>
      </c>
      <c r="E408" s="1" t="str">
        <f>VLOOKUP(D408,Table3[[#All],[RB]:[OIB]],2,0)</f>
        <v>Hot Gadget j.d.o.o.</v>
      </c>
      <c r="F408" s="4">
        <f>VLOOKUP(D408,Table3[],3,0)</f>
        <v>66024839254</v>
      </c>
      <c r="G408" s="1" t="str">
        <f>VLOOKUP(D408,Table3[],4,0)</f>
        <v>Zsofi Kovacs</v>
      </c>
      <c r="H408" s="1" t="str">
        <f>VLOOKUP(D408,POSLODAVCI!$A$2:$J$107,9,0)</f>
        <v>Osijek</v>
      </c>
      <c r="I408" s="1" t="str">
        <f>VLOOKUP(D408,Table3[],10,0)</f>
        <v>Ružina 41</v>
      </c>
      <c r="J408" s="1" t="s">
        <v>1545</v>
      </c>
      <c r="K408" s="61">
        <v>44287</v>
      </c>
      <c r="L408" s="61">
        <v>44530</v>
      </c>
      <c r="M408" s="182">
        <v>67883682481</v>
      </c>
      <c r="N408" s="16" t="s">
        <v>80</v>
      </c>
      <c r="O408" s="61">
        <v>28951</v>
      </c>
      <c r="P408" s="16" t="s">
        <v>1548</v>
      </c>
      <c r="Q408" s="16" t="s">
        <v>1536</v>
      </c>
      <c r="R408" s="16" t="s">
        <v>1549</v>
      </c>
      <c r="S408" s="17" t="s">
        <v>428</v>
      </c>
      <c r="T408" s="16" t="s">
        <v>84</v>
      </c>
      <c r="U408" s="16"/>
      <c r="V408" s="16" t="s">
        <v>1538</v>
      </c>
      <c r="W408" s="16" t="s">
        <v>1538</v>
      </c>
      <c r="X408" s="56" t="s">
        <v>103</v>
      </c>
      <c r="Y408" s="7"/>
      <c r="Z408" s="16" t="s">
        <v>1817</v>
      </c>
      <c r="AA408" s="16">
        <v>40</v>
      </c>
      <c r="AB408" s="16" t="s">
        <v>1539</v>
      </c>
      <c r="AC408" s="183"/>
      <c r="AD408" s="16"/>
      <c r="AE408" s="183"/>
      <c r="AF408" s="16"/>
      <c r="AG408" s="16"/>
      <c r="AH408" s="16" t="s">
        <v>94</v>
      </c>
      <c r="AI408" s="16"/>
      <c r="AJ408" s="16"/>
      <c r="AK408" s="16"/>
      <c r="AL408" s="16" t="s">
        <v>83</v>
      </c>
      <c r="AM408" s="90">
        <v>5967.65</v>
      </c>
      <c r="AN408" s="184">
        <v>1</v>
      </c>
      <c r="AO408" s="15">
        <v>4559.17</v>
      </c>
      <c r="AQ408" s="16"/>
      <c r="AR408" s="16"/>
      <c r="AS408" s="16"/>
      <c r="AT408" s="16"/>
      <c r="AU408" s="16"/>
      <c r="AV408" s="16"/>
      <c r="AW408" s="7"/>
      <c r="AX408" s="16"/>
      <c r="AY408" s="16"/>
      <c r="AZ408" s="16" t="s">
        <v>374</v>
      </c>
      <c r="BA408" s="16">
        <v>1</v>
      </c>
    </row>
    <row r="409" spans="1:53" ht="15.75" customHeight="1">
      <c r="A409" s="273">
        <v>1</v>
      </c>
      <c r="B409" s="273" t="str">
        <f t="shared" si="27"/>
        <v>NEAKTIVAN</v>
      </c>
      <c r="C409" s="302">
        <f t="shared" si="26"/>
        <v>407</v>
      </c>
      <c r="D409" s="326">
        <v>31</v>
      </c>
      <c r="E409" s="1" t="str">
        <f>VLOOKUP(D409,Table3[[#All],[RB]:[OIB]],2,0)</f>
        <v>Naturos d.o.o.</v>
      </c>
      <c r="F409" s="4">
        <f>VLOOKUP(D409,Table3[],3,0)</f>
        <v>69606074367</v>
      </c>
      <c r="G409" s="1" t="str">
        <f>VLOOKUP(D409,Table3[],4,0)</f>
        <v>Marko Baban</v>
      </c>
      <c r="H409" s="1" t="str">
        <f>VLOOKUP(D409,POSLODAVCI!$A$2:$J$107,9,0)</f>
        <v>OSIJEK</v>
      </c>
      <c r="I409" s="1" t="str">
        <f>VLOOKUP(D409,Table3[],10,0)</f>
        <v>Ulica Jela 60</v>
      </c>
      <c r="J409" s="326" t="s">
        <v>1552</v>
      </c>
      <c r="K409" s="327">
        <v>41291</v>
      </c>
      <c r="L409" s="327">
        <v>45199</v>
      </c>
      <c r="M409" s="182">
        <v>96967409573</v>
      </c>
      <c r="N409" t="s">
        <v>89</v>
      </c>
      <c r="O409" s="7">
        <v>32430</v>
      </c>
      <c r="P409" t="s">
        <v>94</v>
      </c>
      <c r="Q409" t="s">
        <v>82</v>
      </c>
      <c r="R409" t="s">
        <v>871</v>
      </c>
      <c r="S409" s="5" t="s">
        <v>83</v>
      </c>
      <c r="T409" t="s">
        <v>84</v>
      </c>
      <c r="V409" t="s">
        <v>1538</v>
      </c>
      <c r="W409" t="s">
        <v>1538</v>
      </c>
      <c r="X409" s="306" t="s">
        <v>103</v>
      </c>
      <c r="Y409" s="7"/>
      <c r="Z409" s="16" t="s">
        <v>1817</v>
      </c>
      <c r="AA409">
        <v>40</v>
      </c>
      <c r="AB409" t="s">
        <v>1553</v>
      </c>
      <c r="AC409" s="183"/>
      <c r="AE409" s="183"/>
      <c r="AH409" t="s">
        <v>94</v>
      </c>
      <c r="AL409" t="s">
        <v>83</v>
      </c>
      <c r="AM409" s="90">
        <v>5967.65</v>
      </c>
      <c r="AN409" s="184">
        <v>1</v>
      </c>
      <c r="AO409" s="15">
        <v>4559.17</v>
      </c>
      <c r="AP409" s="15">
        <v>300</v>
      </c>
      <c r="AW409" s="7"/>
      <c r="AZ409" t="s">
        <v>374</v>
      </c>
      <c r="BA409">
        <v>1</v>
      </c>
    </row>
    <row r="410" spans="1:53" ht="15.75" customHeight="1">
      <c r="A410" s="273">
        <v>2</v>
      </c>
      <c r="B410" s="273" t="str">
        <f t="shared" si="27"/>
        <v>NEAKTIVAN</v>
      </c>
      <c r="C410" s="302">
        <f t="shared" si="26"/>
        <v>408</v>
      </c>
      <c r="D410" s="326">
        <v>31</v>
      </c>
      <c r="E410" s="1" t="str">
        <f>VLOOKUP(D410,Table3[[#All],[RB]:[OIB]],2,0)</f>
        <v>Naturos d.o.o.</v>
      </c>
      <c r="F410" s="4">
        <f>VLOOKUP(D410,Table3[],3,0)</f>
        <v>69606074367</v>
      </c>
      <c r="G410" s="1" t="str">
        <f>VLOOKUP(D410,Table3[],4,0)</f>
        <v>Marko Baban</v>
      </c>
      <c r="H410" s="1" t="str">
        <f>VLOOKUP(D410,POSLODAVCI!$A$2:$J$107,9,0)</f>
        <v>OSIJEK</v>
      </c>
      <c r="I410" s="1" t="str">
        <f>VLOOKUP(D410,Table3[],10,0)</f>
        <v>Ulica Jela 60</v>
      </c>
      <c r="J410" s="326" t="s">
        <v>1554</v>
      </c>
      <c r="K410" s="327">
        <v>42437</v>
      </c>
      <c r="L410" s="327">
        <v>45199</v>
      </c>
      <c r="M410" s="182">
        <v>92761745667</v>
      </c>
      <c r="N410" t="s">
        <v>89</v>
      </c>
      <c r="O410" s="7">
        <v>31516</v>
      </c>
      <c r="P410" t="s">
        <v>94</v>
      </c>
      <c r="Q410" t="s">
        <v>82</v>
      </c>
      <c r="R410" t="s">
        <v>1555</v>
      </c>
      <c r="S410" s="5" t="s">
        <v>83</v>
      </c>
      <c r="T410" t="s">
        <v>84</v>
      </c>
      <c r="V410" t="s">
        <v>1556</v>
      </c>
      <c r="W410" t="s">
        <v>1556</v>
      </c>
      <c r="X410" s="306" t="s">
        <v>103</v>
      </c>
      <c r="Y410" s="7"/>
      <c r="Z410" s="16" t="s">
        <v>1817</v>
      </c>
      <c r="AA410">
        <v>40</v>
      </c>
      <c r="AB410" t="s">
        <v>1557</v>
      </c>
      <c r="AC410" s="183"/>
      <c r="AE410" s="183"/>
      <c r="AH410" t="s">
        <v>94</v>
      </c>
      <c r="AL410" t="s">
        <v>83</v>
      </c>
      <c r="AM410" s="328">
        <v>6909.81</v>
      </c>
      <c r="AN410" s="184">
        <v>1</v>
      </c>
      <c r="AO410" s="15">
        <v>5207</v>
      </c>
      <c r="AP410" s="15">
        <v>969</v>
      </c>
      <c r="AW410" s="7"/>
      <c r="AZ410" t="s">
        <v>374</v>
      </c>
      <c r="BA410">
        <v>2</v>
      </c>
    </row>
    <row r="411" spans="1:53" ht="15.75" customHeight="1">
      <c r="A411" s="273">
        <v>3</v>
      </c>
      <c r="B411" s="273" t="str">
        <f t="shared" si="27"/>
        <v>NEAKTIVAN</v>
      </c>
      <c r="C411" s="302">
        <f t="shared" si="26"/>
        <v>409</v>
      </c>
      <c r="D411" s="326">
        <v>31</v>
      </c>
      <c r="E411" s="1" t="str">
        <f>VLOOKUP(D411,Table3[[#All],[RB]:[OIB]],2,0)</f>
        <v>Naturos d.o.o.</v>
      </c>
      <c r="F411" s="4">
        <f>VLOOKUP(D411,Table3[],3,0)</f>
        <v>69606074367</v>
      </c>
      <c r="G411" s="1" t="str">
        <f>VLOOKUP(D411,Table3[],4,0)</f>
        <v>Marko Baban</v>
      </c>
      <c r="H411" s="1" t="str">
        <f>VLOOKUP(D411,POSLODAVCI!$A$2:$J$107,9,0)</f>
        <v>OSIJEK</v>
      </c>
      <c r="I411" s="1" t="str">
        <f>VLOOKUP(D411,Table3[],10,0)</f>
        <v>Ulica Jela 60</v>
      </c>
      <c r="J411" s="326" t="s">
        <v>1558</v>
      </c>
      <c r="K411" s="327">
        <v>43411</v>
      </c>
      <c r="L411" s="327">
        <v>44305</v>
      </c>
      <c r="M411" s="182">
        <v>45176749364</v>
      </c>
      <c r="N411" s="16" t="s">
        <v>80</v>
      </c>
      <c r="O411" s="7">
        <v>32238</v>
      </c>
      <c r="P411" s="16" t="s">
        <v>94</v>
      </c>
      <c r="Q411" s="16" t="s">
        <v>82</v>
      </c>
      <c r="R411" s="16" t="s">
        <v>871</v>
      </c>
      <c r="S411" s="17" t="s">
        <v>83</v>
      </c>
      <c r="T411" s="16" t="s">
        <v>111</v>
      </c>
      <c r="V411" s="16" t="s">
        <v>149</v>
      </c>
      <c r="W411" s="16" t="s">
        <v>149</v>
      </c>
      <c r="X411" s="56" t="s">
        <v>103</v>
      </c>
      <c r="Y411" s="7"/>
      <c r="Z411" s="16" t="s">
        <v>1817</v>
      </c>
      <c r="AA411">
        <v>40</v>
      </c>
      <c r="AB411" s="16" t="s">
        <v>1559</v>
      </c>
      <c r="AC411" s="183"/>
      <c r="AE411" s="183"/>
      <c r="AH411" s="16" t="s">
        <v>94</v>
      </c>
      <c r="AL411" s="16" t="s">
        <v>83</v>
      </c>
      <c r="AM411" s="328">
        <v>5058.1400000000003</v>
      </c>
      <c r="AN411" s="184">
        <v>1</v>
      </c>
      <c r="AO411" s="15">
        <v>4036</v>
      </c>
      <c r="AP411" s="15">
        <v>300</v>
      </c>
      <c r="AW411" s="7"/>
      <c r="AZ411" s="16" t="s">
        <v>255</v>
      </c>
      <c r="BA411">
        <v>3</v>
      </c>
    </row>
    <row r="412" spans="1:53" ht="15.75" customHeight="1">
      <c r="A412" s="273">
        <v>4</v>
      </c>
      <c r="B412" s="273" t="str">
        <f t="shared" si="27"/>
        <v>NEAKTIVAN</v>
      </c>
      <c r="C412" s="302">
        <f t="shared" si="26"/>
        <v>410</v>
      </c>
      <c r="D412" s="1">
        <v>31</v>
      </c>
      <c r="E412" s="1" t="str">
        <f>VLOOKUP(D412,Table3[[#All],[RB]:[OIB]],2,0)</f>
        <v>Naturos d.o.o.</v>
      </c>
      <c r="F412" s="4">
        <f>VLOOKUP(D412,Table3[],3,0)</f>
        <v>69606074367</v>
      </c>
      <c r="G412" s="1" t="str">
        <f>VLOOKUP(D412,Table3[],4,0)</f>
        <v>Marko Baban</v>
      </c>
      <c r="H412" s="1" t="str">
        <f>VLOOKUP(D412,POSLODAVCI!$A$2:$J$107,9,0)</f>
        <v>OSIJEK</v>
      </c>
      <c r="I412" s="1" t="str">
        <f>VLOOKUP(D412,Table3[],10,0)</f>
        <v>Ulica Jela 60</v>
      </c>
      <c r="J412" s="1" t="s">
        <v>1560</v>
      </c>
      <c r="K412" s="61">
        <v>44305</v>
      </c>
      <c r="L412" s="61">
        <v>44329</v>
      </c>
      <c r="M412" s="182">
        <v>34310439605</v>
      </c>
      <c r="N412" s="16" t="s">
        <v>89</v>
      </c>
      <c r="O412" s="7">
        <v>35333</v>
      </c>
      <c r="P412" s="16" t="s">
        <v>245</v>
      </c>
      <c r="Q412" s="16" t="s">
        <v>82</v>
      </c>
      <c r="R412" s="16" t="s">
        <v>1561</v>
      </c>
      <c r="S412" s="17" t="s">
        <v>83</v>
      </c>
      <c r="T412" s="16" t="s">
        <v>310</v>
      </c>
      <c r="U412" s="16"/>
      <c r="V412" s="16" t="s">
        <v>1562</v>
      </c>
      <c r="W412" s="16" t="s">
        <v>1562</v>
      </c>
      <c r="X412" s="56" t="s">
        <v>85</v>
      </c>
      <c r="Y412" s="7"/>
      <c r="Z412" s="16" t="s">
        <v>1817</v>
      </c>
      <c r="AA412" s="16">
        <v>40</v>
      </c>
      <c r="AB412" s="16" t="s">
        <v>1563</v>
      </c>
      <c r="AC412" s="183"/>
      <c r="AD412" s="16"/>
      <c r="AE412" s="183"/>
      <c r="AF412" s="16"/>
      <c r="AG412" s="16"/>
      <c r="AH412" s="16" t="s">
        <v>94</v>
      </c>
      <c r="AI412" s="16"/>
      <c r="AJ412" s="16"/>
      <c r="AK412" s="16"/>
      <c r="AL412" s="16" t="s">
        <v>83</v>
      </c>
      <c r="AM412" s="90">
        <v>4907.5</v>
      </c>
      <c r="AN412" s="184">
        <v>1</v>
      </c>
      <c r="AO412" s="15">
        <v>3926</v>
      </c>
      <c r="AP412" s="15">
        <v>250</v>
      </c>
      <c r="AQ412" s="16"/>
      <c r="AR412" s="16"/>
      <c r="AS412" s="16"/>
      <c r="AT412" s="16"/>
      <c r="AU412" s="16"/>
      <c r="AV412" s="16"/>
      <c r="AW412" s="7"/>
      <c r="AX412" s="16"/>
      <c r="AY412" s="16"/>
      <c r="AZ412" s="16" t="s">
        <v>374</v>
      </c>
      <c r="BA412" s="16">
        <v>4</v>
      </c>
    </row>
    <row r="413" spans="1:53" ht="15.75" customHeight="1">
      <c r="A413" s="273">
        <v>5</v>
      </c>
      <c r="B413" s="273" t="str">
        <f t="shared" si="27"/>
        <v>NEAKTIVAN</v>
      </c>
      <c r="C413" s="302">
        <f t="shared" si="26"/>
        <v>411</v>
      </c>
      <c r="D413" s="1">
        <v>31</v>
      </c>
      <c r="E413" s="1" t="str">
        <f>VLOOKUP(D413,Table3[[#All],[RB]:[OIB]],2,0)</f>
        <v>Naturos d.o.o.</v>
      </c>
      <c r="F413" s="4">
        <f>VLOOKUP(D413,Table3[],3,0)</f>
        <v>69606074367</v>
      </c>
      <c r="G413" s="1" t="str">
        <f>VLOOKUP(D413,Table3[],4,0)</f>
        <v>Marko Baban</v>
      </c>
      <c r="H413" s="1" t="str">
        <f>VLOOKUP(D413,POSLODAVCI!$A$2:$J$107,9,0)</f>
        <v>OSIJEK</v>
      </c>
      <c r="I413" s="1" t="str">
        <f>VLOOKUP(D413,Table3[],10,0)</f>
        <v>Ulica Jela 60</v>
      </c>
      <c r="J413" s="1" t="s">
        <v>1564</v>
      </c>
      <c r="K413" s="61">
        <v>44305</v>
      </c>
      <c r="L413" s="61">
        <v>44322</v>
      </c>
      <c r="M413" s="182">
        <v>88301688136</v>
      </c>
      <c r="N413" s="16" t="s">
        <v>89</v>
      </c>
      <c r="O413" s="7">
        <v>35281</v>
      </c>
      <c r="P413" s="16" t="s">
        <v>94</v>
      </c>
      <c r="Q413" s="16" t="s">
        <v>82</v>
      </c>
      <c r="R413" s="16" t="s">
        <v>1565</v>
      </c>
      <c r="S413" s="17" t="s">
        <v>83</v>
      </c>
      <c r="T413" s="16" t="s">
        <v>84</v>
      </c>
      <c r="U413" s="16"/>
      <c r="V413" s="16" t="s">
        <v>1562</v>
      </c>
      <c r="W413" s="16" t="s">
        <v>1562</v>
      </c>
      <c r="X413" s="56" t="s">
        <v>85</v>
      </c>
      <c r="Y413" s="7"/>
      <c r="Z413" s="16" t="s">
        <v>1817</v>
      </c>
      <c r="AA413" s="16">
        <v>40</v>
      </c>
      <c r="AB413" s="16" t="s">
        <v>1566</v>
      </c>
      <c r="AC413" s="183"/>
      <c r="AD413" s="16"/>
      <c r="AE413" s="183"/>
      <c r="AF413" s="16"/>
      <c r="AG413" s="16"/>
      <c r="AH413" s="16" t="s">
        <v>94</v>
      </c>
      <c r="AI413" s="16"/>
      <c r="AJ413" s="16"/>
      <c r="AK413" s="16"/>
      <c r="AL413" s="16" t="s">
        <v>83</v>
      </c>
      <c r="AM413" s="90">
        <v>4907.5</v>
      </c>
      <c r="AN413" s="184">
        <v>1</v>
      </c>
      <c r="AO413" s="15">
        <v>3926</v>
      </c>
      <c r="AP413" s="15">
        <v>250</v>
      </c>
      <c r="AQ413" s="16"/>
      <c r="AR413" s="16"/>
      <c r="AS413" s="16"/>
      <c r="AT413" s="16"/>
      <c r="AU413" s="16"/>
      <c r="AV413" s="16"/>
      <c r="AW413" s="7"/>
      <c r="AX413" s="16"/>
      <c r="AY413" s="16"/>
      <c r="AZ413" s="16" t="s">
        <v>255</v>
      </c>
      <c r="BA413" s="16">
        <v>5</v>
      </c>
    </row>
    <row r="414" spans="1:53" ht="15.75" customHeight="1">
      <c r="A414" s="273">
        <v>27</v>
      </c>
      <c r="B414" s="273" t="str">
        <f t="shared" si="27"/>
        <v>NEAKTIVAN</v>
      </c>
      <c r="C414" s="302">
        <f t="shared" si="26"/>
        <v>412</v>
      </c>
      <c r="D414" s="326">
        <v>36</v>
      </c>
      <c r="E414" s="1" t="str">
        <f>VLOOKUP(D414,Table3[[#All],[RB]:[OIB]],2,0)</f>
        <v>Vital Group d.o.o.</v>
      </c>
      <c r="F414" s="4">
        <f>VLOOKUP(D414,Table3[],3,0)</f>
        <v>45575918003</v>
      </c>
      <c r="G414" s="1" t="str">
        <f>VLOOKUP(D414,Table3[],4,0)</f>
        <v>Balázs Kulcsár</v>
      </c>
      <c r="H414" s="1" t="str">
        <f>VLOOKUP(D414,POSLODAVCI!$A$2:$J$107,9,0)</f>
        <v>Osijek</v>
      </c>
      <c r="I414" s="1" t="str">
        <f>VLOOKUP(D414,Table3[],10,0)</f>
        <v>Ribarska 10</v>
      </c>
      <c r="J414" s="326" t="s">
        <v>1567</v>
      </c>
      <c r="K414" s="327">
        <v>44409</v>
      </c>
      <c r="L414" s="327">
        <v>44561</v>
      </c>
      <c r="M414" s="182">
        <v>10828286402</v>
      </c>
      <c r="N414" t="s">
        <v>80</v>
      </c>
      <c r="O414" s="7">
        <v>35178</v>
      </c>
      <c r="P414" t="s">
        <v>94</v>
      </c>
      <c r="Q414" t="s">
        <v>82</v>
      </c>
      <c r="R414" t="s">
        <v>1568</v>
      </c>
      <c r="S414" s="5" t="s">
        <v>83</v>
      </c>
      <c r="T414" t="s">
        <v>84</v>
      </c>
      <c r="V414" t="s">
        <v>143</v>
      </c>
      <c r="W414" t="s">
        <v>143</v>
      </c>
      <c r="X414" s="306" t="s">
        <v>103</v>
      </c>
      <c r="Y414" s="7"/>
      <c r="Z414" s="16" t="s">
        <v>1817</v>
      </c>
      <c r="AA414">
        <v>40</v>
      </c>
      <c r="AB414" t="s">
        <v>602</v>
      </c>
      <c r="AC414" s="183"/>
      <c r="AE414" s="183"/>
      <c r="AH414" t="s">
        <v>94</v>
      </c>
      <c r="AL414" t="s">
        <v>83</v>
      </c>
      <c r="AM414" s="328">
        <v>4250</v>
      </c>
      <c r="AN414" s="184">
        <v>1</v>
      </c>
      <c r="AO414" s="15">
        <v>3400</v>
      </c>
      <c r="AW414" s="7"/>
      <c r="AZ414" t="s">
        <v>255</v>
      </c>
      <c r="BA414">
        <v>27</v>
      </c>
    </row>
    <row r="415" spans="1:53" ht="15.75" customHeight="1">
      <c r="A415" s="273">
        <v>28</v>
      </c>
      <c r="B415" s="273" t="str">
        <f t="shared" si="27"/>
        <v>AKTIVAN</v>
      </c>
      <c r="C415" s="302">
        <f t="shared" si="26"/>
        <v>413</v>
      </c>
      <c r="D415" s="326">
        <v>36</v>
      </c>
      <c r="E415" s="1" t="str">
        <f>VLOOKUP(D415,Table3[[#All],[RB]:[OIB]],2,0)</f>
        <v>Vital Group d.o.o.</v>
      </c>
      <c r="F415" s="4">
        <f>VLOOKUP(D415,Table3[],3,0)</f>
        <v>45575918003</v>
      </c>
      <c r="G415" s="1" t="str">
        <f>VLOOKUP(D415,Table3[],4,0)</f>
        <v>Balázs Kulcsár</v>
      </c>
      <c r="H415" s="1" t="str">
        <f>VLOOKUP(D415,POSLODAVCI!$A$2:$J$107,9,0)</f>
        <v>Osijek</v>
      </c>
      <c r="I415" s="1" t="str">
        <f>VLOOKUP(D415,Table3[],10,0)</f>
        <v>Ribarska 10</v>
      </c>
      <c r="J415" s="440" t="s">
        <v>456</v>
      </c>
      <c r="K415" s="441">
        <v>44312</v>
      </c>
      <c r="L415" s="441"/>
      <c r="M415" s="182">
        <v>65362867403</v>
      </c>
      <c r="N415" t="s">
        <v>80</v>
      </c>
      <c r="O415" s="7">
        <v>25889</v>
      </c>
      <c r="P415" t="s">
        <v>457</v>
      </c>
      <c r="Q415" t="s">
        <v>82</v>
      </c>
      <c r="R415" t="s">
        <v>458</v>
      </c>
      <c r="S415" s="5" t="s">
        <v>83</v>
      </c>
      <c r="T415" t="s">
        <v>84</v>
      </c>
      <c r="V415" t="s">
        <v>143</v>
      </c>
      <c r="W415" t="s">
        <v>143</v>
      </c>
      <c r="X415" s="306" t="s">
        <v>85</v>
      </c>
      <c r="Y415" s="7"/>
      <c r="Z415" s="16" t="s">
        <v>1817</v>
      </c>
      <c r="AA415">
        <v>40</v>
      </c>
      <c r="AB415" t="s">
        <v>446</v>
      </c>
      <c r="AC415" s="183"/>
      <c r="AE415" s="183"/>
      <c r="AH415" t="s">
        <v>94</v>
      </c>
      <c r="AL415" t="s">
        <v>83</v>
      </c>
      <c r="AM415" s="328">
        <v>4250</v>
      </c>
      <c r="AN415" s="184">
        <v>1</v>
      </c>
      <c r="AO415" s="15">
        <v>3400</v>
      </c>
      <c r="AW415" s="7"/>
      <c r="AZ415" t="s">
        <v>374</v>
      </c>
      <c r="BA415">
        <v>28</v>
      </c>
    </row>
    <row r="416" spans="1:53" ht="15.75" customHeight="1">
      <c r="A416" s="273">
        <v>29</v>
      </c>
      <c r="B416" s="273" t="str">
        <f t="shared" si="27"/>
        <v>NEAKTIVAN</v>
      </c>
      <c r="C416" s="302">
        <f t="shared" si="26"/>
        <v>414</v>
      </c>
      <c r="D416" s="326">
        <v>36</v>
      </c>
      <c r="E416" s="1" t="str">
        <f>VLOOKUP(D416,Table3[[#All],[RB]:[OIB]],2,0)</f>
        <v>Vital Group d.o.o.</v>
      </c>
      <c r="F416" s="4">
        <f>VLOOKUP(D416,Table3[],3,0)</f>
        <v>45575918003</v>
      </c>
      <c r="G416" s="1" t="str">
        <f>VLOOKUP(D416,Table3[],4,0)</f>
        <v>Balázs Kulcsár</v>
      </c>
      <c r="H416" s="1" t="str">
        <f>VLOOKUP(D416,POSLODAVCI!$A$2:$J$107,9,0)</f>
        <v>Osijek</v>
      </c>
      <c r="I416" s="1" t="str">
        <f>VLOOKUP(D416,Table3[],10,0)</f>
        <v>Ribarska 10</v>
      </c>
      <c r="J416" s="326" t="s">
        <v>1569</v>
      </c>
      <c r="K416" s="327">
        <v>44531</v>
      </c>
      <c r="L416" s="327">
        <v>44540</v>
      </c>
      <c r="M416" s="182">
        <v>93734201839</v>
      </c>
      <c r="N416" t="s">
        <v>89</v>
      </c>
      <c r="O416" s="7">
        <v>21729</v>
      </c>
      <c r="P416" t="s">
        <v>81</v>
      </c>
      <c r="Q416" t="s">
        <v>82</v>
      </c>
      <c r="R416" t="s">
        <v>1570</v>
      </c>
      <c r="S416" s="5" t="s">
        <v>83</v>
      </c>
      <c r="T416" t="s">
        <v>84</v>
      </c>
      <c r="V416" t="s">
        <v>143</v>
      </c>
      <c r="W416" t="s">
        <v>143</v>
      </c>
      <c r="X416" s="306" t="s">
        <v>85</v>
      </c>
      <c r="Y416" s="7"/>
      <c r="Z416" s="16" t="s">
        <v>1817</v>
      </c>
      <c r="AA416">
        <v>40</v>
      </c>
      <c r="AB416" t="s">
        <v>595</v>
      </c>
      <c r="AC416" s="183"/>
      <c r="AE416" s="183"/>
      <c r="AH416" t="s">
        <v>94</v>
      </c>
      <c r="AL416" t="s">
        <v>83</v>
      </c>
      <c r="AM416" s="328">
        <v>4250</v>
      </c>
      <c r="AN416" s="184">
        <v>1</v>
      </c>
      <c r="AO416" s="15">
        <v>3400</v>
      </c>
      <c r="AW416" s="7"/>
      <c r="AZ416" t="s">
        <v>255</v>
      </c>
      <c r="BA416">
        <v>29</v>
      </c>
    </row>
    <row r="417" spans="1:53" ht="15.75" customHeight="1">
      <c r="A417" s="273">
        <v>30</v>
      </c>
      <c r="B417" s="273" t="str">
        <f t="shared" si="27"/>
        <v>AKTIVAN</v>
      </c>
      <c r="C417" s="302">
        <f t="shared" si="26"/>
        <v>415</v>
      </c>
      <c r="D417" s="326">
        <v>36</v>
      </c>
      <c r="E417" s="1" t="str">
        <f>VLOOKUP(D417,Table3[[#All],[RB]:[OIB]],2,0)</f>
        <v>Vital Group d.o.o.</v>
      </c>
      <c r="F417" s="4">
        <f>VLOOKUP(D417,Table3[],3,0)</f>
        <v>45575918003</v>
      </c>
      <c r="G417" s="1" t="str">
        <f>VLOOKUP(D417,Table3[],4,0)</f>
        <v>Balázs Kulcsár</v>
      </c>
      <c r="H417" s="1" t="str">
        <f>VLOOKUP(D417,POSLODAVCI!$A$2:$J$107,9,0)</f>
        <v>Osijek</v>
      </c>
      <c r="I417" s="1" t="str">
        <f>VLOOKUP(D417,Table3[],10,0)</f>
        <v>Ribarska 10</v>
      </c>
      <c r="J417" s="440" t="s">
        <v>211</v>
      </c>
      <c r="K417" s="441">
        <v>44312</v>
      </c>
      <c r="L417" s="441"/>
      <c r="M417" s="182">
        <v>79843816739</v>
      </c>
      <c r="N417" t="s">
        <v>80</v>
      </c>
      <c r="O417" s="7">
        <v>27585</v>
      </c>
      <c r="P417" t="s">
        <v>94</v>
      </c>
      <c r="Q417" t="s">
        <v>82</v>
      </c>
      <c r="R417" t="s">
        <v>1571</v>
      </c>
      <c r="S417" s="5" t="s">
        <v>83</v>
      </c>
      <c r="T417" t="s">
        <v>84</v>
      </c>
      <c r="V417" t="s">
        <v>143</v>
      </c>
      <c r="W417" t="s">
        <v>143</v>
      </c>
      <c r="X417" s="306" t="s">
        <v>85</v>
      </c>
      <c r="Y417" s="7"/>
      <c r="Z417" s="16" t="s">
        <v>1817</v>
      </c>
      <c r="AA417">
        <v>40</v>
      </c>
      <c r="AB417" t="s">
        <v>1573</v>
      </c>
      <c r="AC417" s="183"/>
      <c r="AE417" s="183"/>
      <c r="AH417" t="s">
        <v>94</v>
      </c>
      <c r="AL417" t="s">
        <v>83</v>
      </c>
      <c r="AM417" s="328">
        <v>4250</v>
      </c>
      <c r="AN417" s="184">
        <v>1</v>
      </c>
      <c r="AO417" s="15">
        <v>3400</v>
      </c>
      <c r="AW417" s="7"/>
      <c r="AZ417" t="s">
        <v>374</v>
      </c>
      <c r="BA417">
        <v>30</v>
      </c>
    </row>
    <row r="418" spans="1:53" ht="15.75" customHeight="1">
      <c r="A418" s="273">
        <v>31</v>
      </c>
      <c r="B418" s="273" t="str">
        <f t="shared" si="27"/>
        <v>NEAKTIVAN</v>
      </c>
      <c r="C418" s="302">
        <f t="shared" si="26"/>
        <v>416</v>
      </c>
      <c r="D418" s="326">
        <v>36</v>
      </c>
      <c r="E418" s="1" t="str">
        <f>VLOOKUP(D418,Table3[[#All],[RB]:[OIB]],2,0)</f>
        <v>Vital Group d.o.o.</v>
      </c>
      <c r="F418" s="4">
        <f>VLOOKUP(D418,Table3[],3,0)</f>
        <v>45575918003</v>
      </c>
      <c r="G418" s="1" t="str">
        <f>VLOOKUP(D418,Table3[],4,0)</f>
        <v>Balázs Kulcsár</v>
      </c>
      <c r="H418" s="1" t="str">
        <f>VLOOKUP(D418,POSLODAVCI!$A$2:$J$107,9,0)</f>
        <v>Osijek</v>
      </c>
      <c r="I418" s="1" t="str">
        <f>VLOOKUP(D418,Table3[],10,0)</f>
        <v>Ribarska 10</v>
      </c>
      <c r="J418" s="326" t="s">
        <v>187</v>
      </c>
      <c r="K418" s="327">
        <v>44312</v>
      </c>
      <c r="L418" s="327">
        <v>44335</v>
      </c>
      <c r="M418" s="182">
        <v>56488239997</v>
      </c>
      <c r="N418" t="s">
        <v>80</v>
      </c>
      <c r="O418" s="7">
        <v>27263</v>
      </c>
      <c r="P418" t="s">
        <v>81</v>
      </c>
      <c r="Q418" t="s">
        <v>82</v>
      </c>
      <c r="R418" t="s">
        <v>1572</v>
      </c>
      <c r="S418" s="5" t="s">
        <v>83</v>
      </c>
      <c r="T418" t="s">
        <v>84</v>
      </c>
      <c r="V418" t="s">
        <v>143</v>
      </c>
      <c r="W418" t="s">
        <v>143</v>
      </c>
      <c r="X418" s="306" t="s">
        <v>85</v>
      </c>
      <c r="Y418" s="7"/>
      <c r="Z418" s="16" t="s">
        <v>1817</v>
      </c>
      <c r="AA418">
        <v>40</v>
      </c>
      <c r="AB418" t="s">
        <v>1574</v>
      </c>
      <c r="AC418" s="183"/>
      <c r="AE418" s="183"/>
      <c r="AH418" t="s">
        <v>94</v>
      </c>
      <c r="AL418" t="s">
        <v>83</v>
      </c>
      <c r="AM418" s="328">
        <v>4250</v>
      </c>
      <c r="AN418" s="184">
        <v>1</v>
      </c>
      <c r="AO418" s="15">
        <v>3400</v>
      </c>
      <c r="AW418" s="7"/>
      <c r="AZ418" t="s">
        <v>255</v>
      </c>
      <c r="BA418">
        <v>31</v>
      </c>
    </row>
    <row r="419" spans="1:53" ht="15.75" customHeight="1">
      <c r="A419" s="273">
        <v>32</v>
      </c>
      <c r="B419" s="273" t="str">
        <f t="shared" si="27"/>
        <v>AKTIVAN</v>
      </c>
      <c r="C419" s="302">
        <f t="shared" si="26"/>
        <v>417</v>
      </c>
      <c r="D419" s="326">
        <v>36</v>
      </c>
      <c r="E419" s="1" t="str">
        <f>VLOOKUP(D419,Table3[[#All],[RB]:[OIB]],2,0)</f>
        <v>Vital Group d.o.o.</v>
      </c>
      <c r="F419" s="4">
        <f>VLOOKUP(D419,Table3[],3,0)</f>
        <v>45575918003</v>
      </c>
      <c r="G419" s="1" t="str">
        <f>VLOOKUP(D419,Table3[],4,0)</f>
        <v>Balázs Kulcsár</v>
      </c>
      <c r="H419" s="1" t="str">
        <f>VLOOKUP(D419,POSLODAVCI!$A$2:$J$107,9,0)</f>
        <v>Osijek</v>
      </c>
      <c r="I419" s="1" t="str">
        <f>VLOOKUP(D419,Table3[],10,0)</f>
        <v>Ribarska 10</v>
      </c>
      <c r="J419" s="440" t="s">
        <v>1575</v>
      </c>
      <c r="K419" s="441">
        <v>44315</v>
      </c>
      <c r="L419" s="441"/>
      <c r="M419" s="182">
        <v>40826379926</v>
      </c>
      <c r="N419" t="s">
        <v>80</v>
      </c>
      <c r="O419" s="7">
        <v>25188</v>
      </c>
      <c r="R419" t="s">
        <v>1576</v>
      </c>
      <c r="S419" s="5" t="s">
        <v>83</v>
      </c>
      <c r="T419" t="s">
        <v>84</v>
      </c>
      <c r="V419" t="s">
        <v>143</v>
      </c>
      <c r="W419" t="s">
        <v>143</v>
      </c>
      <c r="X419" s="306" t="s">
        <v>85</v>
      </c>
      <c r="Y419" s="7"/>
      <c r="Z419" s="16" t="s">
        <v>1817</v>
      </c>
      <c r="AA419">
        <v>40</v>
      </c>
      <c r="AB419" t="s">
        <v>1436</v>
      </c>
      <c r="AC419" s="183"/>
      <c r="AE419" s="183"/>
      <c r="AH419" t="s">
        <v>94</v>
      </c>
      <c r="AL419" t="s">
        <v>83</v>
      </c>
      <c r="AM419" s="328">
        <v>4250</v>
      </c>
      <c r="AN419" s="184">
        <v>1</v>
      </c>
      <c r="AO419" s="15">
        <v>3400</v>
      </c>
      <c r="AW419" s="7"/>
      <c r="AZ419" t="s">
        <v>374</v>
      </c>
      <c r="BA419">
        <v>32</v>
      </c>
    </row>
    <row r="420" spans="1:53" ht="15.75" customHeight="1">
      <c r="A420" s="273">
        <v>33</v>
      </c>
      <c r="B420" s="273" t="str">
        <f t="shared" si="27"/>
        <v>NEAKTIVAN</v>
      </c>
      <c r="C420" s="302">
        <f t="shared" si="26"/>
        <v>418</v>
      </c>
      <c r="D420" s="326">
        <v>36</v>
      </c>
      <c r="E420" s="1" t="str">
        <f>VLOOKUP(D420,Table3[[#All],[RB]:[OIB]],2,0)</f>
        <v>Vital Group d.o.o.</v>
      </c>
      <c r="F420" s="4">
        <f>VLOOKUP(D420,Table3[],3,0)</f>
        <v>45575918003</v>
      </c>
      <c r="G420" s="1" t="str">
        <f>VLOOKUP(D420,Table3[],4,0)</f>
        <v>Balázs Kulcsár</v>
      </c>
      <c r="H420" s="1" t="str">
        <f>VLOOKUP(D420,POSLODAVCI!$A$2:$J$107,9,0)</f>
        <v>Osijek</v>
      </c>
      <c r="I420" s="1" t="str">
        <f>VLOOKUP(D420,Table3[],10,0)</f>
        <v>Ribarska 10</v>
      </c>
      <c r="J420" s="326" t="s">
        <v>1577</v>
      </c>
      <c r="K420" s="327">
        <v>44315</v>
      </c>
      <c r="L420" s="327">
        <v>44323</v>
      </c>
      <c r="M420" s="182">
        <v>28251652008</v>
      </c>
      <c r="N420" t="s">
        <v>80</v>
      </c>
      <c r="O420" s="7">
        <v>32551</v>
      </c>
      <c r="R420" t="s">
        <v>1578</v>
      </c>
      <c r="S420" s="5" t="s">
        <v>83</v>
      </c>
      <c r="T420" t="s">
        <v>84</v>
      </c>
      <c r="V420" t="s">
        <v>143</v>
      </c>
      <c r="W420" t="s">
        <v>143</v>
      </c>
      <c r="X420" s="306" t="s">
        <v>85</v>
      </c>
      <c r="Y420" s="7"/>
      <c r="Z420" s="16" t="s">
        <v>1817</v>
      </c>
      <c r="AA420">
        <v>40</v>
      </c>
      <c r="AB420" t="s">
        <v>1579</v>
      </c>
      <c r="AC420" s="183"/>
      <c r="AE420" s="183"/>
      <c r="AH420" t="s">
        <v>94</v>
      </c>
      <c r="AL420" t="s">
        <v>83</v>
      </c>
      <c r="AM420" s="328">
        <v>4250</v>
      </c>
      <c r="AN420" s="184">
        <v>1</v>
      </c>
      <c r="AO420" s="15">
        <v>3400</v>
      </c>
      <c r="AW420" s="7"/>
      <c r="AZ420" t="s">
        <v>255</v>
      </c>
      <c r="BA420">
        <v>33</v>
      </c>
    </row>
    <row r="421" spans="1:53" ht="15.75" customHeight="1">
      <c r="A421" s="273">
        <v>6</v>
      </c>
      <c r="B421" s="273" t="str">
        <f t="shared" si="27"/>
        <v>NEAKTIVAN</v>
      </c>
      <c r="C421" s="302">
        <f t="shared" si="26"/>
        <v>419</v>
      </c>
      <c r="D421" s="326">
        <v>31</v>
      </c>
      <c r="E421" s="1" t="str">
        <f>VLOOKUP(D421,Table3[[#All],[RB]:[OIB]],2,0)</f>
        <v>Naturos d.o.o.</v>
      </c>
      <c r="F421" s="4">
        <f>VLOOKUP(D421,Table3[],3,0)</f>
        <v>69606074367</v>
      </c>
      <c r="G421" s="1" t="str">
        <f>VLOOKUP(D421,Table3[],4,0)</f>
        <v>Marko Baban</v>
      </c>
      <c r="H421" s="1" t="str">
        <f>VLOOKUP(D421,POSLODAVCI!$A$2:$J$107,9,0)</f>
        <v>OSIJEK</v>
      </c>
      <c r="I421" s="1" t="str">
        <f>VLOOKUP(D421,Table3[],10,0)</f>
        <v>Ulica Jela 60</v>
      </c>
      <c r="J421" s="326" t="s">
        <v>1580</v>
      </c>
      <c r="K421" s="327">
        <v>44326</v>
      </c>
      <c r="L421" s="327">
        <v>44475</v>
      </c>
      <c r="M421" s="182">
        <v>16743426373</v>
      </c>
      <c r="N421" t="s">
        <v>89</v>
      </c>
      <c r="O421" s="7">
        <v>31086</v>
      </c>
      <c r="R421" t="s">
        <v>1581</v>
      </c>
      <c r="S421" s="5" t="s">
        <v>83</v>
      </c>
      <c r="T421" t="s">
        <v>84</v>
      </c>
      <c r="V421" t="s">
        <v>1562</v>
      </c>
      <c r="W421" t="s">
        <v>1562</v>
      </c>
      <c r="X421" s="306" t="s">
        <v>85</v>
      </c>
      <c r="Y421" s="7"/>
      <c r="Z421" s="16" t="s">
        <v>1817</v>
      </c>
      <c r="AA421">
        <v>40</v>
      </c>
      <c r="AB421" t="s">
        <v>1582</v>
      </c>
      <c r="AC421" s="183"/>
      <c r="AE421" s="183"/>
      <c r="AH421" t="s">
        <v>94</v>
      </c>
      <c r="AL421" t="s">
        <v>83</v>
      </c>
      <c r="AM421" s="328">
        <v>4907.5</v>
      </c>
      <c r="AN421" s="184">
        <v>1</v>
      </c>
      <c r="AO421" s="15">
        <v>3926</v>
      </c>
      <c r="AW421" s="7"/>
      <c r="AZ421" t="s">
        <v>374</v>
      </c>
      <c r="BA421">
        <v>6</v>
      </c>
    </row>
    <row r="422" spans="1:53" ht="15.75" customHeight="1">
      <c r="A422" s="273">
        <v>34</v>
      </c>
      <c r="B422" s="273" t="str">
        <f t="shared" si="27"/>
        <v>NEAKTIVAN</v>
      </c>
      <c r="C422" s="302">
        <f t="shared" si="26"/>
        <v>420</v>
      </c>
      <c r="D422" s="326">
        <v>36</v>
      </c>
      <c r="E422" s="1" t="str">
        <f>VLOOKUP(D422,Table3[[#All],[RB]:[OIB]],2,0)</f>
        <v>Vital Group d.o.o.</v>
      </c>
      <c r="F422" s="4">
        <f>VLOOKUP(D422,Table3[],3,0)</f>
        <v>45575918003</v>
      </c>
      <c r="G422" s="1" t="str">
        <f>VLOOKUP(D422,Table3[],4,0)</f>
        <v>Balázs Kulcsár</v>
      </c>
      <c r="H422" s="1" t="str">
        <f>VLOOKUP(D422,POSLODAVCI!$A$2:$J$107,9,0)</f>
        <v>Osijek</v>
      </c>
      <c r="I422" s="1" t="str">
        <f>VLOOKUP(D422,Table3[],10,0)</f>
        <v>Ribarska 10</v>
      </c>
      <c r="J422" s="326" t="s">
        <v>1583</v>
      </c>
      <c r="K422" s="327">
        <v>44330</v>
      </c>
      <c r="L422" s="327">
        <v>44377</v>
      </c>
      <c r="M422" s="89" t="s">
        <v>1584</v>
      </c>
      <c r="N422" t="s">
        <v>80</v>
      </c>
      <c r="O422" s="7">
        <v>24851</v>
      </c>
      <c r="R422" t="s">
        <v>1585</v>
      </c>
      <c r="S422" s="5" t="s">
        <v>83</v>
      </c>
      <c r="T422" t="s">
        <v>84</v>
      </c>
      <c r="V422" t="s">
        <v>143</v>
      </c>
      <c r="W422" t="s">
        <v>143</v>
      </c>
      <c r="X422" s="306" t="s">
        <v>85</v>
      </c>
      <c r="Y422" s="7"/>
      <c r="Z422" s="16" t="s">
        <v>1817</v>
      </c>
      <c r="AA422">
        <v>40</v>
      </c>
      <c r="AB422" t="s">
        <v>644</v>
      </c>
      <c r="AC422" s="183"/>
      <c r="AE422" s="183"/>
      <c r="AH422" t="s">
        <v>94</v>
      </c>
      <c r="AL422" t="s">
        <v>83</v>
      </c>
      <c r="AM422" s="328">
        <v>4250</v>
      </c>
      <c r="AN422" s="184">
        <v>1</v>
      </c>
      <c r="AO422" s="15">
        <v>3400</v>
      </c>
      <c r="AW422" s="7"/>
      <c r="AZ422" t="s">
        <v>255</v>
      </c>
      <c r="BA422">
        <v>34</v>
      </c>
    </row>
    <row r="423" spans="1:53" ht="15.75" customHeight="1">
      <c r="A423" s="273">
        <v>35</v>
      </c>
      <c r="B423" s="273" t="str">
        <f t="shared" si="27"/>
        <v>AKTIVAN</v>
      </c>
      <c r="C423" s="302">
        <f t="shared" si="26"/>
        <v>421</v>
      </c>
      <c r="D423" s="326">
        <v>36</v>
      </c>
      <c r="E423" s="1" t="str">
        <f>VLOOKUP(D423,Table3[[#All],[RB]:[OIB]],2,0)</f>
        <v>Vital Group d.o.o.</v>
      </c>
      <c r="F423" s="4">
        <f>VLOOKUP(D423,Table3[],3,0)</f>
        <v>45575918003</v>
      </c>
      <c r="G423" s="1" t="str">
        <f>VLOOKUP(D423,Table3[],4,0)</f>
        <v>Balázs Kulcsár</v>
      </c>
      <c r="H423" s="1" t="str">
        <f>VLOOKUP(D423,POSLODAVCI!$A$2:$J$107,9,0)</f>
        <v>Osijek</v>
      </c>
      <c r="I423" s="1" t="str">
        <f>VLOOKUP(D423,Table3[],10,0)</f>
        <v>Ribarska 10</v>
      </c>
      <c r="J423" s="440" t="s">
        <v>1590</v>
      </c>
      <c r="K423" s="441">
        <v>44340</v>
      </c>
      <c r="L423" s="441"/>
      <c r="M423" s="182">
        <v>16238851829</v>
      </c>
      <c r="N423" t="s">
        <v>89</v>
      </c>
      <c r="O423" s="7">
        <v>24125</v>
      </c>
      <c r="P423" t="s">
        <v>1419</v>
      </c>
      <c r="Q423" s="5" t="s">
        <v>83</v>
      </c>
      <c r="R423" t="s">
        <v>1419</v>
      </c>
      <c r="S423" t="s">
        <v>83</v>
      </c>
      <c r="T423" t="s">
        <v>84</v>
      </c>
      <c r="V423" t="s">
        <v>1420</v>
      </c>
      <c r="W423" t="s">
        <v>1420</v>
      </c>
      <c r="X423" s="304" t="s">
        <v>103</v>
      </c>
      <c r="Z423" t="s">
        <v>3042</v>
      </c>
      <c r="AA423" s="183">
        <v>2</v>
      </c>
      <c r="AB423" t="s">
        <v>1421</v>
      </c>
      <c r="AC423" s="183"/>
      <c r="AH423" t="s">
        <v>94</v>
      </c>
      <c r="AL423" t="s">
        <v>83</v>
      </c>
      <c r="AM423" s="261">
        <v>514.54</v>
      </c>
      <c r="AN423" s="184">
        <v>1</v>
      </c>
      <c r="AO423">
        <v>300</v>
      </c>
      <c r="AP423"/>
      <c r="AU423" s="7"/>
      <c r="AY423">
        <v>197</v>
      </c>
      <c r="AZ423" t="s">
        <v>374</v>
      </c>
      <c r="BA423">
        <v>35</v>
      </c>
    </row>
    <row r="424" spans="1:53" ht="15.75" customHeight="1">
      <c r="A424" s="273">
        <v>7</v>
      </c>
      <c r="B424" s="273" t="str">
        <f t="shared" si="27"/>
        <v>NEAKTIVAN</v>
      </c>
      <c r="C424" s="302">
        <f t="shared" si="26"/>
        <v>422</v>
      </c>
      <c r="D424" s="326">
        <v>31</v>
      </c>
      <c r="E424" s="1" t="str">
        <f>VLOOKUP(D424,Table3[[#All],[RB]:[OIB]],2,0)</f>
        <v>Naturos d.o.o.</v>
      </c>
      <c r="F424" s="4">
        <f>VLOOKUP(D424,Table3[],3,0)</f>
        <v>69606074367</v>
      </c>
      <c r="G424" s="1" t="str">
        <f>VLOOKUP(D424,Table3[],4,0)</f>
        <v>Marko Baban</v>
      </c>
      <c r="H424" s="1" t="str">
        <f>VLOOKUP(D424,POSLODAVCI!$A$2:$J$107,9,0)</f>
        <v>OSIJEK</v>
      </c>
      <c r="I424" s="1" t="str">
        <f>VLOOKUP(D424,Table3[],10,0)</f>
        <v>Ulica Jela 60</v>
      </c>
      <c r="J424" s="326" t="s">
        <v>1591</v>
      </c>
      <c r="K424" s="327">
        <v>44343</v>
      </c>
      <c r="L424" s="327">
        <v>45199</v>
      </c>
      <c r="M424" s="182">
        <v>53916846107</v>
      </c>
      <c r="N424" t="s">
        <v>89</v>
      </c>
      <c r="O424" s="7">
        <v>34343</v>
      </c>
      <c r="R424" t="s">
        <v>1592</v>
      </c>
      <c r="S424" s="5" t="s">
        <v>83</v>
      </c>
      <c r="T424" t="s">
        <v>84</v>
      </c>
      <c r="V424" t="s">
        <v>1562</v>
      </c>
      <c r="W424" t="s">
        <v>1562</v>
      </c>
      <c r="X424" s="56" t="s">
        <v>103</v>
      </c>
      <c r="Y424" s="7"/>
      <c r="Z424" s="16" t="s">
        <v>1817</v>
      </c>
      <c r="AA424">
        <v>40</v>
      </c>
      <c r="AB424" t="s">
        <v>1593</v>
      </c>
      <c r="AC424" s="183"/>
      <c r="AE424" s="183"/>
      <c r="AH424" t="s">
        <v>94</v>
      </c>
      <c r="AL424" t="s">
        <v>83</v>
      </c>
      <c r="AM424" s="328">
        <v>4250</v>
      </c>
      <c r="AN424" s="184">
        <v>1</v>
      </c>
      <c r="AO424" s="15">
        <v>3400</v>
      </c>
      <c r="AW424" s="7"/>
      <c r="AZ424" t="s">
        <v>374</v>
      </c>
      <c r="BA424">
        <v>7</v>
      </c>
    </row>
    <row r="425" spans="1:53" ht="15.75" customHeight="1">
      <c r="A425" s="273">
        <v>36</v>
      </c>
      <c r="B425" s="273" t="str">
        <f t="shared" si="27"/>
        <v>NEAKTIVAN</v>
      </c>
      <c r="C425" s="302">
        <f t="shared" si="26"/>
        <v>423</v>
      </c>
      <c r="D425" s="326">
        <v>36</v>
      </c>
      <c r="E425" s="1" t="str">
        <f>VLOOKUP(D425,Table3[[#All],[RB]:[OIB]],2,0)</f>
        <v>Vital Group d.o.o.</v>
      </c>
      <c r="F425" s="4">
        <f>VLOOKUP(D425,Table3[],3,0)</f>
        <v>45575918003</v>
      </c>
      <c r="G425" s="1" t="str">
        <f>VLOOKUP(D425,Table3[],4,0)</f>
        <v>Balázs Kulcsár</v>
      </c>
      <c r="H425" s="1" t="str">
        <f>VLOOKUP(D425,POSLODAVCI!$A$2:$J$107,9,0)</f>
        <v>Osijek</v>
      </c>
      <c r="I425" s="1" t="str">
        <f>VLOOKUP(D425,Table3[],10,0)</f>
        <v>Ribarska 10</v>
      </c>
      <c r="J425" s="326" t="s">
        <v>1594</v>
      </c>
      <c r="K425" s="327">
        <v>44340</v>
      </c>
      <c r="L425" s="327">
        <v>44773</v>
      </c>
      <c r="M425" s="182">
        <v>32178953943</v>
      </c>
      <c r="N425" t="s">
        <v>80</v>
      </c>
      <c r="O425" s="7">
        <v>29944</v>
      </c>
      <c r="R425" t="s">
        <v>1595</v>
      </c>
      <c r="S425" s="5" t="s">
        <v>83</v>
      </c>
      <c r="T425" t="s">
        <v>310</v>
      </c>
      <c r="V425" t="s">
        <v>143</v>
      </c>
      <c r="W425" t="s">
        <v>143</v>
      </c>
      <c r="X425" s="306" t="s">
        <v>85</v>
      </c>
      <c r="Y425" s="7"/>
      <c r="Z425" s="16" t="s">
        <v>1817</v>
      </c>
      <c r="AA425">
        <v>40</v>
      </c>
      <c r="AB425" t="s">
        <v>1596</v>
      </c>
      <c r="AC425" s="183"/>
      <c r="AE425" s="183"/>
      <c r="AH425" t="s">
        <v>94</v>
      </c>
      <c r="AL425" t="s">
        <v>83</v>
      </c>
      <c r="AM425" s="328">
        <v>4250</v>
      </c>
      <c r="AN425" s="184">
        <v>1</v>
      </c>
      <c r="AO425" s="15">
        <v>3400</v>
      </c>
      <c r="AW425" s="7"/>
      <c r="AZ425" t="s">
        <v>255</v>
      </c>
      <c r="BA425">
        <v>36</v>
      </c>
    </row>
    <row r="426" spans="1:53" ht="15.75" customHeight="1">
      <c r="A426" s="273">
        <v>1</v>
      </c>
      <c r="B426" s="273" t="str">
        <f t="shared" si="27"/>
        <v>NEAKTIVAN</v>
      </c>
      <c r="C426" s="302">
        <f t="shared" si="26"/>
        <v>424</v>
      </c>
      <c r="D426" s="330">
        <v>40</v>
      </c>
      <c r="E426" s="1" t="str">
        <f>VLOOKUP(D426,Table3[[#All],[RB]:[OIB]],2,0)</f>
        <v>MAGYAR VIZEPITO zrt.</v>
      </c>
      <c r="F426" s="4">
        <f>VLOOKUP(D426,Table3[],3,0)</f>
        <v>86896896888</v>
      </c>
      <c r="G426" s="1" t="str">
        <f>VLOOKUP(D426,Table3[],4,0)</f>
        <v>Kristof Nobilis</v>
      </c>
      <c r="H426" s="1" t="str">
        <f>VLOOKUP(D426,POSLODAVCI!$A$2:$J$107,9,0)</f>
        <v>Budimpešta</v>
      </c>
      <c r="I426" s="1" t="str">
        <f>VLOOKUP(D426,Table3[],10,0)</f>
        <v>RUMBACH SEBESTYEN, 0015, 1075</v>
      </c>
      <c r="J426" s="330" t="s">
        <v>1603</v>
      </c>
      <c r="K426" s="331">
        <v>44358</v>
      </c>
      <c r="L426" s="331">
        <v>44377</v>
      </c>
      <c r="M426" s="182">
        <v>87566090847</v>
      </c>
      <c r="N426" s="313" t="s">
        <v>89</v>
      </c>
      <c r="O426" s="7">
        <v>28614</v>
      </c>
      <c r="P426" s="313"/>
      <c r="Q426" s="313"/>
      <c r="R426" s="335" t="s">
        <v>1604</v>
      </c>
      <c r="S426" s="332" t="s">
        <v>83</v>
      </c>
      <c r="T426" s="313" t="s">
        <v>247</v>
      </c>
      <c r="U426" s="313"/>
      <c r="V426" s="313" t="s">
        <v>1601</v>
      </c>
      <c r="W426" s="313" t="s">
        <v>1601</v>
      </c>
      <c r="X426" s="333" t="s">
        <v>85</v>
      </c>
      <c r="Y426" s="7"/>
      <c r="Z426" s="16" t="s">
        <v>1894</v>
      </c>
      <c r="AA426" s="313">
        <v>5</v>
      </c>
      <c r="AB426" s="335" t="s">
        <v>1605</v>
      </c>
      <c r="AC426" s="183"/>
      <c r="AD426" s="313"/>
      <c r="AE426" s="183"/>
      <c r="AF426" s="313"/>
      <c r="AG426" s="313"/>
      <c r="AH426" s="313" t="s">
        <v>1602</v>
      </c>
      <c r="AI426" s="313"/>
      <c r="AJ426" s="313"/>
      <c r="AK426" s="313"/>
      <c r="AL426" s="313" t="s">
        <v>83</v>
      </c>
      <c r="AM426" s="334">
        <v>1000</v>
      </c>
      <c r="AN426" s="184">
        <v>1</v>
      </c>
      <c r="AO426" s="15">
        <v>600</v>
      </c>
      <c r="AQ426" s="313"/>
      <c r="AR426" s="313"/>
      <c r="AS426" s="313"/>
      <c r="AT426" s="313"/>
      <c r="AU426" s="313"/>
      <c r="AV426" s="313"/>
      <c r="AW426" s="7"/>
      <c r="AX426" s="313"/>
      <c r="AY426" s="313"/>
      <c r="AZ426" s="313" t="s">
        <v>374</v>
      </c>
      <c r="BA426" s="313">
        <v>1</v>
      </c>
    </row>
    <row r="427" spans="1:53" ht="15.75" customHeight="1">
      <c r="A427" s="273">
        <v>37</v>
      </c>
      <c r="B427" s="273" t="str">
        <f t="shared" si="27"/>
        <v>NEAKTIVAN</v>
      </c>
      <c r="C427" s="302">
        <f t="shared" si="26"/>
        <v>425</v>
      </c>
      <c r="D427" s="326">
        <v>36</v>
      </c>
      <c r="E427" s="1" t="str">
        <f>VLOOKUP(D427,Table3[[#All],[RB]:[OIB]],2,0)</f>
        <v>Vital Group d.o.o.</v>
      </c>
      <c r="F427" s="4">
        <f>VLOOKUP(D427,Table3[],3,0)</f>
        <v>45575918003</v>
      </c>
      <c r="G427" s="1" t="str">
        <f>VLOOKUP(D427,Table3[],4,0)</f>
        <v>Balázs Kulcsár</v>
      </c>
      <c r="H427" s="1" t="str">
        <f>VLOOKUP(D427,POSLODAVCI!$A$2:$J$107,9,0)</f>
        <v>Osijek</v>
      </c>
      <c r="I427" s="1" t="str">
        <f>VLOOKUP(D427,Table3[],10,0)</f>
        <v>Ribarska 10</v>
      </c>
      <c r="J427" s="326" t="s">
        <v>1606</v>
      </c>
      <c r="K427" s="327">
        <v>44368</v>
      </c>
      <c r="L427" s="327">
        <v>44498</v>
      </c>
      <c r="M427" s="182">
        <v>81476803276</v>
      </c>
      <c r="N427" t="s">
        <v>80</v>
      </c>
      <c r="O427" s="7">
        <v>29370</v>
      </c>
      <c r="R427" t="s">
        <v>1607</v>
      </c>
      <c r="S427" s="5" t="s">
        <v>83</v>
      </c>
      <c r="T427" t="s">
        <v>84</v>
      </c>
      <c r="V427" t="s">
        <v>116</v>
      </c>
      <c r="W427" t="s">
        <v>116</v>
      </c>
      <c r="X427" s="306" t="s">
        <v>103</v>
      </c>
      <c r="Y427" s="7"/>
      <c r="Z427" s="16" t="s">
        <v>1817</v>
      </c>
      <c r="AA427">
        <v>40</v>
      </c>
      <c r="AB427" t="s">
        <v>1608</v>
      </c>
      <c r="AC427" s="183"/>
      <c r="AE427" s="183"/>
      <c r="AH427" t="s">
        <v>94</v>
      </c>
      <c r="AL427" t="s">
        <v>83</v>
      </c>
      <c r="AM427" s="328">
        <v>4375</v>
      </c>
      <c r="AN427" s="184">
        <v>1</v>
      </c>
      <c r="AO427" s="15">
        <v>3500</v>
      </c>
      <c r="AW427" s="7"/>
      <c r="AZ427" t="s">
        <v>255</v>
      </c>
      <c r="BA427">
        <v>37</v>
      </c>
    </row>
    <row r="428" spans="1:53" ht="15.75" customHeight="1">
      <c r="A428" s="273">
        <v>38</v>
      </c>
      <c r="B428" s="273" t="str">
        <f t="shared" si="27"/>
        <v>NEAKTIVAN</v>
      </c>
      <c r="C428" s="302">
        <f t="shared" si="26"/>
        <v>426</v>
      </c>
      <c r="D428" s="326">
        <v>36</v>
      </c>
      <c r="E428" s="1" t="str">
        <f>VLOOKUP(D428,Table3[[#All],[RB]:[OIB]],2,0)</f>
        <v>Vital Group d.o.o.</v>
      </c>
      <c r="F428" s="4">
        <f>VLOOKUP(D428,Table3[],3,0)</f>
        <v>45575918003</v>
      </c>
      <c r="G428" s="1" t="str">
        <f>VLOOKUP(D428,Table3[],4,0)</f>
        <v>Balázs Kulcsár</v>
      </c>
      <c r="H428" s="1" t="str">
        <f>VLOOKUP(D428,POSLODAVCI!$A$2:$J$107,9,0)</f>
        <v>Osijek</v>
      </c>
      <c r="I428" s="1" t="str">
        <f>VLOOKUP(D428,Table3[],10,0)</f>
        <v>Ribarska 10</v>
      </c>
      <c r="J428" s="326" t="s">
        <v>1609</v>
      </c>
      <c r="K428" s="327">
        <v>44378</v>
      </c>
      <c r="L428" s="327">
        <v>44439</v>
      </c>
      <c r="M428" s="182">
        <v>72105749783</v>
      </c>
      <c r="N428" t="s">
        <v>80</v>
      </c>
      <c r="O428" s="7">
        <v>34073</v>
      </c>
      <c r="R428" t="s">
        <v>454</v>
      </c>
      <c r="S428" s="5" t="s">
        <v>83</v>
      </c>
      <c r="T428" t="s">
        <v>84</v>
      </c>
      <c r="V428" t="s">
        <v>143</v>
      </c>
      <c r="W428" t="s">
        <v>143</v>
      </c>
      <c r="X428" s="306" t="s">
        <v>85</v>
      </c>
      <c r="Y428" s="7"/>
      <c r="Z428" s="16" t="s">
        <v>1817</v>
      </c>
      <c r="AA428">
        <v>40</v>
      </c>
      <c r="AB428" t="s">
        <v>725</v>
      </c>
      <c r="AC428" s="183"/>
      <c r="AE428" s="183"/>
      <c r="AH428" t="s">
        <v>81</v>
      </c>
      <c r="AL428" t="s">
        <v>83</v>
      </c>
      <c r="AM428" s="328">
        <v>4250</v>
      </c>
      <c r="AN428" s="184">
        <v>1</v>
      </c>
      <c r="AO428" s="15">
        <v>3400</v>
      </c>
      <c r="AW428" s="7"/>
      <c r="AZ428" t="s">
        <v>255</v>
      </c>
      <c r="BA428">
        <v>38</v>
      </c>
    </row>
    <row r="429" spans="1:53" ht="15.75" customHeight="1">
      <c r="A429" s="273">
        <v>39</v>
      </c>
      <c r="B429" s="273" t="str">
        <f t="shared" si="27"/>
        <v>NEAKTIVAN</v>
      </c>
      <c r="C429" s="302">
        <f t="shared" si="26"/>
        <v>427</v>
      </c>
      <c r="D429" s="326">
        <v>36</v>
      </c>
      <c r="E429" s="1" t="str">
        <f>VLOOKUP(D429,Table3[[#All],[RB]:[OIB]],2,0)</f>
        <v>Vital Group d.o.o.</v>
      </c>
      <c r="F429" s="4">
        <f>VLOOKUP(D429,Table3[],3,0)</f>
        <v>45575918003</v>
      </c>
      <c r="G429" s="1" t="str">
        <f>VLOOKUP(D429,Table3[],4,0)</f>
        <v>Balázs Kulcsár</v>
      </c>
      <c r="H429" s="1" t="str">
        <f>VLOOKUP(D429,POSLODAVCI!$A$2:$J$107,9,0)</f>
        <v>Osijek</v>
      </c>
      <c r="I429" s="1" t="str">
        <f>VLOOKUP(D429,Table3[],10,0)</f>
        <v>Ribarska 10</v>
      </c>
      <c r="J429" s="326" t="s">
        <v>1610</v>
      </c>
      <c r="K429" s="327">
        <v>44382</v>
      </c>
      <c r="L429" s="327">
        <v>44439</v>
      </c>
      <c r="M429" s="182">
        <v>19801410326</v>
      </c>
      <c r="N429" t="s">
        <v>80</v>
      </c>
      <c r="O429" s="7">
        <v>29133</v>
      </c>
      <c r="R429" t="s">
        <v>1246</v>
      </c>
      <c r="S429" s="5" t="s">
        <v>83</v>
      </c>
      <c r="T429" t="s">
        <v>84</v>
      </c>
      <c r="V429" t="s">
        <v>143</v>
      </c>
      <c r="W429" t="s">
        <v>143</v>
      </c>
      <c r="X429" s="306" t="s">
        <v>85</v>
      </c>
      <c r="Y429" s="7"/>
      <c r="Z429" s="16" t="s">
        <v>1817</v>
      </c>
      <c r="AA429">
        <v>40</v>
      </c>
      <c r="AB429" t="s">
        <v>679</v>
      </c>
      <c r="AC429" s="183"/>
      <c r="AE429" s="183"/>
      <c r="AH429" t="s">
        <v>81</v>
      </c>
      <c r="AL429" t="s">
        <v>83</v>
      </c>
      <c r="AM429" s="328">
        <v>4250</v>
      </c>
      <c r="AN429" s="184">
        <v>1</v>
      </c>
      <c r="AO429" s="15">
        <v>3400</v>
      </c>
      <c r="AW429" s="7"/>
      <c r="AZ429" t="s">
        <v>255</v>
      </c>
      <c r="BA429">
        <v>39</v>
      </c>
    </row>
    <row r="430" spans="1:53" ht="15.75" customHeight="1">
      <c r="A430" s="273">
        <v>11</v>
      </c>
      <c r="B430" s="273" t="str">
        <f t="shared" si="27"/>
        <v>NEAKTIVAN</v>
      </c>
      <c r="C430" s="302">
        <f t="shared" si="26"/>
        <v>428</v>
      </c>
      <c r="D430" s="326">
        <v>26</v>
      </c>
      <c r="E430" s="1" t="str">
        <f>VLOOKUP(D430,Table3[[#All],[RB]:[OIB]],2,0)</f>
        <v>D-INVOICE D.O.O.</v>
      </c>
      <c r="F430" s="4">
        <f>VLOOKUP(D430,Table3[],3,0)</f>
        <v>95114485977</v>
      </c>
      <c r="G430" s="1" t="str">
        <f>VLOOKUP(D430,Table3[],4,0)</f>
        <v>LAURA GERGELJ</v>
      </c>
      <c r="H430" s="1" t="str">
        <f>VLOOKUP(D430,POSLODAVCI!$A$2:$J$107,9,0)</f>
        <v>Osijek</v>
      </c>
      <c r="I430" s="1" t="str">
        <f>VLOOKUP(D430,Table3[],10,0)</f>
        <v>SV.IVANA KRSTITELJA 15, DARDA</v>
      </c>
      <c r="J430" s="326" t="s">
        <v>1611</v>
      </c>
      <c r="K430" s="327">
        <v>44378</v>
      </c>
      <c r="L430" s="327">
        <v>44407</v>
      </c>
      <c r="M430" s="182">
        <v>85275388635</v>
      </c>
      <c r="N430" t="s">
        <v>89</v>
      </c>
      <c r="O430" s="7">
        <v>36252</v>
      </c>
      <c r="R430" t="s">
        <v>1612</v>
      </c>
      <c r="S430" s="5" t="s">
        <v>83</v>
      </c>
      <c r="T430" t="s">
        <v>84</v>
      </c>
      <c r="V430" t="s">
        <v>772</v>
      </c>
      <c r="W430" t="s">
        <v>777</v>
      </c>
      <c r="X430" s="306" t="s">
        <v>85</v>
      </c>
      <c r="Y430" s="7"/>
      <c r="Z430" s="16" t="s">
        <v>1817</v>
      </c>
      <c r="AA430">
        <v>40</v>
      </c>
      <c r="AB430" t="s">
        <v>1613</v>
      </c>
      <c r="AC430" s="183"/>
      <c r="AE430" s="183"/>
      <c r="AH430" t="s">
        <v>94</v>
      </c>
      <c r="AL430" t="s">
        <v>83</v>
      </c>
      <c r="AM430" s="328"/>
      <c r="AN430" s="184"/>
      <c r="AW430" s="7"/>
      <c r="AZ430" t="s">
        <v>374</v>
      </c>
      <c r="BA430">
        <v>11</v>
      </c>
    </row>
    <row r="431" spans="1:53" ht="15.75" customHeight="1">
      <c r="A431" s="273">
        <v>40</v>
      </c>
      <c r="B431" s="273" t="str">
        <f t="shared" si="27"/>
        <v>NEAKTIVAN</v>
      </c>
      <c r="C431" s="302">
        <f t="shared" si="26"/>
        <v>429</v>
      </c>
      <c r="D431" s="326">
        <v>36</v>
      </c>
      <c r="E431" s="1" t="str">
        <f>VLOOKUP(D431,Table3[[#All],[RB]:[OIB]],2,0)</f>
        <v>Vital Group d.o.o.</v>
      </c>
      <c r="F431" s="4">
        <f>VLOOKUP(D431,Table3[],3,0)</f>
        <v>45575918003</v>
      </c>
      <c r="G431" s="1" t="str">
        <f>VLOOKUP(D431,Table3[],4,0)</f>
        <v>Balázs Kulcsár</v>
      </c>
      <c r="H431" s="1" t="str">
        <f>VLOOKUP(D431,POSLODAVCI!$A$2:$J$107,9,0)</f>
        <v>Osijek</v>
      </c>
      <c r="I431" s="1" t="str">
        <f>VLOOKUP(D431,Table3[],10,0)</f>
        <v>Ribarska 10</v>
      </c>
      <c r="J431" s="243" t="s">
        <v>1517</v>
      </c>
      <c r="K431" s="244">
        <v>44400</v>
      </c>
      <c r="L431" s="244">
        <v>44408</v>
      </c>
      <c r="M431" s="337">
        <v>72094958860</v>
      </c>
      <c r="N431" s="338" t="s">
        <v>80</v>
      </c>
      <c r="O431" s="339">
        <v>35137</v>
      </c>
      <c r="P431" s="338" t="s">
        <v>717</v>
      </c>
      <c r="Q431" s="340" t="s">
        <v>83</v>
      </c>
      <c r="R431" s="16" t="s">
        <v>717</v>
      </c>
      <c r="S431" s="338" t="s">
        <v>83</v>
      </c>
      <c r="T431" s="338" t="s">
        <v>84</v>
      </c>
      <c r="V431" s="338" t="s">
        <v>660</v>
      </c>
      <c r="W431" s="338" t="s">
        <v>718</v>
      </c>
      <c r="X431" s="341" t="s">
        <v>85</v>
      </c>
      <c r="Y431" s="7"/>
      <c r="Z431" s="16" t="s">
        <v>1817</v>
      </c>
      <c r="AA431" s="338">
        <v>40</v>
      </c>
      <c r="AB431" s="338" t="s">
        <v>719</v>
      </c>
      <c r="AC431" s="342"/>
      <c r="AD431" s="338"/>
      <c r="AE431" s="338"/>
      <c r="AG431" s="338"/>
      <c r="AH431" s="338" t="s">
        <v>81</v>
      </c>
      <c r="AI431" s="338"/>
      <c r="AL431" s="338" t="s">
        <v>83</v>
      </c>
      <c r="AM431" s="254">
        <v>4375</v>
      </c>
      <c r="AN431" s="343">
        <v>1</v>
      </c>
      <c r="AO431" s="344">
        <v>3500</v>
      </c>
      <c r="AP431" s="338"/>
      <c r="AQ431" s="338"/>
      <c r="AR431" s="338"/>
      <c r="AS431" s="338"/>
      <c r="AT431" s="338"/>
      <c r="AU431" s="339"/>
      <c r="AV431" s="338"/>
      <c r="AW431" s="338"/>
      <c r="AY431" s="345">
        <v>24</v>
      </c>
      <c r="AZ431" s="338" t="s">
        <v>255</v>
      </c>
      <c r="BA431">
        <v>40</v>
      </c>
    </row>
    <row r="432" spans="1:53" ht="15.75" customHeight="1">
      <c r="A432" s="273">
        <v>41</v>
      </c>
      <c r="B432" s="273" t="str">
        <f t="shared" si="27"/>
        <v>NEAKTIVAN</v>
      </c>
      <c r="C432" s="346">
        <v>430</v>
      </c>
      <c r="D432" s="326">
        <v>36</v>
      </c>
      <c r="E432" s="1" t="str">
        <f>VLOOKUP(D432,Table3[[#All],[RB]:[OIB]],2,0)</f>
        <v>Vital Group d.o.o.</v>
      </c>
      <c r="F432" s="4">
        <f>VLOOKUP(D432,Table3[],3,0)</f>
        <v>45575918003</v>
      </c>
      <c r="G432" s="1" t="str">
        <f>VLOOKUP(D432,Table3[],4,0)</f>
        <v>Balázs Kulcsár</v>
      </c>
      <c r="H432" s="1" t="str">
        <f>VLOOKUP(D432,POSLODAVCI!$A$2:$J$107,9,0)</f>
        <v>Osijek</v>
      </c>
      <c r="I432" s="1" t="str">
        <f>VLOOKUP(D432,Table3[],10,0)</f>
        <v>Ribarska 10</v>
      </c>
      <c r="J432" s="326" t="s">
        <v>1614</v>
      </c>
      <c r="K432" s="327">
        <v>44410</v>
      </c>
      <c r="L432" s="327">
        <v>44540</v>
      </c>
      <c r="M432" s="347">
        <v>68536464458</v>
      </c>
      <c r="N432" t="s">
        <v>80</v>
      </c>
      <c r="O432" s="348">
        <v>34735</v>
      </c>
      <c r="Q432" s="5"/>
      <c r="R432" t="s">
        <v>1615</v>
      </c>
      <c r="S432" s="5" t="s">
        <v>83</v>
      </c>
      <c r="T432" t="s">
        <v>84</v>
      </c>
      <c r="V432" t="s">
        <v>143</v>
      </c>
      <c r="W432" t="s">
        <v>143</v>
      </c>
      <c r="X432" s="306" t="s">
        <v>85</v>
      </c>
      <c r="Y432" s="7"/>
      <c r="Z432" s="16" t="s">
        <v>1817</v>
      </c>
      <c r="AA432">
        <v>40</v>
      </c>
      <c r="AB432" t="s">
        <v>1616</v>
      </c>
      <c r="AC432" s="349"/>
      <c r="AE432" s="350"/>
      <c r="AH432" t="s">
        <v>94</v>
      </c>
      <c r="AL432" t="s">
        <v>83</v>
      </c>
      <c r="AM432" s="328">
        <v>4250</v>
      </c>
      <c r="AN432" s="351">
        <v>1</v>
      </c>
      <c r="AO432" s="352">
        <v>3400</v>
      </c>
      <c r="AP432" s="353"/>
      <c r="AU432" s="7"/>
      <c r="AW432" s="354"/>
      <c r="AZ432" t="s">
        <v>255</v>
      </c>
      <c r="BA432">
        <v>41</v>
      </c>
    </row>
    <row r="433" spans="1:53" ht="15" customHeight="1">
      <c r="A433" s="273">
        <v>63</v>
      </c>
      <c r="B433" s="273" t="str">
        <f t="shared" si="27"/>
        <v>AKTIVAN</v>
      </c>
      <c r="C433" s="346">
        <v>431</v>
      </c>
      <c r="D433" s="326">
        <v>16</v>
      </c>
      <c r="E433" s="1" t="str">
        <f>VLOOKUP(D433,Table3[[#All],[RB]:[OIB]],2,0)</f>
        <v>HOME PLUS</v>
      </c>
      <c r="F433" s="4">
        <f>VLOOKUP(D433,Table3[],3,0)</f>
        <v>18241574410</v>
      </c>
      <c r="G433" s="1" t="str">
        <f>VLOOKUP(D433,Table3[],4,0)</f>
        <v>LASZLO TIBOR</v>
      </c>
      <c r="H433" s="1" t="str">
        <f>VLOOKUP(D433,POSLODAVCI!$A$2:$J$107,9,0)</f>
        <v>Osijek</v>
      </c>
      <c r="I433" s="1" t="str">
        <f>VLOOKUP(D433,Table3[],10,0)</f>
        <v>Ivana Gundulića 28</v>
      </c>
      <c r="J433" s="1" t="s">
        <v>251</v>
      </c>
      <c r="K433" s="61">
        <v>44409</v>
      </c>
      <c r="L433" s="61"/>
      <c r="M433" s="3" t="s">
        <v>252</v>
      </c>
      <c r="N433" t="s">
        <v>89</v>
      </c>
      <c r="O433" s="7">
        <v>26834</v>
      </c>
      <c r="Q433" t="s">
        <v>82</v>
      </c>
      <c r="R433" t="s">
        <v>253</v>
      </c>
      <c r="S433" t="s">
        <v>83</v>
      </c>
      <c r="T433" t="s">
        <v>84</v>
      </c>
      <c r="V433" s="16" t="s">
        <v>254</v>
      </c>
      <c r="W433" s="16" t="s">
        <v>254</v>
      </c>
      <c r="X433" s="303" t="s">
        <v>103</v>
      </c>
      <c r="Z433" s="16" t="s">
        <v>1817</v>
      </c>
      <c r="AA433">
        <v>40</v>
      </c>
      <c r="AH433" t="s">
        <v>94</v>
      </c>
      <c r="AL433" t="s">
        <v>83</v>
      </c>
      <c r="AM433" s="15">
        <v>10097.59</v>
      </c>
      <c r="AN433" s="184">
        <v>1</v>
      </c>
      <c r="AO433" s="15">
        <v>7000</v>
      </c>
      <c r="AP433" s="15">
        <v>5000</v>
      </c>
      <c r="AW433" s="7"/>
      <c r="AY433">
        <v>0</v>
      </c>
      <c r="AZ433" t="str">
        <f>IF(L433&gt;0,"NEAKTIVAN","AKTIVAN")</f>
        <v>AKTIVAN</v>
      </c>
      <c r="BA433">
        <v>63</v>
      </c>
    </row>
    <row r="434" spans="1:53" ht="15.75" customHeight="1">
      <c r="A434" s="273">
        <v>8</v>
      </c>
      <c r="B434" s="273" t="str">
        <f t="shared" si="27"/>
        <v>NEAKTIVAN</v>
      </c>
      <c r="C434" s="346">
        <v>432</v>
      </c>
      <c r="D434" s="326">
        <v>31</v>
      </c>
      <c r="E434" s="1" t="str">
        <f>VLOOKUP(D434,Table3[[#All],[RB]:[OIB]],2,0)</f>
        <v>Naturos d.o.o.</v>
      </c>
      <c r="F434" s="4">
        <f>VLOOKUP(D434,Table3[],3,0)</f>
        <v>69606074367</v>
      </c>
      <c r="G434" s="1" t="str">
        <f>VLOOKUP(D434,Table3[],4,0)</f>
        <v>Marko Baban</v>
      </c>
      <c r="H434" s="1" t="str">
        <f>VLOOKUP(D434,POSLODAVCI!$A$2:$J$107,9,0)</f>
        <v>OSIJEK</v>
      </c>
      <c r="I434" s="1" t="str">
        <f>VLOOKUP(D434,Table3[],10,0)</f>
        <v>Ulica Jela 60</v>
      </c>
      <c r="J434" s="326" t="s">
        <v>1617</v>
      </c>
      <c r="K434" s="327">
        <v>44438</v>
      </c>
      <c r="L434" s="327">
        <v>44774</v>
      </c>
      <c r="M434" s="182">
        <v>56132493710</v>
      </c>
      <c r="N434" t="s">
        <v>89</v>
      </c>
      <c r="O434" s="7">
        <v>31706</v>
      </c>
      <c r="R434" t="s">
        <v>1618</v>
      </c>
      <c r="S434" s="5" t="s">
        <v>83</v>
      </c>
      <c r="T434" t="s">
        <v>84</v>
      </c>
      <c r="V434" t="s">
        <v>1556</v>
      </c>
      <c r="W434" t="s">
        <v>1556</v>
      </c>
      <c r="X434" s="306" t="s">
        <v>85</v>
      </c>
      <c r="Y434" s="7"/>
      <c r="Z434" s="16" t="s">
        <v>1817</v>
      </c>
      <c r="AA434">
        <v>40</v>
      </c>
      <c r="AB434" t="s">
        <v>1619</v>
      </c>
      <c r="AC434" s="183"/>
      <c r="AE434" s="183"/>
      <c r="AH434" t="s">
        <v>94</v>
      </c>
      <c r="AL434" t="s">
        <v>428</v>
      </c>
      <c r="AM434" s="328">
        <v>4987.5</v>
      </c>
      <c r="AN434" s="184">
        <v>1</v>
      </c>
      <c r="AO434" s="15">
        <v>3990</v>
      </c>
      <c r="AW434" s="7"/>
      <c r="AZ434" t="s">
        <v>374</v>
      </c>
      <c r="BA434">
        <v>8</v>
      </c>
    </row>
    <row r="435" spans="1:53" ht="15.75" customHeight="1">
      <c r="A435" s="273">
        <v>1</v>
      </c>
      <c r="B435" s="273" t="str">
        <f t="shared" si="27"/>
        <v>AKTIVAN</v>
      </c>
      <c r="C435" s="346">
        <v>433</v>
      </c>
      <c r="D435" s="1">
        <v>41</v>
      </c>
      <c r="E435" s="1" t="str">
        <f>VLOOKUP(D435,Table3[[#All],[RB]:[OIB]],2,0)</f>
        <v>Logo Puž j.d.o.o.</v>
      </c>
      <c r="F435" s="4">
        <f>VLOOKUP(D435,Table3[],3,0)</f>
        <v>65917576492</v>
      </c>
      <c r="G435" s="1" t="str">
        <f>VLOOKUP(D435,Table3[],4,0)</f>
        <v>Marija Baković</v>
      </c>
      <c r="H435" s="1" t="str">
        <f>VLOOKUP(D435,POSLODAVCI!$A$2:$J$107,9,0)</f>
        <v>Zagreb</v>
      </c>
      <c r="I435" s="1" t="str">
        <f>VLOOKUP(D435,Table3[],10,0)</f>
        <v>XIV. Trokut 8D</v>
      </c>
      <c r="J435" s="1" t="s">
        <v>1621</v>
      </c>
      <c r="K435" s="61">
        <v>44433</v>
      </c>
      <c r="L435" s="61"/>
      <c r="M435" s="137" t="s">
        <v>1624</v>
      </c>
      <c r="N435" s="16" t="s">
        <v>80</v>
      </c>
      <c r="O435" s="7">
        <v>33100</v>
      </c>
      <c r="P435" s="16"/>
      <c r="Q435" s="16"/>
      <c r="R435" s="16" t="s">
        <v>1622</v>
      </c>
      <c r="S435" s="17" t="s">
        <v>428</v>
      </c>
      <c r="T435" s="16" t="s">
        <v>111</v>
      </c>
      <c r="U435" s="16"/>
      <c r="V435" s="16" t="s">
        <v>254</v>
      </c>
      <c r="W435" s="16" t="s">
        <v>254</v>
      </c>
      <c r="X435" s="56" t="s">
        <v>103</v>
      </c>
      <c r="Y435" s="7"/>
      <c r="Z435" s="16" t="s">
        <v>1817</v>
      </c>
      <c r="AA435" s="16">
        <v>40</v>
      </c>
      <c r="AB435" s="16"/>
      <c r="AC435" s="183"/>
      <c r="AD435" s="16"/>
      <c r="AE435" s="183"/>
      <c r="AF435" s="16"/>
      <c r="AG435" s="16"/>
      <c r="AH435" s="16" t="s">
        <v>94</v>
      </c>
      <c r="AI435" s="16"/>
      <c r="AJ435" s="16"/>
      <c r="AK435" s="16"/>
      <c r="AL435" s="16" t="s">
        <v>428</v>
      </c>
      <c r="AM435" s="90">
        <v>5967.65</v>
      </c>
      <c r="AN435" s="184">
        <v>1</v>
      </c>
      <c r="AO435" s="15">
        <v>4559.17</v>
      </c>
      <c r="AQ435" s="16"/>
      <c r="AR435" s="16"/>
      <c r="AS435" s="16"/>
      <c r="AT435" s="16"/>
      <c r="AU435" s="16"/>
      <c r="AV435" s="16"/>
      <c r="AW435" s="7"/>
      <c r="AX435" s="16"/>
      <c r="AY435" s="16"/>
      <c r="AZ435" s="16" t="s">
        <v>374</v>
      </c>
      <c r="BA435" s="16">
        <v>1</v>
      </c>
    </row>
    <row r="436" spans="1:53" ht="15.75" customHeight="1">
      <c r="A436" s="273">
        <v>42</v>
      </c>
      <c r="B436" s="273" t="str">
        <f t="shared" si="27"/>
        <v>NEAKTIVAN</v>
      </c>
      <c r="C436" s="346">
        <v>434</v>
      </c>
      <c r="D436" s="326">
        <v>36</v>
      </c>
      <c r="E436" s="1" t="str">
        <f>VLOOKUP(D436,Table3[[#All],[RB]:[OIB]],2,0)</f>
        <v>Vital Group d.o.o.</v>
      </c>
      <c r="F436" s="4">
        <f>VLOOKUP(D436,Table3[],3,0)</f>
        <v>45575918003</v>
      </c>
      <c r="G436" s="1" t="str">
        <f>VLOOKUP(D436,Table3[],4,0)</f>
        <v>Balázs Kulcsár</v>
      </c>
      <c r="H436" s="1" t="str">
        <f>VLOOKUP(D436,POSLODAVCI!$A$2:$J$107,9,0)</f>
        <v>Osijek</v>
      </c>
      <c r="I436" s="1" t="str">
        <f>VLOOKUP(D436,Table3[],10,0)</f>
        <v>Ribarska 10</v>
      </c>
      <c r="J436" s="326" t="s">
        <v>1625</v>
      </c>
      <c r="K436" s="327">
        <v>44440</v>
      </c>
      <c r="L436" s="327">
        <v>44540</v>
      </c>
      <c r="M436" s="182">
        <v>37668929985</v>
      </c>
      <c r="N436" t="s">
        <v>452</v>
      </c>
      <c r="O436" s="7">
        <v>34118</v>
      </c>
      <c r="R436" t="s">
        <v>1640</v>
      </c>
      <c r="S436" s="5" t="s">
        <v>428</v>
      </c>
      <c r="T436" t="s">
        <v>84</v>
      </c>
      <c r="V436" t="s">
        <v>143</v>
      </c>
      <c r="W436" t="s">
        <v>143</v>
      </c>
      <c r="X436" s="306" t="s">
        <v>85</v>
      </c>
      <c r="Y436" s="7">
        <v>44469</v>
      </c>
      <c r="Z436" s="16" t="s">
        <v>1817</v>
      </c>
      <c r="AA436">
        <v>40</v>
      </c>
      <c r="AB436" t="s">
        <v>1626</v>
      </c>
      <c r="AC436" s="183"/>
      <c r="AE436" s="183"/>
      <c r="AH436" t="s">
        <v>94</v>
      </c>
      <c r="AL436" t="s">
        <v>428</v>
      </c>
      <c r="AM436" s="328">
        <v>4250</v>
      </c>
      <c r="AN436" s="184">
        <v>1</v>
      </c>
      <c r="AO436" s="15">
        <v>3400</v>
      </c>
      <c r="AW436" s="7"/>
      <c r="AZ436" t="s">
        <v>255</v>
      </c>
      <c r="BA436">
        <v>42</v>
      </c>
    </row>
    <row r="437" spans="1:53" ht="15.75" customHeight="1">
      <c r="A437" s="273">
        <v>43</v>
      </c>
      <c r="B437" s="273" t="str">
        <f t="shared" si="27"/>
        <v>NEAKTIVAN</v>
      </c>
      <c r="C437" s="346">
        <v>435</v>
      </c>
      <c r="D437" s="326">
        <v>36</v>
      </c>
      <c r="E437" s="1" t="str">
        <f>VLOOKUP(D437,Table3[[#All],[RB]:[OIB]],2,0)</f>
        <v>Vital Group d.o.o.</v>
      </c>
      <c r="F437" s="4">
        <f>VLOOKUP(D437,Table3[],3,0)</f>
        <v>45575918003</v>
      </c>
      <c r="G437" s="1" t="str">
        <f>VLOOKUP(D437,Table3[],4,0)</f>
        <v>Balázs Kulcsár</v>
      </c>
      <c r="H437" s="1" t="str">
        <f>VLOOKUP(D437,POSLODAVCI!$A$2:$J$107,9,0)</f>
        <v>Osijek</v>
      </c>
      <c r="I437" s="1" t="str">
        <f>VLOOKUP(D437,Table3[],10,0)</f>
        <v>Ribarska 10</v>
      </c>
      <c r="J437" s="326" t="s">
        <v>1627</v>
      </c>
      <c r="K437" s="327">
        <v>44445</v>
      </c>
      <c r="L437" s="327">
        <v>44540</v>
      </c>
      <c r="M437" s="182">
        <v>97747809634</v>
      </c>
      <c r="N437" t="s">
        <v>452</v>
      </c>
      <c r="O437" s="7">
        <v>36895</v>
      </c>
      <c r="R437" t="s">
        <v>1628</v>
      </c>
      <c r="S437" s="5" t="s">
        <v>428</v>
      </c>
      <c r="T437" t="s">
        <v>84</v>
      </c>
      <c r="V437" t="s">
        <v>143</v>
      </c>
      <c r="W437" t="s">
        <v>143</v>
      </c>
      <c r="X437" s="306" t="s">
        <v>85</v>
      </c>
      <c r="Y437" s="7"/>
      <c r="Z437" s="16" t="s">
        <v>1817</v>
      </c>
      <c r="AA437">
        <v>40</v>
      </c>
      <c r="AB437" t="s">
        <v>1629</v>
      </c>
      <c r="AC437" s="183"/>
      <c r="AE437" s="183"/>
      <c r="AH437" t="s">
        <v>94</v>
      </c>
      <c r="AL437" t="s">
        <v>428</v>
      </c>
      <c r="AM437" s="328">
        <v>4250</v>
      </c>
      <c r="AN437" s="184">
        <v>1</v>
      </c>
      <c r="AO437" s="15">
        <v>3400</v>
      </c>
      <c r="AW437" s="7"/>
      <c r="AZ437" t="s">
        <v>255</v>
      </c>
      <c r="BA437">
        <v>43</v>
      </c>
    </row>
    <row r="438" spans="1:53" ht="15.75" customHeight="1">
      <c r="A438" s="273">
        <v>1</v>
      </c>
      <c r="B438" s="273" t="str">
        <f t="shared" si="27"/>
        <v>AKTIVAN</v>
      </c>
      <c r="C438" s="346">
        <v>436</v>
      </c>
      <c r="D438" s="326">
        <v>42</v>
      </c>
      <c r="E438" s="1" t="str">
        <f>VLOOKUP(D438,Table3[[#All],[RB]:[OIB]],2,0)</f>
        <v>VR consulting</v>
      </c>
      <c r="F438" s="4">
        <f>VLOOKUP(D438,Table3[],3,0)</f>
        <v>24279864703</v>
      </c>
      <c r="G438" s="1" t="str">
        <f>VLOOKUP(D438,Table3[],4,0)</f>
        <v>Robert Verebi</v>
      </c>
      <c r="H438" s="1" t="str">
        <f>VLOOKUP(D438,POSLODAVCI!$A$2:$J$107,9,0)</f>
        <v>Bilje</v>
      </c>
      <c r="I438" s="1" t="str">
        <f>VLOOKUP(D438,Table3[],10,0)</f>
        <v>Kralja Zvonimira 61, Bilje</v>
      </c>
      <c r="J438" s="326" t="s">
        <v>1638</v>
      </c>
      <c r="K438" s="327">
        <v>44242</v>
      </c>
      <c r="L438" s="327"/>
      <c r="M438" s="182">
        <v>93577206463</v>
      </c>
      <c r="N438" t="s">
        <v>89</v>
      </c>
      <c r="O438" s="327">
        <v>28655</v>
      </c>
      <c r="R438" t="s">
        <v>1641</v>
      </c>
      <c r="S438" s="5" t="s">
        <v>428</v>
      </c>
      <c r="T438" t="s">
        <v>1484</v>
      </c>
      <c r="V438" t="s">
        <v>1244</v>
      </c>
      <c r="W438" t="s">
        <v>1244</v>
      </c>
      <c r="X438" s="306" t="s">
        <v>103</v>
      </c>
      <c r="Y438" s="7"/>
      <c r="Z438" s="16" t="s">
        <v>1817</v>
      </c>
      <c r="AA438">
        <v>40</v>
      </c>
      <c r="AB438" t="s">
        <v>1639</v>
      </c>
      <c r="AC438" s="183"/>
      <c r="AE438" s="183"/>
      <c r="AH438" t="s">
        <v>94</v>
      </c>
      <c r="AL438" t="s">
        <v>428</v>
      </c>
      <c r="AM438" s="328">
        <v>700</v>
      </c>
      <c r="AN438" s="184">
        <v>1</v>
      </c>
      <c r="AO438" s="15">
        <v>3400</v>
      </c>
      <c r="AW438" s="7"/>
      <c r="AZ438" t="s">
        <v>374</v>
      </c>
      <c r="BA438">
        <v>1</v>
      </c>
    </row>
    <row r="439" spans="1:53" ht="15.75" customHeight="1">
      <c r="A439" s="273">
        <v>2</v>
      </c>
      <c r="B439" s="273" t="str">
        <f t="shared" si="27"/>
        <v>AKTIVAN</v>
      </c>
      <c r="C439" s="346">
        <v>437</v>
      </c>
      <c r="D439" s="326">
        <v>42</v>
      </c>
      <c r="E439" s="1" t="str">
        <f>VLOOKUP(D439,Table3[[#All],[RB]:[OIB]],2,0)</f>
        <v>VR consulting</v>
      </c>
      <c r="F439" s="4">
        <f>VLOOKUP(D439,Table3[],3,0)</f>
        <v>24279864703</v>
      </c>
      <c r="G439" s="1" t="str">
        <f>VLOOKUP(D439,Table3[],4,0)</f>
        <v>Robert Verebi</v>
      </c>
      <c r="H439" s="1" t="str">
        <f>VLOOKUP(D439,POSLODAVCI!$A$2:$J$107,9,0)</f>
        <v>Bilje</v>
      </c>
      <c r="I439" s="1" t="str">
        <f>VLOOKUP(D439,Table3[],10,0)</f>
        <v>Kralja Zvonimira 61, Bilje</v>
      </c>
      <c r="J439" s="326" t="s">
        <v>1631</v>
      </c>
      <c r="K439" s="327">
        <v>44470</v>
      </c>
      <c r="L439" s="327"/>
      <c r="M439" s="182">
        <v>93461065246</v>
      </c>
      <c r="N439" t="s">
        <v>89</v>
      </c>
      <c r="O439" s="7">
        <v>27156</v>
      </c>
      <c r="R439" t="s">
        <v>1633</v>
      </c>
      <c r="S439" s="5" t="s">
        <v>428</v>
      </c>
      <c r="T439" t="s">
        <v>111</v>
      </c>
      <c r="V439" t="s">
        <v>254</v>
      </c>
      <c r="W439" t="s">
        <v>254</v>
      </c>
      <c r="X439" s="306" t="s">
        <v>103</v>
      </c>
      <c r="Y439" s="7"/>
      <c r="Z439" s="16" t="s">
        <v>1894</v>
      </c>
      <c r="AA439">
        <v>5</v>
      </c>
      <c r="AC439" s="183"/>
      <c r="AE439" s="183"/>
      <c r="AH439" t="s">
        <v>94</v>
      </c>
      <c r="AL439" t="s">
        <v>428</v>
      </c>
      <c r="AM439" s="328">
        <v>38225.85</v>
      </c>
      <c r="AN439" s="184">
        <v>1</v>
      </c>
      <c r="AO439" s="15">
        <v>25000</v>
      </c>
      <c r="AW439" s="7"/>
      <c r="AZ439" t="s">
        <v>374</v>
      </c>
      <c r="BA439">
        <v>2</v>
      </c>
    </row>
    <row r="440" spans="1:53" ht="15.75" customHeight="1">
      <c r="A440" s="273">
        <v>44</v>
      </c>
      <c r="B440" s="273" t="str">
        <f t="shared" si="27"/>
        <v>AKTIVAN</v>
      </c>
      <c r="C440" s="346">
        <v>438</v>
      </c>
      <c r="D440" s="326">
        <v>36</v>
      </c>
      <c r="E440" s="1" t="str">
        <f>VLOOKUP(D440,Table3[[#All],[RB]:[OIB]],2,0)</f>
        <v>Vital Group d.o.o.</v>
      </c>
      <c r="F440" s="4">
        <f>VLOOKUP(D440,Table3[],3,0)</f>
        <v>45575918003</v>
      </c>
      <c r="G440" s="1" t="str">
        <f>VLOOKUP(D440,Table3[],4,0)</f>
        <v>Balázs Kulcsár</v>
      </c>
      <c r="H440" s="1" t="str">
        <f>VLOOKUP(D440,POSLODAVCI!$A$2:$J$107,9,0)</f>
        <v>Osijek</v>
      </c>
      <c r="I440" s="1" t="str">
        <f>VLOOKUP(D440,Table3[],10,0)</f>
        <v>Ribarska 10</v>
      </c>
      <c r="J440" s="440" t="s">
        <v>187</v>
      </c>
      <c r="K440" s="441">
        <v>44466</v>
      </c>
      <c r="L440" s="441"/>
      <c r="M440" s="182">
        <v>56488239997</v>
      </c>
      <c r="N440" t="s">
        <v>80</v>
      </c>
      <c r="O440" s="7">
        <v>27263</v>
      </c>
      <c r="P440" t="s">
        <v>81</v>
      </c>
      <c r="Q440" t="s">
        <v>82</v>
      </c>
      <c r="R440" t="s">
        <v>1572</v>
      </c>
      <c r="S440" s="5" t="s">
        <v>83</v>
      </c>
      <c r="T440" t="s">
        <v>84</v>
      </c>
      <c r="V440" t="s">
        <v>143</v>
      </c>
      <c r="W440" t="s">
        <v>143</v>
      </c>
      <c r="X440" s="306" t="s">
        <v>85</v>
      </c>
      <c r="Y440" s="7"/>
      <c r="Z440" s="16" t="s">
        <v>1817</v>
      </c>
      <c r="AA440">
        <v>40</v>
      </c>
      <c r="AB440" t="s">
        <v>1574</v>
      </c>
      <c r="AC440" s="183"/>
      <c r="AE440" s="183"/>
      <c r="AH440" t="s">
        <v>94</v>
      </c>
      <c r="AL440" t="s">
        <v>83</v>
      </c>
      <c r="AM440" s="328">
        <v>4250</v>
      </c>
      <c r="AN440" s="184">
        <v>1</v>
      </c>
      <c r="AO440" s="15">
        <v>3400</v>
      </c>
      <c r="AW440" s="7"/>
      <c r="AZ440" t="s">
        <v>374</v>
      </c>
      <c r="BA440">
        <v>44</v>
      </c>
    </row>
    <row r="441" spans="1:53" ht="15.75" customHeight="1">
      <c r="A441" s="273">
        <v>9</v>
      </c>
      <c r="B441" s="273" t="str">
        <f t="shared" si="27"/>
        <v>NEAKTIVAN</v>
      </c>
      <c r="C441" s="346">
        <v>439</v>
      </c>
      <c r="D441" s="326">
        <v>31</v>
      </c>
      <c r="E441" s="1" t="str">
        <f>VLOOKUP(D441,Table3[[#All],[RB]:[OIB]],2,0)</f>
        <v>Naturos d.o.o.</v>
      </c>
      <c r="F441" s="4">
        <f>VLOOKUP(D441,Table3[],3,0)</f>
        <v>69606074367</v>
      </c>
      <c r="G441" s="1" t="str">
        <f>VLOOKUP(D441,Table3[],4,0)</f>
        <v>Marko Baban</v>
      </c>
      <c r="H441" s="1" t="str">
        <f>VLOOKUP(D441,POSLODAVCI!$A$2:$J$107,9,0)</f>
        <v>OSIJEK</v>
      </c>
      <c r="I441" s="1" t="str">
        <f>VLOOKUP(D441,Table3[],10,0)</f>
        <v>Ulica Jela 60</v>
      </c>
      <c r="J441" s="326" t="s">
        <v>1634</v>
      </c>
      <c r="K441" s="327">
        <v>44477</v>
      </c>
      <c r="L441" s="327">
        <v>45050</v>
      </c>
      <c r="M441" s="182">
        <v>80734706102</v>
      </c>
      <c r="N441" t="s">
        <v>89</v>
      </c>
      <c r="O441" s="7">
        <v>37892</v>
      </c>
      <c r="R441" t="s">
        <v>1635</v>
      </c>
      <c r="S441" s="5" t="s">
        <v>428</v>
      </c>
      <c r="T441" t="s">
        <v>84</v>
      </c>
      <c r="V441" t="s">
        <v>1562</v>
      </c>
      <c r="W441" t="s">
        <v>1562</v>
      </c>
      <c r="X441" s="306" t="s">
        <v>103</v>
      </c>
      <c r="Y441" s="7"/>
      <c r="Z441" s="16" t="s">
        <v>1817</v>
      </c>
      <c r="AA441">
        <v>40</v>
      </c>
      <c r="AB441" t="s">
        <v>1636</v>
      </c>
      <c r="AC441" s="183"/>
      <c r="AE441" s="183"/>
      <c r="AH441" t="s">
        <v>94</v>
      </c>
      <c r="AL441" t="s">
        <v>428</v>
      </c>
      <c r="AM441" s="328">
        <v>4250</v>
      </c>
      <c r="AN441" s="184">
        <v>1</v>
      </c>
      <c r="AO441" s="15">
        <v>3400</v>
      </c>
      <c r="AW441" s="7"/>
      <c r="AZ441" t="s">
        <v>374</v>
      </c>
      <c r="BA441">
        <v>9</v>
      </c>
    </row>
    <row r="442" spans="1:53" ht="15.75" customHeight="1">
      <c r="A442" s="273">
        <v>45</v>
      </c>
      <c r="B442" s="273" t="str">
        <f t="shared" si="27"/>
        <v>NEAKTIVAN</v>
      </c>
      <c r="C442" s="346">
        <v>440</v>
      </c>
      <c r="D442" s="326">
        <v>36</v>
      </c>
      <c r="E442" s="1" t="str">
        <f>VLOOKUP(D442,Table3[[#All],[RB]:[OIB]],2,0)</f>
        <v>Vital Group d.o.o.</v>
      </c>
      <c r="F442" s="4">
        <f>VLOOKUP(D442,Table3[],3,0)</f>
        <v>45575918003</v>
      </c>
      <c r="G442" s="1" t="str">
        <f>VLOOKUP(D442,Table3[],4,0)</f>
        <v>Balázs Kulcsár</v>
      </c>
      <c r="H442" s="1" t="str">
        <f>VLOOKUP(D442,POSLODAVCI!$A$2:$J$107,9,0)</f>
        <v>Osijek</v>
      </c>
      <c r="I442" s="1" t="str">
        <f>VLOOKUP(D442,Table3[],10,0)</f>
        <v>Ribarska 10</v>
      </c>
      <c r="J442" s="326" t="s">
        <v>1643</v>
      </c>
      <c r="K442" s="327">
        <v>44508</v>
      </c>
      <c r="L442" s="327">
        <v>44830</v>
      </c>
      <c r="M442" s="182">
        <v>77737288895</v>
      </c>
      <c r="N442" t="s">
        <v>80</v>
      </c>
      <c r="O442" s="7">
        <v>36158</v>
      </c>
      <c r="P442" t="s">
        <v>94</v>
      </c>
      <c r="Q442" t="s">
        <v>82</v>
      </c>
      <c r="R442" t="s">
        <v>1651</v>
      </c>
      <c r="S442" s="5" t="s">
        <v>428</v>
      </c>
      <c r="T442" t="s">
        <v>84</v>
      </c>
      <c r="V442" t="s">
        <v>507</v>
      </c>
      <c r="W442" t="s">
        <v>507</v>
      </c>
      <c r="X442" s="306" t="s">
        <v>103</v>
      </c>
      <c r="Y442" s="7"/>
      <c r="Z442" s="16" t="s">
        <v>1817</v>
      </c>
      <c r="AA442">
        <v>40</v>
      </c>
      <c r="AB442" t="s">
        <v>1642</v>
      </c>
      <c r="AC442" s="183"/>
      <c r="AE442" s="183"/>
      <c r="AH442" t="s">
        <v>94</v>
      </c>
      <c r="AL442" t="s">
        <v>428</v>
      </c>
      <c r="AM442" s="254">
        <v>4375</v>
      </c>
      <c r="AN442" s="184">
        <v>1</v>
      </c>
      <c r="AO442" s="15">
        <v>3500</v>
      </c>
      <c r="AW442" s="7"/>
      <c r="AZ442" t="s">
        <v>374</v>
      </c>
      <c r="BA442">
        <v>45</v>
      </c>
    </row>
    <row r="443" spans="1:53" ht="15.75" customHeight="1">
      <c r="A443" s="273">
        <v>46</v>
      </c>
      <c r="B443" s="273" t="str">
        <f t="shared" si="27"/>
        <v>NEAKTIVAN</v>
      </c>
      <c r="C443" s="346">
        <v>441</v>
      </c>
      <c r="D443" s="326">
        <v>36</v>
      </c>
      <c r="E443" s="1" t="str">
        <f>VLOOKUP(D443,Table3[[#All],[RB]:[OIB]],2,0)</f>
        <v>Vital Group d.o.o.</v>
      </c>
      <c r="F443" s="4">
        <f>VLOOKUP(D443,Table3[],3,0)</f>
        <v>45575918003</v>
      </c>
      <c r="G443" s="1" t="str">
        <f>VLOOKUP(D443,Table3[],4,0)</f>
        <v>Balázs Kulcsár</v>
      </c>
      <c r="H443" s="1" t="str">
        <f>VLOOKUP(D443,POSLODAVCI!$A$2:$J$107,9,0)</f>
        <v>Osijek</v>
      </c>
      <c r="I443" s="1" t="str">
        <f>VLOOKUP(D443,Table3[],10,0)</f>
        <v>Ribarska 10</v>
      </c>
      <c r="J443" s="326" t="s">
        <v>1644</v>
      </c>
      <c r="K443" s="327">
        <v>44509</v>
      </c>
      <c r="L443" s="327">
        <v>44540</v>
      </c>
      <c r="M443" s="182">
        <v>71095766112</v>
      </c>
      <c r="N443" t="s">
        <v>80</v>
      </c>
      <c r="O443" s="7">
        <v>24127</v>
      </c>
      <c r="P443" t="s">
        <v>94</v>
      </c>
      <c r="Q443" t="s">
        <v>82</v>
      </c>
      <c r="R443" t="s">
        <v>1645</v>
      </c>
      <c r="S443" s="5" t="s">
        <v>83</v>
      </c>
      <c r="T443" t="s">
        <v>84</v>
      </c>
      <c r="V443" t="s">
        <v>143</v>
      </c>
      <c r="W443" t="s">
        <v>143</v>
      </c>
      <c r="X443" s="306" t="s">
        <v>85</v>
      </c>
      <c r="Y443" s="7"/>
      <c r="Z443" s="16" t="s">
        <v>1817</v>
      </c>
      <c r="AA443">
        <v>40</v>
      </c>
      <c r="AB443" t="s">
        <v>1646</v>
      </c>
      <c r="AC443" s="183"/>
      <c r="AE443" s="183"/>
      <c r="AH443" t="s">
        <v>94</v>
      </c>
      <c r="AL443" t="s">
        <v>83</v>
      </c>
      <c r="AM443" s="328">
        <v>4250</v>
      </c>
      <c r="AN443" s="184">
        <v>1</v>
      </c>
      <c r="AO443" s="15">
        <v>3400</v>
      </c>
      <c r="AW443" s="7"/>
      <c r="AZ443" t="s">
        <v>255</v>
      </c>
      <c r="BA443">
        <v>46</v>
      </c>
    </row>
    <row r="444" spans="1:53" ht="15.75" customHeight="1">
      <c r="A444" s="273">
        <v>47</v>
      </c>
      <c r="B444" s="273" t="str">
        <f t="shared" si="27"/>
        <v>NEAKTIVAN</v>
      </c>
      <c r="C444" s="346">
        <v>442</v>
      </c>
      <c r="D444" s="326">
        <v>36</v>
      </c>
      <c r="E444" s="1" t="str">
        <f>VLOOKUP(D444,Table3[[#All],[RB]:[OIB]],2,0)</f>
        <v>Vital Group d.o.o.</v>
      </c>
      <c r="F444" s="4">
        <f>VLOOKUP(D444,Table3[],3,0)</f>
        <v>45575918003</v>
      </c>
      <c r="G444" s="1" t="str">
        <f>VLOOKUP(D444,Table3[],4,0)</f>
        <v>Balázs Kulcsár</v>
      </c>
      <c r="H444" s="1" t="str">
        <f>VLOOKUP(D444,POSLODAVCI!$A$2:$J$107,9,0)</f>
        <v>Osijek</v>
      </c>
      <c r="I444" s="1" t="str">
        <f>VLOOKUP(D444,Table3[],10,0)</f>
        <v>Ribarska 10</v>
      </c>
      <c r="J444" s="326" t="s">
        <v>1647</v>
      </c>
      <c r="K444" s="327">
        <v>44509</v>
      </c>
      <c r="L444" s="327">
        <v>44540</v>
      </c>
      <c r="M444" s="89" t="s">
        <v>1648</v>
      </c>
      <c r="N444" t="s">
        <v>80</v>
      </c>
      <c r="O444" s="7">
        <v>37170</v>
      </c>
      <c r="P444" t="s">
        <v>94</v>
      </c>
      <c r="Q444" t="s">
        <v>82</v>
      </c>
      <c r="R444" t="s">
        <v>1649</v>
      </c>
      <c r="S444" s="5" t="s">
        <v>428</v>
      </c>
      <c r="T444" t="s">
        <v>84</v>
      </c>
      <c r="V444" t="s">
        <v>143</v>
      </c>
      <c r="W444" t="s">
        <v>143</v>
      </c>
      <c r="X444" s="306" t="s">
        <v>85</v>
      </c>
      <c r="Y444" s="7"/>
      <c r="Z444" s="16" t="s">
        <v>1817</v>
      </c>
      <c r="AA444">
        <v>40</v>
      </c>
      <c r="AB444" t="s">
        <v>1650</v>
      </c>
      <c r="AC444" s="183"/>
      <c r="AE444" s="183"/>
      <c r="AH444" t="s">
        <v>94</v>
      </c>
      <c r="AL444" t="s">
        <v>428</v>
      </c>
      <c r="AM444" s="328">
        <v>4250</v>
      </c>
      <c r="AN444" s="184">
        <v>1</v>
      </c>
      <c r="AO444" s="15">
        <v>3400</v>
      </c>
      <c r="AW444" s="7"/>
      <c r="AZ444" t="s">
        <v>255</v>
      </c>
      <c r="BA444">
        <v>47</v>
      </c>
    </row>
    <row r="445" spans="1:53" ht="15.75" customHeight="1">
      <c r="A445" s="273">
        <v>48</v>
      </c>
      <c r="B445" s="273" t="str">
        <f t="shared" si="27"/>
        <v>NEAKTIVAN</v>
      </c>
      <c r="C445" s="346">
        <v>443</v>
      </c>
      <c r="D445" s="326">
        <v>36</v>
      </c>
      <c r="E445" s="1" t="str">
        <f>VLOOKUP(D445,Table3[[#All],[RB]:[OIB]],2,0)</f>
        <v>Vital Group d.o.o.</v>
      </c>
      <c r="F445" s="4">
        <f>VLOOKUP(D445,Table3[],3,0)</f>
        <v>45575918003</v>
      </c>
      <c r="G445" s="1" t="str">
        <f>VLOOKUP(D445,Table3[],4,0)</f>
        <v>Balázs Kulcsár</v>
      </c>
      <c r="H445" s="1" t="str">
        <f>VLOOKUP(D445,POSLODAVCI!$A$2:$J$107,9,0)</f>
        <v>Osijek</v>
      </c>
      <c r="I445" s="1" t="str">
        <f>VLOOKUP(D445,Table3[],10,0)</f>
        <v>Ribarska 10</v>
      </c>
      <c r="J445" s="326" t="s">
        <v>1652</v>
      </c>
      <c r="K445" s="327">
        <v>44524</v>
      </c>
      <c r="L445" s="327">
        <v>44540</v>
      </c>
      <c r="M445" s="182">
        <v>81985727746</v>
      </c>
      <c r="N445" t="s">
        <v>80</v>
      </c>
      <c r="O445" s="7">
        <v>30290</v>
      </c>
      <c r="P445" t="s">
        <v>94</v>
      </c>
      <c r="Q445" t="s">
        <v>82</v>
      </c>
      <c r="R445" t="s">
        <v>1653</v>
      </c>
      <c r="S445" s="5" t="s">
        <v>428</v>
      </c>
      <c r="T445" t="s">
        <v>84</v>
      </c>
      <c r="V445" t="s">
        <v>143</v>
      </c>
      <c r="W445" t="s">
        <v>143</v>
      </c>
      <c r="X445" s="306" t="s">
        <v>85</v>
      </c>
      <c r="Y445" s="7"/>
      <c r="Z445" s="16" t="s">
        <v>1817</v>
      </c>
      <c r="AA445">
        <v>40</v>
      </c>
      <c r="AB445" t="s">
        <v>1654</v>
      </c>
      <c r="AC445" s="183"/>
      <c r="AE445" s="183"/>
      <c r="AH445" t="s">
        <v>94</v>
      </c>
      <c r="AL445" t="s">
        <v>428</v>
      </c>
      <c r="AM445" s="328">
        <v>4250</v>
      </c>
      <c r="AN445" s="184">
        <v>1</v>
      </c>
      <c r="AO445" s="15">
        <v>3400</v>
      </c>
      <c r="AW445" s="7"/>
      <c r="AZ445" t="s">
        <v>255</v>
      </c>
      <c r="BA445">
        <v>48</v>
      </c>
    </row>
    <row r="446" spans="1:53" ht="15.75" customHeight="1">
      <c r="A446" s="273">
        <v>10</v>
      </c>
      <c r="B446" s="273" t="str">
        <f t="shared" si="27"/>
        <v>NEAKTIVAN</v>
      </c>
      <c r="C446" s="346">
        <v>444</v>
      </c>
      <c r="D446" s="326">
        <v>31</v>
      </c>
      <c r="E446" s="1" t="str">
        <f>VLOOKUP(D446,Table3[[#All],[RB]:[OIB]],2,0)</f>
        <v>Naturos d.o.o.</v>
      </c>
      <c r="F446" s="4">
        <f>VLOOKUP(D446,Table3[],3,0)</f>
        <v>69606074367</v>
      </c>
      <c r="G446" s="1" t="str">
        <f>VLOOKUP(D446,Table3[],4,0)</f>
        <v>Marko Baban</v>
      </c>
      <c r="H446" s="1" t="str">
        <f>VLOOKUP(D446,POSLODAVCI!$A$2:$J$107,9,0)</f>
        <v>OSIJEK</v>
      </c>
      <c r="I446" s="1" t="str">
        <f>VLOOKUP(D446,Table3[],10,0)</f>
        <v>Ulica Jela 60</v>
      </c>
      <c r="J446" s="326" t="s">
        <v>1657</v>
      </c>
      <c r="K446" s="327">
        <v>44531</v>
      </c>
      <c r="L446" s="327">
        <v>44981</v>
      </c>
      <c r="M446" s="182">
        <v>71363300467</v>
      </c>
      <c r="N446" t="s">
        <v>89</v>
      </c>
      <c r="O446" s="7">
        <v>33947</v>
      </c>
      <c r="P446" t="s">
        <v>94</v>
      </c>
      <c r="Q446" t="s">
        <v>82</v>
      </c>
      <c r="R446" s="326" t="s">
        <v>1656</v>
      </c>
      <c r="S446" s="5" t="s">
        <v>428</v>
      </c>
      <c r="T446" t="s">
        <v>84</v>
      </c>
      <c r="V446" t="s">
        <v>1658</v>
      </c>
      <c r="W446" t="s">
        <v>1658</v>
      </c>
      <c r="X446" s="306" t="s">
        <v>85</v>
      </c>
      <c r="Y446" s="7"/>
      <c r="Z446" s="16" t="s">
        <v>1817</v>
      </c>
      <c r="AA446">
        <v>40</v>
      </c>
      <c r="AB446" t="s">
        <v>1659</v>
      </c>
      <c r="AC446" s="183"/>
      <c r="AE446" s="183"/>
      <c r="AH446" t="s">
        <v>94</v>
      </c>
      <c r="AL446" t="s">
        <v>428</v>
      </c>
      <c r="AM446" s="328">
        <v>5243.59</v>
      </c>
      <c r="AN446" s="184">
        <v>1</v>
      </c>
      <c r="AO446" s="15">
        <v>6000</v>
      </c>
      <c r="AW446" s="7"/>
      <c r="AZ446" s="313" t="s">
        <v>374</v>
      </c>
      <c r="BA446">
        <v>10</v>
      </c>
    </row>
    <row r="447" spans="1:53" ht="15.75" customHeight="1">
      <c r="A447" s="273">
        <v>1</v>
      </c>
      <c r="B447" s="273" t="str">
        <f t="shared" si="27"/>
        <v>NEAKTIVAN</v>
      </c>
      <c r="C447" s="346">
        <v>445</v>
      </c>
      <c r="D447" s="326">
        <v>43</v>
      </c>
      <c r="E447" s="1" t="str">
        <f>VLOOKUP(D447,Table3[[#All],[RB]:[OIB]],2,0)</f>
        <v>MANEVI Jagera d.o.o.</v>
      </c>
      <c r="F447" s="4">
        <f>VLOOKUP(D447,Table3[],3,0)</f>
        <v>69769519663</v>
      </c>
      <c r="G447" s="1" t="str">
        <f>VLOOKUP(D447,Table3[],4,0)</f>
        <v>Dénes Kövári</v>
      </c>
      <c r="H447" s="1" t="str">
        <f>VLOOKUP(D447,POSLODAVCI!$A$2:$J$107,9,0)</f>
        <v>Osijek</v>
      </c>
      <c r="I447" s="1" t="str">
        <f>VLOOKUP(D447,Table3[],10,0)</f>
        <v>Ulica Lorenza Jägera 2</v>
      </c>
      <c r="J447" s="326" t="s">
        <v>1671</v>
      </c>
      <c r="K447" s="327">
        <v>44562</v>
      </c>
      <c r="L447" s="327">
        <v>44774</v>
      </c>
      <c r="M447" s="182">
        <v>18397042959</v>
      </c>
      <c r="N447" t="s">
        <v>89</v>
      </c>
      <c r="O447" s="7">
        <v>29841</v>
      </c>
      <c r="P447" t="s">
        <v>1600</v>
      </c>
      <c r="Q447" t="s">
        <v>376</v>
      </c>
      <c r="R447" t="s">
        <v>1672</v>
      </c>
      <c r="S447" s="5" t="s">
        <v>428</v>
      </c>
      <c r="T447" t="s">
        <v>111</v>
      </c>
      <c r="V447" t="s">
        <v>1538</v>
      </c>
      <c r="W447" t="s">
        <v>1538</v>
      </c>
      <c r="X447" s="306" t="s">
        <v>103</v>
      </c>
      <c r="Y447" s="7"/>
      <c r="Z447" s="16" t="s">
        <v>1894</v>
      </c>
      <c r="AA447">
        <v>10</v>
      </c>
      <c r="AB447" t="s">
        <v>1677</v>
      </c>
      <c r="AC447" s="183"/>
      <c r="AE447" s="183"/>
      <c r="AH447" t="s">
        <v>94</v>
      </c>
      <c r="AL447" t="s">
        <v>428</v>
      </c>
      <c r="AM447" s="328">
        <v>4844.99</v>
      </c>
      <c r="AN447" s="184">
        <v>1</v>
      </c>
      <c r="AO447" s="15">
        <v>3000</v>
      </c>
      <c r="AW447" s="7"/>
      <c r="AZ447" t="s">
        <v>374</v>
      </c>
      <c r="BA447">
        <v>1</v>
      </c>
    </row>
    <row r="448" spans="1:53" ht="15.75" customHeight="1">
      <c r="A448" s="273">
        <v>49</v>
      </c>
      <c r="B448" s="273" t="str">
        <f t="shared" si="27"/>
        <v>NEAKTIVAN</v>
      </c>
      <c r="C448" s="346">
        <v>446</v>
      </c>
      <c r="D448" s="326">
        <v>36</v>
      </c>
      <c r="E448" s="1" t="str">
        <f>VLOOKUP(D448,Table3[[#All],[RB]:[OIB]],2,0)</f>
        <v>Vital Group d.o.o.</v>
      </c>
      <c r="F448" s="4">
        <f>VLOOKUP(D448,Table3[],3,0)</f>
        <v>45575918003</v>
      </c>
      <c r="G448" s="1" t="str">
        <f>VLOOKUP(D448,Table3[],4,0)</f>
        <v>Balázs Kulcsár</v>
      </c>
      <c r="H448" s="1" t="str">
        <f>VLOOKUP(D448,POSLODAVCI!$A$2:$J$107,9,0)</f>
        <v>Osijek</v>
      </c>
      <c r="I448" s="1" t="str">
        <f>VLOOKUP(D448,Table3[],10,0)</f>
        <v>Ribarska 10</v>
      </c>
      <c r="J448" s="326" t="s">
        <v>1673</v>
      </c>
      <c r="K448" s="327">
        <v>44540</v>
      </c>
      <c r="L448" s="327">
        <v>44585</v>
      </c>
      <c r="M448" s="182">
        <v>68391532944</v>
      </c>
      <c r="N448" t="s">
        <v>89</v>
      </c>
      <c r="O448" s="7">
        <v>35993</v>
      </c>
      <c r="P448" t="s">
        <v>1674</v>
      </c>
      <c r="Q448" t="s">
        <v>82</v>
      </c>
      <c r="R448" t="s">
        <v>1675</v>
      </c>
      <c r="S448" s="5" t="s">
        <v>428</v>
      </c>
      <c r="T448" t="s">
        <v>84</v>
      </c>
      <c r="V448" t="s">
        <v>507</v>
      </c>
      <c r="W448" t="s">
        <v>507</v>
      </c>
      <c r="X448" s="306" t="s">
        <v>103</v>
      </c>
      <c r="Y448" s="7"/>
      <c r="Z448" s="16" t="s">
        <v>1817</v>
      </c>
      <c r="AA448">
        <v>40</v>
      </c>
      <c r="AB448" t="s">
        <v>1676</v>
      </c>
      <c r="AC448" s="183"/>
      <c r="AE448" s="183"/>
      <c r="AH448" t="s">
        <v>94</v>
      </c>
      <c r="AL448" t="s">
        <v>428</v>
      </c>
      <c r="AM448" s="328">
        <v>5000</v>
      </c>
      <c r="AN448" s="184">
        <v>1</v>
      </c>
      <c r="AO448" s="15">
        <v>4000</v>
      </c>
      <c r="AW448" s="7"/>
      <c r="AZ448" t="s">
        <v>255</v>
      </c>
      <c r="BA448">
        <v>49</v>
      </c>
    </row>
    <row r="449" spans="1:53" ht="15.75" customHeight="1">
      <c r="A449" s="273">
        <v>2</v>
      </c>
      <c r="B449" s="273" t="str">
        <f t="shared" si="27"/>
        <v>AKTIVAN</v>
      </c>
      <c r="C449" s="346">
        <v>447</v>
      </c>
      <c r="D449" s="326">
        <v>43</v>
      </c>
      <c r="E449" s="1" t="str">
        <f>VLOOKUP(D449,Table3[[#All],[RB]:[OIB]],2,0)</f>
        <v>MANEVI Jagera d.o.o.</v>
      </c>
      <c r="F449" s="4">
        <f>VLOOKUP(D449,Table3[],3,0)</f>
        <v>69769519663</v>
      </c>
      <c r="G449" s="1" t="str">
        <f>VLOOKUP(D449,Table3[],4,0)</f>
        <v>Dénes Kövári</v>
      </c>
      <c r="H449" s="1" t="str">
        <f>VLOOKUP(D449,POSLODAVCI!$A$2:$J$107,9,0)</f>
        <v>Osijek</v>
      </c>
      <c r="I449" s="1" t="str">
        <f>VLOOKUP(D449,Table3[],10,0)</f>
        <v>Ulica Lorenza Jägera 2</v>
      </c>
      <c r="J449" s="1" t="s">
        <v>1678</v>
      </c>
      <c r="K449" s="327">
        <v>44593</v>
      </c>
      <c r="L449" s="327"/>
      <c r="M449" s="182">
        <v>22345663938</v>
      </c>
      <c r="N449" t="s">
        <v>80</v>
      </c>
      <c r="O449" s="7">
        <v>33478</v>
      </c>
      <c r="P449" t="s">
        <v>1679</v>
      </c>
      <c r="Q449" t="s">
        <v>82</v>
      </c>
      <c r="R449" t="s">
        <v>1680</v>
      </c>
      <c r="S449" s="5" t="s">
        <v>428</v>
      </c>
      <c r="T449" t="s">
        <v>84</v>
      </c>
      <c r="V449" t="s">
        <v>1681</v>
      </c>
      <c r="W449" t="s">
        <v>1681</v>
      </c>
      <c r="X449" s="306" t="s">
        <v>103</v>
      </c>
      <c r="Y449" s="7"/>
      <c r="Z449" s="16" t="s">
        <v>1817</v>
      </c>
      <c r="AA449">
        <v>40</v>
      </c>
      <c r="AB449" t="s">
        <v>1682</v>
      </c>
      <c r="AC449" s="183"/>
      <c r="AE449" s="183"/>
      <c r="AH449" t="s">
        <v>1679</v>
      </c>
      <c r="AL449" t="s">
        <v>428</v>
      </c>
      <c r="AM449" s="328">
        <v>1949.72</v>
      </c>
      <c r="AN449" s="184">
        <v>1</v>
      </c>
      <c r="AW449" s="7"/>
      <c r="AZ449" t="s">
        <v>374</v>
      </c>
      <c r="BA449">
        <v>2</v>
      </c>
    </row>
    <row r="450" spans="1:53" ht="15.75" customHeight="1">
      <c r="A450" s="273">
        <v>3</v>
      </c>
      <c r="B450" s="273" t="str">
        <f t="shared" si="27"/>
        <v>AKTIVAN</v>
      </c>
      <c r="C450" s="346">
        <v>448</v>
      </c>
      <c r="D450" s="326">
        <v>43</v>
      </c>
      <c r="E450" s="1" t="str">
        <f>VLOOKUP(D450,Table3[[#All],[RB]:[OIB]],2,0)</f>
        <v>MANEVI Jagera d.o.o.</v>
      </c>
      <c r="F450" s="4">
        <f>VLOOKUP(D450,Table3[],3,0)</f>
        <v>69769519663</v>
      </c>
      <c r="G450" s="1" t="str">
        <f>VLOOKUP(D450,Table3[],4,0)</f>
        <v>Dénes Kövári</v>
      </c>
      <c r="H450" s="1" t="str">
        <f>VLOOKUP(D450,POSLODAVCI!$A$2:$J$107,9,0)</f>
        <v>Osijek</v>
      </c>
      <c r="I450" s="1" t="str">
        <f>VLOOKUP(D450,Table3[],10,0)</f>
        <v>Ulica Lorenza Jägera 2</v>
      </c>
      <c r="J450" s="1" t="s">
        <v>1683</v>
      </c>
      <c r="K450" s="327">
        <v>44593</v>
      </c>
      <c r="L450" s="327"/>
      <c r="M450" s="182">
        <v>21160565120</v>
      </c>
      <c r="N450" t="s">
        <v>80</v>
      </c>
      <c r="O450" s="7">
        <v>20799</v>
      </c>
      <c r="P450" t="s">
        <v>1684</v>
      </c>
      <c r="Q450" t="s">
        <v>82</v>
      </c>
      <c r="R450" t="s">
        <v>1690</v>
      </c>
      <c r="S450" s="5" t="s">
        <v>428</v>
      </c>
      <c r="T450" t="s">
        <v>1685</v>
      </c>
      <c r="V450" t="s">
        <v>1686</v>
      </c>
      <c r="W450" t="s">
        <v>1686</v>
      </c>
      <c r="X450" s="306" t="s">
        <v>103</v>
      </c>
      <c r="Y450" s="7"/>
      <c r="Z450" s="16" t="s">
        <v>1894</v>
      </c>
      <c r="AA450">
        <v>20</v>
      </c>
      <c r="AB450" t="s">
        <v>1687</v>
      </c>
      <c r="AC450" s="183"/>
      <c r="AE450" s="183"/>
      <c r="AH450" t="s">
        <v>1679</v>
      </c>
      <c r="AL450" t="s">
        <v>428</v>
      </c>
      <c r="AM450" s="328">
        <v>1036.9000000000001</v>
      </c>
      <c r="AN450" s="184"/>
      <c r="AW450" s="7"/>
      <c r="AZ450" t="s">
        <v>374</v>
      </c>
      <c r="BA450">
        <v>3</v>
      </c>
    </row>
    <row r="451" spans="1:53" ht="15.75" customHeight="1">
      <c r="A451" s="273">
        <v>4</v>
      </c>
      <c r="B451" s="273" t="str">
        <f t="shared" si="27"/>
        <v>AKTIVAN</v>
      </c>
      <c r="C451" s="346">
        <v>449</v>
      </c>
      <c r="D451" s="326">
        <v>43</v>
      </c>
      <c r="E451" s="1" t="str">
        <f>VLOOKUP(D451,Table3[[#All],[RB]:[OIB]],2,0)</f>
        <v>MANEVI Jagera d.o.o.</v>
      </c>
      <c r="F451" s="4">
        <f>VLOOKUP(D451,Table3[],3,0)</f>
        <v>69769519663</v>
      </c>
      <c r="G451" s="1" t="str">
        <f>VLOOKUP(D451,Table3[],4,0)</f>
        <v>Dénes Kövári</v>
      </c>
      <c r="H451" s="1" t="str">
        <f>VLOOKUP(D451,POSLODAVCI!$A$2:$J$107,9,0)</f>
        <v>Osijek</v>
      </c>
      <c r="I451" s="1" t="str">
        <f>VLOOKUP(D451,Table3[],10,0)</f>
        <v>Ulica Lorenza Jägera 2</v>
      </c>
      <c r="J451" s="1" t="s">
        <v>1688</v>
      </c>
      <c r="K451" s="327">
        <v>44593</v>
      </c>
      <c r="L451" s="327"/>
      <c r="M451" s="89" t="s">
        <v>1689</v>
      </c>
      <c r="N451" t="s">
        <v>80</v>
      </c>
      <c r="O451" s="7">
        <v>22619</v>
      </c>
      <c r="P451" t="s">
        <v>1684</v>
      </c>
      <c r="Q451" t="s">
        <v>82</v>
      </c>
      <c r="R451" t="s">
        <v>1691</v>
      </c>
      <c r="S451" s="5" t="s">
        <v>428</v>
      </c>
      <c r="T451" t="s">
        <v>84</v>
      </c>
      <c r="V451" t="s">
        <v>1692</v>
      </c>
      <c r="W451" t="s">
        <v>1692</v>
      </c>
      <c r="X451" s="306" t="s">
        <v>103</v>
      </c>
      <c r="Y451" s="7"/>
      <c r="Z451" s="16" t="s">
        <v>1817</v>
      </c>
      <c r="AA451">
        <v>40</v>
      </c>
      <c r="AB451" t="s">
        <v>1693</v>
      </c>
      <c r="AC451" s="183"/>
      <c r="AE451" s="183"/>
      <c r="AH451" t="s">
        <v>1679</v>
      </c>
      <c r="AL451" t="s">
        <v>428</v>
      </c>
      <c r="AM451" s="328">
        <v>1215.06</v>
      </c>
      <c r="AN451" s="184"/>
      <c r="AW451" s="7"/>
      <c r="AZ451" t="s">
        <v>374</v>
      </c>
      <c r="BA451">
        <v>4</v>
      </c>
    </row>
    <row r="452" spans="1:53" ht="15.75" customHeight="1">
      <c r="A452" s="273">
        <v>5</v>
      </c>
      <c r="B452" s="273" t="str">
        <f t="shared" si="27"/>
        <v>AKTIVAN</v>
      </c>
      <c r="C452" s="346">
        <v>450</v>
      </c>
      <c r="D452" s="326">
        <v>43</v>
      </c>
      <c r="E452" s="1" t="str">
        <f>VLOOKUP(D452,Table3[[#All],[RB]:[OIB]],2,0)</f>
        <v>MANEVI Jagera d.o.o.</v>
      </c>
      <c r="F452" s="4">
        <f>VLOOKUP(D452,Table3[],3,0)</f>
        <v>69769519663</v>
      </c>
      <c r="G452" s="1" t="str">
        <f>VLOOKUP(D452,Table3[],4,0)</f>
        <v>Dénes Kövári</v>
      </c>
      <c r="H452" s="1" t="str">
        <f>VLOOKUP(D452,POSLODAVCI!$A$2:$J$107,9,0)</f>
        <v>Osijek</v>
      </c>
      <c r="I452" s="1" t="str">
        <f>VLOOKUP(D452,Table3[],10,0)</f>
        <v>Ulica Lorenza Jägera 2</v>
      </c>
      <c r="J452" s="1" t="s">
        <v>1694</v>
      </c>
      <c r="K452" s="327">
        <v>44593</v>
      </c>
      <c r="L452" s="327"/>
      <c r="M452" s="182">
        <v>19931594248</v>
      </c>
      <c r="N452" t="s">
        <v>80</v>
      </c>
      <c r="O452" s="7">
        <v>31711</v>
      </c>
      <c r="P452" t="s">
        <v>1684</v>
      </c>
      <c r="Q452" t="s">
        <v>82</v>
      </c>
      <c r="R452" t="s">
        <v>1695</v>
      </c>
      <c r="S452" s="5" t="s">
        <v>428</v>
      </c>
      <c r="T452" t="s">
        <v>84</v>
      </c>
      <c r="V452" t="s">
        <v>1692</v>
      </c>
      <c r="W452" t="s">
        <v>1692</v>
      </c>
      <c r="X452" s="306" t="s">
        <v>85</v>
      </c>
      <c r="Y452" s="7">
        <v>44865</v>
      </c>
      <c r="Z452" s="16" t="s">
        <v>1817</v>
      </c>
      <c r="AA452">
        <v>40</v>
      </c>
      <c r="AB452" t="s">
        <v>1696</v>
      </c>
      <c r="AC452" s="183"/>
      <c r="AE452" s="183"/>
      <c r="AH452" t="s">
        <v>1679</v>
      </c>
      <c r="AL452" t="s">
        <v>428</v>
      </c>
      <c r="AM452" s="328">
        <v>1036.9000000000001</v>
      </c>
      <c r="AN452" s="184"/>
      <c r="AW452" s="7"/>
      <c r="AZ452" t="s">
        <v>374</v>
      </c>
      <c r="BA452">
        <v>5</v>
      </c>
    </row>
    <row r="453" spans="1:53" ht="15.75" customHeight="1">
      <c r="A453" s="273">
        <v>6</v>
      </c>
      <c r="B453" s="273" t="str">
        <f t="shared" si="27"/>
        <v>AKTIVAN</v>
      </c>
      <c r="C453" s="346">
        <v>451</v>
      </c>
      <c r="D453" s="326">
        <v>43</v>
      </c>
      <c r="E453" s="1" t="str">
        <f>VLOOKUP(D453,Table3[[#All],[RB]:[OIB]],2,0)</f>
        <v>MANEVI Jagera d.o.o.</v>
      </c>
      <c r="F453" s="4">
        <f>VLOOKUP(D453,Table3[],3,0)</f>
        <v>69769519663</v>
      </c>
      <c r="G453" s="1" t="str">
        <f>VLOOKUP(D453,Table3[],4,0)</f>
        <v>Dénes Kövári</v>
      </c>
      <c r="H453" s="1" t="str">
        <f>VLOOKUP(D453,POSLODAVCI!$A$2:$J$107,9,0)</f>
        <v>Osijek</v>
      </c>
      <c r="I453" s="1" t="str">
        <f>VLOOKUP(D453,Table3[],10,0)</f>
        <v>Ulica Lorenza Jägera 2</v>
      </c>
      <c r="J453" s="1" t="s">
        <v>1697</v>
      </c>
      <c r="K453" s="327">
        <v>44593</v>
      </c>
      <c r="L453" s="327"/>
      <c r="M453" s="182">
        <v>63697758667</v>
      </c>
      <c r="N453" t="s">
        <v>80</v>
      </c>
      <c r="O453" s="7">
        <v>26223</v>
      </c>
      <c r="P453" t="s">
        <v>1679</v>
      </c>
      <c r="Q453" t="s">
        <v>82</v>
      </c>
      <c r="R453" t="s">
        <v>1698</v>
      </c>
      <c r="S453" s="5" t="s">
        <v>428</v>
      </c>
      <c r="T453" t="s">
        <v>84</v>
      </c>
      <c r="V453" t="s">
        <v>1692</v>
      </c>
      <c r="W453" t="s">
        <v>1692</v>
      </c>
      <c r="X453" s="306" t="s">
        <v>103</v>
      </c>
      <c r="Y453" s="7"/>
      <c r="Z453" s="16" t="s">
        <v>1817</v>
      </c>
      <c r="AA453">
        <v>40</v>
      </c>
      <c r="AB453" t="s">
        <v>1699</v>
      </c>
      <c r="AC453" s="183"/>
      <c r="AE453" s="183"/>
      <c r="AH453" t="s">
        <v>1679</v>
      </c>
      <c r="AL453" t="s">
        <v>428</v>
      </c>
      <c r="AM453" s="328">
        <v>1201.28</v>
      </c>
      <c r="AN453" s="184"/>
      <c r="AW453" s="7"/>
      <c r="AZ453" t="s">
        <v>374</v>
      </c>
      <c r="BA453">
        <v>6</v>
      </c>
    </row>
    <row r="454" spans="1:53" ht="15.75" customHeight="1">
      <c r="A454" s="273">
        <v>7</v>
      </c>
      <c r="B454" s="273" t="str">
        <f t="shared" si="27"/>
        <v>AKTIVAN</v>
      </c>
      <c r="C454" s="346">
        <v>452</v>
      </c>
      <c r="D454" s="326">
        <v>43</v>
      </c>
      <c r="E454" s="1" t="str">
        <f>VLOOKUP(D454,Table3[[#All],[RB]:[OIB]],2,0)</f>
        <v>MANEVI Jagera d.o.o.</v>
      </c>
      <c r="F454" s="4">
        <f>VLOOKUP(D454,Table3[],3,0)</f>
        <v>69769519663</v>
      </c>
      <c r="G454" s="1" t="str">
        <f>VLOOKUP(D454,Table3[],4,0)</f>
        <v>Dénes Kövári</v>
      </c>
      <c r="H454" s="1" t="str">
        <f>VLOOKUP(D454,POSLODAVCI!$A$2:$J$107,9,0)</f>
        <v>Osijek</v>
      </c>
      <c r="I454" s="1" t="str">
        <f>VLOOKUP(D454,Table3[],10,0)</f>
        <v>Ulica Lorenza Jägera 2</v>
      </c>
      <c r="J454" s="1" t="s">
        <v>1700</v>
      </c>
      <c r="K454" s="327">
        <v>44593</v>
      </c>
      <c r="L454" s="327"/>
      <c r="M454" s="89" t="s">
        <v>1701</v>
      </c>
      <c r="N454" t="s">
        <v>89</v>
      </c>
      <c r="O454" s="7">
        <v>23029</v>
      </c>
      <c r="P454" t="s">
        <v>1702</v>
      </c>
      <c r="Q454" t="s">
        <v>82</v>
      </c>
      <c r="R454" t="s">
        <v>1703</v>
      </c>
      <c r="S454" s="5" t="s">
        <v>428</v>
      </c>
      <c r="T454" t="s">
        <v>84</v>
      </c>
      <c r="V454" t="s">
        <v>1704</v>
      </c>
      <c r="W454" t="s">
        <v>1704</v>
      </c>
      <c r="X454" s="306" t="s">
        <v>103</v>
      </c>
      <c r="Y454" s="7"/>
      <c r="Z454" s="16" t="s">
        <v>1817</v>
      </c>
      <c r="AA454">
        <v>40</v>
      </c>
      <c r="AB454" t="s">
        <v>1705</v>
      </c>
      <c r="AC454" s="183"/>
      <c r="AE454" s="183"/>
      <c r="AH454" t="s">
        <v>1679</v>
      </c>
      <c r="AL454" t="s">
        <v>428</v>
      </c>
      <c r="AM454" s="328">
        <v>1479.36</v>
      </c>
      <c r="AN454" s="184"/>
      <c r="AW454" s="7"/>
      <c r="AZ454" t="s">
        <v>374</v>
      </c>
      <c r="BA454">
        <v>7</v>
      </c>
    </row>
    <row r="455" spans="1:53" ht="15.75" customHeight="1">
      <c r="A455" s="273">
        <v>8</v>
      </c>
      <c r="B455" s="273" t="str">
        <f t="shared" si="27"/>
        <v>NEAKTIVAN</v>
      </c>
      <c r="C455" s="346">
        <v>453</v>
      </c>
      <c r="D455" s="326">
        <v>43</v>
      </c>
      <c r="E455" s="1" t="str">
        <f>VLOOKUP(D455,Table3[[#All],[RB]:[OIB]],2,0)</f>
        <v>MANEVI Jagera d.o.o.</v>
      </c>
      <c r="F455" s="4">
        <f>VLOOKUP(D455,Table3[],3,0)</f>
        <v>69769519663</v>
      </c>
      <c r="G455" s="1" t="str">
        <f>VLOOKUP(D455,Table3[],4,0)</f>
        <v>Dénes Kövári</v>
      </c>
      <c r="H455" s="1" t="str">
        <f>VLOOKUP(D455,POSLODAVCI!$A$2:$J$107,9,0)</f>
        <v>Osijek</v>
      </c>
      <c r="I455" s="1" t="str">
        <f>VLOOKUP(D455,Table3[],10,0)</f>
        <v>Ulica Lorenza Jägera 2</v>
      </c>
      <c r="J455" s="1" t="s">
        <v>1706</v>
      </c>
      <c r="K455" s="327">
        <v>44593</v>
      </c>
      <c r="L455" s="327">
        <v>44692</v>
      </c>
      <c r="M455" s="182">
        <v>30481056361</v>
      </c>
      <c r="N455" t="s">
        <v>80</v>
      </c>
      <c r="O455" s="7">
        <v>29982</v>
      </c>
      <c r="P455" t="s">
        <v>1707</v>
      </c>
      <c r="Q455" t="s">
        <v>82</v>
      </c>
      <c r="R455" t="s">
        <v>1708</v>
      </c>
      <c r="S455" s="5" t="s">
        <v>428</v>
      </c>
      <c r="T455" t="s">
        <v>111</v>
      </c>
      <c r="V455" t="s">
        <v>1681</v>
      </c>
      <c r="W455" t="s">
        <v>1681</v>
      </c>
      <c r="X455" s="306" t="s">
        <v>103</v>
      </c>
      <c r="Y455" s="7"/>
      <c r="Z455" s="16" t="s">
        <v>1817</v>
      </c>
      <c r="AA455">
        <v>40</v>
      </c>
      <c r="AB455" t="s">
        <v>1709</v>
      </c>
      <c r="AC455" s="183"/>
      <c r="AE455" s="183"/>
      <c r="AH455" t="s">
        <v>1679</v>
      </c>
      <c r="AL455" t="s">
        <v>428</v>
      </c>
      <c r="AM455" s="328">
        <v>8906.25</v>
      </c>
      <c r="AN455" s="184"/>
      <c r="AW455" s="7"/>
      <c r="AZ455" t="s">
        <v>255</v>
      </c>
      <c r="BA455">
        <v>8</v>
      </c>
    </row>
    <row r="456" spans="1:53" ht="15.75" customHeight="1">
      <c r="A456" s="273">
        <v>50</v>
      </c>
      <c r="B456" s="273" t="str">
        <f t="shared" si="27"/>
        <v>NEAKTIVAN</v>
      </c>
      <c r="C456" s="346">
        <v>454</v>
      </c>
      <c r="D456" s="326">
        <v>36</v>
      </c>
      <c r="E456" s="1" t="str">
        <f>VLOOKUP(D456,Table3[[#All],[RB]:[OIB]],2,0)</f>
        <v>Vital Group d.o.o.</v>
      </c>
      <c r="F456" s="4">
        <f>VLOOKUP(D456,Table3[],3,0)</f>
        <v>45575918003</v>
      </c>
      <c r="G456" s="1" t="str">
        <f>VLOOKUP(D456,Table3[],4,0)</f>
        <v>Balázs Kulcsár</v>
      </c>
      <c r="H456" s="1" t="str">
        <f>VLOOKUP(D456,POSLODAVCI!$A$2:$J$107,9,0)</f>
        <v>Osijek</v>
      </c>
      <c r="I456" s="1" t="str">
        <f>VLOOKUP(D456,Table3[],10,0)</f>
        <v>Ribarska 10</v>
      </c>
      <c r="J456" s="326" t="s">
        <v>1710</v>
      </c>
      <c r="K456" s="327">
        <v>44593</v>
      </c>
      <c r="L456" s="327">
        <v>45233</v>
      </c>
      <c r="M456" s="182">
        <v>46284686058</v>
      </c>
      <c r="N456" t="s">
        <v>89</v>
      </c>
      <c r="O456" s="7">
        <v>34183</v>
      </c>
      <c r="P456" t="s">
        <v>94</v>
      </c>
      <c r="Q456" t="s">
        <v>82</v>
      </c>
      <c r="R456" t="s">
        <v>1711</v>
      </c>
      <c r="S456" s="5" t="s">
        <v>428</v>
      </c>
      <c r="T456" t="s">
        <v>84</v>
      </c>
      <c r="V456" t="s">
        <v>507</v>
      </c>
      <c r="W456" t="s">
        <v>507</v>
      </c>
      <c r="X456" s="306" t="s">
        <v>103</v>
      </c>
      <c r="Y456" s="7"/>
      <c r="Z456" s="16" t="s">
        <v>1817</v>
      </c>
      <c r="AA456">
        <v>40</v>
      </c>
      <c r="AB456" t="s">
        <v>1712</v>
      </c>
      <c r="AC456" s="183"/>
      <c r="AE456" s="183"/>
      <c r="AH456" t="s">
        <v>94</v>
      </c>
      <c r="AL456" t="s">
        <v>428</v>
      </c>
      <c r="AM456" s="328">
        <v>4687.5</v>
      </c>
      <c r="AN456" s="184">
        <v>1</v>
      </c>
      <c r="AO456" s="15">
        <v>3750</v>
      </c>
      <c r="AW456" s="7"/>
      <c r="AZ456" t="s">
        <v>2366</v>
      </c>
      <c r="BA456">
        <v>50</v>
      </c>
    </row>
    <row r="457" spans="1:53" ht="15.75" customHeight="1">
      <c r="A457" s="273">
        <v>11</v>
      </c>
      <c r="B457" s="273" t="str">
        <f t="shared" si="27"/>
        <v>NEAKTIVAN</v>
      </c>
      <c r="C457" s="302">
        <v>455</v>
      </c>
      <c r="D457" s="1">
        <v>31</v>
      </c>
      <c r="E457" s="1" t="str">
        <f>VLOOKUP(D457,Table3[[#All],[RB]:[OIB]],2,0)</f>
        <v>Naturos d.o.o.</v>
      </c>
      <c r="F457" s="4">
        <f>VLOOKUP(D457,Table3[],3,0)</f>
        <v>69606074367</v>
      </c>
      <c r="G457" s="1" t="str">
        <f>VLOOKUP(D457,Table3[],4,0)</f>
        <v>Marko Baban</v>
      </c>
      <c r="H457" s="1" t="str">
        <f>VLOOKUP(D457,POSLODAVCI!$A$2:$J$107,9,0)</f>
        <v>OSIJEK</v>
      </c>
      <c r="I457" s="1" t="str">
        <f>VLOOKUP(D457,Table3[],10,0)</f>
        <v>Ulica Jela 60</v>
      </c>
      <c r="J457" s="1" t="s">
        <v>1721</v>
      </c>
      <c r="K457" s="61">
        <v>44599</v>
      </c>
      <c r="L457" s="61">
        <v>44615</v>
      </c>
      <c r="M457" s="182">
        <v>86900494395</v>
      </c>
      <c r="N457" s="16" t="s">
        <v>89</v>
      </c>
      <c r="O457" s="7">
        <v>31589</v>
      </c>
      <c r="P457" s="16" t="s">
        <v>94</v>
      </c>
      <c r="Q457" s="16" t="s">
        <v>82</v>
      </c>
      <c r="R457" s="16" t="s">
        <v>1713</v>
      </c>
      <c r="S457" s="17" t="s">
        <v>83</v>
      </c>
      <c r="T457" s="16" t="s">
        <v>84</v>
      </c>
      <c r="U457" s="16"/>
      <c r="V457" s="16" t="s">
        <v>1714</v>
      </c>
      <c r="W457" s="16" t="s">
        <v>1714</v>
      </c>
      <c r="X457" s="56" t="s">
        <v>85</v>
      </c>
      <c r="Y457" s="7">
        <v>44615</v>
      </c>
      <c r="Z457" s="16" t="s">
        <v>1817</v>
      </c>
      <c r="AA457" s="16">
        <v>40</v>
      </c>
      <c r="AB457" s="16" t="s">
        <v>1715</v>
      </c>
      <c r="AC457" s="183"/>
      <c r="AD457" s="16"/>
      <c r="AE457" s="183"/>
      <c r="AF457" s="16"/>
      <c r="AG457" s="16"/>
      <c r="AH457" s="16" t="s">
        <v>92</v>
      </c>
      <c r="AI457" s="16"/>
      <c r="AJ457" s="16"/>
      <c r="AK457" s="16"/>
      <c r="AL457" s="16" t="s">
        <v>83</v>
      </c>
      <c r="AM457" s="90">
        <v>4907.5</v>
      </c>
      <c r="AN457" s="184">
        <v>1</v>
      </c>
      <c r="AO457" s="15">
        <v>5000</v>
      </c>
      <c r="AQ457" s="16"/>
      <c r="AR457" s="16"/>
      <c r="AS457" s="16"/>
      <c r="AT457" s="16"/>
      <c r="AU457" s="16"/>
      <c r="AV457" s="16"/>
      <c r="AW457" s="7"/>
      <c r="AX457" s="16"/>
      <c r="AY457" s="16"/>
      <c r="AZ457" s="16" t="s">
        <v>374</v>
      </c>
      <c r="BA457" s="16">
        <v>11</v>
      </c>
    </row>
    <row r="458" spans="1:53" ht="15.75" customHeight="1">
      <c r="A458" s="273">
        <v>9</v>
      </c>
      <c r="B458" s="273" t="str">
        <f t="shared" si="27"/>
        <v>NEAKTIVAN</v>
      </c>
      <c r="C458" s="302">
        <v>456</v>
      </c>
      <c r="D458" s="357">
        <v>43</v>
      </c>
      <c r="E458" s="1" t="str">
        <f>VLOOKUP(D458,Table3[[#All],[RB]:[OIB]],2,0)</f>
        <v>MANEVI Jagera d.o.o.</v>
      </c>
      <c r="F458" s="4">
        <f>VLOOKUP(D458,Table3[],3,0)</f>
        <v>69769519663</v>
      </c>
      <c r="G458" s="1" t="str">
        <f>VLOOKUP(D458,Table3[],4,0)</f>
        <v>Dénes Kövári</v>
      </c>
      <c r="H458" s="1" t="str">
        <f>VLOOKUP(D458,POSLODAVCI!$A$2:$J$107,9,0)</f>
        <v>Osijek</v>
      </c>
      <c r="I458" s="1" t="str">
        <f>VLOOKUP(D458,Table3[],10,0)</f>
        <v>Ulica Lorenza Jägera 2</v>
      </c>
      <c r="J458" s="1" t="s">
        <v>1722</v>
      </c>
      <c r="K458" s="358">
        <v>44606</v>
      </c>
      <c r="L458" s="358">
        <v>45107</v>
      </c>
      <c r="M458" s="182">
        <v>24481536796</v>
      </c>
      <c r="N458" t="s">
        <v>89</v>
      </c>
      <c r="O458" s="7">
        <v>25701</v>
      </c>
      <c r="P458" t="s">
        <v>1716</v>
      </c>
      <c r="Q458" t="s">
        <v>376</v>
      </c>
      <c r="R458" t="s">
        <v>1717</v>
      </c>
      <c r="S458" s="5" t="s">
        <v>428</v>
      </c>
      <c r="T458" t="s">
        <v>111</v>
      </c>
      <c r="V458" t="s">
        <v>1718</v>
      </c>
      <c r="W458" t="s">
        <v>1719</v>
      </c>
      <c r="X458" s="306" t="s">
        <v>103</v>
      </c>
      <c r="Y458" s="7"/>
      <c r="Z458" s="16" t="s">
        <v>1817</v>
      </c>
      <c r="AA458">
        <v>40</v>
      </c>
      <c r="AB458" t="s">
        <v>1720</v>
      </c>
      <c r="AC458" s="183"/>
      <c r="AE458" s="183"/>
      <c r="AH458" t="s">
        <v>1679</v>
      </c>
      <c r="AL458" t="s">
        <v>428</v>
      </c>
      <c r="AM458" s="359">
        <v>3843.71</v>
      </c>
      <c r="AN458" s="184">
        <v>1</v>
      </c>
      <c r="AO458" s="15">
        <v>13590</v>
      </c>
      <c r="AW458" s="7"/>
      <c r="AZ458" s="16" t="s">
        <v>374</v>
      </c>
      <c r="BA458">
        <v>9</v>
      </c>
    </row>
    <row r="459" spans="1:53" ht="15.75" customHeight="1">
      <c r="A459" s="273">
        <v>1</v>
      </c>
      <c r="B459" s="273" t="str">
        <f t="shared" ref="B459:B522" si="28">IF(L459&gt;0,"NEAKTIVAN","AKTIVAN")</f>
        <v>AKTIVAN</v>
      </c>
      <c r="C459" s="302">
        <v>457</v>
      </c>
      <c r="D459" s="360">
        <v>44</v>
      </c>
      <c r="E459" s="1" t="str">
        <f>VLOOKUP(D459,Table3[[#All],[RB]:[OIB]],2,0)</f>
        <v>VR - Krk</v>
      </c>
      <c r="F459" s="4">
        <f>VLOOKUP(D459,Table3[],3,0)</f>
        <v>31521842055</v>
      </c>
      <c r="G459" s="1" t="str">
        <f>VLOOKUP(D459,Table3[],4,0)</f>
        <v>Robert Verebi</v>
      </c>
      <c r="H459" s="1" t="str">
        <f>VLOOKUP(D459,POSLODAVCI!$A$2:$J$107,9,0)</f>
        <v>Osijek</v>
      </c>
      <c r="I459" s="1" t="str">
        <f>VLOOKUP(D459,Table3[],10,0)</f>
        <v>Ribarska 10</v>
      </c>
      <c r="J459" s="326" t="s">
        <v>1638</v>
      </c>
      <c r="K459" s="327">
        <v>44627</v>
      </c>
      <c r="L459" s="327"/>
      <c r="M459" s="182">
        <v>93577206463</v>
      </c>
      <c r="N459" t="s">
        <v>89</v>
      </c>
      <c r="O459" s="327">
        <v>28655</v>
      </c>
      <c r="P459" t="s">
        <v>94</v>
      </c>
      <c r="Q459" t="s">
        <v>82</v>
      </c>
      <c r="R459" t="s">
        <v>1641</v>
      </c>
      <c r="S459" s="5" t="s">
        <v>428</v>
      </c>
      <c r="T459" t="s">
        <v>1484</v>
      </c>
      <c r="V459" t="s">
        <v>1244</v>
      </c>
      <c r="W459" t="s">
        <v>1244</v>
      </c>
      <c r="X459" s="306" t="s">
        <v>103</v>
      </c>
      <c r="Y459" s="7"/>
      <c r="Z459" s="16" t="s">
        <v>1894</v>
      </c>
      <c r="AA459">
        <v>10</v>
      </c>
      <c r="AB459" t="s">
        <v>1639</v>
      </c>
      <c r="AC459" s="183"/>
      <c r="AE459" s="183"/>
      <c r="AH459" t="s">
        <v>94</v>
      </c>
      <c r="AL459" t="s">
        <v>428</v>
      </c>
      <c r="AM459" s="413">
        <v>165</v>
      </c>
      <c r="AN459" s="184">
        <v>1</v>
      </c>
      <c r="AO459" s="15">
        <v>132</v>
      </c>
      <c r="AW459" s="7"/>
      <c r="AZ459" t="s">
        <v>374</v>
      </c>
      <c r="BA459">
        <v>1</v>
      </c>
    </row>
    <row r="460" spans="1:53" ht="15.75" customHeight="1">
      <c r="A460" s="273">
        <v>12</v>
      </c>
      <c r="B460" s="273" t="str">
        <f t="shared" si="28"/>
        <v>NEAKTIVAN</v>
      </c>
      <c r="C460" s="362">
        <v>458</v>
      </c>
      <c r="D460" s="360">
        <v>26</v>
      </c>
      <c r="E460" s="1" t="str">
        <f>VLOOKUP(D460,Table3[[#All],[RB]:[OIB]],2,0)</f>
        <v>D-INVOICE D.O.O.</v>
      </c>
      <c r="F460" s="4">
        <f>VLOOKUP(D460,Table3[],3,0)</f>
        <v>95114485977</v>
      </c>
      <c r="G460" s="1" t="str">
        <f>VLOOKUP(D460,Table3[],4,0)</f>
        <v>LAURA GERGELJ</v>
      </c>
      <c r="H460" s="1" t="str">
        <f>VLOOKUP(D460,POSLODAVCI!$A$2:$J$107,9,0)</f>
        <v>Osijek</v>
      </c>
      <c r="I460" s="1" t="str">
        <f>VLOOKUP(D460,Table3[],10,0)</f>
        <v>SV.IVANA KRSTITELJA 15, DARDA</v>
      </c>
      <c r="J460" s="1" t="s">
        <v>1726</v>
      </c>
      <c r="K460" s="363">
        <v>44622</v>
      </c>
      <c r="L460" s="363">
        <v>44624</v>
      </c>
      <c r="M460" s="365">
        <v>81424777579</v>
      </c>
      <c r="N460" s="16" t="s">
        <v>80</v>
      </c>
      <c r="O460" s="366">
        <v>30955</v>
      </c>
      <c r="P460" s="16" t="s">
        <v>94</v>
      </c>
      <c r="Q460" s="16" t="s">
        <v>82</v>
      </c>
      <c r="R460" s="16" t="s">
        <v>1727</v>
      </c>
      <c r="S460" s="17" t="s">
        <v>428</v>
      </c>
      <c r="T460" s="16" t="s">
        <v>84</v>
      </c>
      <c r="V460" s="16" t="s">
        <v>1728</v>
      </c>
      <c r="W460" s="16" t="s">
        <v>1728</v>
      </c>
      <c r="X460" s="56" t="s">
        <v>85</v>
      </c>
      <c r="Y460" s="7"/>
      <c r="Z460" s="16" t="s">
        <v>1817</v>
      </c>
      <c r="AA460">
        <v>40</v>
      </c>
      <c r="AB460" s="16" t="s">
        <v>1729</v>
      </c>
      <c r="AC460" s="183"/>
      <c r="AE460" s="183"/>
      <c r="AH460" s="16" t="s">
        <v>94</v>
      </c>
      <c r="AL460" s="16" t="s">
        <v>428</v>
      </c>
      <c r="AM460" s="364">
        <v>4687.5</v>
      </c>
      <c r="AN460" s="184">
        <v>1</v>
      </c>
      <c r="AO460" s="15">
        <v>3750</v>
      </c>
      <c r="AW460" s="7"/>
      <c r="AZ460" s="16" t="s">
        <v>255</v>
      </c>
      <c r="BA460">
        <v>12</v>
      </c>
    </row>
    <row r="461" spans="1:53" ht="15.75" customHeight="1">
      <c r="A461" s="273">
        <v>13</v>
      </c>
      <c r="B461" s="273" t="str">
        <f t="shared" si="28"/>
        <v>NEAKTIVAN</v>
      </c>
      <c r="C461" s="362">
        <v>459</v>
      </c>
      <c r="D461" s="360">
        <v>26</v>
      </c>
      <c r="E461" s="1" t="str">
        <f>VLOOKUP(D461,Table3[[#All],[RB]:[OIB]],2,0)</f>
        <v>D-INVOICE D.O.O.</v>
      </c>
      <c r="F461" s="4">
        <f>VLOOKUP(D461,Table3[],3,0)</f>
        <v>95114485977</v>
      </c>
      <c r="G461" s="1" t="str">
        <f>VLOOKUP(D461,Table3[],4,0)</f>
        <v>LAURA GERGELJ</v>
      </c>
      <c r="H461" s="1" t="str">
        <f>VLOOKUP(D461,POSLODAVCI!$A$2:$J$107,9,0)</f>
        <v>Osijek</v>
      </c>
      <c r="I461" s="1" t="str">
        <f>VLOOKUP(D461,Table3[],10,0)</f>
        <v>SV.IVANA KRSTITELJA 15, DARDA</v>
      </c>
      <c r="J461" s="1" t="s">
        <v>1726</v>
      </c>
      <c r="K461" s="363">
        <v>44627</v>
      </c>
      <c r="L461" s="61">
        <v>44629</v>
      </c>
      <c r="M461" s="365">
        <v>81424777579</v>
      </c>
      <c r="N461" s="16" t="s">
        <v>80</v>
      </c>
      <c r="O461" s="366">
        <v>30955</v>
      </c>
      <c r="P461" s="16" t="s">
        <v>94</v>
      </c>
      <c r="Q461" s="16" t="s">
        <v>82</v>
      </c>
      <c r="R461" s="16" t="s">
        <v>1727</v>
      </c>
      <c r="S461" s="17" t="s">
        <v>428</v>
      </c>
      <c r="T461" s="16" t="s">
        <v>84</v>
      </c>
      <c r="V461" s="16" t="s">
        <v>295</v>
      </c>
      <c r="W461" s="16" t="s">
        <v>295</v>
      </c>
      <c r="X461" s="56" t="s">
        <v>85</v>
      </c>
      <c r="Y461" s="7"/>
      <c r="Z461" s="16" t="s">
        <v>1817</v>
      </c>
      <c r="AA461">
        <v>40</v>
      </c>
      <c r="AB461" s="16" t="s">
        <v>1729</v>
      </c>
      <c r="AC461" s="183"/>
      <c r="AE461" s="183"/>
      <c r="AH461" s="16" t="s">
        <v>94</v>
      </c>
      <c r="AL461" s="16" t="s">
        <v>428</v>
      </c>
      <c r="AM461" s="364">
        <v>4687.5</v>
      </c>
      <c r="AN461" s="184">
        <v>1</v>
      </c>
      <c r="AO461" s="15">
        <v>3750</v>
      </c>
      <c r="AW461" s="7"/>
      <c r="AZ461" s="16" t="s">
        <v>255</v>
      </c>
      <c r="BA461">
        <v>13</v>
      </c>
    </row>
    <row r="462" spans="1:53" ht="15.75" customHeight="1">
      <c r="A462" s="273">
        <v>10</v>
      </c>
      <c r="B462" s="273" t="str">
        <f t="shared" si="28"/>
        <v>NEAKTIVAN</v>
      </c>
      <c r="C462" s="362">
        <v>460</v>
      </c>
      <c r="D462" s="360">
        <v>43</v>
      </c>
      <c r="E462" s="1" t="str">
        <f>VLOOKUP(D462,Table3[[#All],[RB]:[OIB]],2,0)</f>
        <v>MANEVI Jagera d.o.o.</v>
      </c>
      <c r="F462" s="4">
        <f>VLOOKUP(D462,Table3[],3,0)</f>
        <v>69769519663</v>
      </c>
      <c r="G462" s="1" t="str">
        <f>VLOOKUP(D462,Table3[],4,0)</f>
        <v>Dénes Kövári</v>
      </c>
      <c r="H462" s="1" t="str">
        <f>VLOOKUP(D462,POSLODAVCI!$A$2:$J$107,9,0)</f>
        <v>Osijek</v>
      </c>
      <c r="I462" s="1" t="str">
        <f>VLOOKUP(D462,Table3[],10,0)</f>
        <v>Ulica Lorenza Jägera 2</v>
      </c>
      <c r="J462" s="360" t="s">
        <v>1736</v>
      </c>
      <c r="K462" s="363">
        <v>44657</v>
      </c>
      <c r="L462" s="363">
        <v>44932</v>
      </c>
      <c r="M462" s="182">
        <v>61380711034</v>
      </c>
      <c r="N462" t="s">
        <v>89</v>
      </c>
      <c r="O462" s="7">
        <v>26176</v>
      </c>
      <c r="P462" t="s">
        <v>1737</v>
      </c>
      <c r="Q462" t="s">
        <v>1738</v>
      </c>
      <c r="R462" t="s">
        <v>1739</v>
      </c>
      <c r="S462" s="5" t="s">
        <v>87</v>
      </c>
      <c r="T462" t="s">
        <v>310</v>
      </c>
      <c r="V462" t="s">
        <v>1692</v>
      </c>
      <c r="W462" t="s">
        <v>1692</v>
      </c>
      <c r="X462" s="306" t="s">
        <v>85</v>
      </c>
      <c r="Y462" s="7">
        <v>44932</v>
      </c>
      <c r="Z462" s="16" t="s">
        <v>1817</v>
      </c>
      <c r="AA462">
        <v>40</v>
      </c>
      <c r="AB462" t="s">
        <v>1740</v>
      </c>
      <c r="AC462" s="183"/>
      <c r="AE462" s="183"/>
      <c r="AH462" t="s">
        <v>1679</v>
      </c>
      <c r="AL462" t="s">
        <v>428</v>
      </c>
      <c r="AM462" s="364">
        <v>6562.5</v>
      </c>
      <c r="AN462" s="184">
        <v>1</v>
      </c>
      <c r="AO462" s="15">
        <v>5000</v>
      </c>
      <c r="AW462" s="7"/>
      <c r="AZ462" t="s">
        <v>374</v>
      </c>
      <c r="BA462">
        <v>10</v>
      </c>
    </row>
    <row r="463" spans="1:53" ht="15.75" customHeight="1">
      <c r="A463" s="273">
        <v>51</v>
      </c>
      <c r="B463" s="273" t="str">
        <f t="shared" si="28"/>
        <v>NEAKTIVAN</v>
      </c>
      <c r="C463" s="362">
        <v>461</v>
      </c>
      <c r="D463" s="360">
        <v>36</v>
      </c>
      <c r="E463" s="1" t="str">
        <f>VLOOKUP(D463,Table3[[#All],[RB]:[OIB]],2,0)</f>
        <v>Vital Group d.o.o.</v>
      </c>
      <c r="F463" s="4">
        <f>VLOOKUP(D463,Table3[],3,0)</f>
        <v>45575918003</v>
      </c>
      <c r="G463" s="1" t="str">
        <f>VLOOKUP(D463,Table3[],4,0)</f>
        <v>Balázs Kulcsár</v>
      </c>
      <c r="H463" s="1" t="str">
        <f>VLOOKUP(D463,POSLODAVCI!$A$2:$J$107,9,0)</f>
        <v>Osijek</v>
      </c>
      <c r="I463" s="1" t="str">
        <f>VLOOKUP(D463,Table3[],10,0)</f>
        <v>Ribarska 10</v>
      </c>
      <c r="J463" s="360" t="s">
        <v>1569</v>
      </c>
      <c r="K463" s="363">
        <v>44673</v>
      </c>
      <c r="L463" s="363">
        <v>44773</v>
      </c>
      <c r="M463" s="182">
        <v>93734201839</v>
      </c>
      <c r="N463" t="s">
        <v>89</v>
      </c>
      <c r="O463" s="7">
        <v>21729</v>
      </c>
      <c r="P463" t="s">
        <v>1742</v>
      </c>
      <c r="Q463" t="s">
        <v>82</v>
      </c>
      <c r="R463" t="s">
        <v>1570</v>
      </c>
      <c r="S463" s="5" t="s">
        <v>428</v>
      </c>
      <c r="T463" t="s">
        <v>84</v>
      </c>
      <c r="V463" t="s">
        <v>143</v>
      </c>
      <c r="W463" t="s">
        <v>143</v>
      </c>
      <c r="X463" s="306" t="s">
        <v>85</v>
      </c>
      <c r="Y463" s="7">
        <v>44712</v>
      </c>
      <c r="Z463" s="16" t="s">
        <v>1817</v>
      </c>
      <c r="AA463">
        <v>40</v>
      </c>
      <c r="AB463" t="s">
        <v>595</v>
      </c>
      <c r="AC463" s="183"/>
      <c r="AE463" s="183"/>
      <c r="AH463" t="s">
        <v>94</v>
      </c>
      <c r="AL463" t="s">
        <v>428</v>
      </c>
      <c r="AM463" s="364">
        <v>4687.5</v>
      </c>
      <c r="AN463" s="184">
        <v>1</v>
      </c>
      <c r="AO463" s="15">
        <v>3750</v>
      </c>
      <c r="AW463" s="7"/>
      <c r="AZ463" t="s">
        <v>374</v>
      </c>
      <c r="BA463">
        <v>51</v>
      </c>
    </row>
    <row r="464" spans="1:53" ht="15.75" customHeight="1">
      <c r="A464" s="273">
        <v>52</v>
      </c>
      <c r="B464" s="273" t="str">
        <f t="shared" si="28"/>
        <v>AKTIVAN</v>
      </c>
      <c r="C464" s="362">
        <v>462</v>
      </c>
      <c r="D464" s="360">
        <v>36</v>
      </c>
      <c r="E464" s="1" t="str">
        <f>VLOOKUP(D464,Table3[[#All],[RB]:[OIB]],2,0)</f>
        <v>Vital Group d.o.o.</v>
      </c>
      <c r="F464" s="4">
        <f>VLOOKUP(D464,Table3[],3,0)</f>
        <v>45575918003</v>
      </c>
      <c r="G464" s="1" t="str">
        <f>VLOOKUP(D464,Table3[],4,0)</f>
        <v>Balázs Kulcsár</v>
      </c>
      <c r="H464" s="1" t="str">
        <f>VLOOKUP(D464,POSLODAVCI!$A$2:$J$107,9,0)</f>
        <v>Osijek</v>
      </c>
      <c r="I464" s="1" t="str">
        <f>VLOOKUP(D464,Table3[],10,0)</f>
        <v>Ribarska 10</v>
      </c>
      <c r="J464" s="434" t="s">
        <v>1625</v>
      </c>
      <c r="K464" s="435">
        <v>44676</v>
      </c>
      <c r="L464" s="435"/>
      <c r="M464" s="182">
        <v>37668929985</v>
      </c>
      <c r="N464" t="s">
        <v>80</v>
      </c>
      <c r="O464" s="7">
        <v>34118</v>
      </c>
      <c r="P464" t="s">
        <v>94</v>
      </c>
      <c r="Q464" t="s">
        <v>82</v>
      </c>
      <c r="R464" t="s">
        <v>1640</v>
      </c>
      <c r="S464" s="5" t="s">
        <v>428</v>
      </c>
      <c r="T464" t="s">
        <v>84</v>
      </c>
      <c r="V464" t="s">
        <v>143</v>
      </c>
      <c r="W464" t="s">
        <v>143</v>
      </c>
      <c r="X464" s="306" t="s">
        <v>85</v>
      </c>
      <c r="Y464" s="7">
        <v>44712</v>
      </c>
      <c r="Z464" s="16" t="s">
        <v>1817</v>
      </c>
      <c r="AA464">
        <v>40</v>
      </c>
      <c r="AB464" t="s">
        <v>1626</v>
      </c>
      <c r="AC464" s="183"/>
      <c r="AE464" s="183"/>
      <c r="AH464" t="s">
        <v>94</v>
      </c>
      <c r="AL464" t="s">
        <v>428</v>
      </c>
      <c r="AM464" s="364">
        <v>4687.5</v>
      </c>
      <c r="AN464" s="184">
        <v>1</v>
      </c>
      <c r="AO464" s="15">
        <v>3750</v>
      </c>
      <c r="AW464" s="7"/>
      <c r="AZ464" t="s">
        <v>374</v>
      </c>
      <c r="BA464">
        <v>52</v>
      </c>
    </row>
    <row r="465" spans="1:53" ht="15.75" customHeight="1">
      <c r="A465" s="273">
        <v>53</v>
      </c>
      <c r="B465" s="273" t="str">
        <f t="shared" si="28"/>
        <v>NEAKTIVAN</v>
      </c>
      <c r="C465" s="362">
        <v>463</v>
      </c>
      <c r="D465" s="360">
        <v>36</v>
      </c>
      <c r="E465" s="1" t="str">
        <f>VLOOKUP(D465,Table3[[#All],[RB]:[OIB]],2,0)</f>
        <v>Vital Group d.o.o.</v>
      </c>
      <c r="F465" s="4">
        <f>VLOOKUP(D465,Table3[],3,0)</f>
        <v>45575918003</v>
      </c>
      <c r="G465" s="1" t="str">
        <f>VLOOKUP(D465,Table3[],4,0)</f>
        <v>Balázs Kulcsár</v>
      </c>
      <c r="H465" s="1" t="str">
        <f>VLOOKUP(D465,POSLODAVCI!$A$2:$J$107,9,0)</f>
        <v>Osijek</v>
      </c>
      <c r="I465" s="1" t="str">
        <f>VLOOKUP(D465,Table3[],10,0)</f>
        <v>Ribarska 10</v>
      </c>
      <c r="J465" s="360" t="s">
        <v>1743</v>
      </c>
      <c r="K465" s="363">
        <v>44676</v>
      </c>
      <c r="L465" s="363">
        <v>44676</v>
      </c>
      <c r="M465" s="182">
        <v>51677950252</v>
      </c>
      <c r="N465" t="s">
        <v>80</v>
      </c>
      <c r="O465" s="7">
        <v>33637</v>
      </c>
      <c r="P465" t="s">
        <v>1745</v>
      </c>
      <c r="Q465" t="s">
        <v>82</v>
      </c>
      <c r="R465" t="s">
        <v>1744</v>
      </c>
      <c r="S465" s="5" t="s">
        <v>83</v>
      </c>
      <c r="T465" t="s">
        <v>84</v>
      </c>
      <c r="V465" t="s">
        <v>143</v>
      </c>
      <c r="W465" t="s">
        <v>143</v>
      </c>
      <c r="X465" s="306" t="s">
        <v>85</v>
      </c>
      <c r="Y465" s="7">
        <v>44712</v>
      </c>
      <c r="Z465" s="16" t="s">
        <v>1817</v>
      </c>
      <c r="AA465">
        <v>40</v>
      </c>
      <c r="AB465" t="s">
        <v>1746</v>
      </c>
      <c r="AC465" s="183"/>
      <c r="AE465" s="183"/>
      <c r="AH465" t="s">
        <v>94</v>
      </c>
      <c r="AL465" t="s">
        <v>428</v>
      </c>
      <c r="AM465" s="364">
        <v>4687.5</v>
      </c>
      <c r="AN465" s="184">
        <v>1</v>
      </c>
      <c r="AO465" s="15">
        <v>3750</v>
      </c>
      <c r="AW465" s="7"/>
      <c r="AZ465" t="s">
        <v>374</v>
      </c>
      <c r="BA465">
        <v>53</v>
      </c>
    </row>
    <row r="466" spans="1:53" ht="15.75" customHeight="1">
      <c r="A466" s="273">
        <v>3</v>
      </c>
      <c r="B466" s="273" t="str">
        <f t="shared" si="28"/>
        <v>AKTIVAN</v>
      </c>
      <c r="C466" s="362">
        <v>464</v>
      </c>
      <c r="D466" s="360">
        <v>42</v>
      </c>
      <c r="E466" s="1" t="str">
        <f>VLOOKUP(D466,Table3[[#All],[RB]:[OIB]],2,0)</f>
        <v>VR consulting</v>
      </c>
      <c r="F466" s="4">
        <f>VLOOKUP(D466,Table3[],3,0)</f>
        <v>24279864703</v>
      </c>
      <c r="G466" s="1" t="str">
        <f>VLOOKUP(D466,Table3[],4,0)</f>
        <v>Robert Verebi</v>
      </c>
      <c r="H466" s="1" t="str">
        <f>VLOOKUP(D466,POSLODAVCI!$A$2:$J$107,9,0)</f>
        <v>Bilje</v>
      </c>
      <c r="I466" s="1" t="str">
        <f>VLOOKUP(D466,Table3[],10,0)</f>
        <v>Kralja Zvonimira 61, Bilje</v>
      </c>
      <c r="J466" s="360" t="s">
        <v>1631</v>
      </c>
      <c r="K466" s="363">
        <v>44652</v>
      </c>
      <c r="L466" s="363"/>
      <c r="M466" s="182">
        <v>93461065246</v>
      </c>
      <c r="N466" t="s">
        <v>89</v>
      </c>
      <c r="O466" s="7">
        <v>27156</v>
      </c>
      <c r="R466" t="s">
        <v>1633</v>
      </c>
      <c r="S466" s="5" t="s">
        <v>428</v>
      </c>
      <c r="T466" t="s">
        <v>111</v>
      </c>
      <c r="V466" t="s">
        <v>254</v>
      </c>
      <c r="W466" t="s">
        <v>254</v>
      </c>
      <c r="X466" s="306" t="s">
        <v>103</v>
      </c>
      <c r="Y466" s="7"/>
      <c r="Z466" s="16" t="s">
        <v>1817</v>
      </c>
      <c r="AA466">
        <v>40</v>
      </c>
      <c r="AC466" s="183"/>
      <c r="AE466" s="183"/>
      <c r="AM466" s="367">
        <v>5458.69</v>
      </c>
      <c r="AN466" s="367"/>
      <c r="AO466" s="367">
        <v>3500</v>
      </c>
      <c r="AW466" s="7"/>
      <c r="AZ466" t="s">
        <v>374</v>
      </c>
      <c r="BA466">
        <v>3</v>
      </c>
    </row>
    <row r="467" spans="1:53" ht="15.75" customHeight="1">
      <c r="A467" s="273">
        <v>54</v>
      </c>
      <c r="B467" s="273" t="str">
        <f t="shared" si="28"/>
        <v>NEAKTIVAN</v>
      </c>
      <c r="C467" s="362">
        <v>465</v>
      </c>
      <c r="D467" s="360">
        <v>36</v>
      </c>
      <c r="E467" s="1" t="str">
        <f>VLOOKUP(D467,Table3[[#All],[RB]:[OIB]],2,0)</f>
        <v>Vital Group d.o.o.</v>
      </c>
      <c r="F467" s="4">
        <f>VLOOKUP(D467,Table3[],3,0)</f>
        <v>45575918003</v>
      </c>
      <c r="G467" s="1" t="str">
        <f>VLOOKUP(D467,Table3[],4,0)</f>
        <v>Balázs Kulcsár</v>
      </c>
      <c r="H467" s="1" t="str">
        <f>VLOOKUP(D467,POSLODAVCI!$A$2:$J$107,9,0)</f>
        <v>Osijek</v>
      </c>
      <c r="I467" s="1" t="str">
        <f>VLOOKUP(D467,Table3[],10,0)</f>
        <v>Ribarska 10</v>
      </c>
      <c r="J467" s="360" t="s">
        <v>1747</v>
      </c>
      <c r="K467" s="363">
        <v>44677</v>
      </c>
      <c r="L467" s="363">
        <v>44712</v>
      </c>
      <c r="M467" s="182">
        <v>37139447881</v>
      </c>
      <c r="N467" t="s">
        <v>80</v>
      </c>
      <c r="O467" s="7">
        <v>37687</v>
      </c>
      <c r="P467" t="s">
        <v>94</v>
      </c>
      <c r="Q467" t="s">
        <v>82</v>
      </c>
      <c r="R467" t="s">
        <v>1748</v>
      </c>
      <c r="S467" s="5" t="s">
        <v>83</v>
      </c>
      <c r="T467" t="s">
        <v>84</v>
      </c>
      <c r="V467" t="s">
        <v>143</v>
      </c>
      <c r="W467" t="s">
        <v>143</v>
      </c>
      <c r="X467" s="306" t="s">
        <v>85</v>
      </c>
      <c r="Y467" s="7">
        <v>44712</v>
      </c>
      <c r="Z467" s="16" t="s">
        <v>1817</v>
      </c>
      <c r="AA467">
        <v>40</v>
      </c>
      <c r="AB467" t="s">
        <v>1749</v>
      </c>
      <c r="AC467" s="183"/>
      <c r="AE467" s="183"/>
      <c r="AH467" t="s">
        <v>94</v>
      </c>
      <c r="AL467" t="s">
        <v>83</v>
      </c>
      <c r="AM467" s="364">
        <v>4687.5</v>
      </c>
      <c r="AN467" s="184">
        <v>1</v>
      </c>
      <c r="AO467" s="15">
        <v>3750</v>
      </c>
      <c r="AW467" s="7"/>
      <c r="AZ467" t="s">
        <v>374</v>
      </c>
      <c r="BA467">
        <v>54</v>
      </c>
    </row>
    <row r="468" spans="1:53" ht="15.75" customHeight="1">
      <c r="A468" s="273">
        <v>55</v>
      </c>
      <c r="B468" s="273" t="str">
        <f t="shared" si="28"/>
        <v>AKTIVAN</v>
      </c>
      <c r="C468" s="362">
        <v>466</v>
      </c>
      <c r="D468" s="360">
        <v>36</v>
      </c>
      <c r="E468" s="1" t="str">
        <f>VLOOKUP(D468,Table3[[#All],[RB]:[OIB]],2,0)</f>
        <v>Vital Group d.o.o.</v>
      </c>
      <c r="F468" s="4">
        <f>VLOOKUP(D468,Table3[],3,0)</f>
        <v>45575918003</v>
      </c>
      <c r="G468" s="1" t="str">
        <f>VLOOKUP(D468,Table3[],4,0)</f>
        <v>Balázs Kulcsár</v>
      </c>
      <c r="H468" s="1" t="str">
        <f>VLOOKUP(D468,POSLODAVCI!$A$2:$J$107,9,0)</f>
        <v>Osijek</v>
      </c>
      <c r="I468" s="1" t="str">
        <f>VLOOKUP(D468,Table3[],10,0)</f>
        <v>Ribarska 10</v>
      </c>
      <c r="J468" s="434" t="s">
        <v>1750</v>
      </c>
      <c r="K468" s="435">
        <v>44679</v>
      </c>
      <c r="L468" s="435"/>
      <c r="M468" s="182">
        <v>92468677273</v>
      </c>
      <c r="N468" t="s">
        <v>80</v>
      </c>
      <c r="O468" s="7">
        <v>31024</v>
      </c>
      <c r="P468" t="s">
        <v>94</v>
      </c>
      <c r="Q468" t="s">
        <v>82</v>
      </c>
      <c r="R468" t="s">
        <v>1751</v>
      </c>
      <c r="S468" s="5" t="s">
        <v>83</v>
      </c>
      <c r="T468" t="s">
        <v>1752</v>
      </c>
      <c r="V468" t="s">
        <v>143</v>
      </c>
      <c r="W468" t="s">
        <v>143</v>
      </c>
      <c r="X468" s="306" t="s">
        <v>85</v>
      </c>
      <c r="Y468" s="7">
        <v>44694</v>
      </c>
      <c r="Z468" s="16" t="s">
        <v>1817</v>
      </c>
      <c r="AA468">
        <v>40</v>
      </c>
      <c r="AB468" t="s">
        <v>1753</v>
      </c>
      <c r="AC468" s="183"/>
      <c r="AE468" s="183"/>
      <c r="AH468" t="s">
        <v>94</v>
      </c>
      <c r="AL468" t="s">
        <v>83</v>
      </c>
      <c r="AM468" s="364">
        <v>4687.5</v>
      </c>
      <c r="AN468" s="184">
        <v>1</v>
      </c>
      <c r="AO468" s="15">
        <v>3750</v>
      </c>
      <c r="AW468" s="7"/>
      <c r="AZ468" t="s">
        <v>374</v>
      </c>
      <c r="BA468">
        <v>55</v>
      </c>
    </row>
    <row r="469" spans="1:53" ht="15.75" customHeight="1">
      <c r="A469" s="273">
        <v>56</v>
      </c>
      <c r="B469" s="273" t="str">
        <f t="shared" si="28"/>
        <v>AKTIVAN</v>
      </c>
      <c r="C469" s="362">
        <v>467</v>
      </c>
      <c r="D469" s="360">
        <v>36</v>
      </c>
      <c r="E469" s="1" t="str">
        <f>VLOOKUP(D469,Table3[[#All],[RB]:[OIB]],2,0)</f>
        <v>Vital Group d.o.o.</v>
      </c>
      <c r="F469" s="4">
        <f>VLOOKUP(D469,Table3[],3,0)</f>
        <v>45575918003</v>
      </c>
      <c r="G469" s="1" t="str">
        <f>VLOOKUP(D469,Table3[],4,0)</f>
        <v>Balázs Kulcsár</v>
      </c>
      <c r="H469" s="1" t="str">
        <f>VLOOKUP(D469,POSLODAVCI!$A$2:$J$107,9,0)</f>
        <v>Osijek</v>
      </c>
      <c r="I469" s="1" t="str">
        <f>VLOOKUP(D469,Table3[],10,0)</f>
        <v>Ribarska 10</v>
      </c>
      <c r="J469" s="434" t="s">
        <v>1567</v>
      </c>
      <c r="K469" s="435">
        <v>44683</v>
      </c>
      <c r="L469" s="435"/>
      <c r="M469" s="182">
        <v>10828286402</v>
      </c>
      <c r="N469" t="s">
        <v>80</v>
      </c>
      <c r="O469" s="7">
        <v>35178</v>
      </c>
      <c r="P469" t="s">
        <v>94</v>
      </c>
      <c r="Q469" t="s">
        <v>82</v>
      </c>
      <c r="R469" t="s">
        <v>1754</v>
      </c>
      <c r="S469" s="5" t="s">
        <v>83</v>
      </c>
      <c r="T469" t="s">
        <v>84</v>
      </c>
      <c r="V469" t="s">
        <v>143</v>
      </c>
      <c r="W469" t="s">
        <v>143</v>
      </c>
      <c r="X469" s="306" t="s">
        <v>85</v>
      </c>
      <c r="Y469" s="7">
        <v>44712</v>
      </c>
      <c r="Z469" s="16" t="s">
        <v>1817</v>
      </c>
      <c r="AA469">
        <v>40</v>
      </c>
      <c r="AB469" t="s">
        <v>602</v>
      </c>
      <c r="AC469" s="183"/>
      <c r="AE469" s="183"/>
      <c r="AH469" t="s">
        <v>94</v>
      </c>
      <c r="AL469" t="s">
        <v>428</v>
      </c>
      <c r="AM469" s="364">
        <v>4687.5</v>
      </c>
      <c r="AN469" s="184">
        <v>1</v>
      </c>
      <c r="AO469" s="15">
        <v>3750</v>
      </c>
      <c r="AW469" s="7"/>
      <c r="AZ469" t="s">
        <v>374</v>
      </c>
      <c r="BA469">
        <v>56</v>
      </c>
    </row>
    <row r="470" spans="1:53" ht="15.75" customHeight="1">
      <c r="A470" s="273">
        <v>57</v>
      </c>
      <c r="B470" s="273" t="str">
        <f t="shared" si="28"/>
        <v>NEAKTIVAN</v>
      </c>
      <c r="C470" s="362">
        <v>468</v>
      </c>
      <c r="D470" s="360">
        <v>36</v>
      </c>
      <c r="E470" s="1" t="str">
        <f>VLOOKUP(D470,Table3[[#All],[RB]:[OIB]],2,0)</f>
        <v>Vital Group d.o.o.</v>
      </c>
      <c r="F470" s="4">
        <f>VLOOKUP(D470,Table3[],3,0)</f>
        <v>45575918003</v>
      </c>
      <c r="G470" s="1" t="str">
        <f>VLOOKUP(D470,Table3[],4,0)</f>
        <v>Balázs Kulcsár</v>
      </c>
      <c r="H470" s="1" t="str">
        <f>VLOOKUP(D470,POSLODAVCI!$A$2:$J$107,9,0)</f>
        <v>Osijek</v>
      </c>
      <c r="I470" s="1" t="str">
        <f>VLOOKUP(D470,Table3[],10,0)</f>
        <v>Ribarska 10</v>
      </c>
      <c r="J470" s="360" t="s">
        <v>1755</v>
      </c>
      <c r="K470" s="363">
        <v>44684</v>
      </c>
      <c r="L470" s="363">
        <v>45138</v>
      </c>
      <c r="M470" s="182">
        <v>78772903113</v>
      </c>
      <c r="N470" t="s">
        <v>80</v>
      </c>
      <c r="O470" s="7">
        <v>24640</v>
      </c>
      <c r="P470" t="s">
        <v>94</v>
      </c>
      <c r="Q470" t="s">
        <v>82</v>
      </c>
      <c r="R470" t="s">
        <v>1756</v>
      </c>
      <c r="S470" s="5" t="s">
        <v>428</v>
      </c>
      <c r="T470" t="s">
        <v>84</v>
      </c>
      <c r="V470" t="s">
        <v>143</v>
      </c>
      <c r="W470" t="s">
        <v>143</v>
      </c>
      <c r="X470" s="306" t="s">
        <v>85</v>
      </c>
      <c r="Y470" s="7">
        <v>44712</v>
      </c>
      <c r="Z470" s="16" t="s">
        <v>1817</v>
      </c>
      <c r="AA470">
        <v>40</v>
      </c>
      <c r="AB470" t="s">
        <v>1757</v>
      </c>
      <c r="AC470" s="183"/>
      <c r="AE470" s="183"/>
      <c r="AH470" t="s">
        <v>94</v>
      </c>
      <c r="AL470" t="s">
        <v>428</v>
      </c>
      <c r="AM470" s="364">
        <v>4687.5</v>
      </c>
      <c r="AN470" s="184">
        <v>1</v>
      </c>
      <c r="AO470" s="15">
        <v>3750</v>
      </c>
      <c r="AW470" s="7"/>
      <c r="AZ470" t="s">
        <v>374</v>
      </c>
      <c r="BA470">
        <v>57</v>
      </c>
    </row>
    <row r="471" spans="1:53" ht="15.75" customHeight="1">
      <c r="A471" s="273">
        <v>58</v>
      </c>
      <c r="B471" s="273" t="str">
        <f t="shared" si="28"/>
        <v>NEAKTIVAN</v>
      </c>
      <c r="C471" s="362">
        <v>469</v>
      </c>
      <c r="D471" s="360">
        <v>36</v>
      </c>
      <c r="E471" s="1" t="str">
        <f>VLOOKUP(D471,Table3[[#All],[RB]:[OIB]],2,0)</f>
        <v>Vital Group d.o.o.</v>
      </c>
      <c r="F471" s="4">
        <f>VLOOKUP(D471,Table3[],3,0)</f>
        <v>45575918003</v>
      </c>
      <c r="G471" s="1" t="str">
        <f>VLOOKUP(D471,Table3[],4,0)</f>
        <v>Balázs Kulcsár</v>
      </c>
      <c r="H471" s="1" t="str">
        <f>VLOOKUP(D471,POSLODAVCI!$A$2:$J$107,9,0)</f>
        <v>Osijek</v>
      </c>
      <c r="I471" s="1" t="str">
        <f>VLOOKUP(D471,Table3[],10,0)</f>
        <v>Ribarska 10</v>
      </c>
      <c r="J471" s="360" t="s">
        <v>1758</v>
      </c>
      <c r="K471" s="363">
        <v>44685</v>
      </c>
      <c r="L471" s="363">
        <v>44742</v>
      </c>
      <c r="M471" s="182">
        <v>96452309874</v>
      </c>
      <c r="N471" t="s">
        <v>89</v>
      </c>
      <c r="O471" s="7">
        <v>36435</v>
      </c>
      <c r="P471" t="s">
        <v>81</v>
      </c>
      <c r="Q471" t="s">
        <v>82</v>
      </c>
      <c r="R471" t="s">
        <v>1759</v>
      </c>
      <c r="S471" s="5" t="s">
        <v>83</v>
      </c>
      <c r="T471" t="s">
        <v>84</v>
      </c>
      <c r="V471" t="s">
        <v>143</v>
      </c>
      <c r="W471" t="s">
        <v>143</v>
      </c>
      <c r="X471" s="306" t="s">
        <v>85</v>
      </c>
      <c r="Y471" s="7">
        <v>44712</v>
      </c>
      <c r="Z471" s="16" t="s">
        <v>1817</v>
      </c>
      <c r="AA471">
        <v>40</v>
      </c>
      <c r="AB471" t="s">
        <v>1760</v>
      </c>
      <c r="AC471" s="183"/>
      <c r="AE471" s="183"/>
      <c r="AH471" t="s">
        <v>94</v>
      </c>
      <c r="AL471" t="s">
        <v>83</v>
      </c>
      <c r="AM471" s="364">
        <v>4687.5</v>
      </c>
      <c r="AN471" s="184">
        <v>1</v>
      </c>
      <c r="AO471" s="15">
        <v>3750</v>
      </c>
      <c r="AW471" s="7"/>
      <c r="AZ471" t="s">
        <v>374</v>
      </c>
      <c r="BA471">
        <v>58</v>
      </c>
    </row>
    <row r="472" spans="1:53" ht="15.5">
      <c r="A472" s="273">
        <v>11</v>
      </c>
      <c r="B472" s="273" t="str">
        <f t="shared" si="28"/>
        <v>AKTIVAN</v>
      </c>
      <c r="C472" s="362">
        <v>470</v>
      </c>
      <c r="D472" s="360">
        <v>43</v>
      </c>
      <c r="E472" s="1" t="str">
        <f>VLOOKUP(D472,Table3[[#All],[RB]:[OIB]],2,0)</f>
        <v>MANEVI Jagera d.o.o.</v>
      </c>
      <c r="F472" s="4">
        <f>VLOOKUP(D472,Table3[],3,0)</f>
        <v>69769519663</v>
      </c>
      <c r="G472" s="1" t="str">
        <f>VLOOKUP(D472,Table3[],4,0)</f>
        <v>Dénes Kövári</v>
      </c>
      <c r="H472" s="1" t="str">
        <f>VLOOKUP(D472,POSLODAVCI!$A$2:$J$107,9,0)</f>
        <v>Osijek</v>
      </c>
      <c r="I472" s="1" t="str">
        <f>VLOOKUP(D472,Table3[],10,0)</f>
        <v>Ulica Lorenza Jägera 2</v>
      </c>
      <c r="J472" s="360" t="s">
        <v>1761</v>
      </c>
      <c r="K472" s="363">
        <v>44687</v>
      </c>
      <c r="L472" s="363"/>
      <c r="M472" s="182">
        <v>12102304439</v>
      </c>
      <c r="N472" t="s">
        <v>89</v>
      </c>
      <c r="O472" s="7">
        <v>18251</v>
      </c>
      <c r="P472" t="s">
        <v>180</v>
      </c>
      <c r="Q472" t="s">
        <v>82</v>
      </c>
      <c r="R472" t="s">
        <v>1762</v>
      </c>
      <c r="S472" s="5" t="s">
        <v>83</v>
      </c>
      <c r="T472" t="s">
        <v>84</v>
      </c>
      <c r="V472" t="s">
        <v>1763</v>
      </c>
      <c r="W472" t="s">
        <v>1763</v>
      </c>
      <c r="X472" s="306" t="s">
        <v>103</v>
      </c>
      <c r="Y472" s="7"/>
      <c r="Z472" s="16" t="s">
        <v>1894</v>
      </c>
      <c r="AA472">
        <v>20</v>
      </c>
      <c r="AB472" t="s">
        <v>1764</v>
      </c>
      <c r="AC472" s="183"/>
      <c r="AE472" s="183"/>
      <c r="AH472" t="s">
        <v>1679</v>
      </c>
      <c r="AL472" t="s">
        <v>83</v>
      </c>
      <c r="AM472" s="364">
        <v>1084.0899999999999</v>
      </c>
      <c r="AN472" s="184">
        <v>1</v>
      </c>
      <c r="AO472" s="15">
        <v>4000</v>
      </c>
      <c r="AP472" s="15">
        <v>332</v>
      </c>
      <c r="AW472" s="7"/>
      <c r="AZ472" t="s">
        <v>374</v>
      </c>
      <c r="BA472">
        <v>11</v>
      </c>
    </row>
    <row r="473" spans="1:53" ht="15.5">
      <c r="A473" s="273">
        <v>12</v>
      </c>
      <c r="B473" s="273" t="str">
        <f t="shared" si="28"/>
        <v>AKTIVAN</v>
      </c>
      <c r="C473" s="362">
        <v>471</v>
      </c>
      <c r="D473" s="360">
        <v>43</v>
      </c>
      <c r="E473" s="1" t="str">
        <f>VLOOKUP(D473,Table3[[#All],[RB]:[OIB]],2,0)</f>
        <v>MANEVI Jagera d.o.o.</v>
      </c>
      <c r="F473" s="4">
        <f>VLOOKUP(D473,Table3[],3,0)</f>
        <v>69769519663</v>
      </c>
      <c r="G473" s="1" t="str">
        <f>VLOOKUP(D473,Table3[],4,0)</f>
        <v>Dénes Kövári</v>
      </c>
      <c r="H473" s="1" t="str">
        <f>VLOOKUP(D473,POSLODAVCI!$A$2:$J$107,9,0)</f>
        <v>Osijek</v>
      </c>
      <c r="I473" s="1" t="str">
        <f>VLOOKUP(D473,Table3[],10,0)</f>
        <v>Ulica Lorenza Jägera 2</v>
      </c>
      <c r="J473" s="360" t="s">
        <v>1765</v>
      </c>
      <c r="K473" s="363">
        <v>44687</v>
      </c>
      <c r="L473" s="363"/>
      <c r="M473" s="182">
        <v>45721917402</v>
      </c>
      <c r="N473" t="s">
        <v>80</v>
      </c>
      <c r="O473" s="7">
        <v>33436</v>
      </c>
      <c r="P473" t="s">
        <v>1702</v>
      </c>
      <c r="Q473" t="s">
        <v>82</v>
      </c>
      <c r="R473" t="s">
        <v>1766</v>
      </c>
      <c r="S473" s="5" t="s">
        <v>83</v>
      </c>
      <c r="T473" t="s">
        <v>84</v>
      </c>
      <c r="V473" t="s">
        <v>1681</v>
      </c>
      <c r="W473" t="s">
        <v>1681</v>
      </c>
      <c r="X473" s="306" t="s">
        <v>103</v>
      </c>
      <c r="Y473" s="7"/>
      <c r="Z473" s="16" t="s">
        <v>1817</v>
      </c>
      <c r="AA473">
        <v>40</v>
      </c>
      <c r="AB473" t="s">
        <v>1767</v>
      </c>
      <c r="AC473" s="183"/>
      <c r="AE473" s="183"/>
      <c r="AH473" t="s">
        <v>1679</v>
      </c>
      <c r="AL473" t="s">
        <v>83</v>
      </c>
      <c r="AM473" s="364">
        <v>870.99</v>
      </c>
      <c r="AN473" s="184">
        <v>1</v>
      </c>
      <c r="AO473" s="15">
        <v>5000</v>
      </c>
      <c r="AW473" s="7"/>
      <c r="AZ473" t="s">
        <v>374</v>
      </c>
      <c r="BA473">
        <v>12</v>
      </c>
    </row>
    <row r="474" spans="1:53" ht="15.5">
      <c r="A474" s="273">
        <v>13</v>
      </c>
      <c r="B474" s="273" t="str">
        <f t="shared" si="28"/>
        <v>AKTIVAN</v>
      </c>
      <c r="C474" s="362">
        <v>472</v>
      </c>
      <c r="D474" s="360">
        <v>43</v>
      </c>
      <c r="E474" s="1" t="str">
        <f>VLOOKUP(D474,Table3[[#All],[RB]:[OIB]],2,0)</f>
        <v>MANEVI Jagera d.o.o.</v>
      </c>
      <c r="F474" s="4">
        <f>VLOOKUP(D474,Table3[],3,0)</f>
        <v>69769519663</v>
      </c>
      <c r="G474" s="1" t="str">
        <f>VLOOKUP(D474,Table3[],4,0)</f>
        <v>Dénes Kövári</v>
      </c>
      <c r="H474" s="1" t="str">
        <f>VLOOKUP(D474,POSLODAVCI!$A$2:$J$107,9,0)</f>
        <v>Osijek</v>
      </c>
      <c r="I474" s="1" t="str">
        <f>VLOOKUP(D474,Table3[],10,0)</f>
        <v>Ulica Lorenza Jägera 2</v>
      </c>
      <c r="J474" s="1" t="s">
        <v>1784</v>
      </c>
      <c r="K474" s="363">
        <v>44687</v>
      </c>
      <c r="L474" s="363"/>
      <c r="M474" s="182">
        <v>49915950825</v>
      </c>
      <c r="N474" t="s">
        <v>89</v>
      </c>
      <c r="O474" s="7">
        <v>30604</v>
      </c>
      <c r="P474" t="s">
        <v>1702</v>
      </c>
      <c r="Q474" t="s">
        <v>82</v>
      </c>
      <c r="R474" t="s">
        <v>1768</v>
      </c>
      <c r="S474" s="5" t="s">
        <v>83</v>
      </c>
      <c r="T474" t="s">
        <v>111</v>
      </c>
      <c r="V474" t="s">
        <v>1769</v>
      </c>
      <c r="W474" t="s">
        <v>1769</v>
      </c>
      <c r="X474" s="306" t="s">
        <v>103</v>
      </c>
      <c r="Y474" s="7"/>
      <c r="Z474" s="16" t="s">
        <v>1817</v>
      </c>
      <c r="AA474">
        <v>40</v>
      </c>
      <c r="AB474" t="s">
        <v>1770</v>
      </c>
      <c r="AC474" s="183"/>
      <c r="AE474" s="183"/>
      <c r="AH474" t="s">
        <v>1679</v>
      </c>
      <c r="AL474" t="s">
        <v>83</v>
      </c>
      <c r="AM474" s="364">
        <v>1098.22</v>
      </c>
      <c r="AN474" s="184">
        <v>1</v>
      </c>
      <c r="AO474" s="15">
        <v>5000</v>
      </c>
      <c r="AP474" s="15">
        <v>570</v>
      </c>
      <c r="AW474" s="7"/>
      <c r="AZ474" t="s">
        <v>374</v>
      </c>
      <c r="BA474">
        <v>13</v>
      </c>
    </row>
    <row r="475" spans="1:53" ht="15.5">
      <c r="A475" s="273">
        <v>14</v>
      </c>
      <c r="B475" s="273" t="str">
        <f t="shared" si="28"/>
        <v>NEAKTIVAN</v>
      </c>
      <c r="C475" s="362">
        <v>473</v>
      </c>
      <c r="D475" s="360">
        <v>43</v>
      </c>
      <c r="E475" s="1" t="str">
        <f>VLOOKUP(D475,Table3[[#All],[RB]:[OIB]],2,0)</f>
        <v>MANEVI Jagera d.o.o.</v>
      </c>
      <c r="F475" s="4">
        <f>VLOOKUP(D475,Table3[],3,0)</f>
        <v>69769519663</v>
      </c>
      <c r="G475" s="1" t="str">
        <f>VLOOKUP(D475,Table3[],4,0)</f>
        <v>Dénes Kövári</v>
      </c>
      <c r="H475" s="1" t="str">
        <f>VLOOKUP(D475,POSLODAVCI!$A$2:$J$107,9,0)</f>
        <v>Osijek</v>
      </c>
      <c r="I475" s="1" t="str">
        <f>VLOOKUP(D475,Table3[],10,0)</f>
        <v>Ulica Lorenza Jägera 2</v>
      </c>
      <c r="J475" s="360" t="s">
        <v>1771</v>
      </c>
      <c r="K475" s="363">
        <v>44687</v>
      </c>
      <c r="L475" s="363">
        <v>44700</v>
      </c>
      <c r="M475" s="182">
        <v>80417442000</v>
      </c>
      <c r="N475" t="s">
        <v>80</v>
      </c>
      <c r="O475" s="7">
        <v>23228</v>
      </c>
      <c r="P475" t="s">
        <v>1772</v>
      </c>
      <c r="Q475" t="s">
        <v>82</v>
      </c>
      <c r="R475" t="s">
        <v>1773</v>
      </c>
      <c r="S475" s="5" t="s">
        <v>83</v>
      </c>
      <c r="T475" t="s">
        <v>84</v>
      </c>
      <c r="V475" t="s">
        <v>1774</v>
      </c>
      <c r="W475" t="s">
        <v>1775</v>
      </c>
      <c r="X475" s="306" t="s">
        <v>85</v>
      </c>
      <c r="Y475" s="7">
        <v>44718</v>
      </c>
      <c r="Z475" s="16" t="s">
        <v>1817</v>
      </c>
      <c r="AA475">
        <v>40</v>
      </c>
      <c r="AB475" t="s">
        <v>1776</v>
      </c>
      <c r="AC475" s="183"/>
      <c r="AE475" s="183"/>
      <c r="AH475" t="s">
        <v>1679</v>
      </c>
      <c r="AL475" t="s">
        <v>83</v>
      </c>
      <c r="AM475" s="364">
        <v>6619.18</v>
      </c>
      <c r="AN475" s="184">
        <v>1</v>
      </c>
      <c r="AO475" s="15">
        <v>5000</v>
      </c>
      <c r="AP475" s="15">
        <v>570</v>
      </c>
      <c r="AW475" s="7"/>
      <c r="AZ475" t="s">
        <v>374</v>
      </c>
      <c r="BA475">
        <v>14</v>
      </c>
    </row>
    <row r="476" spans="1:53" ht="15.5">
      <c r="A476" s="273">
        <v>15</v>
      </c>
      <c r="B476" s="273" t="str">
        <f t="shared" si="28"/>
        <v>NEAKTIVAN</v>
      </c>
      <c r="C476" s="362">
        <v>474</v>
      </c>
      <c r="D476" s="360">
        <v>43</v>
      </c>
      <c r="E476" s="1" t="str">
        <f>VLOOKUP(D476,Table3[[#All],[RB]:[OIB]],2,0)</f>
        <v>MANEVI Jagera d.o.o.</v>
      </c>
      <c r="F476" s="4">
        <f>VLOOKUP(D476,Table3[],3,0)</f>
        <v>69769519663</v>
      </c>
      <c r="G476" s="1" t="str">
        <f>VLOOKUP(D476,Table3[],4,0)</f>
        <v>Dénes Kövári</v>
      </c>
      <c r="H476" s="1" t="str">
        <f>VLOOKUP(D476,POSLODAVCI!$A$2:$J$107,9,0)</f>
        <v>Osijek</v>
      </c>
      <c r="I476" s="1" t="str">
        <f>VLOOKUP(D476,Table3[],10,0)</f>
        <v>Ulica Lorenza Jägera 2</v>
      </c>
      <c r="J476" s="360" t="s">
        <v>1777</v>
      </c>
      <c r="K476" s="363">
        <v>44687</v>
      </c>
      <c r="L476" s="363">
        <v>44865</v>
      </c>
      <c r="M476" s="182">
        <v>40690069180</v>
      </c>
      <c r="N476" t="s">
        <v>80</v>
      </c>
      <c r="O476" s="7">
        <v>26603</v>
      </c>
      <c r="P476" t="s">
        <v>1778</v>
      </c>
      <c r="Q476" t="s">
        <v>1738</v>
      </c>
      <c r="R476" t="s">
        <v>1739</v>
      </c>
      <c r="S476" s="5" t="s">
        <v>87</v>
      </c>
      <c r="T476" t="s">
        <v>84</v>
      </c>
      <c r="V476" t="s">
        <v>1779</v>
      </c>
      <c r="W476" t="s">
        <v>1692</v>
      </c>
      <c r="X476" s="306" t="s">
        <v>85</v>
      </c>
      <c r="Y476" s="7">
        <v>44865</v>
      </c>
      <c r="Z476" s="16" t="s">
        <v>1817</v>
      </c>
      <c r="AA476">
        <v>40</v>
      </c>
      <c r="AB476" t="s">
        <v>1780</v>
      </c>
      <c r="AC476" s="183"/>
      <c r="AE476" s="183"/>
      <c r="AH476" t="s">
        <v>1679</v>
      </c>
      <c r="AL476" t="s">
        <v>83</v>
      </c>
      <c r="AM476" s="364">
        <v>6562.51</v>
      </c>
      <c r="AN476" s="184">
        <v>1</v>
      </c>
      <c r="AO476" s="15">
        <v>5000</v>
      </c>
      <c r="AW476" s="7"/>
      <c r="AZ476" t="s">
        <v>374</v>
      </c>
      <c r="BA476">
        <v>15</v>
      </c>
    </row>
    <row r="477" spans="1:53" ht="15.5">
      <c r="A477" s="273">
        <v>16</v>
      </c>
      <c r="B477" s="273" t="str">
        <f t="shared" si="28"/>
        <v>NEAKTIVAN</v>
      </c>
      <c r="C477" s="362">
        <v>475</v>
      </c>
      <c r="D477" s="360">
        <v>43</v>
      </c>
      <c r="E477" s="1" t="str">
        <f>VLOOKUP(D477,Table3[[#All],[RB]:[OIB]],2,0)</f>
        <v>MANEVI Jagera d.o.o.</v>
      </c>
      <c r="F477" s="4">
        <f>VLOOKUP(D477,Table3[],3,0)</f>
        <v>69769519663</v>
      </c>
      <c r="G477" s="1" t="str">
        <f>VLOOKUP(D477,Table3[],4,0)</f>
        <v>Dénes Kövári</v>
      </c>
      <c r="H477" s="1" t="str">
        <f>VLOOKUP(D477,POSLODAVCI!$A$2:$J$107,9,0)</f>
        <v>Osijek</v>
      </c>
      <c r="I477" s="1" t="str">
        <f>VLOOKUP(D477,Table3[],10,0)</f>
        <v>Ulica Lorenza Jägera 2</v>
      </c>
      <c r="J477" s="360" t="s">
        <v>1781</v>
      </c>
      <c r="K477" s="363">
        <v>44687</v>
      </c>
      <c r="L477" s="363">
        <v>44865</v>
      </c>
      <c r="M477" s="182">
        <v>99609890264</v>
      </c>
      <c r="N477" t="s">
        <v>89</v>
      </c>
      <c r="O477" s="7">
        <v>36890</v>
      </c>
      <c r="P477" t="s">
        <v>1778</v>
      </c>
      <c r="Q477" t="s">
        <v>82</v>
      </c>
      <c r="R477" t="s">
        <v>1739</v>
      </c>
      <c r="S477" s="5" t="s">
        <v>83</v>
      </c>
      <c r="T477" t="s">
        <v>84</v>
      </c>
      <c r="V477" t="s">
        <v>1692</v>
      </c>
      <c r="W477" t="s">
        <v>1692</v>
      </c>
      <c r="X477" s="306" t="s">
        <v>85</v>
      </c>
      <c r="Y477" s="7">
        <v>44865</v>
      </c>
      <c r="Z477" s="16" t="s">
        <v>1817</v>
      </c>
      <c r="AA477">
        <v>40</v>
      </c>
      <c r="AB477" t="s">
        <v>1782</v>
      </c>
      <c r="AC477" s="183"/>
      <c r="AE477" s="183"/>
      <c r="AH477" t="s">
        <v>1679</v>
      </c>
      <c r="AL477" t="s">
        <v>428</v>
      </c>
      <c r="AM477" s="364">
        <v>6562.51</v>
      </c>
      <c r="AN477" s="184">
        <v>1</v>
      </c>
      <c r="AO477" s="15">
        <v>5000</v>
      </c>
      <c r="AW477" s="7"/>
      <c r="AZ477" t="s">
        <v>374</v>
      </c>
      <c r="BA477">
        <v>16</v>
      </c>
    </row>
    <row r="478" spans="1:53" ht="15.5">
      <c r="A478" s="273">
        <v>59</v>
      </c>
      <c r="B478" s="273" t="str">
        <f t="shared" si="28"/>
        <v>NEAKTIVAN</v>
      </c>
      <c r="C478" s="362">
        <v>476</v>
      </c>
      <c r="D478" s="360">
        <v>36</v>
      </c>
      <c r="E478" s="1" t="str">
        <f>VLOOKUP(D478,Table3[[#All],[RB]:[OIB]],2,0)</f>
        <v>Vital Group d.o.o.</v>
      </c>
      <c r="F478" s="4">
        <f>VLOOKUP(D478,Table3[],3,0)</f>
        <v>45575918003</v>
      </c>
      <c r="G478" s="1" t="str">
        <f>VLOOKUP(D478,Table3[],4,0)</f>
        <v>Balázs Kulcsár</v>
      </c>
      <c r="H478" s="1" t="str">
        <f>VLOOKUP(D478,POSLODAVCI!$A$2:$J$107,9,0)</f>
        <v>Osijek</v>
      </c>
      <c r="I478" s="1" t="str">
        <f>VLOOKUP(D478,Table3[],10,0)</f>
        <v>Ribarska 10</v>
      </c>
      <c r="J478" s="360" t="s">
        <v>1785</v>
      </c>
      <c r="K478" s="363">
        <v>44687</v>
      </c>
      <c r="L478" s="363">
        <v>44712</v>
      </c>
      <c r="M478" s="182">
        <v>29561943281</v>
      </c>
      <c r="N478" t="s">
        <v>80</v>
      </c>
      <c r="O478" s="7">
        <v>31892</v>
      </c>
      <c r="P478" t="s">
        <v>94</v>
      </c>
      <c r="Q478" t="s">
        <v>82</v>
      </c>
      <c r="R478" t="s">
        <v>1786</v>
      </c>
      <c r="S478" s="5" t="s">
        <v>428</v>
      </c>
      <c r="T478" t="s">
        <v>111</v>
      </c>
      <c r="V478" t="s">
        <v>143</v>
      </c>
      <c r="W478" t="s">
        <v>143</v>
      </c>
      <c r="X478" s="306" t="s">
        <v>85</v>
      </c>
      <c r="Y478" s="7">
        <v>44712</v>
      </c>
      <c r="Z478" s="16" t="s">
        <v>1817</v>
      </c>
      <c r="AA478">
        <v>40</v>
      </c>
      <c r="AB478" t="s">
        <v>1787</v>
      </c>
      <c r="AC478" s="183"/>
      <c r="AE478" s="183"/>
      <c r="AH478" t="s">
        <v>94</v>
      </c>
      <c r="AL478" t="s">
        <v>428</v>
      </c>
      <c r="AM478" s="364">
        <v>4687.5</v>
      </c>
      <c r="AN478" s="184">
        <v>1</v>
      </c>
      <c r="AO478" s="15">
        <v>3750</v>
      </c>
      <c r="AW478" s="7"/>
      <c r="AZ478" t="s">
        <v>374</v>
      </c>
      <c r="BA478">
        <v>59</v>
      </c>
    </row>
    <row r="479" spans="1:53" ht="15.5">
      <c r="A479" s="273">
        <v>17</v>
      </c>
      <c r="B479" s="273" t="str">
        <f t="shared" si="28"/>
        <v>AKTIVAN</v>
      </c>
      <c r="C479" s="362">
        <v>477</v>
      </c>
      <c r="D479" s="360">
        <v>43</v>
      </c>
      <c r="E479" s="1" t="str">
        <f>VLOOKUP(D479,Table3[[#All],[RB]:[OIB]],2,0)</f>
        <v>MANEVI Jagera d.o.o.</v>
      </c>
      <c r="F479" s="4">
        <f>VLOOKUP(D479,Table3[],3,0)</f>
        <v>69769519663</v>
      </c>
      <c r="G479" s="1" t="str">
        <f>VLOOKUP(D479,Table3[],4,0)</f>
        <v>Dénes Kövári</v>
      </c>
      <c r="H479" s="1" t="str">
        <f>VLOOKUP(D479,POSLODAVCI!$A$2:$J$107,9,0)</f>
        <v>Osijek</v>
      </c>
      <c r="I479" s="1" t="str">
        <f>VLOOKUP(D479,Table3[],10,0)</f>
        <v>Ulica Lorenza Jägera 2</v>
      </c>
      <c r="J479" s="360" t="s">
        <v>1788</v>
      </c>
      <c r="K479" s="363">
        <v>44729</v>
      </c>
      <c r="L479" s="363"/>
      <c r="M479" s="182">
        <v>56204314712</v>
      </c>
      <c r="N479" t="s">
        <v>89</v>
      </c>
      <c r="O479" s="7">
        <v>29450</v>
      </c>
      <c r="P479" t="s">
        <v>1702</v>
      </c>
      <c r="Q479" t="s">
        <v>82</v>
      </c>
      <c r="R479" t="s">
        <v>1789</v>
      </c>
      <c r="S479" s="5" t="s">
        <v>428</v>
      </c>
      <c r="T479" t="s">
        <v>84</v>
      </c>
      <c r="V479" t="s">
        <v>1790</v>
      </c>
      <c r="W479" t="s">
        <v>1790</v>
      </c>
      <c r="X479" s="306" t="s">
        <v>85</v>
      </c>
      <c r="Y479" s="7">
        <v>44728</v>
      </c>
      <c r="Z479" s="16" t="s">
        <v>1817</v>
      </c>
      <c r="AA479">
        <v>40</v>
      </c>
      <c r="AB479" t="s">
        <v>1791</v>
      </c>
      <c r="AC479" s="183"/>
      <c r="AE479" s="183"/>
      <c r="AH479" t="s">
        <v>1679</v>
      </c>
      <c r="AL479" t="s">
        <v>428</v>
      </c>
      <c r="AM479" s="364">
        <v>1098.22</v>
      </c>
      <c r="AN479" s="184">
        <v>1</v>
      </c>
      <c r="AO479" s="15">
        <v>5000</v>
      </c>
      <c r="AP479" s="15">
        <v>570</v>
      </c>
      <c r="AW479" s="7"/>
      <c r="AZ479" t="s">
        <v>374</v>
      </c>
      <c r="BA479">
        <v>17</v>
      </c>
    </row>
    <row r="480" spans="1:53" ht="15.5">
      <c r="A480" s="273">
        <v>60</v>
      </c>
      <c r="B480" s="273" t="str">
        <f t="shared" si="28"/>
        <v>NEAKTIVAN</v>
      </c>
      <c r="C480" s="362">
        <v>478</v>
      </c>
      <c r="D480" s="360">
        <v>36</v>
      </c>
      <c r="E480" s="1" t="str">
        <f>VLOOKUP(D480,Table3[[#All],[RB]:[OIB]],2,0)</f>
        <v>Vital Group d.o.o.</v>
      </c>
      <c r="F480" s="4">
        <f>VLOOKUP(D480,Table3[],3,0)</f>
        <v>45575918003</v>
      </c>
      <c r="G480" s="1" t="str">
        <f>VLOOKUP(D480,Table3[],4,0)</f>
        <v>Balázs Kulcsár</v>
      </c>
      <c r="H480" s="1" t="str">
        <f>VLOOKUP(D480,POSLODAVCI!$A$2:$J$107,9,0)</f>
        <v>Osijek</v>
      </c>
      <c r="I480" s="1" t="str">
        <f>VLOOKUP(D480,Table3[],10,0)</f>
        <v>Ribarska 10</v>
      </c>
      <c r="J480" s="360" t="s">
        <v>1792</v>
      </c>
      <c r="K480" s="363">
        <v>44698</v>
      </c>
      <c r="L480" s="363">
        <v>44701</v>
      </c>
      <c r="M480" s="182">
        <v>32886816635</v>
      </c>
      <c r="N480" t="s">
        <v>80</v>
      </c>
      <c r="O480" s="7">
        <v>30966</v>
      </c>
      <c r="P480" t="s">
        <v>94</v>
      </c>
      <c r="Q480" t="s">
        <v>82</v>
      </c>
      <c r="R480" t="s">
        <v>1793</v>
      </c>
      <c r="S480" s="5" t="s">
        <v>428</v>
      </c>
      <c r="T480" t="s">
        <v>84</v>
      </c>
      <c r="V480" t="s">
        <v>143</v>
      </c>
      <c r="W480" t="s">
        <v>143</v>
      </c>
      <c r="X480" s="306" t="s">
        <v>85</v>
      </c>
      <c r="Y480" s="7">
        <v>44742</v>
      </c>
      <c r="Z480" s="16" t="s">
        <v>1817</v>
      </c>
      <c r="AA480">
        <v>40</v>
      </c>
      <c r="AB480" t="s">
        <v>1794</v>
      </c>
      <c r="AC480" s="183"/>
      <c r="AE480" s="183"/>
      <c r="AH480" t="s">
        <v>94</v>
      </c>
      <c r="AL480" t="s">
        <v>428</v>
      </c>
      <c r="AM480" s="364">
        <v>4687.5</v>
      </c>
      <c r="AN480" s="184">
        <v>1</v>
      </c>
      <c r="AO480" s="15">
        <v>3750</v>
      </c>
      <c r="AW480" s="7"/>
      <c r="AZ480" t="s">
        <v>374</v>
      </c>
      <c r="BA480">
        <v>60</v>
      </c>
    </row>
    <row r="481" spans="1:53" ht="15.5">
      <c r="A481" s="273">
        <v>61</v>
      </c>
      <c r="B481" s="273" t="str">
        <f t="shared" si="28"/>
        <v>NEAKTIVAN</v>
      </c>
      <c r="C481" s="362">
        <v>479</v>
      </c>
      <c r="D481" s="360">
        <v>36</v>
      </c>
      <c r="E481" s="1" t="str">
        <f>VLOOKUP(D481,Table3[[#All],[RB]:[OIB]],2,0)</f>
        <v>Vital Group d.o.o.</v>
      </c>
      <c r="F481" s="4">
        <f>VLOOKUP(D481,Table3[],3,0)</f>
        <v>45575918003</v>
      </c>
      <c r="G481" s="1" t="str">
        <f>VLOOKUP(D481,Table3[],4,0)</f>
        <v>Balázs Kulcsár</v>
      </c>
      <c r="H481" s="1" t="str">
        <f>VLOOKUP(D481,POSLODAVCI!$A$2:$J$107,9,0)</f>
        <v>Osijek</v>
      </c>
      <c r="I481" s="1" t="str">
        <f>VLOOKUP(D481,Table3[],10,0)</f>
        <v>Ribarska 10</v>
      </c>
      <c r="J481" s="360" t="s">
        <v>1795</v>
      </c>
      <c r="K481" s="363">
        <v>44704</v>
      </c>
      <c r="L481" s="363">
        <v>44781</v>
      </c>
      <c r="M481" s="182">
        <v>31460617590</v>
      </c>
      <c r="N481" t="s">
        <v>89</v>
      </c>
      <c r="O481" s="7">
        <v>35467</v>
      </c>
      <c r="P481" t="s">
        <v>94</v>
      </c>
      <c r="Q481" t="s">
        <v>82</v>
      </c>
      <c r="R481" t="s">
        <v>1796</v>
      </c>
      <c r="S481" s="5" t="s">
        <v>428</v>
      </c>
      <c r="T481" t="s">
        <v>1484</v>
      </c>
      <c r="V481" t="s">
        <v>507</v>
      </c>
      <c r="W481" t="s">
        <v>507</v>
      </c>
      <c r="X481" s="306" t="s">
        <v>103</v>
      </c>
      <c r="Y481" s="7"/>
      <c r="Z481" s="16" t="s">
        <v>1817</v>
      </c>
      <c r="AA481">
        <v>40</v>
      </c>
      <c r="AB481" t="s">
        <v>1797</v>
      </c>
      <c r="AC481" s="183"/>
      <c r="AE481" s="183"/>
      <c r="AH481" t="s">
        <v>94</v>
      </c>
      <c r="AL481" t="s">
        <v>428</v>
      </c>
      <c r="AM481" s="364">
        <v>4687.5</v>
      </c>
      <c r="AN481" s="184">
        <v>1</v>
      </c>
      <c r="AO481" s="15">
        <v>3750</v>
      </c>
      <c r="AW481" s="7"/>
      <c r="AZ481" t="s">
        <v>374</v>
      </c>
      <c r="BA481">
        <v>61</v>
      </c>
    </row>
    <row r="482" spans="1:53" ht="15.5">
      <c r="A482" s="273">
        <v>62</v>
      </c>
      <c r="B482" s="273" t="str">
        <f t="shared" si="28"/>
        <v>AKTIVAN</v>
      </c>
      <c r="C482" s="362">
        <v>480</v>
      </c>
      <c r="D482" s="360">
        <v>36</v>
      </c>
      <c r="E482" s="1" t="str">
        <f>VLOOKUP(D482,Table3[[#All],[RB]:[OIB]],2,0)</f>
        <v>Vital Group d.o.o.</v>
      </c>
      <c r="F482" s="4">
        <f>VLOOKUP(D482,Table3[],3,0)</f>
        <v>45575918003</v>
      </c>
      <c r="G482" s="1" t="str">
        <f>VLOOKUP(D482,Table3[],4,0)</f>
        <v>Balázs Kulcsár</v>
      </c>
      <c r="H482" s="1" t="str">
        <f>VLOOKUP(D482,POSLODAVCI!$A$2:$J$107,9,0)</f>
        <v>Osijek</v>
      </c>
      <c r="I482" s="1" t="str">
        <f>VLOOKUP(D482,Table3[],10,0)</f>
        <v>Ribarska 10</v>
      </c>
      <c r="J482" s="434" t="s">
        <v>1798</v>
      </c>
      <c r="K482" s="435">
        <v>44704</v>
      </c>
      <c r="L482" s="435"/>
      <c r="M482" s="182">
        <v>85474229456</v>
      </c>
      <c r="N482" t="s">
        <v>80</v>
      </c>
      <c r="O482" s="7">
        <v>35528</v>
      </c>
      <c r="P482" t="s">
        <v>94</v>
      </c>
      <c r="Q482" t="s">
        <v>82</v>
      </c>
      <c r="R482" t="s">
        <v>1799</v>
      </c>
      <c r="S482" s="5" t="s">
        <v>428</v>
      </c>
      <c r="T482" t="s">
        <v>84</v>
      </c>
      <c r="V482" t="s">
        <v>143</v>
      </c>
      <c r="W482" t="s">
        <v>143</v>
      </c>
      <c r="X482" s="306" t="s">
        <v>85</v>
      </c>
      <c r="Y482" s="7">
        <v>44742</v>
      </c>
      <c r="Z482" s="16" t="s">
        <v>1817</v>
      </c>
      <c r="AA482">
        <v>40</v>
      </c>
      <c r="AB482" t="s">
        <v>1800</v>
      </c>
      <c r="AC482" s="183"/>
      <c r="AE482" s="183"/>
      <c r="AH482" t="s">
        <v>94</v>
      </c>
      <c r="AL482" t="s">
        <v>428</v>
      </c>
      <c r="AM482" s="364">
        <v>4687.5</v>
      </c>
      <c r="AN482" s="184">
        <v>1</v>
      </c>
      <c r="AO482" s="15">
        <v>3750</v>
      </c>
      <c r="AW482" s="7"/>
      <c r="AZ482" t="s">
        <v>374</v>
      </c>
      <c r="BA482">
        <v>62</v>
      </c>
    </row>
    <row r="483" spans="1:53" ht="15.5">
      <c r="A483" s="273">
        <v>1</v>
      </c>
      <c r="B483" s="273" t="str">
        <f t="shared" si="28"/>
        <v>AKTIVAN</v>
      </c>
      <c r="C483" s="302">
        <v>481</v>
      </c>
      <c r="D483" s="1">
        <v>45</v>
      </c>
      <c r="E483" s="1" t="str">
        <f>VLOOKUP(D483,Table3[[#All],[RB]:[OIB]],2,0)</f>
        <v>TDL Jadran j.d.o.o.</v>
      </c>
      <c r="F483" s="4">
        <f>VLOOKUP(D483,Table3[],3,0)</f>
        <v>42856087628</v>
      </c>
      <c r="G483" s="1" t="str">
        <f>VLOOKUP(D483,Table3[],4,0)</f>
        <v>DÓRA DENKE- TAKÁCS</v>
      </c>
      <c r="H483" s="1" t="str">
        <f>VLOOKUP(D483,POSLODAVCI!$A$2:$J$107,9,0)</f>
        <v>Vir</v>
      </c>
      <c r="I483" s="1" t="str">
        <f>VLOOKUP(D483,Table3[],10,0)</f>
        <v>Virić VII 18</v>
      </c>
      <c r="J483" s="1" t="s">
        <v>1806</v>
      </c>
      <c r="K483" s="61">
        <v>44698</v>
      </c>
      <c r="L483" s="61"/>
      <c r="M483" s="182">
        <v>62680965250</v>
      </c>
      <c r="N483" t="s">
        <v>80</v>
      </c>
      <c r="O483" s="7">
        <v>33767</v>
      </c>
      <c r="P483" s="16" t="s">
        <v>1807</v>
      </c>
      <c r="Q483" s="16" t="s">
        <v>376</v>
      </c>
      <c r="R483" s="16" t="s">
        <v>1808</v>
      </c>
      <c r="S483" s="17" t="s">
        <v>83</v>
      </c>
      <c r="T483" s="16" t="s">
        <v>84</v>
      </c>
      <c r="U483" s="16"/>
      <c r="V483" s="16" t="s">
        <v>254</v>
      </c>
      <c r="W483" s="16" t="s">
        <v>254</v>
      </c>
      <c r="X483" s="56" t="s">
        <v>103</v>
      </c>
      <c r="Y483" s="7"/>
      <c r="Z483" s="16" t="s">
        <v>1817</v>
      </c>
      <c r="AA483" s="16">
        <v>40</v>
      </c>
      <c r="AB483" s="16"/>
      <c r="AC483" s="183"/>
      <c r="AD483" s="16"/>
      <c r="AE483" s="183"/>
      <c r="AF483" s="16"/>
      <c r="AG483" s="16"/>
      <c r="AH483" s="16"/>
      <c r="AI483" s="16"/>
      <c r="AJ483" s="16"/>
      <c r="AK483" s="16"/>
      <c r="AL483" s="16" t="s">
        <v>428</v>
      </c>
      <c r="AM483" s="90">
        <v>6199.05</v>
      </c>
      <c r="AN483" s="184">
        <v>1</v>
      </c>
      <c r="AQ483" s="16"/>
      <c r="AR483" s="16"/>
      <c r="AS483" s="16"/>
      <c r="AT483" s="16"/>
      <c r="AU483" s="16"/>
      <c r="AV483" s="16"/>
      <c r="AW483" s="7"/>
      <c r="AX483" s="16"/>
      <c r="AY483" s="16"/>
      <c r="AZ483" s="16"/>
      <c r="BA483" s="16"/>
    </row>
    <row r="484" spans="1:53" ht="15.5">
      <c r="A484" s="273">
        <v>63</v>
      </c>
      <c r="B484" s="273" t="str">
        <f t="shared" si="28"/>
        <v>NEAKTIVAN</v>
      </c>
      <c r="C484" s="362">
        <v>482</v>
      </c>
      <c r="D484" s="360">
        <v>36</v>
      </c>
      <c r="E484" s="1" t="str">
        <f>VLOOKUP(D484,Table3[[#All],[RB]:[OIB]],2,0)</f>
        <v>Vital Group d.o.o.</v>
      </c>
      <c r="F484" s="4">
        <f>VLOOKUP(D484,Table3[],3,0)</f>
        <v>45575918003</v>
      </c>
      <c r="G484" s="1" t="str">
        <f>VLOOKUP(D484,Table3[],4,0)</f>
        <v>Balázs Kulcsár</v>
      </c>
      <c r="H484" s="1" t="str">
        <f>VLOOKUP(D484,POSLODAVCI!$A$2:$J$107,9,0)</f>
        <v>Osijek</v>
      </c>
      <c r="I484" s="1" t="str">
        <f>VLOOKUP(D484,Table3[],10,0)</f>
        <v>Ribarska 10</v>
      </c>
      <c r="J484" s="360" t="s">
        <v>1809</v>
      </c>
      <c r="K484" s="363">
        <v>44713</v>
      </c>
      <c r="L484" s="363">
        <v>44742</v>
      </c>
      <c r="M484" s="182">
        <v>18596946138</v>
      </c>
      <c r="N484" t="s">
        <v>80</v>
      </c>
      <c r="O484" s="7">
        <v>33133</v>
      </c>
      <c r="P484" t="s">
        <v>1810</v>
      </c>
      <c r="Q484" t="s">
        <v>82</v>
      </c>
      <c r="R484" t="s">
        <v>1811</v>
      </c>
      <c r="S484" s="5" t="s">
        <v>428</v>
      </c>
      <c r="T484" t="s">
        <v>111</v>
      </c>
      <c r="V484" t="s">
        <v>143</v>
      </c>
      <c r="W484" t="s">
        <v>143</v>
      </c>
      <c r="X484" s="306" t="s">
        <v>85</v>
      </c>
      <c r="Y484" s="7">
        <v>44742</v>
      </c>
      <c r="Z484" s="16" t="s">
        <v>1817</v>
      </c>
      <c r="AA484">
        <v>40</v>
      </c>
      <c r="AB484" t="s">
        <v>1812</v>
      </c>
      <c r="AC484" s="183"/>
      <c r="AE484" s="183"/>
      <c r="AH484" t="s">
        <v>94</v>
      </c>
      <c r="AL484" t="s">
        <v>428</v>
      </c>
      <c r="AM484" s="364">
        <v>4687.5</v>
      </c>
      <c r="AN484" s="184">
        <v>1</v>
      </c>
      <c r="AO484" s="15">
        <v>3750</v>
      </c>
      <c r="AW484" s="7"/>
      <c r="AZ484" t="s">
        <v>374</v>
      </c>
      <c r="BA484">
        <v>63</v>
      </c>
    </row>
    <row r="485" spans="1:53" ht="15.5">
      <c r="A485" s="273">
        <v>1</v>
      </c>
      <c r="B485" s="273" t="str">
        <f t="shared" si="28"/>
        <v>NEAKTIVAN</v>
      </c>
      <c r="C485" s="362">
        <v>483</v>
      </c>
      <c r="D485" s="360">
        <v>45</v>
      </c>
      <c r="E485" s="1" t="str">
        <f>VLOOKUP(D485,Table3[[#All],[RB]:[OIB]],2,0)</f>
        <v>TDL Jadran j.d.o.o.</v>
      </c>
      <c r="F485" s="4">
        <f>VLOOKUP(D485,Table3[],3,0)</f>
        <v>42856087628</v>
      </c>
      <c r="G485" s="1" t="str">
        <f>VLOOKUP(D485,Table3[],4,0)</f>
        <v>DÓRA DENKE- TAKÁCS</v>
      </c>
      <c r="H485" s="1" t="str">
        <f>VLOOKUP(D485,POSLODAVCI!$A$2:$J$107,9,0)</f>
        <v>Vir</v>
      </c>
      <c r="I485" s="1" t="str">
        <f>VLOOKUP(D485,Table3[],10,0)</f>
        <v>Virić VII 18</v>
      </c>
      <c r="J485" s="360" t="s">
        <v>1813</v>
      </c>
      <c r="K485" s="363">
        <v>44713</v>
      </c>
      <c r="L485" s="363">
        <v>45012</v>
      </c>
      <c r="M485" s="182">
        <v>32151281297</v>
      </c>
      <c r="N485" t="s">
        <v>89</v>
      </c>
      <c r="O485" s="7">
        <v>28841</v>
      </c>
      <c r="P485" t="s">
        <v>1814</v>
      </c>
      <c r="Q485" t="s">
        <v>376</v>
      </c>
      <c r="R485" t="s">
        <v>1815</v>
      </c>
      <c r="S485" s="5" t="s">
        <v>428</v>
      </c>
      <c r="T485" t="s">
        <v>1484</v>
      </c>
      <c r="W485" t="s">
        <v>1816</v>
      </c>
      <c r="X485" s="306" t="s">
        <v>103</v>
      </c>
      <c r="Y485" s="7"/>
      <c r="Z485" s="16" t="s">
        <v>1817</v>
      </c>
      <c r="AA485">
        <v>40</v>
      </c>
      <c r="AC485" s="183"/>
      <c r="AE485" s="183"/>
      <c r="AM485" s="364">
        <v>4687.5</v>
      </c>
      <c r="AN485" s="184"/>
      <c r="AO485" s="15">
        <v>3750</v>
      </c>
      <c r="AW485" s="7"/>
    </row>
    <row r="486" spans="1:53" ht="15.5">
      <c r="A486" s="273">
        <v>64</v>
      </c>
      <c r="B486" s="273" t="str">
        <f t="shared" si="28"/>
        <v>NEAKTIVAN</v>
      </c>
      <c r="C486" s="362">
        <v>484</v>
      </c>
      <c r="D486" s="360">
        <v>36</v>
      </c>
      <c r="E486" s="1" t="str">
        <f>VLOOKUP(D486,Table3[[#All],[RB]:[OIB]],2,0)</f>
        <v>Vital Group d.o.o.</v>
      </c>
      <c r="F486" s="4">
        <f>VLOOKUP(D486,Table3[],3,0)</f>
        <v>45575918003</v>
      </c>
      <c r="G486" s="1" t="str">
        <f>VLOOKUP(D486,Table3[],4,0)</f>
        <v>Balázs Kulcsár</v>
      </c>
      <c r="H486" s="1" t="str">
        <f>VLOOKUP(D486,POSLODAVCI!$A$2:$J$107,9,0)</f>
        <v>Osijek</v>
      </c>
      <c r="I486" s="1" t="str">
        <f>VLOOKUP(D486,Table3[],10,0)</f>
        <v>Ribarska 10</v>
      </c>
      <c r="J486" s="360" t="s">
        <v>1818</v>
      </c>
      <c r="K486" s="363">
        <v>44718</v>
      </c>
      <c r="L486" s="363">
        <v>44865</v>
      </c>
      <c r="M486" s="182">
        <v>80373498320</v>
      </c>
      <c r="N486" t="s">
        <v>80</v>
      </c>
      <c r="O486" s="7">
        <v>25797</v>
      </c>
      <c r="P486" t="s">
        <v>94</v>
      </c>
      <c r="Q486" t="s">
        <v>82</v>
      </c>
      <c r="R486" t="s">
        <v>1819</v>
      </c>
      <c r="S486" s="5" t="s">
        <v>428</v>
      </c>
      <c r="T486" t="s">
        <v>111</v>
      </c>
      <c r="V486" t="s">
        <v>143</v>
      </c>
      <c r="W486" t="s">
        <v>143</v>
      </c>
      <c r="X486" s="306" t="s">
        <v>85</v>
      </c>
      <c r="Y486" s="7">
        <v>44742</v>
      </c>
      <c r="Z486" s="16" t="s">
        <v>1817</v>
      </c>
      <c r="AA486">
        <v>40</v>
      </c>
      <c r="AB486" t="s">
        <v>1820</v>
      </c>
      <c r="AC486" s="183"/>
      <c r="AE486" s="183"/>
      <c r="AH486" t="s">
        <v>94</v>
      </c>
      <c r="AL486" t="s">
        <v>428</v>
      </c>
      <c r="AM486" s="364">
        <v>4687.5</v>
      </c>
      <c r="AN486" s="184">
        <v>1</v>
      </c>
      <c r="AO486" s="15">
        <v>3750</v>
      </c>
      <c r="AW486" s="7"/>
      <c r="AZ486" t="s">
        <v>374</v>
      </c>
      <c r="BA486">
        <v>64</v>
      </c>
    </row>
    <row r="487" spans="1:53" ht="15.5">
      <c r="A487" s="273">
        <v>65</v>
      </c>
      <c r="B487" s="273" t="str">
        <f t="shared" si="28"/>
        <v>NEAKTIVAN</v>
      </c>
      <c r="C487" s="362">
        <v>485</v>
      </c>
      <c r="D487" s="360">
        <v>36</v>
      </c>
      <c r="E487" s="1" t="str">
        <f>VLOOKUP(D487,Table3[[#All],[RB]:[OIB]],2,0)</f>
        <v>Vital Group d.o.o.</v>
      </c>
      <c r="F487" s="4">
        <f>VLOOKUP(D487,Table3[],3,0)</f>
        <v>45575918003</v>
      </c>
      <c r="G487" s="1" t="str">
        <f>VLOOKUP(D487,Table3[],4,0)</f>
        <v>Balázs Kulcsár</v>
      </c>
      <c r="H487" s="1" t="str">
        <f>VLOOKUP(D487,POSLODAVCI!$A$2:$J$107,9,0)</f>
        <v>Osijek</v>
      </c>
      <c r="I487" s="1" t="str">
        <f>VLOOKUP(D487,Table3[],10,0)</f>
        <v>Ribarska 10</v>
      </c>
      <c r="J487" s="360" t="s">
        <v>1821</v>
      </c>
      <c r="K487" s="363">
        <v>44732</v>
      </c>
      <c r="L487" s="363">
        <v>44781</v>
      </c>
      <c r="M487" s="182">
        <v>82818036206</v>
      </c>
      <c r="N487" t="s">
        <v>89</v>
      </c>
      <c r="O487" s="7">
        <v>33146</v>
      </c>
      <c r="P487" t="s">
        <v>94</v>
      </c>
      <c r="Q487" t="s">
        <v>82</v>
      </c>
      <c r="R487" t="s">
        <v>1822</v>
      </c>
      <c r="S487" s="5" t="s">
        <v>428</v>
      </c>
      <c r="T487" t="s">
        <v>84</v>
      </c>
      <c r="V487" t="s">
        <v>507</v>
      </c>
      <c r="W487" t="s">
        <v>507</v>
      </c>
      <c r="X487" s="306" t="s">
        <v>103</v>
      </c>
      <c r="Y487" s="7"/>
      <c r="Z487" s="16" t="s">
        <v>1817</v>
      </c>
      <c r="AA487">
        <v>40</v>
      </c>
      <c r="AB487" t="s">
        <v>1823</v>
      </c>
      <c r="AC487" s="183"/>
      <c r="AE487" s="183"/>
      <c r="AH487" t="s">
        <v>94</v>
      </c>
      <c r="AL487" t="s">
        <v>428</v>
      </c>
      <c r="AM487" s="364">
        <v>4687.5</v>
      </c>
      <c r="AN487" s="184">
        <v>1</v>
      </c>
      <c r="AO487" s="15">
        <v>3750</v>
      </c>
      <c r="AW487" s="7"/>
      <c r="AZ487" t="s">
        <v>374</v>
      </c>
      <c r="BA487">
        <v>65</v>
      </c>
    </row>
    <row r="488" spans="1:53" ht="15.5">
      <c r="A488" s="273">
        <v>66</v>
      </c>
      <c r="B488" s="273" t="str">
        <f t="shared" si="28"/>
        <v>NEAKTIVAN</v>
      </c>
      <c r="C488" s="362">
        <v>486</v>
      </c>
      <c r="D488" s="360">
        <v>36</v>
      </c>
      <c r="E488" s="1" t="str">
        <f>VLOOKUP(D488,Table3[[#All],[RB]:[OIB]],2,0)</f>
        <v>Vital Group d.o.o.</v>
      </c>
      <c r="F488" s="4">
        <f>VLOOKUP(D488,Table3[],3,0)</f>
        <v>45575918003</v>
      </c>
      <c r="G488" s="1" t="str">
        <f>VLOOKUP(D488,Table3[],4,0)</f>
        <v>Balázs Kulcsár</v>
      </c>
      <c r="H488" s="1" t="str">
        <f>VLOOKUP(D488,POSLODAVCI!$A$2:$J$107,9,0)</f>
        <v>Osijek</v>
      </c>
      <c r="I488" s="1" t="str">
        <f>VLOOKUP(D488,Table3[],10,0)</f>
        <v>Ribarska 10</v>
      </c>
      <c r="J488" s="360" t="s">
        <v>1824</v>
      </c>
      <c r="K488" s="363">
        <v>44748</v>
      </c>
      <c r="L488" s="363">
        <v>44757</v>
      </c>
      <c r="M488" s="182">
        <v>91921804792</v>
      </c>
      <c r="N488" t="s">
        <v>89</v>
      </c>
      <c r="O488" s="7">
        <v>34296</v>
      </c>
      <c r="P488" t="s">
        <v>94</v>
      </c>
      <c r="Q488" t="s">
        <v>82</v>
      </c>
      <c r="R488" t="s">
        <v>1825</v>
      </c>
      <c r="S488" s="5" t="s">
        <v>83</v>
      </c>
      <c r="T488" t="s">
        <v>84</v>
      </c>
      <c r="V488" t="s">
        <v>143</v>
      </c>
      <c r="W488" t="s">
        <v>143</v>
      </c>
      <c r="X488" s="306" t="s">
        <v>85</v>
      </c>
      <c r="Y488" s="7">
        <v>44757</v>
      </c>
      <c r="Z488" s="16" t="s">
        <v>1817</v>
      </c>
      <c r="AA488">
        <v>40</v>
      </c>
      <c r="AB488" t="s">
        <v>1826</v>
      </c>
      <c r="AC488" s="183"/>
      <c r="AE488" s="183"/>
      <c r="AH488" t="s">
        <v>94</v>
      </c>
      <c r="AL488" t="s">
        <v>428</v>
      </c>
      <c r="AM488" s="364">
        <v>4687.5</v>
      </c>
      <c r="AN488" s="184">
        <v>1</v>
      </c>
      <c r="AO488" s="15">
        <v>3750</v>
      </c>
      <c r="AW488" s="7"/>
      <c r="AZ488" t="s">
        <v>374</v>
      </c>
      <c r="BA488">
        <v>66</v>
      </c>
    </row>
    <row r="489" spans="1:53" ht="15.5">
      <c r="A489" s="273">
        <v>67</v>
      </c>
      <c r="B489" s="273" t="str">
        <f t="shared" si="28"/>
        <v>NEAKTIVAN</v>
      </c>
      <c r="C489" s="362">
        <v>487</v>
      </c>
      <c r="D489" s="360">
        <v>36</v>
      </c>
      <c r="E489" s="1" t="str">
        <f>VLOOKUP(D489,Table3[[#All],[RB]:[OIB]],2,0)</f>
        <v>Vital Group d.o.o.</v>
      </c>
      <c r="F489" s="4">
        <f>VLOOKUP(D489,Table3[],3,0)</f>
        <v>45575918003</v>
      </c>
      <c r="G489" s="1" t="str">
        <f>VLOOKUP(D489,Table3[],4,0)</f>
        <v>Balázs Kulcsár</v>
      </c>
      <c r="H489" s="1" t="str">
        <f>VLOOKUP(D489,POSLODAVCI!$A$2:$J$107,9,0)</f>
        <v>Osijek</v>
      </c>
      <c r="I489" s="1" t="str">
        <f>VLOOKUP(D489,Table3[],10,0)</f>
        <v>Ribarska 10</v>
      </c>
      <c r="J489" s="360" t="s">
        <v>1827</v>
      </c>
      <c r="K489" s="363">
        <v>44748</v>
      </c>
      <c r="L489" s="363">
        <v>44749</v>
      </c>
      <c r="M489" s="182">
        <v>87959597677</v>
      </c>
      <c r="N489" t="s">
        <v>80</v>
      </c>
      <c r="O489" s="7">
        <v>34585</v>
      </c>
      <c r="P489" t="s">
        <v>1828</v>
      </c>
      <c r="Q489" t="s">
        <v>82</v>
      </c>
      <c r="R489" t="s">
        <v>1829</v>
      </c>
      <c r="S489" s="5" t="s">
        <v>83</v>
      </c>
      <c r="T489" t="s">
        <v>84</v>
      </c>
      <c r="V489" t="s">
        <v>143</v>
      </c>
      <c r="W489" t="s">
        <v>143</v>
      </c>
      <c r="X489" s="306" t="s">
        <v>85</v>
      </c>
      <c r="Y489" s="7"/>
      <c r="Z489" s="16" t="s">
        <v>1817</v>
      </c>
      <c r="AA489">
        <v>40</v>
      </c>
      <c r="AB489" t="s">
        <v>1830</v>
      </c>
      <c r="AC489" s="183"/>
      <c r="AE489" s="183"/>
      <c r="AH489" t="s">
        <v>94</v>
      </c>
      <c r="AL489" t="s">
        <v>428</v>
      </c>
      <c r="AM489" s="364">
        <v>4687.5</v>
      </c>
      <c r="AN489" s="184">
        <v>1</v>
      </c>
      <c r="AO489" s="15">
        <v>3750</v>
      </c>
      <c r="AW489" s="7"/>
      <c r="AZ489" t="s">
        <v>255</v>
      </c>
      <c r="BA489">
        <v>67</v>
      </c>
    </row>
    <row r="490" spans="1:53" ht="15.5">
      <c r="A490" s="273">
        <v>68</v>
      </c>
      <c r="B490" s="273" t="str">
        <f t="shared" si="28"/>
        <v>NEAKTIVAN</v>
      </c>
      <c r="C490" s="362">
        <v>488</v>
      </c>
      <c r="D490" s="360">
        <v>36</v>
      </c>
      <c r="E490" s="1" t="str">
        <f>VLOOKUP(D490,Table3[[#All],[RB]:[OIB]],2,0)</f>
        <v>Vital Group d.o.o.</v>
      </c>
      <c r="F490" s="4">
        <f>VLOOKUP(D490,Table3[],3,0)</f>
        <v>45575918003</v>
      </c>
      <c r="G490" s="1" t="str">
        <f>VLOOKUP(D490,Table3[],4,0)</f>
        <v>Balázs Kulcsár</v>
      </c>
      <c r="H490" s="1" t="str">
        <f>VLOOKUP(D490,POSLODAVCI!$A$2:$J$107,9,0)</f>
        <v>Osijek</v>
      </c>
      <c r="I490" s="1" t="str">
        <f>VLOOKUP(D490,Table3[],10,0)</f>
        <v>Ribarska 10</v>
      </c>
      <c r="J490" s="360" t="s">
        <v>1831</v>
      </c>
      <c r="K490" s="363">
        <v>44805</v>
      </c>
      <c r="L490" s="363">
        <v>44805</v>
      </c>
      <c r="M490" s="89" t="s">
        <v>1832</v>
      </c>
      <c r="N490" t="s">
        <v>89</v>
      </c>
      <c r="O490" s="7">
        <v>31328</v>
      </c>
      <c r="P490" t="s">
        <v>1833</v>
      </c>
      <c r="Q490" t="s">
        <v>1834</v>
      </c>
      <c r="R490" t="s">
        <v>1835</v>
      </c>
      <c r="S490" s="5" t="s">
        <v>87</v>
      </c>
      <c r="T490" t="s">
        <v>84</v>
      </c>
      <c r="V490" t="s">
        <v>1840</v>
      </c>
      <c r="W490" t="s">
        <v>1841</v>
      </c>
      <c r="X490" s="306" t="s">
        <v>85</v>
      </c>
      <c r="Y490" s="7">
        <v>45139</v>
      </c>
      <c r="Z490" s="16" t="s">
        <v>1817</v>
      </c>
      <c r="AA490">
        <v>40</v>
      </c>
      <c r="AC490" s="183"/>
      <c r="AE490" s="183"/>
      <c r="AH490" t="s">
        <v>94</v>
      </c>
      <c r="AL490" t="s">
        <v>428</v>
      </c>
      <c r="AM490" s="364">
        <v>4687.5</v>
      </c>
      <c r="AN490" s="184">
        <v>1</v>
      </c>
      <c r="AO490" s="15">
        <v>3750</v>
      </c>
      <c r="AW490" s="7"/>
      <c r="AZ490" t="s">
        <v>374</v>
      </c>
      <c r="BA490">
        <v>68</v>
      </c>
    </row>
    <row r="491" spans="1:53" ht="15.5">
      <c r="A491" s="273">
        <v>69</v>
      </c>
      <c r="B491" s="273" t="str">
        <f t="shared" si="28"/>
        <v>AKTIVAN</v>
      </c>
      <c r="C491" s="362">
        <v>489</v>
      </c>
      <c r="D491" s="360">
        <v>36</v>
      </c>
      <c r="E491" s="1" t="str">
        <f>VLOOKUP(D491,Table3[[#All],[RB]:[OIB]],2,0)</f>
        <v>Vital Group d.o.o.</v>
      </c>
      <c r="F491" s="4">
        <f>VLOOKUP(D491,Table3[],3,0)</f>
        <v>45575918003</v>
      </c>
      <c r="G491" s="1" t="str">
        <f>VLOOKUP(D491,Table3[],4,0)</f>
        <v>Balázs Kulcsár</v>
      </c>
      <c r="H491" s="1" t="str">
        <f>VLOOKUP(D491,POSLODAVCI!$A$2:$J$107,9,0)</f>
        <v>Osijek</v>
      </c>
      <c r="I491" s="1" t="str">
        <f>VLOOKUP(D491,Table3[],10,0)</f>
        <v>Ribarska 10</v>
      </c>
      <c r="J491" s="434" t="s">
        <v>1844</v>
      </c>
      <c r="K491" s="435">
        <v>44781</v>
      </c>
      <c r="L491" s="435"/>
      <c r="M491" s="182">
        <v>34562649333</v>
      </c>
      <c r="N491" t="s">
        <v>80</v>
      </c>
      <c r="O491" s="7">
        <v>24029</v>
      </c>
      <c r="P491" t="s">
        <v>1845</v>
      </c>
      <c r="Q491" t="s">
        <v>82</v>
      </c>
      <c r="R491" t="s">
        <v>1846</v>
      </c>
      <c r="S491" s="5" t="s">
        <v>83</v>
      </c>
      <c r="T491" t="s">
        <v>84</v>
      </c>
      <c r="V491" t="s">
        <v>143</v>
      </c>
      <c r="W491" t="s">
        <v>143</v>
      </c>
      <c r="X491" s="306" t="s">
        <v>85</v>
      </c>
      <c r="Y491" s="7"/>
      <c r="Z491" s="16" t="s">
        <v>1817</v>
      </c>
      <c r="AA491">
        <v>40</v>
      </c>
      <c r="AB491" t="s">
        <v>1847</v>
      </c>
      <c r="AC491" s="183"/>
      <c r="AE491" s="183"/>
      <c r="AH491" t="s">
        <v>94</v>
      </c>
      <c r="AL491" t="s">
        <v>428</v>
      </c>
      <c r="AM491" s="364">
        <v>4687.5</v>
      </c>
      <c r="AN491" s="184">
        <v>1</v>
      </c>
      <c r="AO491" s="15">
        <v>3750</v>
      </c>
      <c r="AW491" s="7"/>
      <c r="AZ491" t="s">
        <v>374</v>
      </c>
      <c r="BA491">
        <v>69</v>
      </c>
    </row>
    <row r="492" spans="1:53" ht="15.5">
      <c r="A492" s="273">
        <v>70</v>
      </c>
      <c r="B492" s="273" t="str">
        <f t="shared" si="28"/>
        <v>AKTIVAN</v>
      </c>
      <c r="C492" s="362">
        <v>490</v>
      </c>
      <c r="D492" s="360">
        <v>36</v>
      </c>
      <c r="E492" s="1" t="str">
        <f>VLOOKUP(D492,Table3[[#All],[RB]:[OIB]],2,0)</f>
        <v>Vital Group d.o.o.</v>
      </c>
      <c r="F492" s="4">
        <f>VLOOKUP(D492,Table3[],3,0)</f>
        <v>45575918003</v>
      </c>
      <c r="G492" s="1" t="str">
        <f>VLOOKUP(D492,Table3[],4,0)</f>
        <v>Balázs Kulcsár</v>
      </c>
      <c r="H492" s="1" t="str">
        <f>VLOOKUP(D492,POSLODAVCI!$A$2:$J$107,9,0)</f>
        <v>Osijek</v>
      </c>
      <c r="I492" s="1" t="str">
        <f>VLOOKUP(D492,Table3[],10,0)</f>
        <v>Ribarska 10</v>
      </c>
      <c r="J492" s="434" t="s">
        <v>1848</v>
      </c>
      <c r="K492" s="435">
        <v>44805</v>
      </c>
      <c r="L492" s="435"/>
      <c r="M492" s="182">
        <v>2512995186509</v>
      </c>
      <c r="N492" t="s">
        <v>80</v>
      </c>
      <c r="O492" s="7">
        <v>35058</v>
      </c>
      <c r="P492" t="s">
        <v>1849</v>
      </c>
      <c r="Q492" t="s">
        <v>1834</v>
      </c>
      <c r="R492" t="s">
        <v>1850</v>
      </c>
      <c r="S492" s="5" t="s">
        <v>87</v>
      </c>
      <c r="T492" t="s">
        <v>84</v>
      </c>
      <c r="V492" t="s">
        <v>1840</v>
      </c>
      <c r="W492" t="s">
        <v>1840</v>
      </c>
      <c r="X492" s="306" t="s">
        <v>85</v>
      </c>
      <c r="Y492" s="7">
        <v>45139</v>
      </c>
      <c r="Z492" s="16" t="s">
        <v>1817</v>
      </c>
      <c r="AA492">
        <v>40</v>
      </c>
      <c r="AC492" s="183"/>
      <c r="AE492" s="183"/>
      <c r="AH492" t="s">
        <v>94</v>
      </c>
      <c r="AL492" t="s">
        <v>428</v>
      </c>
      <c r="AM492" s="364">
        <v>4687.5</v>
      </c>
      <c r="AN492" s="184">
        <v>1</v>
      </c>
      <c r="AO492" s="15">
        <v>3750</v>
      </c>
      <c r="AW492" s="7"/>
      <c r="AZ492" t="s">
        <v>374</v>
      </c>
      <c r="BA492">
        <v>70</v>
      </c>
    </row>
    <row r="493" spans="1:53" ht="15.5">
      <c r="A493" s="273">
        <v>71</v>
      </c>
      <c r="B493" s="273" t="str">
        <f t="shared" si="28"/>
        <v>NEAKTIVAN</v>
      </c>
      <c r="C493" s="362">
        <v>491</v>
      </c>
      <c r="D493" s="360">
        <v>36</v>
      </c>
      <c r="E493" s="1" t="str">
        <f>VLOOKUP(D493,Table3[[#All],[RB]:[OIB]],2,0)</f>
        <v>Vital Group d.o.o.</v>
      </c>
      <c r="F493" s="4">
        <f>VLOOKUP(D493,Table3[],3,0)</f>
        <v>45575918003</v>
      </c>
      <c r="G493" s="1" t="str">
        <f>VLOOKUP(D493,Table3[],4,0)</f>
        <v>Balázs Kulcsár</v>
      </c>
      <c r="H493" s="1" t="str">
        <f>VLOOKUP(D493,POSLODAVCI!$A$2:$J$107,9,0)</f>
        <v>Osijek</v>
      </c>
      <c r="I493" s="1" t="str">
        <f>VLOOKUP(D493,Table3[],10,0)</f>
        <v>Ribarska 10</v>
      </c>
      <c r="J493" s="360" t="s">
        <v>1851</v>
      </c>
      <c r="K493" s="363">
        <v>44805</v>
      </c>
      <c r="L493" s="363">
        <v>44957</v>
      </c>
      <c r="M493" s="182">
        <v>1906001180048</v>
      </c>
      <c r="N493" t="s">
        <v>89</v>
      </c>
      <c r="O493" s="7">
        <v>37061</v>
      </c>
      <c r="P493" t="s">
        <v>1852</v>
      </c>
      <c r="Q493" t="s">
        <v>1834</v>
      </c>
      <c r="R493" t="s">
        <v>1853</v>
      </c>
      <c r="S493" s="5" t="s">
        <v>87</v>
      </c>
      <c r="T493" t="s">
        <v>84</v>
      </c>
      <c r="V493" t="s">
        <v>1840</v>
      </c>
      <c r="W493" t="s">
        <v>1840</v>
      </c>
      <c r="X493" s="306" t="s">
        <v>85</v>
      </c>
      <c r="Y493" s="7">
        <v>45139</v>
      </c>
      <c r="Z493" s="16" t="s">
        <v>1817</v>
      </c>
      <c r="AA493">
        <v>40</v>
      </c>
      <c r="AC493" s="183"/>
      <c r="AE493" s="183"/>
      <c r="AH493" t="s">
        <v>94</v>
      </c>
      <c r="AL493" t="s">
        <v>428</v>
      </c>
      <c r="AM493" s="364">
        <v>4687.5</v>
      </c>
      <c r="AN493" s="184">
        <v>1</v>
      </c>
      <c r="AO493" s="15">
        <v>3750</v>
      </c>
      <c r="AW493" s="7"/>
      <c r="AZ493" t="s">
        <v>374</v>
      </c>
      <c r="BA493">
        <v>71</v>
      </c>
    </row>
    <row r="494" spans="1:53" ht="15.5">
      <c r="A494" s="273">
        <v>72</v>
      </c>
      <c r="B494" s="273" t="str">
        <f t="shared" si="28"/>
        <v>NEAKTIVAN</v>
      </c>
      <c r="C494" s="362">
        <v>492</v>
      </c>
      <c r="D494" s="360">
        <v>36</v>
      </c>
      <c r="E494" s="1" t="str">
        <f>VLOOKUP(D494,Table3[[#All],[RB]:[OIB]],2,0)</f>
        <v>Vital Group d.o.o.</v>
      </c>
      <c r="F494" s="4">
        <f>VLOOKUP(D494,Table3[],3,0)</f>
        <v>45575918003</v>
      </c>
      <c r="G494" s="1" t="str">
        <f>VLOOKUP(D494,Table3[],4,0)</f>
        <v>Balázs Kulcsár</v>
      </c>
      <c r="H494" s="1" t="str">
        <f>VLOOKUP(D494,POSLODAVCI!$A$2:$J$107,9,0)</f>
        <v>Osijek</v>
      </c>
      <c r="I494" s="1" t="str">
        <f>VLOOKUP(D494,Table3[],10,0)</f>
        <v>Ribarska 10</v>
      </c>
      <c r="J494" s="360" t="s">
        <v>1606</v>
      </c>
      <c r="K494" s="363">
        <v>44795</v>
      </c>
      <c r="L494" s="61">
        <v>45064</v>
      </c>
      <c r="M494" s="182">
        <v>81476803276</v>
      </c>
      <c r="N494" t="s">
        <v>80</v>
      </c>
      <c r="O494" s="7">
        <v>29370</v>
      </c>
      <c r="P494" t="s">
        <v>94</v>
      </c>
      <c r="Q494" t="s">
        <v>82</v>
      </c>
      <c r="R494" t="s">
        <v>1607</v>
      </c>
      <c r="S494" s="5" t="s">
        <v>428</v>
      </c>
      <c r="T494" t="s">
        <v>84</v>
      </c>
      <c r="V494" t="s">
        <v>507</v>
      </c>
      <c r="W494" t="s">
        <v>507</v>
      </c>
      <c r="X494" s="306" t="s">
        <v>103</v>
      </c>
      <c r="Y494" s="7"/>
      <c r="Z494" s="16" t="s">
        <v>1817</v>
      </c>
      <c r="AA494">
        <v>40</v>
      </c>
      <c r="AB494" t="s">
        <v>1608</v>
      </c>
      <c r="AC494" s="183"/>
      <c r="AE494" s="183"/>
      <c r="AH494" t="s">
        <v>94</v>
      </c>
      <c r="AL494" t="s">
        <v>428</v>
      </c>
      <c r="AM494" s="364">
        <v>7425</v>
      </c>
      <c r="AN494" s="184">
        <v>1</v>
      </c>
      <c r="AO494" s="15">
        <v>5500</v>
      </c>
      <c r="AW494" s="7"/>
      <c r="AZ494" t="s">
        <v>374</v>
      </c>
      <c r="BA494">
        <v>72</v>
      </c>
    </row>
    <row r="495" spans="1:53" ht="15.5">
      <c r="A495" s="273">
        <v>18</v>
      </c>
      <c r="B495" s="273" t="str">
        <f t="shared" si="28"/>
        <v>AKTIVAN</v>
      </c>
      <c r="C495" s="362">
        <v>493</v>
      </c>
      <c r="D495" s="360">
        <v>43</v>
      </c>
      <c r="E495" s="1" t="str">
        <f>VLOOKUP(D495,Table3[[#All],[RB]:[OIB]],2,0)</f>
        <v>MANEVI Jagera d.o.o.</v>
      </c>
      <c r="F495" s="4">
        <f>VLOOKUP(D495,Table3[],3,0)</f>
        <v>69769519663</v>
      </c>
      <c r="G495" s="1" t="str">
        <f>VLOOKUP(D495,Table3[],4,0)</f>
        <v>Dénes Kövári</v>
      </c>
      <c r="H495" s="1" t="str">
        <f>VLOOKUP(D495,POSLODAVCI!$A$2:$J$107,9,0)</f>
        <v>Osijek</v>
      </c>
      <c r="I495" s="1" t="str">
        <f>VLOOKUP(D495,Table3[],10,0)</f>
        <v>Ulica Lorenza Jägera 2</v>
      </c>
      <c r="J495" s="360" t="s">
        <v>1854</v>
      </c>
      <c r="K495" s="363">
        <v>44778</v>
      </c>
      <c r="L495" s="363"/>
      <c r="M495" s="182">
        <v>99064659100</v>
      </c>
      <c r="N495" t="s">
        <v>89</v>
      </c>
      <c r="O495" s="7">
        <v>31791</v>
      </c>
      <c r="P495" t="s">
        <v>1679</v>
      </c>
      <c r="Q495" t="s">
        <v>82</v>
      </c>
      <c r="R495" t="s">
        <v>1855</v>
      </c>
      <c r="S495" s="5" t="s">
        <v>428</v>
      </c>
      <c r="T495" t="s">
        <v>84</v>
      </c>
      <c r="V495" t="s">
        <v>1790</v>
      </c>
      <c r="W495" t="s">
        <v>1790</v>
      </c>
      <c r="X495" s="306" t="s">
        <v>103</v>
      </c>
      <c r="Y495" s="7"/>
      <c r="Z495" s="16" t="s">
        <v>1817</v>
      </c>
      <c r="AA495">
        <v>40</v>
      </c>
      <c r="AB495" t="s">
        <v>1856</v>
      </c>
      <c r="AC495" s="183"/>
      <c r="AE495" s="183"/>
      <c r="AH495" t="s">
        <v>1679</v>
      </c>
      <c r="AL495" t="s">
        <v>428</v>
      </c>
      <c r="AM495" s="364"/>
      <c r="AN495" s="184">
        <v>1</v>
      </c>
      <c r="AO495" s="15">
        <v>5000</v>
      </c>
      <c r="AP495" s="15">
        <v>452</v>
      </c>
      <c r="AW495" s="7"/>
      <c r="AZ495" t="s">
        <v>374</v>
      </c>
      <c r="BA495">
        <v>18</v>
      </c>
    </row>
    <row r="496" spans="1:53" ht="15.5">
      <c r="A496" s="273">
        <v>19</v>
      </c>
      <c r="B496" s="273" t="str">
        <f t="shared" si="28"/>
        <v>NEAKTIVAN</v>
      </c>
      <c r="C496" s="362">
        <f t="shared" ref="C496:C527" si="29">C495+1</f>
        <v>494</v>
      </c>
      <c r="D496" s="360">
        <v>43</v>
      </c>
      <c r="E496" s="1" t="str">
        <f>VLOOKUP(D496,Table3[[#All],[RB]:[OIB]],2,0)</f>
        <v>MANEVI Jagera d.o.o.</v>
      </c>
      <c r="F496" s="4">
        <f>VLOOKUP(D496,Table3[],3,0)</f>
        <v>69769519663</v>
      </c>
      <c r="G496" s="1" t="str">
        <f>VLOOKUP(D496,Table3[],4,0)</f>
        <v>Dénes Kövári</v>
      </c>
      <c r="H496" s="1" t="str">
        <f>VLOOKUP(D496,POSLODAVCI!$A$2:$J$107,9,0)</f>
        <v>Osijek</v>
      </c>
      <c r="I496" s="1" t="str">
        <f>VLOOKUP(D496,Table3[],10,0)</f>
        <v>Ulica Lorenza Jägera 2</v>
      </c>
      <c r="J496" s="360" t="s">
        <v>1857</v>
      </c>
      <c r="K496" s="363">
        <v>44778</v>
      </c>
      <c r="L496" s="363">
        <v>44890</v>
      </c>
      <c r="M496" s="182">
        <v>98698921160</v>
      </c>
      <c r="N496" t="s">
        <v>80</v>
      </c>
      <c r="O496" s="7">
        <v>33874</v>
      </c>
      <c r="P496" t="s">
        <v>1679</v>
      </c>
      <c r="Q496" t="s">
        <v>82</v>
      </c>
      <c r="R496" t="s">
        <v>1858</v>
      </c>
      <c r="S496" s="5" t="s">
        <v>428</v>
      </c>
      <c r="T496" t="s">
        <v>84</v>
      </c>
      <c r="V496" t="s">
        <v>1686</v>
      </c>
      <c r="W496" t="s">
        <v>1686</v>
      </c>
      <c r="X496" s="306" t="s">
        <v>85</v>
      </c>
      <c r="Y496" s="7">
        <v>44890</v>
      </c>
      <c r="Z496" s="16" t="s">
        <v>1817</v>
      </c>
      <c r="AA496">
        <v>40</v>
      </c>
      <c r="AB496" t="s">
        <v>1859</v>
      </c>
      <c r="AC496" s="183"/>
      <c r="AE496" s="183"/>
      <c r="AH496" t="s">
        <v>1679</v>
      </c>
      <c r="AL496" t="s">
        <v>428</v>
      </c>
      <c r="AM496" s="364">
        <v>6610.82</v>
      </c>
      <c r="AN496" s="184">
        <v>1</v>
      </c>
      <c r="AO496" s="15">
        <v>5000</v>
      </c>
      <c r="AP496" s="15">
        <v>570</v>
      </c>
      <c r="AW496" s="7"/>
      <c r="AZ496" t="s">
        <v>255</v>
      </c>
      <c r="BA496">
        <v>19</v>
      </c>
    </row>
    <row r="497" spans="1:53" ht="15.5">
      <c r="A497" s="273">
        <v>73</v>
      </c>
      <c r="B497" s="273" t="str">
        <f t="shared" si="28"/>
        <v>NEAKTIVAN</v>
      </c>
      <c r="C497" s="362">
        <f t="shared" si="29"/>
        <v>495</v>
      </c>
      <c r="D497" s="360">
        <v>36</v>
      </c>
      <c r="E497" s="1" t="str">
        <f>VLOOKUP(D497,Table3[[#All],[RB]:[OIB]],2,0)</f>
        <v>Vital Group d.o.o.</v>
      </c>
      <c r="F497" s="4">
        <f>VLOOKUP(D497,Table3[],3,0)</f>
        <v>45575918003</v>
      </c>
      <c r="G497" s="1" t="str">
        <f>VLOOKUP(D497,Table3[],4,0)</f>
        <v>Balázs Kulcsár</v>
      </c>
      <c r="H497" s="1" t="str">
        <f>VLOOKUP(D497,POSLODAVCI!$A$2:$J$107,9,0)</f>
        <v>Osijek</v>
      </c>
      <c r="I497" s="1" t="str">
        <f>VLOOKUP(D497,Table3[],10,0)</f>
        <v>Ribarska 10</v>
      </c>
      <c r="J497" s="360" t="s">
        <v>1860</v>
      </c>
      <c r="K497" s="363">
        <v>44816</v>
      </c>
      <c r="L497" s="363">
        <v>45236</v>
      </c>
      <c r="M497" s="182">
        <v>61603995429</v>
      </c>
      <c r="N497" t="s">
        <v>80</v>
      </c>
      <c r="O497" s="7">
        <v>38031</v>
      </c>
      <c r="P497" t="s">
        <v>94</v>
      </c>
      <c r="Q497" t="s">
        <v>82</v>
      </c>
      <c r="R497" t="s">
        <v>1861</v>
      </c>
      <c r="S497" s="5" t="s">
        <v>83</v>
      </c>
      <c r="T497" t="s">
        <v>84</v>
      </c>
      <c r="V497" t="s">
        <v>143</v>
      </c>
      <c r="W497" t="s">
        <v>143</v>
      </c>
      <c r="X497" s="333" t="s">
        <v>103</v>
      </c>
      <c r="Y497" s="7"/>
      <c r="Z497" s="16" t="s">
        <v>1817</v>
      </c>
      <c r="AA497">
        <v>40</v>
      </c>
      <c r="AB497" t="s">
        <v>1862</v>
      </c>
      <c r="AC497" s="183"/>
      <c r="AE497" s="183"/>
      <c r="AH497" t="s">
        <v>94</v>
      </c>
      <c r="AL497" t="s">
        <v>83</v>
      </c>
      <c r="AM497" s="364">
        <v>4687.5</v>
      </c>
      <c r="AN497" s="184">
        <v>1</v>
      </c>
      <c r="AO497" s="15">
        <v>3750</v>
      </c>
      <c r="AW497" s="7"/>
      <c r="AZ497" t="s">
        <v>2374</v>
      </c>
      <c r="BA497">
        <v>73</v>
      </c>
    </row>
    <row r="498" spans="1:53" ht="15.5">
      <c r="A498" s="273">
        <v>20</v>
      </c>
      <c r="B498" s="273" t="str">
        <f t="shared" si="28"/>
        <v>NEAKTIVAN</v>
      </c>
      <c r="C498" s="362">
        <f t="shared" si="29"/>
        <v>496</v>
      </c>
      <c r="D498" s="360">
        <v>43</v>
      </c>
      <c r="E498" s="1" t="str">
        <f>VLOOKUP(D498,Table3[[#All],[RB]:[OIB]],2,0)</f>
        <v>MANEVI Jagera d.o.o.</v>
      </c>
      <c r="F498" s="4">
        <f>VLOOKUP(D498,Table3[],3,0)</f>
        <v>69769519663</v>
      </c>
      <c r="G498" s="1" t="str">
        <f>VLOOKUP(D498,Table3[],4,0)</f>
        <v>Dénes Kövári</v>
      </c>
      <c r="H498" s="1" t="str">
        <f>VLOOKUP(D498,POSLODAVCI!$A$2:$J$107,9,0)</f>
        <v>Osijek</v>
      </c>
      <c r="I498" s="1" t="str">
        <f>VLOOKUP(D498,Table3[],10,0)</f>
        <v>Ulica Lorenza Jägera 2</v>
      </c>
      <c r="J498" s="1" t="s">
        <v>1863</v>
      </c>
      <c r="K498" s="363">
        <v>44848</v>
      </c>
      <c r="L498" s="363">
        <v>44926</v>
      </c>
      <c r="M498" s="182">
        <v>36882923668</v>
      </c>
      <c r="N498" s="16" t="s">
        <v>80</v>
      </c>
      <c r="O498" s="7">
        <v>37088</v>
      </c>
      <c r="P498" s="16" t="s">
        <v>1702</v>
      </c>
      <c r="Q498" s="16" t="s">
        <v>82</v>
      </c>
      <c r="R498" s="16" t="s">
        <v>1864</v>
      </c>
      <c r="S498" s="17" t="s">
        <v>83</v>
      </c>
      <c r="T498" s="16" t="s">
        <v>310</v>
      </c>
      <c r="V498" s="16" t="s">
        <v>1686</v>
      </c>
      <c r="W498" s="16" t="s">
        <v>1686</v>
      </c>
      <c r="X498" s="56" t="s">
        <v>85</v>
      </c>
      <c r="Y498" s="7">
        <v>44847</v>
      </c>
      <c r="Z498" s="16" t="s">
        <v>1817</v>
      </c>
      <c r="AA498">
        <v>40</v>
      </c>
      <c r="AB498" s="16" t="s">
        <v>1865</v>
      </c>
      <c r="AC498" s="183"/>
      <c r="AE498" s="183"/>
      <c r="AH498" s="16" t="s">
        <v>1679</v>
      </c>
      <c r="AL498" s="16" t="s">
        <v>83</v>
      </c>
      <c r="AM498" s="364">
        <v>6619.18</v>
      </c>
      <c r="AN498" s="184">
        <v>1</v>
      </c>
      <c r="AO498" s="15">
        <v>5000</v>
      </c>
      <c r="AP498" s="15">
        <v>570</v>
      </c>
      <c r="AW498" s="7"/>
      <c r="AZ498" s="16" t="s">
        <v>374</v>
      </c>
      <c r="BA498">
        <v>20</v>
      </c>
    </row>
    <row r="499" spans="1:53" ht="15.5">
      <c r="A499" s="273">
        <v>21</v>
      </c>
      <c r="B499" s="273" t="str">
        <f t="shared" si="28"/>
        <v>NEAKTIVAN</v>
      </c>
      <c r="C499" s="362">
        <f t="shared" si="29"/>
        <v>497</v>
      </c>
      <c r="D499" s="360">
        <v>43</v>
      </c>
      <c r="E499" s="1" t="str">
        <f>VLOOKUP(D499,Table3[[#All],[RB]:[OIB]],2,0)</f>
        <v>MANEVI Jagera d.o.o.</v>
      </c>
      <c r="F499" s="4">
        <f>VLOOKUP(D499,Table3[],3,0)</f>
        <v>69769519663</v>
      </c>
      <c r="G499" s="1" t="str">
        <f>VLOOKUP(D499,Table3[],4,0)</f>
        <v>Dénes Kövári</v>
      </c>
      <c r="H499" s="1" t="str">
        <f>VLOOKUP(D499,POSLODAVCI!$A$2:$J$107,9,0)</f>
        <v>Osijek</v>
      </c>
      <c r="I499" s="1" t="str">
        <f>VLOOKUP(D499,Table3[],10,0)</f>
        <v>Ulica Lorenza Jägera 2</v>
      </c>
      <c r="J499" s="1" t="s">
        <v>1866</v>
      </c>
      <c r="K499" s="363">
        <v>44848</v>
      </c>
      <c r="L499" s="363">
        <v>44926</v>
      </c>
      <c r="M499" s="137" t="s">
        <v>1867</v>
      </c>
      <c r="N499" s="16" t="s">
        <v>80</v>
      </c>
      <c r="O499" s="7">
        <v>37784</v>
      </c>
      <c r="P499" s="16" t="s">
        <v>1702</v>
      </c>
      <c r="Q499" s="16" t="s">
        <v>82</v>
      </c>
      <c r="R499" s="16" t="s">
        <v>1868</v>
      </c>
      <c r="S499" s="17" t="s">
        <v>83</v>
      </c>
      <c r="T499" s="16" t="s">
        <v>84</v>
      </c>
      <c r="V499" s="16" t="s">
        <v>1686</v>
      </c>
      <c r="W499" s="16" t="s">
        <v>1686</v>
      </c>
      <c r="X499" s="56" t="s">
        <v>85</v>
      </c>
      <c r="Y499" s="7">
        <v>44847</v>
      </c>
      <c r="Z499" s="16" t="s">
        <v>1817</v>
      </c>
      <c r="AA499">
        <v>40</v>
      </c>
      <c r="AB499" s="16" t="s">
        <v>1869</v>
      </c>
      <c r="AC499" s="183"/>
      <c r="AE499" s="183"/>
      <c r="AH499" s="16" t="s">
        <v>1679</v>
      </c>
      <c r="AL499" s="16" t="s">
        <v>83</v>
      </c>
      <c r="AM499" s="364">
        <v>6619.18</v>
      </c>
      <c r="AN499" s="184">
        <v>1</v>
      </c>
      <c r="AO499" s="15">
        <v>5000</v>
      </c>
      <c r="AP499" s="15">
        <v>570</v>
      </c>
      <c r="AW499" s="7"/>
      <c r="AZ499" s="16" t="s">
        <v>374</v>
      </c>
      <c r="BA499">
        <v>21</v>
      </c>
    </row>
    <row r="500" spans="1:53" ht="15.5">
      <c r="A500" s="273">
        <v>74</v>
      </c>
      <c r="B500" s="273" t="str">
        <f t="shared" si="28"/>
        <v>NEAKTIVAN</v>
      </c>
      <c r="C500" s="362">
        <f t="shared" si="29"/>
        <v>498</v>
      </c>
      <c r="D500" s="360">
        <v>36</v>
      </c>
      <c r="E500" s="1" t="str">
        <f>VLOOKUP(D500,Table3[[#All],[RB]:[OIB]],2,0)</f>
        <v>Vital Group d.o.o.</v>
      </c>
      <c r="F500" s="4">
        <f>VLOOKUP(D500,Table3[],3,0)</f>
        <v>45575918003</v>
      </c>
      <c r="G500" s="1" t="str">
        <f>VLOOKUP(D500,Table3[],4,0)</f>
        <v>Balázs Kulcsár</v>
      </c>
      <c r="H500" s="1" t="str">
        <f>VLOOKUP(D500,POSLODAVCI!$A$2:$J$107,9,0)</f>
        <v>Osijek</v>
      </c>
      <c r="I500" s="1" t="str">
        <f>VLOOKUP(D500,Table3[],10,0)</f>
        <v>Ribarska 10</v>
      </c>
      <c r="J500" s="360" t="s">
        <v>1870</v>
      </c>
      <c r="K500" s="363">
        <v>44818</v>
      </c>
      <c r="L500" s="363">
        <v>45225</v>
      </c>
      <c r="M500" s="182">
        <v>99592785797</v>
      </c>
      <c r="N500" t="s">
        <v>80</v>
      </c>
      <c r="O500" s="7">
        <v>24874</v>
      </c>
      <c r="P500" t="s">
        <v>1871</v>
      </c>
      <c r="Q500" t="s">
        <v>82</v>
      </c>
      <c r="R500" t="s">
        <v>1872</v>
      </c>
      <c r="S500" s="5" t="s">
        <v>83</v>
      </c>
      <c r="T500" t="s">
        <v>84</v>
      </c>
      <c r="V500" t="s">
        <v>143</v>
      </c>
      <c r="W500" t="s">
        <v>143</v>
      </c>
      <c r="X500" s="333" t="s">
        <v>103</v>
      </c>
      <c r="Y500" s="7"/>
      <c r="Z500" s="16" t="s">
        <v>1817</v>
      </c>
      <c r="AA500">
        <v>40</v>
      </c>
      <c r="AB500" t="s">
        <v>1873</v>
      </c>
      <c r="AC500" s="183"/>
      <c r="AE500" s="183"/>
      <c r="AH500" t="s">
        <v>94</v>
      </c>
      <c r="AL500" t="s">
        <v>83</v>
      </c>
      <c r="AM500" s="364">
        <v>4687.5</v>
      </c>
      <c r="AN500" s="184">
        <v>1</v>
      </c>
      <c r="AO500" s="15">
        <v>3750</v>
      </c>
      <c r="AW500" s="7"/>
      <c r="AZ500" t="s">
        <v>2374</v>
      </c>
      <c r="BA500">
        <v>74</v>
      </c>
    </row>
    <row r="501" spans="1:53" ht="15.5">
      <c r="A501" s="273">
        <v>75</v>
      </c>
      <c r="B501" s="273" t="str">
        <f t="shared" si="28"/>
        <v>NEAKTIVAN</v>
      </c>
      <c r="C501" s="362">
        <f t="shared" si="29"/>
        <v>499</v>
      </c>
      <c r="D501" s="360">
        <v>36</v>
      </c>
      <c r="E501" s="1" t="str">
        <f>VLOOKUP(D501,Table3[[#All],[RB]:[OIB]],2,0)</f>
        <v>Vital Group d.o.o.</v>
      </c>
      <c r="F501" s="4">
        <f>VLOOKUP(D501,Table3[],3,0)</f>
        <v>45575918003</v>
      </c>
      <c r="G501" s="1" t="str">
        <f>VLOOKUP(D501,Table3[],4,0)</f>
        <v>Balázs Kulcsár</v>
      </c>
      <c r="H501" s="1" t="str">
        <f>VLOOKUP(D501,POSLODAVCI!$A$2:$J$107,9,0)</f>
        <v>Osijek</v>
      </c>
      <c r="I501" s="1" t="str">
        <f>VLOOKUP(D501,Table3[],10,0)</f>
        <v>Ribarska 10</v>
      </c>
      <c r="J501" s="360" t="s">
        <v>1874</v>
      </c>
      <c r="K501" s="363">
        <v>44837</v>
      </c>
      <c r="L501" s="363">
        <v>45188</v>
      </c>
      <c r="M501" s="182">
        <v>68936482621</v>
      </c>
      <c r="N501" t="s">
        <v>80</v>
      </c>
      <c r="O501" s="7">
        <v>30245</v>
      </c>
      <c r="P501" t="s">
        <v>1875</v>
      </c>
      <c r="Q501" t="s">
        <v>82</v>
      </c>
      <c r="R501" t="s">
        <v>1861</v>
      </c>
      <c r="S501" s="5" t="s">
        <v>83</v>
      </c>
      <c r="T501" t="s">
        <v>84</v>
      </c>
      <c r="V501" t="s">
        <v>143</v>
      </c>
      <c r="W501" t="s">
        <v>143</v>
      </c>
      <c r="X501" s="306" t="s">
        <v>85</v>
      </c>
      <c r="Y501" s="7">
        <v>44865</v>
      </c>
      <c r="Z501" s="16" t="s">
        <v>1817</v>
      </c>
      <c r="AA501">
        <v>40</v>
      </c>
      <c r="AB501" t="s">
        <v>1876</v>
      </c>
      <c r="AC501" s="183"/>
      <c r="AE501" s="183"/>
      <c r="AH501" t="s">
        <v>94</v>
      </c>
      <c r="AL501" t="s">
        <v>83</v>
      </c>
      <c r="AM501" s="364">
        <v>4687.5</v>
      </c>
      <c r="AN501" s="184">
        <v>1</v>
      </c>
      <c r="AO501" s="15">
        <v>3750</v>
      </c>
      <c r="AW501" s="7"/>
      <c r="AZ501" t="s">
        <v>2366</v>
      </c>
      <c r="BA501">
        <v>75</v>
      </c>
    </row>
    <row r="502" spans="1:53" ht="15.5">
      <c r="A502" s="273">
        <v>76</v>
      </c>
      <c r="B502" s="273" t="str">
        <f t="shared" si="28"/>
        <v>AKTIVAN</v>
      </c>
      <c r="C502" s="362">
        <f t="shared" si="29"/>
        <v>500</v>
      </c>
      <c r="D502" s="360">
        <v>36</v>
      </c>
      <c r="E502" s="1" t="str">
        <f>VLOOKUP(D502,Table3[[#All],[RB]:[OIB]],2,0)</f>
        <v>Vital Group d.o.o.</v>
      </c>
      <c r="F502" s="4">
        <f>VLOOKUP(D502,Table3[],3,0)</f>
        <v>45575918003</v>
      </c>
      <c r="G502" s="1" t="str">
        <f>VLOOKUP(D502,Table3[],4,0)</f>
        <v>Balázs Kulcsár</v>
      </c>
      <c r="H502" s="1" t="str">
        <f>VLOOKUP(D502,POSLODAVCI!$A$2:$J$107,9,0)</f>
        <v>Osijek</v>
      </c>
      <c r="I502" s="1" t="str">
        <f>VLOOKUP(D502,Table3[],10,0)</f>
        <v>Ribarska 10</v>
      </c>
      <c r="J502" s="434" t="s">
        <v>1877</v>
      </c>
      <c r="K502" s="435">
        <v>44837</v>
      </c>
      <c r="L502" s="435"/>
      <c r="M502" s="182">
        <v>33301831570</v>
      </c>
      <c r="N502" t="s">
        <v>80</v>
      </c>
      <c r="O502" s="7">
        <v>26491</v>
      </c>
      <c r="P502" t="s">
        <v>94</v>
      </c>
      <c r="Q502" t="s">
        <v>82</v>
      </c>
      <c r="R502" t="s">
        <v>1878</v>
      </c>
      <c r="S502" s="5" t="s">
        <v>83</v>
      </c>
      <c r="T502" t="s">
        <v>84</v>
      </c>
      <c r="V502" t="s">
        <v>143</v>
      </c>
      <c r="W502" t="s">
        <v>143</v>
      </c>
      <c r="X502" s="333" t="s">
        <v>103</v>
      </c>
      <c r="Y502" s="7">
        <v>44865</v>
      </c>
      <c r="Z502" s="16" t="s">
        <v>1817</v>
      </c>
      <c r="AA502">
        <v>40</v>
      </c>
      <c r="AB502" t="s">
        <v>1879</v>
      </c>
      <c r="AC502" s="183"/>
      <c r="AE502" s="183"/>
      <c r="AH502" t="s">
        <v>94</v>
      </c>
      <c r="AL502" t="s">
        <v>83</v>
      </c>
      <c r="AM502" s="364">
        <v>4687.5</v>
      </c>
      <c r="AN502" s="184">
        <v>1</v>
      </c>
      <c r="AO502" s="15">
        <v>3750</v>
      </c>
      <c r="AW502" s="7"/>
      <c r="AZ502" t="s">
        <v>374</v>
      </c>
      <c r="BA502">
        <v>76</v>
      </c>
    </row>
    <row r="503" spans="1:53" ht="15.5">
      <c r="A503" s="273">
        <v>77</v>
      </c>
      <c r="B503" s="273" t="str">
        <f t="shared" si="28"/>
        <v>AKTIVAN</v>
      </c>
      <c r="C503" s="362">
        <f t="shared" si="29"/>
        <v>501</v>
      </c>
      <c r="D503" s="360">
        <v>36</v>
      </c>
      <c r="E503" s="1" t="str">
        <f>VLOOKUP(D503,Table3[[#All],[RB]:[OIB]],2,0)</f>
        <v>Vital Group d.o.o.</v>
      </c>
      <c r="F503" s="4">
        <f>VLOOKUP(D503,Table3[],3,0)</f>
        <v>45575918003</v>
      </c>
      <c r="G503" s="1" t="str">
        <f>VLOOKUP(D503,Table3[],4,0)</f>
        <v>Balázs Kulcsár</v>
      </c>
      <c r="H503" s="1" t="str">
        <f>VLOOKUP(D503,POSLODAVCI!$A$2:$J$107,9,0)</f>
        <v>Osijek</v>
      </c>
      <c r="I503" s="1" t="str">
        <f>VLOOKUP(D503,Table3[],10,0)</f>
        <v>Ribarska 10</v>
      </c>
      <c r="J503" s="434" t="s">
        <v>1880</v>
      </c>
      <c r="K503" s="435">
        <v>44837</v>
      </c>
      <c r="L503" s="435"/>
      <c r="M503" s="182">
        <v>52434021652</v>
      </c>
      <c r="N503" t="s">
        <v>80</v>
      </c>
      <c r="O503" s="7">
        <v>31452</v>
      </c>
      <c r="P503" t="s">
        <v>94</v>
      </c>
      <c r="Q503" t="s">
        <v>82</v>
      </c>
      <c r="R503" t="s">
        <v>1881</v>
      </c>
      <c r="S503" s="5" t="s">
        <v>83</v>
      </c>
      <c r="T503" t="s">
        <v>84</v>
      </c>
      <c r="V503" t="s">
        <v>143</v>
      </c>
      <c r="W503" t="s">
        <v>143</v>
      </c>
      <c r="X503" s="333" t="s">
        <v>2526</v>
      </c>
      <c r="Y503" s="7"/>
      <c r="Z503" s="16" t="s">
        <v>1817</v>
      </c>
      <c r="AA503">
        <v>40</v>
      </c>
      <c r="AB503" t="s">
        <v>1882</v>
      </c>
      <c r="AC503" s="183"/>
      <c r="AE503" s="183"/>
      <c r="AH503" t="s">
        <v>94</v>
      </c>
      <c r="AL503" t="s">
        <v>83</v>
      </c>
      <c r="AM503" s="364">
        <v>4687.5</v>
      </c>
      <c r="AN503" s="184">
        <v>1</v>
      </c>
      <c r="AO503" s="15">
        <v>3750</v>
      </c>
      <c r="AW503" s="7"/>
      <c r="AZ503" t="s">
        <v>374</v>
      </c>
      <c r="BA503">
        <v>77</v>
      </c>
    </row>
    <row r="504" spans="1:53" ht="15.5">
      <c r="A504" s="273">
        <v>1</v>
      </c>
      <c r="B504" s="273" t="str">
        <f t="shared" si="28"/>
        <v>NEAKTIVAN</v>
      </c>
      <c r="C504" s="362">
        <f t="shared" si="29"/>
        <v>502</v>
      </c>
      <c r="D504" s="360">
        <v>46</v>
      </c>
      <c r="E504" s="1" t="str">
        <f>VLOOKUP(D504,Table3[[#All],[RB]:[OIB]],2,0)</f>
        <v>Baranjske slastice Horvat j.d.o.o.</v>
      </c>
      <c r="F504" s="4">
        <f>VLOOKUP(D504,Table3[],3,0)</f>
        <v>81938384478</v>
      </c>
      <c r="G504" s="1" t="str">
        <f>VLOOKUP(D504,Table3[],4,0)</f>
        <v>Ilonka Horvat</v>
      </c>
      <c r="H504" s="1" t="str">
        <f>VLOOKUP(D504,POSLODAVCI!$A$2:$J$107,9,0)</f>
        <v>Suza</v>
      </c>
      <c r="I504" s="1" t="str">
        <f>VLOOKUP(D504,Table3[],10,0)</f>
        <v>Petefi Šandora 31</v>
      </c>
      <c r="J504" s="360" t="s">
        <v>1888</v>
      </c>
      <c r="K504" s="363">
        <v>44851</v>
      </c>
      <c r="L504" s="363">
        <v>45691</v>
      </c>
      <c r="M504" s="182">
        <v>80146813683</v>
      </c>
      <c r="N504" t="s">
        <v>80</v>
      </c>
      <c r="O504" s="7">
        <v>30309</v>
      </c>
      <c r="P504" t="s">
        <v>94</v>
      </c>
      <c r="Q504" t="s">
        <v>82</v>
      </c>
      <c r="R504" t="s">
        <v>1889</v>
      </c>
      <c r="S504" s="5" t="s">
        <v>83</v>
      </c>
      <c r="T504" t="s">
        <v>84</v>
      </c>
      <c r="V504" t="s">
        <v>393</v>
      </c>
      <c r="W504" t="s">
        <v>393</v>
      </c>
      <c r="X504" s="306" t="s">
        <v>103</v>
      </c>
      <c r="Y504" s="7">
        <v>44926</v>
      </c>
      <c r="Z504" s="16" t="s">
        <v>1894</v>
      </c>
      <c r="AA504">
        <v>20</v>
      </c>
      <c r="AB504" t="s">
        <v>1890</v>
      </c>
      <c r="AC504" s="183"/>
      <c r="AE504" s="183"/>
      <c r="AH504" t="s">
        <v>375</v>
      </c>
      <c r="AL504" t="s">
        <v>428</v>
      </c>
      <c r="AM504" s="401">
        <v>350</v>
      </c>
      <c r="AN504" s="184">
        <v>1</v>
      </c>
      <c r="AO504" s="396">
        <v>280</v>
      </c>
      <c r="AW504" s="7"/>
    </row>
    <row r="505" spans="1:53" ht="15.5">
      <c r="A505" s="273">
        <v>2</v>
      </c>
      <c r="B505" s="273" t="str">
        <f t="shared" si="28"/>
        <v>NEAKTIVAN</v>
      </c>
      <c r="C505" s="362">
        <f t="shared" si="29"/>
        <v>503</v>
      </c>
      <c r="D505" s="360">
        <v>46</v>
      </c>
      <c r="E505" s="1" t="str">
        <f>VLOOKUP(D505,Table3[[#All],[RB]:[OIB]],2,0)</f>
        <v>Baranjske slastice Horvat j.d.o.o.</v>
      </c>
      <c r="F505" s="4">
        <f>VLOOKUP(D505,Table3[],3,0)</f>
        <v>81938384478</v>
      </c>
      <c r="G505" s="1" t="str">
        <f>VLOOKUP(D505,Table3[],4,0)</f>
        <v>Ilonka Horvat</v>
      </c>
      <c r="H505" s="1" t="str">
        <f>VLOOKUP(D505,POSLODAVCI!$A$2:$J$107,9,0)</f>
        <v>Suza</v>
      </c>
      <c r="I505" s="1" t="str">
        <f>VLOOKUP(D505,Table3[],10,0)</f>
        <v>Petefi Šandora 31</v>
      </c>
      <c r="J505" s="360" t="s">
        <v>1891</v>
      </c>
      <c r="K505" s="363">
        <v>44851</v>
      </c>
      <c r="L505" s="363">
        <v>45691</v>
      </c>
      <c r="M505" s="124" t="s">
        <v>1897</v>
      </c>
      <c r="N505" t="s">
        <v>80</v>
      </c>
      <c r="O505" s="7">
        <v>26759</v>
      </c>
      <c r="Q505" t="s">
        <v>82</v>
      </c>
      <c r="R505" t="s">
        <v>1892</v>
      </c>
      <c r="S505" s="5" t="s">
        <v>428</v>
      </c>
      <c r="T505" t="s">
        <v>1484</v>
      </c>
      <c r="V505" t="s">
        <v>1893</v>
      </c>
      <c r="X505" s="306" t="s">
        <v>103</v>
      </c>
      <c r="Y505" s="7"/>
      <c r="Z505" s="16" t="s">
        <v>1894</v>
      </c>
      <c r="AA505">
        <v>20</v>
      </c>
      <c r="AB505" t="s">
        <v>1895</v>
      </c>
      <c r="AC505" s="183"/>
      <c r="AE505" s="183"/>
      <c r="AH505" t="s">
        <v>375</v>
      </c>
      <c r="AM505" s="401">
        <v>350</v>
      </c>
      <c r="AN505" s="184"/>
      <c r="AO505" s="15">
        <v>280</v>
      </c>
      <c r="AW505" s="7"/>
    </row>
    <row r="506" spans="1:53" ht="15.5">
      <c r="A506" s="273">
        <v>3</v>
      </c>
      <c r="B506" s="273" t="str">
        <f t="shared" si="28"/>
        <v>AKTIVAN</v>
      </c>
      <c r="C506" s="362">
        <f t="shared" si="29"/>
        <v>504</v>
      </c>
      <c r="D506" s="360">
        <v>46</v>
      </c>
      <c r="E506" s="1" t="str">
        <f>VLOOKUP(D506,Table3[[#All],[RB]:[OIB]],2,0)</f>
        <v>Baranjske slastice Horvat j.d.o.o.</v>
      </c>
      <c r="F506" s="4">
        <f>VLOOKUP(D506,Table3[],3,0)</f>
        <v>81938384478</v>
      </c>
      <c r="G506" s="1" t="str">
        <f>VLOOKUP(D506,Table3[],4,0)</f>
        <v>Ilonka Horvat</v>
      </c>
      <c r="H506" s="1" t="str">
        <f>VLOOKUP(D506,POSLODAVCI!$A$2:$J$107,9,0)</f>
        <v>Suza</v>
      </c>
      <c r="I506" s="1" t="str">
        <f>VLOOKUP(D506,Table3[],10,0)</f>
        <v>Petefi Šandora 31</v>
      </c>
      <c r="J506" s="360" t="s">
        <v>1899</v>
      </c>
      <c r="K506" s="363">
        <v>44671</v>
      </c>
      <c r="L506" s="363"/>
      <c r="M506" s="182">
        <v>83739291274</v>
      </c>
      <c r="N506" t="s">
        <v>80</v>
      </c>
      <c r="O506" s="7">
        <v>36114</v>
      </c>
      <c r="P506" t="s">
        <v>94</v>
      </c>
      <c r="Q506" t="s">
        <v>82</v>
      </c>
      <c r="R506" t="s">
        <v>1900</v>
      </c>
      <c r="S506" s="5" t="s">
        <v>428</v>
      </c>
      <c r="T506" t="s">
        <v>310</v>
      </c>
      <c r="V506" t="s">
        <v>1901</v>
      </c>
      <c r="X506" s="306" t="s">
        <v>85</v>
      </c>
      <c r="Y506" s="7"/>
      <c r="Z506" s="16" t="s">
        <v>1894</v>
      </c>
      <c r="AA506">
        <v>20</v>
      </c>
      <c r="AC506" s="183"/>
      <c r="AE506" s="183"/>
      <c r="AM506" s="401">
        <v>350</v>
      </c>
      <c r="AN506" s="184"/>
      <c r="AO506" s="15">
        <v>280</v>
      </c>
      <c r="AW506" s="7"/>
    </row>
    <row r="507" spans="1:53">
      <c r="A507" s="273">
        <v>4</v>
      </c>
      <c r="B507" s="273" t="str">
        <f t="shared" si="28"/>
        <v>NEAKTIVAN</v>
      </c>
      <c r="C507" s="362">
        <f t="shared" si="29"/>
        <v>505</v>
      </c>
      <c r="D507" s="360">
        <v>46</v>
      </c>
      <c r="E507" s="1" t="str">
        <f>VLOOKUP(D507,Table3[[#All],[RB]:[OIB]],2,0)</f>
        <v>Baranjske slastice Horvat j.d.o.o.</v>
      </c>
      <c r="F507" s="4">
        <f>VLOOKUP(D507,Table3[],3,0)</f>
        <v>81938384478</v>
      </c>
      <c r="G507" s="1" t="str">
        <f>VLOOKUP(D507,Table3[],4,0)</f>
        <v>Ilonka Horvat</v>
      </c>
      <c r="H507" s="1" t="str">
        <f>VLOOKUP(D507,POSLODAVCI!$A$2:$J$107,9,0)</f>
        <v>Suza</v>
      </c>
      <c r="I507" s="1" t="str">
        <f>VLOOKUP(D507,Table3[],10,0)</f>
        <v>Petefi Šandora 31</v>
      </c>
      <c r="J507" s="360" t="s">
        <v>1902</v>
      </c>
      <c r="K507" s="363" t="s">
        <v>1903</v>
      </c>
      <c r="L507" s="363" t="s">
        <v>1903</v>
      </c>
      <c r="M507" s="182">
        <v>83522450528</v>
      </c>
      <c r="N507" t="s">
        <v>80</v>
      </c>
      <c r="O507" s="7">
        <v>38232</v>
      </c>
      <c r="P507" t="s">
        <v>94</v>
      </c>
      <c r="Q507" t="s">
        <v>82</v>
      </c>
      <c r="R507" t="s">
        <v>1904</v>
      </c>
      <c r="S507" s="5" t="s">
        <v>83</v>
      </c>
      <c r="T507" t="s">
        <v>84</v>
      </c>
      <c r="V507" t="s">
        <v>393</v>
      </c>
      <c r="W507" t="s">
        <v>393</v>
      </c>
      <c r="X507" s="306" t="s">
        <v>85</v>
      </c>
      <c r="Y507" s="7">
        <v>44877</v>
      </c>
      <c r="Z507" s="16" t="s">
        <v>1894</v>
      </c>
      <c r="AA507">
        <v>20</v>
      </c>
      <c r="AC507" s="183"/>
      <c r="AE507" s="183"/>
      <c r="AM507" s="396">
        <v>2343.75</v>
      </c>
      <c r="AN507" s="184"/>
      <c r="AW507" s="7"/>
    </row>
    <row r="508" spans="1:53" ht="15.5">
      <c r="A508" s="273">
        <v>4</v>
      </c>
      <c r="B508" s="273" t="str">
        <f t="shared" si="28"/>
        <v>NEAKTIVAN</v>
      </c>
      <c r="C508" s="362">
        <f t="shared" si="29"/>
        <v>506</v>
      </c>
      <c r="D508" s="360">
        <v>46</v>
      </c>
      <c r="E508" s="1" t="str">
        <f>VLOOKUP(D508,Table3[[#All],[RB]:[OIB]],2,0)</f>
        <v>Baranjske slastice Horvat j.d.o.o.</v>
      </c>
      <c r="F508" s="4">
        <f>VLOOKUP(D508,Table3[],3,0)</f>
        <v>81938384478</v>
      </c>
      <c r="G508" s="1" t="str">
        <f>VLOOKUP(D508,Table3[],4,0)</f>
        <v>Ilonka Horvat</v>
      </c>
      <c r="H508" s="1" t="str">
        <f>VLOOKUP(D508,POSLODAVCI!$A$2:$J$107,9,0)</f>
        <v>Suza</v>
      </c>
      <c r="I508" s="1" t="str">
        <f>VLOOKUP(D508,Table3[],10,0)</f>
        <v>Petefi Šandora 31</v>
      </c>
      <c r="J508" s="360" t="s">
        <v>1905</v>
      </c>
      <c r="K508" s="363" t="s">
        <v>1906</v>
      </c>
      <c r="L508" s="363">
        <v>44870</v>
      </c>
      <c r="M508" s="182">
        <v>45674678823</v>
      </c>
      <c r="N508" t="s">
        <v>80</v>
      </c>
      <c r="O508" s="7">
        <v>31672</v>
      </c>
      <c r="P508" t="s">
        <v>81</v>
      </c>
      <c r="Q508" t="s">
        <v>82</v>
      </c>
      <c r="S508" s="5" t="s">
        <v>83</v>
      </c>
      <c r="T508" t="s">
        <v>84</v>
      </c>
      <c r="V508" t="s">
        <v>393</v>
      </c>
      <c r="W508" t="s">
        <v>393</v>
      </c>
      <c r="X508" s="56" t="s">
        <v>85</v>
      </c>
      <c r="Y508" s="7">
        <v>44870</v>
      </c>
      <c r="Z508" s="16" t="s">
        <v>1894</v>
      </c>
      <c r="AA508">
        <v>20</v>
      </c>
      <c r="AC508" s="183"/>
      <c r="AE508" s="183"/>
      <c r="AM508" s="364">
        <v>2343.75</v>
      </c>
      <c r="AN508" s="184"/>
      <c r="AW508" s="7"/>
    </row>
    <row r="509" spans="1:53" ht="15.5">
      <c r="A509" s="273">
        <v>5</v>
      </c>
      <c r="B509" s="273" t="str">
        <f t="shared" si="28"/>
        <v>NEAKTIVAN</v>
      </c>
      <c r="C509" s="362">
        <f t="shared" si="29"/>
        <v>507</v>
      </c>
      <c r="D509" s="1">
        <v>46</v>
      </c>
      <c r="E509" s="1" t="str">
        <f>VLOOKUP(D509,Table3[[#All],[RB]:[OIB]],2,0)</f>
        <v>Baranjske slastice Horvat j.d.o.o.</v>
      </c>
      <c r="F509" s="4">
        <f>VLOOKUP(D509,Table3[],3,0)</f>
        <v>81938384478</v>
      </c>
      <c r="G509" s="1" t="str">
        <f>VLOOKUP(D509,Table3[],4,0)</f>
        <v>Ilonka Horvat</v>
      </c>
      <c r="H509" s="1" t="str">
        <f>VLOOKUP(D509,POSLODAVCI!$A$2:$J$107,9,0)</f>
        <v>Suza</v>
      </c>
      <c r="I509" s="1" t="str">
        <f>VLOOKUP(D509,Table3[],10,0)</f>
        <v>Petefi Šandora 31</v>
      </c>
      <c r="J509" s="1" t="s">
        <v>1905</v>
      </c>
      <c r="K509" s="61" t="s">
        <v>1903</v>
      </c>
      <c r="L509" s="61" t="s">
        <v>1903</v>
      </c>
      <c r="M509" s="182">
        <v>45674678823</v>
      </c>
      <c r="N509" s="16" t="s">
        <v>80</v>
      </c>
      <c r="O509" s="7">
        <v>31672</v>
      </c>
      <c r="P509" s="16" t="s">
        <v>81</v>
      </c>
      <c r="Q509" s="16" t="s">
        <v>82</v>
      </c>
      <c r="R509" s="16"/>
      <c r="S509" s="17" t="s">
        <v>83</v>
      </c>
      <c r="T509" s="16" t="s">
        <v>84</v>
      </c>
      <c r="U509" s="16"/>
      <c r="V509" s="16" t="s">
        <v>393</v>
      </c>
      <c r="W509" s="16" t="s">
        <v>393</v>
      </c>
      <c r="X509" s="56" t="s">
        <v>85</v>
      </c>
      <c r="Y509" s="7">
        <v>44877</v>
      </c>
      <c r="Z509" s="16" t="s">
        <v>1817</v>
      </c>
      <c r="AA509" s="16">
        <v>40</v>
      </c>
      <c r="AB509" s="16"/>
      <c r="AC509" s="183"/>
      <c r="AD509" s="16"/>
      <c r="AE509" s="183"/>
      <c r="AF509" s="16"/>
      <c r="AG509" s="16"/>
      <c r="AH509" s="16"/>
      <c r="AI509" s="16"/>
      <c r="AJ509" s="16"/>
      <c r="AK509" s="16"/>
      <c r="AL509" s="16"/>
      <c r="AM509" s="90">
        <v>4687.5</v>
      </c>
      <c r="AN509" s="184"/>
      <c r="AQ509" s="16"/>
      <c r="AR509" s="16"/>
      <c r="AS509" s="16"/>
      <c r="AT509" s="16"/>
      <c r="AU509" s="16"/>
      <c r="AV509" s="16"/>
      <c r="AW509" s="7"/>
      <c r="AX509" s="16"/>
      <c r="AY509" s="16"/>
      <c r="AZ509" s="16"/>
      <c r="BA509" s="16"/>
    </row>
    <row r="510" spans="1:53" ht="15.5">
      <c r="A510" s="273">
        <v>78</v>
      </c>
      <c r="B510" s="273" t="str">
        <f t="shared" si="28"/>
        <v>AKTIVAN</v>
      </c>
      <c r="C510" s="362">
        <f t="shared" si="29"/>
        <v>508</v>
      </c>
      <c r="D510" s="360">
        <v>36</v>
      </c>
      <c r="E510" s="1" t="str">
        <f>VLOOKUP(D510,Table3[[#All],[RB]:[OIB]],2,0)</f>
        <v>Vital Group d.o.o.</v>
      </c>
      <c r="F510" s="4">
        <f>VLOOKUP(D510,Table3[],3,0)</f>
        <v>45575918003</v>
      </c>
      <c r="G510" s="1" t="str">
        <f>VLOOKUP(D510,Table3[],4,0)</f>
        <v>Balázs Kulcsár</v>
      </c>
      <c r="H510" s="1" t="str">
        <f>VLOOKUP(D510,POSLODAVCI!$A$2:$J$107,9,0)</f>
        <v>Osijek</v>
      </c>
      <c r="I510" s="1" t="str">
        <f>VLOOKUP(D510,Table3[],10,0)</f>
        <v>Ribarska 10</v>
      </c>
      <c r="J510" s="436" t="s">
        <v>1909</v>
      </c>
      <c r="K510" s="435">
        <v>44860</v>
      </c>
      <c r="L510" s="435"/>
      <c r="M510" s="182">
        <v>91135491200</v>
      </c>
      <c r="N510" t="s">
        <v>80</v>
      </c>
      <c r="O510" s="7">
        <v>36578</v>
      </c>
      <c r="P510" t="s">
        <v>94</v>
      </c>
      <c r="Q510" t="s">
        <v>82</v>
      </c>
      <c r="R510" t="s">
        <v>1910</v>
      </c>
      <c r="S510" s="5" t="s">
        <v>83</v>
      </c>
      <c r="T510" t="s">
        <v>84</v>
      </c>
      <c r="V510" t="s">
        <v>143</v>
      </c>
      <c r="W510" t="s">
        <v>143</v>
      </c>
      <c r="X510" s="333" t="s">
        <v>2526</v>
      </c>
      <c r="Y510" s="7"/>
      <c r="Z510" s="16" t="s">
        <v>1817</v>
      </c>
      <c r="AA510">
        <v>40</v>
      </c>
      <c r="AB510" t="s">
        <v>1911</v>
      </c>
      <c r="AC510" s="183"/>
      <c r="AE510" s="183"/>
      <c r="AH510" t="s">
        <v>94</v>
      </c>
      <c r="AM510" s="90">
        <v>4687.5</v>
      </c>
      <c r="AN510" s="184">
        <v>1</v>
      </c>
      <c r="AO510" s="15">
        <v>3750</v>
      </c>
      <c r="AW510" s="7"/>
      <c r="AZ510" t="s">
        <v>374</v>
      </c>
      <c r="BA510">
        <v>78</v>
      </c>
    </row>
    <row r="511" spans="1:53" ht="15.5">
      <c r="A511" s="273">
        <v>74</v>
      </c>
      <c r="B511" s="273" t="str">
        <f t="shared" si="28"/>
        <v>AKTIVAN</v>
      </c>
      <c r="C511" s="362">
        <f t="shared" si="29"/>
        <v>509</v>
      </c>
      <c r="D511" s="360">
        <v>43</v>
      </c>
      <c r="E511" s="1" t="str">
        <f>VLOOKUP(D511,Table3[[#All],[RB]:[OIB]],2,0)</f>
        <v>MANEVI Jagera d.o.o.</v>
      </c>
      <c r="F511" s="4">
        <f>VLOOKUP(D511,Table3[],3,0)</f>
        <v>69769519663</v>
      </c>
      <c r="G511" s="1" t="str">
        <f>VLOOKUP(D511,Table3[],4,0)</f>
        <v>Dénes Kövári</v>
      </c>
      <c r="H511" s="1" t="str">
        <f>VLOOKUP(D511,POSLODAVCI!$A$2:$J$107,9,0)</f>
        <v>Osijek</v>
      </c>
      <c r="I511" s="1" t="str">
        <f>VLOOKUP(D511,Table3[],10,0)</f>
        <v>Ulica Lorenza Jägera 2</v>
      </c>
      <c r="J511" s="360" t="s">
        <v>1912</v>
      </c>
      <c r="K511" s="363">
        <v>44877</v>
      </c>
      <c r="L511" s="363"/>
      <c r="M511" s="182">
        <v>23787165772</v>
      </c>
      <c r="N511" t="s">
        <v>80</v>
      </c>
      <c r="O511" s="7">
        <v>29114</v>
      </c>
      <c r="P511" t="s">
        <v>1913</v>
      </c>
      <c r="Q511" t="s">
        <v>82</v>
      </c>
      <c r="R511" t="s">
        <v>1914</v>
      </c>
      <c r="S511" s="5" t="s">
        <v>83</v>
      </c>
      <c r="T511" t="s">
        <v>84</v>
      </c>
      <c r="V511" t="s">
        <v>1692</v>
      </c>
      <c r="W511" t="s">
        <v>1692</v>
      </c>
      <c r="X511" s="306" t="s">
        <v>85</v>
      </c>
      <c r="Y511" s="7"/>
      <c r="Z511" s="16" t="s">
        <v>1817</v>
      </c>
      <c r="AA511">
        <v>40</v>
      </c>
      <c r="AB511" t="s">
        <v>1915</v>
      </c>
      <c r="AC511" s="183"/>
      <c r="AE511" s="183"/>
      <c r="AH511" t="s">
        <v>1679</v>
      </c>
      <c r="AL511" t="s">
        <v>83</v>
      </c>
      <c r="AM511" s="364">
        <v>1084.0899999999999</v>
      </c>
      <c r="AN511" s="184">
        <v>1</v>
      </c>
      <c r="AO511" s="15">
        <v>5000</v>
      </c>
      <c r="AP511" s="15">
        <v>452</v>
      </c>
      <c r="AW511" s="7"/>
      <c r="AZ511" t="s">
        <v>374</v>
      </c>
      <c r="BA511">
        <v>22</v>
      </c>
    </row>
    <row r="512" spans="1:53" ht="15.5">
      <c r="A512" s="273">
        <v>74</v>
      </c>
      <c r="B512" s="273" t="str">
        <f t="shared" si="28"/>
        <v>NEAKTIVAN</v>
      </c>
      <c r="C512" s="362">
        <f t="shared" si="29"/>
        <v>510</v>
      </c>
      <c r="D512" s="360">
        <v>43</v>
      </c>
      <c r="E512" s="1" t="str">
        <f>VLOOKUP(D512,Table3[[#All],[RB]:[OIB]],2,0)</f>
        <v>MANEVI Jagera d.o.o.</v>
      </c>
      <c r="F512" s="4">
        <f>VLOOKUP(D512,Table3[],3,0)</f>
        <v>69769519663</v>
      </c>
      <c r="G512" s="1" t="str">
        <f>VLOOKUP(D512,Table3[],4,0)</f>
        <v>Dénes Kövári</v>
      </c>
      <c r="H512" s="1" t="str">
        <f>VLOOKUP(D512,POSLODAVCI!$A$2:$J$107,9,0)</f>
        <v>Osijek</v>
      </c>
      <c r="I512" s="1" t="str">
        <f>VLOOKUP(D512,Table3[],10,0)</f>
        <v>Ulica Lorenza Jägera 2</v>
      </c>
      <c r="J512" s="360" t="s">
        <v>1916</v>
      </c>
      <c r="K512" s="363">
        <v>44880</v>
      </c>
      <c r="L512" s="363">
        <v>44941</v>
      </c>
      <c r="M512" s="182">
        <v>23923615356</v>
      </c>
      <c r="N512" t="s">
        <v>80</v>
      </c>
      <c r="O512" s="7">
        <v>31140</v>
      </c>
      <c r="P512" t="s">
        <v>1679</v>
      </c>
      <c r="Q512" t="s">
        <v>82</v>
      </c>
      <c r="R512" t="s">
        <v>1923</v>
      </c>
      <c r="S512" s="5" t="s">
        <v>83</v>
      </c>
      <c r="T512" t="s">
        <v>84</v>
      </c>
      <c r="V512" t="s">
        <v>1390</v>
      </c>
      <c r="W512" t="s">
        <v>1390</v>
      </c>
      <c r="X512" s="306" t="s">
        <v>85</v>
      </c>
      <c r="Y512" s="7"/>
      <c r="Z512" s="16" t="s">
        <v>1894</v>
      </c>
      <c r="AA512">
        <v>20</v>
      </c>
      <c r="AB512" t="s">
        <v>1917</v>
      </c>
      <c r="AC512" s="183"/>
      <c r="AE512" s="183"/>
      <c r="AH512" t="s">
        <v>1679</v>
      </c>
      <c r="AL512" t="s">
        <v>83</v>
      </c>
      <c r="AM512" s="364">
        <v>5096.87</v>
      </c>
      <c r="AN512" s="184">
        <v>1</v>
      </c>
      <c r="AO512" s="15">
        <v>3500</v>
      </c>
      <c r="AP512" s="15">
        <v>452</v>
      </c>
      <c r="AW512" s="7"/>
      <c r="AZ512" t="s">
        <v>374</v>
      </c>
      <c r="BA512">
        <v>23</v>
      </c>
    </row>
    <row r="513" spans="1:53" ht="15.5">
      <c r="A513" s="273">
        <v>79</v>
      </c>
      <c r="B513" s="273" t="str">
        <f t="shared" si="28"/>
        <v>NEAKTIVAN</v>
      </c>
      <c r="C513" s="362">
        <f t="shared" si="29"/>
        <v>511</v>
      </c>
      <c r="D513" s="360">
        <v>36</v>
      </c>
      <c r="E513" s="1" t="str">
        <f>VLOOKUP(D513,Table3[[#All],[RB]:[OIB]],2,0)</f>
        <v>Vital Group d.o.o.</v>
      </c>
      <c r="F513" s="4">
        <f>VLOOKUP(D513,Table3[],3,0)</f>
        <v>45575918003</v>
      </c>
      <c r="G513" s="1" t="str">
        <f>VLOOKUP(D513,Table3[],4,0)</f>
        <v>Balázs Kulcsár</v>
      </c>
      <c r="H513" s="1" t="str">
        <f>VLOOKUP(D513,POSLODAVCI!$A$2:$J$107,9,0)</f>
        <v>Osijek</v>
      </c>
      <c r="I513" s="1" t="str">
        <f>VLOOKUP(D513,Table3[],10,0)</f>
        <v>Ribarska 10</v>
      </c>
      <c r="J513" s="360" t="s">
        <v>1918</v>
      </c>
      <c r="K513" s="363">
        <v>44875</v>
      </c>
      <c r="L513" s="61">
        <v>45077</v>
      </c>
      <c r="M513" s="182">
        <v>14091093469</v>
      </c>
      <c r="N513" t="s">
        <v>80</v>
      </c>
      <c r="O513" s="7">
        <v>34981</v>
      </c>
      <c r="P513" t="s">
        <v>94</v>
      </c>
      <c r="Q513" t="s">
        <v>82</v>
      </c>
      <c r="R513" t="s">
        <v>1919</v>
      </c>
      <c r="S513" s="5" t="s">
        <v>83</v>
      </c>
      <c r="T513" t="s">
        <v>84</v>
      </c>
      <c r="V513" t="s">
        <v>143</v>
      </c>
      <c r="W513" t="s">
        <v>143</v>
      </c>
      <c r="X513" s="306" t="s">
        <v>85</v>
      </c>
      <c r="Y513" s="7"/>
      <c r="Z513" s="16" t="s">
        <v>1817</v>
      </c>
      <c r="AA513">
        <v>40</v>
      </c>
      <c r="AB513" t="s">
        <v>1920</v>
      </c>
      <c r="AC513" s="183"/>
      <c r="AE513" s="183"/>
      <c r="AH513" t="s">
        <v>94</v>
      </c>
      <c r="AL513" t="s">
        <v>83</v>
      </c>
      <c r="AM513" s="90">
        <v>4687.5</v>
      </c>
      <c r="AN513" s="184">
        <v>1</v>
      </c>
      <c r="AO513" s="15">
        <v>3750</v>
      </c>
      <c r="AW513" s="7"/>
      <c r="AZ513" t="s">
        <v>374</v>
      </c>
      <c r="BA513">
        <v>79</v>
      </c>
    </row>
    <row r="514" spans="1:53" ht="15.5">
      <c r="A514" s="273">
        <v>80</v>
      </c>
      <c r="B514" s="273" t="str">
        <f t="shared" si="28"/>
        <v>AKTIVAN</v>
      </c>
      <c r="C514" s="362">
        <f t="shared" si="29"/>
        <v>512</v>
      </c>
      <c r="D514" s="360">
        <v>36</v>
      </c>
      <c r="E514" s="1" t="str">
        <f>VLOOKUP(D514,Table3[[#All],[RB]:[OIB]],2,0)</f>
        <v>Vital Group d.o.o.</v>
      </c>
      <c r="F514" s="4">
        <f>VLOOKUP(D514,Table3[],3,0)</f>
        <v>45575918003</v>
      </c>
      <c r="G514" s="1" t="str">
        <f>VLOOKUP(D514,Table3[],4,0)</f>
        <v>Balázs Kulcsár</v>
      </c>
      <c r="H514" s="1" t="str">
        <f>VLOOKUP(D514,POSLODAVCI!$A$2:$J$107,9,0)</f>
        <v>Osijek</v>
      </c>
      <c r="I514" s="1" t="str">
        <f>VLOOKUP(D514,Table3[],10,0)</f>
        <v>Ribarska 10</v>
      </c>
      <c r="J514" s="434" t="s">
        <v>139</v>
      </c>
      <c r="K514" s="435">
        <v>44872</v>
      </c>
      <c r="L514" s="435"/>
      <c r="M514" s="182">
        <v>91608925694</v>
      </c>
      <c r="N514" t="s">
        <v>89</v>
      </c>
      <c r="O514" s="7">
        <v>32483</v>
      </c>
      <c r="P514" t="s">
        <v>94</v>
      </c>
      <c r="Q514" t="s">
        <v>82</v>
      </c>
      <c r="R514" t="s">
        <v>1520</v>
      </c>
      <c r="S514" s="5" t="s">
        <v>83</v>
      </c>
      <c r="T514" t="s">
        <v>84</v>
      </c>
      <c r="V514" t="s">
        <v>1921</v>
      </c>
      <c r="W514" t="s">
        <v>1921</v>
      </c>
      <c r="X514" s="306" t="s">
        <v>103</v>
      </c>
      <c r="Y514" s="7"/>
      <c r="Z514" s="16" t="s">
        <v>1817</v>
      </c>
      <c r="AA514">
        <v>40</v>
      </c>
      <c r="AB514" t="s">
        <v>1922</v>
      </c>
      <c r="AC514" s="183"/>
      <c r="AE514" s="183"/>
      <c r="AH514" t="s">
        <v>94</v>
      </c>
      <c r="AL514" t="s">
        <v>83</v>
      </c>
      <c r="AM514" s="90">
        <v>4687.5</v>
      </c>
      <c r="AN514" s="184">
        <v>1</v>
      </c>
      <c r="AO514" s="15">
        <v>3750</v>
      </c>
      <c r="AW514" s="7"/>
      <c r="AZ514" t="s">
        <v>374</v>
      </c>
      <c r="BA514">
        <v>80</v>
      </c>
    </row>
    <row r="515" spans="1:53" ht="15.5">
      <c r="A515" s="273">
        <v>81</v>
      </c>
      <c r="B515" s="273" t="str">
        <f t="shared" si="28"/>
        <v>AKTIVAN</v>
      </c>
      <c r="C515" s="362">
        <f t="shared" si="29"/>
        <v>513</v>
      </c>
      <c r="D515" s="360">
        <v>36</v>
      </c>
      <c r="E515" s="1" t="str">
        <f>VLOOKUP(D515,Table3[[#All],[RB]:[OIB]],2,0)</f>
        <v>Vital Group d.o.o.</v>
      </c>
      <c r="F515" s="4">
        <f>VLOOKUP(D515,Table3[],3,0)</f>
        <v>45575918003</v>
      </c>
      <c r="G515" s="1" t="str">
        <f>VLOOKUP(D515,Table3[],4,0)</f>
        <v>Balázs Kulcsár</v>
      </c>
      <c r="H515" s="1" t="str">
        <f>VLOOKUP(D515,POSLODAVCI!$A$2:$J$107,9,0)</f>
        <v>Osijek</v>
      </c>
      <c r="I515" s="1" t="str">
        <f>VLOOKUP(D515,Table3[],10,0)</f>
        <v>Ribarska 10</v>
      </c>
      <c r="J515" s="434" t="s">
        <v>1924</v>
      </c>
      <c r="K515" s="435">
        <v>44879</v>
      </c>
      <c r="L515" s="435"/>
      <c r="M515" s="182">
        <v>37874686979</v>
      </c>
      <c r="N515" t="s">
        <v>80</v>
      </c>
      <c r="O515" s="7">
        <v>30253</v>
      </c>
      <c r="P515" t="s">
        <v>94</v>
      </c>
      <c r="Q515" t="s">
        <v>82</v>
      </c>
      <c r="R515" t="s">
        <v>1925</v>
      </c>
      <c r="S515" s="5" t="s">
        <v>83</v>
      </c>
      <c r="T515" t="s">
        <v>84</v>
      </c>
      <c r="V515" t="s">
        <v>143</v>
      </c>
      <c r="W515" t="s">
        <v>143</v>
      </c>
      <c r="X515" s="333" t="s">
        <v>2526</v>
      </c>
      <c r="Y515" s="7"/>
      <c r="Z515" s="16" t="s">
        <v>1817</v>
      </c>
      <c r="AA515">
        <v>40</v>
      </c>
      <c r="AB515" t="s">
        <v>1926</v>
      </c>
      <c r="AC515" s="183"/>
      <c r="AE515" s="183"/>
      <c r="AH515" t="s">
        <v>94</v>
      </c>
      <c r="AL515" t="s">
        <v>83</v>
      </c>
      <c r="AM515" s="90">
        <v>4687.5</v>
      </c>
      <c r="AN515" s="184">
        <v>1</v>
      </c>
      <c r="AO515" s="15">
        <v>3750</v>
      </c>
      <c r="AW515" s="7"/>
      <c r="AZ515" t="s">
        <v>374</v>
      </c>
      <c r="BA515">
        <v>81</v>
      </c>
    </row>
    <row r="516" spans="1:53" ht="15.5">
      <c r="A516" s="273">
        <v>74</v>
      </c>
      <c r="B516" s="273" t="str">
        <f t="shared" si="28"/>
        <v>NEAKTIVAN</v>
      </c>
      <c r="C516" s="362">
        <f t="shared" si="29"/>
        <v>514</v>
      </c>
      <c r="D516" s="360">
        <v>43</v>
      </c>
      <c r="E516" s="1" t="str">
        <f>VLOOKUP(D516,Table3[[#All],[RB]:[OIB]],2,0)</f>
        <v>MANEVI Jagera d.o.o.</v>
      </c>
      <c r="F516" s="4">
        <f>VLOOKUP(D516,Table3[],3,0)</f>
        <v>69769519663</v>
      </c>
      <c r="G516" s="1" t="str">
        <f>VLOOKUP(D516,Table3[],4,0)</f>
        <v>Dénes Kövári</v>
      </c>
      <c r="H516" s="1" t="str">
        <f>VLOOKUP(D516,POSLODAVCI!$A$2:$J$107,9,0)</f>
        <v>Osijek</v>
      </c>
      <c r="I516" s="1" t="str">
        <f>VLOOKUP(D516,Table3[],10,0)</f>
        <v>Ulica Lorenza Jägera 2</v>
      </c>
      <c r="J516" s="360" t="s">
        <v>1927</v>
      </c>
      <c r="K516" s="363">
        <v>44887</v>
      </c>
      <c r="L516" s="363">
        <v>44926</v>
      </c>
      <c r="M516" s="182">
        <v>31306973978</v>
      </c>
      <c r="N516" t="s">
        <v>80</v>
      </c>
      <c r="O516" s="7">
        <v>36602</v>
      </c>
      <c r="P516" t="s">
        <v>1702</v>
      </c>
      <c r="Q516" t="s">
        <v>82</v>
      </c>
      <c r="R516" t="s">
        <v>1868</v>
      </c>
      <c r="S516" s="5" t="s">
        <v>83</v>
      </c>
      <c r="T516" t="s">
        <v>84</v>
      </c>
      <c r="V516" t="s">
        <v>1686</v>
      </c>
      <c r="W516" t="s">
        <v>1686</v>
      </c>
      <c r="X516" s="306" t="s">
        <v>85</v>
      </c>
      <c r="Y516" s="7"/>
      <c r="Z516" s="16" t="s">
        <v>1817</v>
      </c>
      <c r="AA516">
        <v>40</v>
      </c>
      <c r="AB516" t="s">
        <v>1928</v>
      </c>
      <c r="AC516" s="183"/>
      <c r="AE516" s="183"/>
      <c r="AH516" t="s">
        <v>1679</v>
      </c>
      <c r="AL516" t="s">
        <v>83</v>
      </c>
      <c r="AM516" s="364">
        <v>6619.18</v>
      </c>
      <c r="AN516" s="184">
        <v>1</v>
      </c>
      <c r="AO516" s="15">
        <v>5000</v>
      </c>
      <c r="AP516" s="15">
        <v>570</v>
      </c>
      <c r="AW516" s="7"/>
      <c r="AZ516" t="s">
        <v>374</v>
      </c>
      <c r="BA516">
        <v>24</v>
      </c>
    </row>
    <row r="517" spans="1:53" ht="15.5">
      <c r="A517" s="273">
        <v>6</v>
      </c>
      <c r="B517" s="273" t="str">
        <f t="shared" si="28"/>
        <v>NEAKTIVAN</v>
      </c>
      <c r="C517" s="362">
        <f t="shared" si="29"/>
        <v>515</v>
      </c>
      <c r="D517" s="360">
        <v>46</v>
      </c>
      <c r="E517" s="1" t="str">
        <f>VLOOKUP(D517,Table3[[#All],[RB]:[OIB]],2,0)</f>
        <v>Baranjske slastice Horvat j.d.o.o.</v>
      </c>
      <c r="F517" s="4">
        <f>VLOOKUP(D517,Table3[],3,0)</f>
        <v>81938384478</v>
      </c>
      <c r="G517" s="1" t="str">
        <f>VLOOKUP(D517,Table3[],4,0)</f>
        <v>Ilonka Horvat</v>
      </c>
      <c r="H517" s="1" t="str">
        <f>VLOOKUP(D517,POSLODAVCI!$A$2:$J$107,9,0)</f>
        <v>Suza</v>
      </c>
      <c r="I517" s="1" t="str">
        <f>VLOOKUP(D517,Table3[],10,0)</f>
        <v>Petefi Šandora 31</v>
      </c>
      <c r="J517" s="360" t="s">
        <v>1902</v>
      </c>
      <c r="K517" s="363" t="s">
        <v>1929</v>
      </c>
      <c r="L517" s="363">
        <v>44891</v>
      </c>
      <c r="M517" s="182">
        <v>83522450528</v>
      </c>
      <c r="N517" t="s">
        <v>80</v>
      </c>
      <c r="O517" s="7">
        <v>38232</v>
      </c>
      <c r="P517" t="s">
        <v>94</v>
      </c>
      <c r="Q517" t="s">
        <v>82</v>
      </c>
      <c r="R517" t="s">
        <v>1904</v>
      </c>
      <c r="S517" s="5" t="s">
        <v>83</v>
      </c>
      <c r="T517" t="s">
        <v>84</v>
      </c>
      <c r="V517" t="s">
        <v>393</v>
      </c>
      <c r="W517" t="s">
        <v>393</v>
      </c>
      <c r="X517" s="306" t="s">
        <v>85</v>
      </c>
      <c r="Y517" s="7">
        <v>44891</v>
      </c>
      <c r="Z517" s="16" t="s">
        <v>1894</v>
      </c>
      <c r="AA517">
        <v>20</v>
      </c>
      <c r="AC517" s="183"/>
      <c r="AE517" s="183"/>
      <c r="AM517" s="364">
        <v>2343.75</v>
      </c>
      <c r="AN517" s="184"/>
      <c r="AW517" s="7"/>
    </row>
    <row r="518" spans="1:53" ht="15.5">
      <c r="A518" s="273">
        <v>7</v>
      </c>
      <c r="B518" s="273" t="str">
        <f t="shared" si="28"/>
        <v>NEAKTIVAN</v>
      </c>
      <c r="C518" s="362">
        <f t="shared" si="29"/>
        <v>516</v>
      </c>
      <c r="D518" s="1">
        <v>46</v>
      </c>
      <c r="E518" s="1" t="str">
        <f>VLOOKUP(D518,Table3[[#All],[RB]:[OIB]],2,0)</f>
        <v>Baranjske slastice Horvat j.d.o.o.</v>
      </c>
      <c r="F518" s="4">
        <f>VLOOKUP(D518,Table3[],3,0)</f>
        <v>81938384478</v>
      </c>
      <c r="G518" s="1" t="str">
        <f>VLOOKUP(D518,Table3[],4,0)</f>
        <v>Ilonka Horvat</v>
      </c>
      <c r="H518" s="1" t="str">
        <f>VLOOKUP(D518,POSLODAVCI!$A$2:$J$107,9,0)</f>
        <v>Suza</v>
      </c>
      <c r="I518" s="1" t="str">
        <f>VLOOKUP(D518,Table3[],10,0)</f>
        <v>Petefi Šandora 31</v>
      </c>
      <c r="J518" s="1" t="s">
        <v>1905</v>
      </c>
      <c r="K518" s="61" t="s">
        <v>1929</v>
      </c>
      <c r="L518" s="61">
        <v>44891</v>
      </c>
      <c r="M518" s="182">
        <v>45674678823</v>
      </c>
      <c r="N518" s="16" t="s">
        <v>80</v>
      </c>
      <c r="O518" s="7">
        <v>31672</v>
      </c>
      <c r="P518" s="16" t="s">
        <v>81</v>
      </c>
      <c r="Q518" s="16" t="s">
        <v>82</v>
      </c>
      <c r="R518" s="16"/>
      <c r="S518" s="17" t="s">
        <v>83</v>
      </c>
      <c r="T518" s="16" t="s">
        <v>84</v>
      </c>
      <c r="U518" s="16"/>
      <c r="V518" s="16" t="s">
        <v>393</v>
      </c>
      <c r="W518" s="16" t="s">
        <v>393</v>
      </c>
      <c r="X518" s="56" t="s">
        <v>85</v>
      </c>
      <c r="Y518" s="7">
        <v>44891</v>
      </c>
      <c r="Z518" s="16" t="s">
        <v>1817</v>
      </c>
      <c r="AA518" s="16">
        <v>40</v>
      </c>
      <c r="AB518" s="16"/>
      <c r="AC518" s="183"/>
      <c r="AD518" s="16"/>
      <c r="AE518" s="183"/>
      <c r="AF518" s="16"/>
      <c r="AG518" s="16"/>
      <c r="AH518" s="16"/>
      <c r="AI518" s="16"/>
      <c r="AJ518" s="16"/>
      <c r="AK518" s="16"/>
      <c r="AL518" s="16"/>
      <c r="AM518" s="90">
        <v>4687.5</v>
      </c>
      <c r="AN518" s="184"/>
      <c r="AQ518" s="16"/>
      <c r="AR518" s="16"/>
      <c r="AS518" s="16"/>
      <c r="AT518" s="16"/>
      <c r="AU518" s="16"/>
      <c r="AV518" s="16"/>
      <c r="AW518" s="7"/>
      <c r="AX518" s="16"/>
      <c r="AY518" s="16"/>
      <c r="AZ518" s="16"/>
      <c r="BA518" s="16"/>
    </row>
    <row r="519" spans="1:53" ht="15.5">
      <c r="A519" s="273">
        <v>8</v>
      </c>
      <c r="B519" s="273" t="str">
        <f t="shared" si="28"/>
        <v>NEAKTIVAN</v>
      </c>
      <c r="C519" s="362">
        <f t="shared" si="29"/>
        <v>517</v>
      </c>
      <c r="D519" s="360">
        <v>46</v>
      </c>
      <c r="E519" s="1" t="str">
        <f>VLOOKUP(D519,Table3[[#All],[RB]:[OIB]],2,0)</f>
        <v>Baranjske slastice Horvat j.d.o.o.</v>
      </c>
      <c r="F519" s="4">
        <f>VLOOKUP(D519,Table3[],3,0)</f>
        <v>81938384478</v>
      </c>
      <c r="G519" s="1" t="str">
        <f>VLOOKUP(D519,Table3[],4,0)</f>
        <v>Ilonka Horvat</v>
      </c>
      <c r="H519" s="1" t="str">
        <f>VLOOKUP(D519,POSLODAVCI!$A$2:$J$107,9,0)</f>
        <v>Suza</v>
      </c>
      <c r="I519" s="1" t="str">
        <f>VLOOKUP(D519,Table3[],10,0)</f>
        <v>Petefi Šandora 31</v>
      </c>
      <c r="J519" s="360" t="s">
        <v>1930</v>
      </c>
      <c r="K519" s="363" t="s">
        <v>1929</v>
      </c>
      <c r="L519" s="363">
        <v>44891</v>
      </c>
      <c r="M519" s="182" t="s">
        <v>1931</v>
      </c>
      <c r="N519" t="s">
        <v>80</v>
      </c>
      <c r="O519" s="7">
        <v>37368</v>
      </c>
      <c r="P519" t="s">
        <v>81</v>
      </c>
      <c r="Q519" t="s">
        <v>82</v>
      </c>
      <c r="R519" t="s">
        <v>1932</v>
      </c>
      <c r="S519" s="5" t="s">
        <v>83</v>
      </c>
      <c r="T519" t="s">
        <v>84</v>
      </c>
      <c r="V519" t="s">
        <v>393</v>
      </c>
      <c r="W519" t="s">
        <v>393</v>
      </c>
      <c r="X519" s="306" t="s">
        <v>85</v>
      </c>
      <c r="Y519" s="7">
        <v>44891</v>
      </c>
      <c r="Z519" s="16" t="s">
        <v>1894</v>
      </c>
      <c r="AA519">
        <v>20</v>
      </c>
      <c r="AC519" s="183"/>
      <c r="AE519" s="183"/>
      <c r="AM519" s="364">
        <v>2343.75</v>
      </c>
      <c r="AN519" s="184"/>
      <c r="AW519" s="7"/>
    </row>
    <row r="520" spans="1:53" s="397" customFormat="1" ht="15.5">
      <c r="A520" s="273">
        <v>82</v>
      </c>
      <c r="B520" s="273" t="str">
        <f t="shared" si="28"/>
        <v>NEAKTIVAN</v>
      </c>
      <c r="C520" s="362">
        <f t="shared" si="29"/>
        <v>518</v>
      </c>
      <c r="D520" s="360">
        <v>36</v>
      </c>
      <c r="E520" s="1" t="str">
        <f>VLOOKUP(D520,Table3[[#All],[RB]:[OIB]],2,0)</f>
        <v>Vital Group d.o.o.</v>
      </c>
      <c r="F520" s="4">
        <f>VLOOKUP(D520,Table3[],3,0)</f>
        <v>45575918003</v>
      </c>
      <c r="G520" s="1" t="str">
        <f>VLOOKUP(D520,Table3[],4,0)</f>
        <v>Balázs Kulcsár</v>
      </c>
      <c r="H520" s="1" t="str">
        <f>VLOOKUP(D520,POSLODAVCI!$A$2:$J$107,9,0)</f>
        <v>Osijek</v>
      </c>
      <c r="I520" s="1" t="str">
        <f>VLOOKUP(D520,Table3[],10,0)</f>
        <v>Ribarska 10</v>
      </c>
      <c r="J520" s="360" t="s">
        <v>1957</v>
      </c>
      <c r="K520" s="363">
        <v>44888</v>
      </c>
      <c r="L520" s="363">
        <v>44589</v>
      </c>
      <c r="M520" s="182">
        <v>80347686570</v>
      </c>
      <c r="N520" t="s">
        <v>80</v>
      </c>
      <c r="O520" s="7">
        <v>35665</v>
      </c>
      <c r="P520" t="s">
        <v>94</v>
      </c>
      <c r="Q520" t="s">
        <v>82</v>
      </c>
      <c r="R520" t="s">
        <v>1958</v>
      </c>
      <c r="S520" s="5" t="s">
        <v>83</v>
      </c>
      <c r="T520" t="s">
        <v>84</v>
      </c>
      <c r="U520"/>
      <c r="V520" t="s">
        <v>143</v>
      </c>
      <c r="W520" t="s">
        <v>143</v>
      </c>
      <c r="X520" s="304" t="s">
        <v>85</v>
      </c>
      <c r="Y520" s="7"/>
      <c r="Z520" s="16" t="s">
        <v>1817</v>
      </c>
      <c r="AA520">
        <v>40</v>
      </c>
      <c r="AB520" t="s">
        <v>1959</v>
      </c>
      <c r="AC520" s="183"/>
      <c r="AD520"/>
      <c r="AE520" s="183"/>
      <c r="AF520"/>
      <c r="AG520"/>
      <c r="AH520" t="s">
        <v>81</v>
      </c>
      <c r="AI520"/>
      <c r="AJ520"/>
      <c r="AK520"/>
      <c r="AL520" t="s">
        <v>83</v>
      </c>
      <c r="AM520" s="90">
        <v>4687.5</v>
      </c>
      <c r="AN520" s="184">
        <v>1</v>
      </c>
      <c r="AO520" s="15">
        <v>3750</v>
      </c>
      <c r="AP520" s="15"/>
      <c r="AQ520"/>
      <c r="AR520"/>
      <c r="AS520"/>
      <c r="AT520"/>
      <c r="AU520"/>
      <c r="AV520"/>
      <c r="AW520" s="7"/>
      <c r="AX520"/>
      <c r="AY520"/>
      <c r="AZ520" t="s">
        <v>374</v>
      </c>
      <c r="BA520">
        <v>82</v>
      </c>
    </row>
    <row r="521" spans="1:53" ht="15.5">
      <c r="A521" s="273">
        <v>14</v>
      </c>
      <c r="B521" s="273" t="str">
        <f t="shared" si="28"/>
        <v>NEAKTIVAN</v>
      </c>
      <c r="C521" s="362">
        <f t="shared" si="29"/>
        <v>519</v>
      </c>
      <c r="D521" s="360">
        <v>26</v>
      </c>
      <c r="E521" s="1" t="str">
        <f>VLOOKUP(D521,Table3[[#All],[RB]:[OIB]],2,0)</f>
        <v>D-INVOICE D.O.O.</v>
      </c>
      <c r="F521" s="4">
        <f>VLOOKUP(D521,Table3[],3,0)</f>
        <v>95114485977</v>
      </c>
      <c r="G521" s="1" t="str">
        <f>VLOOKUP(D521,Table3[],4,0)</f>
        <v>LAURA GERGELJ</v>
      </c>
      <c r="H521" s="1" t="str">
        <f>VLOOKUP(D521,POSLODAVCI!$A$2:$J$107,9,0)</f>
        <v>Osijek</v>
      </c>
      <c r="I521" s="1" t="str">
        <f>VLOOKUP(D521,Table3[],10,0)</f>
        <v>SV.IVANA KRSTITELJA 15, DARDA</v>
      </c>
      <c r="J521" s="360" t="s">
        <v>1933</v>
      </c>
      <c r="K521" s="363">
        <v>44678</v>
      </c>
      <c r="L521" s="363">
        <v>44680</v>
      </c>
      <c r="M521" s="182">
        <v>60722353757</v>
      </c>
      <c r="N521" t="s">
        <v>80</v>
      </c>
      <c r="O521" s="7">
        <v>26365</v>
      </c>
      <c r="P521" t="s">
        <v>81</v>
      </c>
      <c r="Q521" t="s">
        <v>82</v>
      </c>
      <c r="R521" t="s">
        <v>1934</v>
      </c>
      <c r="S521" s="5" t="s">
        <v>83</v>
      </c>
      <c r="T521" t="s">
        <v>84</v>
      </c>
      <c r="V521" t="s">
        <v>304</v>
      </c>
      <c r="W521" t="s">
        <v>1935</v>
      </c>
      <c r="X521" s="306" t="s">
        <v>85</v>
      </c>
      <c r="Y521" s="7"/>
      <c r="Z521" s="16" t="s">
        <v>1817</v>
      </c>
      <c r="AA521">
        <v>40</v>
      </c>
      <c r="AC521" s="183"/>
      <c r="AE521" s="183"/>
      <c r="AH521" t="s">
        <v>1265</v>
      </c>
      <c r="AL521" t="s">
        <v>83</v>
      </c>
      <c r="AM521" s="364">
        <v>4687.5</v>
      </c>
      <c r="AN521" s="184">
        <v>1</v>
      </c>
      <c r="AO521" s="15">
        <v>3750</v>
      </c>
      <c r="AW521" s="7"/>
      <c r="AZ521" s="16" t="s">
        <v>255</v>
      </c>
      <c r="BA521">
        <v>14</v>
      </c>
    </row>
    <row r="522" spans="1:53" ht="15.5">
      <c r="A522" s="273">
        <v>15</v>
      </c>
      <c r="B522" s="273" t="str">
        <f t="shared" si="28"/>
        <v>NEAKTIVAN</v>
      </c>
      <c r="C522" s="362">
        <f t="shared" si="29"/>
        <v>520</v>
      </c>
      <c r="D522" s="360">
        <v>26</v>
      </c>
      <c r="E522" s="1" t="str">
        <f>VLOOKUP(D522,Table3[[#All],[RB]:[OIB]],2,0)</f>
        <v>D-INVOICE D.O.O.</v>
      </c>
      <c r="F522" s="4">
        <f>VLOOKUP(D522,Table3[],3,0)</f>
        <v>95114485977</v>
      </c>
      <c r="G522" s="1" t="str">
        <f>VLOOKUP(D522,Table3[],4,0)</f>
        <v>LAURA GERGELJ</v>
      </c>
      <c r="H522" s="1" t="str">
        <f>VLOOKUP(D522,POSLODAVCI!$A$2:$J$107,9,0)</f>
        <v>Osijek</v>
      </c>
      <c r="I522" s="1" t="str">
        <f>VLOOKUP(D522,Table3[],10,0)</f>
        <v>SV.IVANA KRSTITELJA 15, DARDA</v>
      </c>
      <c r="J522" s="360" t="s">
        <v>1933</v>
      </c>
      <c r="K522" s="363">
        <v>44684</v>
      </c>
      <c r="L522" s="363">
        <v>44686</v>
      </c>
      <c r="M522" s="182">
        <v>60722353757</v>
      </c>
      <c r="N522" t="s">
        <v>80</v>
      </c>
      <c r="O522" s="7">
        <v>26365</v>
      </c>
      <c r="P522" t="s">
        <v>81</v>
      </c>
      <c r="Q522" t="s">
        <v>82</v>
      </c>
      <c r="R522" t="s">
        <v>1934</v>
      </c>
      <c r="S522" s="5" t="s">
        <v>83</v>
      </c>
      <c r="T522" t="s">
        <v>84</v>
      </c>
      <c r="V522" t="s">
        <v>304</v>
      </c>
      <c r="W522" t="s">
        <v>1935</v>
      </c>
      <c r="X522" s="306" t="s">
        <v>85</v>
      </c>
      <c r="Y522" s="7"/>
      <c r="Z522" s="16" t="s">
        <v>1817</v>
      </c>
      <c r="AA522">
        <v>40</v>
      </c>
      <c r="AC522" s="183"/>
      <c r="AE522" s="183"/>
      <c r="AH522" t="s">
        <v>1265</v>
      </c>
      <c r="AL522" t="s">
        <v>83</v>
      </c>
      <c r="AM522" s="364">
        <v>4687.5</v>
      </c>
      <c r="AN522" s="184">
        <v>1</v>
      </c>
      <c r="AO522" s="15">
        <v>3750</v>
      </c>
      <c r="AW522" s="7"/>
      <c r="AZ522" s="16" t="s">
        <v>255</v>
      </c>
      <c r="BA522">
        <v>15</v>
      </c>
    </row>
    <row r="523" spans="1:53" ht="15.5">
      <c r="A523" s="273">
        <v>16</v>
      </c>
      <c r="B523" s="273" t="str">
        <f t="shared" ref="B523:B586" si="30">IF(L523&gt;0,"NEAKTIVAN","AKTIVAN")</f>
        <v>NEAKTIVAN</v>
      </c>
      <c r="C523" s="362">
        <f t="shared" si="29"/>
        <v>521</v>
      </c>
      <c r="D523" s="360">
        <v>26</v>
      </c>
      <c r="E523" s="1" t="str">
        <f>VLOOKUP(D523,Table3[[#All],[RB]:[OIB]],2,0)</f>
        <v>D-INVOICE D.O.O.</v>
      </c>
      <c r="F523" s="4">
        <f>VLOOKUP(D523,Table3[],3,0)</f>
        <v>95114485977</v>
      </c>
      <c r="G523" s="1" t="str">
        <f>VLOOKUP(D523,Table3[],4,0)</f>
        <v>LAURA GERGELJ</v>
      </c>
      <c r="H523" s="1" t="str">
        <f>VLOOKUP(D523,POSLODAVCI!$A$2:$J$107,9,0)</f>
        <v>Osijek</v>
      </c>
      <c r="I523" s="1" t="str">
        <f>VLOOKUP(D523,Table3[],10,0)</f>
        <v>SV.IVANA KRSTITELJA 15, DARDA</v>
      </c>
      <c r="J523" s="360" t="s">
        <v>1936</v>
      </c>
      <c r="K523" s="363">
        <v>44740</v>
      </c>
      <c r="L523" s="363">
        <v>44742</v>
      </c>
      <c r="M523" s="182">
        <v>80748696647</v>
      </c>
      <c r="N523" t="s">
        <v>89</v>
      </c>
      <c r="O523" s="7">
        <v>26755</v>
      </c>
      <c r="P523" t="s">
        <v>81</v>
      </c>
      <c r="Q523" t="s">
        <v>82</v>
      </c>
      <c r="R523" t="s">
        <v>1937</v>
      </c>
      <c r="S523" s="5" t="s">
        <v>83</v>
      </c>
      <c r="T523" t="s">
        <v>84</v>
      </c>
      <c r="V523" t="s">
        <v>304</v>
      </c>
      <c r="W523" t="s">
        <v>1935</v>
      </c>
      <c r="X523" s="306" t="s">
        <v>85</v>
      </c>
      <c r="Y523" s="7"/>
      <c r="Z523" s="16" t="s">
        <v>1817</v>
      </c>
      <c r="AA523">
        <v>40</v>
      </c>
      <c r="AC523" s="183"/>
      <c r="AE523" s="183"/>
      <c r="AH523" t="s">
        <v>1265</v>
      </c>
      <c r="AL523" t="s">
        <v>83</v>
      </c>
      <c r="AM523" s="364">
        <v>4687.5</v>
      </c>
      <c r="AN523" s="184">
        <v>1</v>
      </c>
      <c r="AO523" s="15">
        <v>3750</v>
      </c>
      <c r="AW523" s="7"/>
      <c r="AZ523" s="16" t="s">
        <v>255</v>
      </c>
      <c r="BA523">
        <v>16</v>
      </c>
    </row>
    <row r="524" spans="1:53" ht="15.5">
      <c r="A524" s="273">
        <v>17</v>
      </c>
      <c r="B524" s="273" t="str">
        <f t="shared" si="30"/>
        <v>NEAKTIVAN</v>
      </c>
      <c r="C524" s="362">
        <f t="shared" si="29"/>
        <v>522</v>
      </c>
      <c r="D524" s="360">
        <v>26</v>
      </c>
      <c r="E524" s="1" t="str">
        <f>VLOOKUP(D524,Table3[[#All],[RB]:[OIB]],2,0)</f>
        <v>D-INVOICE D.O.O.</v>
      </c>
      <c r="F524" s="4">
        <f>VLOOKUP(D524,Table3[],3,0)</f>
        <v>95114485977</v>
      </c>
      <c r="G524" s="1" t="str">
        <f>VLOOKUP(D524,Table3[],4,0)</f>
        <v>LAURA GERGELJ</v>
      </c>
      <c r="H524" s="1" t="str">
        <f>VLOOKUP(D524,POSLODAVCI!$A$2:$J$107,9,0)</f>
        <v>Osijek</v>
      </c>
      <c r="I524" s="1" t="str">
        <f>VLOOKUP(D524,Table3[],10,0)</f>
        <v>SV.IVANA KRSTITELJA 15, DARDA</v>
      </c>
      <c r="J524" s="360" t="s">
        <v>1936</v>
      </c>
      <c r="K524" s="363">
        <v>44746</v>
      </c>
      <c r="L524" s="363">
        <v>44748</v>
      </c>
      <c r="M524" s="182">
        <v>80748696647</v>
      </c>
      <c r="N524" t="s">
        <v>89</v>
      </c>
      <c r="O524" s="7">
        <v>26755</v>
      </c>
      <c r="P524" t="s">
        <v>81</v>
      </c>
      <c r="Q524" t="s">
        <v>82</v>
      </c>
      <c r="R524" t="s">
        <v>1937</v>
      </c>
      <c r="S524" s="5" t="s">
        <v>83</v>
      </c>
      <c r="T524" t="s">
        <v>84</v>
      </c>
      <c r="V524" t="s">
        <v>304</v>
      </c>
      <c r="W524" t="s">
        <v>1935</v>
      </c>
      <c r="X524" s="306" t="s">
        <v>85</v>
      </c>
      <c r="Y524" s="7"/>
      <c r="Z524" s="16" t="s">
        <v>1817</v>
      </c>
      <c r="AA524">
        <v>40</v>
      </c>
      <c r="AC524" s="183"/>
      <c r="AE524" s="183"/>
      <c r="AH524" t="s">
        <v>1265</v>
      </c>
      <c r="AL524" t="s">
        <v>83</v>
      </c>
      <c r="AM524" s="364">
        <v>4687.5</v>
      </c>
      <c r="AN524" s="184">
        <v>1</v>
      </c>
      <c r="AO524" s="15">
        <v>3750</v>
      </c>
      <c r="AW524" s="7"/>
      <c r="AZ524" s="16" t="s">
        <v>255</v>
      </c>
      <c r="BA524">
        <v>17</v>
      </c>
    </row>
    <row r="525" spans="1:53" ht="15.5">
      <c r="A525" s="273">
        <v>18</v>
      </c>
      <c r="B525" s="273" t="str">
        <f t="shared" si="30"/>
        <v>NEAKTIVAN</v>
      </c>
      <c r="C525" s="362">
        <f t="shared" si="29"/>
        <v>523</v>
      </c>
      <c r="D525" s="360">
        <v>26</v>
      </c>
      <c r="E525" s="1" t="str">
        <f>VLOOKUP(D525,Table3[[#All],[RB]:[OIB]],2,0)</f>
        <v>D-INVOICE D.O.O.</v>
      </c>
      <c r="F525" s="4">
        <f>VLOOKUP(D525,Table3[],3,0)</f>
        <v>95114485977</v>
      </c>
      <c r="G525" s="1" t="str">
        <f>VLOOKUP(D525,Table3[],4,0)</f>
        <v>LAURA GERGELJ</v>
      </c>
      <c r="H525" s="1" t="str">
        <f>VLOOKUP(D525,POSLODAVCI!$A$2:$J$107,9,0)</f>
        <v>Osijek</v>
      </c>
      <c r="I525" s="1" t="str">
        <f>VLOOKUP(D525,Table3[],10,0)</f>
        <v>SV.IVANA KRSTITELJA 15, DARDA</v>
      </c>
      <c r="J525" s="360" t="s">
        <v>1938</v>
      </c>
      <c r="K525" s="363">
        <v>44881</v>
      </c>
      <c r="L525" s="363">
        <v>45828</v>
      </c>
      <c r="M525" s="182">
        <v>86252978963</v>
      </c>
      <c r="N525" t="s">
        <v>80</v>
      </c>
      <c r="O525" s="7">
        <v>37846</v>
      </c>
      <c r="P525" t="s">
        <v>81</v>
      </c>
      <c r="Q525" t="s">
        <v>82</v>
      </c>
      <c r="R525" t="s">
        <v>1939</v>
      </c>
      <c r="S525" s="5" t="s">
        <v>83</v>
      </c>
      <c r="T525" t="s">
        <v>84</v>
      </c>
      <c r="V525" t="s">
        <v>777</v>
      </c>
      <c r="W525" t="s">
        <v>777</v>
      </c>
      <c r="X525" s="306" t="s">
        <v>103</v>
      </c>
      <c r="Y525" s="7"/>
      <c r="Z525" s="16" t="s">
        <v>1817</v>
      </c>
      <c r="AA525">
        <v>40</v>
      </c>
      <c r="AC525" s="183"/>
      <c r="AE525" s="183"/>
      <c r="AH525" t="s">
        <v>1265</v>
      </c>
      <c r="AL525" t="s">
        <v>83</v>
      </c>
      <c r="AM525" s="364">
        <v>4687.5</v>
      </c>
      <c r="AN525" s="184">
        <v>1</v>
      </c>
      <c r="AO525" s="15">
        <v>3750</v>
      </c>
      <c r="AW525" s="7"/>
      <c r="AZ525" s="16" t="s">
        <v>374</v>
      </c>
      <c r="BA525">
        <v>18</v>
      </c>
    </row>
    <row r="526" spans="1:53" ht="15.5">
      <c r="A526" s="273">
        <v>83</v>
      </c>
      <c r="B526" s="273" t="str">
        <f t="shared" si="30"/>
        <v>AKTIVAN</v>
      </c>
      <c r="C526" s="362">
        <f t="shared" si="29"/>
        <v>524</v>
      </c>
      <c r="D526" s="360">
        <v>36</v>
      </c>
      <c r="E526" s="1" t="str">
        <f>VLOOKUP(D526,Table3[[#All],[RB]:[OIB]],2,0)</f>
        <v>Vital Group d.o.o.</v>
      </c>
      <c r="F526" s="4">
        <f>VLOOKUP(D526,Table3[],3,0)</f>
        <v>45575918003</v>
      </c>
      <c r="G526" s="1" t="str">
        <f>VLOOKUP(D526,Table3[],4,0)</f>
        <v>Balázs Kulcsár</v>
      </c>
      <c r="H526" s="1" t="str">
        <f>VLOOKUP(D526,POSLODAVCI!$A$2:$J$107,9,0)</f>
        <v>Osijek</v>
      </c>
      <c r="I526" s="1" t="str">
        <f>VLOOKUP(D526,Table3[],10,0)</f>
        <v>Ribarska 10</v>
      </c>
      <c r="J526" s="434" t="s">
        <v>1940</v>
      </c>
      <c r="K526" s="435">
        <v>44930</v>
      </c>
      <c r="L526" s="435"/>
      <c r="M526" s="182">
        <v>2112003180638</v>
      </c>
      <c r="N526" t="s">
        <v>89</v>
      </c>
      <c r="O526" s="7">
        <v>37976</v>
      </c>
      <c r="P526" t="s">
        <v>1941</v>
      </c>
      <c r="Q526" t="s">
        <v>1834</v>
      </c>
      <c r="R526" t="s">
        <v>1942</v>
      </c>
      <c r="S526" s="5" t="s">
        <v>87</v>
      </c>
      <c r="T526" t="s">
        <v>84</v>
      </c>
      <c r="V526" t="s">
        <v>1840</v>
      </c>
      <c r="W526" t="s">
        <v>1840</v>
      </c>
      <c r="X526" s="306" t="s">
        <v>85</v>
      </c>
      <c r="Y526" s="7">
        <v>45169</v>
      </c>
      <c r="Z526" s="16" t="s">
        <v>1817</v>
      </c>
      <c r="AA526">
        <v>40</v>
      </c>
      <c r="AC526" s="183"/>
      <c r="AE526" s="183"/>
      <c r="AH526" t="s">
        <v>94</v>
      </c>
      <c r="AL526" t="s">
        <v>83</v>
      </c>
      <c r="AM526" s="364">
        <v>4687.5</v>
      </c>
      <c r="AN526" s="184">
        <v>1</v>
      </c>
      <c r="AO526" s="15">
        <v>3750</v>
      </c>
      <c r="AW526" s="7"/>
      <c r="AZ526" t="s">
        <v>374</v>
      </c>
      <c r="BA526">
        <v>83</v>
      </c>
    </row>
    <row r="527" spans="1:53" ht="15.5">
      <c r="A527" s="273">
        <v>84</v>
      </c>
      <c r="B527" s="273" t="str">
        <f t="shared" si="30"/>
        <v>AKTIVAN</v>
      </c>
      <c r="C527" s="362">
        <f t="shared" si="29"/>
        <v>525</v>
      </c>
      <c r="D527" s="360">
        <v>36</v>
      </c>
      <c r="E527" s="1" t="str">
        <f>VLOOKUP(D527,Table3[[#All],[RB]:[OIB]],2,0)</f>
        <v>Vital Group d.o.o.</v>
      </c>
      <c r="F527" s="4">
        <f>VLOOKUP(D527,Table3[],3,0)</f>
        <v>45575918003</v>
      </c>
      <c r="G527" s="1" t="str">
        <f>VLOOKUP(D527,Table3[],4,0)</f>
        <v>Balázs Kulcsár</v>
      </c>
      <c r="H527" s="1" t="str">
        <f>VLOOKUP(D527,POSLODAVCI!$A$2:$J$107,9,0)</f>
        <v>Osijek</v>
      </c>
      <c r="I527" s="1" t="str">
        <f>VLOOKUP(D527,Table3[],10,0)</f>
        <v>Ribarska 10</v>
      </c>
      <c r="J527" s="434" t="s">
        <v>1943</v>
      </c>
      <c r="K527" s="435">
        <v>44930</v>
      </c>
      <c r="L527" s="435"/>
      <c r="M527" s="182">
        <v>1610997180050</v>
      </c>
      <c r="N527" t="s">
        <v>89</v>
      </c>
      <c r="O527" s="7">
        <v>35719</v>
      </c>
      <c r="P527" t="s">
        <v>1852</v>
      </c>
      <c r="Q527" t="s">
        <v>1834</v>
      </c>
      <c r="R527" t="s">
        <v>1944</v>
      </c>
      <c r="S527" s="5" t="s">
        <v>87</v>
      </c>
      <c r="T527" t="s">
        <v>84</v>
      </c>
      <c r="V527" t="s">
        <v>1840</v>
      </c>
      <c r="W527" t="s">
        <v>1840</v>
      </c>
      <c r="X527" s="306" t="s">
        <v>85</v>
      </c>
      <c r="Y527" s="7">
        <v>45169</v>
      </c>
      <c r="Z527" s="16" t="s">
        <v>1817</v>
      </c>
      <c r="AA527">
        <v>40</v>
      </c>
      <c r="AC527" s="183"/>
      <c r="AE527" s="183"/>
      <c r="AH527" t="s">
        <v>94</v>
      </c>
      <c r="AL527" t="s">
        <v>83</v>
      </c>
      <c r="AM527" s="364">
        <v>4687.5</v>
      </c>
      <c r="AN527" s="184">
        <v>1</v>
      </c>
      <c r="AO527" s="15">
        <v>3750</v>
      </c>
      <c r="AW527" s="7"/>
      <c r="AZ527" t="s">
        <v>374</v>
      </c>
      <c r="BA527">
        <v>84</v>
      </c>
    </row>
    <row r="528" spans="1:53" ht="15.5">
      <c r="A528" s="273">
        <v>85</v>
      </c>
      <c r="B528" s="273" t="str">
        <f t="shared" si="30"/>
        <v>NEAKTIVAN</v>
      </c>
      <c r="C528" s="362">
        <f t="shared" ref="C528:C559" si="31">C527+1</f>
        <v>526</v>
      </c>
      <c r="D528" s="360">
        <v>36</v>
      </c>
      <c r="E528" s="1" t="str">
        <f>VLOOKUP(D528,Table3[[#All],[RB]:[OIB]],2,0)</f>
        <v>Vital Group d.o.o.</v>
      </c>
      <c r="F528" s="4">
        <f>VLOOKUP(D528,Table3[],3,0)</f>
        <v>45575918003</v>
      </c>
      <c r="G528" s="1" t="str">
        <f>VLOOKUP(D528,Table3[],4,0)</f>
        <v>Balázs Kulcsár</v>
      </c>
      <c r="H528" s="1" t="str">
        <f>VLOOKUP(D528,POSLODAVCI!$A$2:$J$107,9,0)</f>
        <v>Osijek</v>
      </c>
      <c r="I528" s="1" t="str">
        <f>VLOOKUP(D528,Table3[],10,0)</f>
        <v>Ribarska 10</v>
      </c>
      <c r="J528" s="360" t="s">
        <v>1945</v>
      </c>
      <c r="K528" s="363">
        <v>44896</v>
      </c>
      <c r="L528" s="363">
        <v>44896</v>
      </c>
      <c r="M528" s="182">
        <v>1505000181720</v>
      </c>
      <c r="N528" t="s">
        <v>89</v>
      </c>
      <c r="O528" s="7">
        <v>36661</v>
      </c>
      <c r="P528" t="s">
        <v>1946</v>
      </c>
      <c r="Q528" t="s">
        <v>1834</v>
      </c>
      <c r="R528" t="s">
        <v>1947</v>
      </c>
      <c r="S528" s="5" t="s">
        <v>87</v>
      </c>
      <c r="T528" t="s">
        <v>84</v>
      </c>
      <c r="V528" t="s">
        <v>1840</v>
      </c>
      <c r="W528" t="s">
        <v>1840</v>
      </c>
      <c r="X528" s="306" t="s">
        <v>85</v>
      </c>
      <c r="Y528" s="7">
        <v>45169</v>
      </c>
      <c r="Z528" s="16" t="s">
        <v>1817</v>
      </c>
      <c r="AA528">
        <v>40</v>
      </c>
      <c r="AC528" s="183"/>
      <c r="AE528" s="183"/>
      <c r="AH528" t="s">
        <v>94</v>
      </c>
      <c r="AL528" t="s">
        <v>83</v>
      </c>
      <c r="AM528" s="364">
        <v>4687.5</v>
      </c>
      <c r="AN528" s="184">
        <v>1</v>
      </c>
      <c r="AO528" s="15">
        <v>3750</v>
      </c>
      <c r="AW528" s="7"/>
      <c r="AZ528" t="s">
        <v>374</v>
      </c>
      <c r="BA528">
        <v>85</v>
      </c>
    </row>
    <row r="529" spans="1:53" ht="15.5">
      <c r="A529" s="273">
        <v>74</v>
      </c>
      <c r="B529" s="273" t="str">
        <f t="shared" si="30"/>
        <v>AKTIVAN</v>
      </c>
      <c r="C529" s="362">
        <f t="shared" si="31"/>
        <v>527</v>
      </c>
      <c r="D529" s="360">
        <v>47</v>
      </c>
      <c r="E529" s="1" t="str">
        <f>VLOOKUP(D529,Table3[[#All],[RB]:[OIB]],2,0)</f>
        <v>LINGURAR-CONSTRUCT J.D.O.O</v>
      </c>
      <c r="F529" s="4">
        <f>VLOOKUP(D529,Table3[],3,0)</f>
        <v>26899074894</v>
      </c>
      <c r="G529" s="1" t="str">
        <f>VLOOKUP(D529,Table3[],4,0)</f>
        <v>Daniel Lingurar</v>
      </c>
      <c r="H529" s="1" t="str">
        <f>VLOOKUP(D529,POSLODAVCI!$A$2:$J$107,9,0)</f>
        <v>Osijek</v>
      </c>
      <c r="I529" s="1" t="str">
        <f>VLOOKUP(D529,Table3[],10,0)</f>
        <v>Reisnerova ul. 107</v>
      </c>
      <c r="J529" s="360" t="s">
        <v>1949</v>
      </c>
      <c r="K529" s="363">
        <v>44890</v>
      </c>
      <c r="L529" s="363"/>
      <c r="M529" s="182">
        <v>17155143543</v>
      </c>
      <c r="N529" t="s">
        <v>89</v>
      </c>
      <c r="O529" s="7">
        <v>33407</v>
      </c>
      <c r="P529" t="s">
        <v>1953</v>
      </c>
      <c r="Q529" t="s">
        <v>1536</v>
      </c>
      <c r="R529" t="s">
        <v>1954</v>
      </c>
      <c r="S529" s="5" t="s">
        <v>87</v>
      </c>
      <c r="T529" t="s">
        <v>310</v>
      </c>
      <c r="V529" t="s">
        <v>304</v>
      </c>
      <c r="W529" t="s">
        <v>418</v>
      </c>
      <c r="X529" s="306" t="s">
        <v>103</v>
      </c>
      <c r="Y529" s="7"/>
      <c r="Z529" s="16" t="s">
        <v>1817</v>
      </c>
      <c r="AA529">
        <v>40</v>
      </c>
      <c r="AB529" t="s">
        <v>1955</v>
      </c>
      <c r="AC529" s="183"/>
      <c r="AE529" s="183"/>
      <c r="AH529" t="s">
        <v>1956</v>
      </c>
      <c r="AL529" t="s">
        <v>83</v>
      </c>
      <c r="AM529" s="364">
        <v>6500</v>
      </c>
      <c r="AN529" s="184">
        <v>1</v>
      </c>
      <c r="AW529" s="7"/>
      <c r="AZ529" t="s">
        <v>374</v>
      </c>
      <c r="BA529">
        <v>1</v>
      </c>
    </row>
    <row r="530" spans="1:53" ht="15.5">
      <c r="A530" s="273">
        <v>9</v>
      </c>
      <c r="B530" s="273" t="str">
        <f t="shared" si="30"/>
        <v>NEAKTIVAN</v>
      </c>
      <c r="C530" s="362">
        <f t="shared" si="31"/>
        <v>528</v>
      </c>
      <c r="D530" s="360">
        <v>46</v>
      </c>
      <c r="E530" s="1" t="str">
        <f>VLOOKUP(D530,Table3[[#All],[RB]:[OIB]],2,0)</f>
        <v>Baranjske slastice Horvat j.d.o.o.</v>
      </c>
      <c r="F530" s="4">
        <f>VLOOKUP(D530,Table3[],3,0)</f>
        <v>81938384478</v>
      </c>
      <c r="G530" s="1" t="str">
        <f>VLOOKUP(D530,Table3[],4,0)</f>
        <v>Ilonka Horvat</v>
      </c>
      <c r="H530" s="1" t="str">
        <f>VLOOKUP(D530,POSLODAVCI!$A$2:$J$107,9,0)</f>
        <v>Suza</v>
      </c>
      <c r="I530" s="1" t="str">
        <f>VLOOKUP(D530,Table3[],10,0)</f>
        <v>Petefi Šandora 31</v>
      </c>
      <c r="J530" s="360" t="s">
        <v>1905</v>
      </c>
      <c r="K530" s="363">
        <v>44898</v>
      </c>
      <c r="L530" s="363">
        <v>44898</v>
      </c>
      <c r="M530" s="182">
        <v>45674678823</v>
      </c>
      <c r="N530" t="s">
        <v>80</v>
      </c>
      <c r="O530" s="7">
        <v>30211</v>
      </c>
      <c r="P530" t="s">
        <v>81</v>
      </c>
      <c r="Q530" t="s">
        <v>82</v>
      </c>
      <c r="S530" s="5" t="s">
        <v>428</v>
      </c>
      <c r="T530" t="s">
        <v>1484</v>
      </c>
      <c r="V530" t="s">
        <v>393</v>
      </c>
      <c r="W530" t="s">
        <v>393</v>
      </c>
      <c r="X530" s="306" t="s">
        <v>85</v>
      </c>
      <c r="Y530" s="7">
        <v>44898</v>
      </c>
      <c r="Z530" s="16" t="s">
        <v>1894</v>
      </c>
      <c r="AA530">
        <v>25</v>
      </c>
      <c r="AC530" s="183"/>
      <c r="AE530" s="183"/>
      <c r="AM530" s="364">
        <v>2929.6875</v>
      </c>
      <c r="AN530" s="184"/>
      <c r="AW530" s="7"/>
    </row>
    <row r="531" spans="1:53" ht="15.5">
      <c r="A531" s="273">
        <v>86</v>
      </c>
      <c r="B531" s="273" t="str">
        <f t="shared" si="30"/>
        <v>AKTIVAN</v>
      </c>
      <c r="C531" s="362">
        <f t="shared" si="31"/>
        <v>529</v>
      </c>
      <c r="D531" s="360">
        <v>36</v>
      </c>
      <c r="E531" s="1" t="str">
        <f>VLOOKUP(D531,Table3[[#All],[RB]:[OIB]],2,0)</f>
        <v>Vital Group d.o.o.</v>
      </c>
      <c r="F531" s="4">
        <f>VLOOKUP(D531,Table3[],3,0)</f>
        <v>45575918003</v>
      </c>
      <c r="G531" s="1" t="str">
        <f>VLOOKUP(D531,Table3[],4,0)</f>
        <v>Balázs Kulcsár</v>
      </c>
      <c r="H531" s="1" t="str">
        <f>VLOOKUP(D531,POSLODAVCI!$A$2:$J$107,9,0)</f>
        <v>Osijek</v>
      </c>
      <c r="I531" s="1" t="str">
        <f>VLOOKUP(D531,Table3[],10,0)</f>
        <v>Ribarska 10</v>
      </c>
      <c r="J531" s="434" t="s">
        <v>1583</v>
      </c>
      <c r="K531" s="435">
        <v>44900</v>
      </c>
      <c r="L531" s="435"/>
      <c r="M531" s="89" t="s">
        <v>1584</v>
      </c>
      <c r="N531" t="s">
        <v>80</v>
      </c>
      <c r="O531" s="363">
        <v>24851</v>
      </c>
      <c r="P531" t="s">
        <v>81</v>
      </c>
      <c r="Q531" t="s">
        <v>82</v>
      </c>
      <c r="R531" t="s">
        <v>1585</v>
      </c>
      <c r="S531" s="5" t="s">
        <v>83</v>
      </c>
      <c r="T531" t="s">
        <v>84</v>
      </c>
      <c r="V531" t="s">
        <v>143</v>
      </c>
      <c r="W531" t="s">
        <v>143</v>
      </c>
      <c r="X531" s="306" t="s">
        <v>103</v>
      </c>
      <c r="Y531" s="7"/>
      <c r="Z531" s="16" t="s">
        <v>1817</v>
      </c>
      <c r="AA531">
        <v>40</v>
      </c>
      <c r="AB531" t="s">
        <v>644</v>
      </c>
      <c r="AC531" s="183"/>
      <c r="AE531" s="183"/>
      <c r="AH531" t="s">
        <v>94</v>
      </c>
      <c r="AL531" t="s">
        <v>83</v>
      </c>
      <c r="AM531" s="364">
        <v>4687.5</v>
      </c>
      <c r="AN531" s="184">
        <v>1</v>
      </c>
      <c r="AO531" s="15">
        <v>3750</v>
      </c>
      <c r="AW531" s="7"/>
      <c r="AZ531" t="s">
        <v>374</v>
      </c>
      <c r="BA531">
        <v>86</v>
      </c>
    </row>
    <row r="532" spans="1:53" ht="15.5">
      <c r="A532" s="273">
        <v>74</v>
      </c>
      <c r="B532" s="273" t="str">
        <f t="shared" si="30"/>
        <v>NEAKTIVAN</v>
      </c>
      <c r="C532" s="362">
        <f t="shared" si="31"/>
        <v>530</v>
      </c>
      <c r="D532" s="360">
        <v>43</v>
      </c>
      <c r="E532" s="1" t="str">
        <f>VLOOKUP(D532,Table3[[#All],[RB]:[OIB]],2,0)</f>
        <v>MANEVI Jagera d.o.o.</v>
      </c>
      <c r="F532" s="4">
        <f>VLOOKUP(D532,Table3[],3,0)</f>
        <v>69769519663</v>
      </c>
      <c r="G532" s="1" t="str">
        <f>VLOOKUP(D532,Table3[],4,0)</f>
        <v>Dénes Kövári</v>
      </c>
      <c r="H532" s="1" t="str">
        <f>VLOOKUP(D532,POSLODAVCI!$A$2:$J$107,9,0)</f>
        <v>Osijek</v>
      </c>
      <c r="I532" s="1" t="str">
        <f>VLOOKUP(D532,Table3[],10,0)</f>
        <v>Ulica Lorenza Jägera 2</v>
      </c>
      <c r="J532" s="360" t="s">
        <v>1777</v>
      </c>
      <c r="K532" s="363">
        <v>44896</v>
      </c>
      <c r="L532" s="363">
        <v>44931</v>
      </c>
      <c r="M532" s="182">
        <v>40690069180</v>
      </c>
      <c r="N532" t="s">
        <v>80</v>
      </c>
      <c r="O532" s="7">
        <v>26603</v>
      </c>
      <c r="P532" t="s">
        <v>1778</v>
      </c>
      <c r="Q532" t="s">
        <v>1738</v>
      </c>
      <c r="R532" t="s">
        <v>1739</v>
      </c>
      <c r="S532" s="5" t="s">
        <v>87</v>
      </c>
      <c r="T532" t="s">
        <v>84</v>
      </c>
      <c r="V532" t="s">
        <v>1779</v>
      </c>
      <c r="W532" t="s">
        <v>1692</v>
      </c>
      <c r="X532" s="306" t="s">
        <v>85</v>
      </c>
      <c r="Y532" s="7">
        <v>44931</v>
      </c>
      <c r="Z532" s="16" t="s">
        <v>1817</v>
      </c>
      <c r="AA532">
        <v>40</v>
      </c>
      <c r="AB532" t="s">
        <v>1780</v>
      </c>
      <c r="AC532" s="183"/>
      <c r="AE532" s="183"/>
      <c r="AH532" t="s">
        <v>1679</v>
      </c>
      <c r="AL532" t="s">
        <v>83</v>
      </c>
      <c r="AM532" s="364">
        <v>6562.51</v>
      </c>
      <c r="AN532" s="184">
        <v>1</v>
      </c>
      <c r="AO532" s="15">
        <v>5000</v>
      </c>
      <c r="AW532" s="7"/>
      <c r="AZ532" t="s">
        <v>374</v>
      </c>
      <c r="BA532">
        <v>25</v>
      </c>
    </row>
    <row r="533" spans="1:53" ht="15.5">
      <c r="A533" s="273">
        <v>74</v>
      </c>
      <c r="B533" s="273" t="str">
        <f t="shared" si="30"/>
        <v>NEAKTIVAN</v>
      </c>
      <c r="C533" s="362">
        <f t="shared" si="31"/>
        <v>531</v>
      </c>
      <c r="D533" s="360">
        <v>43</v>
      </c>
      <c r="E533" s="1" t="str">
        <f>VLOOKUP(D533,Table3[[#All],[RB]:[OIB]],2,0)</f>
        <v>MANEVI Jagera d.o.o.</v>
      </c>
      <c r="F533" s="4">
        <f>VLOOKUP(D533,Table3[],3,0)</f>
        <v>69769519663</v>
      </c>
      <c r="G533" s="1" t="str">
        <f>VLOOKUP(D533,Table3[],4,0)</f>
        <v>Dénes Kövári</v>
      </c>
      <c r="H533" s="1" t="str">
        <f>VLOOKUP(D533,POSLODAVCI!$A$2:$J$107,9,0)</f>
        <v>Osijek</v>
      </c>
      <c r="I533" s="1" t="str">
        <f>VLOOKUP(D533,Table3[],10,0)</f>
        <v>Ulica Lorenza Jägera 2</v>
      </c>
      <c r="J533" s="360" t="s">
        <v>1781</v>
      </c>
      <c r="K533" s="363">
        <v>44896</v>
      </c>
      <c r="L533" s="363">
        <v>44931</v>
      </c>
      <c r="M533" s="182">
        <v>99609890264</v>
      </c>
      <c r="N533" t="s">
        <v>89</v>
      </c>
      <c r="O533" s="7">
        <v>36890</v>
      </c>
      <c r="P533" t="s">
        <v>1778</v>
      </c>
      <c r="Q533" t="s">
        <v>82</v>
      </c>
      <c r="R533" t="s">
        <v>1739</v>
      </c>
      <c r="S533" s="5" t="s">
        <v>83</v>
      </c>
      <c r="T533" t="s">
        <v>84</v>
      </c>
      <c r="V533" t="s">
        <v>1692</v>
      </c>
      <c r="W533" t="s">
        <v>1692</v>
      </c>
      <c r="X533" s="306" t="s">
        <v>85</v>
      </c>
      <c r="Y533" s="7">
        <v>44931</v>
      </c>
      <c r="Z533" s="16" t="s">
        <v>1817</v>
      </c>
      <c r="AA533">
        <v>40</v>
      </c>
      <c r="AB533" t="s">
        <v>1782</v>
      </c>
      <c r="AC533" s="183"/>
      <c r="AE533" s="183"/>
      <c r="AH533" t="s">
        <v>1679</v>
      </c>
      <c r="AL533" t="s">
        <v>428</v>
      </c>
      <c r="AM533" s="364">
        <v>6562.51</v>
      </c>
      <c r="AN533" s="184">
        <v>1</v>
      </c>
      <c r="AO533" s="15">
        <v>5000</v>
      </c>
      <c r="AW533" s="7"/>
      <c r="AZ533" t="s">
        <v>374</v>
      </c>
      <c r="BA533">
        <v>26</v>
      </c>
    </row>
    <row r="534" spans="1:53" ht="15.5">
      <c r="A534" s="273">
        <v>74</v>
      </c>
      <c r="B534" s="273" t="str">
        <f t="shared" si="30"/>
        <v>AKTIVAN</v>
      </c>
      <c r="C534" s="362">
        <f t="shared" si="31"/>
        <v>532</v>
      </c>
      <c r="D534" s="360">
        <v>48</v>
      </c>
      <c r="E534" s="1" t="str">
        <f>VLOOKUP(D534,Table3[[#All],[RB]:[OIB]],2,0)</f>
        <v>AGRONOMIST D.O.O.</v>
      </c>
      <c r="F534" s="4">
        <f>VLOOKUP(D534,Table3[],3,0)</f>
        <v>93439918139</v>
      </c>
      <c r="G534" s="1" t="str">
        <f>VLOOKUP(D534,Table3[],4,0)</f>
        <v>DAMIR KATUŠIĆ</v>
      </c>
      <c r="H534" s="1" t="str">
        <f>VLOOKUP(D534,POSLODAVCI!$A$2:$J$107,9,0)</f>
        <v>TENJA</v>
      </c>
      <c r="I534" s="1" t="str">
        <f>VLOOKUP(D534,Table3[],10,0)</f>
        <v>Osječka 1a, Tenja</v>
      </c>
      <c r="J534" s="360" t="s">
        <v>1963</v>
      </c>
      <c r="K534" s="363">
        <v>44896</v>
      </c>
      <c r="L534" s="363"/>
      <c r="M534" s="182">
        <v>14217547530</v>
      </c>
      <c r="N534" t="s">
        <v>89</v>
      </c>
      <c r="O534" s="7">
        <v>27964</v>
      </c>
      <c r="P534" t="s">
        <v>81</v>
      </c>
      <c r="Q534" t="s">
        <v>82</v>
      </c>
      <c r="R534" t="s">
        <v>1964</v>
      </c>
      <c r="S534" s="5" t="s">
        <v>83</v>
      </c>
      <c r="T534" t="s">
        <v>84</v>
      </c>
      <c r="V534" t="s">
        <v>1965</v>
      </c>
      <c r="W534" t="s">
        <v>1966</v>
      </c>
      <c r="X534" s="306" t="s">
        <v>103</v>
      </c>
      <c r="Y534" s="7"/>
      <c r="Z534" s="16" t="s">
        <v>1817</v>
      </c>
      <c r="AA534">
        <v>40</v>
      </c>
      <c r="AC534" s="183"/>
      <c r="AE534" s="183"/>
      <c r="AH534" t="s">
        <v>94</v>
      </c>
      <c r="AL534" t="s">
        <v>83</v>
      </c>
      <c r="AM534" s="364">
        <v>6200</v>
      </c>
      <c r="AN534" s="184">
        <v>1</v>
      </c>
      <c r="AO534" s="15">
        <v>4950</v>
      </c>
      <c r="AW534" s="7"/>
      <c r="AZ534" t="s">
        <v>374</v>
      </c>
      <c r="BA534">
        <v>1</v>
      </c>
    </row>
    <row r="535" spans="1:53" ht="15.5">
      <c r="A535" s="273">
        <v>74</v>
      </c>
      <c r="B535" s="273" t="str">
        <f t="shared" si="30"/>
        <v>AKTIVAN</v>
      </c>
      <c r="C535" s="362">
        <f t="shared" si="31"/>
        <v>533</v>
      </c>
      <c r="D535" s="360">
        <v>47</v>
      </c>
      <c r="E535" s="1" t="str">
        <f>VLOOKUP(D535,Table3[[#All],[RB]:[OIB]],2,0)</f>
        <v>LINGURAR-CONSTRUCT J.D.O.O</v>
      </c>
      <c r="F535" s="4">
        <f>VLOOKUP(D535,Table3[],3,0)</f>
        <v>26899074894</v>
      </c>
      <c r="G535" s="1" t="str">
        <f>VLOOKUP(D535,Table3[],4,0)</f>
        <v>Daniel Lingurar</v>
      </c>
      <c r="H535" s="1" t="str">
        <f>VLOOKUP(D535,POSLODAVCI!$A$2:$J$107,9,0)</f>
        <v>Osijek</v>
      </c>
      <c r="I535" s="1" t="str">
        <f>VLOOKUP(D535,Table3[],10,0)</f>
        <v>Reisnerova ul. 107</v>
      </c>
      <c r="J535" s="360" t="s">
        <v>1995</v>
      </c>
      <c r="K535" s="363">
        <v>44929</v>
      </c>
      <c r="L535" s="363"/>
      <c r="M535" s="182">
        <v>51369266441</v>
      </c>
      <c r="N535" t="s">
        <v>89</v>
      </c>
      <c r="O535" s="7">
        <v>34408</v>
      </c>
      <c r="P535" t="s">
        <v>1953</v>
      </c>
      <c r="Q535" t="s">
        <v>1536</v>
      </c>
      <c r="R535" t="s">
        <v>1954</v>
      </c>
      <c r="S535" s="5" t="s">
        <v>87</v>
      </c>
      <c r="T535" t="s">
        <v>310</v>
      </c>
      <c r="V535" t="s">
        <v>1996</v>
      </c>
      <c r="W535" t="s">
        <v>1996</v>
      </c>
      <c r="X535" s="306" t="s">
        <v>85</v>
      </c>
      <c r="Y535" s="7">
        <v>45107</v>
      </c>
      <c r="Z535" s="16" t="s">
        <v>1817</v>
      </c>
      <c r="AA535">
        <v>40</v>
      </c>
      <c r="AC535" s="183"/>
      <c r="AE535" s="183"/>
      <c r="AH535" t="s">
        <v>94</v>
      </c>
      <c r="AL535" t="s">
        <v>428</v>
      </c>
      <c r="AM535" s="364">
        <v>700</v>
      </c>
      <c r="AN535" s="184">
        <v>1</v>
      </c>
      <c r="AO535" s="15">
        <v>560</v>
      </c>
      <c r="AW535" s="7"/>
      <c r="AZ535" t="s">
        <v>374</v>
      </c>
      <c r="BA535">
        <v>2</v>
      </c>
    </row>
    <row r="536" spans="1:53" ht="15.5">
      <c r="A536" s="273">
        <v>74</v>
      </c>
      <c r="B536" s="273" t="str">
        <f t="shared" si="30"/>
        <v>AKTIVAN</v>
      </c>
      <c r="C536" s="362">
        <f t="shared" si="31"/>
        <v>534</v>
      </c>
      <c r="D536" s="360">
        <v>31</v>
      </c>
      <c r="E536" s="1" t="str">
        <f>VLOOKUP(D536,Table3[[#All],[RB]:[OIB]],2,0)</f>
        <v>Naturos d.o.o.</v>
      </c>
      <c r="F536" s="4">
        <f>VLOOKUP(D536,Table3[],3,0)</f>
        <v>69606074367</v>
      </c>
      <c r="G536" s="1" t="str">
        <f>VLOOKUP(D536,Table3[],4,0)</f>
        <v>Marko Baban</v>
      </c>
      <c r="H536" s="1" t="str">
        <f>VLOOKUP(D536,POSLODAVCI!$A$2:$J$107,9,0)</f>
        <v>OSIJEK</v>
      </c>
      <c r="I536" s="1" t="str">
        <f>VLOOKUP(D536,Table3[],10,0)</f>
        <v>Ulica Jela 60</v>
      </c>
      <c r="J536" s="360" t="s">
        <v>1969</v>
      </c>
      <c r="K536" s="363">
        <v>44927</v>
      </c>
      <c r="L536" s="363"/>
      <c r="M536" s="182">
        <v>47855795485</v>
      </c>
      <c r="N536" t="s">
        <v>89</v>
      </c>
      <c r="O536" s="7">
        <v>32797</v>
      </c>
      <c r="P536" t="s">
        <v>81</v>
      </c>
      <c r="Q536" t="s">
        <v>82</v>
      </c>
      <c r="R536" t="s">
        <v>2093</v>
      </c>
      <c r="S536" s="5" t="s">
        <v>83</v>
      </c>
      <c r="T536" s="16" t="s">
        <v>111</v>
      </c>
      <c r="V536" t="s">
        <v>1970</v>
      </c>
      <c r="W536" t="s">
        <v>1971</v>
      </c>
      <c r="X536" s="306" t="s">
        <v>103</v>
      </c>
      <c r="Y536" s="7">
        <v>45017</v>
      </c>
      <c r="Z536" s="16" t="s">
        <v>1817</v>
      </c>
      <c r="AA536">
        <v>40</v>
      </c>
      <c r="AB536" s="402" t="s">
        <v>2094</v>
      </c>
      <c r="AC536" s="183"/>
      <c r="AE536" s="183"/>
      <c r="AH536" t="s">
        <v>94</v>
      </c>
      <c r="AL536" t="s">
        <v>83</v>
      </c>
      <c r="AM536" s="364">
        <v>1326</v>
      </c>
      <c r="AN536" s="184">
        <v>1</v>
      </c>
      <c r="AO536" s="15">
        <v>7000</v>
      </c>
      <c r="AW536" s="7"/>
      <c r="AZ536" t="s">
        <v>374</v>
      </c>
      <c r="BA536">
        <v>12</v>
      </c>
    </row>
    <row r="537" spans="1:53" ht="15.5">
      <c r="A537" s="273">
        <v>87</v>
      </c>
      <c r="B537" s="273" t="str">
        <f t="shared" si="30"/>
        <v>AKTIVAN</v>
      </c>
      <c r="C537" s="362">
        <f t="shared" si="31"/>
        <v>535</v>
      </c>
      <c r="D537" s="360">
        <v>36</v>
      </c>
      <c r="E537" s="1" t="str">
        <f>VLOOKUP(D537,Table3[[#All],[RB]:[OIB]],2,0)</f>
        <v>Vital Group d.o.o.</v>
      </c>
      <c r="F537" s="4">
        <f>VLOOKUP(D537,Table3[],3,0)</f>
        <v>45575918003</v>
      </c>
      <c r="G537" s="1" t="str">
        <f>VLOOKUP(D537,Table3[],4,0)</f>
        <v>Balázs Kulcsár</v>
      </c>
      <c r="H537" s="1" t="str">
        <f>VLOOKUP(D537,POSLODAVCI!$A$2:$J$107,9,0)</f>
        <v>Osijek</v>
      </c>
      <c r="I537" s="1" t="str">
        <f>VLOOKUP(D537,Table3[],10,0)</f>
        <v>Ribarska 10</v>
      </c>
      <c r="J537" s="434" t="s">
        <v>1976</v>
      </c>
      <c r="K537" s="435">
        <v>44914</v>
      </c>
      <c r="L537" s="435"/>
      <c r="M537" s="89">
        <v>91653325639</v>
      </c>
      <c r="N537" t="s">
        <v>452</v>
      </c>
      <c r="O537" s="7">
        <v>36160</v>
      </c>
      <c r="P537" t="s">
        <v>81</v>
      </c>
      <c r="Q537" t="s">
        <v>82</v>
      </c>
      <c r="R537" t="s">
        <v>1977</v>
      </c>
      <c r="S537" s="5" t="s">
        <v>428</v>
      </c>
      <c r="T537" t="s">
        <v>84</v>
      </c>
      <c r="V537" t="s">
        <v>149</v>
      </c>
      <c r="W537" t="s">
        <v>149</v>
      </c>
      <c r="X537" s="306" t="s">
        <v>103</v>
      </c>
      <c r="Y537" s="7"/>
      <c r="Z537" s="16" t="s">
        <v>1817</v>
      </c>
      <c r="AA537">
        <v>40</v>
      </c>
      <c r="AB537" t="s">
        <v>1978</v>
      </c>
      <c r="AC537" s="183"/>
      <c r="AE537" s="183"/>
      <c r="AH537" t="s">
        <v>94</v>
      </c>
      <c r="AL537" t="s">
        <v>428</v>
      </c>
      <c r="AM537" s="364">
        <v>700</v>
      </c>
      <c r="AN537" s="184">
        <v>1</v>
      </c>
      <c r="AO537" s="15">
        <v>560</v>
      </c>
      <c r="AW537" s="7"/>
      <c r="AZ537" t="s">
        <v>374</v>
      </c>
      <c r="BA537">
        <v>87</v>
      </c>
    </row>
    <row r="538" spans="1:53" ht="15.5">
      <c r="A538" s="273">
        <v>88</v>
      </c>
      <c r="B538" s="273" t="str">
        <f t="shared" si="30"/>
        <v>NEAKTIVAN</v>
      </c>
      <c r="C538" s="362">
        <f t="shared" si="31"/>
        <v>536</v>
      </c>
      <c r="D538" s="360">
        <v>36</v>
      </c>
      <c r="E538" s="1" t="str">
        <f>VLOOKUP(D538,Table3[[#All],[RB]:[OIB]],2,0)</f>
        <v>Vital Group d.o.o.</v>
      </c>
      <c r="F538" s="4">
        <f>VLOOKUP(D538,Table3[],3,0)</f>
        <v>45575918003</v>
      </c>
      <c r="G538" s="1" t="str">
        <f>VLOOKUP(D538,Table3[],4,0)</f>
        <v>Balázs Kulcsár</v>
      </c>
      <c r="H538" s="1" t="str">
        <f>VLOOKUP(D538,POSLODAVCI!$A$2:$J$107,9,0)</f>
        <v>Osijek</v>
      </c>
      <c r="I538" s="1" t="str">
        <f>VLOOKUP(D538,Table3[],10,0)</f>
        <v>Ribarska 10</v>
      </c>
      <c r="J538" s="360" t="s">
        <v>1972</v>
      </c>
      <c r="K538" s="363">
        <v>44924</v>
      </c>
      <c r="L538" s="363">
        <v>44924</v>
      </c>
      <c r="M538" s="89" t="s">
        <v>1973</v>
      </c>
      <c r="N538" t="s">
        <v>89</v>
      </c>
      <c r="O538" s="7">
        <v>32359</v>
      </c>
      <c r="P538" t="s">
        <v>1974</v>
      </c>
      <c r="Q538" t="s">
        <v>1326</v>
      </c>
      <c r="R538" t="s">
        <v>1975</v>
      </c>
      <c r="S538" s="5" t="s">
        <v>87</v>
      </c>
      <c r="T538" t="s">
        <v>84</v>
      </c>
      <c r="V538" t="s">
        <v>1840</v>
      </c>
      <c r="W538" t="s">
        <v>1840</v>
      </c>
      <c r="X538" s="306" t="s">
        <v>85</v>
      </c>
      <c r="Y538" s="7">
        <v>44804</v>
      </c>
      <c r="Z538" s="16" t="s">
        <v>1817</v>
      </c>
      <c r="AA538">
        <v>40</v>
      </c>
      <c r="AC538" s="183"/>
      <c r="AE538" s="183"/>
      <c r="AH538" t="s">
        <v>94</v>
      </c>
      <c r="AL538" t="s">
        <v>428</v>
      </c>
      <c r="AM538" s="364">
        <v>700</v>
      </c>
      <c r="AN538" s="184">
        <v>1</v>
      </c>
      <c r="AO538" s="15">
        <v>560</v>
      </c>
      <c r="AW538" s="7"/>
      <c r="AZ538" s="313" t="s">
        <v>255</v>
      </c>
      <c r="BA538">
        <v>88</v>
      </c>
    </row>
    <row r="539" spans="1:53" ht="15.5">
      <c r="A539" s="273">
        <v>89</v>
      </c>
      <c r="B539" s="273" t="str">
        <f t="shared" si="30"/>
        <v>AKTIVAN</v>
      </c>
      <c r="C539" s="362">
        <f t="shared" si="31"/>
        <v>537</v>
      </c>
      <c r="D539" s="360">
        <v>36</v>
      </c>
      <c r="E539" s="1" t="str">
        <f>VLOOKUP(D539,Table3[[#All],[RB]:[OIB]],2,0)</f>
        <v>Vital Group d.o.o.</v>
      </c>
      <c r="F539" s="4">
        <f>VLOOKUP(D539,Table3[],3,0)</f>
        <v>45575918003</v>
      </c>
      <c r="G539" s="1" t="str">
        <f>VLOOKUP(D539,Table3[],4,0)</f>
        <v>Balázs Kulcsár</v>
      </c>
      <c r="H539" s="1" t="str">
        <f>VLOOKUP(D539,POSLODAVCI!$A$2:$J$107,9,0)</f>
        <v>Osijek</v>
      </c>
      <c r="I539" s="1" t="str">
        <f>VLOOKUP(D539,Table3[],10,0)</f>
        <v>Ribarska 10</v>
      </c>
      <c r="J539" s="434" t="s">
        <v>1979</v>
      </c>
      <c r="K539" s="435">
        <v>44928</v>
      </c>
      <c r="L539" s="435"/>
      <c r="M539" s="182">
        <v>37770201071</v>
      </c>
      <c r="N539" t="s">
        <v>89</v>
      </c>
      <c r="O539" s="7">
        <v>35955</v>
      </c>
      <c r="P539" t="s">
        <v>1980</v>
      </c>
      <c r="Q539" t="s">
        <v>82</v>
      </c>
      <c r="R539" t="s">
        <v>1984</v>
      </c>
      <c r="S539" s="5" t="s">
        <v>428</v>
      </c>
      <c r="T539" t="s">
        <v>84</v>
      </c>
      <c r="V539" t="s">
        <v>1921</v>
      </c>
      <c r="W539" t="s">
        <v>1921</v>
      </c>
      <c r="X539" s="306" t="s">
        <v>103</v>
      </c>
      <c r="Y539" s="7"/>
      <c r="Z539" s="16" t="s">
        <v>1817</v>
      </c>
      <c r="AA539">
        <v>40</v>
      </c>
      <c r="AB539" t="s">
        <v>1981</v>
      </c>
      <c r="AC539" s="183"/>
      <c r="AE539" s="183"/>
      <c r="AH539" t="s">
        <v>94</v>
      </c>
      <c r="AL539" t="s">
        <v>428</v>
      </c>
      <c r="AM539" s="364">
        <v>700</v>
      </c>
      <c r="AN539" s="184">
        <v>1</v>
      </c>
      <c r="AO539" s="15">
        <v>560</v>
      </c>
      <c r="AW539" s="7"/>
      <c r="AZ539" t="s">
        <v>374</v>
      </c>
      <c r="BA539">
        <v>89</v>
      </c>
    </row>
    <row r="540" spans="1:53" ht="15.5">
      <c r="A540" s="273">
        <v>90</v>
      </c>
      <c r="B540" s="273" t="str">
        <f t="shared" si="30"/>
        <v>NEAKTIVAN</v>
      </c>
      <c r="C540" s="362">
        <f t="shared" si="31"/>
        <v>538</v>
      </c>
      <c r="D540" s="360">
        <v>36</v>
      </c>
      <c r="E540" s="1" t="str">
        <f>VLOOKUP(D540,Table3[[#All],[RB]:[OIB]],2,0)</f>
        <v>Vital Group d.o.o.</v>
      </c>
      <c r="F540" s="4">
        <f>VLOOKUP(D540,Table3[],3,0)</f>
        <v>45575918003</v>
      </c>
      <c r="G540" s="1" t="str">
        <f>VLOOKUP(D540,Table3[],4,0)</f>
        <v>Balázs Kulcsár</v>
      </c>
      <c r="H540" s="1" t="str">
        <f>VLOOKUP(D540,POSLODAVCI!$A$2:$J$107,9,0)</f>
        <v>Osijek</v>
      </c>
      <c r="I540" s="1" t="str">
        <f>VLOOKUP(D540,Table3[],10,0)</f>
        <v>Ribarska 10</v>
      </c>
      <c r="J540" s="360" t="s">
        <v>1982</v>
      </c>
      <c r="K540" s="363">
        <v>44928</v>
      </c>
      <c r="L540" s="363">
        <v>44929</v>
      </c>
      <c r="M540" s="182">
        <v>84905814514</v>
      </c>
      <c r="N540" t="s">
        <v>89</v>
      </c>
      <c r="O540" s="7">
        <v>32759</v>
      </c>
      <c r="P540" t="s">
        <v>81</v>
      </c>
      <c r="Q540" t="s">
        <v>82</v>
      </c>
      <c r="R540" t="s">
        <v>1983</v>
      </c>
      <c r="S540" s="5" t="s">
        <v>428</v>
      </c>
      <c r="T540" t="s">
        <v>84</v>
      </c>
      <c r="V540" t="s">
        <v>507</v>
      </c>
      <c r="W540" t="s">
        <v>507</v>
      </c>
      <c r="X540" s="306" t="s">
        <v>103</v>
      </c>
      <c r="Y540" s="7"/>
      <c r="Z540" s="16" t="s">
        <v>1817</v>
      </c>
      <c r="AA540">
        <v>40</v>
      </c>
      <c r="AB540" t="s">
        <v>1985</v>
      </c>
      <c r="AC540" s="183"/>
      <c r="AE540" s="183"/>
      <c r="AH540" t="s">
        <v>94</v>
      </c>
      <c r="AL540" t="s">
        <v>428</v>
      </c>
      <c r="AM540" s="364">
        <v>700</v>
      </c>
      <c r="AN540" s="184">
        <v>1</v>
      </c>
      <c r="AO540" s="15">
        <v>560</v>
      </c>
      <c r="AW540" s="7"/>
      <c r="AZ540" t="s">
        <v>374</v>
      </c>
      <c r="BA540">
        <v>90</v>
      </c>
    </row>
    <row r="541" spans="1:53" ht="15.5">
      <c r="A541" s="273">
        <v>91</v>
      </c>
      <c r="B541" s="273" t="str">
        <f t="shared" si="30"/>
        <v>AKTIVAN</v>
      </c>
      <c r="C541" s="362">
        <f t="shared" si="31"/>
        <v>539</v>
      </c>
      <c r="D541" s="360">
        <v>36</v>
      </c>
      <c r="E541" s="1" t="str">
        <f>VLOOKUP(D541,Table3[[#All],[RB]:[OIB]],2,0)</f>
        <v>Vital Group d.o.o.</v>
      </c>
      <c r="F541" s="4">
        <f>VLOOKUP(D541,Table3[],3,0)</f>
        <v>45575918003</v>
      </c>
      <c r="G541" s="1" t="str">
        <f>VLOOKUP(D541,Table3[],4,0)</f>
        <v>Balázs Kulcsár</v>
      </c>
      <c r="H541" s="1" t="str">
        <f>VLOOKUP(D541,POSLODAVCI!$A$2:$J$107,9,0)</f>
        <v>Osijek</v>
      </c>
      <c r="I541" s="1" t="str">
        <f>VLOOKUP(D541,Table3[],10,0)</f>
        <v>Ribarska 10</v>
      </c>
      <c r="J541" s="434" t="s">
        <v>1986</v>
      </c>
      <c r="K541" s="435">
        <v>44928</v>
      </c>
      <c r="L541" s="435"/>
      <c r="M541" s="182">
        <v>64253340535</v>
      </c>
      <c r="N541" t="s">
        <v>89</v>
      </c>
      <c r="O541" s="7">
        <v>30862</v>
      </c>
      <c r="P541" t="s">
        <v>94</v>
      </c>
      <c r="Q541" t="s">
        <v>82</v>
      </c>
      <c r="R541" t="s">
        <v>317</v>
      </c>
      <c r="S541" s="5" t="s">
        <v>83</v>
      </c>
      <c r="T541" t="s">
        <v>84</v>
      </c>
      <c r="V541" t="s">
        <v>507</v>
      </c>
      <c r="W541" t="s">
        <v>507</v>
      </c>
      <c r="X541" s="306" t="s">
        <v>103</v>
      </c>
      <c r="Y541" s="7"/>
      <c r="Z541" s="16" t="s">
        <v>1817</v>
      </c>
      <c r="AA541">
        <v>40</v>
      </c>
      <c r="AB541" t="s">
        <v>1987</v>
      </c>
      <c r="AC541" s="183"/>
      <c r="AE541" s="183"/>
      <c r="AH541" t="s">
        <v>94</v>
      </c>
      <c r="AL541" t="s">
        <v>83</v>
      </c>
      <c r="AM541" s="364">
        <v>700</v>
      </c>
      <c r="AN541" s="184">
        <v>1</v>
      </c>
      <c r="AO541" s="15">
        <v>560</v>
      </c>
      <c r="AW541" s="7"/>
      <c r="AZ541" t="s">
        <v>374</v>
      </c>
      <c r="BA541">
        <v>91</v>
      </c>
    </row>
    <row r="542" spans="1:53" ht="15.5">
      <c r="A542" s="273">
        <v>74</v>
      </c>
      <c r="B542" s="273" t="str">
        <f t="shared" si="30"/>
        <v>AKTIVAN</v>
      </c>
      <c r="C542" s="362">
        <f t="shared" si="31"/>
        <v>540</v>
      </c>
      <c r="D542" s="360">
        <v>43</v>
      </c>
      <c r="E542" s="1" t="str">
        <f>VLOOKUP(D542,Table3[[#All],[RB]:[OIB]],2,0)</f>
        <v>MANEVI Jagera d.o.o.</v>
      </c>
      <c r="F542" s="4">
        <f>VLOOKUP(D542,Table3[],3,0)</f>
        <v>69769519663</v>
      </c>
      <c r="G542" s="1" t="str">
        <f>VLOOKUP(D542,Table3[],4,0)</f>
        <v>Dénes Kövári</v>
      </c>
      <c r="H542" s="1" t="str">
        <f>VLOOKUP(D542,POSLODAVCI!$A$2:$J$107,9,0)</f>
        <v>Osijek</v>
      </c>
      <c r="I542" s="1" t="str">
        <f>VLOOKUP(D542,Table3[],10,0)</f>
        <v>Ulica Lorenza Jägera 2</v>
      </c>
      <c r="J542" s="1" t="s">
        <v>1694</v>
      </c>
      <c r="K542" s="327">
        <v>44927</v>
      </c>
      <c r="L542" s="327"/>
      <c r="M542" s="182">
        <v>19931594248</v>
      </c>
      <c r="N542" t="s">
        <v>80</v>
      </c>
      <c r="O542" s="7">
        <v>31711</v>
      </c>
      <c r="P542" t="s">
        <v>1684</v>
      </c>
      <c r="Q542" t="s">
        <v>82</v>
      </c>
      <c r="R542" t="s">
        <v>1695</v>
      </c>
      <c r="S542" s="5" t="s">
        <v>428</v>
      </c>
      <c r="T542" t="s">
        <v>84</v>
      </c>
      <c r="V542" t="s">
        <v>1692</v>
      </c>
      <c r="W542" t="s">
        <v>1692</v>
      </c>
      <c r="X542" s="306" t="s">
        <v>85</v>
      </c>
      <c r="Y542" s="7">
        <v>45444</v>
      </c>
      <c r="Z542" s="16" t="s">
        <v>1817</v>
      </c>
      <c r="AA542">
        <v>40</v>
      </c>
      <c r="AB542" t="s">
        <v>1696</v>
      </c>
      <c r="AC542" s="183"/>
      <c r="AE542" s="183"/>
      <c r="AH542" t="s">
        <v>1679</v>
      </c>
      <c r="AL542" t="s">
        <v>428</v>
      </c>
      <c r="AM542" s="328">
        <v>1036.9000000000001</v>
      </c>
      <c r="AN542" s="184"/>
      <c r="AW542" s="7"/>
      <c r="AZ542" t="s">
        <v>374</v>
      </c>
      <c r="BA542">
        <v>27</v>
      </c>
    </row>
    <row r="543" spans="1:53" ht="15.5">
      <c r="A543" s="273">
        <v>10</v>
      </c>
      <c r="B543" s="273" t="str">
        <f t="shared" si="30"/>
        <v>NEAKTIVAN</v>
      </c>
      <c r="C543" s="362">
        <f t="shared" si="31"/>
        <v>541</v>
      </c>
      <c r="D543" s="360">
        <v>46</v>
      </c>
      <c r="E543" s="1" t="str">
        <f>VLOOKUP(D543,Table3[[#All],[RB]:[OIB]],2,0)</f>
        <v>Baranjske slastice Horvat j.d.o.o.</v>
      </c>
      <c r="F543" s="4">
        <f>VLOOKUP(D543,Table3[],3,0)</f>
        <v>81938384478</v>
      </c>
      <c r="G543" s="1" t="str">
        <f>VLOOKUP(D543,Table3[],4,0)</f>
        <v>Ilonka Horvat</v>
      </c>
      <c r="H543" s="1" t="str">
        <f>VLOOKUP(D543,POSLODAVCI!$A$2:$J$107,9,0)</f>
        <v>Suza</v>
      </c>
      <c r="I543" s="1" t="str">
        <f>VLOOKUP(D543,Table3[],10,0)</f>
        <v>Petefi Šandora 31</v>
      </c>
      <c r="J543" s="360" t="s">
        <v>1930</v>
      </c>
      <c r="K543" s="363">
        <v>44935</v>
      </c>
      <c r="L543" s="363">
        <v>44936</v>
      </c>
      <c r="M543" s="400" t="s">
        <v>1997</v>
      </c>
      <c r="N543" s="16" t="s">
        <v>80</v>
      </c>
      <c r="O543" s="7">
        <v>44673</v>
      </c>
      <c r="P543" s="16" t="s">
        <v>81</v>
      </c>
      <c r="Q543" s="16" t="s">
        <v>82</v>
      </c>
      <c r="R543" s="16" t="s">
        <v>1932</v>
      </c>
      <c r="S543" s="17" t="s">
        <v>83</v>
      </c>
      <c r="T543" s="16" t="s">
        <v>84</v>
      </c>
      <c r="V543" s="16" t="s">
        <v>1998</v>
      </c>
      <c r="W543" s="16" t="s">
        <v>393</v>
      </c>
      <c r="X543" s="56" t="s">
        <v>85</v>
      </c>
      <c r="Y543" s="7">
        <v>44935</v>
      </c>
      <c r="Z543" s="16" t="s">
        <v>1894</v>
      </c>
      <c r="AA543">
        <v>20</v>
      </c>
      <c r="AC543" s="183"/>
      <c r="AE543" s="183"/>
      <c r="AM543" s="401">
        <v>350</v>
      </c>
      <c r="AN543" s="184"/>
      <c r="AW543" s="7"/>
    </row>
    <row r="544" spans="1:53" ht="15.5">
      <c r="A544" s="273">
        <v>92</v>
      </c>
      <c r="B544" s="273" t="s">
        <v>2366</v>
      </c>
      <c r="C544" s="362">
        <f t="shared" si="31"/>
        <v>542</v>
      </c>
      <c r="D544" s="360">
        <v>36</v>
      </c>
      <c r="E544" s="1" t="str">
        <f>VLOOKUP(D544,Table3[[#All],[RB]:[OIB]],2,0)</f>
        <v>Vital Group d.o.o.</v>
      </c>
      <c r="F544" s="4">
        <f>VLOOKUP(D544,Table3[],3,0)</f>
        <v>45575918003</v>
      </c>
      <c r="G544" s="1" t="str">
        <f>VLOOKUP(D544,Table3[],4,0)</f>
        <v>Balázs Kulcsár</v>
      </c>
      <c r="H544" s="1" t="str">
        <f>VLOOKUP(D544,POSLODAVCI!$A$2:$J$107,9,0)</f>
        <v>Osijek</v>
      </c>
      <c r="I544" s="1" t="str">
        <f>VLOOKUP(D544,Table3[],10,0)</f>
        <v>Ribarska 10</v>
      </c>
      <c r="J544" s="360" t="s">
        <v>1999</v>
      </c>
      <c r="K544" s="363">
        <v>44984</v>
      </c>
      <c r="L544" s="61">
        <v>45218</v>
      </c>
      <c r="M544" s="89">
        <v>17694024294</v>
      </c>
      <c r="N544" t="s">
        <v>89</v>
      </c>
      <c r="O544" s="7">
        <v>44477</v>
      </c>
      <c r="P544" t="s">
        <v>1946</v>
      </c>
      <c r="Q544" t="s">
        <v>1834</v>
      </c>
      <c r="R544" t="s">
        <v>2000</v>
      </c>
      <c r="S544" s="5" t="s">
        <v>87</v>
      </c>
      <c r="T544" t="s">
        <v>84</v>
      </c>
      <c r="V544" t="s">
        <v>1840</v>
      </c>
      <c r="W544" t="s">
        <v>1840</v>
      </c>
      <c r="X544" s="306" t="s">
        <v>85</v>
      </c>
      <c r="Y544" s="7">
        <v>45169</v>
      </c>
      <c r="Z544" s="16" t="s">
        <v>1817</v>
      </c>
      <c r="AA544">
        <v>40</v>
      </c>
      <c r="AC544" s="183"/>
      <c r="AE544" s="183"/>
      <c r="AH544" t="s">
        <v>94</v>
      </c>
      <c r="AL544" t="s">
        <v>428</v>
      </c>
      <c r="AM544" s="364">
        <v>700</v>
      </c>
      <c r="AN544" s="184">
        <v>1</v>
      </c>
      <c r="AO544" s="15">
        <v>560</v>
      </c>
      <c r="AW544" s="7"/>
      <c r="AZ544" t="s">
        <v>2366</v>
      </c>
      <c r="BA544">
        <v>92</v>
      </c>
    </row>
    <row r="545" spans="1:53" ht="15.5">
      <c r="A545" s="273">
        <v>93</v>
      </c>
      <c r="B545" s="273" t="str">
        <f t="shared" si="30"/>
        <v>NEAKTIVAN</v>
      </c>
      <c r="C545" s="362">
        <f t="shared" si="31"/>
        <v>543</v>
      </c>
      <c r="D545" s="360">
        <v>36</v>
      </c>
      <c r="E545" s="1" t="str">
        <f>VLOOKUP(D545,Table3[[#All],[RB]:[OIB]],2,0)</f>
        <v>Vital Group d.o.o.</v>
      </c>
      <c r="F545" s="4">
        <f>VLOOKUP(D545,Table3[],3,0)</f>
        <v>45575918003</v>
      </c>
      <c r="G545" s="1" t="str">
        <f>VLOOKUP(D545,Table3[],4,0)</f>
        <v>Balázs Kulcsár</v>
      </c>
      <c r="H545" s="1" t="str">
        <f>VLOOKUP(D545,POSLODAVCI!$A$2:$J$107,9,0)</f>
        <v>Osijek</v>
      </c>
      <c r="I545" s="1" t="str">
        <f>VLOOKUP(D545,Table3[],10,0)</f>
        <v>Ribarska 10</v>
      </c>
      <c r="J545" s="360" t="s">
        <v>2001</v>
      </c>
      <c r="K545" s="363">
        <v>44972</v>
      </c>
      <c r="L545" s="363">
        <v>45025</v>
      </c>
      <c r="M545" s="182">
        <v>80246541702</v>
      </c>
      <c r="N545" t="s">
        <v>89</v>
      </c>
      <c r="O545" s="7">
        <v>34482</v>
      </c>
      <c r="P545" t="s">
        <v>1946</v>
      </c>
      <c r="Q545" t="s">
        <v>1834</v>
      </c>
      <c r="R545" t="s">
        <v>2002</v>
      </c>
      <c r="S545" s="5" t="s">
        <v>87</v>
      </c>
      <c r="T545" t="s">
        <v>84</v>
      </c>
      <c r="V545" t="s">
        <v>1840</v>
      </c>
      <c r="W545" t="s">
        <v>1840</v>
      </c>
      <c r="X545" s="306" t="s">
        <v>85</v>
      </c>
      <c r="Y545" s="7">
        <v>45169</v>
      </c>
      <c r="Z545" s="16" t="s">
        <v>1817</v>
      </c>
      <c r="AA545">
        <v>40</v>
      </c>
      <c r="AC545" s="183"/>
      <c r="AE545" s="183"/>
      <c r="AH545" t="s">
        <v>94</v>
      </c>
      <c r="AL545" t="s">
        <v>428</v>
      </c>
      <c r="AM545" s="364">
        <v>700</v>
      </c>
      <c r="AN545" s="184">
        <v>1</v>
      </c>
      <c r="AO545" s="15">
        <v>560</v>
      </c>
      <c r="AW545" s="7"/>
      <c r="AZ545" t="s">
        <v>374</v>
      </c>
      <c r="BA545">
        <v>93</v>
      </c>
    </row>
    <row r="546" spans="1:53" ht="15.5">
      <c r="A546" s="273">
        <v>11</v>
      </c>
      <c r="B546" s="273" t="str">
        <f t="shared" si="30"/>
        <v>AKTIVAN</v>
      </c>
      <c r="C546" s="362">
        <f t="shared" si="31"/>
        <v>544</v>
      </c>
      <c r="D546" s="360">
        <v>46</v>
      </c>
      <c r="E546" s="1" t="str">
        <f>VLOOKUP(D546,Table3[[#All],[RB]:[OIB]],2,0)</f>
        <v>Baranjske slastice Horvat j.d.o.o.</v>
      </c>
      <c r="F546" s="4">
        <f>VLOOKUP(D546,Table3[],3,0)</f>
        <v>81938384478</v>
      </c>
      <c r="G546" s="1" t="str">
        <f>VLOOKUP(D546,Table3[],4,0)</f>
        <v>Ilonka Horvat</v>
      </c>
      <c r="H546" s="1" t="str">
        <f>VLOOKUP(D546,POSLODAVCI!$A$2:$J$107,9,0)</f>
        <v>Suza</v>
      </c>
      <c r="I546" s="1" t="str">
        <f>VLOOKUP(D546,Table3[],10,0)</f>
        <v>Petefi Šandora 31</v>
      </c>
      <c r="J546" s="360" t="s">
        <v>2003</v>
      </c>
      <c r="K546" s="363">
        <v>44927</v>
      </c>
      <c r="L546" s="363"/>
      <c r="M546" s="402">
        <v>30546563040</v>
      </c>
      <c r="N546" s="16" t="s">
        <v>80</v>
      </c>
      <c r="O546" s="7">
        <v>25934</v>
      </c>
      <c r="Q546" s="16" t="s">
        <v>82</v>
      </c>
      <c r="R546" s="16" t="s">
        <v>2004</v>
      </c>
      <c r="S546" s="17" t="s">
        <v>83</v>
      </c>
      <c r="T546" s="16" t="s">
        <v>84</v>
      </c>
      <c r="X546" s="56" t="s">
        <v>103</v>
      </c>
      <c r="Y546" s="7"/>
      <c r="Z546" s="16" t="s">
        <v>1817</v>
      </c>
      <c r="AA546">
        <v>40</v>
      </c>
      <c r="AB546" s="402" t="s">
        <v>2005</v>
      </c>
      <c r="AC546" s="183"/>
      <c r="AE546" s="183"/>
      <c r="AH546" s="16" t="s">
        <v>108</v>
      </c>
      <c r="AL546" s="16" t="s">
        <v>83</v>
      </c>
      <c r="AM546" s="401">
        <v>888.67</v>
      </c>
      <c r="AN546" s="184">
        <v>1</v>
      </c>
      <c r="AO546" s="412">
        <v>673.48</v>
      </c>
      <c r="AW546" s="7"/>
    </row>
    <row r="547" spans="1:53" ht="15.5">
      <c r="A547" s="273">
        <v>12</v>
      </c>
      <c r="B547" s="273" t="str">
        <f t="shared" si="30"/>
        <v>AKTIVAN</v>
      </c>
      <c r="C547" s="362">
        <f t="shared" si="31"/>
        <v>545</v>
      </c>
      <c r="D547" s="360">
        <v>46</v>
      </c>
      <c r="E547" s="1" t="str">
        <f>VLOOKUP(D547,Table3[[#All],[RB]:[OIB]],2,0)</f>
        <v>Baranjske slastice Horvat j.d.o.o.</v>
      </c>
      <c r="F547" s="4">
        <f>VLOOKUP(D547,Table3[],3,0)</f>
        <v>81938384478</v>
      </c>
      <c r="G547" s="1" t="str">
        <f>VLOOKUP(D547,Table3[],4,0)</f>
        <v>Ilonka Horvat</v>
      </c>
      <c r="H547" s="1" t="str">
        <f>VLOOKUP(D547,POSLODAVCI!$A$2:$J$107,9,0)</f>
        <v>Suza</v>
      </c>
      <c r="I547" s="1" t="str">
        <f>VLOOKUP(D547,Table3[],10,0)</f>
        <v>Petefi Šandora 31</v>
      </c>
      <c r="J547" s="360" t="s">
        <v>2006</v>
      </c>
      <c r="K547" s="363">
        <v>44701</v>
      </c>
      <c r="L547" s="363"/>
      <c r="M547" s="402">
        <v>68360316621</v>
      </c>
      <c r="N547" s="16" t="s">
        <v>80</v>
      </c>
      <c r="O547" s="7">
        <v>36457</v>
      </c>
      <c r="P547" t="s">
        <v>94</v>
      </c>
      <c r="Q547" t="s">
        <v>82</v>
      </c>
      <c r="R547" s="402" t="s">
        <v>2007</v>
      </c>
      <c r="S547" s="5" t="s">
        <v>83</v>
      </c>
      <c r="T547" t="s">
        <v>84</v>
      </c>
      <c r="X547" s="306" t="s">
        <v>85</v>
      </c>
      <c r="Y547" s="7"/>
      <c r="Z547" s="16" t="s">
        <v>1894</v>
      </c>
      <c r="AA547">
        <v>20</v>
      </c>
      <c r="AB547" s="402" t="s">
        <v>2008</v>
      </c>
      <c r="AC547" s="183"/>
      <c r="AE547" s="183"/>
      <c r="AH547" s="16" t="s">
        <v>375</v>
      </c>
      <c r="AM547" s="401">
        <v>350</v>
      </c>
      <c r="AN547" s="184"/>
      <c r="AO547" s="15">
        <v>280</v>
      </c>
      <c r="AW547" s="7"/>
    </row>
    <row r="548" spans="1:53" ht="15.5">
      <c r="A548" s="273">
        <v>74</v>
      </c>
      <c r="B548" s="273" t="str">
        <f t="shared" si="30"/>
        <v>AKTIVAN</v>
      </c>
      <c r="C548" s="362">
        <f t="shared" si="31"/>
        <v>546</v>
      </c>
      <c r="D548" s="360">
        <v>44</v>
      </c>
      <c r="E548" s="1" t="str">
        <f>VLOOKUP(D548,Table3[[#All],[RB]:[OIB]],2,0)</f>
        <v>VR - Krk</v>
      </c>
      <c r="F548" s="4">
        <f>VLOOKUP(D548,Table3[],3,0)</f>
        <v>31521842055</v>
      </c>
      <c r="G548" s="1" t="str">
        <f>VLOOKUP(D548,Table3[],4,0)</f>
        <v>Robert Verebi</v>
      </c>
      <c r="H548" s="1" t="str">
        <f>VLOOKUP(D548,POSLODAVCI!$A$2:$J$107,9,0)</f>
        <v>Osijek</v>
      </c>
      <c r="I548" s="1" t="str">
        <f>VLOOKUP(D548,Table3[],10,0)</f>
        <v>Ribarska 10</v>
      </c>
      <c r="J548" s="360" t="s">
        <v>1631</v>
      </c>
      <c r="K548" s="363">
        <v>44927</v>
      </c>
      <c r="L548" s="363"/>
      <c r="M548" s="402">
        <v>93461065246</v>
      </c>
      <c r="N548" s="16" t="s">
        <v>89</v>
      </c>
      <c r="O548" s="7">
        <v>27156</v>
      </c>
      <c r="R548" s="402" t="s">
        <v>2009</v>
      </c>
      <c r="T548" s="16" t="s">
        <v>111</v>
      </c>
      <c r="V548" s="16" t="s">
        <v>254</v>
      </c>
      <c r="W548" s="16" t="s">
        <v>1206</v>
      </c>
      <c r="X548" s="56" t="s">
        <v>103</v>
      </c>
      <c r="Y548" s="7"/>
      <c r="Z548" s="16" t="s">
        <v>1894</v>
      </c>
      <c r="AA548">
        <v>10</v>
      </c>
      <c r="AC548" s="183"/>
      <c r="AE548" s="183"/>
      <c r="AM548" s="414">
        <v>5458.69</v>
      </c>
      <c r="AN548" s="184"/>
      <c r="AW548" s="7"/>
    </row>
    <row r="549" spans="1:53" ht="15.5">
      <c r="A549" s="273">
        <v>74</v>
      </c>
      <c r="B549" s="273" t="str">
        <f t="shared" si="30"/>
        <v>NEAKTIVAN</v>
      </c>
      <c r="C549" s="362">
        <f t="shared" si="31"/>
        <v>547</v>
      </c>
      <c r="D549" s="360">
        <v>43</v>
      </c>
      <c r="E549" s="1" t="str">
        <f>VLOOKUP(D549,Table3[[#All],[RB]:[OIB]],2,0)</f>
        <v>MANEVI Jagera d.o.o.</v>
      </c>
      <c r="F549" s="4">
        <f>VLOOKUP(D549,Table3[],3,0)</f>
        <v>69769519663</v>
      </c>
      <c r="G549" s="1" t="str">
        <f>VLOOKUP(D549,Table3[],4,0)</f>
        <v>Dénes Kövári</v>
      </c>
      <c r="H549" s="1" t="str">
        <f>VLOOKUP(D549,POSLODAVCI!$A$2:$J$107,9,0)</f>
        <v>Osijek</v>
      </c>
      <c r="I549" s="1" t="str">
        <f>VLOOKUP(D549,Table3[],10,0)</f>
        <v>Ulica Lorenza Jägera 2</v>
      </c>
      <c r="J549" s="360" t="s">
        <v>1916</v>
      </c>
      <c r="K549" s="363">
        <v>44942</v>
      </c>
      <c r="L549" s="363">
        <v>44972</v>
      </c>
      <c r="M549" s="182">
        <v>23923615356</v>
      </c>
      <c r="N549" t="s">
        <v>80</v>
      </c>
      <c r="O549" s="7">
        <v>31140</v>
      </c>
      <c r="P549" t="s">
        <v>1679</v>
      </c>
      <c r="Q549" t="s">
        <v>82</v>
      </c>
      <c r="R549" t="s">
        <v>1923</v>
      </c>
      <c r="S549" s="5" t="s">
        <v>83</v>
      </c>
      <c r="T549" t="s">
        <v>84</v>
      </c>
      <c r="V549" t="s">
        <v>1390</v>
      </c>
      <c r="W549" t="s">
        <v>1390</v>
      </c>
      <c r="X549" s="306" t="s">
        <v>85</v>
      </c>
      <c r="Y549" s="7">
        <v>44972</v>
      </c>
      <c r="Z549" s="16" t="s">
        <v>1894</v>
      </c>
      <c r="AA549">
        <v>20</v>
      </c>
      <c r="AB549" t="s">
        <v>1917</v>
      </c>
      <c r="AC549" s="183"/>
      <c r="AE549" s="183"/>
      <c r="AH549" t="s">
        <v>1679</v>
      </c>
      <c r="AL549" t="s">
        <v>83</v>
      </c>
      <c r="AM549" s="423">
        <v>676.47</v>
      </c>
      <c r="AN549" s="184">
        <v>1</v>
      </c>
      <c r="AO549" s="417" t="s">
        <v>2011</v>
      </c>
      <c r="AP549" s="417" t="s">
        <v>2012</v>
      </c>
      <c r="AW549" s="7"/>
      <c r="AZ549" t="s">
        <v>374</v>
      </c>
      <c r="BA549">
        <v>28</v>
      </c>
    </row>
    <row r="550" spans="1:53" ht="15.5">
      <c r="A550" s="273">
        <v>94</v>
      </c>
      <c r="B550" s="273" t="str">
        <f t="shared" si="30"/>
        <v>NEAKTIVAN</v>
      </c>
      <c r="C550" s="362">
        <f t="shared" si="31"/>
        <v>548</v>
      </c>
      <c r="D550" s="360">
        <v>36</v>
      </c>
      <c r="E550" s="1" t="str">
        <f>VLOOKUP(D550,Table3[[#All],[RB]:[OIB]],2,0)</f>
        <v>Vital Group d.o.o.</v>
      </c>
      <c r="F550" s="4">
        <f>VLOOKUP(D550,Table3[],3,0)</f>
        <v>45575918003</v>
      </c>
      <c r="G550" s="1" t="str">
        <f>VLOOKUP(D550,Table3[],4,0)</f>
        <v>Balázs Kulcsár</v>
      </c>
      <c r="H550" s="1" t="str">
        <f>VLOOKUP(D550,POSLODAVCI!$A$2:$J$107,9,0)</f>
        <v>Osijek</v>
      </c>
      <c r="I550" s="1" t="str">
        <f>VLOOKUP(D550,Table3[],10,0)</f>
        <v>Ribarska 10</v>
      </c>
      <c r="J550" s="360" t="s">
        <v>2018</v>
      </c>
      <c r="K550" s="363">
        <v>44933</v>
      </c>
      <c r="L550" s="363">
        <v>45026</v>
      </c>
      <c r="M550" s="182">
        <v>94249456411</v>
      </c>
      <c r="N550" t="s">
        <v>89</v>
      </c>
      <c r="O550" s="7">
        <v>36206</v>
      </c>
      <c r="P550" t="s">
        <v>94</v>
      </c>
      <c r="Q550" t="s">
        <v>82</v>
      </c>
      <c r="R550" t="s">
        <v>2019</v>
      </c>
      <c r="S550" s="5" t="s">
        <v>428</v>
      </c>
      <c r="T550" t="s">
        <v>84</v>
      </c>
      <c r="V550" t="s">
        <v>507</v>
      </c>
      <c r="W550" t="s">
        <v>507</v>
      </c>
      <c r="X550" s="306" t="s">
        <v>103</v>
      </c>
      <c r="Y550" s="7"/>
      <c r="Z550" s="16" t="s">
        <v>1817</v>
      </c>
      <c r="AA550">
        <v>40</v>
      </c>
      <c r="AB550" t="s">
        <v>2020</v>
      </c>
      <c r="AC550" s="183"/>
      <c r="AE550" s="183"/>
      <c r="AH550" t="s">
        <v>94</v>
      </c>
      <c r="AL550" t="s">
        <v>428</v>
      </c>
      <c r="AM550" s="364">
        <v>700</v>
      </c>
      <c r="AN550" s="184">
        <v>1</v>
      </c>
      <c r="AO550" s="15">
        <v>560</v>
      </c>
      <c r="AW550" s="7"/>
      <c r="AZ550" t="s">
        <v>2366</v>
      </c>
      <c r="BA550">
        <v>94</v>
      </c>
    </row>
    <row r="551" spans="1:53" ht="15.5">
      <c r="A551" s="273">
        <v>95</v>
      </c>
      <c r="B551" s="273" t="str">
        <f t="shared" si="30"/>
        <v>NEAKTIVAN</v>
      </c>
      <c r="C551" s="362">
        <f t="shared" si="31"/>
        <v>549</v>
      </c>
      <c r="D551" s="360">
        <v>36</v>
      </c>
      <c r="E551" s="1" t="str">
        <f>VLOOKUP(D551,Table3[[#All],[RB]:[OIB]],2,0)</f>
        <v>Vital Group d.o.o.</v>
      </c>
      <c r="F551" s="4">
        <f>VLOOKUP(D551,Table3[],3,0)</f>
        <v>45575918003</v>
      </c>
      <c r="G551" s="1" t="str">
        <f>VLOOKUP(D551,Table3[],4,0)</f>
        <v>Balázs Kulcsár</v>
      </c>
      <c r="H551" s="1" t="str">
        <f>VLOOKUP(D551,POSLODAVCI!$A$2:$J$107,9,0)</f>
        <v>Osijek</v>
      </c>
      <c r="I551" s="1" t="str">
        <f>VLOOKUP(D551,Table3[],10,0)</f>
        <v>Ribarska 10</v>
      </c>
      <c r="J551" s="360" t="s">
        <v>2022</v>
      </c>
      <c r="K551" s="363">
        <v>44949</v>
      </c>
      <c r="L551" s="363">
        <v>45077</v>
      </c>
      <c r="M551" s="182">
        <v>24192037081</v>
      </c>
      <c r="N551" t="s">
        <v>80</v>
      </c>
      <c r="O551" s="7">
        <v>33498</v>
      </c>
      <c r="P551" t="s">
        <v>81</v>
      </c>
      <c r="Q551" t="s">
        <v>82</v>
      </c>
      <c r="R551" t="s">
        <v>2023</v>
      </c>
      <c r="S551" s="5" t="s">
        <v>428</v>
      </c>
      <c r="T551" t="s">
        <v>84</v>
      </c>
      <c r="V551" t="s">
        <v>143</v>
      </c>
      <c r="W551" t="s">
        <v>143</v>
      </c>
      <c r="X551" s="306" t="s">
        <v>85</v>
      </c>
      <c r="Y551" s="7">
        <v>44985</v>
      </c>
      <c r="Z551" s="16" t="s">
        <v>1817</v>
      </c>
      <c r="AA551">
        <v>40</v>
      </c>
      <c r="AB551" t="s">
        <v>2024</v>
      </c>
      <c r="AC551" s="183"/>
      <c r="AE551" s="183"/>
      <c r="AH551" t="s">
        <v>94</v>
      </c>
      <c r="AL551" t="s">
        <v>428</v>
      </c>
      <c r="AM551" s="364">
        <v>700</v>
      </c>
      <c r="AN551" s="184">
        <v>1</v>
      </c>
      <c r="AO551" s="15">
        <v>560</v>
      </c>
      <c r="AW551" s="7"/>
      <c r="AZ551" t="s">
        <v>374</v>
      </c>
      <c r="BA551">
        <v>95</v>
      </c>
    </row>
    <row r="552" spans="1:53" ht="15.5">
      <c r="A552" s="273">
        <v>74</v>
      </c>
      <c r="B552" s="273" t="str">
        <f t="shared" si="30"/>
        <v>AKTIVAN</v>
      </c>
      <c r="C552" s="362">
        <f t="shared" si="31"/>
        <v>550</v>
      </c>
      <c r="D552" s="360">
        <v>43</v>
      </c>
      <c r="E552" s="1" t="str">
        <f>VLOOKUP(D552,Table3[[#All],[RB]:[OIB]],2,0)</f>
        <v>MANEVI Jagera d.o.o.</v>
      </c>
      <c r="F552" s="4">
        <f>VLOOKUP(D552,Table3[],3,0)</f>
        <v>69769519663</v>
      </c>
      <c r="G552" s="1" t="str">
        <f>VLOOKUP(D552,Table3[],4,0)</f>
        <v>Dénes Kövári</v>
      </c>
      <c r="H552" s="1" t="str">
        <f>VLOOKUP(D552,POSLODAVCI!$A$2:$J$107,9,0)</f>
        <v>Osijek</v>
      </c>
      <c r="I552" s="1" t="str">
        <f>VLOOKUP(D552,Table3[],10,0)</f>
        <v>Ulica Lorenza Jägera 2</v>
      </c>
      <c r="J552" s="360" t="s">
        <v>1916</v>
      </c>
      <c r="K552" s="363">
        <v>44973</v>
      </c>
      <c r="L552" s="363"/>
      <c r="M552" s="182">
        <v>23923615356</v>
      </c>
      <c r="N552" t="s">
        <v>80</v>
      </c>
      <c r="O552" s="7">
        <v>31140</v>
      </c>
      <c r="P552" t="s">
        <v>1679</v>
      </c>
      <c r="Q552" t="s">
        <v>82</v>
      </c>
      <c r="R552" t="s">
        <v>1923</v>
      </c>
      <c r="S552" s="5" t="s">
        <v>83</v>
      </c>
      <c r="T552" t="s">
        <v>84</v>
      </c>
      <c r="V552" t="s">
        <v>1390</v>
      </c>
      <c r="W552" t="s">
        <v>1390</v>
      </c>
      <c r="X552" s="306" t="s">
        <v>85</v>
      </c>
      <c r="Y552" s="7">
        <v>45047</v>
      </c>
      <c r="Z552" s="16" t="s">
        <v>1894</v>
      </c>
      <c r="AA552">
        <v>30</v>
      </c>
      <c r="AB552" t="s">
        <v>1917</v>
      </c>
      <c r="AC552" s="183"/>
      <c r="AE552" s="183"/>
      <c r="AH552" t="s">
        <v>1679</v>
      </c>
      <c r="AL552" t="s">
        <v>83</v>
      </c>
      <c r="AM552" s="423">
        <v>1014.71</v>
      </c>
      <c r="AN552" s="184">
        <v>1</v>
      </c>
      <c r="AO552" s="15" t="s">
        <v>2011</v>
      </c>
      <c r="AP552" s="15" t="s">
        <v>2012</v>
      </c>
      <c r="AW552" s="7"/>
      <c r="AZ552" t="s">
        <v>374</v>
      </c>
      <c r="BA552">
        <v>29</v>
      </c>
    </row>
    <row r="553" spans="1:53" ht="15.5">
      <c r="A553" s="273">
        <v>74</v>
      </c>
      <c r="B553" s="273" t="str">
        <f t="shared" si="30"/>
        <v>AKTIVAN</v>
      </c>
      <c r="C553" s="362">
        <f t="shared" si="31"/>
        <v>551</v>
      </c>
      <c r="D553" s="1">
        <v>49</v>
      </c>
      <c r="E553" s="1" t="str">
        <f>VLOOKUP(D553,Table3[[#All],[RB]:[OIB]],2,0)</f>
        <v>HELT S j.d.o.o.</v>
      </c>
      <c r="F553" s="4">
        <f>VLOOKUP(D553,Table3[],3,0)</f>
        <v>55434731380</v>
      </c>
      <c r="G553" s="1" t="str">
        <f>VLOOKUP(D553,Table3[],4,0)</f>
        <v>Nikolina Roguljić</v>
      </c>
      <c r="H553" s="1" t="str">
        <f>VLOOKUP(D553,POSLODAVCI!$A$2:$J$107,9,0)</f>
        <v>Osijek</v>
      </c>
      <c r="I553" s="1" t="str">
        <f>VLOOKUP(D553,Table3[],10,0)</f>
        <v>Bizovačka 61 31220 Višnjevac</v>
      </c>
      <c r="J553" s="1" t="s">
        <v>2028</v>
      </c>
      <c r="K553" s="61">
        <v>44900</v>
      </c>
      <c r="L553" s="61"/>
      <c r="M553" s="402">
        <v>35213578150</v>
      </c>
      <c r="N553" s="16" t="s">
        <v>80</v>
      </c>
      <c r="O553" s="7">
        <v>31237</v>
      </c>
      <c r="P553" s="16"/>
      <c r="Q553" s="16" t="s">
        <v>82</v>
      </c>
      <c r="R553" s="16" t="s">
        <v>2070</v>
      </c>
      <c r="S553" s="17" t="s">
        <v>428</v>
      </c>
      <c r="T553" s="16" t="s">
        <v>84</v>
      </c>
      <c r="U553" s="16"/>
      <c r="V553" s="16" t="s">
        <v>2071</v>
      </c>
      <c r="W553" s="16" t="s">
        <v>2071</v>
      </c>
      <c r="X553" s="56" t="s">
        <v>103</v>
      </c>
      <c r="Y553" s="7"/>
      <c r="Z553" s="16" t="s">
        <v>1817</v>
      </c>
      <c r="AA553" s="16">
        <v>40</v>
      </c>
      <c r="AB553" s="402" t="s">
        <v>2066</v>
      </c>
      <c r="AC553" s="183"/>
      <c r="AD553" s="16"/>
      <c r="AE553" s="183"/>
      <c r="AF553" s="16"/>
      <c r="AG553" s="16"/>
      <c r="AH553" s="16" t="s">
        <v>94</v>
      </c>
      <c r="AI553" s="16"/>
      <c r="AJ553" s="16"/>
      <c r="AK553" s="16"/>
      <c r="AL553" s="16" t="s">
        <v>428</v>
      </c>
      <c r="AM553" s="90">
        <v>888.67</v>
      </c>
      <c r="AN553" s="184">
        <v>1</v>
      </c>
      <c r="AQ553" s="16"/>
      <c r="AR553" s="16"/>
      <c r="AS553" s="16"/>
      <c r="AT553" s="16"/>
      <c r="AU553" s="16"/>
      <c r="AV553" s="16"/>
      <c r="AW553" s="7"/>
      <c r="AX553" s="16"/>
      <c r="AY553" s="16"/>
      <c r="AZ553" s="16" t="s">
        <v>374</v>
      </c>
      <c r="BA553" s="16">
        <v>1</v>
      </c>
    </row>
    <row r="554" spans="1:53" ht="15.5">
      <c r="A554" s="273">
        <v>74</v>
      </c>
      <c r="B554" s="273" t="str">
        <f t="shared" si="30"/>
        <v>NEAKTIVAN</v>
      </c>
      <c r="C554" s="362">
        <f t="shared" si="31"/>
        <v>552</v>
      </c>
      <c r="D554" s="1">
        <v>49</v>
      </c>
      <c r="E554" s="1" t="str">
        <f>VLOOKUP(D554,Table3[[#All],[RB]:[OIB]],2,0)</f>
        <v>HELT S j.d.o.o.</v>
      </c>
      <c r="F554" s="4">
        <f>VLOOKUP(D554,Table3[],3,0)</f>
        <v>55434731380</v>
      </c>
      <c r="G554" s="1" t="str">
        <f>VLOOKUP(D554,Table3[],4,0)</f>
        <v>Nikolina Roguljić</v>
      </c>
      <c r="H554" s="1" t="str">
        <f>VLOOKUP(D554,POSLODAVCI!$A$2:$J$107,9,0)</f>
        <v>Osijek</v>
      </c>
      <c r="I554" s="1" t="str">
        <f>VLOOKUP(D554,Table3[],10,0)</f>
        <v>Bizovačka 61 31220 Višnjevac</v>
      </c>
      <c r="J554" s="1" t="s">
        <v>2065</v>
      </c>
      <c r="K554" s="61">
        <v>44894</v>
      </c>
      <c r="L554" s="61">
        <v>44953</v>
      </c>
      <c r="M554" s="402">
        <v>71345202574</v>
      </c>
      <c r="N554" s="16" t="s">
        <v>80</v>
      </c>
      <c r="O554" s="7">
        <v>22286</v>
      </c>
      <c r="P554" s="16"/>
      <c r="Q554" s="16" t="s">
        <v>82</v>
      </c>
      <c r="R554" s="16" t="s">
        <v>2068</v>
      </c>
      <c r="S554" s="17" t="s">
        <v>428</v>
      </c>
      <c r="T554" s="16" t="s">
        <v>84</v>
      </c>
      <c r="U554" s="16"/>
      <c r="V554" s="16" t="s">
        <v>2069</v>
      </c>
      <c r="W554" s="16" t="s">
        <v>2069</v>
      </c>
      <c r="X554" s="56" t="s">
        <v>103</v>
      </c>
      <c r="Y554" s="7"/>
      <c r="Z554" s="16" t="s">
        <v>1817</v>
      </c>
      <c r="AA554" s="16">
        <v>40</v>
      </c>
      <c r="AB554" s="402" t="s">
        <v>2067</v>
      </c>
      <c r="AC554" s="183"/>
      <c r="AD554" s="16"/>
      <c r="AE554" s="183"/>
      <c r="AF554" s="16"/>
      <c r="AG554" s="16"/>
      <c r="AH554" s="16" t="s">
        <v>94</v>
      </c>
      <c r="AI554" s="16"/>
      <c r="AJ554" s="16"/>
      <c r="AK554" s="16"/>
      <c r="AL554" s="16"/>
      <c r="AM554" s="90">
        <v>888.67</v>
      </c>
      <c r="AN554" s="184">
        <v>1</v>
      </c>
      <c r="AQ554" s="16"/>
      <c r="AR554" s="16"/>
      <c r="AS554" s="16"/>
      <c r="AT554" s="16"/>
      <c r="AU554" s="16"/>
      <c r="AV554" s="16"/>
      <c r="AW554" s="7"/>
      <c r="AX554" s="16"/>
      <c r="AY554" s="16"/>
      <c r="AZ554" s="16" t="s">
        <v>255</v>
      </c>
      <c r="BA554" s="16">
        <v>2</v>
      </c>
    </row>
    <row r="555" spans="1:53">
      <c r="A555" s="273">
        <v>1</v>
      </c>
      <c r="B555" s="273" t="str">
        <f t="shared" si="30"/>
        <v>NEAKTIVAN</v>
      </c>
      <c r="C555" s="362">
        <f t="shared" si="31"/>
        <v>553</v>
      </c>
      <c r="D555" s="1">
        <v>50</v>
      </c>
      <c r="E555" s="1" t="str">
        <f>VLOOKUP(D555,Table3[[#All],[RB]:[OIB]],2,0)</f>
        <v>SKIN BEAUTY VL. IVONA JOZIĆ</v>
      </c>
      <c r="F555" s="4">
        <f>VLOOKUP(D555,Table3[],3,0)</f>
        <v>37037018122</v>
      </c>
      <c r="G555" s="1" t="str">
        <f>VLOOKUP(D555,Table3[],4,0)</f>
        <v>Ivona Jozić</v>
      </c>
      <c r="H555" s="1" t="str">
        <f>VLOOKUP(D555,POSLODAVCI!$A$2:$J$107,9,0)</f>
        <v>Osijek</v>
      </c>
      <c r="I555" s="1" t="str">
        <f>VLOOKUP(D555,Table3[],10,0)</f>
        <v>Reisnerova 84</v>
      </c>
      <c r="J555" s="1" t="s">
        <v>2072</v>
      </c>
      <c r="K555" s="61">
        <v>44729</v>
      </c>
      <c r="L555" s="61">
        <v>45138</v>
      </c>
      <c r="M555" s="182">
        <v>5856418380</v>
      </c>
      <c r="N555" s="16" t="s">
        <v>80</v>
      </c>
      <c r="O555" s="7">
        <v>37329</v>
      </c>
      <c r="P555" s="16"/>
      <c r="Q555" s="16" t="s">
        <v>82</v>
      </c>
      <c r="R555" s="16" t="s">
        <v>2073</v>
      </c>
      <c r="S555" s="17" t="s">
        <v>428</v>
      </c>
      <c r="T555" s="16" t="s">
        <v>84</v>
      </c>
      <c r="U555" s="16"/>
      <c r="V555" s="16" t="s">
        <v>2071</v>
      </c>
      <c r="W555" s="16" t="s">
        <v>2071</v>
      </c>
      <c r="X555" s="56" t="s">
        <v>103</v>
      </c>
      <c r="Y555" s="7"/>
      <c r="Z555" s="16" t="s">
        <v>1817</v>
      </c>
      <c r="AA555" s="16">
        <v>40</v>
      </c>
      <c r="AB555" s="402" t="s">
        <v>2074</v>
      </c>
      <c r="AC555" s="183"/>
      <c r="AD555" s="16"/>
      <c r="AE555" s="183"/>
      <c r="AF555" s="16"/>
      <c r="AG555" s="16"/>
      <c r="AH555" s="16" t="s">
        <v>94</v>
      </c>
      <c r="AI555" s="16"/>
      <c r="AJ555" s="16"/>
      <c r="AK555" s="16"/>
      <c r="AL555" s="16" t="s">
        <v>428</v>
      </c>
      <c r="AM555" s="402" t="s">
        <v>2075</v>
      </c>
      <c r="AN555" s="184">
        <v>1</v>
      </c>
      <c r="AQ555" s="16"/>
      <c r="AR555" s="16"/>
      <c r="AS555" s="16"/>
      <c r="AT555" s="16"/>
      <c r="AU555" s="16"/>
      <c r="AV555" s="16"/>
      <c r="AW555" s="7"/>
      <c r="AX555" s="16"/>
      <c r="AY555" s="16"/>
      <c r="AZ555" s="16" t="s">
        <v>255</v>
      </c>
      <c r="BA555" s="16">
        <v>1</v>
      </c>
    </row>
    <row r="556" spans="1:53" ht="15.5">
      <c r="A556" s="273">
        <v>96</v>
      </c>
      <c r="B556" s="273" t="str">
        <f t="shared" si="30"/>
        <v>NEAKTIVAN</v>
      </c>
      <c r="C556" s="362">
        <f t="shared" si="31"/>
        <v>554</v>
      </c>
      <c r="D556" s="420">
        <v>36</v>
      </c>
      <c r="E556" s="1" t="str">
        <f>VLOOKUP(D556,Table3[[#All],[RB]:[OIB]],2,0)</f>
        <v>Vital Group d.o.o.</v>
      </c>
      <c r="F556" s="4">
        <f>VLOOKUP(D556,Table3[],3,0)</f>
        <v>45575918003</v>
      </c>
      <c r="G556" s="1" t="str">
        <f>VLOOKUP(D556,Table3[],4,0)</f>
        <v>Balázs Kulcsár</v>
      </c>
      <c r="H556" s="1" t="str">
        <f>VLOOKUP(D556,POSLODAVCI!$A$2:$J$107,9,0)</f>
        <v>Osijek</v>
      </c>
      <c r="I556" s="1" t="str">
        <f>VLOOKUP(D556,Table3[],10,0)</f>
        <v>Ribarska 10</v>
      </c>
      <c r="J556" s="420" t="s">
        <v>2029</v>
      </c>
      <c r="K556" s="421">
        <v>44984</v>
      </c>
      <c r="L556" s="421">
        <v>45012</v>
      </c>
      <c r="M556" s="89" t="s">
        <v>2030</v>
      </c>
      <c r="N556" t="s">
        <v>89</v>
      </c>
      <c r="O556" s="7">
        <v>33146</v>
      </c>
      <c r="P556" t="s">
        <v>2031</v>
      </c>
      <c r="Q556" t="s">
        <v>82</v>
      </c>
      <c r="R556" t="s">
        <v>2032</v>
      </c>
      <c r="S556" s="5" t="s">
        <v>83</v>
      </c>
      <c r="T556" t="s">
        <v>84</v>
      </c>
      <c r="V556" t="s">
        <v>1921</v>
      </c>
      <c r="W556" t="s">
        <v>1921</v>
      </c>
      <c r="X556" s="306" t="s">
        <v>103</v>
      </c>
      <c r="Y556" s="7"/>
      <c r="Z556" s="16" t="s">
        <v>1817</v>
      </c>
      <c r="AA556">
        <v>40</v>
      </c>
      <c r="AB556" t="s">
        <v>2033</v>
      </c>
      <c r="AC556" s="183"/>
      <c r="AE556" s="183"/>
      <c r="AH556" t="s">
        <v>94</v>
      </c>
      <c r="AL556" t="s">
        <v>83</v>
      </c>
      <c r="AM556" s="422">
        <v>700</v>
      </c>
      <c r="AN556" s="184">
        <v>1</v>
      </c>
      <c r="AO556" s="15">
        <v>560</v>
      </c>
      <c r="AW556" s="7"/>
      <c r="AZ556" t="s">
        <v>374</v>
      </c>
      <c r="BA556">
        <v>96</v>
      </c>
    </row>
    <row r="557" spans="1:53" ht="15.5">
      <c r="A557" s="273">
        <v>97</v>
      </c>
      <c r="B557" s="273" t="str">
        <f t="shared" si="30"/>
        <v>NEAKTIVAN</v>
      </c>
      <c r="C557" s="362">
        <f t="shared" si="31"/>
        <v>555</v>
      </c>
      <c r="D557" s="420">
        <v>36</v>
      </c>
      <c r="E557" s="1" t="str">
        <f>VLOOKUP(D557,Table3[[#All],[RB]:[OIB]],2,0)</f>
        <v>Vital Group d.o.o.</v>
      </c>
      <c r="F557" s="4">
        <f>VLOOKUP(D557,Table3[],3,0)</f>
        <v>45575918003</v>
      </c>
      <c r="G557" s="1" t="str">
        <f>VLOOKUP(D557,Table3[],4,0)</f>
        <v>Balázs Kulcsár</v>
      </c>
      <c r="H557" s="1" t="str">
        <f>VLOOKUP(D557,POSLODAVCI!$A$2:$J$107,9,0)</f>
        <v>Osijek</v>
      </c>
      <c r="I557" s="1" t="str">
        <f>VLOOKUP(D557,Table3[],10,0)</f>
        <v>Ribarska 10</v>
      </c>
      <c r="J557" s="420" t="s">
        <v>2034</v>
      </c>
      <c r="K557" s="421">
        <v>44984</v>
      </c>
      <c r="L557" s="61">
        <v>45190</v>
      </c>
      <c r="M557" s="182">
        <v>94040512500</v>
      </c>
      <c r="N557" t="s">
        <v>89</v>
      </c>
      <c r="O557" s="7">
        <v>28604</v>
      </c>
      <c r="P557" t="s">
        <v>94</v>
      </c>
      <c r="Q557" t="s">
        <v>82</v>
      </c>
      <c r="R557" t="s">
        <v>2035</v>
      </c>
      <c r="S557" s="5" t="s">
        <v>83</v>
      </c>
      <c r="T557" t="s">
        <v>84</v>
      </c>
      <c r="V557" t="s">
        <v>1921</v>
      </c>
      <c r="W557" t="s">
        <v>1921</v>
      </c>
      <c r="X557" s="306" t="s">
        <v>103</v>
      </c>
      <c r="Y557" s="7"/>
      <c r="Z557" s="16" t="s">
        <v>1817</v>
      </c>
      <c r="AA557">
        <v>40</v>
      </c>
      <c r="AB557" t="s">
        <v>2036</v>
      </c>
      <c r="AC557" s="183"/>
      <c r="AE557" s="183"/>
      <c r="AH557" t="s">
        <v>94</v>
      </c>
      <c r="AL557" t="s">
        <v>83</v>
      </c>
      <c r="AM557" s="422">
        <v>700</v>
      </c>
      <c r="AN557" s="184">
        <v>1</v>
      </c>
      <c r="AO557" s="15">
        <v>560</v>
      </c>
      <c r="AW557" s="7"/>
      <c r="AZ557" t="s">
        <v>374</v>
      </c>
      <c r="BA557">
        <v>97</v>
      </c>
    </row>
    <row r="558" spans="1:53" ht="15.5">
      <c r="A558" s="273">
        <v>98</v>
      </c>
      <c r="B558" s="273" t="str">
        <f t="shared" si="30"/>
        <v>NEAKTIVAN</v>
      </c>
      <c r="C558" s="362">
        <f t="shared" si="31"/>
        <v>556</v>
      </c>
      <c r="D558" s="420">
        <v>36</v>
      </c>
      <c r="E558" s="1" t="str">
        <f>VLOOKUP(D558,Table3[[#All],[RB]:[OIB]],2,0)</f>
        <v>Vital Group d.o.o.</v>
      </c>
      <c r="F558" s="4">
        <f>VLOOKUP(D558,Table3[],3,0)</f>
        <v>45575918003</v>
      </c>
      <c r="G558" s="1" t="str">
        <f>VLOOKUP(D558,Table3[],4,0)</f>
        <v>Balázs Kulcsár</v>
      </c>
      <c r="H558" s="1" t="str">
        <f>VLOOKUP(D558,POSLODAVCI!$A$2:$J$107,9,0)</f>
        <v>Osijek</v>
      </c>
      <c r="I558" s="1" t="str">
        <f>VLOOKUP(D558,Table3[],10,0)</f>
        <v>Ribarska 10</v>
      </c>
      <c r="J558" s="420" t="s">
        <v>2037</v>
      </c>
      <c r="K558" s="421">
        <v>44984</v>
      </c>
      <c r="L558" s="421">
        <v>45232</v>
      </c>
      <c r="M558" s="182">
        <v>62728673650</v>
      </c>
      <c r="N558" t="s">
        <v>89</v>
      </c>
      <c r="O558" s="7">
        <v>37342</v>
      </c>
      <c r="P558" t="s">
        <v>94</v>
      </c>
      <c r="Q558" t="s">
        <v>82</v>
      </c>
      <c r="R558" t="s">
        <v>2038</v>
      </c>
      <c r="S558" s="5" t="s">
        <v>83</v>
      </c>
      <c r="T558" t="s">
        <v>84</v>
      </c>
      <c r="V558" t="s">
        <v>1921</v>
      </c>
      <c r="W558" t="s">
        <v>1921</v>
      </c>
      <c r="X558" s="306" t="s">
        <v>103</v>
      </c>
      <c r="Y558" s="7"/>
      <c r="Z558" s="16" t="s">
        <v>1817</v>
      </c>
      <c r="AA558">
        <v>40</v>
      </c>
      <c r="AB558" t="s">
        <v>2039</v>
      </c>
      <c r="AC558" s="183"/>
      <c r="AE558" s="183"/>
      <c r="AH558" t="s">
        <v>94</v>
      </c>
      <c r="AL558" t="s">
        <v>83</v>
      </c>
      <c r="AM558" s="422">
        <v>700</v>
      </c>
      <c r="AN558" s="184">
        <v>1</v>
      </c>
      <c r="AO558" s="15">
        <v>560</v>
      </c>
      <c r="AW558" s="7"/>
      <c r="AZ558" t="s">
        <v>2366</v>
      </c>
      <c r="BA558">
        <v>98</v>
      </c>
    </row>
    <row r="559" spans="1:53" ht="15.5">
      <c r="A559" s="273">
        <v>74</v>
      </c>
      <c r="B559" s="273" t="str">
        <f t="shared" si="30"/>
        <v>AKTIVAN</v>
      </c>
      <c r="C559" s="362">
        <f t="shared" si="31"/>
        <v>557</v>
      </c>
      <c r="D559" s="420">
        <v>42</v>
      </c>
      <c r="E559" s="1" t="str">
        <f>VLOOKUP(D559,Table3[[#All],[RB]:[OIB]],2,0)</f>
        <v>VR consulting</v>
      </c>
      <c r="F559" s="4">
        <f>VLOOKUP(D559,Table3[],3,0)</f>
        <v>24279864703</v>
      </c>
      <c r="G559" s="1" t="str">
        <f>VLOOKUP(D559,Table3[],4,0)</f>
        <v>Robert Verebi</v>
      </c>
      <c r="H559" s="1" t="str">
        <f>VLOOKUP(D559,POSLODAVCI!$A$2:$J$107,9,0)</f>
        <v>Bilje</v>
      </c>
      <c r="I559" s="1" t="str">
        <f>VLOOKUP(D559,Table3[],10,0)</f>
        <v>Kralja Zvonimira 61, Bilje</v>
      </c>
      <c r="J559" s="420" t="s">
        <v>2040</v>
      </c>
      <c r="K559" s="421">
        <v>44986</v>
      </c>
      <c r="L559" s="421"/>
      <c r="M559" s="182">
        <v>71037870397</v>
      </c>
      <c r="N559" t="s">
        <v>80</v>
      </c>
      <c r="O559" s="7">
        <v>29772</v>
      </c>
      <c r="P559" t="s">
        <v>2041</v>
      </c>
      <c r="Q559" t="s">
        <v>2042</v>
      </c>
      <c r="R559" t="s">
        <v>2043</v>
      </c>
      <c r="S559" s="5" t="s">
        <v>428</v>
      </c>
      <c r="T559" t="s">
        <v>111</v>
      </c>
      <c r="V559" t="s">
        <v>93</v>
      </c>
      <c r="W559" t="s">
        <v>93</v>
      </c>
      <c r="X559" s="306" t="s">
        <v>103</v>
      </c>
      <c r="Y559" s="7"/>
      <c r="Z559" s="16" t="s">
        <v>1894</v>
      </c>
      <c r="AA559">
        <v>10</v>
      </c>
      <c r="AC559" s="183"/>
      <c r="AE559" s="183"/>
      <c r="AH559" t="s">
        <v>81</v>
      </c>
      <c r="AL559" t="s">
        <v>83</v>
      </c>
      <c r="AM559" s="422">
        <v>1421.22</v>
      </c>
      <c r="AN559" s="184">
        <v>1</v>
      </c>
      <c r="AO559" s="15">
        <v>1000</v>
      </c>
      <c r="AW559" s="7"/>
    </row>
    <row r="560" spans="1:53" ht="15.5">
      <c r="A560" s="273">
        <v>74</v>
      </c>
      <c r="B560" s="273" t="str">
        <f t="shared" si="30"/>
        <v>AKTIVAN</v>
      </c>
      <c r="C560" s="362">
        <f t="shared" ref="C560:C623" si="32">C559+1</f>
        <v>558</v>
      </c>
      <c r="D560" s="1">
        <v>42</v>
      </c>
      <c r="E560" s="1" t="str">
        <f>VLOOKUP(D560,Table3[[#All],[RB]:[OIB]],2,0)</f>
        <v>VR consulting</v>
      </c>
      <c r="F560" s="4">
        <f>VLOOKUP(D560,Table3[],3,0)</f>
        <v>24279864703</v>
      </c>
      <c r="G560" s="1" t="str">
        <f>VLOOKUP(D560,Table3[],4,0)</f>
        <v>Robert Verebi</v>
      </c>
      <c r="H560" s="1" t="str">
        <f>VLOOKUP(D560,POSLODAVCI!$A$2:$J$107,9,0)</f>
        <v>Bilje</v>
      </c>
      <c r="I560" s="1" t="str">
        <f>VLOOKUP(D560,Table3[],10,0)</f>
        <v>Kralja Zvonimira 61, Bilje</v>
      </c>
      <c r="J560" s="1" t="s">
        <v>2044</v>
      </c>
      <c r="K560" s="61">
        <v>44986</v>
      </c>
      <c r="L560" s="61"/>
      <c r="M560" s="182">
        <v>72940010593</v>
      </c>
      <c r="N560" s="16" t="s">
        <v>89</v>
      </c>
      <c r="O560" s="7">
        <v>28844</v>
      </c>
      <c r="P560" s="16" t="s">
        <v>2046</v>
      </c>
      <c r="Q560" s="16" t="s">
        <v>2042</v>
      </c>
      <c r="R560" s="16" t="s">
        <v>2047</v>
      </c>
      <c r="S560" s="17" t="s">
        <v>428</v>
      </c>
      <c r="T560" s="16" t="s">
        <v>2048</v>
      </c>
      <c r="U560" s="16"/>
      <c r="V560" s="16" t="s">
        <v>2049</v>
      </c>
      <c r="W560" s="16" t="s">
        <v>2049</v>
      </c>
      <c r="X560" s="56" t="s">
        <v>103</v>
      </c>
      <c r="Y560" s="7"/>
      <c r="Z560" s="16" t="s">
        <v>1894</v>
      </c>
      <c r="AA560" s="16">
        <v>10</v>
      </c>
      <c r="AB560" s="16"/>
      <c r="AC560" s="183"/>
      <c r="AD560" s="16"/>
      <c r="AE560" s="183"/>
      <c r="AF560" s="16"/>
      <c r="AG560" s="16"/>
      <c r="AH560" s="16" t="s">
        <v>829</v>
      </c>
      <c r="AI560" s="16"/>
      <c r="AJ560" s="16"/>
      <c r="AK560" s="16"/>
      <c r="AL560" s="16" t="s">
        <v>428</v>
      </c>
      <c r="AM560" s="90">
        <v>1421.22</v>
      </c>
      <c r="AN560" s="184">
        <v>1</v>
      </c>
      <c r="AO560" s="15">
        <v>1000</v>
      </c>
      <c r="AQ560" s="16"/>
      <c r="AR560" s="16"/>
      <c r="AS560" s="16"/>
      <c r="AT560" s="16"/>
      <c r="AU560" s="16"/>
      <c r="AV560" s="16"/>
      <c r="AW560" s="7"/>
      <c r="AX560" s="16"/>
      <c r="AY560" s="16"/>
      <c r="AZ560" s="16"/>
      <c r="BA560" s="16"/>
    </row>
    <row r="561" spans="1:53" ht="15.5">
      <c r="A561" s="273">
        <v>74</v>
      </c>
      <c r="B561" s="273" t="str">
        <f t="shared" si="30"/>
        <v>AKTIVAN</v>
      </c>
      <c r="C561" s="362">
        <f t="shared" si="32"/>
        <v>559</v>
      </c>
      <c r="D561" s="420">
        <v>43</v>
      </c>
      <c r="E561" s="1" t="str">
        <f>VLOOKUP(D561,Table3[[#All],[RB]:[OIB]],2,0)</f>
        <v>MANEVI Jagera d.o.o.</v>
      </c>
      <c r="F561" s="4">
        <f>VLOOKUP(D561,Table3[],3,0)</f>
        <v>69769519663</v>
      </c>
      <c r="G561" s="1" t="str">
        <f>VLOOKUP(D561,Table3[],4,0)</f>
        <v>Dénes Kövári</v>
      </c>
      <c r="H561" s="1" t="str">
        <f>VLOOKUP(D561,POSLODAVCI!$A$2:$J$107,9,0)</f>
        <v>Osijek</v>
      </c>
      <c r="I561" s="1" t="str">
        <f>VLOOKUP(D561,Table3[],10,0)</f>
        <v>Ulica Lorenza Jägera 2</v>
      </c>
      <c r="J561" s="420" t="s">
        <v>2050</v>
      </c>
      <c r="K561" s="421">
        <v>44986</v>
      </c>
      <c r="L561" s="421"/>
      <c r="M561" s="182">
        <v>23459141437</v>
      </c>
      <c r="N561" t="s">
        <v>80</v>
      </c>
      <c r="O561" s="7">
        <v>31232</v>
      </c>
      <c r="P561" t="s">
        <v>1679</v>
      </c>
      <c r="Q561" t="s">
        <v>82</v>
      </c>
      <c r="R561" t="s">
        <v>2051</v>
      </c>
      <c r="S561" s="5" t="s">
        <v>428</v>
      </c>
      <c r="T561" t="s">
        <v>84</v>
      </c>
      <c r="V561" t="s">
        <v>2052</v>
      </c>
      <c r="W561" t="s">
        <v>2052</v>
      </c>
      <c r="X561" s="306" t="s">
        <v>85</v>
      </c>
      <c r="Y561" s="7">
        <v>45170</v>
      </c>
      <c r="Z561" s="16" t="s">
        <v>1817</v>
      </c>
      <c r="AA561">
        <v>40</v>
      </c>
      <c r="AB561" t="s">
        <v>2053</v>
      </c>
      <c r="AC561" s="183"/>
      <c r="AE561" s="183"/>
      <c r="AH561" t="s">
        <v>1679</v>
      </c>
      <c r="AL561" t="s">
        <v>428</v>
      </c>
      <c r="AM561" s="424">
        <v>1162.22</v>
      </c>
      <c r="AN561" s="184">
        <v>1</v>
      </c>
      <c r="AO561" s="15">
        <v>700</v>
      </c>
      <c r="AP561" s="15">
        <v>59.99</v>
      </c>
      <c r="AW561" s="7"/>
      <c r="AZ561" t="s">
        <v>374</v>
      </c>
      <c r="BA561">
        <v>30</v>
      </c>
    </row>
    <row r="562" spans="1:53" ht="15.5">
      <c r="A562" s="273">
        <v>74</v>
      </c>
      <c r="B562" s="273" t="str">
        <f t="shared" si="30"/>
        <v>AKTIVAN</v>
      </c>
      <c r="C562" s="362">
        <f t="shared" si="32"/>
        <v>560</v>
      </c>
      <c r="D562" s="420">
        <v>43</v>
      </c>
      <c r="E562" s="1" t="str">
        <f>VLOOKUP(D562,Table3[[#All],[RB]:[OIB]],2,0)</f>
        <v>MANEVI Jagera d.o.o.</v>
      </c>
      <c r="F562" s="4">
        <f>VLOOKUP(D562,Table3[],3,0)</f>
        <v>69769519663</v>
      </c>
      <c r="G562" s="1" t="str">
        <f>VLOOKUP(D562,Table3[],4,0)</f>
        <v>Dénes Kövári</v>
      </c>
      <c r="H562" s="1" t="str">
        <f>VLOOKUP(D562,POSLODAVCI!$A$2:$J$107,9,0)</f>
        <v>Osijek</v>
      </c>
      <c r="I562" s="1" t="str">
        <f>VLOOKUP(D562,Table3[],10,0)</f>
        <v>Ulica Lorenza Jägera 2</v>
      </c>
      <c r="J562" s="420" t="s">
        <v>2054</v>
      </c>
      <c r="K562" s="421">
        <v>44987</v>
      </c>
      <c r="L562" s="421"/>
      <c r="M562" s="89" t="s">
        <v>2055</v>
      </c>
      <c r="N562" t="s">
        <v>80</v>
      </c>
      <c r="O562" s="7">
        <v>26531</v>
      </c>
      <c r="P562" t="s">
        <v>1702</v>
      </c>
      <c r="Q562" t="s">
        <v>82</v>
      </c>
      <c r="R562" t="s">
        <v>2056</v>
      </c>
      <c r="S562" s="5" t="s">
        <v>428</v>
      </c>
      <c r="T562" t="s">
        <v>84</v>
      </c>
      <c r="V562" t="s">
        <v>1686</v>
      </c>
      <c r="W562" t="s">
        <v>1686</v>
      </c>
      <c r="X562" s="306" t="s">
        <v>85</v>
      </c>
      <c r="Y562" s="7">
        <v>45171</v>
      </c>
      <c r="Z562" s="16" t="s">
        <v>1817</v>
      </c>
      <c r="AA562">
        <v>40</v>
      </c>
      <c r="AB562" t="s">
        <v>2057</v>
      </c>
      <c r="AC562" s="183"/>
      <c r="AE562" s="183"/>
      <c r="AH562" t="s">
        <v>1679</v>
      </c>
      <c r="AL562" t="s">
        <v>428</v>
      </c>
      <c r="AM562" s="424">
        <v>1178.97</v>
      </c>
      <c r="AN562" s="184">
        <v>1</v>
      </c>
      <c r="AO562" s="15">
        <v>700</v>
      </c>
      <c r="AP562" s="15">
        <v>75.650000000000006</v>
      </c>
      <c r="AW562" s="7"/>
      <c r="AZ562" t="s">
        <v>374</v>
      </c>
      <c r="BA562">
        <v>31</v>
      </c>
    </row>
    <row r="563" spans="1:53" ht="15.5">
      <c r="A563" s="273">
        <v>74</v>
      </c>
      <c r="B563" s="273" t="str">
        <f t="shared" si="30"/>
        <v>AKTIVAN</v>
      </c>
      <c r="C563" s="362">
        <f t="shared" si="32"/>
        <v>561</v>
      </c>
      <c r="D563" s="420">
        <v>43</v>
      </c>
      <c r="E563" s="1" t="str">
        <f>VLOOKUP(D563,Table3[[#All],[RB]:[OIB]],2,0)</f>
        <v>MANEVI Jagera d.o.o.</v>
      </c>
      <c r="F563" s="4">
        <f>VLOOKUP(D563,Table3[],3,0)</f>
        <v>69769519663</v>
      </c>
      <c r="G563" s="1" t="str">
        <f>VLOOKUP(D563,Table3[],4,0)</f>
        <v>Dénes Kövári</v>
      </c>
      <c r="H563" s="1" t="str">
        <f>VLOOKUP(D563,POSLODAVCI!$A$2:$J$107,9,0)</f>
        <v>Osijek</v>
      </c>
      <c r="I563" s="1" t="str">
        <f>VLOOKUP(D563,Table3[],10,0)</f>
        <v>Ulica Lorenza Jägera 2</v>
      </c>
      <c r="J563" s="420" t="s">
        <v>2058</v>
      </c>
      <c r="K563" s="421">
        <v>44986</v>
      </c>
      <c r="L563" s="421"/>
      <c r="M563" s="182">
        <v>82717874604</v>
      </c>
      <c r="N563" t="s">
        <v>80</v>
      </c>
      <c r="O563" s="7">
        <v>30598</v>
      </c>
      <c r="P563" t="s">
        <v>1702</v>
      </c>
      <c r="Q563" t="s">
        <v>82</v>
      </c>
      <c r="R563" t="s">
        <v>2059</v>
      </c>
      <c r="S563" s="5" t="s">
        <v>428</v>
      </c>
      <c r="T563" t="s">
        <v>84</v>
      </c>
      <c r="V563" t="s">
        <v>2060</v>
      </c>
      <c r="W563" t="s">
        <v>2060</v>
      </c>
      <c r="X563" s="306" t="s">
        <v>85</v>
      </c>
      <c r="Y563" s="7">
        <v>45170</v>
      </c>
      <c r="Z563" s="16" t="s">
        <v>1817</v>
      </c>
      <c r="AA563">
        <v>40</v>
      </c>
      <c r="AB563" t="s">
        <v>2061</v>
      </c>
      <c r="AC563" s="183"/>
      <c r="AE563" s="183"/>
      <c r="AH563" t="s">
        <v>1679</v>
      </c>
      <c r="AL563" t="s">
        <v>428</v>
      </c>
      <c r="AM563" s="424">
        <v>1098.22</v>
      </c>
      <c r="AN563" s="184">
        <v>1</v>
      </c>
      <c r="AO563" s="15">
        <v>700</v>
      </c>
      <c r="AP563" s="15">
        <v>75.650000000000006</v>
      </c>
      <c r="AW563" s="7"/>
      <c r="AZ563" t="s">
        <v>374</v>
      </c>
      <c r="BA563">
        <v>32</v>
      </c>
    </row>
    <row r="564" spans="1:53" ht="15.5">
      <c r="A564" s="273">
        <v>2</v>
      </c>
      <c r="B564" s="273" t="str">
        <f t="shared" si="30"/>
        <v>AKTIVAN</v>
      </c>
      <c r="C564" s="362">
        <f t="shared" si="32"/>
        <v>562</v>
      </c>
      <c r="D564" s="1">
        <v>50</v>
      </c>
      <c r="E564" s="1" t="str">
        <f>VLOOKUP(D564,Table3[[#All],[RB]:[OIB]],2,0)</f>
        <v>SKIN BEAUTY VL. IVONA JOZIĆ</v>
      </c>
      <c r="F564" s="4">
        <f>VLOOKUP(D564,Table3[],3,0)</f>
        <v>37037018122</v>
      </c>
      <c r="G564" s="1" t="str">
        <f>VLOOKUP(D564,Table3[],4,0)</f>
        <v>Ivona Jozić</v>
      </c>
      <c r="H564" s="1" t="str">
        <f>VLOOKUP(D564,POSLODAVCI!$A$2:$J$107,9,0)</f>
        <v>Osijek</v>
      </c>
      <c r="I564" s="1" t="str">
        <f>VLOOKUP(D564,Table3[],10,0)</f>
        <v>Reisnerova 84</v>
      </c>
      <c r="J564" s="1" t="s">
        <v>2076</v>
      </c>
      <c r="K564" s="61">
        <v>43791</v>
      </c>
      <c r="L564" s="61"/>
      <c r="M564" s="402">
        <v>37037018122</v>
      </c>
      <c r="N564" s="16" t="s">
        <v>80</v>
      </c>
      <c r="O564" s="7">
        <v>31678</v>
      </c>
      <c r="P564" s="16"/>
      <c r="Q564" s="16" t="s">
        <v>82</v>
      </c>
      <c r="R564" s="16" t="s">
        <v>2068</v>
      </c>
      <c r="S564" s="17" t="s">
        <v>428</v>
      </c>
      <c r="T564" s="16" t="s">
        <v>84</v>
      </c>
      <c r="U564" s="16"/>
      <c r="V564" s="16" t="s">
        <v>2077</v>
      </c>
      <c r="W564" s="16" t="s">
        <v>2077</v>
      </c>
      <c r="X564" s="56" t="s">
        <v>103</v>
      </c>
      <c r="Y564" s="7"/>
      <c r="Z564" s="16" t="s">
        <v>1817</v>
      </c>
      <c r="AA564" s="16">
        <v>40</v>
      </c>
      <c r="AB564" s="426" t="s">
        <v>2078</v>
      </c>
      <c r="AC564" s="183"/>
      <c r="AD564" s="16"/>
      <c r="AE564" s="183"/>
      <c r="AF564" s="16"/>
      <c r="AG564" s="16"/>
      <c r="AH564" s="16" t="s">
        <v>94</v>
      </c>
      <c r="AI564" s="16"/>
      <c r="AJ564" s="16"/>
      <c r="AK564" s="16"/>
      <c r="AL564" s="16" t="s">
        <v>428</v>
      </c>
      <c r="AM564" s="90">
        <v>888.67</v>
      </c>
      <c r="AN564" s="184">
        <v>1</v>
      </c>
      <c r="AQ564" s="16"/>
      <c r="AR564" s="16"/>
      <c r="AS564" s="16"/>
      <c r="AT564" s="16"/>
      <c r="AU564" s="16"/>
      <c r="AV564" s="16"/>
      <c r="AW564" s="7"/>
      <c r="AX564" s="16"/>
      <c r="AY564" s="16"/>
      <c r="AZ564" s="16" t="s">
        <v>374</v>
      </c>
      <c r="BA564" s="16">
        <v>2</v>
      </c>
    </row>
    <row r="565" spans="1:53">
      <c r="A565" s="273">
        <v>3</v>
      </c>
      <c r="B565" s="273" t="str">
        <f t="shared" si="30"/>
        <v>AKTIVAN</v>
      </c>
      <c r="C565" s="362">
        <f t="shared" si="32"/>
        <v>563</v>
      </c>
      <c r="D565" s="1">
        <v>50</v>
      </c>
      <c r="E565" s="1" t="str">
        <f>VLOOKUP(D565,Table3[[#All],[RB]:[OIB]],2,0)</f>
        <v>SKIN BEAUTY VL. IVONA JOZIĆ</v>
      </c>
      <c r="F565" s="4">
        <f>VLOOKUP(D565,Table3[],3,0)</f>
        <v>37037018122</v>
      </c>
      <c r="G565" s="1" t="str">
        <f>VLOOKUP(D565,Table3[],4,0)</f>
        <v>Ivona Jozić</v>
      </c>
      <c r="H565" s="1" t="str">
        <f>VLOOKUP(D565,POSLODAVCI!$A$2:$J$107,9,0)</f>
        <v>Osijek</v>
      </c>
      <c r="I565" s="1" t="str">
        <f>VLOOKUP(D565,Table3[],10,0)</f>
        <v>Reisnerova 84</v>
      </c>
      <c r="J565" s="1" t="s">
        <v>2079</v>
      </c>
      <c r="K565" s="61">
        <v>43815</v>
      </c>
      <c r="L565" s="61"/>
      <c r="M565" s="182">
        <v>52019466309</v>
      </c>
      <c r="N565" s="16" t="s">
        <v>80</v>
      </c>
      <c r="O565" s="7">
        <v>31127</v>
      </c>
      <c r="P565" s="16" t="s">
        <v>94</v>
      </c>
      <c r="Q565" s="16" t="s">
        <v>82</v>
      </c>
      <c r="R565" s="16" t="s">
        <v>2080</v>
      </c>
      <c r="S565" s="17" t="s">
        <v>428</v>
      </c>
      <c r="T565" s="16" t="s">
        <v>84</v>
      </c>
      <c r="U565" s="16"/>
      <c r="V565" s="16" t="s">
        <v>2071</v>
      </c>
      <c r="W565" s="16" t="s">
        <v>2071</v>
      </c>
      <c r="X565" s="56" t="s">
        <v>103</v>
      </c>
      <c r="Y565" s="7"/>
      <c r="Z565" s="16" t="s">
        <v>1817</v>
      </c>
      <c r="AA565" s="16">
        <v>40</v>
      </c>
      <c r="AB565" s="402" t="s">
        <v>2081</v>
      </c>
      <c r="AC565" s="183"/>
      <c r="AD565" s="16"/>
      <c r="AE565" s="183"/>
      <c r="AF565" s="16"/>
      <c r="AG565" s="16"/>
      <c r="AH565" s="16" t="s">
        <v>94</v>
      </c>
      <c r="AI565" s="16"/>
      <c r="AJ565" s="16"/>
      <c r="AK565" s="16"/>
      <c r="AL565" s="16" t="s">
        <v>428</v>
      </c>
      <c r="AM565" s="402">
        <v>466.67</v>
      </c>
      <c r="AN565" s="184">
        <v>1</v>
      </c>
      <c r="AQ565" s="16"/>
      <c r="AR565" s="16"/>
      <c r="AS565" s="16"/>
      <c r="AT565" s="16"/>
      <c r="AU565" s="16"/>
      <c r="AV565" s="16"/>
      <c r="AW565" s="7"/>
      <c r="AX565" s="16"/>
      <c r="AY565" s="16"/>
      <c r="AZ565" s="16" t="s">
        <v>374</v>
      </c>
      <c r="BA565" s="16">
        <v>3</v>
      </c>
    </row>
    <row r="566" spans="1:53" ht="15.5">
      <c r="A566" s="273">
        <v>4</v>
      </c>
      <c r="B566" s="273" t="str">
        <f t="shared" si="30"/>
        <v>NEAKTIVAN</v>
      </c>
      <c r="C566" s="362">
        <f t="shared" si="32"/>
        <v>564</v>
      </c>
      <c r="D566" s="1">
        <v>50</v>
      </c>
      <c r="E566" s="1" t="str">
        <f>VLOOKUP(D566,Table3[[#All],[RB]:[OIB]],2,0)</f>
        <v>SKIN BEAUTY VL. IVONA JOZIĆ</v>
      </c>
      <c r="F566" s="4">
        <f>VLOOKUP(D566,Table3[],3,0)</f>
        <v>37037018122</v>
      </c>
      <c r="G566" s="1" t="str">
        <f>VLOOKUP(D566,Table3[],4,0)</f>
        <v>Ivona Jozić</v>
      </c>
      <c r="H566" s="1" t="str">
        <f>VLOOKUP(D566,POSLODAVCI!$A$2:$J$107,9,0)</f>
        <v>Osijek</v>
      </c>
      <c r="I566" s="1" t="str">
        <f>VLOOKUP(D566,Table3[],10,0)</f>
        <v>Reisnerova 84</v>
      </c>
      <c r="J566" s="1" t="s">
        <v>2082</v>
      </c>
      <c r="K566" s="61">
        <v>44986</v>
      </c>
      <c r="L566" s="61">
        <v>45014</v>
      </c>
      <c r="M566" s="182">
        <v>79734317902</v>
      </c>
      <c r="N566" s="16" t="s">
        <v>80</v>
      </c>
      <c r="O566" s="7">
        <v>36180</v>
      </c>
      <c r="P566" s="16" t="s">
        <v>94</v>
      </c>
      <c r="Q566" s="16" t="s">
        <v>82</v>
      </c>
      <c r="R566" s="16" t="s">
        <v>2083</v>
      </c>
      <c r="S566" s="17" t="s">
        <v>83</v>
      </c>
      <c r="T566" s="16" t="s">
        <v>84</v>
      </c>
      <c r="U566" s="16"/>
      <c r="V566" s="16" t="s">
        <v>2071</v>
      </c>
      <c r="W566" s="16" t="s">
        <v>2071</v>
      </c>
      <c r="X566" s="56" t="s">
        <v>103</v>
      </c>
      <c r="Y566" s="7"/>
      <c r="Z566" s="16" t="s">
        <v>1817</v>
      </c>
      <c r="AA566" s="16">
        <v>40</v>
      </c>
      <c r="AB566" s="16" t="s">
        <v>2084</v>
      </c>
      <c r="AC566" s="183"/>
      <c r="AD566" s="16"/>
      <c r="AE566" s="183"/>
      <c r="AF566" s="16"/>
      <c r="AG566" s="16"/>
      <c r="AH566" s="16" t="s">
        <v>94</v>
      </c>
      <c r="AI566" s="16"/>
      <c r="AJ566" s="16"/>
      <c r="AK566" s="16"/>
      <c r="AL566" s="16" t="s">
        <v>428</v>
      </c>
      <c r="AM566" s="90">
        <v>700</v>
      </c>
      <c r="AN566" s="184">
        <v>1</v>
      </c>
      <c r="AQ566" s="16"/>
      <c r="AR566" s="16"/>
      <c r="AS566" s="16"/>
      <c r="AT566" s="16"/>
      <c r="AU566" s="16"/>
      <c r="AV566" s="16"/>
      <c r="AW566" s="7"/>
      <c r="AX566" s="16"/>
      <c r="AY566" s="16"/>
      <c r="AZ566" s="16" t="s">
        <v>374</v>
      </c>
      <c r="BA566" s="16">
        <v>4</v>
      </c>
    </row>
    <row r="567" spans="1:53" ht="15.5">
      <c r="A567" s="273">
        <v>74</v>
      </c>
      <c r="B567" s="273" t="str">
        <f t="shared" si="30"/>
        <v>AKTIVAN</v>
      </c>
      <c r="C567" s="362">
        <f t="shared" si="32"/>
        <v>565</v>
      </c>
      <c r="D567" s="420">
        <v>43</v>
      </c>
      <c r="E567" s="1" t="str">
        <f>VLOOKUP(D567,Table3[[#All],[RB]:[OIB]],2,0)</f>
        <v>MANEVI Jagera d.o.o.</v>
      </c>
      <c r="F567" s="4">
        <f>VLOOKUP(D567,Table3[],3,0)</f>
        <v>69769519663</v>
      </c>
      <c r="G567" s="1" t="str">
        <f>VLOOKUP(D567,Table3[],4,0)</f>
        <v>Dénes Kövári</v>
      </c>
      <c r="H567" s="1" t="str">
        <f>VLOOKUP(D567,POSLODAVCI!$A$2:$J$107,9,0)</f>
        <v>Osijek</v>
      </c>
      <c r="I567" s="1" t="str">
        <f>VLOOKUP(D567,Table3[],10,0)</f>
        <v>Ulica Lorenza Jägera 2</v>
      </c>
      <c r="J567" s="420" t="s">
        <v>2086</v>
      </c>
      <c r="K567" s="421">
        <v>44987</v>
      </c>
      <c r="L567" s="421"/>
      <c r="M567" s="182">
        <v>61092319401</v>
      </c>
      <c r="N567" t="s">
        <v>80</v>
      </c>
      <c r="O567" s="7">
        <v>22858</v>
      </c>
      <c r="P567" t="s">
        <v>1679</v>
      </c>
      <c r="Q567" t="s">
        <v>82</v>
      </c>
      <c r="R567" t="s">
        <v>1680</v>
      </c>
      <c r="S567" s="5" t="s">
        <v>428</v>
      </c>
      <c r="T567" t="s">
        <v>84</v>
      </c>
      <c r="V567" t="s">
        <v>2052</v>
      </c>
      <c r="W567" t="s">
        <v>2052</v>
      </c>
      <c r="X567" s="306" t="s">
        <v>85</v>
      </c>
      <c r="Y567" s="7">
        <v>45018</v>
      </c>
      <c r="Z567" s="16" t="s">
        <v>1894</v>
      </c>
      <c r="AA567">
        <v>20</v>
      </c>
      <c r="AB567" t="s">
        <v>2087</v>
      </c>
      <c r="AC567" s="183"/>
      <c r="AE567" s="183"/>
      <c r="AH567" t="s">
        <v>1679</v>
      </c>
      <c r="AL567" t="s">
        <v>83</v>
      </c>
      <c r="AM567" s="422">
        <v>1318.47</v>
      </c>
      <c r="AN567" s="184">
        <v>1</v>
      </c>
      <c r="AO567" s="15">
        <v>530.89</v>
      </c>
      <c r="AW567" s="7"/>
      <c r="AZ567" t="s">
        <v>374</v>
      </c>
      <c r="BA567">
        <v>33</v>
      </c>
    </row>
    <row r="568" spans="1:53" ht="15.5">
      <c r="A568" s="273">
        <v>99</v>
      </c>
      <c r="B568" s="273" t="str">
        <f t="shared" si="30"/>
        <v>NEAKTIVAN</v>
      </c>
      <c r="C568" s="362">
        <f t="shared" si="32"/>
        <v>566</v>
      </c>
      <c r="D568" s="420">
        <v>36</v>
      </c>
      <c r="E568" s="1" t="str">
        <f>VLOOKUP(D568,Table3[[#All],[RB]:[OIB]],2,0)</f>
        <v>Vital Group d.o.o.</v>
      </c>
      <c r="F568" s="4">
        <f>VLOOKUP(D568,Table3[],3,0)</f>
        <v>45575918003</v>
      </c>
      <c r="G568" s="1" t="str">
        <f>VLOOKUP(D568,Table3[],4,0)</f>
        <v>Balázs Kulcsár</v>
      </c>
      <c r="H568" s="1" t="str">
        <f>VLOOKUP(D568,POSLODAVCI!$A$2:$J$107,9,0)</f>
        <v>Osijek</v>
      </c>
      <c r="I568" s="1" t="str">
        <f>VLOOKUP(D568,Table3[],10,0)</f>
        <v>Ribarska 10</v>
      </c>
      <c r="J568" s="420" t="s">
        <v>2088</v>
      </c>
      <c r="K568" s="421">
        <v>44987</v>
      </c>
      <c r="L568" s="421">
        <v>45034</v>
      </c>
      <c r="M568" s="182">
        <v>79527462915</v>
      </c>
      <c r="N568" t="s">
        <v>80</v>
      </c>
      <c r="O568" s="7">
        <v>37105</v>
      </c>
      <c r="P568" t="s">
        <v>94</v>
      </c>
      <c r="Q568" t="s">
        <v>82</v>
      </c>
      <c r="R568" t="s">
        <v>2143</v>
      </c>
      <c r="S568" s="5" t="s">
        <v>83</v>
      </c>
      <c r="T568" t="s">
        <v>84</v>
      </c>
      <c r="V568" t="s">
        <v>143</v>
      </c>
      <c r="W568" t="s">
        <v>143</v>
      </c>
      <c r="X568" s="306" t="s">
        <v>85</v>
      </c>
      <c r="Y568" s="7">
        <v>45016</v>
      </c>
      <c r="Z568" s="16" t="s">
        <v>1817</v>
      </c>
      <c r="AA568">
        <v>40</v>
      </c>
      <c r="AB568" t="s">
        <v>2089</v>
      </c>
      <c r="AC568" s="183"/>
      <c r="AE568" s="183"/>
      <c r="AH568" t="s">
        <v>94</v>
      </c>
      <c r="AL568" t="s">
        <v>83</v>
      </c>
      <c r="AM568" s="422">
        <v>700</v>
      </c>
      <c r="AN568" s="184">
        <v>1</v>
      </c>
      <c r="AO568" s="15">
        <v>560</v>
      </c>
      <c r="AW568" s="7"/>
      <c r="AZ568" t="s">
        <v>374</v>
      </c>
      <c r="BA568">
        <v>99</v>
      </c>
    </row>
    <row r="569" spans="1:53" ht="15.5">
      <c r="A569" s="273">
        <v>100</v>
      </c>
      <c r="B569" s="273" t="str">
        <f t="shared" si="30"/>
        <v>AKTIVAN</v>
      </c>
      <c r="C569" s="362">
        <f t="shared" si="32"/>
        <v>567</v>
      </c>
      <c r="D569" s="420">
        <v>36</v>
      </c>
      <c r="E569" s="1" t="str">
        <f>VLOOKUP(D569,Table3[[#All],[RB]:[OIB]],2,0)</f>
        <v>Vital Group d.o.o.</v>
      </c>
      <c r="F569" s="4">
        <f>VLOOKUP(D569,Table3[],3,0)</f>
        <v>45575918003</v>
      </c>
      <c r="G569" s="1" t="str">
        <f>VLOOKUP(D569,Table3[],4,0)</f>
        <v>Balázs Kulcsár</v>
      </c>
      <c r="H569" s="1" t="str">
        <f>VLOOKUP(D569,POSLODAVCI!$A$2:$J$107,9,0)</f>
        <v>Osijek</v>
      </c>
      <c r="I569" s="1" t="str">
        <f>VLOOKUP(D569,Table3[],10,0)</f>
        <v>Ribarska 10</v>
      </c>
      <c r="J569" s="442" t="s">
        <v>2090</v>
      </c>
      <c r="K569" s="443">
        <v>44991</v>
      </c>
      <c r="L569" s="443"/>
      <c r="M569" s="182">
        <v>73430998847</v>
      </c>
      <c r="N569" t="s">
        <v>80</v>
      </c>
      <c r="O569" s="7">
        <v>35490</v>
      </c>
      <c r="P569" t="s">
        <v>94</v>
      </c>
      <c r="Q569" t="s">
        <v>82</v>
      </c>
      <c r="R569" t="s">
        <v>2091</v>
      </c>
      <c r="S569" s="5" t="s">
        <v>83</v>
      </c>
      <c r="T569" t="s">
        <v>84</v>
      </c>
      <c r="V569" t="s">
        <v>2155</v>
      </c>
      <c r="W569" t="s">
        <v>304</v>
      </c>
      <c r="X569" s="306" t="s">
        <v>103</v>
      </c>
      <c r="Y569" s="7"/>
      <c r="Z569" s="16" t="s">
        <v>1817</v>
      </c>
      <c r="AA569">
        <v>40</v>
      </c>
      <c r="AB569" t="s">
        <v>2092</v>
      </c>
      <c r="AC569" s="183"/>
      <c r="AE569" s="183"/>
      <c r="AH569" t="s">
        <v>94</v>
      </c>
      <c r="AL569" t="s">
        <v>83</v>
      </c>
      <c r="AM569" s="422">
        <v>700</v>
      </c>
      <c r="AN569" s="184">
        <v>1</v>
      </c>
      <c r="AO569" s="15">
        <v>560</v>
      </c>
      <c r="AW569" s="7"/>
      <c r="AZ569" t="s">
        <v>374</v>
      </c>
      <c r="BA569">
        <v>100</v>
      </c>
    </row>
    <row r="570" spans="1:53" ht="15.5">
      <c r="A570" s="273">
        <v>74</v>
      </c>
      <c r="B570" s="273" t="str">
        <f t="shared" si="30"/>
        <v>NEAKTIVAN</v>
      </c>
      <c r="C570" s="362">
        <f t="shared" si="32"/>
        <v>568</v>
      </c>
      <c r="D570" s="420">
        <v>31</v>
      </c>
      <c r="E570" s="1" t="str">
        <f>VLOOKUP(D570,Table3[[#All],[RB]:[OIB]],2,0)</f>
        <v>Naturos d.o.o.</v>
      </c>
      <c r="F570" s="4">
        <f>VLOOKUP(D570,Table3[],3,0)</f>
        <v>69606074367</v>
      </c>
      <c r="G570" s="1" t="str">
        <f>VLOOKUP(D570,Table3[],4,0)</f>
        <v>Marko Baban</v>
      </c>
      <c r="H570" s="1" t="str">
        <f>VLOOKUP(D570,POSLODAVCI!$A$2:$J$107,9,0)</f>
        <v>OSIJEK</v>
      </c>
      <c r="I570" s="1" t="str">
        <f>VLOOKUP(D570,Table3[],10,0)</f>
        <v>Ulica Jela 60</v>
      </c>
      <c r="J570" s="1" t="s">
        <v>2095</v>
      </c>
      <c r="K570" s="421">
        <v>44958</v>
      </c>
      <c r="L570" s="421">
        <v>45076</v>
      </c>
      <c r="M570" s="182">
        <v>99318914072</v>
      </c>
      <c r="N570" s="16" t="s">
        <v>89</v>
      </c>
      <c r="O570" s="7">
        <v>36939</v>
      </c>
      <c r="R570" s="16" t="s">
        <v>2096</v>
      </c>
      <c r="S570" s="17" t="s">
        <v>87</v>
      </c>
      <c r="T570" s="16" t="s">
        <v>310</v>
      </c>
      <c r="V570" s="16" t="s">
        <v>1562</v>
      </c>
      <c r="W570" s="16" t="s">
        <v>1562</v>
      </c>
      <c r="X570" s="56" t="s">
        <v>85</v>
      </c>
      <c r="Y570" s="7">
        <v>45047</v>
      </c>
      <c r="Z570" s="16" t="s">
        <v>1817</v>
      </c>
      <c r="AA570">
        <v>40</v>
      </c>
      <c r="AB570" s="16" t="s">
        <v>2097</v>
      </c>
      <c r="AC570" s="183"/>
      <c r="AE570" s="183"/>
      <c r="AH570" s="16" t="s">
        <v>94</v>
      </c>
      <c r="AL570" s="16" t="s">
        <v>428</v>
      </c>
      <c r="AM570" s="455" t="s">
        <v>2191</v>
      </c>
      <c r="AN570" s="184"/>
      <c r="AW570" s="7"/>
      <c r="AZ570" s="16" t="s">
        <v>374</v>
      </c>
      <c r="BA570">
        <v>13</v>
      </c>
    </row>
    <row r="571" spans="1:53" ht="15.5">
      <c r="A571" s="273">
        <v>74</v>
      </c>
      <c r="B571" s="273" t="str">
        <f t="shared" si="30"/>
        <v>NEAKTIVAN</v>
      </c>
      <c r="C571" s="362">
        <f t="shared" si="32"/>
        <v>569</v>
      </c>
      <c r="D571" s="1">
        <v>31</v>
      </c>
      <c r="E571" s="1" t="str">
        <f>VLOOKUP(D571,Table3[[#All],[RB]:[OIB]],2,0)</f>
        <v>Naturos d.o.o.</v>
      </c>
      <c r="F571" s="4">
        <f>VLOOKUP(D571,Table3[],3,0)</f>
        <v>69606074367</v>
      </c>
      <c r="G571" s="1" t="str">
        <f>VLOOKUP(D571,Table3[],4,0)</f>
        <v>Marko Baban</v>
      </c>
      <c r="H571" s="1" t="str">
        <f>VLOOKUP(D571,POSLODAVCI!$A$2:$J$107,9,0)</f>
        <v>OSIJEK</v>
      </c>
      <c r="I571" s="1" t="str">
        <f>VLOOKUP(D571,Table3[],10,0)</f>
        <v>Ulica Jela 60</v>
      </c>
      <c r="J571" s="1" t="s">
        <v>2098</v>
      </c>
      <c r="K571" s="61">
        <v>44966</v>
      </c>
      <c r="L571" s="61">
        <v>45212</v>
      </c>
      <c r="M571" s="182">
        <v>52344628211</v>
      </c>
      <c r="N571" s="16" t="s">
        <v>89</v>
      </c>
      <c r="O571" s="7">
        <v>33628</v>
      </c>
      <c r="P571" s="16"/>
      <c r="Q571" s="16"/>
      <c r="R571" s="16" t="s">
        <v>2096</v>
      </c>
      <c r="S571" s="17" t="s">
        <v>87</v>
      </c>
      <c r="T571" s="16" t="s">
        <v>310</v>
      </c>
      <c r="U571" s="16"/>
      <c r="V571" s="16" t="s">
        <v>2099</v>
      </c>
      <c r="W571" s="16" t="s">
        <v>2099</v>
      </c>
      <c r="X571" s="56" t="s">
        <v>85</v>
      </c>
      <c r="Y571" s="7">
        <v>45055</v>
      </c>
      <c r="Z571" s="16" t="s">
        <v>1817</v>
      </c>
      <c r="AA571" s="16">
        <v>40</v>
      </c>
      <c r="AB571" s="16" t="s">
        <v>2100</v>
      </c>
      <c r="AC571" s="183"/>
      <c r="AD571" s="16"/>
      <c r="AE571" s="183"/>
      <c r="AF571" s="16"/>
      <c r="AG571" s="16"/>
      <c r="AH571" s="16" t="s">
        <v>94</v>
      </c>
      <c r="AI571" s="16"/>
      <c r="AJ571" s="16"/>
      <c r="AK571" s="16"/>
      <c r="AL571" s="16" t="s">
        <v>428</v>
      </c>
      <c r="AM571" s="455" t="s">
        <v>2191</v>
      </c>
      <c r="AN571" s="184"/>
      <c r="AQ571" s="16"/>
      <c r="AR571" s="16"/>
      <c r="AS571" s="16"/>
      <c r="AT571" s="16"/>
      <c r="AU571" s="16"/>
      <c r="AV571" s="16"/>
      <c r="AW571" s="7"/>
      <c r="AX571" s="16"/>
      <c r="AY571" s="16"/>
      <c r="AZ571" s="16" t="s">
        <v>374</v>
      </c>
      <c r="BA571" s="16">
        <v>14</v>
      </c>
    </row>
    <row r="572" spans="1:53" ht="15.5">
      <c r="A572" s="273">
        <v>74</v>
      </c>
      <c r="B572" s="273" t="str">
        <f t="shared" si="30"/>
        <v>NEAKTIVAN</v>
      </c>
      <c r="C572" s="362">
        <f t="shared" si="32"/>
        <v>570</v>
      </c>
      <c r="D572" s="1">
        <v>31</v>
      </c>
      <c r="E572" s="1" t="str">
        <f>VLOOKUP(D572,Table3[[#All],[RB]:[OIB]],2,0)</f>
        <v>Naturos d.o.o.</v>
      </c>
      <c r="F572" s="4">
        <f>VLOOKUP(D572,Table3[],3,0)</f>
        <v>69606074367</v>
      </c>
      <c r="G572" s="1" t="str">
        <f>VLOOKUP(D572,Table3[],4,0)</f>
        <v>Marko Baban</v>
      </c>
      <c r="H572" s="1" t="str">
        <f>VLOOKUP(D572,POSLODAVCI!$A$2:$J$107,9,0)</f>
        <v>OSIJEK</v>
      </c>
      <c r="I572" s="1" t="str">
        <f>VLOOKUP(D572,Table3[],10,0)</f>
        <v>Ulica Jela 60</v>
      </c>
      <c r="J572" s="1" t="s">
        <v>2101</v>
      </c>
      <c r="K572" s="61">
        <v>44972</v>
      </c>
      <c r="L572" s="61">
        <v>45076</v>
      </c>
      <c r="M572" s="182">
        <v>76485321691</v>
      </c>
      <c r="N572" s="16" t="s">
        <v>89</v>
      </c>
      <c r="O572" s="7">
        <v>31814</v>
      </c>
      <c r="P572" s="16"/>
      <c r="Q572" s="16"/>
      <c r="R572" s="16" t="s">
        <v>2096</v>
      </c>
      <c r="S572" s="17" t="s">
        <v>87</v>
      </c>
      <c r="T572" s="16" t="s">
        <v>310</v>
      </c>
      <c r="U572" s="16"/>
      <c r="V572" s="16" t="s">
        <v>2099</v>
      </c>
      <c r="W572" s="16" t="s">
        <v>2099</v>
      </c>
      <c r="X572" s="56" t="s">
        <v>85</v>
      </c>
      <c r="Y572" s="7">
        <v>45061</v>
      </c>
      <c r="Z572" s="16" t="s">
        <v>1817</v>
      </c>
      <c r="AA572" s="16">
        <v>40</v>
      </c>
      <c r="AB572" s="16" t="s">
        <v>2102</v>
      </c>
      <c r="AC572" s="183"/>
      <c r="AD572" s="16"/>
      <c r="AE572" s="183"/>
      <c r="AF572" s="16"/>
      <c r="AG572" s="16"/>
      <c r="AH572" s="16" t="s">
        <v>94</v>
      </c>
      <c r="AI572" s="16"/>
      <c r="AJ572" s="16"/>
      <c r="AK572" s="16"/>
      <c r="AL572" s="16" t="s">
        <v>83</v>
      </c>
      <c r="AM572" s="455" t="s">
        <v>2191</v>
      </c>
      <c r="AN572" s="184"/>
      <c r="AQ572" s="16"/>
      <c r="AR572" s="16"/>
      <c r="AS572" s="16"/>
      <c r="AT572" s="16"/>
      <c r="AU572" s="16"/>
      <c r="AV572" s="16"/>
      <c r="AW572" s="7"/>
      <c r="AX572" s="16"/>
      <c r="AY572" s="16"/>
      <c r="AZ572" s="16" t="s">
        <v>374</v>
      </c>
      <c r="BA572" s="16">
        <v>15</v>
      </c>
    </row>
    <row r="573" spans="1:53" ht="15.5">
      <c r="A573" s="273">
        <v>74</v>
      </c>
      <c r="B573" s="273" t="str">
        <f t="shared" si="30"/>
        <v>NEAKTIVAN</v>
      </c>
      <c r="C573" s="362">
        <f t="shared" si="32"/>
        <v>571</v>
      </c>
      <c r="D573" s="1">
        <v>31</v>
      </c>
      <c r="E573" s="1" t="str">
        <f>VLOOKUP(D573,Table3[[#All],[RB]:[OIB]],2,0)</f>
        <v>Naturos d.o.o.</v>
      </c>
      <c r="F573" s="4">
        <f>VLOOKUP(D573,Table3[],3,0)</f>
        <v>69606074367</v>
      </c>
      <c r="G573" s="1" t="str">
        <f>VLOOKUP(D573,Table3[],4,0)</f>
        <v>Marko Baban</v>
      </c>
      <c r="H573" s="1" t="str">
        <f>VLOOKUP(D573,POSLODAVCI!$A$2:$J$107,9,0)</f>
        <v>OSIJEK</v>
      </c>
      <c r="I573" s="1" t="str">
        <f>VLOOKUP(D573,Table3[],10,0)</f>
        <v>Ulica Jela 60</v>
      </c>
      <c r="J573" s="1" t="s">
        <v>2103</v>
      </c>
      <c r="K573" s="61">
        <v>44958</v>
      </c>
      <c r="L573" s="61">
        <v>45076</v>
      </c>
      <c r="M573" s="182">
        <v>73205886621</v>
      </c>
      <c r="N573" s="16" t="s">
        <v>89</v>
      </c>
      <c r="O573" s="7">
        <v>36674</v>
      </c>
      <c r="P573" s="16"/>
      <c r="Q573" s="16"/>
      <c r="R573" s="16" t="s">
        <v>2096</v>
      </c>
      <c r="S573" s="17" t="s">
        <v>87</v>
      </c>
      <c r="T573" s="16" t="s">
        <v>310</v>
      </c>
      <c r="U573" s="16"/>
      <c r="V573" s="16" t="s">
        <v>1562</v>
      </c>
      <c r="W573" s="16" t="s">
        <v>1562</v>
      </c>
      <c r="X573" s="56" t="s">
        <v>85</v>
      </c>
      <c r="Y573" s="7">
        <v>45047</v>
      </c>
      <c r="Z573" s="16" t="s">
        <v>1817</v>
      </c>
      <c r="AA573" s="16">
        <v>40</v>
      </c>
      <c r="AB573" s="16" t="s">
        <v>2104</v>
      </c>
      <c r="AC573" s="183"/>
      <c r="AD573" s="16"/>
      <c r="AE573" s="183"/>
      <c r="AF573" s="16"/>
      <c r="AG573" s="16"/>
      <c r="AH573" s="16" t="s">
        <v>94</v>
      </c>
      <c r="AI573" s="16"/>
      <c r="AJ573" s="16"/>
      <c r="AK573" s="16"/>
      <c r="AL573" s="16" t="s">
        <v>83</v>
      </c>
      <c r="AM573" s="455" t="s">
        <v>2191</v>
      </c>
      <c r="AN573" s="184"/>
      <c r="AQ573" s="16"/>
      <c r="AR573" s="16"/>
      <c r="AS573" s="16"/>
      <c r="AT573" s="16"/>
      <c r="AU573" s="16"/>
      <c r="AV573" s="16"/>
      <c r="AW573" s="7"/>
      <c r="AX573" s="16"/>
      <c r="AY573" s="16"/>
      <c r="AZ573" s="16" t="s">
        <v>374</v>
      </c>
      <c r="BA573" s="16">
        <v>16</v>
      </c>
    </row>
    <row r="574" spans="1:53" ht="15.5">
      <c r="A574" s="273">
        <v>74</v>
      </c>
      <c r="B574" s="273" t="str">
        <f t="shared" si="30"/>
        <v>NEAKTIVAN</v>
      </c>
      <c r="C574" s="362">
        <f t="shared" si="32"/>
        <v>572</v>
      </c>
      <c r="D574" s="1">
        <v>31</v>
      </c>
      <c r="E574" s="1" t="str">
        <f>VLOOKUP(D574,Table3[[#All],[RB]:[OIB]],2,0)</f>
        <v>Naturos d.o.o.</v>
      </c>
      <c r="F574" s="4">
        <f>VLOOKUP(D574,Table3[],3,0)</f>
        <v>69606074367</v>
      </c>
      <c r="G574" s="1" t="str">
        <f>VLOOKUP(D574,Table3[],4,0)</f>
        <v>Marko Baban</v>
      </c>
      <c r="H574" s="1" t="str">
        <f>VLOOKUP(D574,POSLODAVCI!$A$2:$J$107,9,0)</f>
        <v>OSIJEK</v>
      </c>
      <c r="I574" s="1" t="str">
        <f>VLOOKUP(D574,Table3[],10,0)</f>
        <v>Ulica Jela 60</v>
      </c>
      <c r="J574" s="1" t="s">
        <v>2105</v>
      </c>
      <c r="K574" s="61">
        <v>44966</v>
      </c>
      <c r="L574" s="61">
        <v>45212</v>
      </c>
      <c r="M574" s="182">
        <v>13473408029</v>
      </c>
      <c r="N574" s="16" t="s">
        <v>89</v>
      </c>
      <c r="O574" s="7">
        <v>34075</v>
      </c>
      <c r="P574" s="16"/>
      <c r="Q574" s="16"/>
      <c r="R574" s="16" t="s">
        <v>2096</v>
      </c>
      <c r="S574" s="17" t="s">
        <v>87</v>
      </c>
      <c r="T574" s="16" t="s">
        <v>310</v>
      </c>
      <c r="U574" s="16"/>
      <c r="V574" s="16" t="s">
        <v>2099</v>
      </c>
      <c r="W574" s="16" t="s">
        <v>2099</v>
      </c>
      <c r="X574" s="56" t="s">
        <v>85</v>
      </c>
      <c r="Y574" s="7">
        <v>45055</v>
      </c>
      <c r="Z574" s="16" t="s">
        <v>1817</v>
      </c>
      <c r="AA574" s="16">
        <v>40</v>
      </c>
      <c r="AB574" s="16" t="s">
        <v>2106</v>
      </c>
      <c r="AC574" s="183"/>
      <c r="AD574" s="16"/>
      <c r="AE574" s="183"/>
      <c r="AF574" s="16"/>
      <c r="AG574" s="16"/>
      <c r="AH574" s="16" t="s">
        <v>94</v>
      </c>
      <c r="AI574" s="16"/>
      <c r="AJ574" s="16"/>
      <c r="AK574" s="16"/>
      <c r="AL574" s="16" t="s">
        <v>83</v>
      </c>
      <c r="AM574" s="455" t="s">
        <v>2191</v>
      </c>
      <c r="AN574" s="184"/>
      <c r="AQ574" s="16"/>
      <c r="AR574" s="16"/>
      <c r="AS574" s="16"/>
      <c r="AT574" s="16"/>
      <c r="AU574" s="16"/>
      <c r="AV574" s="16"/>
      <c r="AW574" s="7"/>
      <c r="AX574" s="16"/>
      <c r="AY574" s="16"/>
      <c r="AZ574" s="16" t="s">
        <v>374</v>
      </c>
      <c r="BA574" s="16">
        <v>17</v>
      </c>
    </row>
    <row r="575" spans="1:53" ht="15.5">
      <c r="A575" s="273">
        <v>74</v>
      </c>
      <c r="B575" s="273" t="str">
        <f t="shared" si="30"/>
        <v>NEAKTIVAN</v>
      </c>
      <c r="C575" s="362">
        <f t="shared" si="32"/>
        <v>573</v>
      </c>
      <c r="D575" s="1">
        <v>31</v>
      </c>
      <c r="E575" s="1" t="str">
        <f>VLOOKUP(D575,Table3[[#All],[RB]:[OIB]],2,0)</f>
        <v>Naturos d.o.o.</v>
      </c>
      <c r="F575" s="4">
        <f>VLOOKUP(D575,Table3[],3,0)</f>
        <v>69606074367</v>
      </c>
      <c r="G575" s="1" t="str">
        <f>VLOOKUP(D575,Table3[],4,0)</f>
        <v>Marko Baban</v>
      </c>
      <c r="H575" s="1" t="str">
        <f>VLOOKUP(D575,POSLODAVCI!$A$2:$J$107,9,0)</f>
        <v>OSIJEK</v>
      </c>
      <c r="I575" s="1" t="str">
        <f>VLOOKUP(D575,Table3[],10,0)</f>
        <v>Ulica Jela 60</v>
      </c>
      <c r="J575" s="1" t="s">
        <v>2107</v>
      </c>
      <c r="K575" s="61">
        <v>44966</v>
      </c>
      <c r="L575" s="61">
        <v>45076</v>
      </c>
      <c r="M575" s="182">
        <v>68722467694</v>
      </c>
      <c r="N575" s="16" t="s">
        <v>89</v>
      </c>
      <c r="O575" s="7">
        <v>31512</v>
      </c>
      <c r="P575" s="16"/>
      <c r="Q575" s="16"/>
      <c r="R575" s="16" t="s">
        <v>2096</v>
      </c>
      <c r="S575" s="17" t="s">
        <v>87</v>
      </c>
      <c r="T575" s="16" t="s">
        <v>310</v>
      </c>
      <c r="U575" s="16"/>
      <c r="V575" s="16" t="s">
        <v>2099</v>
      </c>
      <c r="W575" s="16" t="s">
        <v>2099</v>
      </c>
      <c r="X575" s="56" t="s">
        <v>85</v>
      </c>
      <c r="Y575" s="7">
        <v>45055</v>
      </c>
      <c r="Z575" s="16" t="s">
        <v>1817</v>
      </c>
      <c r="AA575" s="16">
        <v>40</v>
      </c>
      <c r="AB575" s="16" t="s">
        <v>2108</v>
      </c>
      <c r="AC575" s="183"/>
      <c r="AD575" s="16"/>
      <c r="AE575" s="183"/>
      <c r="AF575" s="16"/>
      <c r="AG575" s="16"/>
      <c r="AH575" s="16" t="s">
        <v>94</v>
      </c>
      <c r="AI575" s="16"/>
      <c r="AJ575" s="16"/>
      <c r="AK575" s="16"/>
      <c r="AL575" s="16" t="s">
        <v>83</v>
      </c>
      <c r="AM575" s="455" t="s">
        <v>2191</v>
      </c>
      <c r="AN575" s="184"/>
      <c r="AQ575" s="16"/>
      <c r="AR575" s="16"/>
      <c r="AS575" s="16"/>
      <c r="AT575" s="16"/>
      <c r="AU575" s="16"/>
      <c r="AV575" s="16"/>
      <c r="AW575" s="7"/>
      <c r="AX575" s="16"/>
      <c r="AY575" s="16"/>
      <c r="AZ575" s="16" t="s">
        <v>374</v>
      </c>
      <c r="BA575" s="16">
        <v>18</v>
      </c>
    </row>
    <row r="576" spans="1:53" ht="15.5">
      <c r="A576" s="273">
        <v>74</v>
      </c>
      <c r="B576" s="273" t="str">
        <f t="shared" si="30"/>
        <v>NEAKTIVAN</v>
      </c>
      <c r="C576" s="362">
        <f t="shared" si="32"/>
        <v>574</v>
      </c>
      <c r="D576" s="1">
        <v>31</v>
      </c>
      <c r="E576" s="1" t="str">
        <f>VLOOKUP(D576,Table3[[#All],[RB]:[OIB]],2,0)</f>
        <v>Naturos d.o.o.</v>
      </c>
      <c r="F576" s="4">
        <f>VLOOKUP(D576,Table3[],3,0)</f>
        <v>69606074367</v>
      </c>
      <c r="G576" s="1" t="str">
        <f>VLOOKUP(D576,Table3[],4,0)</f>
        <v>Marko Baban</v>
      </c>
      <c r="H576" s="1" t="str">
        <f>VLOOKUP(D576,POSLODAVCI!$A$2:$J$107,9,0)</f>
        <v>OSIJEK</v>
      </c>
      <c r="I576" s="1" t="str">
        <f>VLOOKUP(D576,Table3[],10,0)</f>
        <v>Ulica Jela 60</v>
      </c>
      <c r="J576" s="1" t="s">
        <v>2109</v>
      </c>
      <c r="K576" s="61">
        <v>44966</v>
      </c>
      <c r="L576" s="61">
        <v>45578</v>
      </c>
      <c r="M576" s="182">
        <v>70585192646</v>
      </c>
      <c r="N576" s="16" t="s">
        <v>89</v>
      </c>
      <c r="O576" s="7">
        <v>32009</v>
      </c>
      <c r="P576" s="16"/>
      <c r="Q576" s="16"/>
      <c r="R576" s="16" t="s">
        <v>2096</v>
      </c>
      <c r="S576" s="17" t="s">
        <v>87</v>
      </c>
      <c r="T576" s="16" t="s">
        <v>310</v>
      </c>
      <c r="U576" s="16"/>
      <c r="V576" s="16" t="s">
        <v>2099</v>
      </c>
      <c r="W576" s="16" t="s">
        <v>2099</v>
      </c>
      <c r="X576" s="56" t="s">
        <v>85</v>
      </c>
      <c r="Y576" s="7">
        <v>45055</v>
      </c>
      <c r="Z576" s="16" t="s">
        <v>1817</v>
      </c>
      <c r="AA576" s="16">
        <v>40</v>
      </c>
      <c r="AB576" s="16" t="s">
        <v>2110</v>
      </c>
      <c r="AC576" s="183"/>
      <c r="AD576" s="16"/>
      <c r="AE576" s="183"/>
      <c r="AF576" s="16"/>
      <c r="AG576" s="16"/>
      <c r="AH576" s="16" t="s">
        <v>94</v>
      </c>
      <c r="AI576" s="16"/>
      <c r="AJ576" s="16"/>
      <c r="AK576" s="16"/>
      <c r="AL576" s="16" t="s">
        <v>83</v>
      </c>
      <c r="AM576" s="455" t="s">
        <v>2191</v>
      </c>
      <c r="AN576" s="184"/>
      <c r="AQ576" s="16"/>
      <c r="AR576" s="16"/>
      <c r="AS576" s="16"/>
      <c r="AT576" s="16"/>
      <c r="AU576" s="16"/>
      <c r="AV576" s="16"/>
      <c r="AW576" s="7"/>
      <c r="AX576" s="16"/>
      <c r="AY576" s="16"/>
      <c r="AZ576" s="16" t="s">
        <v>374</v>
      </c>
      <c r="BA576" s="16">
        <v>19</v>
      </c>
    </row>
    <row r="577" spans="1:53" ht="15.5">
      <c r="A577" s="273">
        <v>74</v>
      </c>
      <c r="B577" s="273" t="str">
        <f t="shared" si="30"/>
        <v>NEAKTIVAN</v>
      </c>
      <c r="C577" s="362">
        <f t="shared" si="32"/>
        <v>575</v>
      </c>
      <c r="D577" s="420">
        <v>31</v>
      </c>
      <c r="E577" s="1" t="str">
        <f>VLOOKUP(D577,Table3[[#All],[RB]:[OIB]],2,0)</f>
        <v>Naturos d.o.o.</v>
      </c>
      <c r="F577" s="4">
        <f>VLOOKUP(D577,Table3[],3,0)</f>
        <v>69606074367</v>
      </c>
      <c r="G577" s="1" t="str">
        <f>VLOOKUP(D577,Table3[],4,0)</f>
        <v>Marko Baban</v>
      </c>
      <c r="H577" s="1" t="str">
        <f>VLOOKUP(D577,POSLODAVCI!$A$2:$J$107,9,0)</f>
        <v>OSIJEK</v>
      </c>
      <c r="I577" s="1" t="str">
        <f>VLOOKUP(D577,Table3[],10,0)</f>
        <v>Ulica Jela 60</v>
      </c>
      <c r="J577" s="420" t="s">
        <v>2111</v>
      </c>
      <c r="K577" s="421">
        <v>44748</v>
      </c>
      <c r="L577" s="421">
        <v>45199</v>
      </c>
      <c r="M577" s="427">
        <v>17539577096</v>
      </c>
      <c r="N577" s="16" t="s">
        <v>80</v>
      </c>
      <c r="O577" s="7">
        <v>29141</v>
      </c>
      <c r="R577" s="16" t="s">
        <v>2112</v>
      </c>
      <c r="S577" s="17" t="s">
        <v>83</v>
      </c>
      <c r="T577" s="16" t="s">
        <v>111</v>
      </c>
      <c r="V577" s="16" t="s">
        <v>2113</v>
      </c>
      <c r="W577" s="16" t="s">
        <v>2113</v>
      </c>
      <c r="X577" s="56" t="s">
        <v>103</v>
      </c>
      <c r="Y577" s="7">
        <v>44840</v>
      </c>
      <c r="Z577" s="16" t="s">
        <v>1817</v>
      </c>
      <c r="AA577">
        <v>40</v>
      </c>
      <c r="AB577" s="16" t="s">
        <v>2114</v>
      </c>
      <c r="AC577" s="183"/>
      <c r="AE577" s="183"/>
      <c r="AH577" s="16" t="s">
        <v>94</v>
      </c>
      <c r="AL577" s="16" t="s">
        <v>83</v>
      </c>
      <c r="AM577" s="422">
        <v>754.92</v>
      </c>
      <c r="AN577" s="184"/>
      <c r="AW577" s="7"/>
      <c r="AZ577" s="16" t="s">
        <v>374</v>
      </c>
      <c r="BA577">
        <v>20</v>
      </c>
    </row>
    <row r="578" spans="1:53" ht="15.5">
      <c r="A578" s="273">
        <v>74</v>
      </c>
      <c r="B578" s="273" t="str">
        <f t="shared" si="30"/>
        <v>NEAKTIVAN</v>
      </c>
      <c r="C578" s="362">
        <f t="shared" si="32"/>
        <v>576</v>
      </c>
      <c r="D578" s="420">
        <v>31</v>
      </c>
      <c r="E578" s="1" t="str">
        <f>VLOOKUP(D578,Table3[[#All],[RB]:[OIB]],2,0)</f>
        <v>Naturos d.o.o.</v>
      </c>
      <c r="F578" s="4">
        <f>VLOOKUP(D578,Table3[],3,0)</f>
        <v>69606074367</v>
      </c>
      <c r="G578" s="1" t="str">
        <f>VLOOKUP(D578,Table3[],4,0)</f>
        <v>Marko Baban</v>
      </c>
      <c r="H578" s="1" t="str">
        <f>VLOOKUP(D578,POSLODAVCI!$A$2:$J$107,9,0)</f>
        <v>OSIJEK</v>
      </c>
      <c r="I578" s="1" t="str">
        <f>VLOOKUP(D578,Table3[],10,0)</f>
        <v>Ulica Jela 60</v>
      </c>
      <c r="J578" s="1" t="s">
        <v>2115</v>
      </c>
      <c r="K578" s="421">
        <v>44707</v>
      </c>
      <c r="L578" s="421">
        <v>45166</v>
      </c>
      <c r="M578" s="182">
        <v>76672139260</v>
      </c>
      <c r="N578" s="16" t="s">
        <v>89</v>
      </c>
      <c r="O578" s="7">
        <v>33843</v>
      </c>
      <c r="R578" s="16" t="s">
        <v>2116</v>
      </c>
      <c r="S578" s="17" t="s">
        <v>83</v>
      </c>
      <c r="T578" s="16" t="s">
        <v>84</v>
      </c>
      <c r="V578" s="16" t="s">
        <v>2117</v>
      </c>
      <c r="W578" s="16" t="s">
        <v>2117</v>
      </c>
      <c r="X578" s="56" t="s">
        <v>103</v>
      </c>
      <c r="Y578" s="7">
        <v>44799</v>
      </c>
      <c r="Z578" s="16" t="s">
        <v>1817</v>
      </c>
      <c r="AA578">
        <v>40</v>
      </c>
      <c r="AB578" s="16" t="s">
        <v>2118</v>
      </c>
      <c r="AC578" s="183"/>
      <c r="AE578" s="183"/>
      <c r="AH578" s="16" t="s">
        <v>94</v>
      </c>
      <c r="AL578" s="16" t="s">
        <v>83</v>
      </c>
      <c r="AM578" s="422">
        <v>700</v>
      </c>
      <c r="AN578" s="184"/>
      <c r="AW578" s="7"/>
      <c r="AZ578" s="16" t="s">
        <v>374</v>
      </c>
      <c r="BA578">
        <v>21</v>
      </c>
    </row>
    <row r="579" spans="1:53" ht="15.5">
      <c r="A579" s="273">
        <v>74</v>
      </c>
      <c r="B579" s="273" t="str">
        <f t="shared" si="30"/>
        <v>NEAKTIVAN</v>
      </c>
      <c r="C579" s="362">
        <f t="shared" si="32"/>
        <v>577</v>
      </c>
      <c r="D579" s="420">
        <v>31</v>
      </c>
      <c r="E579" s="1" t="str">
        <f>VLOOKUP(D579,Table3[[#All],[RB]:[OIB]],2,0)</f>
        <v>Naturos d.o.o.</v>
      </c>
      <c r="F579" s="4">
        <f>VLOOKUP(D579,Table3[],3,0)</f>
        <v>69606074367</v>
      </c>
      <c r="G579" s="1" t="str">
        <f>VLOOKUP(D579,Table3[],4,0)</f>
        <v>Marko Baban</v>
      </c>
      <c r="H579" s="1" t="str">
        <f>VLOOKUP(D579,POSLODAVCI!$A$2:$J$107,9,0)</f>
        <v>OSIJEK</v>
      </c>
      <c r="I579" s="1" t="str">
        <f>VLOOKUP(D579,Table3[],10,0)</f>
        <v>Ulica Jela 60</v>
      </c>
      <c r="J579" s="1" t="s">
        <v>2119</v>
      </c>
      <c r="K579" s="421">
        <v>44630</v>
      </c>
      <c r="L579" s="421">
        <v>44980</v>
      </c>
      <c r="M579" s="137" t="s">
        <v>2123</v>
      </c>
      <c r="N579" s="16" t="s">
        <v>89</v>
      </c>
      <c r="O579" s="7">
        <v>31276</v>
      </c>
      <c r="R579" s="16" t="s">
        <v>2120</v>
      </c>
      <c r="V579" t="s">
        <v>2201</v>
      </c>
      <c r="W579" t="s">
        <v>2201</v>
      </c>
      <c r="X579" s="56" t="s">
        <v>103</v>
      </c>
      <c r="Y579" s="7"/>
      <c r="Z579" s="16" t="s">
        <v>1817</v>
      </c>
      <c r="AA579">
        <v>40</v>
      </c>
      <c r="AC579" s="183"/>
      <c r="AE579" s="183"/>
      <c r="AH579" s="16" t="s">
        <v>94</v>
      </c>
      <c r="AL579" s="16" t="s">
        <v>83</v>
      </c>
      <c r="AM579" s="422"/>
      <c r="AN579" s="184"/>
      <c r="AW579" s="7"/>
      <c r="AZ579" s="16" t="s">
        <v>374</v>
      </c>
      <c r="BA579">
        <v>22</v>
      </c>
    </row>
    <row r="580" spans="1:53" ht="15.5">
      <c r="A580" s="273">
        <v>74</v>
      </c>
      <c r="B580" s="273" t="str">
        <f t="shared" si="30"/>
        <v>NEAKTIVAN</v>
      </c>
      <c r="C580" s="362">
        <f t="shared" si="32"/>
        <v>578</v>
      </c>
      <c r="D580" s="1">
        <v>31</v>
      </c>
      <c r="E580" s="1" t="str">
        <f>VLOOKUP(D580,Table3[[#All],[RB]:[OIB]],2,0)</f>
        <v>Naturos d.o.o.</v>
      </c>
      <c r="F580" s="4">
        <f>VLOOKUP(D580,Table3[],3,0)</f>
        <v>69606074367</v>
      </c>
      <c r="G580" s="1" t="str">
        <f>VLOOKUP(D580,Table3[],4,0)</f>
        <v>Marko Baban</v>
      </c>
      <c r="H580" s="1" t="str">
        <f>VLOOKUP(D580,POSLODAVCI!$A$2:$J$107,9,0)</f>
        <v>OSIJEK</v>
      </c>
      <c r="I580" s="1" t="str">
        <f>VLOOKUP(D580,Table3[],10,0)</f>
        <v>Ulica Jela 60</v>
      </c>
      <c r="J580" s="1" t="s">
        <v>2121</v>
      </c>
      <c r="K580" s="61">
        <v>44984</v>
      </c>
      <c r="L580" s="61">
        <v>45120</v>
      </c>
      <c r="M580" s="182">
        <v>80250634210</v>
      </c>
      <c r="N580" s="16" t="s">
        <v>89</v>
      </c>
      <c r="O580" s="7">
        <v>31310</v>
      </c>
      <c r="P580" s="16"/>
      <c r="Q580" s="16"/>
      <c r="R580" s="16" t="s">
        <v>2124</v>
      </c>
      <c r="S580" s="17" t="s">
        <v>83</v>
      </c>
      <c r="T580" s="16" t="s">
        <v>310</v>
      </c>
      <c r="U580" s="16"/>
      <c r="V580" s="16" t="s">
        <v>2128</v>
      </c>
      <c r="W580" s="16" t="s">
        <v>2128</v>
      </c>
      <c r="X580" s="56" t="s">
        <v>85</v>
      </c>
      <c r="Y580" s="7">
        <v>45073</v>
      </c>
      <c r="Z580" s="16" t="s">
        <v>1817</v>
      </c>
      <c r="AA580">
        <v>40</v>
      </c>
      <c r="AB580" s="16" t="s">
        <v>2126</v>
      </c>
      <c r="AC580" s="183"/>
      <c r="AD580" s="16"/>
      <c r="AE580" s="183"/>
      <c r="AF580" s="16"/>
      <c r="AG580" s="16"/>
      <c r="AH580" s="16" t="s">
        <v>94</v>
      </c>
      <c r="AI580" s="16"/>
      <c r="AJ580" s="16"/>
      <c r="AK580" s="16"/>
      <c r="AL580" s="16" t="s">
        <v>83</v>
      </c>
      <c r="AM580" s="90">
        <v>770</v>
      </c>
      <c r="AN580" s="184"/>
      <c r="AQ580" s="16"/>
      <c r="AR580" s="16"/>
      <c r="AS580" s="16"/>
      <c r="AT580" s="16"/>
      <c r="AU580" s="16"/>
      <c r="AV580" s="16"/>
      <c r="AW580" s="7"/>
      <c r="AX580" s="16"/>
      <c r="AY580" s="16"/>
      <c r="AZ580" s="16" t="s">
        <v>374</v>
      </c>
      <c r="BA580" s="16">
        <v>22</v>
      </c>
    </row>
    <row r="581" spans="1:53" ht="15.5">
      <c r="A581" s="273">
        <v>74</v>
      </c>
      <c r="B581" s="273" t="str">
        <f t="shared" si="30"/>
        <v>NEAKTIVAN</v>
      </c>
      <c r="C581" s="362">
        <f t="shared" si="32"/>
        <v>579</v>
      </c>
      <c r="D581" s="1">
        <v>31</v>
      </c>
      <c r="E581" s="1" t="str">
        <f>VLOOKUP(D581,Table3[[#All],[RB]:[OIB]],2,0)</f>
        <v>Naturos d.o.o.</v>
      </c>
      <c r="F581" s="4">
        <f>VLOOKUP(D581,Table3[],3,0)</f>
        <v>69606074367</v>
      </c>
      <c r="G581" s="1" t="str">
        <f>VLOOKUP(D581,Table3[],4,0)</f>
        <v>Marko Baban</v>
      </c>
      <c r="H581" s="1" t="str">
        <f>VLOOKUP(D581,POSLODAVCI!$A$2:$J$107,9,0)</f>
        <v>OSIJEK</v>
      </c>
      <c r="I581" s="1" t="str">
        <f>VLOOKUP(D581,Table3[],10,0)</f>
        <v>Ulica Jela 60</v>
      </c>
      <c r="J581" s="1" t="s">
        <v>2122</v>
      </c>
      <c r="K581" s="61">
        <v>44965</v>
      </c>
      <c r="L581" s="61">
        <v>45199</v>
      </c>
      <c r="M581" s="182">
        <v>57680277403</v>
      </c>
      <c r="N581" s="16" t="s">
        <v>89</v>
      </c>
      <c r="O581" s="7">
        <v>27133</v>
      </c>
      <c r="P581" s="16"/>
      <c r="Q581" s="16"/>
      <c r="R581" s="16" t="s">
        <v>2125</v>
      </c>
      <c r="S581" s="17" t="s">
        <v>83</v>
      </c>
      <c r="T581" s="16" t="s">
        <v>310</v>
      </c>
      <c r="U581" s="16"/>
      <c r="V581" s="16" t="s">
        <v>2128</v>
      </c>
      <c r="W581" s="16" t="s">
        <v>2128</v>
      </c>
      <c r="X581" s="56" t="s">
        <v>85</v>
      </c>
      <c r="Y581" s="7">
        <v>45054</v>
      </c>
      <c r="Z581" s="16" t="s">
        <v>1817</v>
      </c>
      <c r="AA581">
        <v>40</v>
      </c>
      <c r="AB581" s="16" t="s">
        <v>2127</v>
      </c>
      <c r="AC581" s="183"/>
      <c r="AD581" s="16"/>
      <c r="AE581" s="183"/>
      <c r="AF581" s="16"/>
      <c r="AG581" s="16"/>
      <c r="AH581" s="16" t="s">
        <v>94</v>
      </c>
      <c r="AI581" s="16"/>
      <c r="AJ581" s="16"/>
      <c r="AK581" s="16"/>
      <c r="AL581" s="16" t="s">
        <v>83</v>
      </c>
      <c r="AM581" s="90">
        <v>795.86</v>
      </c>
      <c r="AN581" s="184"/>
      <c r="AQ581" s="16"/>
      <c r="AR581" s="16"/>
      <c r="AS581" s="16"/>
      <c r="AT581" s="16"/>
      <c r="AU581" s="16"/>
      <c r="AV581" s="16"/>
      <c r="AW581" s="7"/>
      <c r="AX581" s="16"/>
      <c r="AY581" s="16"/>
      <c r="AZ581" s="16" t="s">
        <v>374</v>
      </c>
      <c r="BA581" s="16">
        <v>23</v>
      </c>
    </row>
    <row r="582" spans="1:53" ht="15.5">
      <c r="A582" s="273">
        <v>1</v>
      </c>
      <c r="B582" s="273" t="str">
        <f t="shared" si="30"/>
        <v>AKTIVAN</v>
      </c>
      <c r="C582" s="362">
        <f t="shared" si="32"/>
        <v>580</v>
      </c>
      <c r="D582" s="1">
        <v>51</v>
      </c>
      <c r="E582" s="1" t="str">
        <f>VLOOKUP(D582,Table3[[#All],[RB]:[OIB]],2,0)</f>
        <v>GUGA NATURA j.d.o.o.</v>
      </c>
      <c r="F582" s="4">
        <f>VLOOKUP(D582,Table3[],3,0)</f>
        <v>85140091316</v>
      </c>
      <c r="G582" s="1" t="str">
        <f>VLOOKUP(D582,Table3[],4,0)</f>
        <v>Giulia Tatalović</v>
      </c>
      <c r="H582" s="1" t="str">
        <f>VLOOKUP(D582,POSLODAVCI!$A$2:$J$107,9,0)</f>
        <v>Dajla</v>
      </c>
      <c r="I582" s="1" t="str">
        <f>VLOOKUP(D582,Table3[],10,0)</f>
        <v>Sv. Benedikta 35</v>
      </c>
      <c r="J582" s="1" t="s">
        <v>2130</v>
      </c>
      <c r="K582" s="61">
        <v>44917</v>
      </c>
      <c r="L582" s="61"/>
      <c r="M582" s="402">
        <v>29968763492</v>
      </c>
      <c r="N582" s="16" t="s">
        <v>80</v>
      </c>
      <c r="O582" s="67">
        <v>37304</v>
      </c>
      <c r="P582" s="16" t="s">
        <v>2135</v>
      </c>
      <c r="Q582" s="16" t="s">
        <v>82</v>
      </c>
      <c r="R582" s="402" t="s">
        <v>2133</v>
      </c>
      <c r="S582" s="17" t="s">
        <v>428</v>
      </c>
      <c r="T582" s="16" t="s">
        <v>1484</v>
      </c>
      <c r="U582" s="16"/>
      <c r="V582" s="16" t="s">
        <v>418</v>
      </c>
      <c r="W582" s="16" t="s">
        <v>2825</v>
      </c>
      <c r="X582" s="56" t="s">
        <v>103</v>
      </c>
      <c r="Y582" s="7"/>
      <c r="Z582" s="16" t="s">
        <v>1817</v>
      </c>
      <c r="AA582" s="16">
        <v>40</v>
      </c>
      <c r="AB582" s="16" t="s">
        <v>2151</v>
      </c>
      <c r="AC582" s="183"/>
      <c r="AD582" s="16"/>
      <c r="AE582" s="183"/>
      <c r="AF582" s="16"/>
      <c r="AG582" s="16"/>
      <c r="AH582" s="16" t="s">
        <v>2134</v>
      </c>
      <c r="AI582" s="16"/>
      <c r="AJ582" s="16"/>
      <c r="AK582" s="16"/>
      <c r="AL582" s="16" t="s">
        <v>428</v>
      </c>
      <c r="AM582" s="90">
        <v>1168.7</v>
      </c>
      <c r="AN582" s="184"/>
      <c r="AQ582" s="16"/>
      <c r="AR582" s="16"/>
      <c r="AS582" s="16"/>
      <c r="AT582" s="16"/>
      <c r="AU582" s="16"/>
      <c r="AV582" s="16"/>
      <c r="AW582" s="7"/>
      <c r="AX582" s="16"/>
      <c r="AY582" s="16"/>
      <c r="AZ582" s="16" t="s">
        <v>374</v>
      </c>
      <c r="BA582" s="16">
        <v>1</v>
      </c>
    </row>
    <row r="583" spans="1:53" ht="15.5">
      <c r="A583" s="273">
        <v>74</v>
      </c>
      <c r="B583" s="273" t="str">
        <f t="shared" si="30"/>
        <v>AKTIVAN</v>
      </c>
      <c r="C583" s="362">
        <f t="shared" si="32"/>
        <v>581</v>
      </c>
      <c r="D583" s="420">
        <v>43</v>
      </c>
      <c r="E583" s="1" t="str">
        <f>VLOOKUP(D583,Table3[[#All],[RB]:[OIB]],2,0)</f>
        <v>MANEVI Jagera d.o.o.</v>
      </c>
      <c r="F583" s="4">
        <f>VLOOKUP(D583,Table3[],3,0)</f>
        <v>69769519663</v>
      </c>
      <c r="G583" s="1" t="str">
        <f>VLOOKUP(D583,Table3[],4,0)</f>
        <v>Dénes Kövári</v>
      </c>
      <c r="H583" s="1" t="str">
        <f>VLOOKUP(D583,POSLODAVCI!$A$2:$J$107,9,0)</f>
        <v>Osijek</v>
      </c>
      <c r="I583" s="1" t="str">
        <f>VLOOKUP(D583,Table3[],10,0)</f>
        <v>Ulica Lorenza Jägera 2</v>
      </c>
      <c r="J583" s="420" t="s">
        <v>2136</v>
      </c>
      <c r="K583" s="421">
        <v>45004</v>
      </c>
      <c r="L583" s="421"/>
      <c r="M583" s="182">
        <v>18251722103</v>
      </c>
      <c r="N583" t="s">
        <v>89</v>
      </c>
      <c r="O583" s="7">
        <v>31057</v>
      </c>
      <c r="P583" t="s">
        <v>1702</v>
      </c>
      <c r="Q583" t="s">
        <v>82</v>
      </c>
      <c r="R583" t="s">
        <v>2137</v>
      </c>
      <c r="S583" s="5" t="s">
        <v>428</v>
      </c>
      <c r="T583" t="s">
        <v>84</v>
      </c>
      <c r="V583" t="s">
        <v>2138</v>
      </c>
      <c r="W583" t="s">
        <v>2138</v>
      </c>
      <c r="X583" s="306" t="s">
        <v>85</v>
      </c>
      <c r="Y583" s="7"/>
      <c r="Z583" s="16" t="s">
        <v>1894</v>
      </c>
      <c r="AA583">
        <v>30</v>
      </c>
      <c r="AB583" t="s">
        <v>2139</v>
      </c>
      <c r="AC583" s="183"/>
      <c r="AE583" s="183"/>
      <c r="AH583" t="s">
        <v>1679</v>
      </c>
      <c r="AL583" t="s">
        <v>428</v>
      </c>
      <c r="AM583" s="422">
        <v>702.47</v>
      </c>
      <c r="AN583" s="184">
        <v>1</v>
      </c>
      <c r="AO583" s="15">
        <v>555.14</v>
      </c>
      <c r="AP583" s="15">
        <v>59.99</v>
      </c>
      <c r="AW583" s="7"/>
      <c r="AZ583" t="s">
        <v>374</v>
      </c>
      <c r="BA583">
        <v>34</v>
      </c>
    </row>
    <row r="584" spans="1:53" ht="15.5">
      <c r="A584" s="273">
        <v>101</v>
      </c>
      <c r="B584" s="273" t="str">
        <f t="shared" si="30"/>
        <v>AKTIVAN</v>
      </c>
      <c r="C584" s="362">
        <f t="shared" si="32"/>
        <v>582</v>
      </c>
      <c r="D584" s="420">
        <v>36</v>
      </c>
      <c r="E584" s="1" t="str">
        <f>VLOOKUP(D584,Table3[[#All],[RB]:[OIB]],2,0)</f>
        <v>Vital Group d.o.o.</v>
      </c>
      <c r="F584" s="4">
        <f>VLOOKUP(D584,Table3[],3,0)</f>
        <v>45575918003</v>
      </c>
      <c r="G584" s="1" t="str">
        <f>VLOOKUP(D584,Table3[],4,0)</f>
        <v>Balázs Kulcsár</v>
      </c>
      <c r="H584" s="1" t="str">
        <f>VLOOKUP(D584,POSLODAVCI!$A$2:$J$107,9,0)</f>
        <v>Osijek</v>
      </c>
      <c r="I584" s="1" t="str">
        <f>VLOOKUP(D584,Table3[],10,0)</f>
        <v>Ribarska 10</v>
      </c>
      <c r="J584" s="442" t="s">
        <v>2144</v>
      </c>
      <c r="K584" s="443">
        <v>44992</v>
      </c>
      <c r="L584" s="443"/>
      <c r="M584" s="182">
        <v>85137095239</v>
      </c>
      <c r="N584" t="s">
        <v>89</v>
      </c>
      <c r="O584" s="7">
        <v>44915</v>
      </c>
      <c r="P584" t="s">
        <v>217</v>
      </c>
      <c r="R584" t="s">
        <v>2145</v>
      </c>
      <c r="S584" s="5" t="s">
        <v>83</v>
      </c>
      <c r="T584" t="s">
        <v>84</v>
      </c>
      <c r="V584" t="s">
        <v>143</v>
      </c>
      <c r="W584" t="s">
        <v>143</v>
      </c>
      <c r="X584" s="333" t="s">
        <v>2526</v>
      </c>
      <c r="Y584" s="7"/>
      <c r="Z584" s="16" t="s">
        <v>1817</v>
      </c>
      <c r="AA584">
        <v>40</v>
      </c>
      <c r="AB584" t="s">
        <v>2146</v>
      </c>
      <c r="AC584" s="183"/>
      <c r="AE584" s="183"/>
      <c r="AH584" t="s">
        <v>94</v>
      </c>
      <c r="AL584" t="s">
        <v>428</v>
      </c>
      <c r="AM584" s="422">
        <v>700</v>
      </c>
      <c r="AN584" s="184">
        <v>1</v>
      </c>
      <c r="AO584" s="15">
        <v>560</v>
      </c>
      <c r="AW584" s="7"/>
      <c r="AZ584" t="s">
        <v>374</v>
      </c>
      <c r="BA584">
        <v>101</v>
      </c>
    </row>
    <row r="585" spans="1:53" ht="15.5">
      <c r="A585" s="273">
        <v>102</v>
      </c>
      <c r="B585" s="273" t="str">
        <f t="shared" si="30"/>
        <v>AKTIVAN</v>
      </c>
      <c r="C585" s="362">
        <f t="shared" si="32"/>
        <v>583</v>
      </c>
      <c r="D585" s="420">
        <v>36</v>
      </c>
      <c r="E585" s="1" t="str">
        <f>VLOOKUP(D585,Table3[[#All],[RB]:[OIB]],2,0)</f>
        <v>Vital Group d.o.o.</v>
      </c>
      <c r="F585" s="4">
        <f>VLOOKUP(D585,Table3[],3,0)</f>
        <v>45575918003</v>
      </c>
      <c r="G585" s="1" t="str">
        <f>VLOOKUP(D585,Table3[],4,0)</f>
        <v>Balázs Kulcsár</v>
      </c>
      <c r="H585" s="1" t="str">
        <f>VLOOKUP(D585,POSLODAVCI!$A$2:$J$107,9,0)</f>
        <v>Osijek</v>
      </c>
      <c r="I585" s="1" t="str">
        <f>VLOOKUP(D585,Table3[],10,0)</f>
        <v>Ribarska 10</v>
      </c>
      <c r="J585" s="442" t="s">
        <v>2140</v>
      </c>
      <c r="K585" s="443">
        <v>45007</v>
      </c>
      <c r="L585" s="443"/>
      <c r="M585" s="182">
        <v>19036979307</v>
      </c>
      <c r="N585" t="s">
        <v>80</v>
      </c>
      <c r="O585" s="7">
        <v>27408</v>
      </c>
      <c r="P585" t="s">
        <v>94</v>
      </c>
      <c r="Q585" t="s">
        <v>82</v>
      </c>
      <c r="R585" t="s">
        <v>2141</v>
      </c>
      <c r="S585" s="5" t="s">
        <v>83</v>
      </c>
      <c r="T585" t="s">
        <v>84</v>
      </c>
      <c r="V585" t="s">
        <v>143</v>
      </c>
      <c r="W585" t="s">
        <v>143</v>
      </c>
      <c r="X585" s="306" t="s">
        <v>103</v>
      </c>
      <c r="Y585" s="7"/>
      <c r="Z585" s="16" t="s">
        <v>1817</v>
      </c>
      <c r="AA585">
        <v>40</v>
      </c>
      <c r="AB585" t="s">
        <v>2142</v>
      </c>
      <c r="AC585" s="183"/>
      <c r="AE585" s="183"/>
      <c r="AH585" t="s">
        <v>94</v>
      </c>
      <c r="AL585" t="s">
        <v>428</v>
      </c>
      <c r="AM585" s="422">
        <v>700</v>
      </c>
      <c r="AN585" s="184">
        <v>1</v>
      </c>
      <c r="AO585" s="15">
        <v>560</v>
      </c>
      <c r="AW585" s="7"/>
      <c r="AZ585" t="s">
        <v>374</v>
      </c>
      <c r="BA585">
        <v>102</v>
      </c>
    </row>
    <row r="586" spans="1:53" ht="16.5">
      <c r="A586" s="273">
        <v>1</v>
      </c>
      <c r="B586" s="273" t="str">
        <f t="shared" si="30"/>
        <v>AKTIVAN</v>
      </c>
      <c r="C586" s="362">
        <f t="shared" si="32"/>
        <v>584</v>
      </c>
      <c r="D586" s="420">
        <v>52</v>
      </c>
      <c r="E586" s="1" t="str">
        <f>VLOOKUP(D586,Table3[[#All],[RB]:[OIB]],2,0)</f>
        <v>FRANCOS j.d.o.o.</v>
      </c>
      <c r="F586" s="4">
        <f>VLOOKUP(D586,Table3[],3,0)</f>
        <v>65655501793</v>
      </c>
      <c r="G586" s="1" t="str">
        <f>VLOOKUP(D586,Table3[],4,0)</f>
        <v>Vlado Francisković</v>
      </c>
      <c r="H586" s="1" t="str">
        <f>VLOOKUP(D586,POSLODAVCI!$A$2:$J$107,9,0)</f>
        <v>osijek</v>
      </c>
      <c r="I586" s="1" t="str">
        <f>VLOOKUP(D586,Table3[],10,0)</f>
        <v>ul. Hrvatske Republike 18</v>
      </c>
      <c r="J586" s="420" t="s">
        <v>352</v>
      </c>
      <c r="K586" s="421">
        <v>45007</v>
      </c>
      <c r="L586" s="421"/>
      <c r="M586" s="127">
        <v>68539395396</v>
      </c>
      <c r="N586" s="16" t="s">
        <v>89</v>
      </c>
      <c r="O586" s="67">
        <v>28257</v>
      </c>
      <c r="P586" s="16" t="s">
        <v>94</v>
      </c>
      <c r="Q586" s="16" t="s">
        <v>82</v>
      </c>
      <c r="R586" s="16" t="s">
        <v>353</v>
      </c>
      <c r="S586" s="17" t="s">
        <v>83</v>
      </c>
      <c r="T586" s="16" t="s">
        <v>84</v>
      </c>
      <c r="V586" s="16" t="s">
        <v>350</v>
      </c>
      <c r="W586" s="16" t="s">
        <v>350</v>
      </c>
      <c r="X586" s="303" t="s">
        <v>103</v>
      </c>
      <c r="Y586" s="67">
        <v>44895</v>
      </c>
      <c r="Z586" t="s">
        <v>1817</v>
      </c>
      <c r="AA586" s="16">
        <v>40</v>
      </c>
      <c r="AB586" s="16" t="s">
        <v>354</v>
      </c>
      <c r="AC586" s="128"/>
      <c r="AD586" s="16"/>
      <c r="AE586" s="128"/>
      <c r="AF586" s="16"/>
      <c r="AG586" s="16"/>
      <c r="AH586" s="16" t="s">
        <v>94</v>
      </c>
      <c r="AI586" s="16"/>
      <c r="AJ586" s="16"/>
      <c r="AK586" s="16"/>
      <c r="AL586" s="16"/>
      <c r="AM586" s="428">
        <v>975.51</v>
      </c>
      <c r="AN586" s="129">
        <v>1</v>
      </c>
      <c r="AO586" s="130"/>
      <c r="AP586" s="130"/>
      <c r="AQ586" s="16"/>
      <c r="AR586" s="16"/>
      <c r="AS586" s="16"/>
      <c r="AT586" s="16"/>
      <c r="AU586" s="16"/>
      <c r="AV586" s="16"/>
      <c r="AW586" s="67"/>
      <c r="AX586" s="16"/>
      <c r="AY586" s="16"/>
      <c r="AZ586" s="16" t="str">
        <f>IF(L586&gt;0,"NEAKTIVAN","AKTIVAN")</f>
        <v>AKTIVAN</v>
      </c>
      <c r="BA586" s="16"/>
    </row>
    <row r="587" spans="1:53" ht="15.5">
      <c r="A587" s="273">
        <v>13</v>
      </c>
      <c r="B587" s="273" t="str">
        <f t="shared" ref="B587:B650" si="33">IF(L587&gt;0,"NEAKTIVAN","AKTIVAN")</f>
        <v>AKTIVAN</v>
      </c>
      <c r="C587" s="362">
        <f t="shared" si="32"/>
        <v>585</v>
      </c>
      <c r="D587" s="430">
        <v>46</v>
      </c>
      <c r="E587" s="1" t="str">
        <f>VLOOKUP(D587,Table3[[#All],[RB]:[OIB]],2,0)</f>
        <v>Baranjske slastice Horvat j.d.o.o.</v>
      </c>
      <c r="F587" s="4">
        <f>VLOOKUP(D587,Table3[],3,0)</f>
        <v>81938384478</v>
      </c>
      <c r="G587" s="1" t="str">
        <f>VLOOKUP(D587,Table3[],4,0)</f>
        <v>Ilonka Horvat</v>
      </c>
      <c r="H587" s="1" t="str">
        <f>VLOOKUP(D587,POSLODAVCI!$A$2:$J$107,9,0)</f>
        <v>Suza</v>
      </c>
      <c r="I587" s="1" t="str">
        <f>VLOOKUP(D587,Table3[],10,0)</f>
        <v>Petefi Šandora 31</v>
      </c>
      <c r="J587" s="430" t="s">
        <v>1902</v>
      </c>
      <c r="K587" s="431">
        <v>45017</v>
      </c>
      <c r="L587" s="431"/>
      <c r="M587" s="182">
        <v>83522450528</v>
      </c>
      <c r="N587" t="s">
        <v>80</v>
      </c>
      <c r="O587" s="7">
        <v>38232</v>
      </c>
      <c r="P587" t="s">
        <v>94</v>
      </c>
      <c r="Q587" t="s">
        <v>82</v>
      </c>
      <c r="R587" s="16" t="s">
        <v>2153</v>
      </c>
      <c r="S587" s="5" t="s">
        <v>83</v>
      </c>
      <c r="T587" t="s">
        <v>84</v>
      </c>
      <c r="V587" t="s">
        <v>2152</v>
      </c>
      <c r="W587" t="s">
        <v>2152</v>
      </c>
      <c r="X587" s="306" t="s">
        <v>103</v>
      </c>
      <c r="Y587" s="7"/>
      <c r="Z587" s="16" t="s">
        <v>1894</v>
      </c>
      <c r="AA587">
        <v>20</v>
      </c>
      <c r="AC587" s="183"/>
      <c r="AE587" s="183"/>
      <c r="AM587" s="432">
        <v>350</v>
      </c>
      <c r="AN587" s="184"/>
      <c r="AW587" s="7"/>
    </row>
    <row r="588" spans="1:53" ht="15.5">
      <c r="A588" s="273">
        <v>103</v>
      </c>
      <c r="B588" s="273" t="str">
        <f t="shared" si="33"/>
        <v>NEAKTIVAN</v>
      </c>
      <c r="C588" s="362">
        <f t="shared" si="32"/>
        <v>586</v>
      </c>
      <c r="D588" s="430">
        <v>36</v>
      </c>
      <c r="E588" s="1" t="str">
        <f>VLOOKUP(D588,Table3[[#All],[RB]:[OIB]],2,0)</f>
        <v>Vital Group d.o.o.</v>
      </c>
      <c r="F588" s="4">
        <f>VLOOKUP(D588,Table3[],3,0)</f>
        <v>45575918003</v>
      </c>
      <c r="G588" s="1" t="str">
        <f>VLOOKUP(D588,Table3[],4,0)</f>
        <v>Balázs Kulcsár</v>
      </c>
      <c r="H588" s="1" t="str">
        <f>VLOOKUP(D588,POSLODAVCI!$A$2:$J$107,9,0)</f>
        <v>Osijek</v>
      </c>
      <c r="I588" s="1" t="str">
        <f>VLOOKUP(D588,Table3[],10,0)</f>
        <v>Ribarska 10</v>
      </c>
      <c r="J588" s="430" t="s">
        <v>2158</v>
      </c>
      <c r="K588" s="431">
        <v>45027</v>
      </c>
      <c r="L588" s="431">
        <v>45057</v>
      </c>
      <c r="M588" s="89">
        <v>37199491525</v>
      </c>
      <c r="N588" t="s">
        <v>80</v>
      </c>
      <c r="O588" s="7">
        <v>37021</v>
      </c>
      <c r="P588" t="s">
        <v>94</v>
      </c>
      <c r="Q588" t="s">
        <v>82</v>
      </c>
      <c r="R588" t="s">
        <v>2159</v>
      </c>
      <c r="S588" s="5" t="s">
        <v>428</v>
      </c>
      <c r="T588" t="s">
        <v>84</v>
      </c>
      <c r="V588" t="s">
        <v>660</v>
      </c>
      <c r="W588" t="s">
        <v>660</v>
      </c>
      <c r="X588" s="306" t="s">
        <v>103</v>
      </c>
      <c r="Y588" s="7"/>
      <c r="Z588" t="s">
        <v>1817</v>
      </c>
      <c r="AA588">
        <v>40</v>
      </c>
      <c r="AB588" t="s">
        <v>2160</v>
      </c>
      <c r="AC588" s="183"/>
      <c r="AE588" s="183"/>
      <c r="AH588" t="s">
        <v>94</v>
      </c>
      <c r="AL588" t="s">
        <v>428</v>
      </c>
      <c r="AM588" s="432">
        <v>700</v>
      </c>
      <c r="AN588" s="184">
        <v>1</v>
      </c>
      <c r="AO588" s="15">
        <v>560</v>
      </c>
      <c r="AW588" s="7"/>
      <c r="AZ588" t="s">
        <v>374</v>
      </c>
      <c r="BA588">
        <v>103</v>
      </c>
    </row>
    <row r="589" spans="1:53" ht="15.5">
      <c r="A589" s="273">
        <v>104</v>
      </c>
      <c r="B589" s="273" t="str">
        <f t="shared" si="33"/>
        <v>NEAKTIVAN</v>
      </c>
      <c r="C589" s="362">
        <f t="shared" si="32"/>
        <v>587</v>
      </c>
      <c r="D589" s="430">
        <v>36</v>
      </c>
      <c r="E589" s="1" t="str">
        <f>VLOOKUP(D589,Table3[[#All],[RB]:[OIB]],2,0)</f>
        <v>Vital Group d.o.o.</v>
      </c>
      <c r="F589" s="4">
        <f>VLOOKUP(D589,Table3[],3,0)</f>
        <v>45575918003</v>
      </c>
      <c r="G589" s="1" t="str">
        <f>VLOOKUP(D589,Table3[],4,0)</f>
        <v>Balázs Kulcsár</v>
      </c>
      <c r="H589" s="1" t="str">
        <f>VLOOKUP(D589,POSLODAVCI!$A$2:$J$107,9,0)</f>
        <v>Osijek</v>
      </c>
      <c r="I589" s="1" t="str">
        <f>VLOOKUP(D589,Table3[],10,0)</f>
        <v>Ribarska 10</v>
      </c>
      <c r="J589" s="430" t="s">
        <v>2161</v>
      </c>
      <c r="K589" s="431">
        <v>45027</v>
      </c>
      <c r="L589" s="431">
        <v>45163</v>
      </c>
      <c r="M589" s="182">
        <v>11086033159</v>
      </c>
      <c r="N589" t="s">
        <v>80</v>
      </c>
      <c r="O589" s="7">
        <v>37425</v>
      </c>
      <c r="P589" t="s">
        <v>99</v>
      </c>
      <c r="Q589" t="s">
        <v>82</v>
      </c>
      <c r="R589" t="s">
        <v>2162</v>
      </c>
      <c r="S589" s="5" t="s">
        <v>83</v>
      </c>
      <c r="T589" t="s">
        <v>84</v>
      </c>
      <c r="V589" t="s">
        <v>660</v>
      </c>
      <c r="W589" t="s">
        <v>660</v>
      </c>
      <c r="X589" s="306" t="s">
        <v>103</v>
      </c>
      <c r="Y589" s="7"/>
      <c r="Z589" t="s">
        <v>1817</v>
      </c>
      <c r="AA589">
        <v>40</v>
      </c>
      <c r="AB589" t="s">
        <v>2163</v>
      </c>
      <c r="AC589" s="183"/>
      <c r="AE589" s="183"/>
      <c r="AH589" t="s">
        <v>94</v>
      </c>
      <c r="AL589" t="s">
        <v>428</v>
      </c>
      <c r="AM589" s="432">
        <v>700</v>
      </c>
      <c r="AN589" s="184">
        <v>1</v>
      </c>
      <c r="AO589" s="15">
        <v>560</v>
      </c>
      <c r="AW589" s="7"/>
      <c r="AZ589" t="s">
        <v>374</v>
      </c>
      <c r="BA589">
        <v>104</v>
      </c>
    </row>
    <row r="590" spans="1:53" ht="15.5">
      <c r="A590" s="273">
        <v>5</v>
      </c>
      <c r="B590" s="273" t="str">
        <f t="shared" si="33"/>
        <v>NEAKTIVAN</v>
      </c>
      <c r="C590" s="362">
        <f t="shared" si="32"/>
        <v>588</v>
      </c>
      <c r="D590" s="430">
        <v>50</v>
      </c>
      <c r="E590" s="1" t="str">
        <f>VLOOKUP(D590,Table3[[#All],[RB]:[OIB]],2,0)</f>
        <v>SKIN BEAUTY VL. IVONA JOZIĆ</v>
      </c>
      <c r="F590" s="4">
        <f>VLOOKUP(D590,Table3[],3,0)</f>
        <v>37037018122</v>
      </c>
      <c r="G590" s="1" t="str">
        <f>VLOOKUP(D590,Table3[],4,0)</f>
        <v>Ivona Jozić</v>
      </c>
      <c r="H590" s="1" t="str">
        <f>VLOOKUP(D590,POSLODAVCI!$A$2:$J$107,9,0)</f>
        <v>Osijek</v>
      </c>
      <c r="I590" s="1" t="str">
        <f>VLOOKUP(D590,Table3[],10,0)</f>
        <v>Reisnerova 84</v>
      </c>
      <c r="J590" s="430" t="s">
        <v>2164</v>
      </c>
      <c r="K590" s="431">
        <v>45027</v>
      </c>
      <c r="L590" s="431">
        <v>45185</v>
      </c>
      <c r="M590" s="182">
        <v>92828537371</v>
      </c>
      <c r="N590" t="s">
        <v>80</v>
      </c>
      <c r="O590" s="7">
        <v>36643</v>
      </c>
      <c r="P590" t="s">
        <v>94</v>
      </c>
      <c r="Q590" t="s">
        <v>82</v>
      </c>
      <c r="R590" t="s">
        <v>2165</v>
      </c>
      <c r="S590" s="5" t="s">
        <v>83</v>
      </c>
      <c r="T590" t="s">
        <v>84</v>
      </c>
      <c r="V590" t="s">
        <v>2166</v>
      </c>
      <c r="W590" t="s">
        <v>2166</v>
      </c>
      <c r="X590" s="306" t="s">
        <v>103</v>
      </c>
      <c r="Y590" s="7"/>
      <c r="Z590" t="s">
        <v>1817</v>
      </c>
      <c r="AA590">
        <v>40</v>
      </c>
      <c r="AB590" t="s">
        <v>2167</v>
      </c>
      <c r="AC590" s="183"/>
      <c r="AE590" s="183"/>
      <c r="AH590" t="s">
        <v>81</v>
      </c>
      <c r="AL590" t="s">
        <v>428</v>
      </c>
      <c r="AM590" s="432">
        <v>700</v>
      </c>
      <c r="AN590" s="184">
        <v>1</v>
      </c>
      <c r="AW590" s="7"/>
      <c r="AZ590" t="s">
        <v>374</v>
      </c>
      <c r="BA590">
        <v>5</v>
      </c>
    </row>
    <row r="591" spans="1:53" ht="15.5">
      <c r="A591" s="273">
        <v>1</v>
      </c>
      <c r="B591" s="273" t="str">
        <f t="shared" si="33"/>
        <v>AKTIVAN</v>
      </c>
      <c r="C591" s="362">
        <f t="shared" si="32"/>
        <v>589</v>
      </c>
      <c r="D591" s="1">
        <v>53</v>
      </c>
      <c r="E591" s="1" t="str">
        <f>VLOOKUP(D591,Table3[[#All],[RB]:[OIB]],2,0)</f>
        <v>BB YACHT OBRT VL. BAKA BELA</v>
      </c>
      <c r="F591" s="4">
        <f>VLOOKUP(D591,Table3[],3,0)</f>
        <v>28786669452</v>
      </c>
      <c r="G591" s="1" t="str">
        <f>VLOOKUP(D591,Table3[],4,0)</f>
        <v>Baka Bela</v>
      </c>
      <c r="H591" s="1" t="str">
        <f>VLOOKUP(D591,POSLODAVCI!$A$2:$J$107,9,0)</f>
        <v>BILJE</v>
      </c>
      <c r="I591" s="1" t="str">
        <f>VLOOKUP(D591,Table3[],10,0)</f>
        <v>FERENCA KIŠA 7 KOPAČEVO</v>
      </c>
      <c r="J591" s="1" t="s">
        <v>2172</v>
      </c>
      <c r="K591" s="61">
        <v>45022</v>
      </c>
      <c r="L591" s="61"/>
      <c r="M591" s="182">
        <v>64443030737</v>
      </c>
      <c r="N591" s="16" t="s">
        <v>80</v>
      </c>
      <c r="O591" s="67">
        <v>29335</v>
      </c>
      <c r="P591" s="16" t="s">
        <v>2173</v>
      </c>
      <c r="Q591" s="16" t="s">
        <v>82</v>
      </c>
      <c r="R591" s="16" t="s">
        <v>2174</v>
      </c>
      <c r="S591" s="17" t="s">
        <v>83</v>
      </c>
      <c r="T591" s="16" t="s">
        <v>84</v>
      </c>
      <c r="U591" s="16"/>
      <c r="V591" s="16" t="s">
        <v>304</v>
      </c>
      <c r="W591" s="16" t="s">
        <v>304</v>
      </c>
      <c r="X591" s="56" t="s">
        <v>103</v>
      </c>
      <c r="Y591" s="7"/>
      <c r="Z591" t="s">
        <v>1817</v>
      </c>
      <c r="AA591" s="16">
        <v>40</v>
      </c>
      <c r="AB591" s="16" t="s">
        <v>2175</v>
      </c>
      <c r="AC591" s="183"/>
      <c r="AD591" s="16"/>
      <c r="AE591" s="183"/>
      <c r="AF591" s="16"/>
      <c r="AG591" s="16"/>
      <c r="AH591" s="16" t="s">
        <v>2170</v>
      </c>
      <c r="AI591" s="16"/>
      <c r="AJ591" s="16"/>
      <c r="AK591" s="16"/>
      <c r="AL591" s="16" t="s">
        <v>428</v>
      </c>
      <c r="AM591" s="90">
        <v>768.62</v>
      </c>
      <c r="AN591" s="184">
        <v>1</v>
      </c>
      <c r="AO591" s="15">
        <v>700</v>
      </c>
      <c r="AQ591" s="16"/>
      <c r="AR591" s="16"/>
      <c r="AS591" s="16"/>
      <c r="AT591" s="16"/>
      <c r="AU591" s="16"/>
      <c r="AV591" s="16"/>
      <c r="AW591" s="7"/>
      <c r="AX591" s="16"/>
      <c r="AY591" s="16"/>
      <c r="AZ591" s="16" t="s">
        <v>374</v>
      </c>
      <c r="BA591" s="16">
        <v>1</v>
      </c>
    </row>
    <row r="592" spans="1:53" ht="15.5">
      <c r="A592" s="273">
        <v>19</v>
      </c>
      <c r="B592" s="273" t="str">
        <f t="shared" si="33"/>
        <v>AKTIVAN</v>
      </c>
      <c r="C592" s="362">
        <f t="shared" si="32"/>
        <v>590</v>
      </c>
      <c r="D592" s="1">
        <v>26</v>
      </c>
      <c r="E592" s="1" t="str">
        <f>VLOOKUP(D592,Table3[[#All],[RB]:[OIB]],2,0)</f>
        <v>D-INVOICE D.O.O.</v>
      </c>
      <c r="F592" s="4">
        <f>VLOOKUP(D592,Table3[],3,0)</f>
        <v>95114485977</v>
      </c>
      <c r="G592" s="1" t="str">
        <f>VLOOKUP(D592,Table3[],4,0)</f>
        <v>LAURA GERGELJ</v>
      </c>
      <c r="H592" s="1" t="str">
        <f>VLOOKUP(D592,POSLODAVCI!$A$2:$J$107,9,0)</f>
        <v>Osijek</v>
      </c>
      <c r="I592" s="1" t="str">
        <f>VLOOKUP(D592,Table3[],10,0)</f>
        <v>SV.IVANA KRSTITELJA 15, DARDA</v>
      </c>
      <c r="J592" s="1" t="s">
        <v>2182</v>
      </c>
      <c r="K592" s="61">
        <v>45054</v>
      </c>
      <c r="L592" s="61"/>
      <c r="M592" s="444" t="s">
        <v>2178</v>
      </c>
      <c r="N592" s="16" t="s">
        <v>80</v>
      </c>
      <c r="O592" s="7">
        <v>28102</v>
      </c>
      <c r="P592" s="16" t="s">
        <v>94</v>
      </c>
      <c r="Q592" s="16" t="s">
        <v>82</v>
      </c>
      <c r="R592" s="16" t="s">
        <v>2176</v>
      </c>
      <c r="S592" s="17" t="s">
        <v>83</v>
      </c>
      <c r="T592" s="16" t="s">
        <v>84</v>
      </c>
      <c r="U592" s="16"/>
      <c r="V592" s="16" t="s">
        <v>1390</v>
      </c>
      <c r="W592" s="16" t="s">
        <v>1390</v>
      </c>
      <c r="X592" s="56" t="s">
        <v>103</v>
      </c>
      <c r="Y592" s="7"/>
      <c r="Z592" t="s">
        <v>1817</v>
      </c>
      <c r="AA592" s="16">
        <v>40</v>
      </c>
      <c r="AB592" s="16" t="s">
        <v>2177</v>
      </c>
      <c r="AC592" s="183"/>
      <c r="AD592" s="16"/>
      <c r="AE592" s="183"/>
      <c r="AF592" s="16"/>
      <c r="AG592" s="16"/>
      <c r="AH592" s="16" t="s">
        <v>94</v>
      </c>
      <c r="AI592" s="16"/>
      <c r="AJ592" s="16"/>
      <c r="AK592" s="16"/>
      <c r="AL592" s="16"/>
      <c r="AM592" s="90">
        <v>1223.4000000000001</v>
      </c>
      <c r="AN592" s="184">
        <v>1.7</v>
      </c>
      <c r="AO592" s="15">
        <v>930</v>
      </c>
      <c r="AQ592" s="16"/>
      <c r="AR592" s="16"/>
      <c r="AS592" s="16"/>
      <c r="AT592" s="16"/>
      <c r="AU592" s="16"/>
      <c r="AV592" s="16"/>
      <c r="AW592" s="7"/>
      <c r="AX592" s="16"/>
      <c r="AY592" s="16"/>
      <c r="AZ592" s="16" t="s">
        <v>374</v>
      </c>
      <c r="BA592" s="16">
        <v>19</v>
      </c>
    </row>
    <row r="593" spans="1:53" ht="15.5">
      <c r="A593" s="273">
        <v>105</v>
      </c>
      <c r="B593" s="273" t="str">
        <f t="shared" si="33"/>
        <v>AKTIVAN</v>
      </c>
      <c r="C593" s="362">
        <f t="shared" si="32"/>
        <v>591</v>
      </c>
      <c r="D593" s="445">
        <v>36</v>
      </c>
      <c r="E593" s="1" t="str">
        <f>VLOOKUP(D593,Table3[[#All],[RB]:[OIB]],2,0)</f>
        <v>Vital Group d.o.o.</v>
      </c>
      <c r="F593" s="4">
        <f>VLOOKUP(D593,Table3[],3,0)</f>
        <v>45575918003</v>
      </c>
      <c r="G593" s="1" t="str">
        <f>VLOOKUP(D593,Table3[],4,0)</f>
        <v>Balázs Kulcsár</v>
      </c>
      <c r="H593" s="1" t="str">
        <f>VLOOKUP(D593,POSLODAVCI!$A$2:$J$107,9,0)</f>
        <v>Osijek</v>
      </c>
      <c r="I593" s="1" t="str">
        <f>VLOOKUP(D593,Table3[],10,0)</f>
        <v>Ribarska 10</v>
      </c>
      <c r="J593" s="473" t="s">
        <v>2179</v>
      </c>
      <c r="K593" s="474">
        <v>45034</v>
      </c>
      <c r="L593" s="474"/>
      <c r="M593" s="182">
        <v>35994738880</v>
      </c>
      <c r="N593" t="s">
        <v>89</v>
      </c>
      <c r="O593" s="7">
        <v>37357</v>
      </c>
      <c r="P593" t="s">
        <v>94</v>
      </c>
      <c r="Q593" t="s">
        <v>82</v>
      </c>
      <c r="R593" t="s">
        <v>2180</v>
      </c>
      <c r="S593" s="5" t="s">
        <v>428</v>
      </c>
      <c r="T593" t="s">
        <v>84</v>
      </c>
      <c r="V593" t="s">
        <v>660</v>
      </c>
      <c r="W593" t="s">
        <v>660</v>
      </c>
      <c r="X593" s="306" t="s">
        <v>103</v>
      </c>
      <c r="Y593" s="7"/>
      <c r="Z593" t="s">
        <v>1817</v>
      </c>
      <c r="AA593">
        <v>40</v>
      </c>
      <c r="AB593" t="s">
        <v>2181</v>
      </c>
      <c r="AC593" s="183"/>
      <c r="AE593" s="183"/>
      <c r="AH593" t="s">
        <v>94</v>
      </c>
      <c r="AL593" t="s">
        <v>428</v>
      </c>
      <c r="AM593" s="446">
        <v>700</v>
      </c>
      <c r="AN593" s="184">
        <v>1</v>
      </c>
      <c r="AO593" s="15">
        <v>560</v>
      </c>
      <c r="AW593" s="7"/>
      <c r="AZ593" t="s">
        <v>374</v>
      </c>
      <c r="BA593">
        <v>105</v>
      </c>
    </row>
    <row r="594" spans="1:53" ht="15.5">
      <c r="A594" s="273">
        <v>106</v>
      </c>
      <c r="B594" s="273" t="str">
        <f t="shared" si="33"/>
        <v>AKTIVAN</v>
      </c>
      <c r="C594" s="362">
        <f t="shared" si="32"/>
        <v>592</v>
      </c>
      <c r="D594" s="447">
        <v>36</v>
      </c>
      <c r="E594" s="1" t="str">
        <f>VLOOKUP(D594,Table3[[#All],[RB]:[OIB]],2,0)</f>
        <v>Vital Group d.o.o.</v>
      </c>
      <c r="F594" s="4">
        <f>VLOOKUP(D594,Table3[],3,0)</f>
        <v>45575918003</v>
      </c>
      <c r="G594" s="1" t="str">
        <f>VLOOKUP(D594,Table3[],4,0)</f>
        <v>Balázs Kulcsár</v>
      </c>
      <c r="H594" s="1" t="str">
        <f>VLOOKUP(D594,POSLODAVCI!$A$2:$J$107,9,0)</f>
        <v>Osijek</v>
      </c>
      <c r="I594" s="1" t="str">
        <f>VLOOKUP(D594,Table3[],10,0)</f>
        <v>Ribarska 10</v>
      </c>
      <c r="J594" s="475" t="s">
        <v>1643</v>
      </c>
      <c r="K594" s="476">
        <v>45040</v>
      </c>
      <c r="L594" s="476"/>
      <c r="M594" s="182">
        <v>77737288895</v>
      </c>
      <c r="N594" t="s">
        <v>80</v>
      </c>
      <c r="O594" s="7">
        <v>36158</v>
      </c>
      <c r="P594" t="s">
        <v>94</v>
      </c>
      <c r="Q594" t="s">
        <v>82</v>
      </c>
      <c r="R594" t="s">
        <v>1651</v>
      </c>
      <c r="S594" s="5" t="s">
        <v>428</v>
      </c>
      <c r="T594" t="s">
        <v>84</v>
      </c>
      <c r="V594" t="s">
        <v>507</v>
      </c>
      <c r="W594" t="s">
        <v>507</v>
      </c>
      <c r="X594" s="306" t="s">
        <v>103</v>
      </c>
      <c r="Y594" s="7"/>
      <c r="Z594" t="s">
        <v>1817</v>
      </c>
      <c r="AA594">
        <v>40</v>
      </c>
      <c r="AB594" t="s">
        <v>1642</v>
      </c>
      <c r="AC594" s="183"/>
      <c r="AE594" s="183"/>
      <c r="AH594" t="s">
        <v>94</v>
      </c>
      <c r="AL594" t="s">
        <v>428</v>
      </c>
      <c r="AM594" s="449">
        <v>700</v>
      </c>
      <c r="AN594" s="184">
        <v>1</v>
      </c>
      <c r="AO594" s="15">
        <v>560</v>
      </c>
      <c r="AW594" s="7"/>
      <c r="AZ594" t="s">
        <v>374</v>
      </c>
      <c r="BA594">
        <v>106</v>
      </c>
    </row>
    <row r="595" spans="1:53">
      <c r="A595" s="273">
        <v>1</v>
      </c>
      <c r="B595" s="273" t="str">
        <f t="shared" si="33"/>
        <v>AKTIVAN</v>
      </c>
      <c r="C595" s="362">
        <f t="shared" si="32"/>
        <v>593</v>
      </c>
      <c r="D595" s="1">
        <v>54</v>
      </c>
      <c r="E595" s="1" t="str">
        <f>VLOOKUP(D595,Table3[[#All],[RB]:[OIB]],2,0)</f>
        <v>JUICYVAPOUR D.O.O.</v>
      </c>
      <c r="F595" s="4">
        <f>VLOOKUP(D595,Table3[],3,0)</f>
        <v>71914192370</v>
      </c>
      <c r="G595" s="1" t="str">
        <f>VLOOKUP(D595,Table3[],4,0)</f>
        <v>JOZSEF BALOG</v>
      </c>
      <c r="H595" s="1" t="str">
        <f>VLOOKUP(D595,POSLODAVCI!$A$2:$J$107,9,0)</f>
        <v>Osijek+</v>
      </c>
      <c r="I595" s="1" t="str">
        <f>VLOOKUP(D595,Table3[],10,0)</f>
        <v>Ribarska 10</v>
      </c>
      <c r="J595" s="1" t="s">
        <v>2186</v>
      </c>
      <c r="K595" s="61">
        <v>44966</v>
      </c>
      <c r="L595" s="61"/>
      <c r="M595" s="182">
        <v>42931226708</v>
      </c>
      <c r="N595" s="16" t="s">
        <v>80</v>
      </c>
      <c r="O595" s="7">
        <v>36285</v>
      </c>
      <c r="P595" s="16" t="s">
        <v>2189</v>
      </c>
      <c r="Q595" s="16" t="s">
        <v>376</v>
      </c>
      <c r="R595" s="16" t="s">
        <v>2187</v>
      </c>
      <c r="S595" s="17" t="s">
        <v>428</v>
      </c>
      <c r="T595" s="16" t="s">
        <v>84</v>
      </c>
      <c r="U595" s="16"/>
      <c r="V595" s="16" t="s">
        <v>304</v>
      </c>
      <c r="W595" s="16" t="s">
        <v>304</v>
      </c>
      <c r="X595" s="56" t="s">
        <v>103</v>
      </c>
      <c r="Y595" s="7"/>
      <c r="Z595" t="s">
        <v>1817</v>
      </c>
      <c r="AA595" s="16">
        <v>40</v>
      </c>
      <c r="AB595" s="433" t="s">
        <v>2190</v>
      </c>
      <c r="AC595" s="183"/>
      <c r="AD595" s="16"/>
      <c r="AE595" s="183"/>
      <c r="AF595" s="16"/>
      <c r="AG595" s="16"/>
      <c r="AH595" s="16" t="s">
        <v>2185</v>
      </c>
      <c r="AI595" s="16"/>
      <c r="AJ595" s="16"/>
      <c r="AK595" s="16"/>
      <c r="AL595" s="16" t="s">
        <v>428</v>
      </c>
      <c r="AM595" s="433">
        <v>776.7</v>
      </c>
      <c r="AN595" s="184">
        <v>1</v>
      </c>
      <c r="AO595" s="15">
        <v>600</v>
      </c>
      <c r="AQ595" s="16"/>
      <c r="AR595" s="16"/>
      <c r="AS595" s="16"/>
      <c r="AT595" s="16"/>
      <c r="AU595" s="16"/>
      <c r="AV595" s="16"/>
      <c r="AW595" s="7"/>
      <c r="AX595" s="16"/>
      <c r="AY595" s="16"/>
      <c r="AZ595" s="16" t="s">
        <v>374</v>
      </c>
      <c r="BA595" s="16">
        <v>1</v>
      </c>
    </row>
    <row r="596" spans="1:53" ht="15.5">
      <c r="A596" s="273">
        <v>107</v>
      </c>
      <c r="B596" s="273" t="str">
        <f t="shared" si="33"/>
        <v>NEAKTIVAN</v>
      </c>
      <c r="C596" s="362">
        <f t="shared" si="32"/>
        <v>594</v>
      </c>
      <c r="D596" s="447">
        <v>36</v>
      </c>
      <c r="E596" s="1" t="str">
        <f>VLOOKUP(D596,Table3[[#All],[RB]:[OIB]],2,0)</f>
        <v>Vital Group d.o.o.</v>
      </c>
      <c r="F596" s="4">
        <f>VLOOKUP(D596,Table3[],3,0)</f>
        <v>45575918003</v>
      </c>
      <c r="G596" s="1" t="str">
        <f>VLOOKUP(D596,Table3[],4,0)</f>
        <v>Balázs Kulcsár</v>
      </c>
      <c r="H596" s="1" t="str">
        <f>VLOOKUP(D596,POSLODAVCI!$A$2:$J$107,9,0)</f>
        <v>Osijek</v>
      </c>
      <c r="I596" s="1" t="str">
        <f>VLOOKUP(D596,Table3[],10,0)</f>
        <v>Ribarska 10</v>
      </c>
      <c r="J596" s="506" t="s">
        <v>1396</v>
      </c>
      <c r="K596" s="507">
        <v>45051</v>
      </c>
      <c r="L596" s="507">
        <v>45647</v>
      </c>
      <c r="M596" s="182">
        <v>14887279696</v>
      </c>
      <c r="N596" t="s">
        <v>89</v>
      </c>
      <c r="O596" s="7">
        <v>32359</v>
      </c>
      <c r="P596" t="s">
        <v>1325</v>
      </c>
      <c r="Q596" t="s">
        <v>2188</v>
      </c>
      <c r="R596" t="s">
        <v>1975</v>
      </c>
      <c r="S596" s="5" t="s">
        <v>87</v>
      </c>
      <c r="T596" t="s">
        <v>84</v>
      </c>
      <c r="V596" t="s">
        <v>393</v>
      </c>
      <c r="W596" t="s">
        <v>393</v>
      </c>
      <c r="X596" s="306" t="s">
        <v>85</v>
      </c>
      <c r="Y596" s="7">
        <v>45169</v>
      </c>
      <c r="Z596" t="s">
        <v>1817</v>
      </c>
      <c r="AA596">
        <v>40</v>
      </c>
      <c r="AB596" t="s">
        <v>569</v>
      </c>
      <c r="AC596" s="183"/>
      <c r="AE596" s="183"/>
      <c r="AH596" t="s">
        <v>81</v>
      </c>
      <c r="AL596" t="s">
        <v>428</v>
      </c>
      <c r="AM596" s="449">
        <v>700</v>
      </c>
      <c r="AN596" s="184">
        <v>1</v>
      </c>
      <c r="AO596" s="15">
        <v>560</v>
      </c>
      <c r="AW596" s="7"/>
      <c r="AZ596" s="313" t="s">
        <v>255</v>
      </c>
      <c r="BA596">
        <v>107</v>
      </c>
    </row>
    <row r="597" spans="1:53" ht="15.5">
      <c r="A597" s="273">
        <v>108</v>
      </c>
      <c r="B597" s="273" t="str">
        <f t="shared" si="33"/>
        <v>NEAKTIVAN</v>
      </c>
      <c r="C597" s="362">
        <f t="shared" si="32"/>
        <v>595</v>
      </c>
      <c r="D597" s="447">
        <v>36</v>
      </c>
      <c r="E597" s="1" t="str">
        <f>VLOOKUP(D597,Table3[[#All],[RB]:[OIB]],2,0)</f>
        <v>Vital Group d.o.o.</v>
      </c>
      <c r="F597" s="4">
        <f>VLOOKUP(D597,Table3[],3,0)</f>
        <v>45575918003</v>
      </c>
      <c r="G597" s="1" t="str">
        <f>VLOOKUP(D597,Table3[],4,0)</f>
        <v>Balázs Kulcsár</v>
      </c>
      <c r="H597" s="1" t="str">
        <f>VLOOKUP(D597,POSLODAVCI!$A$2:$J$107,9,0)</f>
        <v>Osijek</v>
      </c>
      <c r="I597" s="1" t="str">
        <f>VLOOKUP(D597,Table3[],10,0)</f>
        <v>Ribarska 10</v>
      </c>
      <c r="J597" s="1" t="s">
        <v>2202</v>
      </c>
      <c r="K597" s="448">
        <v>45089</v>
      </c>
      <c r="L597" s="448">
        <v>45139</v>
      </c>
      <c r="M597" s="182">
        <v>81754456479</v>
      </c>
      <c r="N597" t="s">
        <v>80</v>
      </c>
      <c r="O597" s="7">
        <v>37640</v>
      </c>
      <c r="P597" t="s">
        <v>94</v>
      </c>
      <c r="Q597" t="s">
        <v>82</v>
      </c>
      <c r="R597" t="s">
        <v>2203</v>
      </c>
      <c r="S597" s="5" t="s">
        <v>83</v>
      </c>
      <c r="T597" t="s">
        <v>84</v>
      </c>
      <c r="V597" t="s">
        <v>143</v>
      </c>
      <c r="W597" t="s">
        <v>143</v>
      </c>
      <c r="X597" s="306" t="s">
        <v>85</v>
      </c>
      <c r="Y597" s="7">
        <v>45107</v>
      </c>
      <c r="Z597" t="s">
        <v>1817</v>
      </c>
      <c r="AA597">
        <v>40</v>
      </c>
      <c r="AB597" t="s">
        <v>2204</v>
      </c>
      <c r="AC597" s="183"/>
      <c r="AE597" s="183"/>
      <c r="AH597" t="s">
        <v>94</v>
      </c>
      <c r="AL597" t="s">
        <v>428</v>
      </c>
      <c r="AM597" s="449">
        <v>700</v>
      </c>
      <c r="AN597" s="184">
        <v>1</v>
      </c>
      <c r="AO597" s="15">
        <v>560</v>
      </c>
      <c r="AW597" s="7"/>
      <c r="AZ597" t="s">
        <v>374</v>
      </c>
      <c r="BA597">
        <v>108</v>
      </c>
    </row>
    <row r="598" spans="1:53" ht="15.5">
      <c r="A598" s="273">
        <v>109</v>
      </c>
      <c r="B598" s="273" t="str">
        <f t="shared" si="33"/>
        <v>AKTIVAN</v>
      </c>
      <c r="C598" s="362">
        <f t="shared" si="32"/>
        <v>596</v>
      </c>
      <c r="D598" s="447">
        <v>36</v>
      </c>
      <c r="E598" s="1" t="str">
        <f>VLOOKUP(D598,Table3[[#All],[RB]:[OIB]],2,0)</f>
        <v>Vital Group d.o.o.</v>
      </c>
      <c r="F598" s="4">
        <f>VLOOKUP(D598,Table3[],3,0)</f>
        <v>45575918003</v>
      </c>
      <c r="G598" s="1" t="str">
        <f>VLOOKUP(D598,Table3[],4,0)</f>
        <v>Balázs Kulcsár</v>
      </c>
      <c r="H598" s="1" t="str">
        <f>VLOOKUP(D598,POSLODAVCI!$A$2:$J$107,9,0)</f>
        <v>Osijek</v>
      </c>
      <c r="I598" s="1" t="str">
        <f>VLOOKUP(D598,Table3[],10,0)</f>
        <v>Ribarska 10</v>
      </c>
      <c r="J598" s="471" t="s">
        <v>2205</v>
      </c>
      <c r="K598" s="472">
        <v>45096</v>
      </c>
      <c r="L598" s="472"/>
      <c r="M598" s="456">
        <v>16638005921</v>
      </c>
      <c r="N598" s="457" t="s">
        <v>80</v>
      </c>
      <c r="O598" s="458">
        <v>25143</v>
      </c>
      <c r="P598" s="457" t="s">
        <v>94</v>
      </c>
      <c r="Q598" s="457" t="s">
        <v>82</v>
      </c>
      <c r="R598" s="457" t="s">
        <v>2206</v>
      </c>
      <c r="S598" s="459" t="s">
        <v>83</v>
      </c>
      <c r="T598" s="457" t="s">
        <v>84</v>
      </c>
      <c r="U598" s="457"/>
      <c r="V598" s="457" t="s">
        <v>143</v>
      </c>
      <c r="W598" s="457" t="s">
        <v>143</v>
      </c>
      <c r="X598" s="460" t="s">
        <v>2526</v>
      </c>
      <c r="Y598" s="458">
        <v>45138</v>
      </c>
      <c r="Z598" t="s">
        <v>1817</v>
      </c>
      <c r="AA598" s="457">
        <v>40</v>
      </c>
      <c r="AB598" s="457" t="s">
        <v>2207</v>
      </c>
      <c r="AC598" s="183"/>
      <c r="AE598" s="183"/>
      <c r="AH598" t="s">
        <v>94</v>
      </c>
      <c r="AL598" t="s">
        <v>428</v>
      </c>
      <c r="AM598" s="449">
        <v>700</v>
      </c>
      <c r="AN598" s="184">
        <v>1</v>
      </c>
      <c r="AO598" s="15">
        <v>560</v>
      </c>
      <c r="AW598" s="7"/>
      <c r="AZ598" t="s">
        <v>374</v>
      </c>
      <c r="BA598">
        <v>109</v>
      </c>
    </row>
    <row r="599" spans="1:53" ht="15.5">
      <c r="A599" s="273">
        <v>1</v>
      </c>
      <c r="B599" s="273" t="str">
        <f t="shared" si="33"/>
        <v>AKTIVAN</v>
      </c>
      <c r="C599" s="362">
        <f t="shared" si="32"/>
        <v>597</v>
      </c>
      <c r="D599" s="461">
        <v>55</v>
      </c>
      <c r="E599" s="1" t="str">
        <f>VLOOKUP(D599,Table3[[#All],[RB]:[OIB]],2,0)</f>
        <v>ZLATNA ŠKOLJKA D.O.O.</v>
      </c>
      <c r="F599" s="4">
        <f>VLOOKUP(D599,Table3[],3,0)</f>
        <v>78914413816</v>
      </c>
      <c r="G599" s="1" t="str">
        <f>VLOOKUP(D599,Table3[],4,0)</f>
        <v>Baka Bela</v>
      </c>
      <c r="H599" s="1" t="str">
        <f>VLOOKUP(D599,POSLODAVCI!$A$2:$J$107,9,0)</f>
        <v>BILJE</v>
      </c>
      <c r="I599" s="1" t="str">
        <f>VLOOKUP(D599,Table3[],10,0)</f>
        <v>ULICA FERENCA KIŠA 7 KOPAČEVO</v>
      </c>
      <c r="J599" s="461" t="s">
        <v>2210</v>
      </c>
      <c r="K599" s="462">
        <v>45108</v>
      </c>
      <c r="L599" s="462"/>
      <c r="M599" s="456">
        <v>16415068702</v>
      </c>
      <c r="N599" t="s">
        <v>80</v>
      </c>
      <c r="O599" s="458">
        <v>37831</v>
      </c>
      <c r="P599" t="s">
        <v>94</v>
      </c>
      <c r="Q599" t="s">
        <v>82</v>
      </c>
      <c r="R599" t="s">
        <v>2211</v>
      </c>
      <c r="S599" s="5" t="s">
        <v>83</v>
      </c>
      <c r="T599" t="s">
        <v>84</v>
      </c>
      <c r="V599" t="s">
        <v>2212</v>
      </c>
      <c r="W599" t="s">
        <v>2212</v>
      </c>
      <c r="X599" s="306" t="s">
        <v>85</v>
      </c>
      <c r="Y599" s="458">
        <v>45169</v>
      </c>
      <c r="Z599" t="s">
        <v>3041</v>
      </c>
      <c r="AA599">
        <v>20</v>
      </c>
      <c r="AB599" t="s">
        <v>2213</v>
      </c>
      <c r="AC599" s="183"/>
      <c r="AE599" s="183"/>
      <c r="AH599" t="s">
        <v>2170</v>
      </c>
      <c r="AM599" s="463">
        <v>400</v>
      </c>
      <c r="AN599" s="184">
        <v>1</v>
      </c>
      <c r="AW599" s="7"/>
      <c r="AZ599" t="s">
        <v>374</v>
      </c>
      <c r="BA599">
        <v>1</v>
      </c>
    </row>
    <row r="600" spans="1:53" ht="15.5">
      <c r="A600" s="273">
        <v>1</v>
      </c>
      <c r="B600" s="273" t="str">
        <f t="shared" si="33"/>
        <v>AKTIVAN</v>
      </c>
      <c r="C600" s="362">
        <f t="shared" si="32"/>
        <v>598</v>
      </c>
      <c r="D600" s="447">
        <v>56</v>
      </c>
      <c r="E600" s="1" t="str">
        <f>VLOOKUP(D600,Table3[[#All],[RB]:[OIB]],2,0)</f>
        <v>Magnet, vl. Mladen Čabarkapa</v>
      </c>
      <c r="F600" s="4">
        <f>VLOOKUP(D600,Table3[],3,0)</f>
        <v>51892426031</v>
      </c>
      <c r="G600" s="1" t="str">
        <f>VLOOKUP(D600,Table3[],4,0)</f>
        <v>Mladen Čabarkapa</v>
      </c>
      <c r="H600" s="1" t="str">
        <f>VLOOKUP(D600,POSLODAVCI!$A$2:$J$107,9,0)</f>
        <v>Osijek</v>
      </c>
      <c r="I600" s="1" t="str">
        <f>VLOOKUP(D600,Table3[],10,0)</f>
        <v>Sjenjak 10</v>
      </c>
      <c r="J600" s="1" t="s">
        <v>2218</v>
      </c>
      <c r="K600" s="448">
        <v>45282</v>
      </c>
      <c r="L600" s="448"/>
      <c r="M600" s="182">
        <v>68645775117</v>
      </c>
      <c r="N600" t="s">
        <v>80</v>
      </c>
      <c r="O600" s="7">
        <v>45040</v>
      </c>
      <c r="P600" t="s">
        <v>94</v>
      </c>
      <c r="Q600" t="s">
        <v>82</v>
      </c>
      <c r="R600" t="s">
        <v>2219</v>
      </c>
      <c r="S600" s="5" t="s">
        <v>83</v>
      </c>
      <c r="T600" t="s">
        <v>111</v>
      </c>
      <c r="V600" t="s">
        <v>2220</v>
      </c>
      <c r="W600" t="s">
        <v>2220</v>
      </c>
      <c r="X600" s="306" t="s">
        <v>103</v>
      </c>
      <c r="Y600" s="7"/>
      <c r="Z600" s="16" t="s">
        <v>1894</v>
      </c>
      <c r="AA600">
        <v>5</v>
      </c>
      <c r="AB600" s="402" t="s">
        <v>2221</v>
      </c>
      <c r="AC600" s="183"/>
      <c r="AE600" s="183"/>
      <c r="AH600" s="16" t="s">
        <v>94</v>
      </c>
      <c r="AM600" s="449">
        <v>87.51</v>
      </c>
      <c r="AN600" s="184">
        <v>1</v>
      </c>
      <c r="AO600" s="15">
        <v>70</v>
      </c>
      <c r="AW600" s="7"/>
      <c r="AZ600" s="16" t="s">
        <v>374</v>
      </c>
      <c r="BA600">
        <v>1</v>
      </c>
    </row>
    <row r="601" spans="1:53" ht="15.5">
      <c r="A601" s="273">
        <v>1</v>
      </c>
      <c r="B601" s="273" t="str">
        <f t="shared" si="33"/>
        <v>NEAKTIVAN</v>
      </c>
      <c r="C601" s="362">
        <f t="shared" si="32"/>
        <v>599</v>
      </c>
      <c r="D601" s="447">
        <v>57</v>
      </c>
      <c r="E601" s="1" t="str">
        <f>VLOOKUP(D601,Table3[[#All],[RB]:[OIB]],2,0)</f>
        <v>Deviza d.o.o.</v>
      </c>
      <c r="F601" s="4">
        <f>VLOOKUP(D601,Table3[],3,0)</f>
        <v>75015160529</v>
      </c>
      <c r="G601" s="1" t="str">
        <f>VLOOKUP(D601,Table3[],4,0)</f>
        <v>Danka Dakić</v>
      </c>
      <c r="H601" s="1" t="str">
        <f>VLOOKUP(D601,POSLODAVCI!$A$2:$J$107,9,0)</f>
        <v>Osijek</v>
      </c>
      <c r="I601" s="1" t="str">
        <f>VLOOKUP(D601,Table3[],10,0)</f>
        <v>Stjepana Radića 18</v>
      </c>
      <c r="J601" s="1" t="s">
        <v>2223</v>
      </c>
      <c r="K601" s="448">
        <v>36465</v>
      </c>
      <c r="L601" s="448">
        <v>45246</v>
      </c>
      <c r="M601" s="402">
        <v>95676671626</v>
      </c>
      <c r="N601" s="16" t="s">
        <v>80</v>
      </c>
      <c r="O601" s="7"/>
      <c r="P601" s="16" t="s">
        <v>94</v>
      </c>
      <c r="Q601" s="16" t="s">
        <v>82</v>
      </c>
      <c r="R601" s="402" t="s">
        <v>2225</v>
      </c>
      <c r="S601" s="17" t="s">
        <v>83</v>
      </c>
      <c r="T601" s="16" t="s">
        <v>84</v>
      </c>
      <c r="V601" s="16" t="s">
        <v>1538</v>
      </c>
      <c r="W601" s="16" t="s">
        <v>1538</v>
      </c>
      <c r="X601" s="56" t="s">
        <v>103</v>
      </c>
      <c r="Y601" s="7"/>
      <c r="Z601" t="s">
        <v>1817</v>
      </c>
      <c r="AA601">
        <v>40</v>
      </c>
      <c r="AB601" s="402" t="s">
        <v>2226</v>
      </c>
      <c r="AC601" s="183"/>
      <c r="AE601" s="183"/>
      <c r="AH601" s="16" t="s">
        <v>94</v>
      </c>
      <c r="AM601" s="449">
        <v>888.67</v>
      </c>
      <c r="AN601" s="184">
        <v>1</v>
      </c>
      <c r="AW601" s="7"/>
      <c r="AZ601" s="16" t="s">
        <v>374</v>
      </c>
      <c r="BA601">
        <v>1</v>
      </c>
    </row>
    <row r="602" spans="1:53" ht="15.5">
      <c r="A602" s="273">
        <v>110</v>
      </c>
      <c r="B602" s="273" t="str">
        <f t="shared" si="33"/>
        <v>NEAKTIVAN</v>
      </c>
      <c r="C602" s="362">
        <f t="shared" si="32"/>
        <v>600</v>
      </c>
      <c r="D602" s="461">
        <v>36</v>
      </c>
      <c r="E602" s="1" t="str">
        <f>VLOOKUP(D602,Table3[[#All],[RB]:[OIB]],2,0)</f>
        <v>Vital Group d.o.o.</v>
      </c>
      <c r="F602" s="4">
        <f>VLOOKUP(D602,Table3[],3,0)</f>
        <v>45575918003</v>
      </c>
      <c r="G602" s="1" t="str">
        <f>VLOOKUP(D602,Table3[],4,0)</f>
        <v>Balázs Kulcsár</v>
      </c>
      <c r="H602" s="1" t="str">
        <f>VLOOKUP(D602,POSLODAVCI!$A$2:$J$107,9,0)</f>
        <v>Osijek</v>
      </c>
      <c r="I602" s="1" t="str">
        <f>VLOOKUP(D602,Table3[],10,0)</f>
        <v>Ribarska 10</v>
      </c>
      <c r="J602" s="461" t="s">
        <v>2227</v>
      </c>
      <c r="K602" s="462">
        <v>45108</v>
      </c>
      <c r="L602" s="462">
        <v>45152</v>
      </c>
      <c r="M602" s="464">
        <v>68499452734</v>
      </c>
      <c r="N602" t="s">
        <v>80</v>
      </c>
      <c r="O602" s="7">
        <v>38086</v>
      </c>
      <c r="P602" t="s">
        <v>94</v>
      </c>
      <c r="Q602" t="s">
        <v>82</v>
      </c>
      <c r="R602" t="s">
        <v>2228</v>
      </c>
      <c r="S602" s="5" t="s">
        <v>83</v>
      </c>
      <c r="T602" t="s">
        <v>84</v>
      </c>
      <c r="V602" t="s">
        <v>143</v>
      </c>
      <c r="W602" t="s">
        <v>143</v>
      </c>
      <c r="X602" s="306" t="s">
        <v>85</v>
      </c>
      <c r="Y602" s="7">
        <v>45169</v>
      </c>
      <c r="Z602" t="s">
        <v>1817</v>
      </c>
      <c r="AA602">
        <v>40</v>
      </c>
      <c r="AB602" t="s">
        <v>2229</v>
      </c>
      <c r="AC602" s="183"/>
      <c r="AE602" s="183"/>
      <c r="AH602" t="s">
        <v>94</v>
      </c>
      <c r="AL602" t="s">
        <v>83</v>
      </c>
      <c r="AM602" s="463">
        <v>700</v>
      </c>
      <c r="AN602" s="184">
        <v>1</v>
      </c>
      <c r="AO602" s="15">
        <v>560</v>
      </c>
      <c r="AW602" s="7"/>
      <c r="AZ602" t="s">
        <v>374</v>
      </c>
      <c r="BA602">
        <v>110</v>
      </c>
    </row>
    <row r="603" spans="1:53" ht="15.5">
      <c r="A603" s="273">
        <v>74</v>
      </c>
      <c r="B603" s="273" t="str">
        <f t="shared" si="33"/>
        <v>NEAKTIVAN</v>
      </c>
      <c r="C603" s="362">
        <f t="shared" si="32"/>
        <v>601</v>
      </c>
      <c r="D603" s="447">
        <v>31</v>
      </c>
      <c r="E603" s="1" t="str">
        <f>VLOOKUP(D603,Table3[[#All],[RB]:[OIB]],2,0)</f>
        <v>Naturos d.o.o.</v>
      </c>
      <c r="F603" s="4">
        <f>VLOOKUP(D603,Table3[],3,0)</f>
        <v>69606074367</v>
      </c>
      <c r="G603" s="1" t="str">
        <f>VLOOKUP(D603,Table3[],4,0)</f>
        <v>Marko Baban</v>
      </c>
      <c r="H603" s="1" t="str">
        <f>VLOOKUP(D603,POSLODAVCI!$A$2:$J$107,9,0)</f>
        <v>OSIJEK</v>
      </c>
      <c r="I603" s="1" t="str">
        <f>VLOOKUP(D603,Table3[],10,0)</f>
        <v>Ulica Jela 60</v>
      </c>
      <c r="J603" s="1" t="s">
        <v>2230</v>
      </c>
      <c r="K603" s="448">
        <v>45098</v>
      </c>
      <c r="L603" s="448">
        <v>45155</v>
      </c>
      <c r="M603" s="465">
        <v>26432667974</v>
      </c>
      <c r="N603" t="s">
        <v>89</v>
      </c>
      <c r="O603" s="7">
        <v>31071</v>
      </c>
      <c r="R603" s="313" t="s">
        <v>2231</v>
      </c>
      <c r="T603" s="313" t="s">
        <v>111</v>
      </c>
      <c r="V603" s="313" t="s">
        <v>1970</v>
      </c>
      <c r="W603" s="313" t="s">
        <v>1971</v>
      </c>
      <c r="X603" s="333" t="s">
        <v>85</v>
      </c>
      <c r="Y603" s="7"/>
      <c r="Z603" s="16" t="s">
        <v>1894</v>
      </c>
      <c r="AA603">
        <v>5</v>
      </c>
      <c r="AB603" s="16" t="s">
        <v>2290</v>
      </c>
      <c r="AC603" s="183"/>
      <c r="AE603" s="183"/>
      <c r="AH603" s="313" t="s">
        <v>94</v>
      </c>
      <c r="AL603" s="16" t="s">
        <v>83</v>
      </c>
      <c r="AM603" s="449">
        <v>700</v>
      </c>
      <c r="AN603" s="184"/>
      <c r="AW603" s="7"/>
      <c r="AZ603" s="313" t="s">
        <v>374</v>
      </c>
      <c r="BA603">
        <v>24</v>
      </c>
    </row>
    <row r="604" spans="1:53" ht="15.5">
      <c r="A604" s="273">
        <v>1</v>
      </c>
      <c r="B604" s="273" t="str">
        <f t="shared" si="33"/>
        <v>AKTIVAN</v>
      </c>
      <c r="C604" s="362">
        <f t="shared" si="32"/>
        <v>602</v>
      </c>
      <c r="D604" s="1">
        <v>57</v>
      </c>
      <c r="E604" s="1" t="str">
        <f>VLOOKUP(D604,Table3[[#All],[RB]:[OIB]],2,0)</f>
        <v>Deviza d.o.o.</v>
      </c>
      <c r="F604" s="4">
        <f>VLOOKUP(D604,Table3[],3,0)</f>
        <v>75015160529</v>
      </c>
      <c r="G604" s="1" t="str">
        <f>VLOOKUP(D604,Table3[],4,0)</f>
        <v>Danka Dakić</v>
      </c>
      <c r="H604" s="1" t="str">
        <f>VLOOKUP(D604,POSLODAVCI!$A$2:$J$107,9,0)</f>
        <v>Osijek</v>
      </c>
      <c r="I604" s="1" t="str">
        <f>VLOOKUP(D604,Table3[],10,0)</f>
        <v>Stjepana Radića 18</v>
      </c>
      <c r="J604" s="1"/>
      <c r="K604" s="61"/>
      <c r="L604" s="61"/>
      <c r="M604" s="182"/>
      <c r="N604" s="16"/>
      <c r="O604" s="7"/>
      <c r="P604" s="16"/>
      <c r="Q604" s="16"/>
      <c r="R604" s="16"/>
      <c r="S604" s="17"/>
      <c r="T604" s="16"/>
      <c r="U604" s="16"/>
      <c r="V604" s="16"/>
      <c r="W604" s="16"/>
      <c r="X604" s="56"/>
      <c r="Y604" s="7"/>
      <c r="Z604" s="16"/>
      <c r="AA604" s="16"/>
      <c r="AB604" s="16"/>
      <c r="AC604" s="183"/>
      <c r="AD604" s="16"/>
      <c r="AE604" s="183"/>
      <c r="AF604" s="16"/>
      <c r="AG604" s="16"/>
      <c r="AH604" s="16"/>
      <c r="AI604" s="16"/>
      <c r="AJ604" s="16"/>
      <c r="AK604" s="16"/>
      <c r="AL604" s="16"/>
      <c r="AM604" s="90">
        <v>888.86</v>
      </c>
      <c r="AN604" s="184"/>
      <c r="AQ604" s="16"/>
      <c r="AR604" s="16"/>
      <c r="AS604" s="16"/>
      <c r="AT604" s="16"/>
      <c r="AU604" s="16"/>
      <c r="AV604" s="16"/>
      <c r="AW604" s="7"/>
      <c r="AX604" s="16"/>
      <c r="AY604" s="16"/>
      <c r="AZ604" s="16" t="s">
        <v>374</v>
      </c>
      <c r="BA604" s="16">
        <v>1</v>
      </c>
    </row>
    <row r="605" spans="1:53" ht="15.5">
      <c r="A605" s="273">
        <v>1</v>
      </c>
      <c r="B605" s="273" t="str">
        <f t="shared" si="33"/>
        <v>AKTIVAN</v>
      </c>
      <c r="C605" s="362">
        <f t="shared" si="32"/>
        <v>603</v>
      </c>
      <c r="D605" s="1">
        <v>58</v>
      </c>
      <c r="E605" s="1" t="str">
        <f>VLOOKUP(D605,Table3[[#All],[RB]:[OIB]],2,0)</f>
        <v>Terramare vl. Tünde Ódor</v>
      </c>
      <c r="F605" s="4" t="str">
        <f>VLOOKUP(D605,Table3[],3,0)</f>
        <v>06770289546</v>
      </c>
      <c r="G605" s="1" t="str">
        <f>VLOOKUP(D605,Table3[],4,0)</f>
        <v>TÜNDE ÓDOR</v>
      </c>
      <c r="H605" s="1" t="str">
        <f>VLOOKUP(D605,POSLODAVCI!$A$2:$J$107,9,0)</f>
        <v>Jelsa</v>
      </c>
      <c r="I605" s="1" t="str">
        <f>VLOOKUP(D605,Table3[],10,0)</f>
        <v>Trg sv. Ivana 9</v>
      </c>
      <c r="J605" s="1" t="s">
        <v>2239</v>
      </c>
      <c r="K605" s="61">
        <v>45083</v>
      </c>
      <c r="L605" s="61"/>
      <c r="M605" s="182" t="s">
        <v>2241</v>
      </c>
      <c r="N605" s="16" t="s">
        <v>80</v>
      </c>
      <c r="O605" s="7">
        <v>25184</v>
      </c>
      <c r="P605" s="16"/>
      <c r="Q605" s="16" t="s">
        <v>82</v>
      </c>
      <c r="R605" s="16" t="s">
        <v>2244</v>
      </c>
      <c r="S605" s="17" t="s">
        <v>87</v>
      </c>
      <c r="T605" s="16" t="s">
        <v>111</v>
      </c>
      <c r="U605" s="16"/>
      <c r="V605" s="16" t="s">
        <v>2242</v>
      </c>
      <c r="W605" s="16" t="s">
        <v>2242</v>
      </c>
      <c r="X605" s="56" t="s">
        <v>103</v>
      </c>
      <c r="Y605" s="7"/>
      <c r="Z605" t="s">
        <v>1817</v>
      </c>
      <c r="AA605" s="16">
        <v>40</v>
      </c>
      <c r="AB605" s="16" t="s">
        <v>569</v>
      </c>
      <c r="AC605" s="183"/>
      <c r="AD605" s="16"/>
      <c r="AE605" s="183"/>
      <c r="AF605" s="16"/>
      <c r="AG605" s="16"/>
      <c r="AH605" s="16" t="s">
        <v>2246</v>
      </c>
      <c r="AI605" s="16"/>
      <c r="AJ605" s="16"/>
      <c r="AK605" s="16"/>
      <c r="AL605" s="16"/>
      <c r="AM605" s="90">
        <v>888.67</v>
      </c>
      <c r="AN605" s="184">
        <v>1</v>
      </c>
      <c r="AO605" s="130" t="s">
        <v>2247</v>
      </c>
      <c r="AQ605" s="16"/>
      <c r="AR605" s="16"/>
      <c r="AS605" s="16"/>
      <c r="AT605" s="16"/>
      <c r="AU605" s="16"/>
      <c r="AV605" s="16"/>
      <c r="AW605" s="7"/>
      <c r="AX605" s="16"/>
      <c r="AY605" s="16"/>
      <c r="AZ605" s="16" t="s">
        <v>374</v>
      </c>
      <c r="BA605" s="16">
        <v>1</v>
      </c>
    </row>
    <row r="606" spans="1:53" ht="15.5">
      <c r="A606" s="273">
        <v>2</v>
      </c>
      <c r="B606" s="273" t="str">
        <f t="shared" si="33"/>
        <v>AKTIVAN</v>
      </c>
      <c r="C606" s="362">
        <f t="shared" si="32"/>
        <v>604</v>
      </c>
      <c r="D606" s="1">
        <v>58</v>
      </c>
      <c r="E606" s="1" t="str">
        <f>VLOOKUP(D606,Table3[[#All],[RB]:[OIB]],2,0)</f>
        <v>Terramare vl. Tünde Ódor</v>
      </c>
      <c r="F606" s="4" t="str">
        <f>VLOOKUP(D606,Table3[],3,0)</f>
        <v>06770289546</v>
      </c>
      <c r="G606" s="1" t="str">
        <f>VLOOKUP(D606,Table3[],4,0)</f>
        <v>TÜNDE ÓDOR</v>
      </c>
      <c r="H606" s="1" t="str">
        <f>VLOOKUP(D606,POSLODAVCI!$A$2:$J$107,9,0)</f>
        <v>Jelsa</v>
      </c>
      <c r="I606" s="1" t="str">
        <f>VLOOKUP(D606,Table3[],10,0)</f>
        <v>Trg sv. Ivana 9</v>
      </c>
      <c r="J606" s="1" t="s">
        <v>2243</v>
      </c>
      <c r="K606" s="61">
        <v>45083</v>
      </c>
      <c r="L606" s="61"/>
      <c r="M606" s="89" t="s">
        <v>2248</v>
      </c>
      <c r="N606" s="16" t="s">
        <v>80</v>
      </c>
      <c r="O606" s="7">
        <v>45046</v>
      </c>
      <c r="P606" s="16" t="s">
        <v>2249</v>
      </c>
      <c r="Q606" s="16" t="s">
        <v>82</v>
      </c>
      <c r="R606" s="16" t="s">
        <v>2244</v>
      </c>
      <c r="S606" s="17" t="s">
        <v>87</v>
      </c>
      <c r="T606" s="16" t="s">
        <v>111</v>
      </c>
      <c r="U606" s="16"/>
      <c r="V606" s="16" t="s">
        <v>2245</v>
      </c>
      <c r="W606" s="16" t="s">
        <v>2251</v>
      </c>
      <c r="X606" s="56" t="s">
        <v>103</v>
      </c>
      <c r="Y606" s="7"/>
      <c r="Z606" s="16" t="s">
        <v>1894</v>
      </c>
      <c r="AA606" s="16">
        <v>20</v>
      </c>
      <c r="AB606" s="22" t="s">
        <v>2250</v>
      </c>
      <c r="AC606" s="183"/>
      <c r="AD606" s="16"/>
      <c r="AE606" s="183"/>
      <c r="AF606" s="16"/>
      <c r="AG606" s="16"/>
      <c r="AH606" s="16" t="s">
        <v>2246</v>
      </c>
      <c r="AI606" s="16"/>
      <c r="AJ606" s="16"/>
      <c r="AK606" s="16"/>
      <c r="AL606" s="16"/>
      <c r="AM606" s="90">
        <v>700</v>
      </c>
      <c r="AN606" s="184">
        <v>1</v>
      </c>
      <c r="AO606" s="15">
        <v>560</v>
      </c>
      <c r="AQ606" s="16"/>
      <c r="AR606" s="16"/>
      <c r="AS606" s="16"/>
      <c r="AT606" s="16"/>
      <c r="AU606" s="16"/>
      <c r="AV606" s="16"/>
      <c r="AW606" s="7"/>
      <c r="AX606" s="16"/>
      <c r="AY606" s="16"/>
      <c r="AZ606" s="16" t="s">
        <v>374</v>
      </c>
      <c r="BA606" s="16">
        <v>2</v>
      </c>
    </row>
    <row r="607" spans="1:53" ht="16" thickBot="1">
      <c r="A607" s="273">
        <v>3</v>
      </c>
      <c r="B607" s="273" t="str">
        <f t="shared" si="33"/>
        <v>AKTIVAN</v>
      </c>
      <c r="C607" s="362">
        <f t="shared" si="32"/>
        <v>605</v>
      </c>
      <c r="D607" s="461">
        <v>49</v>
      </c>
      <c r="E607" t="str">
        <f>VLOOKUP(D607,POSLODAVCI!$A$2:$J$73,2,0)</f>
        <v>HELT S j.d.o.o.</v>
      </c>
      <c r="F607" s="78">
        <f>VLOOKUP(D607,POSLODAVCI!$A$2:$J$73,3,0)</f>
        <v>55434731380</v>
      </c>
      <c r="G607" t="str">
        <f>VLOOKUP(D607,POSLODAVCI!$A$2:$J$73,4,0)</f>
        <v>Nikolina Roguljić</v>
      </c>
      <c r="H607" t="str">
        <f>VLOOKUP(D607,POSLODAVCI!$A$2:$J$107,9,0)</f>
        <v>Osijek</v>
      </c>
      <c r="I607" t="str">
        <f>VLOOKUP(D607,POSLODAVCI!$A$2:$J$73,10,0)</f>
        <v>Bizovačka 61 31220 Višnjevac</v>
      </c>
      <c r="J607" s="461" t="s">
        <v>2252</v>
      </c>
      <c r="K607" s="61">
        <v>45139</v>
      </c>
      <c r="L607" s="462"/>
      <c r="M607" s="467">
        <v>5856418380</v>
      </c>
      <c r="N607" s="16" t="s">
        <v>80</v>
      </c>
      <c r="O607" s="7">
        <v>37329</v>
      </c>
      <c r="Q607" s="16" t="s">
        <v>82</v>
      </c>
      <c r="R607" s="16" t="s">
        <v>2073</v>
      </c>
      <c r="S607" s="17" t="s">
        <v>428</v>
      </c>
      <c r="T607" s="16" t="s">
        <v>84</v>
      </c>
      <c r="V607" s="16" t="s">
        <v>2071</v>
      </c>
      <c r="W607" s="16" t="s">
        <v>2071</v>
      </c>
      <c r="X607" s="56" t="s">
        <v>103</v>
      </c>
      <c r="Y607" s="7"/>
      <c r="Z607" t="s">
        <v>1817</v>
      </c>
      <c r="AA607">
        <v>40</v>
      </c>
      <c r="AB607" s="402" t="s">
        <v>2074</v>
      </c>
      <c r="AC607" s="183"/>
      <c r="AE607" s="183"/>
      <c r="AH607" s="16" t="s">
        <v>94</v>
      </c>
      <c r="AL607" s="16" t="s">
        <v>83</v>
      </c>
      <c r="AM607" s="463">
        <v>700</v>
      </c>
      <c r="AN607" s="184">
        <v>1</v>
      </c>
      <c r="AW607" s="7"/>
      <c r="AZ607" s="16" t="s">
        <v>374</v>
      </c>
    </row>
    <row r="608" spans="1:53" ht="15.5">
      <c r="A608" s="273">
        <v>6</v>
      </c>
      <c r="B608" s="510" t="s">
        <v>2374</v>
      </c>
      <c r="C608" s="362">
        <f t="shared" si="32"/>
        <v>606</v>
      </c>
      <c r="D608" s="1">
        <v>50</v>
      </c>
      <c r="E608" t="str">
        <f>VLOOKUP(D608,POSLODAVCI!$A$2:$J$73,2,0)</f>
        <v>SKIN BEAUTY VL. IVONA JOZIĆ</v>
      </c>
      <c r="F608" s="78">
        <f>VLOOKUP(D608,POSLODAVCI!$A$2:$J$73,3,0)</f>
        <v>37037018122</v>
      </c>
      <c r="G608" t="str">
        <f>VLOOKUP(D608,POSLODAVCI!$A$2:$J$73,4,0)</f>
        <v>Ivona Jozić</v>
      </c>
      <c r="H608" t="str">
        <f>VLOOKUP(D608,POSLODAVCI!$A$2:$J$107,9,0)</f>
        <v>Osijek</v>
      </c>
      <c r="I608" t="str">
        <f>VLOOKUP(D608,POSLODAVCI!$A$2:$J$73,10,0)</f>
        <v>Reisnerova 84</v>
      </c>
      <c r="J608" s="1" t="s">
        <v>2253</v>
      </c>
      <c r="K608" s="61">
        <v>45139</v>
      </c>
      <c r="L608" s="61">
        <v>45654</v>
      </c>
      <c r="M608" s="182">
        <v>14668137155</v>
      </c>
      <c r="N608" s="16" t="s">
        <v>80</v>
      </c>
      <c r="O608" s="7">
        <v>34276</v>
      </c>
      <c r="P608" s="16" t="s">
        <v>2254</v>
      </c>
      <c r="Q608" s="16" t="s">
        <v>82</v>
      </c>
      <c r="R608" s="16" t="s">
        <v>2255</v>
      </c>
      <c r="S608" s="17" t="s">
        <v>83</v>
      </c>
      <c r="T608" s="16" t="s">
        <v>84</v>
      </c>
      <c r="U608" s="16"/>
      <c r="V608" s="16" t="s">
        <v>2071</v>
      </c>
      <c r="W608" s="16" t="s">
        <v>2071</v>
      </c>
      <c r="X608" s="56" t="s">
        <v>103</v>
      </c>
      <c r="Y608" s="7"/>
      <c r="Z608" s="16" t="s">
        <v>1894</v>
      </c>
      <c r="AA608" s="16">
        <v>36</v>
      </c>
      <c r="AB608" s="16"/>
      <c r="AC608" s="183"/>
      <c r="AD608" s="16"/>
      <c r="AE608" s="183"/>
      <c r="AF608" s="16"/>
      <c r="AG608" s="16"/>
      <c r="AH608" s="16" t="s">
        <v>81</v>
      </c>
      <c r="AI608" s="16"/>
      <c r="AJ608" s="16"/>
      <c r="AK608" s="16"/>
      <c r="AL608" s="16" t="s">
        <v>83</v>
      </c>
      <c r="AM608" s="90">
        <v>4.04</v>
      </c>
      <c r="AN608" s="184"/>
      <c r="AQ608" s="16"/>
      <c r="AR608" s="16"/>
      <c r="AS608" s="16"/>
      <c r="AT608" s="16"/>
      <c r="AU608" s="16"/>
      <c r="AV608" s="16"/>
      <c r="AW608" s="7"/>
      <c r="AX608" s="16"/>
      <c r="AY608" s="16"/>
      <c r="AZ608" s="16" t="s">
        <v>374</v>
      </c>
      <c r="BA608" s="16">
        <v>6</v>
      </c>
    </row>
    <row r="609" spans="1:53" ht="15.5">
      <c r="A609" s="273">
        <v>1</v>
      </c>
      <c r="B609" s="273" t="str">
        <f t="shared" si="33"/>
        <v>AKTIVAN</v>
      </c>
      <c r="C609" s="362">
        <f t="shared" si="32"/>
        <v>607</v>
      </c>
      <c r="D609" s="461">
        <v>59</v>
      </c>
      <c r="E609" s="1" t="str">
        <f>VLOOKUP(D609,Table3[[#All],[RB]:[OIB]],2,0)</f>
        <v>Sweet and Beauty j.d.o.o.</v>
      </c>
      <c r="F609" s="466">
        <f>VLOOKUP(D609,Table3[],3,0)</f>
        <v>81040686135</v>
      </c>
      <c r="G609" s="461" t="str">
        <f>VLOOKUP(D609,Table3[],4,0)</f>
        <v>MONIKA PARAT</v>
      </c>
      <c r="H609" s="461" t="str">
        <f>VLOOKUP(D609,POSLODAVCI!$A$2:$J$107,9,0)</f>
        <v>DARDA</v>
      </c>
      <c r="I609" s="461" t="str">
        <f>VLOOKUP(D609,Table3[],10,0)</f>
        <v>135.BARANJSKE BRIGADE 22</v>
      </c>
      <c r="J609" s="461" t="s">
        <v>2261</v>
      </c>
      <c r="K609" s="462">
        <v>45139</v>
      </c>
      <c r="L609" s="462"/>
      <c r="M609" s="182">
        <v>20293211714</v>
      </c>
      <c r="N609" t="s">
        <v>89</v>
      </c>
      <c r="O609" s="7">
        <v>27415</v>
      </c>
      <c r="Q609" t="s">
        <v>82</v>
      </c>
      <c r="R609" t="s">
        <v>2262</v>
      </c>
      <c r="S609" s="5" t="s">
        <v>83</v>
      </c>
      <c r="T609" t="s">
        <v>1484</v>
      </c>
      <c r="V609" t="s">
        <v>2263</v>
      </c>
      <c r="W609" t="s">
        <v>2264</v>
      </c>
      <c r="X609" s="306" t="s">
        <v>103</v>
      </c>
      <c r="Y609" s="7"/>
      <c r="Z609" s="16" t="s">
        <v>1894</v>
      </c>
      <c r="AA609">
        <v>20</v>
      </c>
      <c r="AC609" s="183"/>
      <c r="AE609" s="183"/>
      <c r="AH609" t="s">
        <v>1199</v>
      </c>
      <c r="AM609" s="463">
        <v>350</v>
      </c>
      <c r="AN609" s="184">
        <v>1</v>
      </c>
      <c r="AO609" s="15">
        <v>280</v>
      </c>
      <c r="AW609" s="7"/>
      <c r="AZ609" t="s">
        <v>374</v>
      </c>
      <c r="BA609">
        <v>1</v>
      </c>
    </row>
    <row r="610" spans="1:53" ht="15.5">
      <c r="A610" s="273">
        <v>1</v>
      </c>
      <c r="B610" s="273" t="str">
        <f t="shared" si="33"/>
        <v>AKTIVAN</v>
      </c>
      <c r="C610" s="362">
        <f t="shared" si="32"/>
        <v>608</v>
      </c>
      <c r="D610" s="461">
        <v>54</v>
      </c>
      <c r="E610" s="1" t="str">
        <f>VLOOKUP(D610,Table3[[#All],[RB]:[OIB]],2,0)</f>
        <v>JUICYVAPOUR D.O.O.</v>
      </c>
      <c r="F610" s="466">
        <f>VLOOKUP(D610,Table3[],3,0)</f>
        <v>71914192370</v>
      </c>
      <c r="G610" s="461" t="str">
        <f>VLOOKUP(D610,Table3[],4,0)</f>
        <v>JOZSEF BALOG</v>
      </c>
      <c r="H610" s="461" t="str">
        <f>VLOOKUP(D610,POSLODAVCI!$A$2:$J$107,9,0)</f>
        <v>Osijek+</v>
      </c>
      <c r="I610" s="461" t="str">
        <f>VLOOKUP(D610,Table3[],10,0)</f>
        <v>Ribarska 10</v>
      </c>
      <c r="J610" s="461" t="s">
        <v>2265</v>
      </c>
      <c r="K610" s="462">
        <v>45141</v>
      </c>
      <c r="L610" s="462"/>
      <c r="M610" s="182">
        <v>78239188710</v>
      </c>
      <c r="N610" t="s">
        <v>89</v>
      </c>
      <c r="O610" s="7">
        <v>32029</v>
      </c>
      <c r="P610" t="s">
        <v>1600</v>
      </c>
      <c r="Q610" t="s">
        <v>376</v>
      </c>
      <c r="R610" t="s">
        <v>2266</v>
      </c>
      <c r="S610" s="5" t="s">
        <v>83</v>
      </c>
      <c r="T610" t="s">
        <v>84</v>
      </c>
      <c r="V610" t="s">
        <v>295</v>
      </c>
      <c r="W610" t="s">
        <v>295</v>
      </c>
      <c r="X610" s="306" t="s">
        <v>103</v>
      </c>
      <c r="Y610" s="7"/>
      <c r="Z610" t="s">
        <v>1817</v>
      </c>
      <c r="AA610">
        <v>40</v>
      </c>
      <c r="AB610" t="s">
        <v>2339</v>
      </c>
      <c r="AC610" s="183"/>
      <c r="AE610" s="183"/>
      <c r="AH610" t="s">
        <v>2185</v>
      </c>
      <c r="AM610" s="463">
        <v>700</v>
      </c>
      <c r="AN610" s="184">
        <v>1</v>
      </c>
      <c r="AO610" s="15">
        <v>560</v>
      </c>
      <c r="AW610" s="7"/>
      <c r="AZ610" t="s">
        <v>374</v>
      </c>
      <c r="BA610">
        <v>1</v>
      </c>
    </row>
    <row r="611" spans="1:53" ht="15.5">
      <c r="A611" s="273">
        <v>111</v>
      </c>
      <c r="B611" s="273" t="str">
        <f t="shared" si="33"/>
        <v>NEAKTIVAN</v>
      </c>
      <c r="C611" s="362">
        <f t="shared" si="32"/>
        <v>609</v>
      </c>
      <c r="D611" s="461">
        <v>36</v>
      </c>
      <c r="E611" s="1" t="str">
        <f>VLOOKUP(D611,Table3[[#All],[RB]:[OIB]],2,0)</f>
        <v>Vital Group d.o.o.</v>
      </c>
      <c r="F611" s="466">
        <f>VLOOKUP(D611,Table3[],3,0)</f>
        <v>45575918003</v>
      </c>
      <c r="G611" s="461" t="str">
        <f>VLOOKUP(D611,Table3[],4,0)</f>
        <v>Balázs Kulcsár</v>
      </c>
      <c r="H611" s="461" t="str">
        <f>VLOOKUP(D611,POSLODAVCI!$A$2:$J$107,9,0)</f>
        <v>Osijek</v>
      </c>
      <c r="I611" s="461" t="str">
        <f>VLOOKUP(D611,Table3[],10,0)</f>
        <v>Ribarska 10</v>
      </c>
      <c r="J611" s="461" t="s">
        <v>2267</v>
      </c>
      <c r="K611" s="462">
        <v>45138</v>
      </c>
      <c r="L611" s="462">
        <v>45204</v>
      </c>
      <c r="M611" s="182">
        <v>90284631248</v>
      </c>
      <c r="N611" t="s">
        <v>80</v>
      </c>
      <c r="O611" s="7">
        <v>37458</v>
      </c>
      <c r="P611" t="s">
        <v>94</v>
      </c>
      <c r="Q611" t="s">
        <v>82</v>
      </c>
      <c r="R611" t="s">
        <v>2268</v>
      </c>
      <c r="S611" s="5" t="s">
        <v>83</v>
      </c>
      <c r="T611" t="s">
        <v>84</v>
      </c>
      <c r="V611" t="s">
        <v>660</v>
      </c>
      <c r="W611" t="s">
        <v>660</v>
      </c>
      <c r="X611" s="306" t="s">
        <v>103</v>
      </c>
      <c r="Y611" s="7"/>
      <c r="Z611" t="s">
        <v>1817</v>
      </c>
      <c r="AA611">
        <v>40</v>
      </c>
      <c r="AB611" t="s">
        <v>2269</v>
      </c>
      <c r="AC611" s="183"/>
      <c r="AE611" s="183"/>
      <c r="AH611" t="s">
        <v>94</v>
      </c>
      <c r="AL611" s="16" t="s">
        <v>83</v>
      </c>
      <c r="AM611" s="463">
        <v>700</v>
      </c>
      <c r="AN611" s="184">
        <v>1</v>
      </c>
      <c r="AO611" s="15">
        <v>560</v>
      </c>
      <c r="AW611" s="7"/>
      <c r="AZ611" t="s">
        <v>374</v>
      </c>
      <c r="BA611">
        <v>111</v>
      </c>
    </row>
    <row r="612" spans="1:53" ht="15.5">
      <c r="A612" s="273">
        <v>7</v>
      </c>
      <c r="B612" s="273" t="str">
        <f t="shared" si="33"/>
        <v>NEAKTIVAN</v>
      </c>
      <c r="C612" s="362">
        <f t="shared" si="32"/>
        <v>610</v>
      </c>
      <c r="D612" s="461">
        <v>50</v>
      </c>
      <c r="E612" s="1" t="str">
        <f>VLOOKUP(D612,Table3[[#All],[RB]:[OIB]],2,0)</f>
        <v>SKIN BEAUTY VL. IVONA JOZIĆ</v>
      </c>
      <c r="F612" s="466">
        <f>VLOOKUP(D612,Table3[],3,0)</f>
        <v>37037018122</v>
      </c>
      <c r="G612" s="461" t="str">
        <f>VLOOKUP(D612,Table3[],4,0)</f>
        <v>Ivona Jozić</v>
      </c>
      <c r="H612" s="461" t="str">
        <f>VLOOKUP(D612,POSLODAVCI!$A$2:$J$107,9,0)</f>
        <v>Osijek</v>
      </c>
      <c r="I612" s="461" t="str">
        <f>VLOOKUP(D612,Table3[],10,0)</f>
        <v>Reisnerova 84</v>
      </c>
      <c r="J612" s="461" t="s">
        <v>2270</v>
      </c>
      <c r="K612" s="462">
        <v>45160</v>
      </c>
      <c r="L612" s="462">
        <v>45190</v>
      </c>
      <c r="M612" s="182">
        <v>56573554217</v>
      </c>
      <c r="N612" t="s">
        <v>80</v>
      </c>
      <c r="O612" s="7">
        <v>29416</v>
      </c>
      <c r="P612" s="16" t="s">
        <v>81</v>
      </c>
      <c r="Q612" s="16" t="s">
        <v>82</v>
      </c>
      <c r="R612" s="16" t="s">
        <v>2271</v>
      </c>
      <c r="S612" s="17" t="s">
        <v>83</v>
      </c>
      <c r="T612" s="16" t="s">
        <v>84</v>
      </c>
      <c r="V612" s="16" t="s">
        <v>1774</v>
      </c>
      <c r="W612" s="16" t="s">
        <v>1775</v>
      </c>
      <c r="X612" s="56" t="s">
        <v>85</v>
      </c>
      <c r="Y612" s="7">
        <v>45190</v>
      </c>
      <c r="Z612" s="16" t="s">
        <v>1894</v>
      </c>
      <c r="AA612">
        <v>5</v>
      </c>
      <c r="AB612" s="16" t="s">
        <v>2272</v>
      </c>
      <c r="AC612" s="183"/>
      <c r="AE612" s="183"/>
      <c r="AH612" s="16" t="s">
        <v>94</v>
      </c>
      <c r="AM612" s="463">
        <v>700</v>
      </c>
      <c r="AN612" s="184">
        <v>1</v>
      </c>
      <c r="AO612" s="15">
        <v>560</v>
      </c>
      <c r="AW612" s="7"/>
      <c r="AZ612" s="16" t="s">
        <v>374</v>
      </c>
      <c r="BA612">
        <v>7</v>
      </c>
    </row>
    <row r="613" spans="1:53" ht="15.5">
      <c r="A613" s="273">
        <v>112</v>
      </c>
      <c r="B613" s="273" t="s">
        <v>2374</v>
      </c>
      <c r="C613" s="362">
        <f t="shared" si="32"/>
        <v>611</v>
      </c>
      <c r="D613" s="461">
        <v>36</v>
      </c>
      <c r="E613" t="str">
        <f>VLOOKUP(D613,POSLODAVCI!$A$2:$J$73,2,0)</f>
        <v>Vital Group d.o.o.</v>
      </c>
      <c r="F613" s="78">
        <f>VLOOKUP(D613,POSLODAVCI!$A$2:$J$73,3,0)</f>
        <v>45575918003</v>
      </c>
      <c r="G613" t="str">
        <f>VLOOKUP(D613,POSLODAVCI!$A$2:$J$73,4,0)</f>
        <v>Balázs Kulcsár</v>
      </c>
      <c r="H613" t="str">
        <f>VLOOKUP(D613,POSLODAVCI!$A$2:$J$107,9,0)</f>
        <v>Osijek</v>
      </c>
      <c r="I613" t="str">
        <f>VLOOKUP(D613,POSLODAVCI!$A$2:$J$73,10,0)</f>
        <v>Ribarska 10</v>
      </c>
      <c r="J613" s="461" t="s">
        <v>2273</v>
      </c>
      <c r="K613" s="462">
        <v>45148</v>
      </c>
      <c r="L613" s="462">
        <v>45169</v>
      </c>
      <c r="M613" s="182">
        <v>43298855978</v>
      </c>
      <c r="N613" t="s">
        <v>80</v>
      </c>
      <c r="O613" s="7">
        <v>35540</v>
      </c>
      <c r="P613" t="s">
        <v>94</v>
      </c>
      <c r="Q613" t="s">
        <v>82</v>
      </c>
      <c r="R613" t="s">
        <v>2277</v>
      </c>
      <c r="S613" s="5" t="s">
        <v>83</v>
      </c>
      <c r="T613" t="s">
        <v>84</v>
      </c>
      <c r="V613" t="s">
        <v>143</v>
      </c>
      <c r="W613" t="s">
        <v>143</v>
      </c>
      <c r="X613" s="306" t="s">
        <v>85</v>
      </c>
      <c r="Y613" s="7">
        <v>45169</v>
      </c>
      <c r="Z613" t="s">
        <v>1817</v>
      </c>
      <c r="AA613">
        <v>40</v>
      </c>
      <c r="AB613" t="s">
        <v>2278</v>
      </c>
      <c r="AC613" s="183"/>
      <c r="AE613" s="183"/>
      <c r="AH613" t="s">
        <v>81</v>
      </c>
      <c r="AL613" s="16" t="s">
        <v>83</v>
      </c>
      <c r="AM613" s="463">
        <v>700</v>
      </c>
      <c r="AN613" s="184">
        <v>1</v>
      </c>
      <c r="AO613" s="15">
        <v>560</v>
      </c>
      <c r="AW613" s="7"/>
      <c r="AZ613" t="s">
        <v>2366</v>
      </c>
      <c r="BA613">
        <v>112</v>
      </c>
    </row>
    <row r="614" spans="1:53" ht="15.5">
      <c r="A614" s="273">
        <v>113</v>
      </c>
      <c r="B614" s="273" t="str">
        <f t="shared" si="33"/>
        <v>AKTIVAN</v>
      </c>
      <c r="C614" s="362">
        <f t="shared" si="32"/>
        <v>612</v>
      </c>
      <c r="D614" s="461">
        <v>36</v>
      </c>
      <c r="E614" t="str">
        <f>VLOOKUP(D614,POSLODAVCI!$A$2:$J$73,2,0)</f>
        <v>Vital Group d.o.o.</v>
      </c>
      <c r="F614" s="78">
        <f>VLOOKUP(D614,POSLODAVCI!$A$2:$J$73,3,0)</f>
        <v>45575918003</v>
      </c>
      <c r="G614" t="str">
        <f>VLOOKUP(D614,POSLODAVCI!$A$2:$J$73,4,0)</f>
        <v>Balázs Kulcsár</v>
      </c>
      <c r="H614" t="str">
        <f>VLOOKUP(D614,POSLODAVCI!$A$2:$J$107,9,0)</f>
        <v>Osijek</v>
      </c>
      <c r="I614" t="str">
        <f>VLOOKUP(D614,POSLODAVCI!$A$2:$J$73,10,0)</f>
        <v>Ribarska 10</v>
      </c>
      <c r="J614" s="469" t="s">
        <v>2274</v>
      </c>
      <c r="K614" s="470">
        <v>45156</v>
      </c>
      <c r="L614" s="470"/>
      <c r="M614" s="182">
        <v>49549168392</v>
      </c>
      <c r="N614" t="s">
        <v>80</v>
      </c>
      <c r="O614" s="7">
        <v>27333</v>
      </c>
      <c r="Q614" t="s">
        <v>82</v>
      </c>
      <c r="R614" t="s">
        <v>2276</v>
      </c>
      <c r="S614" s="5" t="s">
        <v>83</v>
      </c>
      <c r="T614" t="s">
        <v>84</v>
      </c>
      <c r="V614" t="s">
        <v>143</v>
      </c>
      <c r="W614" t="s">
        <v>143</v>
      </c>
      <c r="X614" s="306" t="s">
        <v>85</v>
      </c>
      <c r="Y614" s="7">
        <v>45169</v>
      </c>
      <c r="Z614" t="s">
        <v>1817</v>
      </c>
      <c r="AA614">
        <v>40</v>
      </c>
      <c r="AB614" t="s">
        <v>689</v>
      </c>
      <c r="AC614" s="183"/>
      <c r="AE614" s="183"/>
      <c r="AH614" t="s">
        <v>94</v>
      </c>
      <c r="AL614" s="16" t="s">
        <v>83</v>
      </c>
      <c r="AM614" s="463">
        <v>700</v>
      </c>
      <c r="AN614" s="184">
        <v>1</v>
      </c>
      <c r="AO614" s="15">
        <v>560</v>
      </c>
      <c r="AW614" s="7"/>
      <c r="AZ614" t="s">
        <v>374</v>
      </c>
      <c r="BA614">
        <v>113</v>
      </c>
    </row>
    <row r="615" spans="1:53" ht="15.5">
      <c r="A615" s="273">
        <v>114</v>
      </c>
      <c r="B615" s="273" t="s">
        <v>2374</v>
      </c>
      <c r="C615" s="362">
        <f t="shared" si="32"/>
        <v>613</v>
      </c>
      <c r="D615" s="461">
        <v>36</v>
      </c>
      <c r="E615" t="str">
        <f>VLOOKUP(D615,POSLODAVCI!$A$2:$J$73,2,0)</f>
        <v>Vital Group d.o.o.</v>
      </c>
      <c r="F615" s="78">
        <f>VLOOKUP(D615,POSLODAVCI!$A$2:$J$73,3,0)</f>
        <v>45575918003</v>
      </c>
      <c r="G615" t="str">
        <f>VLOOKUP(D615,POSLODAVCI!$A$2:$J$73,4,0)</f>
        <v>Balázs Kulcsár</v>
      </c>
      <c r="H615" t="str">
        <f>VLOOKUP(D615,POSLODAVCI!$A$2:$J$107,9,0)</f>
        <v>Osijek</v>
      </c>
      <c r="I615" t="str">
        <f>VLOOKUP(D615,POSLODAVCI!$A$2:$J$73,10,0)</f>
        <v>Ribarska 10</v>
      </c>
      <c r="J615" s="461" t="s">
        <v>2275</v>
      </c>
      <c r="K615" s="462">
        <v>45160</v>
      </c>
      <c r="L615" s="462"/>
      <c r="M615" s="182">
        <v>73503373353</v>
      </c>
      <c r="N615" t="s">
        <v>80</v>
      </c>
      <c r="O615" s="7">
        <v>27192</v>
      </c>
      <c r="Q615" t="s">
        <v>82</v>
      </c>
      <c r="R615" t="s">
        <v>2279</v>
      </c>
      <c r="S615" s="5" t="s">
        <v>83</v>
      </c>
      <c r="T615" t="s">
        <v>84</v>
      </c>
      <c r="V615" t="s">
        <v>143</v>
      </c>
      <c r="W615" t="s">
        <v>143</v>
      </c>
      <c r="X615" s="306" t="s">
        <v>85</v>
      </c>
      <c r="Y615" s="7">
        <v>45199</v>
      </c>
      <c r="Z615" t="s">
        <v>1817</v>
      </c>
      <c r="AA615">
        <v>40</v>
      </c>
      <c r="AB615" t="s">
        <v>2280</v>
      </c>
      <c r="AC615" s="183"/>
      <c r="AE615" s="183"/>
      <c r="AH615" t="s">
        <v>81</v>
      </c>
      <c r="AL615" s="16" t="s">
        <v>83</v>
      </c>
      <c r="AM615" s="463">
        <v>700</v>
      </c>
      <c r="AN615" s="184">
        <v>1</v>
      </c>
      <c r="AO615" s="15">
        <v>560</v>
      </c>
      <c r="AW615" s="7"/>
      <c r="AZ615" t="s">
        <v>374</v>
      </c>
      <c r="BA615">
        <v>114</v>
      </c>
    </row>
    <row r="616" spans="1:53" ht="15.5">
      <c r="A616" s="273">
        <v>115</v>
      </c>
      <c r="B616" s="273" t="str">
        <f t="shared" si="33"/>
        <v>NEAKTIVAN</v>
      </c>
      <c r="C616" s="362">
        <f t="shared" si="32"/>
        <v>614</v>
      </c>
      <c r="D616" s="461">
        <v>31</v>
      </c>
      <c r="E616" t="str">
        <f>VLOOKUP(D616,POSLODAVCI!$A$2:$J$73,2,0)</f>
        <v>Naturos d.o.o.</v>
      </c>
      <c r="F616" s="4">
        <f>VLOOKUP(D616,Table3[],3,0)</f>
        <v>69606074367</v>
      </c>
      <c r="G616" t="str">
        <f>VLOOKUP(D616,POSLODAVCI!$A$2:$J$73,4,0)</f>
        <v>Marko Baban</v>
      </c>
      <c r="H616" t="str">
        <f>VLOOKUP(D616,POSLODAVCI!$A$2:$J$107,9,0)</f>
        <v>OSIJEK</v>
      </c>
      <c r="I616" t="str">
        <f>VLOOKUP(D616,POSLODAVCI!$A$2:$J$73,10,0)</f>
        <v>Ulica Jela 60</v>
      </c>
      <c r="J616" s="461" t="s">
        <v>2283</v>
      </c>
      <c r="K616" s="462">
        <v>45078</v>
      </c>
      <c r="L616" s="462">
        <v>45212</v>
      </c>
      <c r="M616" s="468">
        <v>70177629950</v>
      </c>
      <c r="N616" s="16" t="s">
        <v>89</v>
      </c>
      <c r="O616" s="7">
        <v>35531</v>
      </c>
      <c r="R616" s="16" t="s">
        <v>2284</v>
      </c>
      <c r="T616" s="16" t="s">
        <v>84</v>
      </c>
      <c r="W616" s="16" t="s">
        <v>2285</v>
      </c>
      <c r="X616" s="56" t="s">
        <v>85</v>
      </c>
      <c r="Y616" s="7">
        <v>45170</v>
      </c>
      <c r="Z616" t="s">
        <v>1817</v>
      </c>
      <c r="AA616">
        <v>40</v>
      </c>
      <c r="AB616" s="16" t="s">
        <v>2286</v>
      </c>
      <c r="AC616" s="183"/>
      <c r="AE616" s="183"/>
      <c r="AH616" s="16" t="s">
        <v>94</v>
      </c>
      <c r="AL616" s="16" t="s">
        <v>83</v>
      </c>
      <c r="AM616" s="463">
        <v>817.76</v>
      </c>
      <c r="AN616" s="184"/>
      <c r="AW616" s="7"/>
    </row>
    <row r="617" spans="1:53" ht="15.5">
      <c r="A617" s="273">
        <v>116</v>
      </c>
      <c r="B617" s="273" t="str">
        <f t="shared" si="33"/>
        <v>NEAKTIVAN</v>
      </c>
      <c r="C617" s="362">
        <f t="shared" si="32"/>
        <v>615</v>
      </c>
      <c r="D617" s="461">
        <v>31</v>
      </c>
      <c r="E617" t="str">
        <f>VLOOKUP(D617,POSLODAVCI!$A$2:$J$73,2,0)</f>
        <v>Naturos d.o.o.</v>
      </c>
      <c r="F617" s="4">
        <f>VLOOKUP(D617,Table3[],3,0)</f>
        <v>69606074367</v>
      </c>
      <c r="G617" t="str">
        <f>VLOOKUP(D617,POSLODAVCI!$A$2:$J$73,4,0)</f>
        <v>Marko Baban</v>
      </c>
      <c r="H617" t="str">
        <f>VLOOKUP(D617,POSLODAVCI!$A$2:$J$107,9,0)</f>
        <v>OSIJEK</v>
      </c>
      <c r="I617" t="str">
        <f>VLOOKUP(D617,POSLODAVCI!$A$2:$J$73,10,0)</f>
        <v>Ulica Jela 60</v>
      </c>
      <c r="J617" s="1" t="s">
        <v>2287</v>
      </c>
      <c r="K617" s="462">
        <v>45061</v>
      </c>
      <c r="L617" s="462">
        <v>45154</v>
      </c>
      <c r="M617" s="468">
        <v>19954306867</v>
      </c>
      <c r="N617" s="16" t="s">
        <v>89</v>
      </c>
      <c r="O617" s="7">
        <v>35733</v>
      </c>
      <c r="R617" s="16" t="s">
        <v>2288</v>
      </c>
      <c r="T617" s="16" t="s">
        <v>84</v>
      </c>
      <c r="W617" s="16" t="s">
        <v>2128</v>
      </c>
      <c r="X617" s="56" t="s">
        <v>85</v>
      </c>
      <c r="Y617" s="7">
        <v>45153</v>
      </c>
      <c r="Z617" t="s">
        <v>1817</v>
      </c>
      <c r="AA617">
        <v>40</v>
      </c>
      <c r="AB617" s="16" t="s">
        <v>2289</v>
      </c>
      <c r="AC617" s="183"/>
      <c r="AE617" s="183"/>
      <c r="AH617" s="16" t="s">
        <v>94</v>
      </c>
      <c r="AL617" s="16" t="s">
        <v>83</v>
      </c>
      <c r="AM617" s="463">
        <v>700</v>
      </c>
      <c r="AN617" s="184"/>
      <c r="AW617" s="7"/>
    </row>
    <row r="618" spans="1:53" ht="15.5">
      <c r="A618" s="273">
        <v>117</v>
      </c>
      <c r="B618" s="273" t="str">
        <f t="shared" si="33"/>
        <v>NEAKTIVAN</v>
      </c>
      <c r="C618" s="362">
        <f t="shared" si="32"/>
        <v>616</v>
      </c>
      <c r="D618" s="461">
        <v>31</v>
      </c>
      <c r="E618" t="str">
        <f>VLOOKUP(D618,POSLODAVCI!$A$2:$J$73,2,0)</f>
        <v>Naturos d.o.o.</v>
      </c>
      <c r="F618" s="4">
        <f>VLOOKUP(D618,Table3[],3,0)</f>
        <v>69606074367</v>
      </c>
      <c r="G618" t="str">
        <f>VLOOKUP(D618,POSLODAVCI!$A$2:$J$73,4,0)</f>
        <v>Marko Baban</v>
      </c>
      <c r="H618" t="str">
        <f>VLOOKUP(D618,POSLODAVCI!$A$2:$J$107,9,0)</f>
        <v>OSIJEK</v>
      </c>
      <c r="I618" t="str">
        <f>VLOOKUP(D618,POSLODAVCI!$A$2:$J$73,10,0)</f>
        <v>Ulica Jela 60</v>
      </c>
      <c r="J618" s="461" t="s">
        <v>2281</v>
      </c>
      <c r="K618" s="462">
        <v>45127</v>
      </c>
      <c r="L618" s="462">
        <v>45205</v>
      </c>
      <c r="M618" s="468">
        <v>57347396375</v>
      </c>
      <c r="N618" s="16" t="s">
        <v>89</v>
      </c>
      <c r="O618" s="7">
        <v>33725</v>
      </c>
      <c r="R618" s="16" t="s">
        <v>2291</v>
      </c>
      <c r="T618" s="16" t="s">
        <v>84</v>
      </c>
      <c r="W618" s="16" t="s">
        <v>2292</v>
      </c>
      <c r="X618" s="56" t="s">
        <v>85</v>
      </c>
      <c r="Y618" s="7">
        <v>45219</v>
      </c>
      <c r="Z618" t="s">
        <v>1817</v>
      </c>
      <c r="AA618">
        <v>40</v>
      </c>
      <c r="AB618" s="468" t="s">
        <v>2293</v>
      </c>
      <c r="AC618" s="183"/>
      <c r="AE618" s="183"/>
      <c r="AH618" s="16" t="s">
        <v>94</v>
      </c>
      <c r="AL618" s="16" t="s">
        <v>83</v>
      </c>
      <c r="AM618" s="463">
        <v>700</v>
      </c>
      <c r="AN618" s="184"/>
      <c r="AW618" s="7"/>
    </row>
    <row r="619" spans="1:53" ht="15.5">
      <c r="A619" s="273">
        <v>118</v>
      </c>
      <c r="B619" s="273" t="str">
        <f t="shared" si="33"/>
        <v>NEAKTIVAN</v>
      </c>
      <c r="C619" s="362">
        <f t="shared" si="32"/>
        <v>617</v>
      </c>
      <c r="D619" s="461">
        <v>31</v>
      </c>
      <c r="E619" t="str">
        <f>VLOOKUP(D619,POSLODAVCI!$A$2:$J$73,2,0)</f>
        <v>Naturos d.o.o.</v>
      </c>
      <c r="F619" s="4">
        <f>VLOOKUP(D619,Table3[],3,0)</f>
        <v>69606074367</v>
      </c>
      <c r="G619" t="str">
        <f>VLOOKUP(D619,POSLODAVCI!$A$2:$J$73,4,0)</f>
        <v>Marko Baban</v>
      </c>
      <c r="H619" t="str">
        <f>VLOOKUP(D619,POSLODAVCI!$A$2:$J$107,9,0)</f>
        <v>OSIJEK</v>
      </c>
      <c r="I619" t="str">
        <f>VLOOKUP(D619,POSLODAVCI!$A$2:$J$73,10,0)</f>
        <v>Ulica Jela 60</v>
      </c>
      <c r="J619" s="1" t="s">
        <v>2294</v>
      </c>
      <c r="K619" s="462">
        <v>45065</v>
      </c>
      <c r="L619" s="462">
        <v>45152</v>
      </c>
      <c r="M619" s="182">
        <v>62907109979</v>
      </c>
      <c r="N619" s="16" t="s">
        <v>89</v>
      </c>
      <c r="O619" s="7">
        <v>29067</v>
      </c>
      <c r="R619" s="16" t="s">
        <v>2295</v>
      </c>
      <c r="T619" s="16" t="s">
        <v>84</v>
      </c>
      <c r="W619" s="16" t="s">
        <v>2299</v>
      </c>
      <c r="X619" s="56" t="s">
        <v>85</v>
      </c>
      <c r="Y619" s="7">
        <v>45157</v>
      </c>
      <c r="Z619" t="s">
        <v>1817</v>
      </c>
      <c r="AA619">
        <v>40</v>
      </c>
      <c r="AB619" s="16" t="s">
        <v>2296</v>
      </c>
      <c r="AC619" s="183"/>
      <c r="AE619" s="183"/>
      <c r="AH619" s="16" t="s">
        <v>94</v>
      </c>
      <c r="AL619" s="16" t="s">
        <v>83</v>
      </c>
      <c r="AM619" s="463">
        <v>700</v>
      </c>
      <c r="AN619" s="184"/>
      <c r="AW619" s="7"/>
    </row>
    <row r="620" spans="1:53" ht="15.5">
      <c r="A620" s="273">
        <v>119</v>
      </c>
      <c r="B620" s="273" t="str">
        <f t="shared" si="33"/>
        <v>NEAKTIVAN</v>
      </c>
      <c r="C620" s="362">
        <f t="shared" si="32"/>
        <v>618</v>
      </c>
      <c r="D620" s="461">
        <v>31</v>
      </c>
      <c r="E620" t="str">
        <f>VLOOKUP(D620,POSLODAVCI!$A$2:$J$73,2,0)</f>
        <v>Naturos d.o.o.</v>
      </c>
      <c r="F620" s="4">
        <f>VLOOKUP(D620,Table3[],3,0)</f>
        <v>69606074367</v>
      </c>
      <c r="G620" t="str">
        <f>VLOOKUP(D620,POSLODAVCI!$A$2:$J$73,4,0)</f>
        <v>Marko Baban</v>
      </c>
      <c r="H620" t="str">
        <f>VLOOKUP(D620,POSLODAVCI!$A$2:$J$107,9,0)</f>
        <v>OSIJEK</v>
      </c>
      <c r="I620" t="str">
        <f>VLOOKUP(D620,POSLODAVCI!$A$2:$J$73,10,0)</f>
        <v>Ulica Jela 60</v>
      </c>
      <c r="J620" s="461" t="s">
        <v>2282</v>
      </c>
      <c r="K620" s="462">
        <v>45138</v>
      </c>
      <c r="L620" s="462">
        <v>45190</v>
      </c>
      <c r="M620" s="182">
        <v>40884899543</v>
      </c>
      <c r="N620" s="16" t="s">
        <v>89</v>
      </c>
      <c r="O620" s="7">
        <v>29965</v>
      </c>
      <c r="R620" s="16" t="s">
        <v>2297</v>
      </c>
      <c r="T620" s="16" t="s">
        <v>84</v>
      </c>
      <c r="W620" s="16" t="s">
        <v>1562</v>
      </c>
      <c r="X620" s="56" t="s">
        <v>85</v>
      </c>
      <c r="Y620" s="7">
        <v>45230</v>
      </c>
      <c r="Z620" t="s">
        <v>1817</v>
      </c>
      <c r="AA620">
        <v>40</v>
      </c>
      <c r="AB620" s="468" t="s">
        <v>2298</v>
      </c>
      <c r="AC620" s="183"/>
      <c r="AE620" s="183"/>
      <c r="AH620" s="16" t="s">
        <v>94</v>
      </c>
      <c r="AL620" s="16" t="s">
        <v>83</v>
      </c>
      <c r="AM620" s="463">
        <v>700</v>
      </c>
      <c r="AN620" s="184"/>
      <c r="AW620" s="7"/>
    </row>
    <row r="621" spans="1:53" ht="15.5">
      <c r="A621" s="273">
        <v>20</v>
      </c>
      <c r="B621" s="273" t="str">
        <f t="shared" si="33"/>
        <v>NEAKTIVAN</v>
      </c>
      <c r="C621" s="362">
        <f t="shared" si="32"/>
        <v>619</v>
      </c>
      <c r="D621" s="461">
        <v>26</v>
      </c>
      <c r="E621" t="str">
        <f>VLOOKUP(D621,POSLODAVCI!$A$2:$J$73,2,0)</f>
        <v>D-INVOICE D.O.O.</v>
      </c>
      <c r="F621" s="78">
        <f>VLOOKUP(D621,POSLODAVCI!$A$2:$J$73,3,0)</f>
        <v>95114485977</v>
      </c>
      <c r="G621" t="str">
        <f>VLOOKUP(D621,POSLODAVCI!$A$2:$J$73,4,0)</f>
        <v>LAURA GERGELJ</v>
      </c>
      <c r="H621" t="str">
        <f>VLOOKUP(D621,POSLODAVCI!$A$2:$J$107,9,0)</f>
        <v>Osijek</v>
      </c>
      <c r="I621" t="str">
        <f>VLOOKUP(D621,POSLODAVCI!$A$2:$J$73,10,0)</f>
        <v>SV.IVANA KRSTITELJA 15, DARDA</v>
      </c>
      <c r="J621" s="461" t="s">
        <v>2300</v>
      </c>
      <c r="K621" s="462">
        <v>45167</v>
      </c>
      <c r="L621" s="462">
        <v>45382</v>
      </c>
      <c r="M621" s="182">
        <v>11086033159</v>
      </c>
      <c r="N621" t="s">
        <v>80</v>
      </c>
      <c r="O621" s="7">
        <v>45095</v>
      </c>
      <c r="P621" t="s">
        <v>99</v>
      </c>
      <c r="Q621" t="s">
        <v>82</v>
      </c>
      <c r="R621" t="s">
        <v>2301</v>
      </c>
      <c r="S621" s="5" t="s">
        <v>83</v>
      </c>
      <c r="T621" t="s">
        <v>84</v>
      </c>
      <c r="V621" t="s">
        <v>112</v>
      </c>
      <c r="W621" t="s">
        <v>304</v>
      </c>
      <c r="X621" s="306" t="s">
        <v>103</v>
      </c>
      <c r="Y621" s="7"/>
      <c r="Z621" t="s">
        <v>1817</v>
      </c>
      <c r="AA621">
        <v>40</v>
      </c>
      <c r="AB621" t="s">
        <v>2163</v>
      </c>
      <c r="AC621" s="183"/>
      <c r="AE621" s="183"/>
      <c r="AH621" t="s">
        <v>81</v>
      </c>
      <c r="AL621" t="s">
        <v>83</v>
      </c>
      <c r="AM621" s="463">
        <v>700</v>
      </c>
      <c r="AN621" s="184">
        <v>1.6</v>
      </c>
      <c r="AO621" s="15">
        <v>553.41999999999996</v>
      </c>
      <c r="AW621" s="7"/>
      <c r="AZ621" t="s">
        <v>374</v>
      </c>
      <c r="BA621">
        <v>20</v>
      </c>
    </row>
    <row r="622" spans="1:53" ht="15.5">
      <c r="A622" s="273">
        <v>21</v>
      </c>
      <c r="B622" s="273" t="str">
        <f t="shared" si="33"/>
        <v>AKTIVAN</v>
      </c>
      <c r="C622" s="362">
        <f t="shared" si="32"/>
        <v>620</v>
      </c>
      <c r="D622" s="461">
        <v>26</v>
      </c>
      <c r="E622" t="str">
        <f>VLOOKUP(D622,POSLODAVCI!$A$2:$J$73,2,0)</f>
        <v>D-INVOICE D.O.O.</v>
      </c>
      <c r="F622" s="78">
        <f>VLOOKUP(D622,POSLODAVCI!$A$2:$J$73,3,0)</f>
        <v>95114485977</v>
      </c>
      <c r="G622" t="str">
        <f>VLOOKUP(D622,POSLODAVCI!$A$2:$J$73,4,0)</f>
        <v>LAURA GERGELJ</v>
      </c>
      <c r="H622" t="str">
        <f>VLOOKUP(D622,POSLODAVCI!$A$2:$J$107,9,0)</f>
        <v>Osijek</v>
      </c>
      <c r="I622" t="str">
        <f>VLOOKUP(D622,POSLODAVCI!$A$2:$J$73,10,0)</f>
        <v>SV.IVANA KRSTITELJA 15, DARDA</v>
      </c>
      <c r="J622" s="461" t="s">
        <v>2303</v>
      </c>
      <c r="K622" s="462">
        <v>45170</v>
      </c>
      <c r="L622" s="462"/>
      <c r="M622" s="182">
        <v>99678442480</v>
      </c>
      <c r="N622" t="s">
        <v>80</v>
      </c>
      <c r="O622" s="7">
        <v>45170</v>
      </c>
      <c r="P622" t="s">
        <v>192</v>
      </c>
      <c r="Q622" t="s">
        <v>82</v>
      </c>
      <c r="R622" t="s">
        <v>2302</v>
      </c>
      <c r="S622" s="5" t="s">
        <v>83</v>
      </c>
      <c r="T622" t="s">
        <v>84</v>
      </c>
      <c r="V622" t="s">
        <v>777</v>
      </c>
      <c r="W622" t="s">
        <v>777</v>
      </c>
      <c r="X622" s="306" t="s">
        <v>103</v>
      </c>
      <c r="Y622" s="7"/>
      <c r="Z622" t="s">
        <v>1817</v>
      </c>
      <c r="AA622">
        <v>40</v>
      </c>
      <c r="AB622" t="s">
        <v>1530</v>
      </c>
      <c r="AC622" s="183"/>
      <c r="AE622" s="183"/>
      <c r="AH622" t="s">
        <v>1265</v>
      </c>
      <c r="AL622" t="s">
        <v>83</v>
      </c>
      <c r="AM622" s="463">
        <v>850</v>
      </c>
      <c r="AN622" s="184">
        <v>1.6</v>
      </c>
      <c r="AO622" s="15">
        <v>650</v>
      </c>
      <c r="AW622" s="7"/>
      <c r="AZ622" t="s">
        <v>374</v>
      </c>
      <c r="BA622">
        <v>21</v>
      </c>
    </row>
    <row r="623" spans="1:53" ht="15.5">
      <c r="A623" s="273">
        <v>115</v>
      </c>
      <c r="B623" s="273" t="str">
        <f t="shared" si="33"/>
        <v>AKTIVAN</v>
      </c>
      <c r="C623" s="362">
        <f t="shared" si="32"/>
        <v>621</v>
      </c>
      <c r="D623" s="461">
        <v>36</v>
      </c>
      <c r="E623" t="str">
        <f>VLOOKUP(D623,POSLODAVCI!$A$2:$J$73,2,0)</f>
        <v>Vital Group d.o.o.</v>
      </c>
      <c r="F623" s="78">
        <f>VLOOKUP(D623,POSLODAVCI!$A$2:$J$73,3,0)</f>
        <v>45575918003</v>
      </c>
      <c r="G623" t="str">
        <f>VLOOKUP(D623,POSLODAVCI!$A$2:$J$73,4,0)</f>
        <v>Balázs Kulcsár</v>
      </c>
      <c r="H623" t="str">
        <f>VLOOKUP(D623,POSLODAVCI!$A$2:$J$107,9,0)</f>
        <v>Osijek</v>
      </c>
      <c r="I623" t="str">
        <f>VLOOKUP(D623,POSLODAVCI!$A$2:$J$73,10,0)</f>
        <v>Ribarska 10</v>
      </c>
      <c r="J623" s="469" t="s">
        <v>2304</v>
      </c>
      <c r="K623" s="470">
        <v>45166</v>
      </c>
      <c r="L623" s="470"/>
      <c r="M623" s="182">
        <v>62739327656</v>
      </c>
      <c r="N623" t="s">
        <v>80</v>
      </c>
      <c r="O623" s="7">
        <v>31971</v>
      </c>
      <c r="Q623" t="s">
        <v>82</v>
      </c>
      <c r="R623" t="s">
        <v>2306</v>
      </c>
      <c r="S623" s="5" t="s">
        <v>83</v>
      </c>
      <c r="T623" t="s">
        <v>84</v>
      </c>
      <c r="V623" t="s">
        <v>143</v>
      </c>
      <c r="W623" t="s">
        <v>143</v>
      </c>
      <c r="X623" s="333" t="s">
        <v>103</v>
      </c>
      <c r="Y623" s="7"/>
      <c r="Z623" t="s">
        <v>1817</v>
      </c>
      <c r="AA623">
        <v>40</v>
      </c>
      <c r="AB623" t="s">
        <v>2307</v>
      </c>
      <c r="AC623" s="183"/>
      <c r="AE623" s="183"/>
      <c r="AH623" t="s">
        <v>81</v>
      </c>
      <c r="AL623" s="16" t="s">
        <v>83</v>
      </c>
      <c r="AM623" s="463">
        <v>700</v>
      </c>
      <c r="AN623" s="184">
        <v>1.85</v>
      </c>
      <c r="AO623" s="15">
        <v>560</v>
      </c>
      <c r="AW623" s="7"/>
      <c r="AZ623" t="s">
        <v>374</v>
      </c>
      <c r="BA623">
        <v>115</v>
      </c>
    </row>
    <row r="624" spans="1:53" ht="15.5">
      <c r="A624" s="273">
        <v>116</v>
      </c>
      <c r="B624" s="273" t="str">
        <f t="shared" si="33"/>
        <v>AKTIVAN</v>
      </c>
      <c r="C624" s="362">
        <f t="shared" ref="C624:C664" si="34">C623+1</f>
        <v>622</v>
      </c>
      <c r="D624" s="461">
        <v>36</v>
      </c>
      <c r="E624" t="str">
        <f>VLOOKUP(D624,POSLODAVCI!$A$2:$J$73,2,0)</f>
        <v>Vital Group d.o.o.</v>
      </c>
      <c r="F624" s="78">
        <f>VLOOKUP(D624,POSLODAVCI!$A$2:$J$73,3,0)</f>
        <v>45575918003</v>
      </c>
      <c r="G624" t="str">
        <f>VLOOKUP(D624,POSLODAVCI!$A$2:$J$73,4,0)</f>
        <v>Balázs Kulcsár</v>
      </c>
      <c r="H624" t="str">
        <f>VLOOKUP(D624,POSLODAVCI!$A$2:$J$107,9,0)</f>
        <v>Osijek</v>
      </c>
      <c r="I624" t="str">
        <f>VLOOKUP(D624,POSLODAVCI!$A$2:$J$73,10,0)</f>
        <v>Ribarska 10</v>
      </c>
      <c r="J624" s="469" t="s">
        <v>2305</v>
      </c>
      <c r="K624" s="470">
        <v>45166</v>
      </c>
      <c r="L624" s="470"/>
      <c r="M624" s="182">
        <v>22398346315</v>
      </c>
      <c r="N624" t="s">
        <v>80</v>
      </c>
      <c r="O624" s="7">
        <v>36454</v>
      </c>
      <c r="Q624" t="s">
        <v>82</v>
      </c>
      <c r="R624" t="s">
        <v>2308</v>
      </c>
      <c r="S624" s="5" t="s">
        <v>83</v>
      </c>
      <c r="T624" t="s">
        <v>84</v>
      </c>
      <c r="V624" t="s">
        <v>143</v>
      </c>
      <c r="W624" t="s">
        <v>143</v>
      </c>
      <c r="X624" s="306" t="s">
        <v>85</v>
      </c>
      <c r="Y624" s="7">
        <v>45199</v>
      </c>
      <c r="Z624" t="s">
        <v>1817</v>
      </c>
      <c r="AA624">
        <v>40</v>
      </c>
      <c r="AC624" s="183"/>
      <c r="AE624" s="183"/>
      <c r="AH624" t="s">
        <v>94</v>
      </c>
      <c r="AL624" s="16" t="s">
        <v>83</v>
      </c>
      <c r="AM624" s="463">
        <v>700</v>
      </c>
      <c r="AN624" s="184">
        <v>1</v>
      </c>
      <c r="AO624" s="15">
        <v>560</v>
      </c>
      <c r="AW624" s="7"/>
      <c r="AZ624" t="s">
        <v>374</v>
      </c>
      <c r="BA624">
        <v>116</v>
      </c>
    </row>
    <row r="625" spans="1:53" ht="15.5">
      <c r="A625" s="273">
        <v>117</v>
      </c>
      <c r="B625" s="273" t="str">
        <f t="shared" si="33"/>
        <v>AKTIVAN</v>
      </c>
      <c r="C625" s="362">
        <f t="shared" si="34"/>
        <v>623</v>
      </c>
      <c r="D625" s="461">
        <v>36</v>
      </c>
      <c r="E625" t="str">
        <f>VLOOKUP(D625,POSLODAVCI!$A$2:$J$73,2,0)</f>
        <v>Vital Group d.o.o.</v>
      </c>
      <c r="F625" s="78">
        <f>VLOOKUP(D625,POSLODAVCI!$A$2:$J$73,3,0)</f>
        <v>45575918003</v>
      </c>
      <c r="G625" t="str">
        <f>VLOOKUP(D625,POSLODAVCI!$A$2:$J$73,4,0)</f>
        <v>Balázs Kulcsár</v>
      </c>
      <c r="H625" t="str">
        <f>VLOOKUP(D625,POSLODAVCI!$A$2:$J$107,9,0)</f>
        <v>Osijek</v>
      </c>
      <c r="I625" t="str">
        <f>VLOOKUP(D625,POSLODAVCI!$A$2:$J$73,10,0)</f>
        <v>Ribarska 10</v>
      </c>
      <c r="J625" s="469" t="s">
        <v>1606</v>
      </c>
      <c r="K625" s="470">
        <v>45168</v>
      </c>
      <c r="L625" s="470"/>
      <c r="M625" s="182">
        <v>81476803276</v>
      </c>
      <c r="N625" t="s">
        <v>80</v>
      </c>
      <c r="O625" s="7">
        <v>29370</v>
      </c>
      <c r="Q625" t="s">
        <v>82</v>
      </c>
      <c r="R625" t="s">
        <v>2309</v>
      </c>
      <c r="S625" s="5" t="s">
        <v>83</v>
      </c>
      <c r="T625" t="s">
        <v>84</v>
      </c>
      <c r="V625" t="s">
        <v>660</v>
      </c>
      <c r="W625" t="s">
        <v>660</v>
      </c>
      <c r="X625" s="306" t="s">
        <v>103</v>
      </c>
      <c r="Y625" s="7"/>
      <c r="Z625" t="s">
        <v>1817</v>
      </c>
      <c r="AA625">
        <v>40</v>
      </c>
      <c r="AB625" s="465" t="s">
        <v>1608</v>
      </c>
      <c r="AC625" s="183"/>
      <c r="AE625" s="183"/>
      <c r="AH625" t="s">
        <v>94</v>
      </c>
      <c r="AL625" s="16" t="s">
        <v>83</v>
      </c>
      <c r="AM625" s="463">
        <v>985.18</v>
      </c>
      <c r="AN625" s="184">
        <v>0</v>
      </c>
      <c r="AO625" s="15">
        <v>730</v>
      </c>
      <c r="AW625" s="7"/>
      <c r="AZ625" t="s">
        <v>374</v>
      </c>
      <c r="BA625">
        <v>117</v>
      </c>
    </row>
    <row r="626" spans="1:53" ht="15.5">
      <c r="A626" s="273">
        <v>1</v>
      </c>
      <c r="B626" s="273" t="str">
        <f t="shared" si="33"/>
        <v>AKTIVAN</v>
      </c>
      <c r="C626" s="362">
        <f t="shared" si="34"/>
        <v>624</v>
      </c>
      <c r="D626" s="1">
        <v>60</v>
      </c>
      <c r="E626" t="str">
        <f>VLOOKUP(D626,POSLODAVCI!$A$2:$J$73,2,0)</f>
        <v>Bole express izrada ključeva</v>
      </c>
      <c r="F626" s="78">
        <f>VLOOKUP(D626,POSLODAVCI!$A$2:$J$73,3,0)</f>
        <v>37860539453</v>
      </c>
      <c r="G626" t="str">
        <f>VLOOKUP(D626,POSLODAVCI!$A$2:$J$73,4,0)</f>
        <v>Željko Bošnjak</v>
      </c>
      <c r="H626" t="str">
        <f>VLOOKUP(D626,POSLODAVCI!$A$2:$J$107,9,0)</f>
        <v>Osijek</v>
      </c>
      <c r="I626" t="str">
        <f>VLOOKUP(D626,POSLODAVCI!$A$2:$J$73,10,0)</f>
        <v>Ulica stjepana radića 19a</v>
      </c>
      <c r="J626" s="1" t="s">
        <v>2317</v>
      </c>
      <c r="K626" s="61">
        <v>44927</v>
      </c>
      <c r="L626" s="61"/>
      <c r="M626" s="182">
        <v>38159200821</v>
      </c>
      <c r="N626" s="16" t="s">
        <v>89</v>
      </c>
      <c r="O626" s="7"/>
      <c r="P626" s="16"/>
      <c r="Q626" s="16" t="s">
        <v>82</v>
      </c>
      <c r="R626" s="16" t="s">
        <v>2318</v>
      </c>
      <c r="S626" s="17" t="s">
        <v>83</v>
      </c>
      <c r="T626" s="16" t="s">
        <v>84</v>
      </c>
      <c r="U626" s="16"/>
      <c r="V626" s="16" t="s">
        <v>2319</v>
      </c>
      <c r="W626" s="16" t="s">
        <v>2319</v>
      </c>
      <c r="X626" s="56" t="s">
        <v>103</v>
      </c>
      <c r="Y626" s="7"/>
      <c r="Z626" t="s">
        <v>1817</v>
      </c>
      <c r="AA626" s="16">
        <v>40</v>
      </c>
      <c r="AB626" s="16" t="s">
        <v>2320</v>
      </c>
      <c r="AC626" s="183"/>
      <c r="AD626" s="16"/>
      <c r="AE626" s="183"/>
      <c r="AF626" s="16"/>
      <c r="AG626" s="16"/>
      <c r="AH626" s="16" t="s">
        <v>94</v>
      </c>
      <c r="AI626" s="16"/>
      <c r="AJ626" s="16"/>
      <c r="AK626" s="16"/>
      <c r="AL626" s="16" t="s">
        <v>83</v>
      </c>
      <c r="AM626" s="90">
        <v>700</v>
      </c>
      <c r="AN626" s="184">
        <v>1</v>
      </c>
      <c r="AO626" s="15">
        <v>560</v>
      </c>
      <c r="AQ626" s="16"/>
      <c r="AR626" s="16"/>
      <c r="AS626" s="16"/>
      <c r="AT626" s="16"/>
      <c r="AU626" s="16"/>
      <c r="AV626" s="16"/>
      <c r="AW626" s="7"/>
      <c r="AX626" s="16"/>
      <c r="AY626" s="16"/>
      <c r="AZ626" s="16" t="s">
        <v>374</v>
      </c>
      <c r="BA626" s="16">
        <v>1</v>
      </c>
    </row>
    <row r="627" spans="1:53" ht="15.5">
      <c r="A627" s="273">
        <v>2</v>
      </c>
      <c r="B627" s="273" t="str">
        <f t="shared" si="33"/>
        <v>AKTIVAN</v>
      </c>
      <c r="C627" s="362">
        <f t="shared" si="34"/>
        <v>625</v>
      </c>
      <c r="D627" s="1">
        <v>60</v>
      </c>
      <c r="E627" t="str">
        <f>VLOOKUP(D627,POSLODAVCI!$A$2:$J$73,2,0)</f>
        <v>Bole express izrada ključeva</v>
      </c>
      <c r="F627" s="78">
        <f>VLOOKUP(D627,POSLODAVCI!$A$2:$J$73,3,0)</f>
        <v>37860539453</v>
      </c>
      <c r="G627" t="str">
        <f>VLOOKUP(D627,POSLODAVCI!$A$2:$J$73,4,0)</f>
        <v>Željko Bošnjak</v>
      </c>
      <c r="H627" t="str">
        <f>VLOOKUP(D627,POSLODAVCI!$A$2:$J$107,9,0)</f>
        <v>Osijek</v>
      </c>
      <c r="I627" t="str">
        <f>VLOOKUP(D627,POSLODAVCI!$A$2:$J$73,10,0)</f>
        <v>Ulica stjepana radića 19a</v>
      </c>
      <c r="J627" s="1" t="s">
        <v>2323</v>
      </c>
      <c r="K627" s="61">
        <v>44927</v>
      </c>
      <c r="L627" s="61"/>
      <c r="M627" s="182">
        <v>54197095959</v>
      </c>
      <c r="N627" s="16" t="s">
        <v>89</v>
      </c>
      <c r="O627" s="7"/>
      <c r="P627" s="16"/>
      <c r="Q627" s="16" t="s">
        <v>82</v>
      </c>
      <c r="R627" s="16" t="s">
        <v>2322</v>
      </c>
      <c r="S627" s="17" t="s">
        <v>83</v>
      </c>
      <c r="T627" s="16" t="s">
        <v>84</v>
      </c>
      <c r="U627" s="16"/>
      <c r="V627" s="16" t="s">
        <v>2319</v>
      </c>
      <c r="W627" s="16" t="s">
        <v>2319</v>
      </c>
      <c r="X627" s="56" t="s">
        <v>103</v>
      </c>
      <c r="Y627" s="7"/>
      <c r="Z627" t="s">
        <v>1817</v>
      </c>
      <c r="AA627" s="16">
        <v>40</v>
      </c>
      <c r="AB627" s="16" t="s">
        <v>2321</v>
      </c>
      <c r="AC627" s="183"/>
      <c r="AD627" s="16"/>
      <c r="AE627" s="183"/>
      <c r="AF627" s="16"/>
      <c r="AG627" s="16"/>
      <c r="AH627" s="16" t="s">
        <v>94</v>
      </c>
      <c r="AI627" s="16"/>
      <c r="AJ627" s="16"/>
      <c r="AK627" s="16"/>
      <c r="AL627" s="16" t="s">
        <v>428</v>
      </c>
      <c r="AM627" s="90">
        <v>700</v>
      </c>
      <c r="AN627" s="184">
        <v>1</v>
      </c>
      <c r="AO627" s="15">
        <v>560</v>
      </c>
      <c r="AQ627" s="16"/>
      <c r="AR627" s="16"/>
      <c r="AS627" s="16"/>
      <c r="AT627" s="16"/>
      <c r="AU627" s="16"/>
      <c r="AV627" s="16"/>
      <c r="AW627" s="7"/>
      <c r="AX627" s="16"/>
      <c r="AY627" s="16"/>
      <c r="AZ627" s="16" t="s">
        <v>374</v>
      </c>
      <c r="BA627" s="16">
        <v>2</v>
      </c>
    </row>
    <row r="628" spans="1:53" ht="15.5">
      <c r="A628" s="273">
        <v>3</v>
      </c>
      <c r="B628" s="273" t="str">
        <f t="shared" si="33"/>
        <v>AKTIVAN</v>
      </c>
      <c r="C628" s="362">
        <f t="shared" si="34"/>
        <v>626</v>
      </c>
      <c r="D628" s="1">
        <v>60</v>
      </c>
      <c r="E628" t="str">
        <f>VLOOKUP(D628,POSLODAVCI!$A$2:$J$73,2,0)</f>
        <v>Bole express izrada ključeva</v>
      </c>
      <c r="F628" s="78">
        <f>VLOOKUP(D628,POSLODAVCI!$A$2:$J$73,3,0)</f>
        <v>37860539453</v>
      </c>
      <c r="G628" t="str">
        <f>VLOOKUP(D628,POSLODAVCI!$A$2:$J$73,4,0)</f>
        <v>Željko Bošnjak</v>
      </c>
      <c r="H628" t="str">
        <f>VLOOKUP(D628,POSLODAVCI!$A$2:$J$107,9,0)</f>
        <v>Osijek</v>
      </c>
      <c r="I628" t="str">
        <f>VLOOKUP(D628,POSLODAVCI!$A$2:$J$73,10,0)</f>
        <v>Ulica stjepana radića 19a</v>
      </c>
      <c r="J628" s="1" t="s">
        <v>2315</v>
      </c>
      <c r="K628" s="61">
        <v>44927</v>
      </c>
      <c r="L628" s="61"/>
      <c r="M628" s="182">
        <v>76506665599</v>
      </c>
      <c r="N628" s="16" t="s">
        <v>89</v>
      </c>
      <c r="O628" s="7"/>
      <c r="P628" s="16"/>
      <c r="Q628" s="16" t="s">
        <v>82</v>
      </c>
      <c r="R628" s="16" t="s">
        <v>2324</v>
      </c>
      <c r="S628" s="17" t="s">
        <v>83</v>
      </c>
      <c r="T628" s="16" t="s">
        <v>84</v>
      </c>
      <c r="U628" s="16"/>
      <c r="V628" s="16" t="s">
        <v>2077</v>
      </c>
      <c r="W628" s="16" t="s">
        <v>2077</v>
      </c>
      <c r="X628" s="56" t="s">
        <v>103</v>
      </c>
      <c r="Y628" s="7"/>
      <c r="Z628" t="s">
        <v>1817</v>
      </c>
      <c r="AA628" s="16">
        <v>40</v>
      </c>
      <c r="AB628" s="16"/>
      <c r="AC628" s="183"/>
      <c r="AD628" s="16"/>
      <c r="AE628" s="183"/>
      <c r="AF628" s="16"/>
      <c r="AG628" s="16"/>
      <c r="AH628" s="16" t="s">
        <v>94</v>
      </c>
      <c r="AI628" s="16"/>
      <c r="AJ628" s="16"/>
      <c r="AK628" s="16"/>
      <c r="AL628" s="16" t="s">
        <v>83</v>
      </c>
      <c r="AM628" s="90">
        <v>888.67</v>
      </c>
      <c r="AN628" s="184">
        <v>1</v>
      </c>
      <c r="AO628" s="15">
        <v>673.85</v>
      </c>
      <c r="AQ628" s="16"/>
      <c r="AR628" s="16"/>
      <c r="AS628" s="16"/>
      <c r="AT628" s="16"/>
      <c r="AU628" s="16"/>
      <c r="AV628" s="16"/>
      <c r="AW628" s="7"/>
      <c r="AX628" s="16"/>
      <c r="AY628" s="16"/>
      <c r="AZ628" s="16" t="s">
        <v>374</v>
      </c>
      <c r="BA628" s="16">
        <v>3</v>
      </c>
    </row>
    <row r="629" spans="1:53" ht="15.5">
      <c r="A629" s="273">
        <v>1</v>
      </c>
      <c r="B629" s="273" t="str">
        <f t="shared" si="33"/>
        <v>AKTIVAN</v>
      </c>
      <c r="C629" s="362">
        <f t="shared" si="34"/>
        <v>627</v>
      </c>
      <c r="D629" s="1">
        <v>61</v>
      </c>
      <c r="E629" t="str">
        <f>VLOOKUP(D629,POSLODAVCI!$A$2:$J$73,2,0)</f>
        <v>MLM Transport d.o.o.</v>
      </c>
      <c r="F629" s="78">
        <f>VLOOKUP(D629,POSLODAVCI!$A$2:$J$73,3,0)</f>
        <v>37860539453</v>
      </c>
      <c r="G629" t="str">
        <f>VLOOKUP(D629,POSLODAVCI!$A$2:$J$73,4,0)</f>
        <v>Marinko Lujić</v>
      </c>
      <c r="H629" t="str">
        <f>VLOOKUP(D629,POSLODAVCI!$A$2:$J$107,9,0)</f>
        <v>Bizovac</v>
      </c>
      <c r="I629" t="str">
        <f>VLOOKUP(D629,POSLODAVCI!$A$2:$J$73,10,0)</f>
        <v>Ulica Kralja Tomislava 117</v>
      </c>
      <c r="J629" s="1" t="s">
        <v>2311</v>
      </c>
      <c r="K629" s="61">
        <v>44927</v>
      </c>
      <c r="L629" s="61"/>
      <c r="M629" s="182">
        <v>70179223863</v>
      </c>
      <c r="N629" s="16" t="s">
        <v>89</v>
      </c>
      <c r="O629" s="7"/>
      <c r="P629" s="16"/>
      <c r="Q629" s="16" t="s">
        <v>82</v>
      </c>
      <c r="R629" s="16" t="s">
        <v>2325</v>
      </c>
      <c r="S629" s="17" t="s">
        <v>83</v>
      </c>
      <c r="T629" s="16" t="s">
        <v>84</v>
      </c>
      <c r="U629" s="16"/>
      <c r="V629" s="16" t="s">
        <v>1538</v>
      </c>
      <c r="W629" s="16" t="s">
        <v>1538</v>
      </c>
      <c r="X629" s="56" t="s">
        <v>103</v>
      </c>
      <c r="Y629" s="7"/>
      <c r="Z629" t="s">
        <v>1817</v>
      </c>
      <c r="AA629" s="16">
        <v>40</v>
      </c>
      <c r="AB629" s="16" t="s">
        <v>2326</v>
      </c>
      <c r="AC629" s="183"/>
      <c r="AD629" s="16"/>
      <c r="AE629" s="183"/>
      <c r="AF629" s="16"/>
      <c r="AG629" s="16"/>
      <c r="AH629" s="16" t="s">
        <v>2312</v>
      </c>
      <c r="AI629" s="16"/>
      <c r="AJ629" s="16"/>
      <c r="AK629" s="16"/>
      <c r="AL629" s="16" t="s">
        <v>428</v>
      </c>
      <c r="AM629" s="90">
        <v>888.67</v>
      </c>
      <c r="AN629" s="184">
        <v>1</v>
      </c>
      <c r="AO629" s="15">
        <v>673.85</v>
      </c>
      <c r="AQ629" s="16"/>
      <c r="AR629" s="16"/>
      <c r="AS629" s="16"/>
      <c r="AT629" s="16"/>
      <c r="AU629" s="16"/>
      <c r="AV629" s="16"/>
      <c r="AW629" s="7"/>
      <c r="AX629" s="16"/>
      <c r="AY629" s="16"/>
      <c r="AZ629" s="16" t="s">
        <v>374</v>
      </c>
      <c r="BA629" s="16">
        <v>1</v>
      </c>
    </row>
    <row r="630" spans="1:53" ht="15.5">
      <c r="A630" s="273">
        <v>2</v>
      </c>
      <c r="B630" s="273" t="str">
        <f t="shared" si="33"/>
        <v>AKTIVAN</v>
      </c>
      <c r="C630" s="362">
        <f t="shared" si="34"/>
        <v>628</v>
      </c>
      <c r="D630" s="1">
        <v>61</v>
      </c>
      <c r="E630" t="str">
        <f>VLOOKUP(D630,POSLODAVCI!$A$2:$J$73,2,0)</f>
        <v>MLM Transport d.o.o.</v>
      </c>
      <c r="F630" s="78">
        <f>VLOOKUP(D630,POSLODAVCI!$A$2:$J$73,3,0)</f>
        <v>37860539453</v>
      </c>
      <c r="G630" t="str">
        <f>VLOOKUP(D630,POSLODAVCI!$A$2:$J$73,4,0)</f>
        <v>Marinko Lujić</v>
      </c>
      <c r="H630" t="str">
        <f>VLOOKUP(D630,POSLODAVCI!$A$2:$J$107,9,0)</f>
        <v>Bizovac</v>
      </c>
      <c r="I630" t="str">
        <f>VLOOKUP(D630,POSLODAVCI!$A$2:$J$73,10,0)</f>
        <v>Ulica Kralja Tomislava 117</v>
      </c>
      <c r="J630" s="1" t="s">
        <v>2329</v>
      </c>
      <c r="K630" s="61">
        <v>44927</v>
      </c>
      <c r="L630" s="61"/>
      <c r="M630" s="182">
        <v>58235429700</v>
      </c>
      <c r="N630" s="16" t="s">
        <v>89</v>
      </c>
      <c r="O630" s="7"/>
      <c r="P630" s="16"/>
      <c r="Q630" s="16" t="s">
        <v>82</v>
      </c>
      <c r="R630" s="16" t="s">
        <v>2328</v>
      </c>
      <c r="S630" s="17" t="s">
        <v>83</v>
      </c>
      <c r="T630" s="16" t="s">
        <v>84</v>
      </c>
      <c r="U630" s="16"/>
      <c r="V630" s="16" t="s">
        <v>2128</v>
      </c>
      <c r="W630" s="16" t="s">
        <v>2128</v>
      </c>
      <c r="X630" s="56" t="s">
        <v>103</v>
      </c>
      <c r="Y630" s="7"/>
      <c r="Z630" t="s">
        <v>1817</v>
      </c>
      <c r="AA630" s="16">
        <v>40</v>
      </c>
      <c r="AB630" s="16" t="s">
        <v>2327</v>
      </c>
      <c r="AC630" s="183"/>
      <c r="AD630" s="16"/>
      <c r="AE630" s="183"/>
      <c r="AF630" s="16"/>
      <c r="AG630" s="16"/>
      <c r="AH630" s="16" t="s">
        <v>2312</v>
      </c>
      <c r="AI630" s="16"/>
      <c r="AJ630" s="16"/>
      <c r="AK630" s="16"/>
      <c r="AL630" s="16" t="s">
        <v>428</v>
      </c>
      <c r="AM630" s="90">
        <v>700</v>
      </c>
      <c r="AN630" s="184">
        <v>1</v>
      </c>
      <c r="AO630" s="15">
        <v>560</v>
      </c>
      <c r="AQ630" s="16"/>
      <c r="AR630" s="16"/>
      <c r="AS630" s="16"/>
      <c r="AT630" s="16"/>
      <c r="AU630" s="16"/>
      <c r="AV630" s="16"/>
      <c r="AW630" s="7"/>
      <c r="AX630" s="16"/>
      <c r="AY630" s="16"/>
      <c r="AZ630" s="16" t="s">
        <v>374</v>
      </c>
      <c r="BA630" s="16">
        <v>2</v>
      </c>
    </row>
    <row r="631" spans="1:53" ht="15.5">
      <c r="A631" s="273">
        <v>1</v>
      </c>
      <c r="B631" s="273" t="str">
        <f t="shared" si="33"/>
        <v>AKTIVAN</v>
      </c>
      <c r="C631" s="362">
        <f t="shared" si="34"/>
        <v>629</v>
      </c>
      <c r="D631" s="1">
        <v>62</v>
      </c>
      <c r="E631" t="str">
        <f>VLOOKUP(D631,POSLODAVCI!$A$2:$J$73,2,0)</f>
        <v>Serafini d.o.o.</v>
      </c>
      <c r="F631" s="78">
        <f>VLOOKUP(D631,POSLODAVCI!$A$2:$J$73,3,0)</f>
        <v>57640459658</v>
      </c>
      <c r="G631" t="str">
        <f>VLOOKUP(D631,POSLODAVCI!$A$2:$J$73,4,0)</f>
        <v>Danijel Švelec</v>
      </c>
      <c r="H631" t="str">
        <f>VLOOKUP(D631,POSLODAVCI!$A$2:$J$107,9,0)</f>
        <v>Osijek</v>
      </c>
      <c r="I631" t="str">
        <f>VLOOKUP(D631,POSLODAVCI!$A$2:$J$73,10,0)</f>
        <v>Vijenac Ivana Meštrovića 76</v>
      </c>
      <c r="J631" s="1" t="s">
        <v>2332</v>
      </c>
      <c r="K631" s="61">
        <v>44927</v>
      </c>
      <c r="L631" s="61"/>
      <c r="M631" s="182">
        <v>71488598562</v>
      </c>
      <c r="N631" s="16" t="s">
        <v>89</v>
      </c>
      <c r="O631" s="7"/>
      <c r="P631" s="16"/>
      <c r="Q631" s="16" t="s">
        <v>82</v>
      </c>
      <c r="R631" s="16" t="s">
        <v>2334</v>
      </c>
      <c r="S631" s="17" t="s">
        <v>83</v>
      </c>
      <c r="T631" s="16" t="s">
        <v>84</v>
      </c>
      <c r="U631" s="16"/>
      <c r="V631" s="16" t="s">
        <v>1538</v>
      </c>
      <c r="W631" s="16" t="s">
        <v>1538</v>
      </c>
      <c r="X631" s="56" t="s">
        <v>103</v>
      </c>
      <c r="Y631" s="7"/>
      <c r="Z631" t="s">
        <v>1817</v>
      </c>
      <c r="AA631" s="16">
        <v>40</v>
      </c>
      <c r="AB631" s="16" t="s">
        <v>2335</v>
      </c>
      <c r="AC631" s="183"/>
      <c r="AD631" s="16"/>
      <c r="AE631" s="183"/>
      <c r="AF631" s="16"/>
      <c r="AG631" s="16"/>
      <c r="AH631" s="16" t="s">
        <v>94</v>
      </c>
      <c r="AI631" s="16"/>
      <c r="AJ631" s="16"/>
      <c r="AK631" s="16"/>
      <c r="AL631" s="16" t="s">
        <v>83</v>
      </c>
      <c r="AM631" s="90">
        <v>1327.23</v>
      </c>
      <c r="AN631" s="184">
        <v>1</v>
      </c>
      <c r="AO631" s="15">
        <v>941.81</v>
      </c>
      <c r="AQ631" s="16"/>
      <c r="AR631" s="16"/>
      <c r="AS631" s="16"/>
      <c r="AT631" s="16"/>
      <c r="AU631" s="16"/>
      <c r="AV631" s="16"/>
      <c r="AW631" s="7"/>
      <c r="AX631" s="16"/>
      <c r="AY631" s="16"/>
      <c r="AZ631" s="16" t="s">
        <v>374</v>
      </c>
      <c r="BA631" s="16">
        <v>1</v>
      </c>
    </row>
    <row r="632" spans="1:53" ht="15.5">
      <c r="A632" s="273">
        <v>2</v>
      </c>
      <c r="B632" s="273" t="str">
        <f t="shared" si="33"/>
        <v>AKTIVAN</v>
      </c>
      <c r="C632" s="362">
        <f t="shared" si="34"/>
        <v>630</v>
      </c>
      <c r="D632" s="461">
        <v>51</v>
      </c>
      <c r="E632" s="461" t="str">
        <f>VLOOKUP(D632,POSLODAVCI!$A$2:$J$73,2,0)</f>
        <v>GUGA NATURA j.d.o.o.</v>
      </c>
      <c r="F632" s="466">
        <f>VLOOKUP(D632,POSLODAVCI!$A$2:$J$73,3,0)</f>
        <v>85140091316</v>
      </c>
      <c r="G632" s="461" t="str">
        <f>VLOOKUP(D632,POSLODAVCI!$A$2:$J$73,4,0)</f>
        <v>Giulia Tatalović</v>
      </c>
      <c r="H632" s="461" t="str">
        <f>VLOOKUP(D632,POSLODAVCI!$A$2:$J$107,9,0)</f>
        <v>Dajla</v>
      </c>
      <c r="I632" s="461" t="str">
        <f>VLOOKUP(D632,POSLODAVCI!$A$2:$J$73,10,0)</f>
        <v>Sv. Benedikta 35</v>
      </c>
      <c r="J632" s="461" t="s">
        <v>2337</v>
      </c>
      <c r="K632" s="462">
        <v>45170</v>
      </c>
      <c r="L632" s="462"/>
      <c r="M632" s="182">
        <v>54027953194</v>
      </c>
      <c r="N632" t="s">
        <v>80</v>
      </c>
      <c r="O632" s="7">
        <v>34506</v>
      </c>
      <c r="P632" t="s">
        <v>2188</v>
      </c>
      <c r="Q632" t="s">
        <v>2336</v>
      </c>
      <c r="R632" s="402" t="s">
        <v>2133</v>
      </c>
      <c r="S632" s="5" t="s">
        <v>87</v>
      </c>
      <c r="T632" t="s">
        <v>84</v>
      </c>
      <c r="V632" t="s">
        <v>304</v>
      </c>
      <c r="W632" t="s">
        <v>304</v>
      </c>
      <c r="X632" s="306" t="s">
        <v>103</v>
      </c>
      <c r="Y632" s="7"/>
      <c r="Z632" s="16" t="s">
        <v>1894</v>
      </c>
      <c r="AA632">
        <v>2</v>
      </c>
      <c r="AB632" s="23" t="s">
        <v>2338</v>
      </c>
      <c r="AC632" s="183"/>
      <c r="AE632" s="183"/>
      <c r="AH632" t="s">
        <v>2134</v>
      </c>
      <c r="AL632" t="s">
        <v>83</v>
      </c>
      <c r="AM632" s="463">
        <v>970</v>
      </c>
      <c r="AN632" s="184"/>
      <c r="AW632" s="7"/>
      <c r="AZ632" t="s">
        <v>374</v>
      </c>
      <c r="BA632">
        <v>2</v>
      </c>
    </row>
    <row r="633" spans="1:53">
      <c r="A633" s="273">
        <v>1</v>
      </c>
      <c r="B633" s="273" t="str">
        <f t="shared" si="33"/>
        <v>AKTIVAN</v>
      </c>
      <c r="C633" s="362">
        <f t="shared" si="34"/>
        <v>631</v>
      </c>
      <c r="D633" s="1">
        <v>63</v>
      </c>
      <c r="E633" s="1" t="str">
        <f>VLOOKUP(D633,POSLODAVCI!$A$2:$J$73,2,0)</f>
        <v>LEXTON d.o.o.</v>
      </c>
      <c r="F633" s="4">
        <f>VLOOKUP(D633,POSLODAVCI!$A$2:$J$73,3,0)</f>
        <v>82060345120</v>
      </c>
      <c r="G633" s="1" t="str">
        <f>VLOOKUP(D633,POSLODAVCI!$A$2:$J$73,4,0)</f>
        <v>István Sokorai</v>
      </c>
      <c r="H633" s="1" t="str">
        <f>VLOOKUP(D633,POSLODAVCI!$A$2:$J$107,9,0)</f>
        <v>Osijek</v>
      </c>
      <c r="I633" s="1" t="str">
        <f>VLOOKUP(D633,POSLODAVCI!$A$2:$J$73,10,0)</f>
        <v>Josipa Jurja Strossmayera 333</v>
      </c>
      <c r="J633" s="1" t="s">
        <v>2344</v>
      </c>
      <c r="K633" s="462">
        <v>45170</v>
      </c>
      <c r="L633" s="61"/>
      <c r="M633" s="182">
        <v>91789808156</v>
      </c>
      <c r="N633" s="16" t="s">
        <v>80</v>
      </c>
      <c r="O633" s="7">
        <v>33884</v>
      </c>
      <c r="P633" s="16"/>
      <c r="Q633" s="16" t="s">
        <v>82</v>
      </c>
      <c r="R633" s="16" t="s">
        <v>2345</v>
      </c>
      <c r="S633" s="17"/>
      <c r="T633" s="16" t="s">
        <v>111</v>
      </c>
      <c r="U633" s="16"/>
      <c r="V633" s="16" t="s">
        <v>2346</v>
      </c>
      <c r="W633" s="16" t="s">
        <v>2347</v>
      </c>
      <c r="X633" s="56" t="s">
        <v>103</v>
      </c>
      <c r="Y633" s="7"/>
      <c r="Z633" t="s">
        <v>1817</v>
      </c>
      <c r="AA633" s="16">
        <v>40</v>
      </c>
      <c r="AB633" s="16" t="s">
        <v>2348</v>
      </c>
      <c r="AC633" s="183"/>
      <c r="AD633" s="16"/>
      <c r="AE633" s="183"/>
      <c r="AF633" s="16"/>
      <c r="AG633" s="16"/>
      <c r="AH633" s="16" t="s">
        <v>81</v>
      </c>
      <c r="AI633" s="16"/>
      <c r="AJ633" s="16"/>
      <c r="AK633" s="16"/>
      <c r="AL633" s="16" t="s">
        <v>83</v>
      </c>
      <c r="AM633" s="477">
        <v>2390.21</v>
      </c>
      <c r="AN633" s="184"/>
      <c r="AO633" s="15">
        <v>1600</v>
      </c>
      <c r="AQ633" s="16"/>
      <c r="AR633" s="16"/>
      <c r="AS633" s="16"/>
      <c r="AT633" s="16"/>
      <c r="AU633" s="16"/>
      <c r="AV633" s="16"/>
      <c r="AW633" s="7"/>
      <c r="AX633" s="16"/>
      <c r="AY633" s="16"/>
      <c r="AZ633" s="16" t="s">
        <v>374</v>
      </c>
      <c r="BA633" s="16"/>
    </row>
    <row r="634" spans="1:53" ht="19">
      <c r="A634" s="273">
        <v>1</v>
      </c>
      <c r="B634" s="273" t="str">
        <f t="shared" si="33"/>
        <v>NEAKTIVAN</v>
      </c>
      <c r="C634" s="362">
        <f t="shared" si="34"/>
        <v>632</v>
      </c>
      <c r="D634" s="1">
        <v>64</v>
      </c>
      <c r="E634" s="1" t="str">
        <f>VLOOKUP(D634,POSLODAVCI!$A$2:$J$73,2,0)</f>
        <v>Greneco OS d.o.o</v>
      </c>
      <c r="F634" s="4">
        <f>VLOOKUP(D634,POSLODAVCI!$A$2:$J$73,3,0)</f>
        <v>79614880677</v>
      </c>
      <c r="G634" s="1" t="str">
        <f>VLOOKUP(D634,POSLODAVCI!$A$2:$J$73,4,0)</f>
        <v>Zoran Horvat</v>
      </c>
      <c r="H634" s="1" t="str">
        <f>VLOOKUP(D634,POSLODAVCI!$A$2:$J$107,9,0)</f>
        <v>osijek</v>
      </c>
      <c r="I634" s="1" t="str">
        <f>VLOOKUP(D634,POSLODAVCI!$A$2:$J$73,10,0)</f>
        <v>Ribarska 10</v>
      </c>
      <c r="J634" s="1" t="s">
        <v>2352</v>
      </c>
      <c r="K634" s="61">
        <v>45200</v>
      </c>
      <c r="L634" s="61">
        <v>45869</v>
      </c>
      <c r="M634" s="182">
        <v>82810047800</v>
      </c>
      <c r="N634" s="16" t="s">
        <v>89</v>
      </c>
      <c r="O634" s="7">
        <v>23663</v>
      </c>
      <c r="P634" s="16"/>
      <c r="Q634" s="16" t="s">
        <v>82</v>
      </c>
      <c r="R634" s="16" t="s">
        <v>2353</v>
      </c>
      <c r="S634" s="17"/>
      <c r="T634" s="16"/>
      <c r="U634" s="16"/>
      <c r="V634" s="16" t="s">
        <v>418</v>
      </c>
      <c r="W634" s="16" t="s">
        <v>418</v>
      </c>
      <c r="X634" s="56" t="s">
        <v>103</v>
      </c>
      <c r="Y634" s="7"/>
      <c r="Z634" t="s">
        <v>1817</v>
      </c>
      <c r="AA634" s="16">
        <v>40</v>
      </c>
      <c r="AB634" s="16" t="s">
        <v>2354</v>
      </c>
      <c r="AC634" s="183"/>
      <c r="AD634" s="16"/>
      <c r="AE634" s="183"/>
      <c r="AF634" s="16"/>
      <c r="AG634" s="16"/>
      <c r="AH634" s="16" t="s">
        <v>81</v>
      </c>
      <c r="AI634" s="16"/>
      <c r="AJ634" s="16"/>
      <c r="AK634" s="16"/>
      <c r="AL634" s="16" t="s">
        <v>83</v>
      </c>
      <c r="AM634" s="478">
        <v>4651.1899999999996</v>
      </c>
      <c r="AN634" s="184"/>
      <c r="AQ634" s="16"/>
      <c r="AR634" s="16"/>
      <c r="AS634" s="16"/>
      <c r="AT634" s="16"/>
      <c r="AU634" s="16"/>
      <c r="AV634" s="16"/>
      <c r="AW634" s="7"/>
      <c r="AX634" s="16"/>
      <c r="AY634" s="16"/>
      <c r="AZ634" s="16"/>
      <c r="BA634" s="16"/>
    </row>
    <row r="635" spans="1:53" ht="15.5">
      <c r="A635" s="273">
        <v>118</v>
      </c>
      <c r="B635" s="273" t="str">
        <f t="shared" si="33"/>
        <v>NEAKTIVAN</v>
      </c>
      <c r="C635" s="362">
        <f t="shared" si="34"/>
        <v>633</v>
      </c>
      <c r="D635" s="461">
        <v>36</v>
      </c>
      <c r="E635" s="461" t="str">
        <f>VLOOKUP(D635,POSLODAVCI!$A$2:$J$73,2,0)</f>
        <v>Vital Group d.o.o.</v>
      </c>
      <c r="F635" s="466">
        <f>VLOOKUP(D635,POSLODAVCI!$A$2:$J$73,3,0)</f>
        <v>45575918003</v>
      </c>
      <c r="G635" s="461" t="str">
        <f>VLOOKUP(D635,POSLODAVCI!$A$2:$J$73,4,0)</f>
        <v>Balázs Kulcsár</v>
      </c>
      <c r="H635" s="461" t="str">
        <f>VLOOKUP(D635,POSLODAVCI!$A$2:$J$107,9,0)</f>
        <v>Osijek</v>
      </c>
      <c r="I635" s="461" t="str">
        <f>VLOOKUP(D635,POSLODAVCI!$A$2:$J$73,10,0)</f>
        <v>Ribarska 10</v>
      </c>
      <c r="J635" s="461" t="s">
        <v>2356</v>
      </c>
      <c r="K635" s="462">
        <v>45180</v>
      </c>
      <c r="L635" s="462">
        <v>45230</v>
      </c>
      <c r="M635" s="182">
        <v>45575918003</v>
      </c>
      <c r="N635" t="s">
        <v>452</v>
      </c>
      <c r="O635" s="7">
        <v>34893</v>
      </c>
      <c r="Q635" t="s">
        <v>82</v>
      </c>
      <c r="R635" t="s">
        <v>2357</v>
      </c>
      <c r="S635" s="5" t="s">
        <v>428</v>
      </c>
      <c r="T635" t="s">
        <v>111</v>
      </c>
      <c r="V635" t="s">
        <v>2358</v>
      </c>
      <c r="W635" t="s">
        <v>143</v>
      </c>
      <c r="X635" s="306" t="s">
        <v>85</v>
      </c>
      <c r="Y635" s="7">
        <v>45230</v>
      </c>
      <c r="Z635" t="s">
        <v>1817</v>
      </c>
      <c r="AA635">
        <v>40</v>
      </c>
      <c r="AB635" t="s">
        <v>2359</v>
      </c>
      <c r="AC635" s="183"/>
      <c r="AE635" s="183"/>
      <c r="AH635" t="s">
        <v>81</v>
      </c>
      <c r="AL635" t="s">
        <v>83</v>
      </c>
      <c r="AM635" s="463">
        <v>700</v>
      </c>
      <c r="AN635" s="184"/>
      <c r="AO635" s="15">
        <v>560</v>
      </c>
      <c r="AW635" s="7"/>
      <c r="AZ635" t="s">
        <v>2374</v>
      </c>
      <c r="BA635">
        <v>118</v>
      </c>
    </row>
    <row r="636" spans="1:53" ht="16.5">
      <c r="A636" s="273">
        <v>14</v>
      </c>
      <c r="B636" s="273" t="str">
        <f t="shared" si="33"/>
        <v>NEAKTIVAN</v>
      </c>
      <c r="C636" s="362">
        <f t="shared" si="34"/>
        <v>634</v>
      </c>
      <c r="D636" s="461">
        <v>46</v>
      </c>
      <c r="E636" s="461" t="str">
        <f>VLOOKUP(D636,POSLODAVCI!$A$2:$J$73,2,0)</f>
        <v>Baranjske slastice Horvat j.d.o.o.</v>
      </c>
      <c r="F636" s="466">
        <f>VLOOKUP(D636,POSLODAVCI!$A$2:$J$73,3,0)</f>
        <v>81938384478</v>
      </c>
      <c r="G636" s="461" t="str">
        <f>VLOOKUP(D636,POSLODAVCI!$A$2:$J$73,4,0)</f>
        <v>Ilonka Horvat</v>
      </c>
      <c r="H636" s="461" t="str">
        <f>VLOOKUP(D636,POSLODAVCI!$A$2:$J$107,9,0)</f>
        <v>Suza</v>
      </c>
      <c r="I636" s="461" t="str">
        <f>VLOOKUP(D636,POSLODAVCI!$A$2:$J$73,10,0)</f>
        <v>Petefi Šandora 31</v>
      </c>
      <c r="J636" s="461" t="s">
        <v>2360</v>
      </c>
      <c r="K636" s="462">
        <v>45184</v>
      </c>
      <c r="L636" s="462">
        <v>45186</v>
      </c>
      <c r="M636" s="182">
        <v>60129220071</v>
      </c>
      <c r="N636" t="s">
        <v>452</v>
      </c>
      <c r="O636" s="7">
        <v>25055</v>
      </c>
      <c r="Q636" t="s">
        <v>82</v>
      </c>
      <c r="R636" t="s">
        <v>2361</v>
      </c>
      <c r="T636" t="s">
        <v>84</v>
      </c>
      <c r="V636" t="s">
        <v>393</v>
      </c>
      <c r="W636" t="s">
        <v>393</v>
      </c>
      <c r="X636" s="306" t="s">
        <v>85</v>
      </c>
      <c r="Y636" s="7">
        <v>45186</v>
      </c>
      <c r="Z636" t="s">
        <v>1817</v>
      </c>
      <c r="AA636">
        <v>40</v>
      </c>
      <c r="AB636" s="479" t="s">
        <v>2362</v>
      </c>
      <c r="AC636" s="183"/>
      <c r="AE636" s="183"/>
      <c r="AH636" s="16" t="s">
        <v>2173</v>
      </c>
      <c r="AL636" s="16" t="s">
        <v>83</v>
      </c>
      <c r="AM636" s="463">
        <v>700</v>
      </c>
      <c r="AN636" s="184">
        <v>1</v>
      </c>
      <c r="AO636" s="15">
        <v>560</v>
      </c>
      <c r="AW636" s="7"/>
    </row>
    <row r="637" spans="1:53" ht="15.5">
      <c r="A637" s="273">
        <v>15</v>
      </c>
      <c r="B637" s="273" t="str">
        <f t="shared" si="33"/>
        <v>NEAKTIVAN</v>
      </c>
      <c r="C637" s="362">
        <f t="shared" si="34"/>
        <v>635</v>
      </c>
      <c r="D637" s="461">
        <v>46</v>
      </c>
      <c r="E637" s="461" t="str">
        <f>VLOOKUP(D637,POSLODAVCI!$A$2:$J$73,2,0)</f>
        <v>Baranjske slastice Horvat j.d.o.o.</v>
      </c>
      <c r="F637" s="466">
        <f>VLOOKUP(D637,POSLODAVCI!$A$2:$J$73,3,0)</f>
        <v>81938384478</v>
      </c>
      <c r="G637" s="461" t="str">
        <f>VLOOKUP(D637,POSLODAVCI!$A$2:$J$73,4,0)</f>
        <v>Ilonka Horvat</v>
      </c>
      <c r="H637" s="461" t="str">
        <f>VLOOKUP(D637,POSLODAVCI!$A$2:$J$107,9,0)</f>
        <v>Suza</v>
      </c>
      <c r="I637" s="461" t="str">
        <f>VLOOKUP(D637,POSLODAVCI!$A$2:$J$73,10,0)</f>
        <v>Petefi Šandora 31</v>
      </c>
      <c r="J637" s="461" t="s">
        <v>2363</v>
      </c>
      <c r="K637" s="462">
        <v>45184</v>
      </c>
      <c r="L637" s="462">
        <v>45186</v>
      </c>
      <c r="M637" s="182">
        <v>92468695087</v>
      </c>
      <c r="N637" t="s">
        <v>89</v>
      </c>
      <c r="O637" s="7">
        <v>34864</v>
      </c>
      <c r="R637" t="s">
        <v>2364</v>
      </c>
      <c r="S637" s="5" t="s">
        <v>83</v>
      </c>
      <c r="T637" t="s">
        <v>84</v>
      </c>
      <c r="V637" t="s">
        <v>393</v>
      </c>
      <c r="W637" t="s">
        <v>393</v>
      </c>
      <c r="X637" s="306" t="s">
        <v>85</v>
      </c>
      <c r="Y637" s="7">
        <v>45186</v>
      </c>
      <c r="Z637" t="s">
        <v>1817</v>
      </c>
      <c r="AA637">
        <v>40</v>
      </c>
      <c r="AC637" s="183"/>
      <c r="AE637" s="183"/>
      <c r="AH637" t="s">
        <v>2173</v>
      </c>
      <c r="AL637" t="s">
        <v>83</v>
      </c>
      <c r="AM637" s="463">
        <v>700</v>
      </c>
      <c r="AN637" s="184">
        <v>1</v>
      </c>
      <c r="AO637" s="15">
        <v>560</v>
      </c>
      <c r="AW637" s="7"/>
    </row>
    <row r="638" spans="1:53" ht="15.5">
      <c r="A638" s="273">
        <v>15</v>
      </c>
      <c r="B638" s="510" t="s">
        <v>2525</v>
      </c>
      <c r="C638" s="362">
        <f t="shared" si="34"/>
        <v>636</v>
      </c>
      <c r="D638" s="461">
        <v>36</v>
      </c>
      <c r="E638" s="461" t="str">
        <f>VLOOKUP(D638,POSLODAVCI!$A$2:$J$73,2,0)</f>
        <v>Vital Group d.o.o.</v>
      </c>
      <c r="F638" s="466">
        <f>VLOOKUP(D638,POSLODAVCI!$A$2:$J$73,3,0)</f>
        <v>45575918003</v>
      </c>
      <c r="G638" s="461" t="str">
        <f>VLOOKUP(D638,POSLODAVCI!$A$2:$J$73,4,0)</f>
        <v>Balázs Kulcsár</v>
      </c>
      <c r="H638" s="461" t="str">
        <f>VLOOKUP(D638,POSLODAVCI!$A$2:$J$107,9,0)</f>
        <v>Osijek</v>
      </c>
      <c r="I638" s="461" t="str">
        <f>VLOOKUP(D638,POSLODAVCI!$A$2:$J$73,10,0)</f>
        <v>Ribarska 10</v>
      </c>
      <c r="J638" s="469" t="s">
        <v>2365</v>
      </c>
      <c r="K638" s="470">
        <v>45187</v>
      </c>
      <c r="L638" s="470"/>
      <c r="M638" s="182">
        <v>72771059791</v>
      </c>
      <c r="N638" t="s">
        <v>80</v>
      </c>
      <c r="O638" s="7">
        <v>27241</v>
      </c>
      <c r="Q638" t="s">
        <v>82</v>
      </c>
      <c r="R638" t="s">
        <v>2367</v>
      </c>
      <c r="S638" s="5" t="s">
        <v>428</v>
      </c>
      <c r="T638" t="s">
        <v>84</v>
      </c>
      <c r="V638" t="s">
        <v>2368</v>
      </c>
      <c r="W638" t="s">
        <v>143</v>
      </c>
      <c r="X638" s="333" t="s">
        <v>103</v>
      </c>
      <c r="Y638" s="7"/>
      <c r="Z638" t="s">
        <v>1817</v>
      </c>
      <c r="AA638">
        <v>40</v>
      </c>
      <c r="AB638" t="s">
        <v>2369</v>
      </c>
      <c r="AC638" s="183"/>
      <c r="AE638" s="183"/>
      <c r="AH638" t="s">
        <v>94</v>
      </c>
      <c r="AL638" t="s">
        <v>83</v>
      </c>
      <c r="AM638" s="463">
        <v>700</v>
      </c>
      <c r="AN638" s="184"/>
      <c r="AO638" s="15">
        <v>560</v>
      </c>
      <c r="AW638" s="7"/>
      <c r="AZ638" t="s">
        <v>374</v>
      </c>
      <c r="BA638">
        <v>119</v>
      </c>
    </row>
    <row r="639" spans="1:53" ht="15.5">
      <c r="A639" s="273">
        <v>15</v>
      </c>
      <c r="B639" s="273" t="str">
        <f t="shared" si="33"/>
        <v>NEAKTIVAN</v>
      </c>
      <c r="C639" s="362">
        <f t="shared" si="34"/>
        <v>637</v>
      </c>
      <c r="D639" s="461">
        <v>36</v>
      </c>
      <c r="E639" s="461" t="str">
        <f>VLOOKUP(D639,POSLODAVCI!$A$2:$J$73,2,0)</f>
        <v>Vital Group d.o.o.</v>
      </c>
      <c r="F639" s="466">
        <f>VLOOKUP(D639,POSLODAVCI!$A$2:$J$73,3,0)</f>
        <v>45575918003</v>
      </c>
      <c r="G639" s="461" t="str">
        <f>VLOOKUP(D639,POSLODAVCI!$A$2:$J$73,4,0)</f>
        <v>Balázs Kulcsár</v>
      </c>
      <c r="H639" s="461" t="str">
        <f>VLOOKUP(D639,POSLODAVCI!$A$2:$J$107,9,0)</f>
        <v>Osijek</v>
      </c>
      <c r="I639" s="461" t="str">
        <f>VLOOKUP(D639,POSLODAVCI!$A$2:$J$73,10,0)</f>
        <v>Ribarska 10</v>
      </c>
      <c r="J639" s="469" t="s">
        <v>2370</v>
      </c>
      <c r="K639" s="470">
        <v>45188</v>
      </c>
      <c r="L639" s="470">
        <v>45230</v>
      </c>
      <c r="M639" s="182">
        <v>26668674090</v>
      </c>
      <c r="N639" t="s">
        <v>80</v>
      </c>
      <c r="O639" s="7">
        <v>23160</v>
      </c>
      <c r="Q639" t="s">
        <v>82</v>
      </c>
      <c r="R639" t="s">
        <v>2371</v>
      </c>
      <c r="S639" s="5" t="s">
        <v>428</v>
      </c>
      <c r="T639" t="s">
        <v>84</v>
      </c>
      <c r="V639" t="s">
        <v>2372</v>
      </c>
      <c r="W639" t="s">
        <v>143</v>
      </c>
      <c r="X639" s="306" t="s">
        <v>85</v>
      </c>
      <c r="Y639" s="7">
        <v>45230</v>
      </c>
      <c r="Z639" t="s">
        <v>1817</v>
      </c>
      <c r="AA639">
        <v>40</v>
      </c>
      <c r="AB639" t="s">
        <v>2373</v>
      </c>
      <c r="AC639" s="183"/>
      <c r="AE639" s="183"/>
      <c r="AH639" t="s">
        <v>94</v>
      </c>
      <c r="AL639" t="s">
        <v>83</v>
      </c>
      <c r="AM639" s="463">
        <v>700</v>
      </c>
      <c r="AN639" s="184"/>
      <c r="AO639" s="15">
        <v>560</v>
      </c>
      <c r="AW639" s="7"/>
      <c r="AZ639" t="s">
        <v>374</v>
      </c>
      <c r="BA639">
        <v>120</v>
      </c>
    </row>
    <row r="640" spans="1:53" ht="15.5">
      <c r="A640" s="273">
        <v>15</v>
      </c>
      <c r="B640" s="273" t="str">
        <f t="shared" si="33"/>
        <v>AKTIVAN</v>
      </c>
      <c r="C640" s="362">
        <f t="shared" si="34"/>
        <v>638</v>
      </c>
      <c r="D640" s="461">
        <v>65</v>
      </c>
      <c r="E640" s="461" t="str">
        <f>VLOOKUP(D640,POSLODAVCI!$A$2:$J$73,2,0)</f>
        <v>TRGO-KOP d.o.o.</v>
      </c>
      <c r="F640" s="466">
        <f>VLOOKUP(D640,POSLODAVCI!$A$2:$J$73,3,0)</f>
        <v>50891994502</v>
      </c>
      <c r="G640" s="461" t="str">
        <f>VLOOKUP(D640,POSLODAVCI!$A$2:$J$73,4,0)</f>
        <v>Marko Baban</v>
      </c>
      <c r="H640" s="461" t="str">
        <f>VLOOKUP(D640,POSLODAVCI!$A$2:$J$107,9,0)</f>
        <v>Osijek</v>
      </c>
      <c r="I640" s="461" t="str">
        <f>VLOOKUP(D640,POSLODAVCI!$A$2:$J$73,10,0)</f>
        <v>Ulica Jela 60, 31000 Osijek</v>
      </c>
      <c r="J640" s="461" t="s">
        <v>1552</v>
      </c>
      <c r="K640" s="462">
        <v>45200</v>
      </c>
      <c r="L640" s="462"/>
      <c r="M640" s="468">
        <v>96967409573</v>
      </c>
      <c r="N640" s="16" t="s">
        <v>89</v>
      </c>
      <c r="O640" s="7">
        <v>32430</v>
      </c>
      <c r="P640" s="16" t="s">
        <v>94</v>
      </c>
      <c r="Q640" s="16" t="s">
        <v>82</v>
      </c>
      <c r="R640" s="16" t="s">
        <v>2377</v>
      </c>
      <c r="S640" s="17" t="s">
        <v>83</v>
      </c>
      <c r="T640" s="16" t="s">
        <v>84</v>
      </c>
      <c r="V640" s="16" t="s">
        <v>418</v>
      </c>
      <c r="W640" s="16" t="s">
        <v>418</v>
      </c>
      <c r="X640" s="56" t="s">
        <v>103</v>
      </c>
      <c r="Y640" s="7"/>
      <c r="Z640" t="s">
        <v>1817</v>
      </c>
      <c r="AA640">
        <v>40</v>
      </c>
      <c r="AB640" t="s">
        <v>1553</v>
      </c>
      <c r="AC640" s="183"/>
      <c r="AE640" s="183"/>
      <c r="AM640" s="463">
        <v>1014</v>
      </c>
      <c r="AN640" s="184"/>
      <c r="AW640" s="7"/>
    </row>
    <row r="641" spans="1:53" ht="15.5">
      <c r="A641" s="273">
        <v>15</v>
      </c>
      <c r="B641" s="273" t="str">
        <f t="shared" si="33"/>
        <v>NEAKTIVAN</v>
      </c>
      <c r="C641" s="362">
        <f t="shared" si="34"/>
        <v>639</v>
      </c>
      <c r="D641" s="461">
        <v>65</v>
      </c>
      <c r="E641" t="str">
        <f>VLOOKUP(D641,POSLODAVCI!$A$2:$J$76,2,0)</f>
        <v>TRGO-KOP d.o.o.</v>
      </c>
      <c r="F641" s="78">
        <f>VLOOKUP(D641,POSLODAVCI!$A$2:$J$76,3,0)</f>
        <v>50891994502</v>
      </c>
      <c r="G641" t="str">
        <f>VLOOKUP(D641,POSLODAVCI!$A$2:$J$76,4,0)</f>
        <v>Marko Baban</v>
      </c>
      <c r="H641" t="str">
        <f>VLOOKUP(D641,POSLODAVCI!$A$2:$J$107,9,0)</f>
        <v>Osijek</v>
      </c>
      <c r="I641" t="str">
        <f>VLOOKUP(D641,POSLODAVCI!$A$2:$J$76,10,0)</f>
        <v>Ulica Jela 60, 31000 Osijek</v>
      </c>
      <c r="J641" s="461" t="s">
        <v>1554</v>
      </c>
      <c r="K641" s="462">
        <v>45200</v>
      </c>
      <c r="L641" s="462">
        <v>45322</v>
      </c>
      <c r="M641" s="468">
        <v>92761745667</v>
      </c>
      <c r="N641" s="16" t="s">
        <v>89</v>
      </c>
      <c r="O641" s="7">
        <v>31516</v>
      </c>
      <c r="P641" s="16" t="s">
        <v>94</v>
      </c>
      <c r="Q641" s="16" t="s">
        <v>82</v>
      </c>
      <c r="R641" s="16" t="s">
        <v>2378</v>
      </c>
      <c r="S641" s="17" t="s">
        <v>83</v>
      </c>
      <c r="T641" s="16" t="s">
        <v>84</v>
      </c>
      <c r="V641" s="16" t="s">
        <v>1556</v>
      </c>
      <c r="W641" s="16" t="s">
        <v>1556</v>
      </c>
      <c r="X641" s="56" t="s">
        <v>103</v>
      </c>
      <c r="Y641" s="7"/>
      <c r="Z641" t="s">
        <v>1817</v>
      </c>
      <c r="AA641">
        <v>40</v>
      </c>
      <c r="AC641" s="183"/>
      <c r="AE641" s="183"/>
      <c r="AM641" s="463">
        <v>840</v>
      </c>
      <c r="AN641" s="184"/>
      <c r="AW641" s="7"/>
    </row>
    <row r="642" spans="1:53" ht="15.5">
      <c r="A642" s="273">
        <v>15</v>
      </c>
      <c r="B642" s="273" t="str">
        <f t="shared" si="33"/>
        <v>AKTIVAN</v>
      </c>
      <c r="C642" s="362">
        <f t="shared" si="34"/>
        <v>640</v>
      </c>
      <c r="D642" s="461">
        <v>65</v>
      </c>
      <c r="E642" t="str">
        <f>VLOOKUP(D642,POSLODAVCI!$A$2:$J$76,2,0)</f>
        <v>TRGO-KOP d.o.o.</v>
      </c>
      <c r="F642" s="78">
        <f>VLOOKUP(D642,POSLODAVCI!$A$2:$J$76,3,0)</f>
        <v>50891994502</v>
      </c>
      <c r="G642" t="str">
        <f>VLOOKUP(D642,POSLODAVCI!$A$2:$J$76,4,0)</f>
        <v>Marko Baban</v>
      </c>
      <c r="H642" t="str">
        <f>VLOOKUP(D642,POSLODAVCI!$A$2:$J$107,9,0)</f>
        <v>Osijek</v>
      </c>
      <c r="I642" t="str">
        <f>VLOOKUP(D642,POSLODAVCI!$A$2:$J$76,10,0)</f>
        <v>Ulica Jela 60, 31000 Osijek</v>
      </c>
      <c r="J642" s="461" t="s">
        <v>1591</v>
      </c>
      <c r="K642" s="462">
        <v>45200</v>
      </c>
      <c r="L642" s="462"/>
      <c r="M642" s="468">
        <v>53916846107</v>
      </c>
      <c r="N642" s="16" t="s">
        <v>89</v>
      </c>
      <c r="O642" s="7">
        <v>34343</v>
      </c>
      <c r="R642" s="16" t="s">
        <v>2509</v>
      </c>
      <c r="S642" s="17" t="s">
        <v>83</v>
      </c>
      <c r="T642" s="16" t="s">
        <v>84</v>
      </c>
      <c r="V642" s="16" t="s">
        <v>1562</v>
      </c>
      <c r="W642" s="16" t="s">
        <v>1562</v>
      </c>
      <c r="X642" s="56" t="s">
        <v>103</v>
      </c>
      <c r="Y642" s="7"/>
      <c r="Z642" t="s">
        <v>1817</v>
      </c>
      <c r="AA642">
        <v>40</v>
      </c>
      <c r="AC642" s="183"/>
      <c r="AE642" s="183"/>
      <c r="AM642" s="463">
        <v>840</v>
      </c>
      <c r="AN642" s="184"/>
      <c r="AW642" s="7"/>
    </row>
    <row r="643" spans="1:53" ht="15.5">
      <c r="A643" s="273">
        <v>15</v>
      </c>
      <c r="B643" s="273" t="str">
        <f t="shared" si="33"/>
        <v>AKTIVAN</v>
      </c>
      <c r="C643" s="362">
        <f t="shared" si="34"/>
        <v>641</v>
      </c>
      <c r="D643" s="461">
        <v>66</v>
      </c>
      <c r="E643" t="str">
        <f>VLOOKUP(D643,POSLODAVCI!$A$2:$J$76,2,0)</f>
        <v>Logo centar Petra Mikuš d.o.o.</v>
      </c>
      <c r="F643" s="78">
        <f>VLOOKUP(D643,POSLODAVCI!$A$2:$J$76,3,0)</f>
        <v>52813766387</v>
      </c>
      <c r="G643" t="str">
        <f>VLOOKUP(D643,POSLODAVCI!$A$2:$J$76,4,0)</f>
        <v>Petra Mikuš</v>
      </c>
      <c r="H643" t="str">
        <f>VLOOKUP(D643,POSLODAVCI!$A$2:$J$107,9,0)</f>
        <v>Zagreb</v>
      </c>
      <c r="I643" t="str">
        <f>VLOOKUP(D643,POSLODAVCI!$A$2:$J$76,10,0)</f>
        <v>Ulica grada Vukovara 234A</v>
      </c>
      <c r="J643" s="461" t="s">
        <v>2381</v>
      </c>
      <c r="K643" s="462">
        <v>45176</v>
      </c>
      <c r="L643" s="462"/>
      <c r="M643" s="182">
        <v>52518562227</v>
      </c>
      <c r="N643" t="s">
        <v>80</v>
      </c>
      <c r="O643" s="7">
        <v>33310</v>
      </c>
      <c r="P643" t="s">
        <v>217</v>
      </c>
      <c r="R643" t="s">
        <v>2384</v>
      </c>
      <c r="T643" t="s">
        <v>111</v>
      </c>
      <c r="V643" t="s">
        <v>2385</v>
      </c>
      <c r="W643" t="s">
        <v>1538</v>
      </c>
      <c r="X643" s="306" t="s">
        <v>103</v>
      </c>
      <c r="Y643" s="7"/>
      <c r="Z643" t="s">
        <v>1817</v>
      </c>
      <c r="AA643">
        <v>40</v>
      </c>
      <c r="AC643" s="183"/>
      <c r="AE643" s="183"/>
      <c r="AM643" s="463">
        <v>888.67</v>
      </c>
      <c r="AN643" s="184"/>
      <c r="AW643" s="7"/>
    </row>
    <row r="644" spans="1:53" ht="15.5">
      <c r="A644" s="273">
        <v>15</v>
      </c>
      <c r="B644" s="273" t="str">
        <f t="shared" si="33"/>
        <v>AKTIVAN</v>
      </c>
      <c r="C644" s="362">
        <f t="shared" si="34"/>
        <v>642</v>
      </c>
      <c r="D644" s="461">
        <v>65</v>
      </c>
      <c r="E644" t="str">
        <f>VLOOKUP(D644,POSLODAVCI!$A$2:$J$76,2,0)</f>
        <v>TRGO-KOP d.o.o.</v>
      </c>
      <c r="F644" s="78">
        <f>VLOOKUP(D644,POSLODAVCI!$A$2:$J$76,3,0)</f>
        <v>50891994502</v>
      </c>
      <c r="G644" t="str">
        <f>VLOOKUP(D644,POSLODAVCI!$A$2:$J$76,4,0)</f>
        <v>Marko Baban</v>
      </c>
      <c r="H644" t="str">
        <f>VLOOKUP(D644,POSLODAVCI!$A$2:$J$107,9,0)</f>
        <v>Osijek</v>
      </c>
      <c r="I644" t="str">
        <f>VLOOKUP(D644,POSLODAVCI!$A$2:$J$76,10,0)</f>
        <v>Ulica Jela 60, 31000 Osijek</v>
      </c>
      <c r="J644" s="461" t="s">
        <v>2122</v>
      </c>
      <c r="K644" s="462">
        <v>45200</v>
      </c>
      <c r="L644" s="462"/>
      <c r="M644" s="182">
        <v>57680277403</v>
      </c>
      <c r="N644" t="s">
        <v>89</v>
      </c>
      <c r="O644" s="7">
        <v>27133</v>
      </c>
      <c r="R644" t="s">
        <v>2125</v>
      </c>
      <c r="T644" t="s">
        <v>310</v>
      </c>
      <c r="V644" t="s">
        <v>2128</v>
      </c>
      <c r="W644" t="s">
        <v>2128</v>
      </c>
      <c r="X644" s="306" t="s">
        <v>103</v>
      </c>
      <c r="Y644" s="7"/>
      <c r="Z644" t="s">
        <v>1817</v>
      </c>
      <c r="AA644">
        <v>40</v>
      </c>
      <c r="AC644" s="183"/>
      <c r="AE644" s="183"/>
      <c r="AM644" s="463">
        <v>840</v>
      </c>
      <c r="AN644" s="184"/>
      <c r="AW644" s="7"/>
    </row>
    <row r="645" spans="1:53" ht="15.5">
      <c r="A645" s="273">
        <v>15</v>
      </c>
      <c r="B645" s="273" t="str">
        <f t="shared" si="33"/>
        <v>NEAKTIVAN</v>
      </c>
      <c r="C645" s="362">
        <f t="shared" si="34"/>
        <v>643</v>
      </c>
      <c r="D645" s="461">
        <v>67</v>
      </c>
      <c r="E645" t="str">
        <f>VLOOKUP(D645,POSLODAVCI!$A$2:$J$76,2,0)</f>
        <v>BB Oil d.o.o.</v>
      </c>
      <c r="F645" s="78">
        <f>VLOOKUP(D645,POSLODAVCI!$A$2:$J$76,3,0)</f>
        <v>13785058830</v>
      </c>
      <c r="G645" t="str">
        <f>VLOOKUP(D645,POSLODAVCI!$A$2:$J$76,4,0)</f>
        <v>Nikola Borojević</v>
      </c>
      <c r="H645" t="str">
        <f>VLOOKUP(D645,POSLODAVCI!$A$2:$J$107,9,0)</f>
        <v>Bijelo Brdo</v>
      </c>
      <c r="I645" t="str">
        <f>VLOOKUP(D645,POSLODAVCI!$A$2:$J$76,10,0)</f>
        <v>Ratarska 70, 31204 Bijelo Brdo</v>
      </c>
      <c r="J645" s="1" t="s">
        <v>2392</v>
      </c>
      <c r="K645" s="462">
        <v>42736</v>
      </c>
      <c r="L645" s="462">
        <v>44645</v>
      </c>
      <c r="M645" s="468">
        <v>37968742322</v>
      </c>
      <c r="N645" s="16" t="s">
        <v>80</v>
      </c>
      <c r="O645" s="7">
        <v>29928</v>
      </c>
      <c r="R645" s="16" t="s">
        <v>2411</v>
      </c>
      <c r="T645" s="16" t="s">
        <v>111</v>
      </c>
      <c r="W645" s="16" t="s">
        <v>1966</v>
      </c>
      <c r="X645" s="56" t="s">
        <v>103</v>
      </c>
      <c r="Y645" s="7"/>
      <c r="Z645" t="s">
        <v>1817</v>
      </c>
      <c r="AA645">
        <v>40</v>
      </c>
      <c r="AC645" s="183"/>
      <c r="AE645" s="183"/>
      <c r="AM645" s="463"/>
      <c r="AN645" s="184"/>
      <c r="AW645" s="7"/>
    </row>
    <row r="646" spans="1:53" ht="15.5">
      <c r="A646" s="273">
        <v>15</v>
      </c>
      <c r="B646" s="273" t="str">
        <f t="shared" si="33"/>
        <v>AKTIVAN</v>
      </c>
      <c r="C646" s="362">
        <f t="shared" si="34"/>
        <v>644</v>
      </c>
      <c r="D646" s="1">
        <v>67</v>
      </c>
      <c r="E646" t="str">
        <f>VLOOKUP(D646,POSLODAVCI!$A$2:$J$76,2,0)</f>
        <v>BB Oil d.o.o.</v>
      </c>
      <c r="F646" s="78">
        <f>VLOOKUP(D646,POSLODAVCI!$A$2:$J$76,3,0)</f>
        <v>13785058830</v>
      </c>
      <c r="G646" t="str">
        <f>VLOOKUP(D646,POSLODAVCI!$A$2:$J$76,4,0)</f>
        <v>Nikola Borojević</v>
      </c>
      <c r="H646" t="str">
        <f>VLOOKUP(D646,POSLODAVCI!$A$2:$J$107,9,0)</f>
        <v>Bijelo Brdo</v>
      </c>
      <c r="I646" t="str">
        <f>VLOOKUP(D646,POSLODAVCI!$A$2:$J$76,10,0)</f>
        <v>Ratarska 70, 31204 Bijelo Brdo</v>
      </c>
      <c r="J646" s="1" t="s">
        <v>2393</v>
      </c>
      <c r="K646" s="61">
        <v>43009</v>
      </c>
      <c r="L646" s="61"/>
      <c r="M646" s="468">
        <v>97412249984</v>
      </c>
      <c r="N646" s="16" t="s">
        <v>80</v>
      </c>
      <c r="O646" s="7">
        <v>27603</v>
      </c>
      <c r="P646" s="16"/>
      <c r="Q646" s="16"/>
      <c r="R646" s="16" t="s">
        <v>2410</v>
      </c>
      <c r="S646" s="17"/>
      <c r="T646" s="16" t="s">
        <v>310</v>
      </c>
      <c r="U646" s="16"/>
      <c r="V646" s="16"/>
      <c r="W646" s="16" t="s">
        <v>2412</v>
      </c>
      <c r="X646" s="56" t="s">
        <v>103</v>
      </c>
      <c r="Y646" s="7"/>
      <c r="Z646" t="s">
        <v>1817</v>
      </c>
      <c r="AA646">
        <v>40</v>
      </c>
      <c r="AB646" s="16"/>
      <c r="AC646" s="183"/>
      <c r="AD646" s="16"/>
      <c r="AE646" s="183"/>
      <c r="AF646" s="16"/>
      <c r="AG646" s="16"/>
      <c r="AH646" s="16"/>
      <c r="AI646" s="16"/>
      <c r="AJ646" s="16"/>
      <c r="AK646" s="16"/>
      <c r="AL646" s="16"/>
      <c r="AM646" s="90"/>
      <c r="AN646" s="184"/>
      <c r="AQ646" s="16"/>
      <c r="AR646" s="16"/>
      <c r="AS646" s="16"/>
      <c r="AT646" s="16"/>
      <c r="AU646" s="16"/>
      <c r="AV646" s="16"/>
      <c r="AW646" s="7"/>
      <c r="AX646" s="16"/>
      <c r="AY646" s="16"/>
      <c r="AZ646" s="16"/>
      <c r="BA646" s="16"/>
    </row>
    <row r="647" spans="1:53" ht="15.5">
      <c r="A647" s="273">
        <v>15</v>
      </c>
      <c r="B647" s="273" t="str">
        <f t="shared" si="33"/>
        <v>AKTIVAN</v>
      </c>
      <c r="C647" s="362">
        <f t="shared" si="34"/>
        <v>645</v>
      </c>
      <c r="D647" s="1">
        <v>67</v>
      </c>
      <c r="E647" t="str">
        <f>VLOOKUP(D647,POSLODAVCI!$A$2:$J$76,2,0)</f>
        <v>BB Oil d.o.o.</v>
      </c>
      <c r="F647" s="78">
        <f>VLOOKUP(D647,POSLODAVCI!$A$2:$J$76,3,0)</f>
        <v>13785058830</v>
      </c>
      <c r="G647" t="str">
        <f>VLOOKUP(D647,POSLODAVCI!$A$2:$J$76,4,0)</f>
        <v>Nikola Borojević</v>
      </c>
      <c r="H647" t="str">
        <f>VLOOKUP(D647,POSLODAVCI!$A$2:$J$107,9,0)</f>
        <v>Bijelo Brdo</v>
      </c>
      <c r="I647" t="str">
        <f>VLOOKUP(D647,POSLODAVCI!$A$2:$J$76,10,0)</f>
        <v>Ratarska 70, 31204 Bijelo Brdo</v>
      </c>
      <c r="J647" s="1" t="s">
        <v>2394</v>
      </c>
      <c r="K647" s="61">
        <v>43689</v>
      </c>
      <c r="L647" s="61"/>
      <c r="M647" s="468">
        <v>59922811559</v>
      </c>
      <c r="N647" s="16" t="s">
        <v>89</v>
      </c>
      <c r="O647" s="67">
        <v>19716</v>
      </c>
      <c r="P647" s="16"/>
      <c r="Q647" s="16"/>
      <c r="R647" s="16" t="s">
        <v>2409</v>
      </c>
      <c r="S647" s="17"/>
      <c r="T647" s="16" t="s">
        <v>111</v>
      </c>
      <c r="U647" s="16"/>
      <c r="V647" s="16"/>
      <c r="W647" s="16" t="s">
        <v>2413</v>
      </c>
      <c r="X647" s="56" t="s">
        <v>103</v>
      </c>
      <c r="Y647" s="7"/>
      <c r="Z647" s="16" t="s">
        <v>1894</v>
      </c>
      <c r="AA647">
        <v>15</v>
      </c>
      <c r="AB647" s="16"/>
      <c r="AC647" s="183"/>
      <c r="AD647" s="16"/>
      <c r="AE647" s="183"/>
      <c r="AF647" s="16"/>
      <c r="AG647" s="16"/>
      <c r="AH647" s="16"/>
      <c r="AI647" s="16"/>
      <c r="AJ647" s="16"/>
      <c r="AK647" s="16"/>
      <c r="AL647" s="16"/>
      <c r="AM647" s="90"/>
      <c r="AN647" s="184"/>
      <c r="AQ647" s="16"/>
      <c r="AR647" s="16"/>
      <c r="AS647" s="16"/>
      <c r="AT647" s="16"/>
      <c r="AU647" s="16"/>
      <c r="AV647" s="16"/>
      <c r="AW647" s="7"/>
      <c r="AX647" s="16"/>
      <c r="AY647" s="16"/>
      <c r="AZ647" s="16"/>
      <c r="BA647" s="16"/>
    </row>
    <row r="648" spans="1:53" ht="15.5">
      <c r="A648" s="273">
        <v>15</v>
      </c>
      <c r="B648" s="273" t="str">
        <f t="shared" si="33"/>
        <v>NEAKTIVAN</v>
      </c>
      <c r="C648" s="362">
        <f t="shared" si="34"/>
        <v>646</v>
      </c>
      <c r="D648" s="1">
        <v>67</v>
      </c>
      <c r="E648" t="str">
        <f>VLOOKUP(D648,POSLODAVCI!$A$2:$J$76,2,0)</f>
        <v>BB Oil d.o.o.</v>
      </c>
      <c r="F648" s="78">
        <f>VLOOKUP(D648,POSLODAVCI!$A$2:$J$76,3,0)</f>
        <v>13785058830</v>
      </c>
      <c r="G648" t="str">
        <f>VLOOKUP(D648,POSLODAVCI!$A$2:$J$76,4,0)</f>
        <v>Nikola Borojević</v>
      </c>
      <c r="H648" t="str">
        <f>VLOOKUP(D648,POSLODAVCI!$A$2:$J$107,9,0)</f>
        <v>Bijelo Brdo</v>
      </c>
      <c r="I648" t="str">
        <f>VLOOKUP(D648,POSLODAVCI!$A$2:$J$76,10,0)</f>
        <v>Ratarska 70, 31204 Bijelo Brdo</v>
      </c>
      <c r="J648" s="1" t="s">
        <v>2395</v>
      </c>
      <c r="K648" s="61">
        <v>44013</v>
      </c>
      <c r="L648" s="61">
        <v>45165</v>
      </c>
      <c r="M648" s="468">
        <v>79002163958</v>
      </c>
      <c r="N648" s="16" t="s">
        <v>89</v>
      </c>
      <c r="O648" s="7">
        <v>31141</v>
      </c>
      <c r="P648" s="16"/>
      <c r="Q648" s="16"/>
      <c r="R648" s="16" t="s">
        <v>2408</v>
      </c>
      <c r="S648" s="17"/>
      <c r="T648" s="16" t="s">
        <v>84</v>
      </c>
      <c r="U648" s="16"/>
      <c r="V648" s="16"/>
      <c r="W648" s="16"/>
      <c r="X648" s="56" t="s">
        <v>103</v>
      </c>
      <c r="Y648" s="7"/>
      <c r="Z648" t="s">
        <v>1817</v>
      </c>
      <c r="AA648">
        <v>40</v>
      </c>
      <c r="AB648" s="16"/>
      <c r="AC648" s="183"/>
      <c r="AD648" s="16"/>
      <c r="AE648" s="183"/>
      <c r="AF648" s="16"/>
      <c r="AG648" s="16"/>
      <c r="AH648" s="16"/>
      <c r="AI648" s="16"/>
      <c r="AJ648" s="16"/>
      <c r="AK648" s="16"/>
      <c r="AL648" s="16"/>
      <c r="AM648" s="90"/>
      <c r="AN648" s="184"/>
      <c r="AQ648" s="16"/>
      <c r="AR648" s="16"/>
      <c r="AS648" s="16"/>
      <c r="AT648" s="16"/>
      <c r="AU648" s="16"/>
      <c r="AV648" s="16"/>
      <c r="AW648" s="7"/>
      <c r="AX648" s="16"/>
      <c r="AY648" s="16"/>
      <c r="AZ648" s="16"/>
      <c r="BA648" s="16"/>
    </row>
    <row r="649" spans="1:53" ht="15.5">
      <c r="A649" s="273">
        <v>15</v>
      </c>
      <c r="B649" s="273" t="str">
        <f t="shared" si="33"/>
        <v>NEAKTIVAN</v>
      </c>
      <c r="C649" s="362">
        <f t="shared" si="34"/>
        <v>647</v>
      </c>
      <c r="D649" s="1">
        <v>67</v>
      </c>
      <c r="E649" t="str">
        <f>VLOOKUP(D649,POSLODAVCI!$A$2:$J$76,2,0)</f>
        <v>BB Oil d.o.o.</v>
      </c>
      <c r="F649" s="78">
        <f>VLOOKUP(D649,POSLODAVCI!$A$2:$J$76,3,0)</f>
        <v>13785058830</v>
      </c>
      <c r="G649" t="str">
        <f>VLOOKUP(D649,POSLODAVCI!$A$2:$J$76,4,0)</f>
        <v>Nikola Borojević</v>
      </c>
      <c r="H649" t="str">
        <f>VLOOKUP(D649,POSLODAVCI!$A$2:$J$107,9,0)</f>
        <v>Bijelo Brdo</v>
      </c>
      <c r="I649" t="str">
        <f>VLOOKUP(D649,POSLODAVCI!$A$2:$J$76,10,0)</f>
        <v>Ratarska 70, 31204 Bijelo Brdo</v>
      </c>
      <c r="J649" s="1" t="s">
        <v>2396</v>
      </c>
      <c r="K649" s="61">
        <v>44044</v>
      </c>
      <c r="L649" s="61">
        <v>44787</v>
      </c>
      <c r="M649" s="468">
        <v>11056078331</v>
      </c>
      <c r="N649" s="16" t="s">
        <v>89</v>
      </c>
      <c r="O649" s="7">
        <v>21097</v>
      </c>
      <c r="P649" s="16"/>
      <c r="Q649" s="16"/>
      <c r="R649" s="16" t="s">
        <v>2407</v>
      </c>
      <c r="S649" s="17"/>
      <c r="T649" s="16" t="s">
        <v>84</v>
      </c>
      <c r="U649" s="16"/>
      <c r="V649" s="16"/>
      <c r="W649" s="16" t="s">
        <v>2414</v>
      </c>
      <c r="X649" s="56" t="s">
        <v>103</v>
      </c>
      <c r="Y649" s="7"/>
      <c r="Z649" t="s">
        <v>1817</v>
      </c>
      <c r="AA649">
        <v>40</v>
      </c>
      <c r="AB649" s="16"/>
      <c r="AC649" s="183"/>
      <c r="AD649" s="16"/>
      <c r="AE649" s="183"/>
      <c r="AF649" s="16"/>
      <c r="AG649" s="16"/>
      <c r="AH649" s="16"/>
      <c r="AI649" s="16"/>
      <c r="AJ649" s="16"/>
      <c r="AK649" s="16"/>
      <c r="AL649" s="16"/>
      <c r="AM649" s="90"/>
      <c r="AN649" s="184"/>
      <c r="AQ649" s="16"/>
      <c r="AR649" s="16"/>
      <c r="AS649" s="16"/>
      <c r="AT649" s="16"/>
      <c r="AU649" s="16"/>
      <c r="AV649" s="16"/>
      <c r="AW649" s="7"/>
      <c r="AX649" s="16"/>
      <c r="AY649" s="16"/>
      <c r="AZ649" s="16"/>
      <c r="BA649" s="16"/>
    </row>
    <row r="650" spans="1:53" ht="15.5">
      <c r="A650" s="273">
        <v>15</v>
      </c>
      <c r="B650" s="273" t="str">
        <f t="shared" si="33"/>
        <v>AKTIVAN</v>
      </c>
      <c r="C650" s="362">
        <f t="shared" si="34"/>
        <v>648</v>
      </c>
      <c r="D650" s="1">
        <v>67</v>
      </c>
      <c r="E650" t="str">
        <f>VLOOKUP(D650,POSLODAVCI!$A$2:$J$76,2,0)</f>
        <v>BB Oil d.o.o.</v>
      </c>
      <c r="F650" s="78">
        <f>VLOOKUP(D650,POSLODAVCI!$A$2:$J$76,3,0)</f>
        <v>13785058830</v>
      </c>
      <c r="G650" t="str">
        <f>VLOOKUP(D650,POSLODAVCI!$A$2:$J$76,4,0)</f>
        <v>Nikola Borojević</v>
      </c>
      <c r="H650" t="str">
        <f>VLOOKUP(D650,POSLODAVCI!$A$2:$J$107,9,0)</f>
        <v>Bijelo Brdo</v>
      </c>
      <c r="I650" t="str">
        <f>VLOOKUP(D650,POSLODAVCI!$A$2:$J$76,10,0)</f>
        <v>Ratarska 70, 31204 Bijelo Brdo</v>
      </c>
      <c r="J650" s="1" t="s">
        <v>2397</v>
      </c>
      <c r="K650" s="61">
        <v>44474</v>
      </c>
      <c r="L650" s="61"/>
      <c r="M650" s="468">
        <v>61196180143</v>
      </c>
      <c r="N650" s="16" t="s">
        <v>89</v>
      </c>
      <c r="O650" s="7">
        <v>28373</v>
      </c>
      <c r="P650" s="16"/>
      <c r="Q650" s="16"/>
      <c r="R650" s="16" t="s">
        <v>2406</v>
      </c>
      <c r="S650" s="17"/>
      <c r="T650" s="16" t="s">
        <v>84</v>
      </c>
      <c r="U650" s="16"/>
      <c r="V650" s="16"/>
      <c r="W650" s="16" t="s">
        <v>2415</v>
      </c>
      <c r="X650" s="56" t="s">
        <v>103</v>
      </c>
      <c r="Y650" s="7"/>
      <c r="Z650" t="s">
        <v>1817</v>
      </c>
      <c r="AA650">
        <v>40</v>
      </c>
      <c r="AB650" s="16"/>
      <c r="AC650" s="183"/>
      <c r="AD650" s="16"/>
      <c r="AE650" s="183"/>
      <c r="AF650" s="16"/>
      <c r="AG650" s="16"/>
      <c r="AH650" s="16"/>
      <c r="AI650" s="16"/>
      <c r="AJ650" s="16"/>
      <c r="AK650" s="16"/>
      <c r="AL650" s="16"/>
      <c r="AM650" s="90"/>
      <c r="AN650" s="184"/>
      <c r="AQ650" s="16"/>
      <c r="AR650" s="16"/>
      <c r="AS650" s="16"/>
      <c r="AT650" s="16"/>
      <c r="AU650" s="16"/>
      <c r="AV650" s="16"/>
      <c r="AW650" s="7"/>
      <c r="AX650" s="16"/>
      <c r="AY650" s="16"/>
      <c r="AZ650" s="16"/>
      <c r="BA650" s="16"/>
    </row>
    <row r="651" spans="1:53" ht="15.5">
      <c r="A651" s="273">
        <v>15</v>
      </c>
      <c r="B651" s="273" t="str">
        <f t="shared" ref="B651:B714" si="35">IF(L651&gt;0,"NEAKTIVAN","AKTIVAN")</f>
        <v>AKTIVAN</v>
      </c>
      <c r="C651" s="362">
        <f t="shared" si="34"/>
        <v>649</v>
      </c>
      <c r="D651" s="1">
        <v>67</v>
      </c>
      <c r="E651" t="str">
        <f>VLOOKUP(D651,POSLODAVCI!$A$2:$J$76,2,0)</f>
        <v>BB Oil d.o.o.</v>
      </c>
      <c r="F651" s="78">
        <f>VLOOKUP(D651,POSLODAVCI!$A$2:$J$76,3,0)</f>
        <v>13785058830</v>
      </c>
      <c r="G651" t="str">
        <f>VLOOKUP(D651,POSLODAVCI!$A$2:$J$76,4,0)</f>
        <v>Nikola Borojević</v>
      </c>
      <c r="H651" t="str">
        <f>VLOOKUP(D651,POSLODAVCI!$A$2:$J$107,9,0)</f>
        <v>Bijelo Brdo</v>
      </c>
      <c r="I651" t="str">
        <f>VLOOKUP(D651,POSLODAVCI!$A$2:$J$76,10,0)</f>
        <v>Ratarska 70, 31204 Bijelo Brdo</v>
      </c>
      <c r="J651" s="1" t="s">
        <v>2398</v>
      </c>
      <c r="K651" s="61">
        <v>44474</v>
      </c>
      <c r="L651" s="61"/>
      <c r="M651" s="483" t="s">
        <v>2402</v>
      </c>
      <c r="N651" s="16" t="s">
        <v>89</v>
      </c>
      <c r="O651" s="7">
        <v>32553</v>
      </c>
      <c r="P651" s="16"/>
      <c r="Q651" s="16"/>
      <c r="R651" s="16" t="s">
        <v>2405</v>
      </c>
      <c r="S651" s="17"/>
      <c r="T651" s="16" t="s">
        <v>84</v>
      </c>
      <c r="U651" s="16"/>
      <c r="V651" s="16"/>
      <c r="W651" s="16" t="s">
        <v>2415</v>
      </c>
      <c r="X651" s="56" t="s">
        <v>103</v>
      </c>
      <c r="Y651" s="7"/>
      <c r="Z651" t="s">
        <v>1817</v>
      </c>
      <c r="AA651">
        <v>40</v>
      </c>
      <c r="AB651" s="16"/>
      <c r="AC651" s="183"/>
      <c r="AD651" s="16"/>
      <c r="AE651" s="183"/>
      <c r="AF651" s="16"/>
      <c r="AG651" s="16"/>
      <c r="AH651" s="16"/>
      <c r="AI651" s="16"/>
      <c r="AJ651" s="16"/>
      <c r="AK651" s="16"/>
      <c r="AL651" s="16"/>
      <c r="AM651" s="90"/>
      <c r="AN651" s="184"/>
      <c r="AQ651" s="16"/>
      <c r="AR651" s="16"/>
      <c r="AS651" s="16"/>
      <c r="AT651" s="16"/>
      <c r="AU651" s="16"/>
      <c r="AV651" s="16"/>
      <c r="AW651" s="7"/>
      <c r="AX651" s="16"/>
      <c r="AY651" s="16"/>
      <c r="AZ651" s="16"/>
      <c r="BA651" s="16"/>
    </row>
    <row r="652" spans="1:53" ht="15.5">
      <c r="A652" s="273">
        <v>15</v>
      </c>
      <c r="B652" s="273" t="str">
        <f t="shared" si="35"/>
        <v>AKTIVAN</v>
      </c>
      <c r="C652" s="362">
        <f t="shared" si="34"/>
        <v>650</v>
      </c>
      <c r="D652" s="1">
        <v>67</v>
      </c>
      <c r="E652" t="str">
        <f>VLOOKUP(D652,POSLODAVCI!$A$2:$J$76,2,0)</f>
        <v>BB Oil d.o.o.</v>
      </c>
      <c r="F652" s="78">
        <f>VLOOKUP(D652,POSLODAVCI!$A$2:$J$76,3,0)</f>
        <v>13785058830</v>
      </c>
      <c r="G652" t="str">
        <f>VLOOKUP(D652,POSLODAVCI!$A$2:$J$76,4,0)</f>
        <v>Nikola Borojević</v>
      </c>
      <c r="H652" t="str">
        <f>VLOOKUP(D652,POSLODAVCI!$A$2:$J$107,9,0)</f>
        <v>Bijelo Brdo</v>
      </c>
      <c r="I652" t="str">
        <f>VLOOKUP(D652,POSLODAVCI!$A$2:$J$76,10,0)</f>
        <v>Ratarska 70, 31204 Bijelo Brdo</v>
      </c>
      <c r="J652" s="1" t="s">
        <v>2391</v>
      </c>
      <c r="K652" s="61">
        <v>44501</v>
      </c>
      <c r="L652" s="61"/>
      <c r="M652" s="468">
        <v>71890368213</v>
      </c>
      <c r="N652" s="16" t="s">
        <v>89</v>
      </c>
      <c r="O652" s="67">
        <v>23631</v>
      </c>
      <c r="P652" s="16"/>
      <c r="Q652" s="16"/>
      <c r="R652" s="16" t="s">
        <v>2404</v>
      </c>
      <c r="S652" s="17"/>
      <c r="T652" s="16" t="s">
        <v>84</v>
      </c>
      <c r="U652" s="16"/>
      <c r="V652" s="16"/>
      <c r="W652" s="16" t="s">
        <v>418</v>
      </c>
      <c r="X652" s="56" t="s">
        <v>103</v>
      </c>
      <c r="Y652" s="7"/>
      <c r="Z652" t="s">
        <v>1817</v>
      </c>
      <c r="AA652">
        <v>40</v>
      </c>
      <c r="AB652" s="16"/>
      <c r="AC652" s="183"/>
      <c r="AD652" s="16"/>
      <c r="AE652" s="183"/>
      <c r="AF652" s="16"/>
      <c r="AG652" s="16"/>
      <c r="AH652" s="16"/>
      <c r="AI652" s="16"/>
      <c r="AJ652" s="16"/>
      <c r="AK652" s="16"/>
      <c r="AL652" s="16"/>
      <c r="AM652" s="90"/>
      <c r="AN652" s="184"/>
      <c r="AQ652" s="16"/>
      <c r="AR652" s="16"/>
      <c r="AS652" s="16"/>
      <c r="AT652" s="16"/>
      <c r="AU652" s="16"/>
      <c r="AV652" s="16"/>
      <c r="AW652" s="7"/>
      <c r="AX652" s="16"/>
      <c r="AY652" s="16"/>
      <c r="AZ652" s="16"/>
      <c r="BA652" s="16"/>
    </row>
    <row r="653" spans="1:53" ht="15.5">
      <c r="A653" s="273">
        <v>15</v>
      </c>
      <c r="B653" s="273" t="str">
        <f t="shared" si="35"/>
        <v>AKTIVAN</v>
      </c>
      <c r="C653" s="362">
        <f t="shared" si="34"/>
        <v>651</v>
      </c>
      <c r="D653" s="1">
        <v>67</v>
      </c>
      <c r="E653" t="str">
        <f>VLOOKUP(D653,POSLODAVCI!$A$2:$J$76,2,0)</f>
        <v>BB Oil d.o.o.</v>
      </c>
      <c r="F653" s="78">
        <f>VLOOKUP(D653,POSLODAVCI!$A$2:$J$76,3,0)</f>
        <v>13785058830</v>
      </c>
      <c r="G653" t="str">
        <f>VLOOKUP(D653,POSLODAVCI!$A$2:$J$76,4,0)</f>
        <v>Nikola Borojević</v>
      </c>
      <c r="H653" t="str">
        <f>VLOOKUP(D653,POSLODAVCI!$A$2:$J$107,9,0)</f>
        <v>Bijelo Brdo</v>
      </c>
      <c r="I653" t="str">
        <f>VLOOKUP(D653,POSLODAVCI!$A$2:$J$76,10,0)</f>
        <v>Ratarska 70, 31204 Bijelo Brdo</v>
      </c>
      <c r="J653" s="1" t="s">
        <v>2399</v>
      </c>
      <c r="K653" s="61">
        <v>44732</v>
      </c>
      <c r="L653" s="61"/>
      <c r="M653" s="468">
        <v>55982171534</v>
      </c>
      <c r="N653" s="16" t="s">
        <v>80</v>
      </c>
      <c r="O653" s="7">
        <v>23765</v>
      </c>
      <c r="P653" s="16"/>
      <c r="Q653" s="16"/>
      <c r="R653" s="16" t="s">
        <v>2404</v>
      </c>
      <c r="S653" s="17"/>
      <c r="T653" s="16" t="s">
        <v>84</v>
      </c>
      <c r="U653" s="16"/>
      <c r="V653" s="16"/>
      <c r="W653" s="16" t="s">
        <v>93</v>
      </c>
      <c r="X653" s="56" t="s">
        <v>103</v>
      </c>
      <c r="Y653" s="7"/>
      <c r="Z653" t="s">
        <v>1817</v>
      </c>
      <c r="AA653">
        <v>40</v>
      </c>
      <c r="AB653" s="16"/>
      <c r="AC653" s="183"/>
      <c r="AD653" s="16"/>
      <c r="AE653" s="183"/>
      <c r="AF653" s="16"/>
      <c r="AG653" s="16"/>
      <c r="AH653" s="16"/>
      <c r="AI653" s="16"/>
      <c r="AJ653" s="16"/>
      <c r="AK653" s="16"/>
      <c r="AL653" s="16"/>
      <c r="AM653" s="90"/>
      <c r="AN653" s="184"/>
      <c r="AQ653" s="16"/>
      <c r="AR653" s="16"/>
      <c r="AS653" s="16"/>
      <c r="AT653" s="16"/>
      <c r="AU653" s="16"/>
      <c r="AV653" s="16"/>
      <c r="AW653" s="7"/>
      <c r="AX653" s="16"/>
      <c r="AY653" s="16"/>
      <c r="AZ653" s="16"/>
      <c r="BA653" s="16"/>
    </row>
    <row r="654" spans="1:53" ht="15.5">
      <c r="A654" s="273">
        <v>15</v>
      </c>
      <c r="B654" s="273" t="str">
        <f t="shared" si="35"/>
        <v>NEAKTIVAN</v>
      </c>
      <c r="C654" s="362">
        <f t="shared" si="34"/>
        <v>652</v>
      </c>
      <c r="D654" s="1">
        <v>67</v>
      </c>
      <c r="E654" t="str">
        <f>VLOOKUP(D654,POSLODAVCI!$A$2:$J$76,2,0)</f>
        <v>BB Oil d.o.o.</v>
      </c>
      <c r="F654" s="78">
        <f>VLOOKUP(D654,POSLODAVCI!$A$2:$J$76,3,0)</f>
        <v>13785058830</v>
      </c>
      <c r="G654" t="str">
        <f>VLOOKUP(D654,POSLODAVCI!$A$2:$J$76,4,0)</f>
        <v>Nikola Borojević</v>
      </c>
      <c r="H654" t="str">
        <f>VLOOKUP(D654,POSLODAVCI!$A$2:$J$107,9,0)</f>
        <v>Bijelo Brdo</v>
      </c>
      <c r="I654" t="str">
        <f>VLOOKUP(D654,POSLODAVCI!$A$2:$J$76,10,0)</f>
        <v>Ratarska 70, 31204 Bijelo Brdo</v>
      </c>
      <c r="J654" s="1" t="s">
        <v>2400</v>
      </c>
      <c r="K654" s="61">
        <v>44835</v>
      </c>
      <c r="L654" s="61">
        <v>45169</v>
      </c>
      <c r="M654" s="468">
        <v>57884087001</v>
      </c>
      <c r="N654" s="16" t="s">
        <v>89</v>
      </c>
      <c r="O654" s="7">
        <v>30420</v>
      </c>
      <c r="P654" s="16"/>
      <c r="Q654" s="16"/>
      <c r="R654" s="16" t="s">
        <v>2403</v>
      </c>
      <c r="S654" s="17"/>
      <c r="T654" s="16" t="s">
        <v>84</v>
      </c>
      <c r="U654" s="16"/>
      <c r="V654" s="16"/>
      <c r="W654" s="16"/>
      <c r="X654" s="56" t="s">
        <v>103</v>
      </c>
      <c r="Y654" s="7"/>
      <c r="Z654" t="s">
        <v>1817</v>
      </c>
      <c r="AA654">
        <v>40</v>
      </c>
      <c r="AB654" s="16"/>
      <c r="AC654" s="183"/>
      <c r="AD654" s="16"/>
      <c r="AE654" s="183"/>
      <c r="AF654" s="16"/>
      <c r="AG654" s="16"/>
      <c r="AH654" s="16"/>
      <c r="AI654" s="16"/>
      <c r="AJ654" s="16"/>
      <c r="AK654" s="16"/>
      <c r="AL654" s="16"/>
      <c r="AM654" s="90"/>
      <c r="AN654" s="184"/>
      <c r="AQ654" s="16"/>
      <c r="AR654" s="16"/>
      <c r="AS654" s="16"/>
      <c r="AT654" s="16"/>
      <c r="AU654" s="16"/>
      <c r="AV654" s="16"/>
      <c r="AW654" s="7"/>
      <c r="AX654" s="16"/>
      <c r="AY654" s="16"/>
      <c r="AZ654" s="16"/>
      <c r="BA654" s="16"/>
    </row>
    <row r="655" spans="1:53" ht="15.5">
      <c r="A655" s="273">
        <v>15</v>
      </c>
      <c r="B655" s="273" t="s">
        <v>255</v>
      </c>
      <c r="C655" s="362">
        <f t="shared" si="34"/>
        <v>653</v>
      </c>
      <c r="D655" s="1">
        <v>67</v>
      </c>
      <c r="E655" t="str">
        <f>VLOOKUP(D655,POSLODAVCI!$A$2:$J$76,2,0)</f>
        <v>BB Oil d.o.o.</v>
      </c>
      <c r="F655" s="78">
        <f>VLOOKUP(D655,POSLODAVCI!$A$2:$J$76,3,0)</f>
        <v>13785058830</v>
      </c>
      <c r="G655" t="str">
        <f>VLOOKUP(D655,POSLODAVCI!$A$2:$J$76,4,0)</f>
        <v>Nikola Borojević</v>
      </c>
      <c r="H655" t="str">
        <f>VLOOKUP(D655,POSLODAVCI!$A$2:$J$107,9,0)</f>
        <v>Bijelo Brdo</v>
      </c>
      <c r="I655" t="str">
        <f>VLOOKUP(D655,POSLODAVCI!$A$2:$J$76,10,0)</f>
        <v>Ratarska 70, 31204 Bijelo Brdo</v>
      </c>
      <c r="J655" s="1" t="s">
        <v>2401</v>
      </c>
      <c r="K655" s="61">
        <v>45201</v>
      </c>
      <c r="L655" s="61">
        <v>45273</v>
      </c>
      <c r="M655" s="468">
        <v>88530662269</v>
      </c>
      <c r="N655" s="16" t="s">
        <v>89</v>
      </c>
      <c r="O655" s="7">
        <v>33073</v>
      </c>
      <c r="P655" s="16"/>
      <c r="Q655" s="16"/>
      <c r="R655" s="16" t="s">
        <v>2421</v>
      </c>
      <c r="S655" s="17"/>
      <c r="T655" s="16" t="s">
        <v>84</v>
      </c>
      <c r="U655" s="16"/>
      <c r="V655" s="16"/>
      <c r="W655" s="16" t="s">
        <v>2412</v>
      </c>
      <c r="X655" s="56" t="s">
        <v>85</v>
      </c>
      <c r="Y655" s="7">
        <v>45291</v>
      </c>
      <c r="Z655" t="s">
        <v>1817</v>
      </c>
      <c r="AA655" s="16">
        <v>40</v>
      </c>
      <c r="AB655" s="16"/>
      <c r="AC655" s="183"/>
      <c r="AD655" s="16"/>
      <c r="AE655" s="183"/>
      <c r="AF655" s="16"/>
      <c r="AG655" s="16"/>
      <c r="AH655" s="16"/>
      <c r="AI655" s="16"/>
      <c r="AJ655" s="16"/>
      <c r="AK655" s="16"/>
      <c r="AL655" s="16"/>
      <c r="AM655" s="90">
        <v>836.15</v>
      </c>
      <c r="AN655" s="184"/>
      <c r="AQ655" s="16"/>
      <c r="AR655" s="16"/>
      <c r="AS655" s="16"/>
      <c r="AT655" s="16"/>
      <c r="AU655" s="16"/>
      <c r="AV655" s="16"/>
      <c r="AW655" s="7"/>
      <c r="AX655" s="16"/>
      <c r="AY655" s="16"/>
      <c r="AZ655" s="16"/>
      <c r="BA655" s="16"/>
    </row>
    <row r="656" spans="1:53" ht="15.5">
      <c r="A656" s="273">
        <v>15</v>
      </c>
      <c r="B656" s="273" t="str">
        <f t="shared" si="35"/>
        <v>NEAKTIVAN</v>
      </c>
      <c r="C656" s="362">
        <f t="shared" si="34"/>
        <v>654</v>
      </c>
      <c r="D656" s="461">
        <v>36</v>
      </c>
      <c r="E656" t="str">
        <f>VLOOKUP(D656,POSLODAVCI!$A$2:$J$76,2,0)</f>
        <v>Vital Group d.o.o.</v>
      </c>
      <c r="F656" s="78">
        <f>VLOOKUP(D656,POSLODAVCI!$A$2:$J$76,3,0)</f>
        <v>45575918003</v>
      </c>
      <c r="G656" t="str">
        <f>VLOOKUP(D656,POSLODAVCI!$A$2:$J$76,4,0)</f>
        <v>Balázs Kulcsár</v>
      </c>
      <c r="H656" t="str">
        <f>VLOOKUP(D656,POSLODAVCI!$A$2:$J$107,9,0)</f>
        <v>Osijek</v>
      </c>
      <c r="I656" t="str">
        <f>VLOOKUP(D656,POSLODAVCI!$A$2:$J$76,10,0)</f>
        <v>Ribarska 10</v>
      </c>
      <c r="J656" s="469" t="s">
        <v>2422</v>
      </c>
      <c r="K656" s="470">
        <v>45209</v>
      </c>
      <c r="L656" s="470">
        <v>45260</v>
      </c>
      <c r="M656" s="182">
        <v>83013056358</v>
      </c>
      <c r="N656" t="s">
        <v>80</v>
      </c>
      <c r="O656" s="7">
        <v>30439</v>
      </c>
      <c r="R656" t="s">
        <v>2424</v>
      </c>
      <c r="T656" t="s">
        <v>84</v>
      </c>
      <c r="V656" t="s">
        <v>143</v>
      </c>
      <c r="W656" t="s">
        <v>143</v>
      </c>
      <c r="X656" s="306" t="s">
        <v>85</v>
      </c>
      <c r="Y656" s="7">
        <v>45260</v>
      </c>
      <c r="Z656" t="s">
        <v>1817</v>
      </c>
      <c r="AA656">
        <v>40</v>
      </c>
      <c r="AB656" t="s">
        <v>2426</v>
      </c>
      <c r="AC656" s="183"/>
      <c r="AE656" s="183"/>
      <c r="AH656" t="s">
        <v>94</v>
      </c>
      <c r="AM656" s="463">
        <v>700</v>
      </c>
      <c r="AN656" s="184"/>
      <c r="AO656" s="15">
        <v>560</v>
      </c>
      <c r="AW656" s="7"/>
      <c r="AY656" t="s">
        <v>2428</v>
      </c>
      <c r="AZ656" t="s">
        <v>374</v>
      </c>
      <c r="BA656">
        <v>121</v>
      </c>
    </row>
    <row r="657" spans="1:53" ht="15.5">
      <c r="A657" s="273">
        <v>15</v>
      </c>
      <c r="B657" s="273" t="str">
        <f t="shared" si="35"/>
        <v>NEAKTIVAN</v>
      </c>
      <c r="C657" s="362">
        <f t="shared" si="34"/>
        <v>655</v>
      </c>
      <c r="D657" s="461">
        <v>36</v>
      </c>
      <c r="E657" t="str">
        <f>VLOOKUP(D657,POSLODAVCI!$A$2:$J$76,2,0)</f>
        <v>Vital Group d.o.o.</v>
      </c>
      <c r="F657" s="78">
        <f>VLOOKUP(D657,POSLODAVCI!$A$2:$J$76,3,0)</f>
        <v>45575918003</v>
      </c>
      <c r="G657" t="str">
        <f>VLOOKUP(D657,POSLODAVCI!$A$2:$J$76,4,0)</f>
        <v>Balázs Kulcsár</v>
      </c>
      <c r="H657" t="str">
        <f>VLOOKUP(D657,POSLODAVCI!$A$2:$J$107,9,0)</f>
        <v>Osijek</v>
      </c>
      <c r="I657" t="str">
        <f>VLOOKUP(D657,POSLODAVCI!$A$2:$J$76,10,0)</f>
        <v>Ribarska 10</v>
      </c>
      <c r="J657" s="469" t="s">
        <v>2423</v>
      </c>
      <c r="K657" s="470">
        <v>45209</v>
      </c>
      <c r="L657" s="470">
        <v>45260</v>
      </c>
      <c r="M657" s="182">
        <v>38320196801</v>
      </c>
      <c r="N657" t="s">
        <v>80</v>
      </c>
      <c r="O657" s="7">
        <v>37380</v>
      </c>
      <c r="R657" t="s">
        <v>2425</v>
      </c>
      <c r="T657" t="s">
        <v>84</v>
      </c>
      <c r="V657" t="s">
        <v>143</v>
      </c>
      <c r="W657" t="s">
        <v>143</v>
      </c>
      <c r="X657" s="306" t="s">
        <v>85</v>
      </c>
      <c r="Y657" s="7">
        <v>45260</v>
      </c>
      <c r="Z657" t="s">
        <v>1817</v>
      </c>
      <c r="AA657">
        <v>40</v>
      </c>
      <c r="AB657" t="s">
        <v>2427</v>
      </c>
      <c r="AC657" s="183"/>
      <c r="AE657" s="183"/>
      <c r="AH657" t="s">
        <v>94</v>
      </c>
      <c r="AM657" s="463">
        <v>700</v>
      </c>
      <c r="AN657" s="184"/>
      <c r="AO657" s="15">
        <v>560</v>
      </c>
      <c r="AW657" s="7"/>
      <c r="AZ657" t="s">
        <v>374</v>
      </c>
      <c r="BA657">
        <v>122</v>
      </c>
    </row>
    <row r="658" spans="1:53" ht="15.5">
      <c r="A658" s="273">
        <v>15</v>
      </c>
      <c r="B658" s="273" t="str">
        <f t="shared" si="35"/>
        <v>AKTIVAN</v>
      </c>
      <c r="C658" s="362">
        <f t="shared" si="34"/>
        <v>656</v>
      </c>
      <c r="D658" s="461">
        <v>36</v>
      </c>
      <c r="E658" t="str">
        <f>VLOOKUP(D658,POSLODAVCI!$A$2:$J$76,2,0)</f>
        <v>Vital Group d.o.o.</v>
      </c>
      <c r="F658" s="78">
        <f>VLOOKUP(D658,POSLODAVCI!$A$2:$J$76,3,0)</f>
        <v>45575918003</v>
      </c>
      <c r="G658" t="str">
        <f>VLOOKUP(D658,POSLODAVCI!$A$2:$J$76,4,0)</f>
        <v>Balázs Kulcsár</v>
      </c>
      <c r="H658" t="str">
        <f>VLOOKUP(D658,POSLODAVCI!$A$2:$J$107,9,0)</f>
        <v>Osijek</v>
      </c>
      <c r="I658" t="str">
        <f>VLOOKUP(D658,POSLODAVCI!$A$2:$J$76,10,0)</f>
        <v>Ribarska 10</v>
      </c>
      <c r="J658" s="469" t="s">
        <v>2429</v>
      </c>
      <c r="K658" s="470">
        <v>45215</v>
      </c>
      <c r="L658" s="470"/>
      <c r="M658" s="182">
        <v>35695824453</v>
      </c>
      <c r="N658" t="s">
        <v>80</v>
      </c>
      <c r="O658" s="7">
        <v>36349</v>
      </c>
      <c r="R658" t="s">
        <v>2430</v>
      </c>
      <c r="T658" t="s">
        <v>84</v>
      </c>
      <c r="V658" t="s">
        <v>143</v>
      </c>
      <c r="W658" t="s">
        <v>143</v>
      </c>
      <c r="X658" s="306" t="s">
        <v>85</v>
      </c>
      <c r="Y658" s="7"/>
      <c r="Z658" t="s">
        <v>1817</v>
      </c>
      <c r="AA658">
        <v>40</v>
      </c>
      <c r="AB658" t="s">
        <v>2431</v>
      </c>
      <c r="AC658" s="183"/>
      <c r="AE658" s="183"/>
      <c r="AH658" t="s">
        <v>2432</v>
      </c>
      <c r="AM658" s="463">
        <v>700</v>
      </c>
      <c r="AN658" s="184"/>
      <c r="AO658" s="15">
        <v>560</v>
      </c>
      <c r="AW658" s="7"/>
      <c r="AZ658" t="s">
        <v>374</v>
      </c>
      <c r="BA658">
        <v>123</v>
      </c>
    </row>
    <row r="659" spans="1:53" ht="15.5">
      <c r="A659" s="273">
        <v>15</v>
      </c>
      <c r="B659" s="273" t="str">
        <f t="shared" si="35"/>
        <v>AKTIVAN</v>
      </c>
      <c r="C659" s="362">
        <f t="shared" si="34"/>
        <v>657</v>
      </c>
      <c r="D659" s="461">
        <v>36</v>
      </c>
      <c r="E659" t="str">
        <f>VLOOKUP(D659,POSLODAVCI!$A$2:$J$76,2,0)</f>
        <v>Vital Group d.o.o.</v>
      </c>
      <c r="F659" s="78">
        <f>VLOOKUP(D659,POSLODAVCI!$A$2:$J$76,3,0)</f>
        <v>45575918003</v>
      </c>
      <c r="G659" t="str">
        <f>VLOOKUP(D659,POSLODAVCI!$A$2:$J$76,4,0)</f>
        <v>Balázs Kulcsár</v>
      </c>
      <c r="H659" t="str">
        <f>VLOOKUP(D659,POSLODAVCI!$A$2:$J$107,9,0)</f>
        <v>Osijek</v>
      </c>
      <c r="I659" t="str">
        <f>VLOOKUP(D659,POSLODAVCI!$A$2:$J$76,10,0)</f>
        <v>Ribarska 10</v>
      </c>
      <c r="J659" s="469" t="s">
        <v>2435</v>
      </c>
      <c r="K659" s="470">
        <v>45215</v>
      </c>
      <c r="L659" s="470"/>
      <c r="M659" s="182">
        <v>28979019336</v>
      </c>
      <c r="N659" t="s">
        <v>80</v>
      </c>
      <c r="O659" s="7">
        <v>34940</v>
      </c>
      <c r="R659" t="s">
        <v>2434</v>
      </c>
      <c r="T659" t="s">
        <v>84</v>
      </c>
      <c r="V659" t="s">
        <v>143</v>
      </c>
      <c r="W659" t="s">
        <v>143</v>
      </c>
      <c r="X659" s="306" t="s">
        <v>85</v>
      </c>
      <c r="Y659" s="7"/>
      <c r="Z659" t="s">
        <v>1817</v>
      </c>
      <c r="AA659">
        <v>40</v>
      </c>
      <c r="AB659" t="s">
        <v>2433</v>
      </c>
      <c r="AC659" s="183"/>
      <c r="AE659" s="183"/>
      <c r="AH659" t="s">
        <v>94</v>
      </c>
      <c r="AM659" s="463">
        <v>700</v>
      </c>
      <c r="AN659" s="184"/>
      <c r="AO659" s="15">
        <v>560</v>
      </c>
      <c r="AW659" s="7"/>
      <c r="AZ659" t="s">
        <v>374</v>
      </c>
      <c r="BA659">
        <v>124</v>
      </c>
    </row>
    <row r="660" spans="1:53" ht="15.5">
      <c r="A660" s="273">
        <v>15</v>
      </c>
      <c r="B660" s="273" t="str">
        <f t="shared" si="35"/>
        <v>AKTIVAN</v>
      </c>
      <c r="C660" s="362">
        <f t="shared" si="34"/>
        <v>658</v>
      </c>
      <c r="D660" s="461">
        <v>36</v>
      </c>
      <c r="E660" t="str">
        <f>VLOOKUP(D660,POSLODAVCI!$A$2:$J$76,2,0)</f>
        <v>Vital Group d.o.o.</v>
      </c>
      <c r="F660" s="78">
        <f>VLOOKUP(D660,POSLODAVCI!$A$2:$J$76,3,0)</f>
        <v>45575918003</v>
      </c>
      <c r="G660" t="str">
        <f>VLOOKUP(D660,POSLODAVCI!$A$2:$J$76,4,0)</f>
        <v>Balázs Kulcsár</v>
      </c>
      <c r="H660" t="str">
        <f>VLOOKUP(D660,POSLODAVCI!$A$2:$J$107,9,0)</f>
        <v>Osijek</v>
      </c>
      <c r="I660" t="str">
        <f>VLOOKUP(D660,POSLODAVCI!$A$2:$J$76,10,0)</f>
        <v>Ribarska 10</v>
      </c>
      <c r="J660" s="469" t="s">
        <v>133</v>
      </c>
      <c r="K660" s="470">
        <v>45194</v>
      </c>
      <c r="L660" s="470"/>
      <c r="M660" s="182">
        <v>25820706885</v>
      </c>
      <c r="N660" t="s">
        <v>89</v>
      </c>
      <c r="O660" s="7">
        <v>45194</v>
      </c>
      <c r="R660" t="s">
        <v>135</v>
      </c>
      <c r="T660" t="s">
        <v>84</v>
      </c>
      <c r="V660" t="s">
        <v>507</v>
      </c>
      <c r="W660" t="s">
        <v>507</v>
      </c>
      <c r="X660" s="333" t="s">
        <v>2526</v>
      </c>
      <c r="Y660" s="7"/>
      <c r="Z660" t="s">
        <v>1817</v>
      </c>
      <c r="AA660">
        <v>40</v>
      </c>
      <c r="AB660" t="s">
        <v>2436</v>
      </c>
      <c r="AC660" s="183"/>
      <c r="AE660" s="183"/>
      <c r="AH660" t="s">
        <v>94</v>
      </c>
      <c r="AM660" s="463">
        <v>700</v>
      </c>
      <c r="AN660" s="184"/>
      <c r="AO660" s="15">
        <v>560</v>
      </c>
      <c r="AW660" s="7"/>
      <c r="AZ660" t="s">
        <v>374</v>
      </c>
      <c r="BA660">
        <v>125</v>
      </c>
    </row>
    <row r="661" spans="1:53" ht="15.5">
      <c r="A661" s="273">
        <v>15</v>
      </c>
      <c r="B661" s="273" t="str">
        <f t="shared" si="35"/>
        <v>AKTIVAN</v>
      </c>
      <c r="C661" s="362">
        <f t="shared" si="34"/>
        <v>659</v>
      </c>
      <c r="D661" s="461">
        <v>68</v>
      </c>
      <c r="E661" t="str">
        <f>VLOOKUP(D661,POSLODAVCI!$A$2:$J$76,2,0)</f>
        <v>Pineta 2023 d.o.o.</v>
      </c>
      <c r="F661" s="78">
        <f>VLOOKUP(D661,POSLODAVCI!$A$2:$J$76,3,0)</f>
        <v>68442072665</v>
      </c>
      <c r="G661" t="str">
        <f>VLOOKUP(D661,POSLODAVCI!$A$2:$J$76,4,0)</f>
        <v>KRISZTINA ERDÖSINÉ JAKAB</v>
      </c>
      <c r="H661" t="str">
        <f>VLOOKUP(D661,POSLODAVCI!$A$2:$J$107,9,0)</f>
        <v>Vir</v>
      </c>
      <c r="I661" t="str">
        <f>VLOOKUP(D661,POSLODAVCI!$A$2:$J$76,10,0)</f>
        <v>Ulica Borisa Krnčevića 58</v>
      </c>
      <c r="J661" s="1" t="s">
        <v>2441</v>
      </c>
      <c r="K661" s="462">
        <v>45148</v>
      </c>
      <c r="L661" s="462"/>
      <c r="M661" s="182">
        <v>28506856697</v>
      </c>
      <c r="N661" s="16" t="s">
        <v>80</v>
      </c>
      <c r="O661" s="462">
        <v>28586</v>
      </c>
      <c r="R661" s="16" t="s">
        <v>2442</v>
      </c>
      <c r="T661" s="16" t="s">
        <v>247</v>
      </c>
      <c r="V661" s="16" t="s">
        <v>2443</v>
      </c>
      <c r="W661" s="16" t="s">
        <v>1538</v>
      </c>
      <c r="X661" s="56" t="s">
        <v>103</v>
      </c>
      <c r="Y661" s="7"/>
      <c r="Z661" t="s">
        <v>1817</v>
      </c>
      <c r="AA661">
        <v>40</v>
      </c>
      <c r="AC661" s="183"/>
      <c r="AE661" s="183"/>
      <c r="AM661" s="463">
        <v>888.67</v>
      </c>
      <c r="AN661" s="184"/>
      <c r="AW661" s="7"/>
    </row>
    <row r="662" spans="1:53" ht="15.5">
      <c r="A662" s="273">
        <v>15</v>
      </c>
      <c r="B662" s="273" t="str">
        <f t="shared" si="35"/>
        <v>AKTIVAN</v>
      </c>
      <c r="C662" s="362">
        <f t="shared" si="34"/>
        <v>660</v>
      </c>
      <c r="D662" s="461">
        <v>69</v>
      </c>
      <c r="E662" t="str">
        <f>VLOOKUP(D662,POSLODAVCI!$A$2:$J$76,2,0)</f>
        <v>SELIM AGRO D.O.O.</v>
      </c>
      <c r="F662" s="78">
        <f>VLOOKUP(D662,POSLODAVCI!$A$2:$J$76,3,0)</f>
        <v>18471447928</v>
      </c>
      <c r="G662" t="str">
        <f>VLOOKUP(D662,POSLODAVCI!$A$2:$J$76,4,0)</f>
        <v>KAZE MD MAHEDI MENHAZ</v>
      </c>
      <c r="H662" t="str">
        <f>VLOOKUP(D662,POSLODAVCI!$A$2:$J$107,9,0)</f>
        <v>Osijek</v>
      </c>
      <c r="I662" t="str">
        <f>VLOOKUP(D662,POSLODAVCI!$A$2:$J$76,10,0)</f>
        <v>Vukovarska cesta 350, 31000 Osijek</v>
      </c>
      <c r="J662" s="1" t="s">
        <v>2450</v>
      </c>
      <c r="K662" s="462">
        <v>45188</v>
      </c>
      <c r="L662" s="462"/>
      <c r="M662" s="78" t="s">
        <v>2451</v>
      </c>
      <c r="N662" s="16" t="s">
        <v>89</v>
      </c>
      <c r="O662" s="7">
        <v>34786</v>
      </c>
      <c r="R662" s="16" t="s">
        <v>2452</v>
      </c>
      <c r="V662" s="16"/>
      <c r="W662" s="16" t="s">
        <v>1538</v>
      </c>
      <c r="X662" s="56" t="s">
        <v>103</v>
      </c>
      <c r="Y662" s="7"/>
      <c r="Z662" t="s">
        <v>1817</v>
      </c>
      <c r="AA662">
        <v>40</v>
      </c>
      <c r="AC662" s="183"/>
      <c r="AE662" s="183"/>
      <c r="AM662" s="463">
        <v>888.67</v>
      </c>
      <c r="AN662" s="184"/>
      <c r="AW662" s="7"/>
    </row>
    <row r="663" spans="1:53" ht="15.5">
      <c r="A663" s="273">
        <v>15</v>
      </c>
      <c r="B663" s="273" t="str">
        <f t="shared" si="35"/>
        <v>NEAKTIVAN</v>
      </c>
      <c r="C663" s="362">
        <f t="shared" si="34"/>
        <v>661</v>
      </c>
      <c r="D663" s="461">
        <v>69</v>
      </c>
      <c r="E663" t="str">
        <f>VLOOKUP(D663,POSLODAVCI!$A$2:$J$76,2,0)</f>
        <v>SELIM AGRO D.O.O.</v>
      </c>
      <c r="F663" s="78">
        <f>VLOOKUP(D663,POSLODAVCI!$A$2:$J$76,3,0)</f>
        <v>18471447928</v>
      </c>
      <c r="G663" t="str">
        <f>VLOOKUP(D663,POSLODAVCI!$A$2:$J$76,4,0)</f>
        <v>KAZE MD MAHEDI MENHAZ</v>
      </c>
      <c r="H663" t="str">
        <f>VLOOKUP(D663,POSLODAVCI!$A$2:$J$107,9,0)</f>
        <v>Osijek</v>
      </c>
      <c r="I663" t="str">
        <f>VLOOKUP(D663,POSLODAVCI!$A$2:$J$76,10,0)</f>
        <v>Vukovarska cesta 350, 31000 Osijek</v>
      </c>
      <c r="J663" s="1" t="s">
        <v>2449</v>
      </c>
      <c r="K663" s="462">
        <v>45215</v>
      </c>
      <c r="L663" s="462">
        <v>45231</v>
      </c>
      <c r="M663" s="182">
        <v>25611864866</v>
      </c>
      <c r="N663" t="s">
        <v>89</v>
      </c>
      <c r="O663" s="7">
        <v>36526</v>
      </c>
      <c r="R663" t="s">
        <v>2454</v>
      </c>
      <c r="W663" t="s">
        <v>149</v>
      </c>
      <c r="X663" s="306" t="s">
        <v>103</v>
      </c>
      <c r="Y663" s="7"/>
      <c r="Z663" t="s">
        <v>1817</v>
      </c>
      <c r="AA663">
        <v>40</v>
      </c>
      <c r="AC663" s="183"/>
      <c r="AE663" s="183"/>
      <c r="AM663" s="463">
        <v>700</v>
      </c>
      <c r="AN663" s="184"/>
      <c r="AW663" s="7"/>
    </row>
    <row r="664" spans="1:53" ht="15.5">
      <c r="A664" s="273">
        <v>15</v>
      </c>
      <c r="B664" s="273" t="str">
        <f t="shared" si="35"/>
        <v>NEAKTIVAN</v>
      </c>
      <c r="C664" s="362">
        <f t="shared" si="34"/>
        <v>662</v>
      </c>
      <c r="D664" s="461">
        <v>69</v>
      </c>
      <c r="E664" t="str">
        <f>VLOOKUP(D664,POSLODAVCI!$A$2:$J$76,2,0)</f>
        <v>SELIM AGRO D.O.O.</v>
      </c>
      <c r="F664" s="78">
        <f>VLOOKUP(D664,POSLODAVCI!$A$2:$J$76,3,0)</f>
        <v>18471447928</v>
      </c>
      <c r="G664" t="str">
        <f>VLOOKUP(D664,POSLODAVCI!$A$2:$J$76,4,0)</f>
        <v>KAZE MD MAHEDI MENHAZ</v>
      </c>
      <c r="H664" t="str">
        <f>VLOOKUP(D664,POSLODAVCI!$A$2:$J$107,9,0)</f>
        <v>Osijek</v>
      </c>
      <c r="I664" t="str">
        <f>VLOOKUP(D664,POSLODAVCI!$A$2:$J$76,10,0)</f>
        <v>Vukovarska cesta 350, 31000 Osijek</v>
      </c>
      <c r="J664" s="1" t="s">
        <v>2456</v>
      </c>
      <c r="K664" s="462">
        <v>45216</v>
      </c>
      <c r="L664" s="462">
        <v>45216</v>
      </c>
      <c r="M664" s="182">
        <v>61487225473</v>
      </c>
      <c r="N664" t="s">
        <v>89</v>
      </c>
      <c r="O664" s="7">
        <v>32065</v>
      </c>
      <c r="R664" t="s">
        <v>2457</v>
      </c>
      <c r="W664" t="s">
        <v>149</v>
      </c>
      <c r="X664" s="306" t="s">
        <v>103</v>
      </c>
      <c r="Y664" s="7"/>
      <c r="Z664" t="s">
        <v>1817</v>
      </c>
      <c r="AA664">
        <v>40</v>
      </c>
      <c r="AC664" s="183"/>
      <c r="AE664" s="183"/>
      <c r="AM664" s="463">
        <v>700</v>
      </c>
      <c r="AN664" s="184"/>
      <c r="AW664" s="7"/>
    </row>
    <row r="665" spans="1:53" ht="15.5">
      <c r="A665" s="273">
        <v>15</v>
      </c>
      <c r="B665" s="273" t="str">
        <f t="shared" si="35"/>
        <v>AKTIVAN</v>
      </c>
      <c r="C665" s="486">
        <v>663</v>
      </c>
      <c r="D665" s="461">
        <v>36</v>
      </c>
      <c r="E665" t="str">
        <f>VLOOKUP(D665,POSLODAVCI!$A$2:$J$76,2,0)</f>
        <v>Vital Group d.o.o.</v>
      </c>
      <c r="F665" s="78">
        <f>VLOOKUP(D665,POSLODAVCI!$A$2:$J$76,3,0)</f>
        <v>45575918003</v>
      </c>
      <c r="G665" t="str">
        <f>VLOOKUP(D665,POSLODAVCI!$A$2:$J$76,4,0)</f>
        <v>Balázs Kulcsár</v>
      </c>
      <c r="H665" t="str">
        <f>VLOOKUP(D665,POSLODAVCI!$A$2:$J$107,9,0)</f>
        <v>Osijek</v>
      </c>
      <c r="I665" t="str">
        <f>VLOOKUP(D665,POSLODAVCI!$A$2:$J$76,10,0)</f>
        <v>Ribarska 10</v>
      </c>
      <c r="J665" s="436" t="s">
        <v>2458</v>
      </c>
      <c r="K665" s="470">
        <v>45222</v>
      </c>
      <c r="L665" s="470"/>
      <c r="M665" s="182">
        <v>66218792183</v>
      </c>
      <c r="N665" t="s">
        <v>89</v>
      </c>
      <c r="O665" s="7">
        <v>35553</v>
      </c>
      <c r="R665" t="s">
        <v>2461</v>
      </c>
      <c r="T665" t="s">
        <v>84</v>
      </c>
      <c r="V665" t="s">
        <v>143</v>
      </c>
      <c r="W665" t="s">
        <v>143</v>
      </c>
      <c r="X665" s="306" t="s">
        <v>85</v>
      </c>
      <c r="Y665" s="7"/>
      <c r="Z665" t="s">
        <v>1817</v>
      </c>
      <c r="AA665">
        <v>40</v>
      </c>
      <c r="AB665" t="s">
        <v>2462</v>
      </c>
      <c r="AC665" s="183"/>
      <c r="AE665" s="183"/>
      <c r="AH665" t="s">
        <v>1871</v>
      </c>
      <c r="AM665" s="463">
        <v>700</v>
      </c>
      <c r="AN665" s="184"/>
      <c r="AO665" s="15">
        <v>560</v>
      </c>
      <c r="AW665" s="7"/>
      <c r="AZ665" t="s">
        <v>374</v>
      </c>
      <c r="BA665">
        <v>126</v>
      </c>
    </row>
    <row r="666" spans="1:53" ht="15.5">
      <c r="A666" s="273">
        <v>15</v>
      </c>
      <c r="B666" s="273" t="str">
        <f t="shared" si="35"/>
        <v>NEAKTIVAN</v>
      </c>
      <c r="C666" s="486">
        <v>664</v>
      </c>
      <c r="D666" s="461">
        <v>36</v>
      </c>
      <c r="E666" t="str">
        <f>VLOOKUP(D666,POSLODAVCI!$A$2:$J$76,2,0)</f>
        <v>Vital Group d.o.o.</v>
      </c>
      <c r="F666" s="78">
        <f>VLOOKUP(D666,POSLODAVCI!$A$2:$J$76,3,0)</f>
        <v>45575918003</v>
      </c>
      <c r="G666" t="str">
        <f>VLOOKUP(D666,POSLODAVCI!$A$2:$J$76,4,0)</f>
        <v>Balázs Kulcsár</v>
      </c>
      <c r="H666" t="str">
        <f>VLOOKUP(D666,POSLODAVCI!$A$2:$J$107,9,0)</f>
        <v>Osijek</v>
      </c>
      <c r="I666" t="str">
        <f>VLOOKUP(D666,POSLODAVCI!$A$2:$J$76,10,0)</f>
        <v>Ribarska 10</v>
      </c>
      <c r="J666" s="508" t="s">
        <v>2459</v>
      </c>
      <c r="K666" s="509">
        <v>45222</v>
      </c>
      <c r="L666" s="509">
        <v>45626</v>
      </c>
      <c r="M666" s="182">
        <v>87241240850</v>
      </c>
      <c r="N666" t="s">
        <v>89</v>
      </c>
      <c r="O666" s="7">
        <v>37156</v>
      </c>
      <c r="R666" t="s">
        <v>2463</v>
      </c>
      <c r="T666" t="s">
        <v>84</v>
      </c>
      <c r="V666" t="s">
        <v>143</v>
      </c>
      <c r="W666" t="s">
        <v>143</v>
      </c>
      <c r="X666" s="306" t="s">
        <v>85</v>
      </c>
      <c r="Y666" s="7"/>
      <c r="Z666" t="s">
        <v>1817</v>
      </c>
      <c r="AA666">
        <v>40</v>
      </c>
      <c r="AB666" t="s">
        <v>2464</v>
      </c>
      <c r="AC666" s="183"/>
      <c r="AE666" s="183"/>
      <c r="AH666" t="s">
        <v>2432</v>
      </c>
      <c r="AM666" s="463">
        <v>700</v>
      </c>
      <c r="AN666" s="184"/>
      <c r="AO666" s="15">
        <v>560</v>
      </c>
      <c r="AW666" s="7"/>
      <c r="AZ666" s="313" t="s">
        <v>255</v>
      </c>
      <c r="BA666">
        <v>127</v>
      </c>
    </row>
    <row r="667" spans="1:53" ht="15.5">
      <c r="A667" s="273">
        <v>15</v>
      </c>
      <c r="B667" s="273" t="str">
        <f t="shared" si="35"/>
        <v>NEAKTIVAN</v>
      </c>
      <c r="C667" s="486">
        <v>665</v>
      </c>
      <c r="D667" s="461">
        <v>36</v>
      </c>
      <c r="E667" t="str">
        <f>VLOOKUP(D667,POSLODAVCI!$A$2:$J$76,2,0)</f>
        <v>Vital Group d.o.o.</v>
      </c>
      <c r="F667" s="78">
        <f>VLOOKUP(D667,POSLODAVCI!$A$2:$J$76,3,0)</f>
        <v>45575918003</v>
      </c>
      <c r="G667" t="str">
        <f>VLOOKUP(D667,POSLODAVCI!$A$2:$J$76,4,0)</f>
        <v>Balázs Kulcsár</v>
      </c>
      <c r="H667" t="str">
        <f>VLOOKUP(D667,POSLODAVCI!$A$2:$J$107,9,0)</f>
        <v>Osijek</v>
      </c>
      <c r="I667" t="str">
        <f>VLOOKUP(D667,POSLODAVCI!$A$2:$J$76,10,0)</f>
        <v>Ribarska 10</v>
      </c>
      <c r="J667" s="1" t="s">
        <v>2460</v>
      </c>
      <c r="K667" s="462">
        <v>45225</v>
      </c>
      <c r="L667" s="462">
        <v>45260</v>
      </c>
      <c r="M667" s="182">
        <v>99076539499</v>
      </c>
      <c r="N667" t="s">
        <v>80</v>
      </c>
      <c r="O667" s="7">
        <v>32739</v>
      </c>
      <c r="R667" t="s">
        <v>2465</v>
      </c>
      <c r="T667" t="s">
        <v>84</v>
      </c>
      <c r="V667" t="s">
        <v>143</v>
      </c>
      <c r="W667" t="s">
        <v>143</v>
      </c>
      <c r="X667" s="306" t="s">
        <v>85</v>
      </c>
      <c r="Y667" s="7"/>
      <c r="Z667" t="s">
        <v>1817</v>
      </c>
      <c r="AA667">
        <v>40</v>
      </c>
      <c r="AB667" t="s">
        <v>2466</v>
      </c>
      <c r="AC667" s="183"/>
      <c r="AE667" s="183"/>
      <c r="AH667" t="s">
        <v>2432</v>
      </c>
      <c r="AM667" s="463">
        <v>700</v>
      </c>
      <c r="AN667" s="184"/>
      <c r="AO667" s="15">
        <v>560</v>
      </c>
      <c r="AW667" s="7"/>
      <c r="AZ667" t="s">
        <v>374</v>
      </c>
      <c r="BA667">
        <v>128</v>
      </c>
    </row>
    <row r="668" spans="1:53" ht="15.5">
      <c r="A668" s="273">
        <v>15</v>
      </c>
      <c r="B668" s="273" t="str">
        <f t="shared" si="35"/>
        <v>NEAKTIVAN</v>
      </c>
      <c r="C668" s="489">
        <v>666</v>
      </c>
      <c r="D668" s="490">
        <v>36</v>
      </c>
      <c r="E668" t="str">
        <f>VLOOKUP(D668,POSLODAVCI!$A$2:$J$76,2,0)</f>
        <v>Vital Group d.o.o.</v>
      </c>
      <c r="F668" s="78">
        <f>VLOOKUP(D668,POSLODAVCI!$A$2:$J$76,3,0)</f>
        <v>45575918003</v>
      </c>
      <c r="G668" t="str">
        <f>VLOOKUP(D668,POSLODAVCI!$A$2:$J$76,4,0)</f>
        <v>Balázs Kulcsár</v>
      </c>
      <c r="H668" t="str">
        <f>VLOOKUP(D668,POSLODAVCI!$A$2:$J$107,9,0)</f>
        <v>Osijek</v>
      </c>
      <c r="I668" t="str">
        <f>VLOOKUP(D668,POSLODAVCI!$A$2:$J$76,10,0)</f>
        <v>Ribarska 10</v>
      </c>
      <c r="J668" s="492" t="s">
        <v>2467</v>
      </c>
      <c r="K668" s="493">
        <v>45225</v>
      </c>
      <c r="L668" s="493">
        <v>45260</v>
      </c>
      <c r="M668" s="182">
        <v>21203496990</v>
      </c>
      <c r="N668" t="s">
        <v>80</v>
      </c>
      <c r="O668" s="7">
        <v>34068</v>
      </c>
      <c r="Q668" t="s">
        <v>82</v>
      </c>
      <c r="R668" t="s">
        <v>2468</v>
      </c>
      <c r="T668" t="s">
        <v>84</v>
      </c>
      <c r="W668" t="s">
        <v>143</v>
      </c>
      <c r="X668" s="306" t="s">
        <v>85</v>
      </c>
      <c r="Y668" s="7"/>
      <c r="Z668" t="s">
        <v>1817</v>
      </c>
      <c r="AA668">
        <v>40</v>
      </c>
      <c r="AB668" t="s">
        <v>2469</v>
      </c>
      <c r="AC668" s="183"/>
      <c r="AE668" s="183"/>
      <c r="AH668" t="s">
        <v>2432</v>
      </c>
      <c r="AM668" s="491">
        <v>700</v>
      </c>
      <c r="AN668" s="184"/>
      <c r="AO668" s="15">
        <v>560</v>
      </c>
      <c r="AW668" s="7"/>
      <c r="AZ668" t="s">
        <v>2470</v>
      </c>
      <c r="BA668">
        <v>129</v>
      </c>
    </row>
    <row r="669" spans="1:53" ht="15.5">
      <c r="A669" s="273">
        <v>15</v>
      </c>
      <c r="B669" s="273" t="str">
        <f t="shared" si="35"/>
        <v>NEAKTIVAN</v>
      </c>
      <c r="C669" s="489">
        <v>667</v>
      </c>
      <c r="D669" s="490">
        <v>36</v>
      </c>
      <c r="E669" t="str">
        <f>VLOOKUP(D669,POSLODAVCI!$A$2:$J$76,2,0)</f>
        <v>Vital Group d.o.o.</v>
      </c>
      <c r="F669" s="78">
        <f>VLOOKUP(D669,POSLODAVCI!$A$2:$J$76,3,0)</f>
        <v>45575918003</v>
      </c>
      <c r="G669" t="str">
        <f>VLOOKUP(D669,POSLODAVCI!$A$2:$J$76,4,0)</f>
        <v>Balázs Kulcsár</v>
      </c>
      <c r="H669" t="str">
        <f>VLOOKUP(D669,POSLODAVCI!$A$2:$J$107,9,0)</f>
        <v>Osijek</v>
      </c>
      <c r="I669" t="str">
        <f>VLOOKUP(D669,POSLODAVCI!$A$2:$J$76,10,0)</f>
        <v>Ribarska 10</v>
      </c>
      <c r="J669" s="492" t="s">
        <v>2472</v>
      </c>
      <c r="K669" s="493">
        <v>45225</v>
      </c>
      <c r="L669" s="493">
        <v>45260</v>
      </c>
      <c r="M669" s="182">
        <v>22475234012</v>
      </c>
      <c r="N669" t="s">
        <v>80</v>
      </c>
      <c r="O669" s="7">
        <v>33060</v>
      </c>
      <c r="Q669" t="s">
        <v>82</v>
      </c>
      <c r="R669" t="s">
        <v>2473</v>
      </c>
      <c r="T669" t="s">
        <v>1484</v>
      </c>
      <c r="W669" t="s">
        <v>143</v>
      </c>
      <c r="X669" s="306" t="s">
        <v>2474</v>
      </c>
      <c r="Y669" s="7"/>
      <c r="Z669" t="s">
        <v>1817</v>
      </c>
      <c r="AA669">
        <v>40</v>
      </c>
      <c r="AB669" t="s">
        <v>2475</v>
      </c>
      <c r="AC669" s="183"/>
      <c r="AE669" s="183"/>
      <c r="AH669" t="s">
        <v>2432</v>
      </c>
      <c r="AM669" s="491">
        <v>700</v>
      </c>
      <c r="AN669" s="184"/>
      <c r="AO669" s="15">
        <v>560</v>
      </c>
      <c r="AW669" s="7"/>
      <c r="AZ669" t="s">
        <v>374</v>
      </c>
      <c r="BA669">
        <v>130</v>
      </c>
    </row>
    <row r="670" spans="1:53" ht="15.5">
      <c r="A670" s="273">
        <v>15</v>
      </c>
      <c r="B670" s="273" t="str">
        <f t="shared" si="35"/>
        <v>NEAKTIVAN</v>
      </c>
      <c r="C670" s="489">
        <v>668</v>
      </c>
      <c r="D670" s="490">
        <v>36</v>
      </c>
      <c r="E670" t="str">
        <f>VLOOKUP(D670,POSLODAVCI!$A$2:$J$76,2,0)</f>
        <v>Vital Group d.o.o.</v>
      </c>
      <c r="F670" s="78">
        <f>VLOOKUP(D670,POSLODAVCI!$A$2:$J$76,3,0)</f>
        <v>45575918003</v>
      </c>
      <c r="G670" t="str">
        <f>VLOOKUP(D670,POSLODAVCI!$A$2:$J$76,4,0)</f>
        <v>Balázs Kulcsár</v>
      </c>
      <c r="H670" t="str">
        <f>VLOOKUP(D670,POSLODAVCI!$A$2:$J$107,9,0)</f>
        <v>Osijek</v>
      </c>
      <c r="I670" t="str">
        <f>VLOOKUP(D670,POSLODAVCI!$A$2:$J$76,10,0)</f>
        <v>Ribarska 10</v>
      </c>
      <c r="J670" s="536" t="s">
        <v>2476</v>
      </c>
      <c r="K670" s="537">
        <v>45225</v>
      </c>
      <c r="L670" s="537">
        <v>45401</v>
      </c>
      <c r="M670" s="182">
        <v>79283936100</v>
      </c>
      <c r="N670" t="s">
        <v>80</v>
      </c>
      <c r="O670" s="7">
        <v>37882</v>
      </c>
      <c r="Q670" t="s">
        <v>82</v>
      </c>
      <c r="R670" t="s">
        <v>2477</v>
      </c>
      <c r="T670" t="s">
        <v>1484</v>
      </c>
      <c r="W670" t="s">
        <v>143</v>
      </c>
      <c r="X670" s="306" t="s">
        <v>85</v>
      </c>
      <c r="Y670" s="7"/>
      <c r="Z670" t="s">
        <v>1817</v>
      </c>
      <c r="AA670">
        <v>40</v>
      </c>
      <c r="AB670" t="s">
        <v>2478</v>
      </c>
      <c r="AC670" s="183"/>
      <c r="AE670" s="183"/>
      <c r="AH670" t="s">
        <v>2432</v>
      </c>
      <c r="AM670" s="491">
        <v>700</v>
      </c>
      <c r="AN670" s="184"/>
      <c r="AO670" s="15">
        <v>560</v>
      </c>
      <c r="AW670" s="7"/>
      <c r="AZ670" t="s">
        <v>374</v>
      </c>
      <c r="BA670">
        <v>131</v>
      </c>
    </row>
    <row r="671" spans="1:53" ht="15.5">
      <c r="A671" s="273">
        <v>15</v>
      </c>
      <c r="B671" s="273" t="str">
        <f t="shared" si="35"/>
        <v>NEAKTIVAN</v>
      </c>
      <c r="C671" s="489">
        <v>669</v>
      </c>
      <c r="D671" s="490">
        <v>36</v>
      </c>
      <c r="E671" t="str">
        <f>VLOOKUP(D671,POSLODAVCI!$A$2:$J$76,2,0)</f>
        <v>Vital Group d.o.o.</v>
      </c>
      <c r="F671" s="78">
        <f>VLOOKUP(D671,POSLODAVCI!$A$2:$J$76,3,0)</f>
        <v>45575918003</v>
      </c>
      <c r="G671" t="str">
        <f>VLOOKUP(D671,POSLODAVCI!$A$2:$J$76,4,0)</f>
        <v>Balázs Kulcsár</v>
      </c>
      <c r="H671" t="str">
        <f>VLOOKUP(D671,POSLODAVCI!$A$2:$J$107,9,0)</f>
        <v>Osijek</v>
      </c>
      <c r="I671" t="str">
        <f>VLOOKUP(D671,POSLODAVCI!$A$2:$J$76,10,0)</f>
        <v>Ribarska 10</v>
      </c>
      <c r="J671" s="490" t="s">
        <v>2018</v>
      </c>
      <c r="K671" s="494">
        <v>45222</v>
      </c>
      <c r="L671" s="494">
        <v>45235</v>
      </c>
      <c r="M671" s="182">
        <v>94249456411</v>
      </c>
      <c r="N671" t="s">
        <v>89</v>
      </c>
      <c r="O671" s="7">
        <v>36206</v>
      </c>
      <c r="Q671" t="s">
        <v>82</v>
      </c>
      <c r="R671" t="s">
        <v>2019</v>
      </c>
      <c r="T671" t="s">
        <v>1484</v>
      </c>
      <c r="W671" t="s">
        <v>143</v>
      </c>
      <c r="X671" s="306" t="s">
        <v>2479</v>
      </c>
      <c r="Y671" s="7"/>
      <c r="Z671" t="s">
        <v>1817</v>
      </c>
      <c r="AA671">
        <v>40</v>
      </c>
      <c r="AB671" t="s">
        <v>2480</v>
      </c>
      <c r="AC671" s="183"/>
      <c r="AE671" s="183"/>
      <c r="AH671" t="s">
        <v>829</v>
      </c>
      <c r="AM671" s="491">
        <v>700</v>
      </c>
      <c r="AN671" s="184"/>
      <c r="AO671" s="15">
        <v>560</v>
      </c>
      <c r="AW671" s="7"/>
      <c r="AZ671" t="s">
        <v>2366</v>
      </c>
      <c r="BA671">
        <v>132</v>
      </c>
    </row>
    <row r="672" spans="1:53" ht="15.5">
      <c r="A672" s="273">
        <v>15</v>
      </c>
      <c r="B672" s="273" t="str">
        <f t="shared" si="35"/>
        <v>NEAKTIVAN</v>
      </c>
      <c r="C672" s="489">
        <v>670</v>
      </c>
      <c r="D672" s="490">
        <v>36</v>
      </c>
      <c r="E672" t="str">
        <f>VLOOKUP(D672,POSLODAVCI!$A$2:$J$76,2,0)</f>
        <v>Vital Group d.o.o.</v>
      </c>
      <c r="F672" s="78">
        <f>VLOOKUP(D672,POSLODAVCI!$A$2:$J$76,3,0)</f>
        <v>45575918003</v>
      </c>
      <c r="G672" t="str">
        <f>VLOOKUP(D672,POSLODAVCI!$A$2:$J$76,4,0)</f>
        <v>Balázs Kulcsár</v>
      </c>
      <c r="H672" t="str">
        <f>VLOOKUP(D672,POSLODAVCI!$A$2:$J$107,9,0)</f>
        <v>Osijek</v>
      </c>
      <c r="I672" t="str">
        <f>VLOOKUP(D672,POSLODAVCI!$A$2:$J$76,10,0)</f>
        <v>Ribarska 10</v>
      </c>
      <c r="J672" s="490" t="s">
        <v>2481</v>
      </c>
      <c r="K672" s="494">
        <v>45223</v>
      </c>
      <c r="L672" s="494">
        <v>45260</v>
      </c>
      <c r="M672" s="182">
        <v>45299959226</v>
      </c>
      <c r="N672" t="s">
        <v>80</v>
      </c>
      <c r="O672" s="7">
        <v>27593</v>
      </c>
      <c r="Q672" t="s">
        <v>82</v>
      </c>
      <c r="R672" t="s">
        <v>2482</v>
      </c>
      <c r="T672" t="s">
        <v>1484</v>
      </c>
      <c r="W672" t="s">
        <v>143</v>
      </c>
      <c r="X672" s="306" t="s">
        <v>85</v>
      </c>
      <c r="Y672" s="7"/>
      <c r="Z672" t="s">
        <v>1817</v>
      </c>
      <c r="AA672">
        <v>40</v>
      </c>
      <c r="AB672" t="s">
        <v>2483</v>
      </c>
      <c r="AC672" s="183"/>
      <c r="AE672" s="183"/>
      <c r="AH672" t="s">
        <v>829</v>
      </c>
      <c r="AM672" s="491">
        <v>700</v>
      </c>
      <c r="AN672" s="184"/>
      <c r="AO672" s="15">
        <v>560</v>
      </c>
      <c r="AW672" s="7"/>
      <c r="AZ672" s="313" t="s">
        <v>255</v>
      </c>
      <c r="BA672">
        <v>133</v>
      </c>
    </row>
    <row r="673" spans="1:53" ht="15.5">
      <c r="A673" s="273">
        <v>15</v>
      </c>
      <c r="B673" s="273" t="str">
        <f t="shared" si="35"/>
        <v>AKTIVAN</v>
      </c>
      <c r="C673" s="489">
        <v>671</v>
      </c>
      <c r="D673" s="490">
        <v>36</v>
      </c>
      <c r="E673" t="str">
        <f>VLOOKUP(D673,POSLODAVCI!$A$2:$J$76,2,0)</f>
        <v>Vital Group d.o.o.</v>
      </c>
      <c r="F673" s="78">
        <f>VLOOKUP(D673,POSLODAVCI!$A$2:$J$76,3,0)</f>
        <v>45575918003</v>
      </c>
      <c r="G673" t="str">
        <f>VLOOKUP(D673,POSLODAVCI!$A$2:$J$76,4,0)</f>
        <v>Balázs Kulcsár</v>
      </c>
      <c r="H673" t="str">
        <f>VLOOKUP(D673,POSLODAVCI!$A$2:$J$107,9,0)</f>
        <v>Osijek</v>
      </c>
      <c r="I673" t="str">
        <f>VLOOKUP(D673,POSLODAVCI!$A$2:$J$76,10,0)</f>
        <v>Ribarska 10</v>
      </c>
      <c r="J673" s="492" t="s">
        <v>2484</v>
      </c>
      <c r="K673" s="493">
        <v>45229</v>
      </c>
      <c r="L673" s="493"/>
      <c r="M673" s="182">
        <v>40050505207</v>
      </c>
      <c r="N673" t="s">
        <v>80</v>
      </c>
      <c r="O673" s="7">
        <v>36359</v>
      </c>
      <c r="Q673" t="s">
        <v>82</v>
      </c>
      <c r="R673" t="s">
        <v>2485</v>
      </c>
      <c r="T673" t="s">
        <v>1484</v>
      </c>
      <c r="W673" t="s">
        <v>143</v>
      </c>
      <c r="X673" s="306" t="s">
        <v>85</v>
      </c>
      <c r="Y673" s="7"/>
      <c r="Z673" t="s">
        <v>1817</v>
      </c>
      <c r="AA673">
        <v>40</v>
      </c>
      <c r="AB673" t="s">
        <v>2486</v>
      </c>
      <c r="AC673" s="183"/>
      <c r="AE673" s="183"/>
      <c r="AH673" t="s">
        <v>829</v>
      </c>
      <c r="AM673" s="491">
        <v>700</v>
      </c>
      <c r="AN673" s="184"/>
      <c r="AO673" s="15">
        <v>560</v>
      </c>
      <c r="AW673" s="7"/>
      <c r="AZ673" t="s">
        <v>2471</v>
      </c>
      <c r="BA673">
        <v>134</v>
      </c>
    </row>
    <row r="674" spans="1:53" ht="15.5">
      <c r="A674" s="273">
        <v>15</v>
      </c>
      <c r="B674" s="273" t="str">
        <f t="shared" si="35"/>
        <v>NEAKTIVAN</v>
      </c>
      <c r="C674" s="489">
        <v>672</v>
      </c>
      <c r="D674" s="490">
        <v>36</v>
      </c>
      <c r="E674" t="str">
        <f>VLOOKUP(D674,POSLODAVCI!$A$2:$J$76,2,0)</f>
        <v>Vital Group d.o.o.</v>
      </c>
      <c r="F674" s="78">
        <f>VLOOKUP(D674,POSLODAVCI!$A$2:$J$76,3,0)</f>
        <v>45575918003</v>
      </c>
      <c r="G674" t="str">
        <f>VLOOKUP(D674,POSLODAVCI!$A$2:$J$76,4,0)</f>
        <v>Balázs Kulcsár</v>
      </c>
      <c r="H674" t="str">
        <f>VLOOKUP(D674,POSLODAVCI!$A$2:$J$107,9,0)</f>
        <v>Osijek</v>
      </c>
      <c r="I674" t="str">
        <f>VLOOKUP(D674,POSLODAVCI!$A$2:$J$76,10,0)</f>
        <v>Ribarska 10</v>
      </c>
      <c r="J674" s="536" t="s">
        <v>2487</v>
      </c>
      <c r="K674" s="537">
        <v>45229</v>
      </c>
      <c r="L674" s="537">
        <v>45401</v>
      </c>
      <c r="M674" s="182">
        <v>29407202353</v>
      </c>
      <c r="N674" t="s">
        <v>89</v>
      </c>
      <c r="O674" s="7">
        <v>37657</v>
      </c>
      <c r="Q674" t="s">
        <v>82</v>
      </c>
      <c r="R674" t="s">
        <v>2488</v>
      </c>
      <c r="T674" t="s">
        <v>1484</v>
      </c>
      <c r="W674" t="s">
        <v>143</v>
      </c>
      <c r="X674" s="306" t="s">
        <v>2474</v>
      </c>
      <c r="Y674" s="7"/>
      <c r="Z674" t="s">
        <v>1817</v>
      </c>
      <c r="AA674">
        <v>40</v>
      </c>
      <c r="AB674" t="s">
        <v>2489</v>
      </c>
      <c r="AC674" s="183"/>
      <c r="AE674" s="183"/>
      <c r="AH674" t="s">
        <v>765</v>
      </c>
      <c r="AM674" s="491">
        <v>700</v>
      </c>
      <c r="AN674" s="184"/>
      <c r="AO674" s="15">
        <v>560</v>
      </c>
      <c r="AW674" s="7"/>
      <c r="AZ674" t="s">
        <v>2470</v>
      </c>
      <c r="BA674">
        <v>135</v>
      </c>
    </row>
    <row r="675" spans="1:53" ht="15.5">
      <c r="A675" s="273">
        <v>15</v>
      </c>
      <c r="B675" s="273" t="str">
        <f t="shared" si="35"/>
        <v>NEAKTIVAN</v>
      </c>
      <c r="C675" s="489">
        <v>673</v>
      </c>
      <c r="D675" s="490">
        <v>36</v>
      </c>
      <c r="E675" t="str">
        <f>VLOOKUP(D675,POSLODAVCI!$A$2:$J$76,2,0)</f>
        <v>Vital Group d.o.o.</v>
      </c>
      <c r="F675" s="78">
        <f>VLOOKUP(D675,POSLODAVCI!$A$2:$J$76,3,0)</f>
        <v>45575918003</v>
      </c>
      <c r="G675" t="str">
        <f>VLOOKUP(D675,POSLODAVCI!$A$2:$J$76,4,0)</f>
        <v>Balázs Kulcsár</v>
      </c>
      <c r="H675" t="str">
        <f>VLOOKUP(D675,POSLODAVCI!$A$2:$J$107,9,0)</f>
        <v>Osijek</v>
      </c>
      <c r="I675" t="str">
        <f>VLOOKUP(D675,POSLODAVCI!$A$2:$J$76,10,0)</f>
        <v>Ribarska 10</v>
      </c>
      <c r="J675" s="326" t="s">
        <v>1647</v>
      </c>
      <c r="K675" s="327">
        <v>45237</v>
      </c>
      <c r="L675" s="327">
        <v>45617</v>
      </c>
      <c r="M675" s="89" t="s">
        <v>1648</v>
      </c>
      <c r="N675" t="s">
        <v>80</v>
      </c>
      <c r="O675" s="7">
        <v>37170</v>
      </c>
      <c r="P675" t="s">
        <v>94</v>
      </c>
      <c r="Q675" t="s">
        <v>82</v>
      </c>
      <c r="R675" t="s">
        <v>1649</v>
      </c>
      <c r="S675" s="5" t="s">
        <v>428</v>
      </c>
      <c r="T675" t="s">
        <v>84</v>
      </c>
      <c r="V675" t="s">
        <v>143</v>
      </c>
      <c r="W675" t="s">
        <v>143</v>
      </c>
      <c r="X675" s="306" t="s">
        <v>85</v>
      </c>
      <c r="Y675" s="7"/>
      <c r="Z675" t="s">
        <v>1817</v>
      </c>
      <c r="AA675">
        <v>40</v>
      </c>
      <c r="AB675" t="s">
        <v>1650</v>
      </c>
      <c r="AC675" s="183"/>
      <c r="AE675" s="183"/>
      <c r="AH675" t="s">
        <v>94</v>
      </c>
      <c r="AL675" t="s">
        <v>428</v>
      </c>
      <c r="AM675" s="328">
        <v>700</v>
      </c>
      <c r="AN675" s="184">
        <v>1</v>
      </c>
      <c r="AO675" s="15">
        <v>560</v>
      </c>
      <c r="AW675" s="7"/>
      <c r="AZ675" t="s">
        <v>374</v>
      </c>
      <c r="BA675">
        <v>136</v>
      </c>
    </row>
    <row r="676" spans="1:53">
      <c r="A676" s="273">
        <v>15</v>
      </c>
      <c r="B676" s="273" t="str">
        <f t="shared" si="35"/>
        <v>NEAKTIVAN</v>
      </c>
      <c r="C676" s="302">
        <v>674</v>
      </c>
      <c r="D676" s="1">
        <v>70</v>
      </c>
      <c r="E676" t="str">
        <f>VLOOKUP(D676,POSLODAVCI!$A$2:$J$76,2,0)</f>
        <v>Kobac Trans d.o.o.</v>
      </c>
      <c r="F676" s="78">
        <f>VLOOKUP(D676,POSLODAVCI!$A$2:$J$76,3,0)</f>
        <v>89426776106</v>
      </c>
      <c r="G676" t="str">
        <f>VLOOKUP(D676,POSLODAVCI!$A$2:$J$76,4,0)</f>
        <v>JOZSEF BALOG</v>
      </c>
      <c r="H676" t="str">
        <f>VLOOKUP(D676,POSLODAVCI!$A$2:$J$107,9,0)</f>
        <v>OSIJEK</v>
      </c>
      <c r="I676" t="str">
        <f>VLOOKUP(D676,POSLODAVCI!$A$2:$J$76,10,0)</f>
        <v>Ribarska 10</v>
      </c>
      <c r="J676" s="1" t="s">
        <v>2497</v>
      </c>
      <c r="K676" s="61">
        <v>45231</v>
      </c>
      <c r="L676" s="61">
        <v>45443</v>
      </c>
      <c r="M676" s="182">
        <v>87874284160</v>
      </c>
      <c r="N676" s="16" t="s">
        <v>89</v>
      </c>
      <c r="O676" s="7">
        <v>38059</v>
      </c>
      <c r="P676" s="16" t="s">
        <v>2493</v>
      </c>
      <c r="Q676" s="16" t="s">
        <v>2494</v>
      </c>
      <c r="R676" s="16" t="s">
        <v>2495</v>
      </c>
      <c r="S676" s="17"/>
      <c r="T676" s="16" t="s">
        <v>84</v>
      </c>
      <c r="U676" s="16"/>
      <c r="V676" s="16" t="s">
        <v>735</v>
      </c>
      <c r="W676" s="16" t="s">
        <v>735</v>
      </c>
      <c r="X676" s="56" t="s">
        <v>103</v>
      </c>
      <c r="Y676" s="7"/>
      <c r="Z676" t="s">
        <v>1817</v>
      </c>
      <c r="AA676" s="16">
        <v>40</v>
      </c>
      <c r="AB676" s="16" t="s">
        <v>2496</v>
      </c>
      <c r="AC676" s="183"/>
      <c r="AD676" s="16"/>
      <c r="AE676" s="183"/>
      <c r="AF676" s="16"/>
      <c r="AG676" s="16"/>
      <c r="AH676" s="16" t="s">
        <v>81</v>
      </c>
      <c r="AI676" s="16"/>
      <c r="AJ676" s="16"/>
      <c r="AK676" s="16"/>
      <c r="AL676" s="16"/>
      <c r="AM676" s="495">
        <v>1421.22</v>
      </c>
      <c r="AN676" s="184"/>
      <c r="AO676" s="15">
        <v>1700</v>
      </c>
      <c r="AQ676" s="16"/>
      <c r="AR676" s="16"/>
      <c r="AS676" s="16"/>
      <c r="AT676" s="16"/>
      <c r="AU676" s="16"/>
      <c r="AV676" s="16"/>
      <c r="AW676" s="7"/>
      <c r="AX676" s="16"/>
      <c r="AY676" s="16"/>
      <c r="AZ676" s="16" t="s">
        <v>374</v>
      </c>
      <c r="BA676" s="16">
        <v>1</v>
      </c>
    </row>
    <row r="677" spans="1:53" ht="15.5">
      <c r="A677" s="273">
        <v>15</v>
      </c>
      <c r="B677" s="273" t="str">
        <f t="shared" si="35"/>
        <v>AKTIVAN</v>
      </c>
      <c r="C677" s="302">
        <v>675</v>
      </c>
      <c r="D677" s="1">
        <v>54</v>
      </c>
      <c r="E677" t="str">
        <f>VLOOKUP(D677,POSLODAVCI!$A$2:$J$76,2,0)</f>
        <v>JUICYVAPOUR D.O.O.</v>
      </c>
      <c r="F677" s="78">
        <f>VLOOKUP(D677,POSLODAVCI!$A$2:$J$76,3,0)</f>
        <v>71914192370</v>
      </c>
      <c r="G677" t="str">
        <f>VLOOKUP(D677,POSLODAVCI!$A$2:$J$76,4,0)</f>
        <v>JOZSEF BALOG</v>
      </c>
      <c r="H677" t="str">
        <f>VLOOKUP(D677,POSLODAVCI!$A$2:$J$107,9,0)</f>
        <v>Osijek+</v>
      </c>
      <c r="I677" t="str">
        <f>VLOOKUP(D677,POSLODAVCI!$A$2:$J$76,10,0)</f>
        <v>Ribarska 10</v>
      </c>
      <c r="J677" s="1" t="s">
        <v>2500</v>
      </c>
      <c r="K677" s="61">
        <v>45231</v>
      </c>
      <c r="L677" s="61"/>
      <c r="M677" s="182">
        <v>43885343400</v>
      </c>
      <c r="N677" s="16" t="s">
        <v>80</v>
      </c>
      <c r="O677" s="7">
        <v>26627</v>
      </c>
      <c r="P677" s="16" t="s">
        <v>2498</v>
      </c>
      <c r="Q677" s="16" t="s">
        <v>82</v>
      </c>
      <c r="R677" s="16" t="s">
        <v>2499</v>
      </c>
      <c r="S677" s="17"/>
      <c r="T677" s="16" t="s">
        <v>84</v>
      </c>
      <c r="U677" s="16"/>
      <c r="V677" s="16" t="s">
        <v>1935</v>
      </c>
      <c r="W677" s="16" t="s">
        <v>1935</v>
      </c>
      <c r="X677" s="56" t="s">
        <v>103</v>
      </c>
      <c r="Y677" s="7"/>
      <c r="Z677" t="s">
        <v>1817</v>
      </c>
      <c r="AA677" s="16">
        <v>40</v>
      </c>
      <c r="AB677" s="16" t="s">
        <v>672</v>
      </c>
      <c r="AC677" s="183"/>
      <c r="AD677" s="16"/>
      <c r="AE677" s="183"/>
      <c r="AF677" s="16"/>
      <c r="AG677" s="16"/>
      <c r="AH677" s="16" t="s">
        <v>81</v>
      </c>
      <c r="AI677" s="16"/>
      <c r="AJ677" s="16"/>
      <c r="AK677" s="16"/>
      <c r="AL677" s="16"/>
      <c r="AM677" s="90">
        <v>776.7</v>
      </c>
      <c r="AN677" s="184"/>
      <c r="AQ677" s="16"/>
      <c r="AR677" s="16"/>
      <c r="AS677" s="16"/>
      <c r="AT677" s="16"/>
      <c r="AU677" s="16"/>
      <c r="AV677" s="16"/>
      <c r="AW677" s="7"/>
      <c r="AX677" s="16"/>
      <c r="AY677" s="16"/>
      <c r="AZ677" s="16" t="s">
        <v>374</v>
      </c>
      <c r="BA677" s="16">
        <v>3</v>
      </c>
    </row>
    <row r="678" spans="1:53" ht="15.5">
      <c r="A678" s="273">
        <v>15</v>
      </c>
      <c r="B678" s="273" t="str">
        <f t="shared" si="35"/>
        <v>AKTIVAN</v>
      </c>
      <c r="C678" s="302">
        <v>676</v>
      </c>
      <c r="D678" s="1">
        <v>54</v>
      </c>
      <c r="E678" t="str">
        <f>VLOOKUP(D678,POSLODAVCI!$A$2:$J$76,2,0)</f>
        <v>JUICYVAPOUR D.O.O.</v>
      </c>
      <c r="F678" s="78">
        <f>VLOOKUP(D678,POSLODAVCI!$A$2:$J$76,3,0)</f>
        <v>71914192370</v>
      </c>
      <c r="G678" t="str">
        <f>VLOOKUP(D678,POSLODAVCI!$A$2:$J$76,4,0)</f>
        <v>JOZSEF BALOG</v>
      </c>
      <c r="H678" t="str">
        <f>VLOOKUP(D678,POSLODAVCI!$A$2:$J$107,9,0)</f>
        <v>Osijek+</v>
      </c>
      <c r="I678" t="str">
        <f>VLOOKUP(D678,POSLODAVCI!$A$2:$J$76,10,0)</f>
        <v>Ribarska 10</v>
      </c>
      <c r="J678" s="1" t="s">
        <v>2501</v>
      </c>
      <c r="K678" s="61">
        <v>45231</v>
      </c>
      <c r="L678" s="61"/>
      <c r="M678" s="182">
        <v>56593808275</v>
      </c>
      <c r="N678" s="16" t="s">
        <v>80</v>
      </c>
      <c r="O678" s="7">
        <v>36763</v>
      </c>
      <c r="P678" s="16" t="s">
        <v>1265</v>
      </c>
      <c r="Q678" s="16" t="s">
        <v>82</v>
      </c>
      <c r="R678" s="16" t="s">
        <v>2503</v>
      </c>
      <c r="S678" s="17"/>
      <c r="T678" s="16" t="s">
        <v>84</v>
      </c>
      <c r="U678" s="16"/>
      <c r="V678" s="16" t="s">
        <v>1935</v>
      </c>
      <c r="W678" s="16" t="s">
        <v>1935</v>
      </c>
      <c r="X678" s="56" t="s">
        <v>103</v>
      </c>
      <c r="Y678" s="7"/>
      <c r="Z678" t="s">
        <v>1817</v>
      </c>
      <c r="AA678" s="16">
        <v>40</v>
      </c>
      <c r="AB678" s="16" t="s">
        <v>2502</v>
      </c>
      <c r="AC678" s="183"/>
      <c r="AD678" s="16"/>
      <c r="AE678" s="183"/>
      <c r="AF678" s="16"/>
      <c r="AG678" s="16"/>
      <c r="AH678" s="16" t="s">
        <v>81</v>
      </c>
      <c r="AI678" s="16"/>
      <c r="AJ678" s="16"/>
      <c r="AK678" s="16"/>
      <c r="AL678" s="16"/>
      <c r="AM678" s="90">
        <v>776.7</v>
      </c>
      <c r="AN678" s="184"/>
      <c r="AQ678" s="16"/>
      <c r="AR678" s="16"/>
      <c r="AS678" s="16"/>
      <c r="AT678" s="16"/>
      <c r="AU678" s="16"/>
      <c r="AV678" s="16"/>
      <c r="AW678" s="7"/>
      <c r="AX678" s="16"/>
      <c r="AY678" s="16"/>
      <c r="AZ678" s="16" t="s">
        <v>374</v>
      </c>
      <c r="BA678" s="16">
        <v>4</v>
      </c>
    </row>
    <row r="679" spans="1:53" ht="15.5">
      <c r="A679" s="273">
        <v>22</v>
      </c>
      <c r="B679" s="273" t="str">
        <f t="shared" si="35"/>
        <v>NEAKTIVAN</v>
      </c>
      <c r="C679" s="496">
        <v>677</v>
      </c>
      <c r="D679" s="497">
        <v>26</v>
      </c>
      <c r="E679" t="str">
        <f>VLOOKUP(D679,POSLODAVCI!$A$2:$J$76,2,0)</f>
        <v>D-INVOICE D.O.O.</v>
      </c>
      <c r="F679" s="78">
        <f>VLOOKUP(D679,POSLODAVCI!$A$2:$J$76,3,0)</f>
        <v>95114485977</v>
      </c>
      <c r="G679" t="str">
        <f>VLOOKUP(D679,POSLODAVCI!$A$2:$J$76,4,0)</f>
        <v>LAURA GERGELJ</v>
      </c>
      <c r="H679" t="str">
        <f>VLOOKUP(D679,POSLODAVCI!$A$2:$J$107,9,0)</f>
        <v>Osijek</v>
      </c>
      <c r="I679" t="str">
        <f>VLOOKUP(D679,POSLODAVCI!$A$2:$J$76,10,0)</f>
        <v>SV.IVANA KRSTITELJA 15, DARDA</v>
      </c>
      <c r="J679" s="497" t="s">
        <v>2505</v>
      </c>
      <c r="K679" s="498">
        <v>45299</v>
      </c>
      <c r="L679" s="498">
        <v>45902</v>
      </c>
      <c r="M679" s="465">
        <v>19992712735</v>
      </c>
      <c r="N679" s="16" t="s">
        <v>80</v>
      </c>
      <c r="O679" s="7">
        <v>36404</v>
      </c>
      <c r="P679" s="16" t="s">
        <v>81</v>
      </c>
      <c r="Q679" s="16" t="s">
        <v>82</v>
      </c>
      <c r="R679" s="16" t="s">
        <v>2506</v>
      </c>
      <c r="S679" s="17" t="s">
        <v>83</v>
      </c>
      <c r="T679" s="16" t="s">
        <v>247</v>
      </c>
      <c r="V679" s="16" t="s">
        <v>93</v>
      </c>
      <c r="W679" s="16" t="s">
        <v>93</v>
      </c>
      <c r="X679" s="56" t="s">
        <v>103</v>
      </c>
      <c r="Y679" s="7"/>
      <c r="Z679" t="s">
        <v>1817</v>
      </c>
      <c r="AA679">
        <v>40</v>
      </c>
      <c r="AB679" s="16" t="s">
        <v>2507</v>
      </c>
      <c r="AC679" s="183"/>
      <c r="AE679" s="183"/>
      <c r="AH679" s="16" t="s">
        <v>81</v>
      </c>
      <c r="AL679" s="16" t="s">
        <v>83</v>
      </c>
      <c r="AM679" s="499">
        <v>965.52</v>
      </c>
      <c r="AN679" s="184">
        <v>1</v>
      </c>
      <c r="AO679" s="15">
        <v>750</v>
      </c>
      <c r="AW679" s="7"/>
      <c r="AZ679" s="16" t="s">
        <v>374</v>
      </c>
      <c r="BA679">
        <v>22</v>
      </c>
    </row>
    <row r="680" spans="1:53" ht="15.5">
      <c r="A680" s="273">
        <v>15</v>
      </c>
      <c r="B680" s="273" t="str">
        <f t="shared" si="35"/>
        <v>AKTIVAN</v>
      </c>
      <c r="C680" s="496">
        <v>678</v>
      </c>
      <c r="D680" s="497">
        <v>36</v>
      </c>
      <c r="E680" t="str">
        <f>VLOOKUP(D680,POSLODAVCI!$A$2:$J$76,2,0)</f>
        <v>Vital Group d.o.o.</v>
      </c>
      <c r="F680" s="78">
        <f>VLOOKUP(D680,POSLODAVCI!$A$2:$J$76,3,0)</f>
        <v>45575918003</v>
      </c>
      <c r="G680" t="str">
        <f>VLOOKUP(D680,POSLODAVCI!$A$2:$J$76,4,0)</f>
        <v>Balázs Kulcsár</v>
      </c>
      <c r="H680" t="str">
        <f>VLOOKUP(D680,POSLODAVCI!$A$2:$J$107,9,0)</f>
        <v>Osijek</v>
      </c>
      <c r="I680" t="str">
        <f>VLOOKUP(D680,POSLODAVCI!$A$2:$J$76,10,0)</f>
        <v>Ribarska 10</v>
      </c>
      <c r="J680" s="500" t="s">
        <v>1851</v>
      </c>
      <c r="K680" s="501">
        <v>45633</v>
      </c>
      <c r="L680" s="501"/>
      <c r="M680" s="182">
        <v>1906001180048</v>
      </c>
      <c r="N680" t="s">
        <v>89</v>
      </c>
      <c r="O680" s="7">
        <v>37061</v>
      </c>
      <c r="P680" t="s">
        <v>2510</v>
      </c>
      <c r="Q680" t="s">
        <v>2511</v>
      </c>
      <c r="R680" t="s">
        <v>2512</v>
      </c>
      <c r="S680" s="5" t="s">
        <v>87</v>
      </c>
      <c r="T680" t="s">
        <v>84</v>
      </c>
      <c r="V680" t="s">
        <v>2513</v>
      </c>
      <c r="X680" s="306" t="s">
        <v>85</v>
      </c>
      <c r="Y680" s="7">
        <v>45664</v>
      </c>
      <c r="Z680" t="s">
        <v>1817</v>
      </c>
      <c r="AA680">
        <v>40</v>
      </c>
      <c r="AB680" s="502" t="s">
        <v>2518</v>
      </c>
      <c r="AC680" s="183"/>
      <c r="AE680" s="183"/>
      <c r="AH680" t="s">
        <v>81</v>
      </c>
      <c r="AL680" t="s">
        <v>83</v>
      </c>
      <c r="AM680" s="499">
        <v>700</v>
      </c>
      <c r="AN680" s="184"/>
      <c r="AO680" s="15">
        <v>560</v>
      </c>
      <c r="AW680" s="7"/>
      <c r="AZ680" t="s">
        <v>374</v>
      </c>
    </row>
    <row r="681" spans="1:53" ht="15.5">
      <c r="A681" s="273">
        <v>15</v>
      </c>
      <c r="B681" s="273" t="str">
        <f t="shared" si="35"/>
        <v>NEAKTIVAN</v>
      </c>
      <c r="C681" s="496">
        <v>679</v>
      </c>
      <c r="D681" s="497">
        <v>36</v>
      </c>
      <c r="E681" t="str">
        <f>VLOOKUP(D681,POSLODAVCI!$A$2:$J$76,2,0)</f>
        <v>Vital Group d.o.o.</v>
      </c>
      <c r="F681" s="78">
        <f>VLOOKUP(D681,POSLODAVCI!$A$2:$J$76,3,0)</f>
        <v>45575918003</v>
      </c>
      <c r="G681" t="str">
        <f>VLOOKUP(D681,POSLODAVCI!$A$2:$J$76,4,0)</f>
        <v>Balázs Kulcsár</v>
      </c>
      <c r="H681" t="str">
        <f>VLOOKUP(D681,POSLODAVCI!$A$2:$J$107,9,0)</f>
        <v>Osijek</v>
      </c>
      <c r="I681" t="str">
        <f>VLOOKUP(D681,POSLODAVCI!$A$2:$J$76,10,0)</f>
        <v>Ribarska 10</v>
      </c>
      <c r="J681" s="497" t="s">
        <v>2514</v>
      </c>
      <c r="K681" s="498">
        <v>45261</v>
      </c>
      <c r="L681" s="498">
        <v>45632</v>
      </c>
      <c r="M681" s="182">
        <v>51370128352</v>
      </c>
      <c r="N681" t="s">
        <v>80</v>
      </c>
      <c r="O681" s="7">
        <v>37992</v>
      </c>
      <c r="Q681" t="s">
        <v>82</v>
      </c>
      <c r="R681" t="s">
        <v>2515</v>
      </c>
      <c r="T681" t="s">
        <v>84</v>
      </c>
      <c r="V681" t="s">
        <v>2516</v>
      </c>
      <c r="X681" s="306" t="s">
        <v>85</v>
      </c>
      <c r="Y681" s="7">
        <v>45322</v>
      </c>
      <c r="Z681" t="s">
        <v>1817</v>
      </c>
      <c r="AA681">
        <v>40</v>
      </c>
      <c r="AB681" t="s">
        <v>2517</v>
      </c>
      <c r="AC681" s="183"/>
      <c r="AE681" s="183"/>
      <c r="AH681" s="313" t="s">
        <v>765</v>
      </c>
      <c r="AM681" s="499">
        <v>700</v>
      </c>
      <c r="AN681" s="184"/>
      <c r="AO681" s="15">
        <v>560</v>
      </c>
      <c r="AW681" s="7"/>
      <c r="AZ681" s="313" t="s">
        <v>374</v>
      </c>
    </row>
    <row r="682" spans="1:53" ht="15.5">
      <c r="A682" s="273">
        <v>15</v>
      </c>
      <c r="B682" s="273" t="str">
        <f t="shared" si="35"/>
        <v>AKTIVAN</v>
      </c>
      <c r="C682" s="503">
        <v>680</v>
      </c>
      <c r="D682" s="330">
        <v>36</v>
      </c>
      <c r="E682" t="str">
        <f>VLOOKUP(D682,POSLODAVCI!$A$2:$J$76,2,0)</f>
        <v>Vital Group d.o.o.</v>
      </c>
      <c r="F682" s="78">
        <f>VLOOKUP(D682,POSLODAVCI!$A$2:$J$76,3,0)</f>
        <v>45575918003</v>
      </c>
      <c r="G682" t="str">
        <f>VLOOKUP(D682,POSLODAVCI!$A$2:$J$76,4,0)</f>
        <v>Balázs Kulcsár</v>
      </c>
      <c r="H682" t="str">
        <f>VLOOKUP(D682,POSLODAVCI!$A$2:$J$107,9,0)</f>
        <v>Osijek</v>
      </c>
      <c r="I682" t="str">
        <f>VLOOKUP(D682,POSLODAVCI!$A$2:$J$76,10,0)</f>
        <v>Ribarska 10</v>
      </c>
      <c r="J682" s="504" t="s">
        <v>2519</v>
      </c>
      <c r="K682" s="505">
        <v>45261</v>
      </c>
      <c r="L682" s="505"/>
      <c r="M682" s="182">
        <v>24333039641</v>
      </c>
      <c r="N682" s="313" t="s">
        <v>80</v>
      </c>
      <c r="O682" s="7">
        <v>38021</v>
      </c>
      <c r="P682" s="313"/>
      <c r="Q682" s="313" t="s">
        <v>82</v>
      </c>
      <c r="R682" s="313" t="s">
        <v>2520</v>
      </c>
      <c r="S682" s="332"/>
      <c r="T682" s="313" t="s">
        <v>84</v>
      </c>
      <c r="U682" s="313"/>
      <c r="V682" s="313" t="s">
        <v>143</v>
      </c>
      <c r="W682" s="313"/>
      <c r="X682" s="333" t="s">
        <v>85</v>
      </c>
      <c r="Y682" s="7">
        <v>45322</v>
      </c>
      <c r="Z682" t="s">
        <v>1817</v>
      </c>
      <c r="AA682" s="313">
        <v>40</v>
      </c>
      <c r="AB682" s="313" t="s">
        <v>2521</v>
      </c>
      <c r="AC682" s="183"/>
      <c r="AD682" s="313"/>
      <c r="AE682" s="183"/>
      <c r="AF682" s="313"/>
      <c r="AG682" s="313"/>
      <c r="AH682" s="313" t="s">
        <v>81</v>
      </c>
      <c r="AI682" s="313"/>
      <c r="AJ682" s="313"/>
      <c r="AK682" s="313"/>
      <c r="AL682" s="313"/>
      <c r="AM682" s="334">
        <v>700</v>
      </c>
      <c r="AN682" s="184"/>
      <c r="AO682" s="15">
        <v>560</v>
      </c>
      <c r="AQ682" s="313"/>
      <c r="AR682" s="313"/>
      <c r="AS682" s="313"/>
      <c r="AT682" s="313"/>
      <c r="AU682" s="313"/>
      <c r="AV682" s="313"/>
      <c r="AW682" s="7"/>
      <c r="AX682" s="313"/>
      <c r="AY682" s="313"/>
      <c r="AZ682" s="313" t="s">
        <v>374</v>
      </c>
      <c r="BA682" s="313"/>
    </row>
    <row r="683" spans="1:53" ht="15.5">
      <c r="A683" s="273">
        <v>15</v>
      </c>
      <c r="B683" s="273" t="str">
        <f t="shared" si="35"/>
        <v>AKTIVAN</v>
      </c>
      <c r="C683" s="503">
        <v>681</v>
      </c>
      <c r="D683" s="330">
        <v>36</v>
      </c>
      <c r="E683" t="str">
        <f>VLOOKUP(D683,POSLODAVCI!$A$2:$J$76,2,0)</f>
        <v>Vital Group d.o.o.</v>
      </c>
      <c r="F683" s="78">
        <f>VLOOKUP(D683,POSLODAVCI!$A$2:$J$76,3,0)</f>
        <v>45575918003</v>
      </c>
      <c r="G683" t="str">
        <f>VLOOKUP(D683,POSLODAVCI!$A$2:$J$76,4,0)</f>
        <v>Balázs Kulcsár</v>
      </c>
      <c r="H683" t="str">
        <f>VLOOKUP(D683,POSLODAVCI!$A$2:$J$107,9,0)</f>
        <v>Osijek</v>
      </c>
      <c r="I683" t="str">
        <f>VLOOKUP(D683,POSLODAVCI!$A$2:$J$76,10,0)</f>
        <v>Ribarska 10</v>
      </c>
      <c r="J683" s="504" t="s">
        <v>2522</v>
      </c>
      <c r="K683" s="505">
        <v>45261</v>
      </c>
      <c r="L683" s="505"/>
      <c r="M683" s="182">
        <v>97654316630</v>
      </c>
      <c r="N683" s="313" t="s">
        <v>80</v>
      </c>
      <c r="O683" s="7">
        <v>36050</v>
      </c>
      <c r="P683" s="313"/>
      <c r="Q683" s="313" t="s">
        <v>82</v>
      </c>
      <c r="R683" s="313" t="s">
        <v>2523</v>
      </c>
      <c r="S683" s="332"/>
      <c r="T683" s="313" t="s">
        <v>84</v>
      </c>
      <c r="U683" s="313"/>
      <c r="V683" s="313" t="s">
        <v>143</v>
      </c>
      <c r="W683" s="313"/>
      <c r="X683" s="333" t="s">
        <v>85</v>
      </c>
      <c r="Y683" s="7">
        <v>45322</v>
      </c>
      <c r="Z683" t="s">
        <v>1817</v>
      </c>
      <c r="AA683" s="313">
        <v>40</v>
      </c>
      <c r="AB683" s="313" t="s">
        <v>2524</v>
      </c>
      <c r="AC683" s="183"/>
      <c r="AD683" s="313"/>
      <c r="AE683" s="183"/>
      <c r="AF683" s="313"/>
      <c r="AG683" s="313"/>
      <c r="AH683" s="313" t="s">
        <v>81</v>
      </c>
      <c r="AI683" s="313"/>
      <c r="AJ683" s="313"/>
      <c r="AK683" s="313"/>
      <c r="AL683" s="313"/>
      <c r="AM683" s="334">
        <v>700</v>
      </c>
      <c r="AN683" s="184"/>
      <c r="AO683" s="15">
        <v>560</v>
      </c>
      <c r="AQ683" s="313"/>
      <c r="AR683" s="313"/>
      <c r="AS683" s="313"/>
      <c r="AT683" s="313"/>
      <c r="AU683" s="313"/>
      <c r="AV683" s="313"/>
      <c r="AW683" s="7"/>
      <c r="AX683" s="313"/>
      <c r="AY683" s="313"/>
      <c r="AZ683" s="313"/>
      <c r="BA683" s="313"/>
    </row>
    <row r="684" spans="1:53" ht="15.5">
      <c r="A684" s="273">
        <v>15</v>
      </c>
      <c r="B684" s="273" t="str">
        <f t="shared" si="35"/>
        <v>AKTIVAN</v>
      </c>
      <c r="C684" s="503">
        <v>682</v>
      </c>
      <c r="D684" s="330">
        <v>54</v>
      </c>
      <c r="E684" t="str">
        <f>VLOOKUP(D684,POSLODAVCI!$A$2:$J$76,2,0)</f>
        <v>JUICYVAPOUR D.O.O.</v>
      </c>
      <c r="F684" s="78">
        <f>VLOOKUP(D684,POSLODAVCI!$A$2:$J$76,3,0)</f>
        <v>71914192370</v>
      </c>
      <c r="G684" t="str">
        <f>VLOOKUP(D684,POSLODAVCI!$A$2:$J$76,4,0)</f>
        <v>JOZSEF BALOG</v>
      </c>
      <c r="H684" t="str">
        <f>VLOOKUP(D684,POSLODAVCI!$A$2:$J$107,9,0)</f>
        <v>Osijek+</v>
      </c>
      <c r="I684" t="str">
        <f>VLOOKUP(D684,POSLODAVCI!$A$2:$J$76,10,0)</f>
        <v>Ribarska 10</v>
      </c>
      <c r="J684" s="330" t="s">
        <v>2533</v>
      </c>
      <c r="K684" s="331">
        <v>45271</v>
      </c>
      <c r="L684" s="331"/>
      <c r="M684" s="182">
        <v>64060707554</v>
      </c>
      <c r="N684" s="313" t="s">
        <v>89</v>
      </c>
      <c r="O684" s="7">
        <v>33271</v>
      </c>
      <c r="P684" s="313"/>
      <c r="Q684" s="313" t="s">
        <v>2528</v>
      </c>
      <c r="R684" s="313"/>
      <c r="S684" s="332"/>
      <c r="T684" s="313" t="s">
        <v>1484</v>
      </c>
      <c r="U684" s="313"/>
      <c r="V684" s="313" t="s">
        <v>2529</v>
      </c>
      <c r="W684" s="313"/>
      <c r="X684" s="333" t="s">
        <v>2526</v>
      </c>
      <c r="Y684" s="7"/>
      <c r="Z684" s="313"/>
      <c r="AA684" s="313">
        <v>10</v>
      </c>
      <c r="AB684" s="511" t="s">
        <v>2532</v>
      </c>
      <c r="AC684" s="183"/>
      <c r="AD684" s="313"/>
      <c r="AE684" s="183"/>
      <c r="AF684" s="313"/>
      <c r="AG684" s="313"/>
      <c r="AH684" s="313" t="s">
        <v>94</v>
      </c>
      <c r="AI684" s="313"/>
      <c r="AJ684" s="313"/>
      <c r="AK684" s="313"/>
      <c r="AL684" s="313"/>
      <c r="AM684" s="334">
        <v>194.18</v>
      </c>
      <c r="AN684" s="184"/>
      <c r="AO684" s="15">
        <v>120</v>
      </c>
      <c r="AQ684" s="313"/>
      <c r="AR684" s="313"/>
      <c r="AS684" s="313"/>
      <c r="AT684" s="313"/>
      <c r="AU684" s="313"/>
      <c r="AV684" s="313"/>
      <c r="AW684" s="7"/>
      <c r="AX684" s="313"/>
      <c r="AY684" s="313"/>
      <c r="AZ684" s="313"/>
      <c r="BA684" s="313"/>
    </row>
    <row r="685" spans="1:53" ht="15.5">
      <c r="A685" s="273">
        <v>15</v>
      </c>
      <c r="B685" s="273" t="str">
        <f t="shared" si="35"/>
        <v>AKTIVAN</v>
      </c>
      <c r="C685" s="503">
        <v>683</v>
      </c>
      <c r="D685" s="330">
        <v>54</v>
      </c>
      <c r="E685" t="str">
        <f>VLOOKUP(D685,POSLODAVCI!$A$2:$J$76,2,0)</f>
        <v>JUICYVAPOUR D.O.O.</v>
      </c>
      <c r="F685" s="78">
        <f>VLOOKUP(D685,POSLODAVCI!$A$2:$J$76,3,0)</f>
        <v>71914192370</v>
      </c>
      <c r="G685" t="str">
        <f>VLOOKUP(D685,POSLODAVCI!$A$2:$J$76,4,0)</f>
        <v>JOZSEF BALOG</v>
      </c>
      <c r="H685" t="str">
        <f>VLOOKUP(D685,POSLODAVCI!$A$2:$J$107,9,0)</f>
        <v>Osijek+</v>
      </c>
      <c r="I685" t="str">
        <f>VLOOKUP(D685,POSLODAVCI!$A$2:$J$76,10,0)</f>
        <v>Ribarska 10</v>
      </c>
      <c r="J685" s="330" t="s">
        <v>2527</v>
      </c>
      <c r="K685" s="331">
        <v>45271</v>
      </c>
      <c r="L685" s="331"/>
      <c r="M685" s="182">
        <v>3178341146</v>
      </c>
      <c r="N685" s="313" t="s">
        <v>80</v>
      </c>
      <c r="O685" s="7">
        <v>30325</v>
      </c>
      <c r="P685" s="313"/>
      <c r="Q685" s="313" t="s">
        <v>2528</v>
      </c>
      <c r="R685" s="313"/>
      <c r="S685" s="332"/>
      <c r="T685" s="313" t="s">
        <v>1484</v>
      </c>
      <c r="U685" s="313"/>
      <c r="V685" s="313" t="s">
        <v>2530</v>
      </c>
      <c r="W685" s="313"/>
      <c r="X685" s="333" t="s">
        <v>2526</v>
      </c>
      <c r="Y685" s="7"/>
      <c r="Z685" t="s">
        <v>1817</v>
      </c>
      <c r="AA685" s="313">
        <v>40</v>
      </c>
      <c r="AB685" s="313" t="s">
        <v>2531</v>
      </c>
      <c r="AC685" s="183"/>
      <c r="AD685" s="313"/>
      <c r="AE685" s="183"/>
      <c r="AF685" s="313"/>
      <c r="AG685" s="313"/>
      <c r="AH685" s="313" t="s">
        <v>94</v>
      </c>
      <c r="AI685" s="313"/>
      <c r="AJ685" s="313"/>
      <c r="AK685" s="313"/>
      <c r="AL685" s="313"/>
      <c r="AM685" s="334">
        <v>1341.6</v>
      </c>
      <c r="AN685" s="184"/>
      <c r="AO685" s="15">
        <v>1200</v>
      </c>
      <c r="AQ685" s="313"/>
      <c r="AR685" s="313"/>
      <c r="AS685" s="313"/>
      <c r="AT685" s="313"/>
      <c r="AU685" s="313"/>
      <c r="AV685" s="313"/>
      <c r="AW685" s="7"/>
      <c r="AX685" s="313"/>
      <c r="AY685" s="313"/>
      <c r="AZ685" s="313"/>
      <c r="BA685" s="313"/>
    </row>
    <row r="686" spans="1:53" ht="15.5">
      <c r="A686" s="273">
        <v>15</v>
      </c>
      <c r="B686" s="273" t="str">
        <f t="shared" si="35"/>
        <v>NEAKTIVAN</v>
      </c>
      <c r="C686" s="302">
        <v>684</v>
      </c>
      <c r="D686" s="1">
        <v>50</v>
      </c>
      <c r="E686" t="str">
        <f>VLOOKUP(D686,POSLODAVCI!$A$2:$J$76,2,0)</f>
        <v>SKIN BEAUTY VL. IVONA JOZIĆ</v>
      </c>
      <c r="F686" s="78">
        <f>VLOOKUP(D686,POSLODAVCI!$A$2:$J$76,3,0)</f>
        <v>37037018122</v>
      </c>
      <c r="G686" t="str">
        <f>VLOOKUP(D686,POSLODAVCI!$A$2:$J$76,4,0)</f>
        <v>Ivona Jozić</v>
      </c>
      <c r="H686" t="str">
        <f>VLOOKUP(D686,POSLODAVCI!$A$2:$J$107,9,0)</f>
        <v>Osijek</v>
      </c>
      <c r="I686" t="str">
        <f>VLOOKUP(D686,POSLODAVCI!$A$2:$J$76,10,0)</f>
        <v>Reisnerova 84</v>
      </c>
      <c r="J686" s="1" t="s">
        <v>2534</v>
      </c>
      <c r="K686" s="61">
        <v>45302</v>
      </c>
      <c r="L686" s="61">
        <v>45333</v>
      </c>
      <c r="M686" s="182">
        <v>94606681349</v>
      </c>
      <c r="N686" s="16" t="s">
        <v>80</v>
      </c>
      <c r="O686" s="7">
        <v>37605</v>
      </c>
      <c r="P686" s="16" t="s">
        <v>94</v>
      </c>
      <c r="Q686" s="16" t="s">
        <v>82</v>
      </c>
      <c r="R686" s="16" t="s">
        <v>2535</v>
      </c>
      <c r="S686" s="17"/>
      <c r="T686" s="16" t="s">
        <v>84</v>
      </c>
      <c r="U686" s="16"/>
      <c r="V686" s="16" t="s">
        <v>1774</v>
      </c>
      <c r="W686" s="16" t="s">
        <v>1775</v>
      </c>
      <c r="X686" s="56" t="s">
        <v>85</v>
      </c>
      <c r="Y686" s="7">
        <v>45333</v>
      </c>
      <c r="Z686" s="16" t="s">
        <v>1894</v>
      </c>
      <c r="AA686" s="16">
        <v>1</v>
      </c>
      <c r="AB686" s="16" t="s">
        <v>2536</v>
      </c>
      <c r="AC686" s="183"/>
      <c r="AD686" s="16"/>
      <c r="AE686" s="183"/>
      <c r="AF686" s="16"/>
      <c r="AG686" s="16"/>
      <c r="AH686" s="16" t="s">
        <v>1956</v>
      </c>
      <c r="AI686" s="16"/>
      <c r="AJ686" s="16"/>
      <c r="AK686" s="16"/>
      <c r="AL686" s="16" t="s">
        <v>83</v>
      </c>
      <c r="AM686" s="90">
        <v>128.86000000000001</v>
      </c>
      <c r="AN686" s="184">
        <v>1</v>
      </c>
      <c r="AO686" s="15">
        <v>100</v>
      </c>
      <c r="AQ686" s="16"/>
      <c r="AR686" s="16"/>
      <c r="AS686" s="16"/>
      <c r="AT686" s="16"/>
      <c r="AU686" s="16"/>
      <c r="AV686" s="16"/>
      <c r="AW686" s="7"/>
      <c r="AX686" s="16"/>
      <c r="AY686" s="16"/>
      <c r="AZ686" s="16" t="s">
        <v>374</v>
      </c>
      <c r="BA686" s="16"/>
    </row>
    <row r="687" spans="1:53" ht="15.5">
      <c r="A687" s="273">
        <v>15</v>
      </c>
      <c r="B687" s="273" t="str">
        <f t="shared" si="35"/>
        <v>AKTIVAN</v>
      </c>
      <c r="C687" s="496">
        <v>685</v>
      </c>
      <c r="D687" s="497">
        <v>36</v>
      </c>
      <c r="E687" t="str">
        <f>VLOOKUP(D687,POSLODAVCI!$A$2:$J$76,2,0)</f>
        <v>Vital Group d.o.o.</v>
      </c>
      <c r="F687" s="78">
        <f>VLOOKUP(D687,POSLODAVCI!$A$2:$J$76,3,0)</f>
        <v>45575918003</v>
      </c>
      <c r="G687" t="str">
        <f>VLOOKUP(D687,POSLODAVCI!$A$2:$J$76,4,0)</f>
        <v>Balázs Kulcsár</v>
      </c>
      <c r="H687" t="str">
        <f>VLOOKUP(D687,POSLODAVCI!$A$2:$J$107,9,0)</f>
        <v>Osijek</v>
      </c>
      <c r="I687" t="str">
        <f>VLOOKUP(D687,POSLODAVCI!$A$2:$J$76,10,0)</f>
        <v>Ribarska 10</v>
      </c>
      <c r="J687" s="497" t="s">
        <v>2537</v>
      </c>
      <c r="K687" s="498">
        <v>45302</v>
      </c>
      <c r="L687" s="498"/>
      <c r="M687" s="365">
        <v>50666608530</v>
      </c>
      <c r="N687" s="313" t="s">
        <v>80</v>
      </c>
      <c r="O687" s="7">
        <v>37266</v>
      </c>
      <c r="Q687" s="313" t="s">
        <v>82</v>
      </c>
      <c r="R687" s="313" t="s">
        <v>2538</v>
      </c>
      <c r="T687" s="313" t="s">
        <v>84</v>
      </c>
      <c r="W687" s="313" t="s">
        <v>143</v>
      </c>
      <c r="X687" s="333" t="s">
        <v>85</v>
      </c>
      <c r="Y687" s="7"/>
      <c r="Z687" t="s">
        <v>1817</v>
      </c>
      <c r="AA687">
        <v>40</v>
      </c>
      <c r="AC687" s="183"/>
      <c r="AE687" s="183"/>
      <c r="AH687" s="313" t="s">
        <v>2432</v>
      </c>
      <c r="AM687" s="499">
        <v>840</v>
      </c>
      <c r="AN687" s="184"/>
      <c r="AO687" s="15">
        <v>640</v>
      </c>
      <c r="AW687" s="7"/>
      <c r="AZ687" s="313" t="s">
        <v>374</v>
      </c>
    </row>
    <row r="688" spans="1:53" ht="15.5">
      <c r="A688" s="273">
        <v>15</v>
      </c>
      <c r="B688" s="273" t="str">
        <f t="shared" si="35"/>
        <v>AKTIVAN</v>
      </c>
      <c r="C688" s="302">
        <v>686</v>
      </c>
      <c r="D688" s="1">
        <v>71</v>
      </c>
      <c r="E688" t="str">
        <f>VLOOKUP(D688,POSLODAVCI!$A$2:$J$76,2,0)</f>
        <v>Agro Adria International d.o.o.</v>
      </c>
      <c r="F688" s="78" t="str">
        <f>VLOOKUP(D688,POSLODAVCI!$A$2:$J$76,3,0)</f>
        <v>07589119396</v>
      </c>
      <c r="G688" t="str">
        <f>VLOOKUP(D688,POSLODAVCI!$A$2:$J$76,4,0)</f>
        <v>Alen Győrfi</v>
      </c>
      <c r="H688" t="str">
        <f>VLOOKUP(D688,POSLODAVCI!$A$2:$J$107,9,0)</f>
        <v>Makarska</v>
      </c>
      <c r="I688" t="str">
        <f>VLOOKUP(D688,POSLODAVCI!$A$2:$J$76,10,0)</f>
        <v>Ante Starčevića 32, etaža B/21</v>
      </c>
      <c r="J688" s="1" t="s">
        <v>2541</v>
      </c>
      <c r="K688" s="61">
        <v>45336</v>
      </c>
      <c r="L688" s="61"/>
      <c r="M688" s="182">
        <v>97745959739</v>
      </c>
      <c r="N688" s="16" t="s">
        <v>89</v>
      </c>
      <c r="O688" s="7">
        <v>32818</v>
      </c>
      <c r="P688" s="16"/>
      <c r="Q688" s="16" t="s">
        <v>2544</v>
      </c>
      <c r="R688" s="16" t="s">
        <v>2547</v>
      </c>
      <c r="S688" s="17"/>
      <c r="T688" s="16" t="s">
        <v>1484</v>
      </c>
      <c r="U688" s="16"/>
      <c r="V688" s="16" t="s">
        <v>2545</v>
      </c>
      <c r="W688" s="16" t="s">
        <v>2545</v>
      </c>
      <c r="X688" s="56" t="s">
        <v>103</v>
      </c>
      <c r="Y688" s="7"/>
      <c r="Z688" t="s">
        <v>1817</v>
      </c>
      <c r="AA688" s="16">
        <v>40</v>
      </c>
      <c r="AB688" s="16"/>
      <c r="AC688" s="183"/>
      <c r="AD688" s="16"/>
      <c r="AE688" s="183"/>
      <c r="AF688" s="16"/>
      <c r="AG688" s="16"/>
      <c r="AH688" s="16" t="s">
        <v>2546</v>
      </c>
      <c r="AI688" s="16"/>
      <c r="AJ688" s="16"/>
      <c r="AK688" s="16"/>
      <c r="AL688" s="16"/>
      <c r="AM688" s="90">
        <v>1014</v>
      </c>
      <c r="AN688" s="184">
        <v>1</v>
      </c>
      <c r="AQ688" s="16"/>
      <c r="AR688" s="16"/>
      <c r="AS688" s="16"/>
      <c r="AT688" s="16"/>
      <c r="AU688" s="16"/>
      <c r="AV688" s="16"/>
      <c r="AW688" s="7"/>
      <c r="AX688" s="16"/>
      <c r="AY688" s="16"/>
      <c r="AZ688" s="16" t="s">
        <v>374</v>
      </c>
      <c r="BA688" s="16"/>
    </row>
    <row r="689" spans="1:53" ht="15.5">
      <c r="A689" s="273">
        <v>15</v>
      </c>
      <c r="B689" s="273" t="str">
        <f t="shared" si="35"/>
        <v>AKTIVAN</v>
      </c>
      <c r="C689" s="302">
        <v>687</v>
      </c>
      <c r="D689" s="1">
        <v>72</v>
      </c>
      <c r="E689" t="str">
        <f>VLOOKUP(D689,POSLODAVCI!$A$2:$J$76,2,0)</f>
        <v>WMD D.O.O.</v>
      </c>
      <c r="F689" s="78">
        <f>VLOOKUP(D689,POSLODAVCI!$A$2:$J$76,3,0)</f>
        <v>79460530595</v>
      </c>
      <c r="G689" t="str">
        <f>VLOOKUP(D689,POSLODAVCI!$A$2:$J$76,4,0)</f>
        <v>ILIJA ĐIVIĆ</v>
      </c>
      <c r="H689" t="str">
        <f>VLOOKUP(D689,POSLODAVCI!$A$2:$J$107,9,0)</f>
        <v>BJELOVAR</v>
      </c>
      <c r="I689" t="str">
        <f>VLOOKUP(D689,POSLODAVCI!$A$2:$J$76,10,0)</f>
        <v>Augustina Harambašića 10</v>
      </c>
      <c r="J689" s="426" t="s">
        <v>2552</v>
      </c>
      <c r="K689" s="61">
        <v>44927</v>
      </c>
      <c r="L689" s="61"/>
      <c r="M689" s="465">
        <v>96990139513</v>
      </c>
      <c r="N689" s="16" t="s">
        <v>89</v>
      </c>
      <c r="O689" s="7">
        <v>36161</v>
      </c>
      <c r="P689" s="16"/>
      <c r="Q689" s="16" t="s">
        <v>82</v>
      </c>
      <c r="R689" s="81" t="s">
        <v>2553</v>
      </c>
      <c r="S689" s="17"/>
      <c r="T689" s="81" t="s">
        <v>2553</v>
      </c>
      <c r="U689" s="16"/>
      <c r="V689" s="81" t="s">
        <v>418</v>
      </c>
      <c r="W689" s="16"/>
      <c r="X689" s="56" t="s">
        <v>103</v>
      </c>
      <c r="Y689" s="7"/>
      <c r="Z689" t="s">
        <v>1817</v>
      </c>
      <c r="AA689" s="16">
        <v>40</v>
      </c>
      <c r="AB689" s="16"/>
      <c r="AC689" s="183"/>
      <c r="AD689" s="16"/>
      <c r="AE689" s="183"/>
      <c r="AF689" s="16"/>
      <c r="AG689" s="16"/>
      <c r="AH689" s="16"/>
      <c r="AI689" s="16"/>
      <c r="AJ689" s="16"/>
      <c r="AK689" s="16"/>
      <c r="AL689" s="16"/>
      <c r="AM689" s="90"/>
      <c r="AN689" s="184"/>
      <c r="AQ689" s="16"/>
      <c r="AR689" s="16"/>
      <c r="AS689" s="16"/>
      <c r="AT689" s="16"/>
      <c r="AU689" s="16"/>
      <c r="AV689" s="16"/>
      <c r="AW689" s="7"/>
      <c r="AX689" s="16"/>
      <c r="AY689" s="16"/>
      <c r="AZ689" s="16" t="s">
        <v>374</v>
      </c>
      <c r="BA689" s="16">
        <v>1</v>
      </c>
    </row>
    <row r="690" spans="1:53" ht="15.5">
      <c r="A690" s="273">
        <v>15</v>
      </c>
      <c r="B690" s="273" t="str">
        <f t="shared" si="35"/>
        <v>AKTIVAN</v>
      </c>
      <c r="C690" s="302">
        <v>688</v>
      </c>
      <c r="D690" s="1">
        <v>72</v>
      </c>
      <c r="E690" t="str">
        <f>VLOOKUP(D690,POSLODAVCI!$A$2:$J$76,2,0)</f>
        <v>WMD D.O.O.</v>
      </c>
      <c r="F690" s="78">
        <f>VLOOKUP(D690,POSLODAVCI!$A$2:$J$76,3,0)</f>
        <v>79460530595</v>
      </c>
      <c r="G690" t="str">
        <f>VLOOKUP(D690,POSLODAVCI!$A$2:$J$76,4,0)</f>
        <v>ILIJA ĐIVIĆ</v>
      </c>
      <c r="H690" t="str">
        <f>VLOOKUP(D690,POSLODAVCI!$A$2:$J$107,9,0)</f>
        <v>BJELOVAR</v>
      </c>
      <c r="I690" t="str">
        <f>VLOOKUP(D690,POSLODAVCI!$A$2:$J$76,10,0)</f>
        <v>Augustina Harambašića 10</v>
      </c>
      <c r="J690" s="426" t="s">
        <v>2558</v>
      </c>
      <c r="K690" s="61">
        <v>45323</v>
      </c>
      <c r="L690" s="61"/>
      <c r="M690" s="182">
        <v>49451595841</v>
      </c>
      <c r="N690" s="16" t="s">
        <v>80</v>
      </c>
      <c r="O690" s="7">
        <v>34370</v>
      </c>
      <c r="P690" s="16"/>
      <c r="Q690" s="16" t="s">
        <v>82</v>
      </c>
      <c r="R690" s="16" t="s">
        <v>2554</v>
      </c>
      <c r="S690" s="17"/>
      <c r="T690" s="16" t="s">
        <v>2555</v>
      </c>
      <c r="U690" s="16"/>
      <c r="V690" s="16" t="s">
        <v>2556</v>
      </c>
      <c r="W690" s="16" t="s">
        <v>2556</v>
      </c>
      <c r="X690" s="56" t="s">
        <v>103</v>
      </c>
      <c r="Y690" s="7"/>
      <c r="Z690" t="s">
        <v>1817</v>
      </c>
      <c r="AA690" s="16">
        <v>40</v>
      </c>
      <c r="AB690" s="16"/>
      <c r="AC690" s="183"/>
      <c r="AD690" s="16"/>
      <c r="AE690" s="183"/>
      <c r="AF690" s="16"/>
      <c r="AG690" s="16"/>
      <c r="AH690" s="16"/>
      <c r="AI690" s="16"/>
      <c r="AJ690" s="16"/>
      <c r="AK690" s="16"/>
      <c r="AL690" s="16"/>
      <c r="AM690" s="90">
        <v>1106.9000000000001</v>
      </c>
      <c r="AN690" s="184">
        <v>1</v>
      </c>
      <c r="AO690" s="15">
        <v>1025</v>
      </c>
      <c r="AP690" s="130" t="s">
        <v>2557</v>
      </c>
      <c r="AQ690" s="16"/>
      <c r="AR690" s="16"/>
      <c r="AS690" s="16"/>
      <c r="AT690" s="16"/>
      <c r="AU690" s="16"/>
      <c r="AV690" s="16"/>
      <c r="AW690" s="7"/>
      <c r="AX690" s="16"/>
      <c r="AY690" s="16"/>
      <c r="AZ690" s="16" t="s">
        <v>374</v>
      </c>
      <c r="BA690" s="16">
        <v>2</v>
      </c>
    </row>
    <row r="691" spans="1:53" ht="15.5">
      <c r="A691" s="273">
        <v>15</v>
      </c>
      <c r="B691" s="273" t="str">
        <f t="shared" si="35"/>
        <v>AKTIVAN</v>
      </c>
      <c r="C691" s="513">
        <v>689</v>
      </c>
      <c r="D691" s="514">
        <v>73</v>
      </c>
      <c r="E691" t="str">
        <f>VLOOKUP(D691,POSLODAVCI!$A$2:$J$76,2,0)</f>
        <v>BAR KOD SUSTAVI D.O.O.</v>
      </c>
      <c r="F691" s="78">
        <f>VLOOKUP(D691,POSLODAVCI!$A$2:$J$76,3,0)</f>
        <v>63398969896</v>
      </c>
      <c r="G691" t="str">
        <f>VLOOKUP(D691,POSLODAVCI!$A$2:$J$76,4,0)</f>
        <v>KREŠIMIR SERDAR</v>
      </c>
      <c r="H691" t="str">
        <f>VLOOKUP(D691,POSLODAVCI!$A$2:$J$107,9,0)</f>
        <v>ZAGREB</v>
      </c>
      <c r="I691" t="str">
        <f>VLOOKUP(D691,POSLODAVCI!$A$2:$J$76,10,0)</f>
        <v>Ulica Zlatka Šulentića 8</v>
      </c>
      <c r="J691" s="514" t="s">
        <v>2562</v>
      </c>
      <c r="K691" s="516">
        <v>44474</v>
      </c>
      <c r="L691" s="516"/>
      <c r="M691" s="182">
        <v>54806095268</v>
      </c>
      <c r="N691" t="s">
        <v>89</v>
      </c>
      <c r="O691" s="7">
        <v>30924</v>
      </c>
      <c r="P691" t="s">
        <v>217</v>
      </c>
      <c r="Q691" t="s">
        <v>82</v>
      </c>
      <c r="R691" t="s">
        <v>2563</v>
      </c>
      <c r="T691" t="s">
        <v>247</v>
      </c>
      <c r="V691" t="s">
        <v>418</v>
      </c>
      <c r="W691" t="s">
        <v>418</v>
      </c>
      <c r="X691" s="306" t="s">
        <v>103</v>
      </c>
      <c r="Y691" s="7"/>
      <c r="Z691" t="s">
        <v>1817</v>
      </c>
      <c r="AA691">
        <v>40</v>
      </c>
      <c r="AC691" s="183"/>
      <c r="AE691" s="183"/>
      <c r="AH691" t="s">
        <v>105</v>
      </c>
      <c r="AM691" s="517">
        <v>1020</v>
      </c>
      <c r="AN691" s="184"/>
      <c r="AW691" s="7"/>
    </row>
    <row r="692" spans="1:53" ht="15.5">
      <c r="A692" s="273">
        <v>16</v>
      </c>
      <c r="B692" s="273" t="str">
        <f t="shared" si="35"/>
        <v>NEAKTIVAN</v>
      </c>
      <c r="C692" s="513">
        <v>690</v>
      </c>
      <c r="D692" s="514">
        <v>46</v>
      </c>
      <c r="E692" t="str">
        <f>VLOOKUP(D692,POSLODAVCI!$A$2:$J$76,2,0)</f>
        <v>Baranjske slastice Horvat j.d.o.o.</v>
      </c>
      <c r="F692" s="78">
        <f>VLOOKUP(D692,POSLODAVCI!$A$2:$J$76,3,0)</f>
        <v>81938384478</v>
      </c>
      <c r="G692" t="str">
        <f>VLOOKUP(D692,POSLODAVCI!$A$2:$J$76,4,0)</f>
        <v>Ilonka Horvat</v>
      </c>
      <c r="H692" t="str">
        <f>VLOOKUP(D692,POSLODAVCI!$A$2:$J$107,9,0)</f>
        <v>Suza</v>
      </c>
      <c r="I692" t="str">
        <f>VLOOKUP(D692,POSLODAVCI!$A$2:$J$76,10,0)</f>
        <v>Petefi Šandora 31</v>
      </c>
      <c r="J692" s="514" t="s">
        <v>2566</v>
      </c>
      <c r="K692" s="516">
        <v>45328</v>
      </c>
      <c r="L692" s="516">
        <v>45510</v>
      </c>
      <c r="M692" s="182">
        <v>84337433513</v>
      </c>
      <c r="N692" t="s">
        <v>89</v>
      </c>
      <c r="O692" s="7">
        <v>28499</v>
      </c>
      <c r="Q692" t="s">
        <v>82</v>
      </c>
      <c r="R692" t="s">
        <v>2567</v>
      </c>
      <c r="T692" t="s">
        <v>84</v>
      </c>
      <c r="V692" t="s">
        <v>2152</v>
      </c>
      <c r="W692" t="s">
        <v>2152</v>
      </c>
      <c r="X692" s="306" t="s">
        <v>85</v>
      </c>
      <c r="Y692" s="7">
        <v>45510</v>
      </c>
      <c r="Z692" t="s">
        <v>1817</v>
      </c>
      <c r="AA692">
        <v>40</v>
      </c>
      <c r="AC692" s="183"/>
      <c r="AE692" s="183"/>
      <c r="AM692" s="517">
        <v>840</v>
      </c>
      <c r="AN692" s="184">
        <v>1</v>
      </c>
      <c r="AO692" s="15">
        <v>640</v>
      </c>
      <c r="AW692" s="7"/>
    </row>
    <row r="693" spans="1:53" ht="15.5">
      <c r="A693" s="273">
        <v>15</v>
      </c>
      <c r="B693" s="273" t="str">
        <f t="shared" si="35"/>
        <v>NEAKTIVAN</v>
      </c>
      <c r="C693" s="513">
        <v>691</v>
      </c>
      <c r="D693" s="514">
        <v>74</v>
      </c>
      <c r="E693" t="str">
        <f>VLOOKUP(D693,POSLODAVCI!$A$2:$J$76,2,0)</f>
        <v>Auto limo-lak Amanović j.d.o.o.</v>
      </c>
      <c r="F693" s="78">
        <f>VLOOKUP(D693,POSLODAVCI!$A$2:$J$76,3,0)</f>
        <v>97882739845</v>
      </c>
      <c r="G693" t="str">
        <f>VLOOKUP(D693,POSLODAVCI!$A$2:$J$76,4,0)</f>
        <v>Matija Amanović</v>
      </c>
      <c r="H693" t="str">
        <f>VLOOKUP(D693,POSLODAVCI!$A$2:$J$107,9,0)</f>
        <v>Osijek</v>
      </c>
      <c r="I693" t="str">
        <f>VLOOKUP(D693,POSLODAVCI!$A$2:$J$76,10,0)</f>
        <v>Travna 38</v>
      </c>
      <c r="J693" s="514" t="s">
        <v>1606</v>
      </c>
      <c r="K693" s="516">
        <v>45337</v>
      </c>
      <c r="L693" s="516">
        <v>45339</v>
      </c>
      <c r="M693" s="182">
        <v>81476803276</v>
      </c>
      <c r="N693" t="s">
        <v>80</v>
      </c>
      <c r="O693" s="7">
        <v>29370</v>
      </c>
      <c r="P693" t="s">
        <v>2572</v>
      </c>
      <c r="Q693" t="s">
        <v>82</v>
      </c>
      <c r="R693" t="s">
        <v>2573</v>
      </c>
      <c r="T693" t="s">
        <v>1484</v>
      </c>
      <c r="V693" t="s">
        <v>2574</v>
      </c>
      <c r="W693" t="s">
        <v>2574</v>
      </c>
      <c r="X693" s="306" t="s">
        <v>85</v>
      </c>
      <c r="Y693" s="7">
        <v>45339</v>
      </c>
      <c r="Z693" t="s">
        <v>1817</v>
      </c>
      <c r="AA693">
        <v>40</v>
      </c>
      <c r="AC693" s="183"/>
      <c r="AE693" s="183"/>
      <c r="AH693" t="s">
        <v>829</v>
      </c>
      <c r="AM693" s="517">
        <v>840</v>
      </c>
      <c r="AN693" s="184">
        <v>1</v>
      </c>
      <c r="AO693" s="15">
        <v>640</v>
      </c>
      <c r="AW693" s="7"/>
      <c r="AZ693" t="s">
        <v>374</v>
      </c>
      <c r="BA693">
        <v>1</v>
      </c>
    </row>
    <row r="694" spans="1:53" ht="15.5">
      <c r="A694" s="273">
        <v>15</v>
      </c>
      <c r="B694" s="273" t="str">
        <f t="shared" si="35"/>
        <v>NEAKTIVAN</v>
      </c>
      <c r="C694" s="513">
        <v>692</v>
      </c>
      <c r="D694" s="514">
        <v>74</v>
      </c>
      <c r="E694" t="str">
        <f>VLOOKUP(D694,POSLODAVCI!$A$2:$J$76,2,0)</f>
        <v>Auto limo-lak Amanović j.d.o.o.</v>
      </c>
      <c r="F694" s="78">
        <f>VLOOKUP(D694,POSLODAVCI!$A$2:$J$76,3,0)</f>
        <v>97882739845</v>
      </c>
      <c r="G694" t="str">
        <f>VLOOKUP(D694,POSLODAVCI!$A$2:$J$76,4,0)</f>
        <v>Matija Amanović</v>
      </c>
      <c r="H694" t="str">
        <f>VLOOKUP(D694,POSLODAVCI!$A$2:$J$107,9,0)</f>
        <v>Osijek</v>
      </c>
      <c r="I694" t="str">
        <f>VLOOKUP(D694,POSLODAVCI!$A$2:$J$76,10,0)</f>
        <v>Travna 38</v>
      </c>
      <c r="J694" s="514" t="s">
        <v>1606</v>
      </c>
      <c r="K694" s="516">
        <v>45329</v>
      </c>
      <c r="L694" s="516">
        <v>45331</v>
      </c>
      <c r="M694" s="182">
        <v>81476803276</v>
      </c>
      <c r="N694" t="s">
        <v>80</v>
      </c>
      <c r="O694" s="7">
        <v>29371</v>
      </c>
      <c r="P694" t="s">
        <v>2572</v>
      </c>
      <c r="Q694" t="s">
        <v>82</v>
      </c>
      <c r="R694" t="s">
        <v>2573</v>
      </c>
      <c r="T694" t="s">
        <v>1484</v>
      </c>
      <c r="V694" t="s">
        <v>2574</v>
      </c>
      <c r="W694" t="s">
        <v>2574</v>
      </c>
      <c r="X694" s="306" t="s">
        <v>85</v>
      </c>
      <c r="Y694" s="7">
        <v>45331</v>
      </c>
      <c r="Z694" t="s">
        <v>1817</v>
      </c>
      <c r="AA694">
        <v>41</v>
      </c>
      <c r="AC694" s="183"/>
      <c r="AE694" s="183"/>
      <c r="AH694" t="s">
        <v>829</v>
      </c>
      <c r="AM694" s="517">
        <v>840</v>
      </c>
      <c r="AN694" s="184">
        <v>1</v>
      </c>
      <c r="AO694" s="15">
        <v>640</v>
      </c>
      <c r="AW694" s="7"/>
      <c r="AZ694" t="s">
        <v>374</v>
      </c>
      <c r="BA694">
        <v>1</v>
      </c>
    </row>
    <row r="695" spans="1:53" ht="15.5">
      <c r="A695" s="273">
        <v>15</v>
      </c>
      <c r="B695" s="273" t="str">
        <f t="shared" si="35"/>
        <v>AKTIVAN</v>
      </c>
      <c r="C695" s="513">
        <v>693</v>
      </c>
      <c r="D695" s="514">
        <v>54</v>
      </c>
      <c r="E695" t="str">
        <f>VLOOKUP(D695,POSLODAVCI!$A$2:$J$76,2,0)</f>
        <v>JUICYVAPOUR D.O.O.</v>
      </c>
      <c r="F695" s="78">
        <f>VLOOKUP(D695,POSLODAVCI!$A$2:$J$76,3,0)</f>
        <v>71914192370</v>
      </c>
      <c r="G695" t="str">
        <f>VLOOKUP(D695,POSLODAVCI!$A$2:$J$76,4,0)</f>
        <v>JOZSEF BALOG</v>
      </c>
      <c r="H695" t="str">
        <f>VLOOKUP(D695,POSLODAVCI!$A$2:$J$107,9,0)</f>
        <v>Osijek+</v>
      </c>
      <c r="I695" t="str">
        <f>VLOOKUP(D695,POSLODAVCI!$A$2:$J$76,10,0)</f>
        <v>Ribarska 10</v>
      </c>
      <c r="J695" s="514" t="s">
        <v>2575</v>
      </c>
      <c r="K695" s="516">
        <v>45341</v>
      </c>
      <c r="L695" s="516"/>
      <c r="M695" s="182">
        <v>11086033159</v>
      </c>
      <c r="N695" t="s">
        <v>80</v>
      </c>
      <c r="O695" s="7">
        <v>37425</v>
      </c>
      <c r="P695" t="s">
        <v>94</v>
      </c>
      <c r="Q695" t="s">
        <v>82</v>
      </c>
      <c r="R695" s="16" t="s">
        <v>2576</v>
      </c>
      <c r="T695" t="s">
        <v>84</v>
      </c>
      <c r="V695" t="s">
        <v>149</v>
      </c>
      <c r="W695" t="s">
        <v>149</v>
      </c>
      <c r="X695" s="306" t="s">
        <v>103</v>
      </c>
      <c r="Y695" s="7"/>
      <c r="Z695" t="s">
        <v>1817</v>
      </c>
      <c r="AA695">
        <v>40</v>
      </c>
      <c r="AB695" s="465" t="s">
        <v>2163</v>
      </c>
      <c r="AC695" s="183"/>
      <c r="AE695" s="183"/>
      <c r="AH695" s="16" t="s">
        <v>94</v>
      </c>
      <c r="AM695" s="517">
        <v>1398.44</v>
      </c>
      <c r="AN695" s="184">
        <v>1</v>
      </c>
      <c r="AO695" s="15">
        <v>1007</v>
      </c>
      <c r="AW695" s="7"/>
      <c r="AZ695" s="16" t="s">
        <v>374</v>
      </c>
      <c r="BA695">
        <v>7</v>
      </c>
    </row>
    <row r="696" spans="1:53" ht="15.5">
      <c r="A696" s="273">
        <v>15</v>
      </c>
      <c r="B696" s="273" t="str">
        <f t="shared" si="35"/>
        <v>NEAKTIVAN</v>
      </c>
      <c r="C696" s="513">
        <v>694</v>
      </c>
      <c r="D696" s="514">
        <v>36</v>
      </c>
      <c r="E696" t="str">
        <f>VLOOKUP(D696,POSLODAVCI!$A$2:$J$76,2,0)</f>
        <v>Vital Group d.o.o.</v>
      </c>
      <c r="F696" s="78">
        <f>VLOOKUP(D696,POSLODAVCI!$A$2:$J$76,3,0)</f>
        <v>45575918003</v>
      </c>
      <c r="G696" t="str">
        <f>VLOOKUP(D696,POSLODAVCI!$A$2:$J$76,4,0)</f>
        <v>Balázs Kulcsár</v>
      </c>
      <c r="H696" t="str">
        <f>VLOOKUP(D696,POSLODAVCI!$A$2:$J$107,9,0)</f>
        <v>Osijek</v>
      </c>
      <c r="I696" t="str">
        <f>VLOOKUP(D696,POSLODAVCI!$A$2:$J$76,10,0)</f>
        <v>Ribarska 10</v>
      </c>
      <c r="J696" s="534" t="s">
        <v>2578</v>
      </c>
      <c r="K696" s="535">
        <v>45323</v>
      </c>
      <c r="L696" s="535">
        <v>45401</v>
      </c>
      <c r="M696" s="182">
        <v>47640078621</v>
      </c>
      <c r="N696" t="s">
        <v>89</v>
      </c>
      <c r="O696" s="7">
        <v>37677</v>
      </c>
      <c r="Q696" t="s">
        <v>82</v>
      </c>
      <c r="R696" t="s">
        <v>2579</v>
      </c>
      <c r="T696" t="s">
        <v>84</v>
      </c>
      <c r="V696" t="s">
        <v>143</v>
      </c>
      <c r="W696" t="s">
        <v>143</v>
      </c>
      <c r="X696" s="306" t="s">
        <v>85</v>
      </c>
      <c r="Y696" s="7"/>
      <c r="Z696" t="s">
        <v>1817</v>
      </c>
      <c r="AA696">
        <v>40</v>
      </c>
      <c r="AB696" t="s">
        <v>2580</v>
      </c>
      <c r="AC696" s="183"/>
      <c r="AE696" s="183"/>
      <c r="AH696" t="s">
        <v>1871</v>
      </c>
      <c r="AM696" s="517">
        <v>840</v>
      </c>
      <c r="AN696" s="184">
        <v>1</v>
      </c>
      <c r="AO696" s="15">
        <v>640</v>
      </c>
      <c r="AW696" s="7"/>
      <c r="AZ696" t="s">
        <v>2581</v>
      </c>
      <c r="BA696">
        <v>142</v>
      </c>
    </row>
    <row r="697" spans="1:53" ht="15.5">
      <c r="A697" s="273">
        <v>15</v>
      </c>
      <c r="B697" s="273" t="str">
        <f t="shared" si="35"/>
        <v>NEAKTIVAN</v>
      </c>
      <c r="C697" s="513">
        <v>695</v>
      </c>
      <c r="D697" s="514">
        <v>36</v>
      </c>
      <c r="E697" t="str">
        <f>VLOOKUP(D697,POSLODAVCI!$A$2:$J$76,2,0)</f>
        <v>Vital Group d.o.o.</v>
      </c>
      <c r="F697" s="78">
        <f>VLOOKUP(D697,POSLODAVCI!$A$2:$J$76,3,0)</f>
        <v>45575918003</v>
      </c>
      <c r="G697" t="str">
        <f>VLOOKUP(D697,POSLODAVCI!$A$2:$J$76,4,0)</f>
        <v>Balázs Kulcsár</v>
      </c>
      <c r="H697" t="str">
        <f>VLOOKUP(D697,POSLODAVCI!$A$2:$J$107,9,0)</f>
        <v>Osijek</v>
      </c>
      <c r="I697" t="str">
        <f>VLOOKUP(D697,POSLODAVCI!$A$2:$J$76,10,0)</f>
        <v>Ribarska 10</v>
      </c>
      <c r="J697" s="534" t="s">
        <v>2582</v>
      </c>
      <c r="K697" s="535">
        <v>45323</v>
      </c>
      <c r="L697" s="535">
        <v>45401</v>
      </c>
      <c r="M697" s="182">
        <v>92281388654</v>
      </c>
      <c r="N697" t="s">
        <v>80</v>
      </c>
      <c r="O697" s="7">
        <v>38257</v>
      </c>
      <c r="Q697" t="s">
        <v>82</v>
      </c>
      <c r="R697" t="s">
        <v>2583</v>
      </c>
      <c r="T697" t="s">
        <v>84</v>
      </c>
      <c r="V697" t="s">
        <v>143</v>
      </c>
      <c r="W697" t="s">
        <v>143</v>
      </c>
      <c r="X697" s="306" t="s">
        <v>85</v>
      </c>
      <c r="Y697" s="7"/>
      <c r="Z697" t="s">
        <v>1817</v>
      </c>
      <c r="AA697">
        <v>40</v>
      </c>
      <c r="AB697" t="s">
        <v>2584</v>
      </c>
      <c r="AC697" s="183"/>
      <c r="AE697" s="183"/>
      <c r="AH697" t="s">
        <v>1871</v>
      </c>
      <c r="AM697" s="517">
        <v>840</v>
      </c>
      <c r="AN697" s="184">
        <v>1</v>
      </c>
      <c r="AO697" s="15">
        <v>640</v>
      </c>
      <c r="AW697" s="7"/>
      <c r="AZ697" t="s">
        <v>2581</v>
      </c>
      <c r="BA697">
        <v>143</v>
      </c>
    </row>
    <row r="698" spans="1:53" ht="15.5">
      <c r="A698" s="273">
        <v>15</v>
      </c>
      <c r="B698" s="273" t="str">
        <f t="shared" si="35"/>
        <v>AKTIVAN</v>
      </c>
      <c r="C698" s="513">
        <v>696</v>
      </c>
      <c r="D698" s="514">
        <v>36</v>
      </c>
      <c r="E698" t="str">
        <f>VLOOKUP(D698,POSLODAVCI!$A$2:$J$76,2,0)</f>
        <v>Vital Group d.o.o.</v>
      </c>
      <c r="F698" s="78">
        <f>VLOOKUP(D698,POSLODAVCI!$A$2:$J$76,3,0)</f>
        <v>45575918003</v>
      </c>
      <c r="G698" t="str">
        <f>VLOOKUP(D698,POSLODAVCI!$A$2:$J$76,4,0)</f>
        <v>Balázs Kulcsár</v>
      </c>
      <c r="H698" t="str">
        <f>VLOOKUP(D698,POSLODAVCI!$A$2:$J$107,9,0)</f>
        <v>Osijek</v>
      </c>
      <c r="I698" t="str">
        <f>VLOOKUP(D698,POSLODAVCI!$A$2:$J$76,10,0)</f>
        <v>Ribarska 10</v>
      </c>
      <c r="J698" s="522" t="s">
        <v>1514</v>
      </c>
      <c r="K698" s="523">
        <v>45292</v>
      </c>
      <c r="L698" s="523"/>
      <c r="M698" s="182">
        <v>4320775218</v>
      </c>
      <c r="N698" t="s">
        <v>80</v>
      </c>
      <c r="O698" s="7">
        <v>21814</v>
      </c>
      <c r="Q698" t="s">
        <v>82</v>
      </c>
      <c r="R698" t="s">
        <v>1515</v>
      </c>
      <c r="T698" t="s">
        <v>84</v>
      </c>
      <c r="V698" t="s">
        <v>143</v>
      </c>
      <c r="W698" t="s">
        <v>143</v>
      </c>
      <c r="X698" s="306" t="s">
        <v>85</v>
      </c>
      <c r="Y698" s="7"/>
      <c r="Z698" s="16" t="s">
        <v>1894</v>
      </c>
      <c r="AA698">
        <v>20</v>
      </c>
      <c r="AB698" t="s">
        <v>2585</v>
      </c>
      <c r="AC698" s="183"/>
      <c r="AE698" s="183"/>
      <c r="AM698" s="517">
        <v>840</v>
      </c>
      <c r="AN698" s="184">
        <v>1</v>
      </c>
      <c r="AO698" s="15">
        <v>640</v>
      </c>
      <c r="AW698" s="7"/>
      <c r="AZ698" t="s">
        <v>2581</v>
      </c>
      <c r="BA698">
        <v>144</v>
      </c>
    </row>
    <row r="699" spans="1:53" ht="15.5">
      <c r="A699" s="273">
        <v>15</v>
      </c>
      <c r="B699" s="273" t="str">
        <f t="shared" si="35"/>
        <v>AKTIVAN</v>
      </c>
      <c r="C699" s="513">
        <v>697</v>
      </c>
      <c r="D699" s="514">
        <v>36</v>
      </c>
      <c r="E699" t="str">
        <f>VLOOKUP(D699,POSLODAVCI!$A$2:$J$76,2,0)</f>
        <v>Vital Group d.o.o.</v>
      </c>
      <c r="F699" s="78">
        <f>VLOOKUP(D699,POSLODAVCI!$A$2:$J$76,3,0)</f>
        <v>45575918003</v>
      </c>
      <c r="G699" t="str">
        <f>VLOOKUP(D699,POSLODAVCI!$A$2:$J$76,4,0)</f>
        <v>Balázs Kulcsár</v>
      </c>
      <c r="H699" t="str">
        <f>VLOOKUP(D699,POSLODAVCI!$A$2:$J$107,9,0)</f>
        <v>Osijek</v>
      </c>
      <c r="I699" t="str">
        <f>VLOOKUP(D699,POSLODAVCI!$A$2:$J$76,10,0)</f>
        <v>Ribarska 10</v>
      </c>
      <c r="J699" s="522" t="s">
        <v>2586</v>
      </c>
      <c r="K699" s="523">
        <v>45327</v>
      </c>
      <c r="L699" s="523"/>
      <c r="M699" s="182">
        <v>4181516292</v>
      </c>
      <c r="N699" t="s">
        <v>80</v>
      </c>
      <c r="O699" s="7">
        <v>38371</v>
      </c>
      <c r="P699" t="s">
        <v>829</v>
      </c>
      <c r="Q699" t="s">
        <v>82</v>
      </c>
      <c r="R699" t="s">
        <v>2587</v>
      </c>
      <c r="T699" t="s">
        <v>84</v>
      </c>
      <c r="V699" t="s">
        <v>143</v>
      </c>
      <c r="W699" t="s">
        <v>143</v>
      </c>
      <c r="X699" s="306" t="s">
        <v>85</v>
      </c>
      <c r="Y699" s="7"/>
      <c r="Z699" t="s">
        <v>1817</v>
      </c>
      <c r="AA699">
        <v>40</v>
      </c>
      <c r="AB699" t="s">
        <v>2588</v>
      </c>
      <c r="AC699" s="183"/>
      <c r="AE699" s="183"/>
      <c r="AM699" s="517">
        <v>840</v>
      </c>
      <c r="AN699" s="184">
        <v>1</v>
      </c>
      <c r="AO699" s="15">
        <v>640</v>
      </c>
      <c r="AW699" s="7"/>
      <c r="AZ699" t="s">
        <v>2581</v>
      </c>
      <c r="BA699">
        <v>145</v>
      </c>
    </row>
    <row r="700" spans="1:53" ht="15.5">
      <c r="A700" s="273">
        <v>15</v>
      </c>
      <c r="B700" s="273" t="str">
        <f t="shared" si="35"/>
        <v>AKTIVAN</v>
      </c>
      <c r="C700" s="513">
        <v>698</v>
      </c>
      <c r="D700" s="514">
        <v>36</v>
      </c>
      <c r="E700" t="str">
        <f>VLOOKUP(D700,POSLODAVCI!$A$2:$J$76,2,0)</f>
        <v>Vital Group d.o.o.</v>
      </c>
      <c r="F700" s="78">
        <f>VLOOKUP(D700,POSLODAVCI!$A$2:$J$76,3,0)</f>
        <v>45575918003</v>
      </c>
      <c r="G700" t="str">
        <f>VLOOKUP(D700,POSLODAVCI!$A$2:$J$76,4,0)</f>
        <v>Balázs Kulcsár</v>
      </c>
      <c r="H700" t="str">
        <f>VLOOKUP(D700,POSLODAVCI!$A$2:$J$107,9,0)</f>
        <v>Osijek</v>
      </c>
      <c r="I700" t="str">
        <f>VLOOKUP(D700,POSLODAVCI!$A$2:$J$76,10,0)</f>
        <v>Ribarska 10</v>
      </c>
      <c r="J700" s="522" t="s">
        <v>2589</v>
      </c>
      <c r="K700" s="523">
        <v>45327</v>
      </c>
      <c r="L700" s="523"/>
      <c r="M700" s="182">
        <v>59597253740</v>
      </c>
      <c r="N700" t="s">
        <v>80</v>
      </c>
      <c r="O700" s="7">
        <v>33143</v>
      </c>
      <c r="Q700" t="s">
        <v>82</v>
      </c>
      <c r="R700" t="s">
        <v>2590</v>
      </c>
      <c r="T700" t="s">
        <v>84</v>
      </c>
      <c r="V700" t="s">
        <v>507</v>
      </c>
      <c r="W700" t="s">
        <v>507</v>
      </c>
      <c r="X700" s="306" t="s">
        <v>103</v>
      </c>
      <c r="Y700" s="7"/>
      <c r="Z700" t="s">
        <v>1817</v>
      </c>
      <c r="AA700">
        <v>40</v>
      </c>
      <c r="AB700" t="s">
        <v>2591</v>
      </c>
      <c r="AC700" s="183"/>
      <c r="AE700" s="183"/>
      <c r="AM700" s="517">
        <v>840</v>
      </c>
      <c r="AN700" s="184">
        <v>1</v>
      </c>
      <c r="AO700" s="15">
        <v>640</v>
      </c>
      <c r="AW700" s="7"/>
      <c r="AZ700" t="s">
        <v>2581</v>
      </c>
      <c r="BA700">
        <v>146</v>
      </c>
    </row>
    <row r="701" spans="1:53" ht="15.5">
      <c r="A701" s="273">
        <v>15</v>
      </c>
      <c r="B701" s="273" t="str">
        <f t="shared" si="35"/>
        <v>AKTIVAN</v>
      </c>
      <c r="C701" s="513">
        <v>699</v>
      </c>
      <c r="D701" s="514">
        <v>36</v>
      </c>
      <c r="E701" t="str">
        <f>VLOOKUP(D701,POSLODAVCI!$A$2:$J$76,2,0)</f>
        <v>Vital Group d.o.o.</v>
      </c>
      <c r="F701" s="78">
        <f>VLOOKUP(D701,POSLODAVCI!$A$2:$J$76,3,0)</f>
        <v>45575918003</v>
      </c>
      <c r="G701" t="str">
        <f>VLOOKUP(D701,POSLODAVCI!$A$2:$J$76,4,0)</f>
        <v>Balázs Kulcsár</v>
      </c>
      <c r="H701" t="str">
        <f>VLOOKUP(D701,POSLODAVCI!$A$2:$J$107,9,0)</f>
        <v>Osijek</v>
      </c>
      <c r="I701" t="str">
        <f>VLOOKUP(D701,POSLODAVCI!$A$2:$J$76,10,0)</f>
        <v>Ribarska 10</v>
      </c>
      <c r="J701" s="522" t="s">
        <v>2592</v>
      </c>
      <c r="K701" s="523">
        <v>45330</v>
      </c>
      <c r="L701" s="523"/>
      <c r="M701" s="182">
        <v>21934486466</v>
      </c>
      <c r="N701" t="s">
        <v>80</v>
      </c>
      <c r="O701" s="7">
        <v>36882</v>
      </c>
      <c r="Q701" t="s">
        <v>82</v>
      </c>
      <c r="R701" t="s">
        <v>2593</v>
      </c>
      <c r="T701" t="s">
        <v>84</v>
      </c>
      <c r="V701" t="s">
        <v>143</v>
      </c>
      <c r="W701" t="s">
        <v>143</v>
      </c>
      <c r="X701" s="306" t="s">
        <v>85</v>
      </c>
      <c r="Y701" s="7"/>
      <c r="Z701" t="s">
        <v>1817</v>
      </c>
      <c r="AA701">
        <v>40</v>
      </c>
      <c r="AB701" t="s">
        <v>2594</v>
      </c>
      <c r="AC701" s="183"/>
      <c r="AE701" s="183"/>
      <c r="AM701" s="517">
        <v>840</v>
      </c>
      <c r="AN701" s="184">
        <v>1</v>
      </c>
      <c r="AO701" s="15">
        <v>640</v>
      </c>
      <c r="AW701" s="7"/>
      <c r="AZ701" t="s">
        <v>2581</v>
      </c>
      <c r="BA701">
        <v>147</v>
      </c>
    </row>
    <row r="702" spans="1:53" ht="15.5">
      <c r="A702" s="273">
        <v>15</v>
      </c>
      <c r="B702" s="273" t="str">
        <f t="shared" si="35"/>
        <v>AKTIVAN</v>
      </c>
      <c r="C702" s="513">
        <v>700</v>
      </c>
      <c r="D702" s="514">
        <v>36</v>
      </c>
      <c r="E702" t="str">
        <f>VLOOKUP(D702,POSLODAVCI!$A$2:$J$76,2,0)</f>
        <v>Vital Group d.o.o.</v>
      </c>
      <c r="F702" s="78">
        <f>VLOOKUP(D702,POSLODAVCI!$A$2:$J$76,3,0)</f>
        <v>45575918003</v>
      </c>
      <c r="G702" t="str">
        <f>VLOOKUP(D702,POSLODAVCI!$A$2:$J$76,4,0)</f>
        <v>Balázs Kulcsár</v>
      </c>
      <c r="H702" t="str">
        <f>VLOOKUP(D702,POSLODAVCI!$A$2:$J$107,9,0)</f>
        <v>Osijek</v>
      </c>
      <c r="I702" t="str">
        <f>VLOOKUP(D702,POSLODAVCI!$A$2:$J$76,10,0)</f>
        <v>Ribarska 10</v>
      </c>
      <c r="J702" s="522" t="s">
        <v>2595</v>
      </c>
      <c r="K702" s="523">
        <v>45328</v>
      </c>
      <c r="L702" s="523"/>
      <c r="M702" s="182">
        <v>56757419476</v>
      </c>
      <c r="N702" t="s">
        <v>89</v>
      </c>
      <c r="O702" s="7">
        <v>37342</v>
      </c>
      <c r="Q702" t="s">
        <v>2511</v>
      </c>
      <c r="R702" t="s">
        <v>2512</v>
      </c>
      <c r="T702" t="s">
        <v>84</v>
      </c>
      <c r="V702" t="s">
        <v>1841</v>
      </c>
      <c r="W702" t="s">
        <v>1841</v>
      </c>
      <c r="X702" s="306" t="s">
        <v>85</v>
      </c>
      <c r="Y702" s="7"/>
      <c r="Z702" t="s">
        <v>1817</v>
      </c>
      <c r="AA702">
        <v>40</v>
      </c>
      <c r="AC702" s="183"/>
      <c r="AE702" s="183"/>
      <c r="AM702" s="517">
        <v>840</v>
      </c>
      <c r="AN702" s="184">
        <v>1</v>
      </c>
      <c r="AO702" s="15">
        <v>640</v>
      </c>
      <c r="AW702" s="7"/>
      <c r="AZ702" t="s">
        <v>2581</v>
      </c>
      <c r="BA702">
        <v>148</v>
      </c>
    </row>
    <row r="703" spans="1:53" ht="15.5">
      <c r="A703" s="273">
        <v>15</v>
      </c>
      <c r="B703" s="273" t="str">
        <f t="shared" si="35"/>
        <v>AKTIVAN</v>
      </c>
      <c r="C703" s="513">
        <v>701</v>
      </c>
      <c r="D703" s="514">
        <v>36</v>
      </c>
      <c r="E703" t="str">
        <f>VLOOKUP(D703,POSLODAVCI!$A$2:$J$76,2,0)</f>
        <v>Vital Group d.o.o.</v>
      </c>
      <c r="F703" s="78">
        <f>VLOOKUP(D703,POSLODAVCI!$A$2:$J$76,3,0)</f>
        <v>45575918003</v>
      </c>
      <c r="G703" t="str">
        <f>VLOOKUP(D703,POSLODAVCI!$A$2:$J$76,4,0)</f>
        <v>Balázs Kulcsár</v>
      </c>
      <c r="H703" t="str">
        <f>VLOOKUP(D703,POSLODAVCI!$A$2:$J$107,9,0)</f>
        <v>Osijek</v>
      </c>
      <c r="I703" t="str">
        <f>VLOOKUP(D703,POSLODAVCI!$A$2:$J$76,10,0)</f>
        <v>Ribarska 10</v>
      </c>
      <c r="J703" s="522" t="s">
        <v>2596</v>
      </c>
      <c r="K703" s="523">
        <v>45330</v>
      </c>
      <c r="L703" s="523"/>
      <c r="M703" s="182">
        <v>62137820828</v>
      </c>
      <c r="N703" t="s">
        <v>80</v>
      </c>
      <c r="O703" s="7">
        <v>32232</v>
      </c>
      <c r="Q703" t="s">
        <v>82</v>
      </c>
      <c r="R703" t="s">
        <v>2597</v>
      </c>
      <c r="T703" t="s">
        <v>84</v>
      </c>
      <c r="V703" t="s">
        <v>149</v>
      </c>
      <c r="W703" t="s">
        <v>149</v>
      </c>
      <c r="X703" s="306" t="s">
        <v>85</v>
      </c>
      <c r="Y703" s="7"/>
      <c r="Z703" t="s">
        <v>1817</v>
      </c>
      <c r="AA703">
        <v>40</v>
      </c>
      <c r="AB703" t="s">
        <v>2598</v>
      </c>
      <c r="AC703" s="183"/>
      <c r="AE703" s="183"/>
      <c r="AM703" s="517">
        <v>840</v>
      </c>
      <c r="AN703" s="184">
        <v>1</v>
      </c>
      <c r="AO703" s="15">
        <v>640</v>
      </c>
      <c r="AW703" s="7"/>
      <c r="AZ703" t="s">
        <v>2581</v>
      </c>
      <c r="BA703">
        <v>149</v>
      </c>
    </row>
    <row r="704" spans="1:53" ht="15.5">
      <c r="A704" s="273">
        <v>15</v>
      </c>
      <c r="B704" s="273" t="str">
        <f t="shared" si="35"/>
        <v>AKTIVAN</v>
      </c>
      <c r="C704" s="513">
        <v>702</v>
      </c>
      <c r="D704" s="514">
        <v>36</v>
      </c>
      <c r="E704" t="str">
        <f>VLOOKUP(D704,POSLODAVCI!$A$2:$J$76,2,0)</f>
        <v>Vital Group d.o.o.</v>
      </c>
      <c r="F704" s="78">
        <f>VLOOKUP(D704,POSLODAVCI!$A$2:$J$76,3,0)</f>
        <v>45575918003</v>
      </c>
      <c r="G704" t="str">
        <f>VLOOKUP(D704,POSLODAVCI!$A$2:$J$76,4,0)</f>
        <v>Balázs Kulcsár</v>
      </c>
      <c r="H704" t="str">
        <f>VLOOKUP(D704,POSLODAVCI!$A$2:$J$107,9,0)</f>
        <v>Osijek</v>
      </c>
      <c r="I704" t="str">
        <f>VLOOKUP(D704,POSLODAVCI!$A$2:$J$76,10,0)</f>
        <v>Ribarska 10</v>
      </c>
      <c r="J704" s="522" t="s">
        <v>2599</v>
      </c>
      <c r="K704" s="523">
        <v>45336</v>
      </c>
      <c r="L704" s="523"/>
      <c r="M704" s="182">
        <v>60320014810</v>
      </c>
      <c r="N704" t="s">
        <v>80</v>
      </c>
      <c r="O704" s="7">
        <v>29998</v>
      </c>
      <c r="Q704" t="s">
        <v>82</v>
      </c>
      <c r="R704" t="s">
        <v>2600</v>
      </c>
      <c r="T704" t="s">
        <v>84</v>
      </c>
      <c r="V704" t="s">
        <v>149</v>
      </c>
      <c r="W704" t="s">
        <v>149</v>
      </c>
      <c r="X704" s="306" t="s">
        <v>103</v>
      </c>
      <c r="Y704" s="7"/>
      <c r="Z704" t="s">
        <v>1817</v>
      </c>
      <c r="AA704">
        <v>40</v>
      </c>
      <c r="AB704" t="s">
        <v>2601</v>
      </c>
      <c r="AC704" s="183"/>
      <c r="AE704" s="183"/>
      <c r="AM704" s="517">
        <v>840</v>
      </c>
      <c r="AN704" s="184">
        <v>1</v>
      </c>
      <c r="AO704" s="15">
        <v>640</v>
      </c>
      <c r="AW704" s="7"/>
      <c r="AZ704" t="s">
        <v>2581</v>
      </c>
      <c r="BA704">
        <v>150</v>
      </c>
    </row>
    <row r="705" spans="1:53" ht="15.5">
      <c r="A705" s="273">
        <v>15</v>
      </c>
      <c r="B705" s="273" t="str">
        <f t="shared" si="35"/>
        <v>NEAKTIVAN</v>
      </c>
      <c r="C705" s="513">
        <v>703</v>
      </c>
      <c r="D705" s="514">
        <v>36</v>
      </c>
      <c r="E705" t="str">
        <f>VLOOKUP(D705,POSLODAVCI!$A$2:$J$76,2,0)</f>
        <v>Vital Group d.o.o.</v>
      </c>
      <c r="F705" s="78">
        <f>VLOOKUP(D705,POSLODAVCI!$A$2:$J$76,3,0)</f>
        <v>45575918003</v>
      </c>
      <c r="G705" t="str">
        <f>VLOOKUP(D705,POSLODAVCI!$A$2:$J$76,4,0)</f>
        <v>Balázs Kulcsár</v>
      </c>
      <c r="H705" t="str">
        <f>VLOOKUP(D705,POSLODAVCI!$A$2:$J$107,9,0)</f>
        <v>Osijek</v>
      </c>
      <c r="I705" t="str">
        <f>VLOOKUP(D705,POSLODAVCI!$A$2:$J$76,10,0)</f>
        <v>Ribarska 10</v>
      </c>
      <c r="J705" s="534" t="s">
        <v>2602</v>
      </c>
      <c r="K705" s="535">
        <v>45343</v>
      </c>
      <c r="L705" s="535">
        <v>45401</v>
      </c>
      <c r="M705" s="182">
        <v>23140129769</v>
      </c>
      <c r="N705" t="s">
        <v>80</v>
      </c>
      <c r="O705" s="7">
        <v>33279</v>
      </c>
      <c r="Q705" t="s">
        <v>82</v>
      </c>
      <c r="R705" t="s">
        <v>2603</v>
      </c>
      <c r="T705" t="s">
        <v>84</v>
      </c>
      <c r="V705" t="s">
        <v>143</v>
      </c>
      <c r="W705" t="s">
        <v>143</v>
      </c>
      <c r="X705" s="306" t="s">
        <v>85</v>
      </c>
      <c r="Y705" s="7"/>
      <c r="Z705" t="s">
        <v>1817</v>
      </c>
      <c r="AA705">
        <v>40</v>
      </c>
      <c r="AB705" t="s">
        <v>2604</v>
      </c>
      <c r="AC705" s="183"/>
      <c r="AE705" s="183"/>
      <c r="AM705" s="517"/>
      <c r="AN705" s="184"/>
      <c r="AW705" s="7"/>
      <c r="AZ705" t="s">
        <v>2581</v>
      </c>
      <c r="BA705">
        <v>151</v>
      </c>
    </row>
    <row r="706" spans="1:53" ht="15.5">
      <c r="A706" s="273">
        <v>15</v>
      </c>
      <c r="B706" s="273" t="str">
        <f t="shared" si="35"/>
        <v>AKTIVAN</v>
      </c>
      <c r="C706" s="513">
        <v>704</v>
      </c>
      <c r="D706" s="514">
        <v>72</v>
      </c>
      <c r="E706" t="str">
        <f>VLOOKUP(D706,POSLODAVCI!$A$2:$J$76,2,0)</f>
        <v>WMD D.O.O.</v>
      </c>
      <c r="F706" s="78">
        <f>VLOOKUP(D706,POSLODAVCI!$A$2:$J$76,3,0)</f>
        <v>79460530595</v>
      </c>
      <c r="G706" t="str">
        <f>VLOOKUP(D706,POSLODAVCI!$A$2:$J$76,4,0)</f>
        <v>ILIJA ĐIVIĆ</v>
      </c>
      <c r="H706" t="str">
        <f>VLOOKUP(D706,POSLODAVCI!$A$2:$J$107,9,0)</f>
        <v>BJELOVAR</v>
      </c>
      <c r="I706" t="str">
        <f>VLOOKUP(D706,POSLODAVCI!$A$2:$J$76,10,0)</f>
        <v>Augustina Harambašića 10</v>
      </c>
      <c r="J706" s="514" t="s">
        <v>2605</v>
      </c>
      <c r="K706" s="516">
        <v>1032024</v>
      </c>
      <c r="L706" s="516"/>
      <c r="M706" s="182">
        <v>20907741602</v>
      </c>
      <c r="N706" t="s">
        <v>89</v>
      </c>
      <c r="O706" s="7">
        <v>34966</v>
      </c>
      <c r="Q706" t="s">
        <v>82</v>
      </c>
      <c r="R706" t="s">
        <v>2606</v>
      </c>
      <c r="T706" t="s">
        <v>84</v>
      </c>
      <c r="V706" t="s">
        <v>143</v>
      </c>
      <c r="W706" t="s">
        <v>143</v>
      </c>
      <c r="X706" s="306" t="s">
        <v>103</v>
      </c>
      <c r="Y706" s="7"/>
      <c r="Z706" t="s">
        <v>1817</v>
      </c>
      <c r="AA706">
        <v>40</v>
      </c>
      <c r="AB706" t="s">
        <v>2607</v>
      </c>
      <c r="AC706" s="183"/>
      <c r="AE706" s="183"/>
      <c r="AH706" t="s">
        <v>2550</v>
      </c>
      <c r="AM706" s="517">
        <v>840</v>
      </c>
      <c r="AN706" s="184">
        <v>1</v>
      </c>
      <c r="AO706" s="15">
        <v>640</v>
      </c>
      <c r="AW706" s="7"/>
      <c r="AZ706" t="s">
        <v>374</v>
      </c>
      <c r="BA706">
        <v>3</v>
      </c>
    </row>
    <row r="707" spans="1:53" ht="15.5">
      <c r="A707" s="273">
        <v>23</v>
      </c>
      <c r="B707" s="273" t="str">
        <f t="shared" si="35"/>
        <v>NEAKTIVAN</v>
      </c>
      <c r="C707" s="513">
        <v>705</v>
      </c>
      <c r="D707" s="514">
        <v>26</v>
      </c>
      <c r="E707" t="str">
        <f>VLOOKUP(D707,POSLODAVCI!$A$2:$J$76,2,0)</f>
        <v>D-INVOICE D.O.O.</v>
      </c>
      <c r="F707" s="78">
        <f>VLOOKUP(D707,POSLODAVCI!$A$2:$J$76,3,0)</f>
        <v>95114485977</v>
      </c>
      <c r="G707" t="str">
        <f>VLOOKUP(D707,POSLODAVCI!$A$2:$J$76,4,0)</f>
        <v>LAURA GERGELJ</v>
      </c>
      <c r="H707" t="str">
        <f>VLOOKUP(D707,POSLODAVCI!$A$2:$J$107,9,0)</f>
        <v>Osijek</v>
      </c>
      <c r="I707" t="str">
        <f>VLOOKUP(D707,POSLODAVCI!$A$2:$J$76,10,0)</f>
        <v>SV.IVANA KRSTITELJA 15, DARDA</v>
      </c>
      <c r="J707" s="514" t="s">
        <v>2608</v>
      </c>
      <c r="K707" s="516">
        <v>45362</v>
      </c>
      <c r="L707" s="516">
        <v>45726</v>
      </c>
      <c r="M707" s="182">
        <v>59119928351</v>
      </c>
      <c r="N707" t="s">
        <v>80</v>
      </c>
      <c r="O707" s="7">
        <v>29405</v>
      </c>
      <c r="Q707" t="s">
        <v>2609</v>
      </c>
      <c r="R707" t="s">
        <v>2610</v>
      </c>
      <c r="T707" t="s">
        <v>111</v>
      </c>
      <c r="V707" t="s">
        <v>777</v>
      </c>
      <c r="W707" t="s">
        <v>777</v>
      </c>
      <c r="X707" s="306" t="s">
        <v>85</v>
      </c>
      <c r="Y707" s="7">
        <v>45726</v>
      </c>
      <c r="Z707" t="s">
        <v>1817</v>
      </c>
      <c r="AA707">
        <v>40</v>
      </c>
      <c r="AB707" t="s">
        <v>2611</v>
      </c>
      <c r="AC707" s="183"/>
      <c r="AE707" s="183"/>
      <c r="AH707" t="s">
        <v>81</v>
      </c>
      <c r="AM707" s="517">
        <v>1170</v>
      </c>
      <c r="AN707" s="184">
        <v>1</v>
      </c>
      <c r="AW707" s="7"/>
      <c r="AZ707" t="s">
        <v>374</v>
      </c>
      <c r="BA707">
        <v>26</v>
      </c>
    </row>
    <row r="708" spans="1:53" ht="15.5">
      <c r="A708" s="273">
        <v>15</v>
      </c>
      <c r="B708" s="273" t="str">
        <f t="shared" si="35"/>
        <v>NEAKTIVAN</v>
      </c>
      <c r="C708" s="513">
        <v>706</v>
      </c>
      <c r="D708" s="514">
        <v>69</v>
      </c>
      <c r="E708" t="str">
        <f>VLOOKUP(D708,POSLODAVCI!$A$2:$J$76,2,0)</f>
        <v>SELIM AGRO D.O.O.</v>
      </c>
      <c r="F708" s="78">
        <f>VLOOKUP(D708,POSLODAVCI!$A$2:$J$76,3,0)</f>
        <v>18471447928</v>
      </c>
      <c r="G708" t="str">
        <f>VLOOKUP(D708,POSLODAVCI!$A$2:$J$76,4,0)</f>
        <v>KAZE MD MAHEDI MENHAZ</v>
      </c>
      <c r="H708" t="str">
        <f>VLOOKUP(D708,POSLODAVCI!$A$2:$J$107,9,0)</f>
        <v>Osijek</v>
      </c>
      <c r="I708" t="str">
        <f>VLOOKUP(D708,POSLODAVCI!$A$2:$J$76,10,0)</f>
        <v>Vukovarska cesta 350, 31000 Osijek</v>
      </c>
      <c r="J708" s="514" t="s">
        <v>2612</v>
      </c>
      <c r="K708" s="516">
        <v>45372</v>
      </c>
      <c r="L708" s="516">
        <v>45412</v>
      </c>
      <c r="M708" s="137" t="s">
        <v>2613</v>
      </c>
      <c r="N708" t="s">
        <v>89</v>
      </c>
      <c r="O708" s="7">
        <v>33532</v>
      </c>
      <c r="R708" t="s">
        <v>2614</v>
      </c>
      <c r="T708" t="s">
        <v>310</v>
      </c>
      <c r="V708" t="s">
        <v>2615</v>
      </c>
      <c r="W708" t="s">
        <v>2615</v>
      </c>
      <c r="X708" s="306" t="s">
        <v>85</v>
      </c>
      <c r="Y708" s="7">
        <v>45464</v>
      </c>
      <c r="Z708" t="s">
        <v>1817</v>
      </c>
      <c r="AA708">
        <v>40</v>
      </c>
      <c r="AC708" s="183"/>
      <c r="AE708" s="183"/>
      <c r="AM708" s="517">
        <v>840</v>
      </c>
      <c r="AN708" s="184"/>
      <c r="AO708" s="15">
        <v>640</v>
      </c>
      <c r="AW708" s="7"/>
      <c r="AZ708" t="s">
        <v>374</v>
      </c>
    </row>
    <row r="709" spans="1:53" ht="15.5">
      <c r="A709" s="273">
        <v>15</v>
      </c>
      <c r="B709" s="273" t="str">
        <f t="shared" si="35"/>
        <v>NEAKTIVAN</v>
      </c>
      <c r="C709" s="513">
        <v>707</v>
      </c>
      <c r="D709" s="514">
        <v>69</v>
      </c>
      <c r="E709" t="str">
        <f>VLOOKUP(D709,POSLODAVCI!$A$2:$J$76,2,0)</f>
        <v>SELIM AGRO D.O.O.</v>
      </c>
      <c r="F709" s="78">
        <f>VLOOKUP(D709,POSLODAVCI!$A$2:$J$76,3,0)</f>
        <v>18471447928</v>
      </c>
      <c r="G709" t="str">
        <f>VLOOKUP(D709,POSLODAVCI!$A$2:$J$76,4,0)</f>
        <v>KAZE MD MAHEDI MENHAZ</v>
      </c>
      <c r="H709" t="str">
        <f>VLOOKUP(D709,POSLODAVCI!$A$2:$J$107,9,0)</f>
        <v>Osijek</v>
      </c>
      <c r="I709" t="str">
        <f>VLOOKUP(D709,POSLODAVCI!$A$2:$J$76,10,0)</f>
        <v>Vukovarska cesta 350, 31000 Osijek</v>
      </c>
      <c r="J709" s="514" t="s">
        <v>2616</v>
      </c>
      <c r="K709" s="516">
        <v>45385</v>
      </c>
      <c r="L709" s="516">
        <v>45412</v>
      </c>
      <c r="M709" s="182">
        <v>56011992980</v>
      </c>
      <c r="N709" t="s">
        <v>89</v>
      </c>
      <c r="O709" s="7">
        <v>36854</v>
      </c>
      <c r="R709" t="s">
        <v>2617</v>
      </c>
      <c r="T709" t="s">
        <v>310</v>
      </c>
      <c r="V709" t="s">
        <v>2615</v>
      </c>
      <c r="W709" t="s">
        <v>2615</v>
      </c>
      <c r="X709" s="306" t="s">
        <v>85</v>
      </c>
      <c r="Y709" s="7">
        <v>45476</v>
      </c>
      <c r="Z709" t="s">
        <v>1817</v>
      </c>
      <c r="AA709">
        <v>40</v>
      </c>
      <c r="AC709" s="183"/>
      <c r="AE709" s="183"/>
      <c r="AM709" s="517">
        <v>840</v>
      </c>
      <c r="AN709" s="184"/>
      <c r="AW709" s="7"/>
    </row>
    <row r="710" spans="1:53" ht="15.5">
      <c r="A710" s="273">
        <v>15</v>
      </c>
      <c r="B710" s="273" t="str">
        <f t="shared" si="35"/>
        <v>NEAKTIVAN</v>
      </c>
      <c r="C710" s="513">
        <v>708</v>
      </c>
      <c r="D710" s="514">
        <v>69</v>
      </c>
      <c r="E710" s="514" t="str">
        <f>VLOOKUP(D710,POSLODAVCI!$A$2:$J$76,2,0)</f>
        <v>SELIM AGRO D.O.O.</v>
      </c>
      <c r="F710" s="515">
        <f>VLOOKUP(D710,POSLODAVCI!$A$2:$J$76,3,0)</f>
        <v>18471447928</v>
      </c>
      <c r="G710" s="514" t="str">
        <f>VLOOKUP(D710,POSLODAVCI!$A$2:$J$76,4,0)</f>
        <v>KAZE MD MAHEDI MENHAZ</v>
      </c>
      <c r="H710" s="514" t="str">
        <f>VLOOKUP(D710,POSLODAVCI!$A$2:$J$107,9,0)</f>
        <v>Osijek</v>
      </c>
      <c r="I710" s="514" t="str">
        <f>VLOOKUP(D710,POSLODAVCI!$A$2:$J$76,10,0)</f>
        <v>Vukovarska cesta 350, 31000 Osijek</v>
      </c>
      <c r="J710" s="514" t="s">
        <v>2647</v>
      </c>
      <c r="K710" s="516">
        <v>45387</v>
      </c>
      <c r="L710" s="516">
        <v>45570</v>
      </c>
      <c r="M710" s="182">
        <v>78175727366</v>
      </c>
      <c r="N710" t="s">
        <v>89</v>
      </c>
      <c r="O710" s="7">
        <v>38764</v>
      </c>
      <c r="Q710" t="s">
        <v>82</v>
      </c>
      <c r="R710" t="s">
        <v>2648</v>
      </c>
      <c r="T710" t="s">
        <v>84</v>
      </c>
      <c r="V710" t="s">
        <v>149</v>
      </c>
      <c r="W710" t="s">
        <v>149</v>
      </c>
      <c r="X710" s="306" t="s">
        <v>85</v>
      </c>
      <c r="Y710" s="7"/>
      <c r="Z710" t="s">
        <v>1817</v>
      </c>
      <c r="AA710">
        <v>40</v>
      </c>
      <c r="AC710" s="183"/>
      <c r="AE710" s="183"/>
      <c r="AM710" s="517">
        <v>1121</v>
      </c>
      <c r="AN710" s="184"/>
      <c r="AW710" s="7"/>
    </row>
    <row r="711" spans="1:53" ht="15.5">
      <c r="A711" s="273">
        <v>15</v>
      </c>
      <c r="B711" s="273" t="str">
        <f t="shared" si="35"/>
        <v>NEAKTIVAN</v>
      </c>
      <c r="C711" s="513">
        <v>709</v>
      </c>
      <c r="D711" s="514">
        <v>67</v>
      </c>
      <c r="E711" t="str">
        <f>VLOOKUP(D711,POSLODAVCI!$A$2:$J$76,2,0)</f>
        <v>BB Oil d.o.o.</v>
      </c>
      <c r="F711" s="78">
        <f>VLOOKUP(D711,POSLODAVCI!$A$2:$J$76,3,0)</f>
        <v>13785058830</v>
      </c>
      <c r="G711" t="str">
        <f>VLOOKUP(D711,POSLODAVCI!$A$2:$J$76,4,0)</f>
        <v>Nikola Borojević</v>
      </c>
      <c r="H711" t="str">
        <f>VLOOKUP(D711,POSLODAVCI!$A$2:$J$107,9,0)</f>
        <v>Bijelo Brdo</v>
      </c>
      <c r="I711" t="str">
        <f>VLOOKUP(D711,POSLODAVCI!$A$2:$J$76,10,0)</f>
        <v>Ratarska 70, 31204 Bijelo Brdo</v>
      </c>
      <c r="J711" s="514" t="s">
        <v>2619</v>
      </c>
      <c r="K711" s="516">
        <v>45390</v>
      </c>
      <c r="L711" s="516">
        <v>45755</v>
      </c>
      <c r="M711" s="182">
        <v>10735902203</v>
      </c>
      <c r="N711" t="s">
        <v>80</v>
      </c>
      <c r="O711" s="7">
        <v>25295</v>
      </c>
      <c r="Q711" t="s">
        <v>82</v>
      </c>
      <c r="R711" t="s">
        <v>2621</v>
      </c>
      <c r="T711" t="s">
        <v>84</v>
      </c>
      <c r="V711" t="s">
        <v>2263</v>
      </c>
      <c r="W711" t="s">
        <v>2264</v>
      </c>
      <c r="X711" s="306" t="s">
        <v>85</v>
      </c>
      <c r="Y711" s="7"/>
      <c r="Z711" t="s">
        <v>1817</v>
      </c>
      <c r="AA711">
        <v>40</v>
      </c>
      <c r="AC711" s="183"/>
      <c r="AE711" s="183"/>
      <c r="AM711" s="517">
        <v>936</v>
      </c>
      <c r="AN711" s="184"/>
      <c r="AW711" s="7"/>
    </row>
    <row r="712" spans="1:53" ht="15.5">
      <c r="A712" s="273">
        <v>15</v>
      </c>
      <c r="B712" s="273" t="str">
        <f t="shared" si="35"/>
        <v>NEAKTIVAN</v>
      </c>
      <c r="C712" s="513">
        <v>710</v>
      </c>
      <c r="D712" s="514">
        <v>67</v>
      </c>
      <c r="E712" t="str">
        <f>VLOOKUP(D712,POSLODAVCI!$A$2:$J$76,2,0)</f>
        <v>BB Oil d.o.o.</v>
      </c>
      <c r="F712" s="78">
        <f>VLOOKUP(D712,POSLODAVCI!$A$2:$J$76,3,0)</f>
        <v>13785058830</v>
      </c>
      <c r="G712" t="str">
        <f>VLOOKUP(D712,POSLODAVCI!$A$2:$J$76,4,0)</f>
        <v>Nikola Borojević</v>
      </c>
      <c r="H712" t="str">
        <f>VLOOKUP(D712,POSLODAVCI!$A$2:$J$107,9,0)</f>
        <v>Bijelo Brdo</v>
      </c>
      <c r="I712" t="str">
        <f>VLOOKUP(D712,POSLODAVCI!$A$2:$J$76,10,0)</f>
        <v>Ratarska 70, 31204 Bijelo Brdo</v>
      </c>
      <c r="J712" s="514" t="s">
        <v>2620</v>
      </c>
      <c r="K712" s="516">
        <v>45400</v>
      </c>
      <c r="L712" s="516">
        <v>45765</v>
      </c>
      <c r="M712" s="182">
        <v>18556166616</v>
      </c>
      <c r="N712" t="s">
        <v>89</v>
      </c>
      <c r="O712" s="7">
        <v>33504</v>
      </c>
      <c r="Q712" t="s">
        <v>82</v>
      </c>
      <c r="R712" t="s">
        <v>2622</v>
      </c>
      <c r="T712" t="s">
        <v>84</v>
      </c>
      <c r="V712" t="s">
        <v>2623</v>
      </c>
      <c r="W712" t="s">
        <v>2623</v>
      </c>
      <c r="X712" s="306" t="s">
        <v>85</v>
      </c>
      <c r="Y712" s="7"/>
      <c r="Z712" t="s">
        <v>1817</v>
      </c>
      <c r="AA712">
        <v>40</v>
      </c>
      <c r="AC712" s="183"/>
      <c r="AE712" s="183"/>
      <c r="AM712" s="517">
        <v>936</v>
      </c>
      <c r="AN712" s="184"/>
      <c r="AW712" s="7"/>
    </row>
    <row r="713" spans="1:53" ht="15.5">
      <c r="A713" s="273">
        <v>1</v>
      </c>
      <c r="B713" s="273" t="str">
        <f t="shared" si="35"/>
        <v>AKTIVAN</v>
      </c>
      <c r="C713" s="513">
        <v>711</v>
      </c>
      <c r="D713" s="514">
        <v>75</v>
      </c>
      <c r="E713" s="514" t="str">
        <f>VLOOKUP(D713,POSLODAVCI!$A$2:$J$76,2,0)</f>
        <v>PORTO RUNKE j.d.o.o.</v>
      </c>
      <c r="F713" s="515">
        <f>VLOOKUP(D713,POSLODAVCI!$A$2:$J$76,3,0)</f>
        <v>72434492423</v>
      </c>
      <c r="G713" s="514" t="str">
        <f>VLOOKUP(D713,POSLODAVCI!$A$2:$J$76,4,0)</f>
        <v>Željko Stipić</v>
      </c>
      <c r="H713" s="514" t="str">
        <f>VLOOKUP(D713,POSLODAVCI!$A$2:$J$107,9,0)</f>
        <v>Pula</v>
      </c>
      <c r="I713" s="1" t="s">
        <v>2698</v>
      </c>
      <c r="J713" s="514" t="s">
        <v>2625</v>
      </c>
      <c r="K713" s="516">
        <v>45391</v>
      </c>
      <c r="L713" s="516"/>
      <c r="M713" s="182">
        <v>98757945085</v>
      </c>
      <c r="N713" t="s">
        <v>89</v>
      </c>
      <c r="O713" s="7">
        <v>33988</v>
      </c>
      <c r="Q713" t="s">
        <v>82</v>
      </c>
      <c r="R713" t="s">
        <v>2628</v>
      </c>
      <c r="T713" t="s">
        <v>84</v>
      </c>
      <c r="V713" t="s">
        <v>1538</v>
      </c>
      <c r="W713" t="s">
        <v>1538</v>
      </c>
      <c r="X713" s="306" t="s">
        <v>103</v>
      </c>
      <c r="Y713" s="7"/>
      <c r="Z713" t="s">
        <v>1817</v>
      </c>
      <c r="AA713">
        <v>40</v>
      </c>
      <c r="AC713" s="183"/>
      <c r="AE713" s="183"/>
      <c r="AM713" s="517">
        <v>1014</v>
      </c>
      <c r="AN713" s="184"/>
      <c r="AW713" s="7"/>
    </row>
    <row r="714" spans="1:53" ht="15.5">
      <c r="A714" s="273">
        <v>2</v>
      </c>
      <c r="B714" s="273" t="str">
        <f t="shared" si="35"/>
        <v>NEAKTIVAN</v>
      </c>
      <c r="C714" s="513">
        <v>712</v>
      </c>
      <c r="D714" s="514">
        <v>75</v>
      </c>
      <c r="E714" s="514" t="str">
        <f>VLOOKUP(D714,POSLODAVCI!$A$2:$J$76,2,0)</f>
        <v>PORTO RUNKE j.d.o.o.</v>
      </c>
      <c r="F714" s="515">
        <f>VLOOKUP(D714,POSLODAVCI!$A$2:$J$76,3,0)</f>
        <v>72434492423</v>
      </c>
      <c r="G714" s="514" t="str">
        <f>VLOOKUP(D714,POSLODAVCI!$A$2:$J$76,4,0)</f>
        <v>Željko Stipić</v>
      </c>
      <c r="H714" s="514" t="str">
        <f>VLOOKUP(D714,POSLODAVCI!$A$2:$J$107,9,0)</f>
        <v>Pula</v>
      </c>
      <c r="I714" s="1" t="s">
        <v>2698</v>
      </c>
      <c r="J714" s="514" t="s">
        <v>2629</v>
      </c>
      <c r="K714" s="516">
        <v>45413</v>
      </c>
      <c r="L714" s="516">
        <v>45566</v>
      </c>
      <c r="M714" s="182">
        <v>74273122978</v>
      </c>
      <c r="N714" t="s">
        <v>80</v>
      </c>
      <c r="O714" s="7">
        <v>32933</v>
      </c>
      <c r="Q714" t="s">
        <v>82</v>
      </c>
      <c r="R714" t="s">
        <v>2628</v>
      </c>
      <c r="T714" t="s">
        <v>84</v>
      </c>
      <c r="V714" t="s">
        <v>1692</v>
      </c>
      <c r="W714" t="s">
        <v>1692</v>
      </c>
      <c r="X714" s="306" t="s">
        <v>85</v>
      </c>
      <c r="Y714" s="7"/>
      <c r="Z714" t="s">
        <v>1817</v>
      </c>
      <c r="AA714">
        <v>40</v>
      </c>
      <c r="AC714" s="183"/>
      <c r="AE714" s="183"/>
      <c r="AM714" s="517">
        <v>880</v>
      </c>
      <c r="AN714" s="184"/>
      <c r="AW714" s="7"/>
    </row>
    <row r="715" spans="1:53" ht="15.5">
      <c r="A715" s="273">
        <v>3</v>
      </c>
      <c r="B715" s="273" t="str">
        <f t="shared" ref="B715:B778" si="36">IF(L715&gt;0,"NEAKTIVAN","AKTIVAN")</f>
        <v>NEAKTIVAN</v>
      </c>
      <c r="C715" s="513">
        <v>713</v>
      </c>
      <c r="D715" s="514">
        <v>75</v>
      </c>
      <c r="E715" s="514" t="str">
        <f>VLOOKUP(D715,POSLODAVCI!$A$2:$J$76,2,0)</f>
        <v>PORTO RUNKE j.d.o.o.</v>
      </c>
      <c r="F715" s="515">
        <f>VLOOKUP(D715,POSLODAVCI!$A$2:$J$76,3,0)</f>
        <v>72434492423</v>
      </c>
      <c r="G715" s="514" t="str">
        <f>VLOOKUP(D715,POSLODAVCI!$A$2:$J$76,4,0)</f>
        <v>Željko Stipić</v>
      </c>
      <c r="H715" s="514" t="str">
        <f>VLOOKUP(D715,POSLODAVCI!$A$2:$J$107,9,0)</f>
        <v>Pula</v>
      </c>
      <c r="I715" s="1" t="s">
        <v>2698</v>
      </c>
      <c r="J715" s="514" t="s">
        <v>2630</v>
      </c>
      <c r="K715" s="516">
        <v>45413</v>
      </c>
      <c r="L715" s="516">
        <v>45566</v>
      </c>
      <c r="M715" s="182">
        <v>12218997767</v>
      </c>
      <c r="N715" t="s">
        <v>80</v>
      </c>
      <c r="O715" s="7">
        <v>24572</v>
      </c>
      <c r="Q715" t="s">
        <v>82</v>
      </c>
      <c r="R715" t="s">
        <v>2628</v>
      </c>
      <c r="T715" t="s">
        <v>84</v>
      </c>
      <c r="V715" t="s">
        <v>1692</v>
      </c>
      <c r="W715" t="s">
        <v>1692</v>
      </c>
      <c r="X715" s="306" t="s">
        <v>85</v>
      </c>
      <c r="Y715" s="7"/>
      <c r="Z715" t="s">
        <v>1817</v>
      </c>
      <c r="AA715">
        <v>40</v>
      </c>
      <c r="AC715" s="183"/>
      <c r="AE715" s="183"/>
      <c r="AM715" s="517">
        <v>880</v>
      </c>
      <c r="AN715" s="184"/>
      <c r="AW715" s="7"/>
    </row>
    <row r="716" spans="1:53" ht="15.5">
      <c r="A716" s="273">
        <v>15</v>
      </c>
      <c r="B716" s="273" t="str">
        <f t="shared" si="36"/>
        <v>NEAKTIVAN</v>
      </c>
      <c r="C716" s="513">
        <v>714</v>
      </c>
      <c r="D716" s="514">
        <v>69</v>
      </c>
      <c r="E716" s="514" t="str">
        <f>VLOOKUP(D716,POSLODAVCI!$A$2:$J$76,2,0)</f>
        <v>SELIM AGRO D.O.O.</v>
      </c>
      <c r="F716" s="515">
        <f>VLOOKUP(D716,POSLODAVCI!$A$2:$J$76,3,0)</f>
        <v>18471447928</v>
      </c>
      <c r="G716" s="514" t="str">
        <f>VLOOKUP(D716,POSLODAVCI!$A$2:$J$76,4,0)</f>
        <v>KAZE MD MAHEDI MENHAZ</v>
      </c>
      <c r="H716" s="514" t="str">
        <f>VLOOKUP(D716,POSLODAVCI!$A$2:$J$107,9,0)</f>
        <v>Osijek</v>
      </c>
      <c r="I716" s="514" t="str">
        <f>VLOOKUP(D716,POSLODAVCI!$A$2:$J$76,10,0)</f>
        <v>Vukovarska cesta 350, 31000 Osijek</v>
      </c>
      <c r="J716" s="514" t="s">
        <v>2646</v>
      </c>
      <c r="K716" s="516">
        <v>45414</v>
      </c>
      <c r="L716" s="516">
        <v>45598</v>
      </c>
      <c r="M716" s="182">
        <v>10418241620</v>
      </c>
      <c r="N716" t="s">
        <v>89</v>
      </c>
      <c r="O716" s="7">
        <v>37167</v>
      </c>
      <c r="Q716" t="s">
        <v>82</v>
      </c>
      <c r="R716" t="s">
        <v>2649</v>
      </c>
      <c r="T716" t="s">
        <v>84</v>
      </c>
      <c r="V716" t="s">
        <v>393</v>
      </c>
      <c r="W716" t="s">
        <v>393</v>
      </c>
      <c r="X716" s="306" t="s">
        <v>85</v>
      </c>
      <c r="Y716" s="7"/>
      <c r="Z716" t="s">
        <v>1817</v>
      </c>
      <c r="AA716">
        <v>40</v>
      </c>
      <c r="AC716" s="183"/>
      <c r="AE716" s="183"/>
      <c r="AM716" s="517">
        <v>1121</v>
      </c>
      <c r="AN716" s="184"/>
      <c r="AW716" s="7"/>
    </row>
    <row r="717" spans="1:53" ht="15.5">
      <c r="A717" s="273">
        <v>15</v>
      </c>
      <c r="B717" s="273" t="str">
        <f t="shared" si="36"/>
        <v>NEAKTIVAN</v>
      </c>
      <c r="C717" s="513">
        <v>715</v>
      </c>
      <c r="D717" s="514">
        <v>36</v>
      </c>
      <c r="E717" t="str">
        <f>VLOOKUP(D717,POSLODAVCI!$A$2:$J$77,2,0)</f>
        <v>Vital Group d.o.o.</v>
      </c>
      <c r="F717" s="78">
        <f>VLOOKUP(D717,POSLODAVCI!$A$2:$J$77,3,0)</f>
        <v>45575918003</v>
      </c>
      <c r="G717" t="str">
        <f>VLOOKUP(D717,POSLODAVCI!$A$2:$J$77,4,0)</f>
        <v>Balázs Kulcsár</v>
      </c>
      <c r="H717" t="str">
        <f>VLOOKUP(D717,POSLODAVCI!$A$2:$J$107,9,0)</f>
        <v>Osijek</v>
      </c>
      <c r="I717" s="514" t="str">
        <f>VLOOKUP(D717,POSLODAVCI!$A$2:$J$76,10,0)</f>
        <v>Ribarska 10</v>
      </c>
      <c r="J717" s="514" t="s">
        <v>2650</v>
      </c>
      <c r="K717" s="516">
        <v>45344</v>
      </c>
      <c r="L717" s="516">
        <v>45382</v>
      </c>
      <c r="M717" s="182">
        <v>50255947716</v>
      </c>
      <c r="N717" t="s">
        <v>80</v>
      </c>
      <c r="O717" s="7">
        <v>22631</v>
      </c>
      <c r="Q717" t="s">
        <v>82</v>
      </c>
      <c r="R717" t="s">
        <v>2651</v>
      </c>
      <c r="T717" t="s">
        <v>84</v>
      </c>
      <c r="V717" t="s">
        <v>143</v>
      </c>
      <c r="W717" t="s">
        <v>143</v>
      </c>
      <c r="X717" s="306" t="s">
        <v>85</v>
      </c>
      <c r="Y717" s="7">
        <v>45382</v>
      </c>
      <c r="Z717" s="16" t="s">
        <v>1894</v>
      </c>
      <c r="AA717">
        <v>20</v>
      </c>
      <c r="AB717" t="s">
        <v>2652</v>
      </c>
      <c r="AC717" s="183"/>
      <c r="AE717" s="183"/>
      <c r="AM717" s="517">
        <v>420</v>
      </c>
      <c r="AN717" s="184">
        <v>1</v>
      </c>
      <c r="AW717" s="7"/>
      <c r="AZ717" t="s">
        <v>374</v>
      </c>
    </row>
    <row r="718" spans="1:53" ht="15.5">
      <c r="A718" s="273">
        <v>15</v>
      </c>
      <c r="B718" s="273" t="str">
        <f t="shared" si="36"/>
        <v>NEAKTIVAN</v>
      </c>
      <c r="C718" s="513">
        <v>716</v>
      </c>
      <c r="D718" s="514">
        <v>36</v>
      </c>
      <c r="E718" t="str">
        <f>VLOOKUP(D718,POSLODAVCI!$A$2:$J$77,2,0)</f>
        <v>Vital Group d.o.o.</v>
      </c>
      <c r="F718" s="78">
        <f>VLOOKUP(D718,POSLODAVCI!$A$2:$J$77,3,0)</f>
        <v>45575918003</v>
      </c>
      <c r="G718" t="str">
        <f>VLOOKUP(D718,POSLODAVCI!$A$2:$J$77,4,0)</f>
        <v>Balázs Kulcsár</v>
      </c>
      <c r="H718" t="str">
        <f>VLOOKUP(D718,POSLODAVCI!$A$2:$J$107,9,0)</f>
        <v>Osijek</v>
      </c>
      <c r="I718" s="514" t="str">
        <f>VLOOKUP(D718,POSLODAVCI!$A$2:$J$76,10,0)</f>
        <v>Ribarska 10</v>
      </c>
      <c r="J718" s="514" t="s">
        <v>2653</v>
      </c>
      <c r="K718" s="516">
        <v>45348</v>
      </c>
      <c r="L718" s="516">
        <v>45401</v>
      </c>
      <c r="M718" s="182">
        <v>53460879481</v>
      </c>
      <c r="N718" t="s">
        <v>80</v>
      </c>
      <c r="O718" s="7">
        <v>35040</v>
      </c>
      <c r="Q718" t="s">
        <v>82</v>
      </c>
      <c r="R718" t="s">
        <v>2654</v>
      </c>
      <c r="T718" t="s">
        <v>84</v>
      </c>
      <c r="V718" t="s">
        <v>143</v>
      </c>
      <c r="W718" t="s">
        <v>143</v>
      </c>
      <c r="X718" s="306" t="s">
        <v>85</v>
      </c>
      <c r="Y718" s="7">
        <v>45382</v>
      </c>
      <c r="Z718" t="s">
        <v>1817</v>
      </c>
      <c r="AA718">
        <v>40</v>
      </c>
      <c r="AB718" t="s">
        <v>2655</v>
      </c>
      <c r="AC718" s="183"/>
      <c r="AE718" s="183"/>
      <c r="AM718" s="517">
        <v>840</v>
      </c>
      <c r="AN718" s="184">
        <v>1</v>
      </c>
      <c r="AW718" s="7"/>
      <c r="AZ718" t="s">
        <v>374</v>
      </c>
    </row>
    <row r="719" spans="1:53" ht="15.5">
      <c r="A719" s="273">
        <v>15</v>
      </c>
      <c r="B719" s="273" t="str">
        <f t="shared" si="36"/>
        <v>NEAKTIVAN</v>
      </c>
      <c r="C719" s="513">
        <v>717</v>
      </c>
      <c r="D719" s="514">
        <v>36</v>
      </c>
      <c r="E719" t="str">
        <f>VLOOKUP(D719,POSLODAVCI!$A$2:$J$77,2,0)</f>
        <v>Vital Group d.o.o.</v>
      </c>
      <c r="F719" s="78">
        <f>VLOOKUP(D719,POSLODAVCI!$A$2:$J$77,3,0)</f>
        <v>45575918003</v>
      </c>
      <c r="G719" t="str">
        <f>VLOOKUP(D719,POSLODAVCI!$A$2:$J$77,4,0)</f>
        <v>Balázs Kulcsár</v>
      </c>
      <c r="H719" t="str">
        <f>VLOOKUP(D719,POSLODAVCI!$A$2:$J$107,9,0)</f>
        <v>Osijek</v>
      </c>
      <c r="I719" s="514" t="str">
        <f>VLOOKUP(D719,POSLODAVCI!$A$2:$J$76,10,0)</f>
        <v>Ribarska 10</v>
      </c>
      <c r="J719" s="514" t="s">
        <v>2656</v>
      </c>
      <c r="K719" s="516">
        <v>45352</v>
      </c>
      <c r="L719" s="516">
        <v>45717</v>
      </c>
      <c r="M719" s="182">
        <v>377458918</v>
      </c>
      <c r="N719" t="s">
        <v>89</v>
      </c>
      <c r="O719" s="7">
        <v>36615</v>
      </c>
      <c r="Q719" t="s">
        <v>2511</v>
      </c>
      <c r="R719" t="s">
        <v>2657</v>
      </c>
      <c r="T719" t="s">
        <v>84</v>
      </c>
      <c r="V719" t="s">
        <v>2658</v>
      </c>
      <c r="W719" t="s">
        <v>2658</v>
      </c>
      <c r="X719" s="306" t="s">
        <v>85</v>
      </c>
      <c r="Y719" s="7">
        <v>45717</v>
      </c>
      <c r="Z719" t="s">
        <v>1817</v>
      </c>
      <c r="AA719">
        <v>40</v>
      </c>
      <c r="AC719" s="183"/>
      <c r="AE719" s="183"/>
      <c r="AM719" s="517">
        <v>840</v>
      </c>
      <c r="AN719" s="184">
        <v>1</v>
      </c>
      <c r="AW719" s="7"/>
      <c r="AZ719" t="s">
        <v>374</v>
      </c>
    </row>
    <row r="720" spans="1:53" ht="15.5">
      <c r="A720" s="273">
        <v>15</v>
      </c>
      <c r="B720" s="273" t="str">
        <f t="shared" si="36"/>
        <v>NEAKTIVAN</v>
      </c>
      <c r="C720" s="513">
        <v>718</v>
      </c>
      <c r="D720" s="514">
        <v>36</v>
      </c>
      <c r="E720" t="str">
        <f>VLOOKUP(D720,POSLODAVCI!$A$2:$J$77,2,0)</f>
        <v>Vital Group d.o.o.</v>
      </c>
      <c r="F720" s="78">
        <f>VLOOKUP(D720,POSLODAVCI!$A$2:$J$77,3,0)</f>
        <v>45575918003</v>
      </c>
      <c r="G720" t="str">
        <f>VLOOKUP(D720,POSLODAVCI!$A$2:$J$77,4,0)</f>
        <v>Balázs Kulcsár</v>
      </c>
      <c r="H720" t="str">
        <f>VLOOKUP(D720,POSLODAVCI!$A$2:$J$107,9,0)</f>
        <v>Osijek</v>
      </c>
      <c r="I720" s="514" t="str">
        <f>VLOOKUP(D720,POSLODAVCI!$A$2:$J$76,10,0)</f>
        <v>Ribarska 10</v>
      </c>
      <c r="J720" s="514" t="s">
        <v>2659</v>
      </c>
      <c r="K720" s="516">
        <v>45352</v>
      </c>
      <c r="L720" s="516">
        <v>45717</v>
      </c>
      <c r="M720" s="182">
        <v>63786271054</v>
      </c>
      <c r="N720" t="s">
        <v>80</v>
      </c>
      <c r="O720" s="7">
        <v>33302</v>
      </c>
      <c r="Q720" t="s">
        <v>2511</v>
      </c>
      <c r="R720" t="s">
        <v>2657</v>
      </c>
      <c r="T720" t="s">
        <v>84</v>
      </c>
      <c r="V720" t="s">
        <v>2658</v>
      </c>
      <c r="W720" t="s">
        <v>2658</v>
      </c>
      <c r="X720" s="306" t="s">
        <v>85</v>
      </c>
      <c r="Y720" s="7">
        <v>45717</v>
      </c>
      <c r="Z720" t="s">
        <v>1817</v>
      </c>
      <c r="AA720">
        <v>40</v>
      </c>
      <c r="AC720" s="183"/>
      <c r="AE720" s="183"/>
      <c r="AM720" s="517">
        <v>840</v>
      </c>
      <c r="AN720" s="184">
        <v>1</v>
      </c>
      <c r="AW720" s="7"/>
      <c r="AZ720" t="s">
        <v>374</v>
      </c>
    </row>
    <row r="721" spans="1:52" ht="15.5">
      <c r="A721" s="273">
        <v>15</v>
      </c>
      <c r="B721" s="273" t="str">
        <f t="shared" si="36"/>
        <v>NEAKTIVAN</v>
      </c>
      <c r="C721" s="513">
        <v>719</v>
      </c>
      <c r="D721" s="514">
        <v>36</v>
      </c>
      <c r="E721" t="str">
        <f>VLOOKUP(D721,POSLODAVCI!$A$2:$J$77,2,0)</f>
        <v>Vital Group d.o.o.</v>
      </c>
      <c r="F721" s="78">
        <f>VLOOKUP(D721,POSLODAVCI!$A$2:$J$77,3,0)</f>
        <v>45575918003</v>
      </c>
      <c r="G721" t="str">
        <f>VLOOKUP(D721,POSLODAVCI!$A$2:$J$77,4,0)</f>
        <v>Balázs Kulcsár</v>
      </c>
      <c r="H721" t="str">
        <f>VLOOKUP(D721,POSLODAVCI!$A$2:$J$107,9,0)</f>
        <v>Osijek</v>
      </c>
      <c r="I721" s="514" t="str">
        <f>VLOOKUP(D721,POSLODAVCI!$A$2:$J$76,10,0)</f>
        <v>Ribarska 10</v>
      </c>
      <c r="J721" s="514" t="s">
        <v>2660</v>
      </c>
      <c r="K721" s="516">
        <v>45352</v>
      </c>
      <c r="L721" s="516">
        <v>45717</v>
      </c>
      <c r="M721" s="182">
        <v>161209477404</v>
      </c>
      <c r="N721" t="s">
        <v>89</v>
      </c>
      <c r="O721" s="7">
        <v>34920</v>
      </c>
      <c r="Q721" t="s">
        <v>2511</v>
      </c>
      <c r="R721" t="s">
        <v>2661</v>
      </c>
      <c r="T721" t="s">
        <v>84</v>
      </c>
      <c r="V721" t="s">
        <v>2658</v>
      </c>
      <c r="W721" t="s">
        <v>2658</v>
      </c>
      <c r="X721" s="306" t="s">
        <v>85</v>
      </c>
      <c r="Y721" s="7">
        <v>45717</v>
      </c>
      <c r="Z721" t="s">
        <v>1817</v>
      </c>
      <c r="AA721">
        <v>40</v>
      </c>
      <c r="AC721" s="183"/>
      <c r="AE721" s="183"/>
      <c r="AM721" s="517">
        <v>840</v>
      </c>
      <c r="AN721" s="184">
        <v>1</v>
      </c>
      <c r="AW721" s="7"/>
      <c r="AZ721" t="s">
        <v>374</v>
      </c>
    </row>
    <row r="722" spans="1:52" ht="15.5">
      <c r="A722" s="273">
        <v>15</v>
      </c>
      <c r="B722" s="273" t="str">
        <f t="shared" si="36"/>
        <v>NEAKTIVAN</v>
      </c>
      <c r="C722" s="513">
        <v>720</v>
      </c>
      <c r="D722" s="514">
        <v>36</v>
      </c>
      <c r="E722" t="str">
        <f>VLOOKUP(D722,POSLODAVCI!$A$2:$J$77,2,0)</f>
        <v>Vital Group d.o.o.</v>
      </c>
      <c r="F722" s="78">
        <f>VLOOKUP(D722,POSLODAVCI!$A$2:$J$77,3,0)</f>
        <v>45575918003</v>
      </c>
      <c r="G722" t="str">
        <f>VLOOKUP(D722,POSLODAVCI!$A$2:$J$77,4,0)</f>
        <v>Balázs Kulcsár</v>
      </c>
      <c r="H722" t="str">
        <f>VLOOKUP(D722,POSLODAVCI!$A$2:$J$107,9,0)</f>
        <v>Osijek</v>
      </c>
      <c r="I722" s="514" t="str">
        <f>VLOOKUP(D722,POSLODAVCI!$A$2:$J$76,10,0)</f>
        <v>Ribarska 10</v>
      </c>
      <c r="J722" s="514" t="s">
        <v>2662</v>
      </c>
      <c r="K722" s="516">
        <v>45357</v>
      </c>
      <c r="L722" s="516">
        <v>45382</v>
      </c>
      <c r="M722" s="182">
        <v>59753639793</v>
      </c>
      <c r="N722" t="s">
        <v>80</v>
      </c>
      <c r="O722" s="7">
        <v>35003</v>
      </c>
      <c r="Q722" t="s">
        <v>82</v>
      </c>
      <c r="R722" t="s">
        <v>2663</v>
      </c>
      <c r="T722" t="s">
        <v>84</v>
      </c>
      <c r="V722" t="s">
        <v>143</v>
      </c>
      <c r="W722" t="s">
        <v>143</v>
      </c>
      <c r="X722" s="306" t="s">
        <v>85</v>
      </c>
      <c r="Y722" s="7">
        <v>45382</v>
      </c>
      <c r="Z722" t="s">
        <v>1817</v>
      </c>
      <c r="AA722">
        <v>40</v>
      </c>
      <c r="AB722" t="s">
        <v>2664</v>
      </c>
      <c r="AC722" s="183"/>
      <c r="AE722" s="183"/>
      <c r="AM722" s="517">
        <v>840</v>
      </c>
      <c r="AN722" s="184">
        <v>1</v>
      </c>
      <c r="AW722" s="7"/>
      <c r="AZ722" t="s">
        <v>374</v>
      </c>
    </row>
    <row r="723" spans="1:52" ht="15.5">
      <c r="A723" s="273">
        <v>15</v>
      </c>
      <c r="B723" s="273" t="str">
        <f t="shared" si="36"/>
        <v>NEAKTIVAN</v>
      </c>
      <c r="C723" s="513">
        <v>721</v>
      </c>
      <c r="D723" s="514">
        <v>36</v>
      </c>
      <c r="E723" t="str">
        <f>VLOOKUP(D723,POSLODAVCI!$A$2:$J$77,2,0)</f>
        <v>Vital Group d.o.o.</v>
      </c>
      <c r="F723" s="78">
        <f>VLOOKUP(D723,POSLODAVCI!$A$2:$J$77,3,0)</f>
        <v>45575918003</v>
      </c>
      <c r="G723" t="str">
        <f>VLOOKUP(D723,POSLODAVCI!$A$2:$J$77,4,0)</f>
        <v>Balázs Kulcsár</v>
      </c>
      <c r="H723" t="str">
        <f>VLOOKUP(D723,POSLODAVCI!$A$2:$J$107,9,0)</f>
        <v>Osijek</v>
      </c>
      <c r="I723" s="514" t="str">
        <f>VLOOKUP(D723,POSLODAVCI!$A$2:$J$76,10,0)</f>
        <v>Ribarska 10</v>
      </c>
      <c r="J723" s="514" t="s">
        <v>2665</v>
      </c>
      <c r="K723" s="516">
        <v>45357</v>
      </c>
      <c r="L723" s="516">
        <v>45382</v>
      </c>
      <c r="M723" s="182">
        <v>40570833585</v>
      </c>
      <c r="N723" t="s">
        <v>80</v>
      </c>
      <c r="O723" s="7">
        <v>35539</v>
      </c>
      <c r="Q723" t="s">
        <v>82</v>
      </c>
      <c r="R723" t="s">
        <v>2666</v>
      </c>
      <c r="T723" t="s">
        <v>84</v>
      </c>
      <c r="V723" t="s">
        <v>143</v>
      </c>
      <c r="W723" t="s">
        <v>143</v>
      </c>
      <c r="X723" s="306" t="s">
        <v>85</v>
      </c>
      <c r="Y723" s="7">
        <v>45382</v>
      </c>
      <c r="Z723" t="s">
        <v>1817</v>
      </c>
      <c r="AA723">
        <v>40</v>
      </c>
      <c r="AB723" t="s">
        <v>2667</v>
      </c>
      <c r="AC723" s="183"/>
      <c r="AE723" s="183"/>
      <c r="AM723" s="517">
        <v>840</v>
      </c>
      <c r="AN723" s="184">
        <v>1</v>
      </c>
      <c r="AW723" s="7"/>
      <c r="AZ723" t="s">
        <v>374</v>
      </c>
    </row>
    <row r="724" spans="1:52" ht="15.5">
      <c r="A724" s="273">
        <v>15</v>
      </c>
      <c r="B724" s="273" t="str">
        <f t="shared" si="36"/>
        <v>NEAKTIVAN</v>
      </c>
      <c r="C724" s="513">
        <v>722</v>
      </c>
      <c r="D724" s="514">
        <v>36</v>
      </c>
      <c r="E724" t="str">
        <f>VLOOKUP(D724,POSLODAVCI!$A$2:$J$77,2,0)</f>
        <v>Vital Group d.o.o.</v>
      </c>
      <c r="F724" s="78">
        <f>VLOOKUP(D724,POSLODAVCI!$A$2:$J$77,3,0)</f>
        <v>45575918003</v>
      </c>
      <c r="G724" t="str">
        <f>VLOOKUP(D724,POSLODAVCI!$A$2:$J$77,4,0)</f>
        <v>Balázs Kulcsár</v>
      </c>
      <c r="H724" t="str">
        <f>VLOOKUP(D724,POSLODAVCI!$A$2:$J$107,9,0)</f>
        <v>Osijek</v>
      </c>
      <c r="I724" s="514" t="str">
        <f>VLOOKUP(D724,POSLODAVCI!$A$2:$J$76,10,0)</f>
        <v>Ribarska 10</v>
      </c>
      <c r="J724" s="514" t="s">
        <v>2668</v>
      </c>
      <c r="K724" s="516">
        <v>45369</v>
      </c>
      <c r="L724" s="516">
        <v>45412</v>
      </c>
      <c r="M724" s="182">
        <v>60991352621</v>
      </c>
      <c r="N724" t="s">
        <v>80</v>
      </c>
      <c r="O724" s="7"/>
      <c r="Q724" t="s">
        <v>82</v>
      </c>
      <c r="R724" t="s">
        <v>2669</v>
      </c>
      <c r="T724" t="s">
        <v>84</v>
      </c>
      <c r="V724" t="s">
        <v>143</v>
      </c>
      <c r="W724" t="s">
        <v>143</v>
      </c>
      <c r="X724" s="306" t="s">
        <v>85</v>
      </c>
      <c r="Y724" s="7">
        <v>45412</v>
      </c>
      <c r="Z724" t="s">
        <v>1817</v>
      </c>
      <c r="AA724">
        <v>40</v>
      </c>
      <c r="AC724" s="183"/>
      <c r="AE724" s="183"/>
      <c r="AM724" s="517">
        <v>840</v>
      </c>
      <c r="AN724" s="184">
        <v>1</v>
      </c>
      <c r="AW724" s="7"/>
      <c r="AZ724" t="s">
        <v>374</v>
      </c>
    </row>
    <row r="725" spans="1:52" ht="15.5">
      <c r="A725" s="273">
        <v>15</v>
      </c>
      <c r="B725" s="273" t="str">
        <f t="shared" si="36"/>
        <v>AKTIVAN</v>
      </c>
      <c r="C725" s="513">
        <v>723</v>
      </c>
      <c r="D725" s="514">
        <v>36</v>
      </c>
      <c r="E725" t="str">
        <f>VLOOKUP(D725,POSLODAVCI!$A$2:$J$77,2,0)</f>
        <v>Vital Group d.o.o.</v>
      </c>
      <c r="F725" s="78">
        <f>VLOOKUP(D725,POSLODAVCI!$A$2:$J$77,3,0)</f>
        <v>45575918003</v>
      </c>
      <c r="G725" t="str">
        <f>VLOOKUP(D725,POSLODAVCI!$A$2:$J$77,4,0)</f>
        <v>Balázs Kulcsár</v>
      </c>
      <c r="H725" t="str">
        <f>VLOOKUP(D725,POSLODAVCI!$A$2:$J$107,9,0)</f>
        <v>Osijek</v>
      </c>
      <c r="I725" s="514" t="str">
        <f>VLOOKUP(D725,POSLODAVCI!$A$2:$J$76,10,0)</f>
        <v>Ribarska 10</v>
      </c>
      <c r="J725" s="514" t="s">
        <v>2670</v>
      </c>
      <c r="K725" s="516">
        <v>45384</v>
      </c>
      <c r="L725" s="516"/>
      <c r="M725" s="182">
        <v>24692308356</v>
      </c>
      <c r="N725" t="s">
        <v>89</v>
      </c>
      <c r="O725" s="7">
        <v>37823</v>
      </c>
      <c r="Q725" t="s">
        <v>82</v>
      </c>
      <c r="R725" t="s">
        <v>2671</v>
      </c>
      <c r="T725" t="s">
        <v>84</v>
      </c>
      <c r="V725" t="s">
        <v>2658</v>
      </c>
      <c r="W725" t="s">
        <v>2658</v>
      </c>
      <c r="X725" s="306" t="s">
        <v>103</v>
      </c>
      <c r="Y725" s="7"/>
      <c r="Z725" t="s">
        <v>1817</v>
      </c>
      <c r="AA725">
        <v>40</v>
      </c>
      <c r="AB725" t="s">
        <v>2672</v>
      </c>
      <c r="AC725" s="183"/>
      <c r="AE725" s="183"/>
      <c r="AM725" s="517">
        <v>840</v>
      </c>
      <c r="AN725" s="184">
        <v>1</v>
      </c>
      <c r="AW725" s="7"/>
      <c r="AZ725" t="s">
        <v>374</v>
      </c>
    </row>
    <row r="726" spans="1:52" ht="15.5">
      <c r="A726" s="273">
        <v>15</v>
      </c>
      <c r="B726" s="273" t="str">
        <f t="shared" si="36"/>
        <v>AKTIVAN</v>
      </c>
      <c r="C726" s="513">
        <v>724</v>
      </c>
      <c r="D726" s="514">
        <v>36</v>
      </c>
      <c r="E726" t="str">
        <f>VLOOKUP(D726,POSLODAVCI!$A$2:$J$77,2,0)</f>
        <v>Vital Group d.o.o.</v>
      </c>
      <c r="F726" s="78">
        <f>VLOOKUP(D726,POSLODAVCI!$A$2:$J$77,3,0)</f>
        <v>45575918003</v>
      </c>
      <c r="G726" t="str">
        <f>VLOOKUP(D726,POSLODAVCI!$A$2:$J$77,4,0)</f>
        <v>Balázs Kulcsár</v>
      </c>
      <c r="H726" t="str">
        <f>VLOOKUP(D726,POSLODAVCI!$A$2:$J$107,9,0)</f>
        <v>Osijek</v>
      </c>
      <c r="I726" s="514" t="str">
        <f>VLOOKUP(D726,POSLODAVCI!$A$2:$J$76,10,0)</f>
        <v>Ribarska 10</v>
      </c>
      <c r="J726" s="514" t="s">
        <v>2673</v>
      </c>
      <c r="K726" s="516">
        <v>45384</v>
      </c>
      <c r="L726" s="516"/>
      <c r="M726" s="182">
        <v>1482323905</v>
      </c>
      <c r="N726" t="s">
        <v>80</v>
      </c>
      <c r="O726" s="7">
        <v>35810</v>
      </c>
      <c r="Q726" t="s">
        <v>82</v>
      </c>
      <c r="R726" t="s">
        <v>2674</v>
      </c>
      <c r="T726" t="s">
        <v>84</v>
      </c>
      <c r="V726" t="s">
        <v>2658</v>
      </c>
      <c r="W726" t="s">
        <v>2658</v>
      </c>
      <c r="X726" s="306" t="s">
        <v>103</v>
      </c>
      <c r="Y726" s="7"/>
      <c r="Z726" t="s">
        <v>1817</v>
      </c>
      <c r="AA726">
        <v>40</v>
      </c>
      <c r="AB726" t="s">
        <v>2675</v>
      </c>
      <c r="AC726" s="183"/>
      <c r="AE726" s="183"/>
      <c r="AM726" s="517">
        <v>840</v>
      </c>
      <c r="AN726" s="184">
        <v>1</v>
      </c>
      <c r="AW726" s="7"/>
      <c r="AZ726" t="s">
        <v>374</v>
      </c>
    </row>
    <row r="727" spans="1:52" ht="15.5">
      <c r="A727" s="273">
        <v>15</v>
      </c>
      <c r="B727" s="273" t="str">
        <f t="shared" si="36"/>
        <v>AKTIVAN</v>
      </c>
      <c r="C727" s="513">
        <v>725</v>
      </c>
      <c r="D727" s="514">
        <v>36</v>
      </c>
      <c r="E727" t="str">
        <f>VLOOKUP(D727,POSLODAVCI!$A$2:$J$77,2,0)</f>
        <v>Vital Group d.o.o.</v>
      </c>
      <c r="F727" s="78">
        <f>VLOOKUP(D727,POSLODAVCI!$A$2:$J$77,3,0)</f>
        <v>45575918003</v>
      </c>
      <c r="G727" t="str">
        <f>VLOOKUP(D727,POSLODAVCI!$A$2:$J$77,4,0)</f>
        <v>Balázs Kulcsár</v>
      </c>
      <c r="H727" t="str">
        <f>VLOOKUP(D727,POSLODAVCI!$A$2:$J$107,9,0)</f>
        <v>Osijek</v>
      </c>
      <c r="I727" s="514" t="str">
        <f>VLOOKUP(D727,POSLODAVCI!$A$2:$J$76,10,0)</f>
        <v>Ribarska 10</v>
      </c>
      <c r="J727" s="514" t="s">
        <v>2274</v>
      </c>
      <c r="K727" s="516">
        <v>45384</v>
      </c>
      <c r="L727" s="516"/>
      <c r="M727" s="182">
        <v>49549168392</v>
      </c>
      <c r="N727" t="s">
        <v>80</v>
      </c>
      <c r="O727" s="7">
        <v>27333</v>
      </c>
      <c r="Q727" t="s">
        <v>82</v>
      </c>
      <c r="R727" t="s">
        <v>2676</v>
      </c>
      <c r="T727" t="s">
        <v>84</v>
      </c>
      <c r="V727" t="s">
        <v>143</v>
      </c>
      <c r="W727" t="s">
        <v>143</v>
      </c>
      <c r="X727" s="306" t="s">
        <v>103</v>
      </c>
      <c r="Y727" s="7"/>
      <c r="Z727" t="s">
        <v>1817</v>
      </c>
      <c r="AA727">
        <v>40</v>
      </c>
      <c r="AB727" t="s">
        <v>689</v>
      </c>
      <c r="AC727" s="183"/>
      <c r="AE727" s="183"/>
      <c r="AM727" s="517">
        <v>840</v>
      </c>
      <c r="AN727" s="184">
        <v>1</v>
      </c>
      <c r="AW727" s="7"/>
      <c r="AZ727" t="s">
        <v>374</v>
      </c>
    </row>
    <row r="728" spans="1:52" ht="15.5">
      <c r="A728" s="273">
        <v>15</v>
      </c>
      <c r="B728" s="273" t="str">
        <f t="shared" si="36"/>
        <v>AKTIVAN</v>
      </c>
      <c r="C728" s="513">
        <v>726</v>
      </c>
      <c r="D728" s="514">
        <v>36</v>
      </c>
      <c r="E728" t="str">
        <f>VLOOKUP(D728,POSLODAVCI!$A$2:$J$77,2,0)</f>
        <v>Vital Group d.o.o.</v>
      </c>
      <c r="F728" s="78">
        <f>VLOOKUP(D728,POSLODAVCI!$A$2:$J$77,3,0)</f>
        <v>45575918003</v>
      </c>
      <c r="G728" t="str">
        <f>VLOOKUP(D728,POSLODAVCI!$A$2:$J$77,4,0)</f>
        <v>Balázs Kulcsár</v>
      </c>
      <c r="H728" t="str">
        <f>VLOOKUP(D728,POSLODAVCI!$A$2:$J$107,9,0)</f>
        <v>Osijek</v>
      </c>
      <c r="I728" s="514" t="str">
        <f>VLOOKUP(D728,POSLODAVCI!$A$2:$J$76,10,0)</f>
        <v>Ribarska 10</v>
      </c>
      <c r="J728" s="514" t="s">
        <v>2677</v>
      </c>
      <c r="K728" s="516">
        <v>45384</v>
      </c>
      <c r="L728" s="516"/>
      <c r="M728" s="182">
        <v>70485517857</v>
      </c>
      <c r="N728" t="s">
        <v>80</v>
      </c>
      <c r="O728" s="7">
        <v>36534</v>
      </c>
      <c r="Q728" t="s">
        <v>82</v>
      </c>
      <c r="R728" t="s">
        <v>2678</v>
      </c>
      <c r="T728" t="s">
        <v>84</v>
      </c>
      <c r="V728" t="s">
        <v>149</v>
      </c>
      <c r="W728" t="s">
        <v>149</v>
      </c>
      <c r="X728" s="306" t="s">
        <v>103</v>
      </c>
      <c r="Y728" s="7"/>
      <c r="Z728" t="s">
        <v>1817</v>
      </c>
      <c r="AA728">
        <v>40</v>
      </c>
      <c r="AB728" t="s">
        <v>2679</v>
      </c>
      <c r="AC728" s="183"/>
      <c r="AE728" s="183"/>
      <c r="AM728" s="517">
        <v>840</v>
      </c>
      <c r="AN728" s="184">
        <v>1</v>
      </c>
      <c r="AW728" s="7"/>
      <c r="AZ728" t="s">
        <v>374</v>
      </c>
    </row>
    <row r="729" spans="1:52" ht="15.5">
      <c r="A729" s="273">
        <v>15</v>
      </c>
      <c r="B729" s="273" t="str">
        <f t="shared" si="36"/>
        <v>NEAKTIVAN</v>
      </c>
      <c r="C729" s="513">
        <v>727</v>
      </c>
      <c r="D729" s="514">
        <v>36</v>
      </c>
      <c r="E729" t="str">
        <f>VLOOKUP(D729,POSLODAVCI!$A$2:$J$77,2,0)</f>
        <v>Vital Group d.o.o.</v>
      </c>
      <c r="F729" s="78">
        <f>VLOOKUP(D729,POSLODAVCI!$A$2:$J$77,3,0)</f>
        <v>45575918003</v>
      </c>
      <c r="G729" t="str">
        <f>VLOOKUP(D729,POSLODAVCI!$A$2:$J$77,4,0)</f>
        <v>Balázs Kulcsár</v>
      </c>
      <c r="H729" t="str">
        <f>VLOOKUP(D729,POSLODAVCI!$A$2:$J$107,9,0)</f>
        <v>Osijek</v>
      </c>
      <c r="I729" s="514" t="str">
        <f>VLOOKUP(D729,POSLODAVCI!$A$2:$J$76,10,0)</f>
        <v>Ribarska 10</v>
      </c>
      <c r="J729" s="514" t="s">
        <v>2680</v>
      </c>
      <c r="K729" s="516">
        <v>45384</v>
      </c>
      <c r="L729" s="516">
        <v>45401</v>
      </c>
      <c r="M729" s="182">
        <v>50566546037</v>
      </c>
      <c r="N729" t="s">
        <v>89</v>
      </c>
      <c r="O729" s="7"/>
      <c r="Q729" t="s">
        <v>82</v>
      </c>
      <c r="R729" t="s">
        <v>2681</v>
      </c>
      <c r="T729" t="s">
        <v>84</v>
      </c>
      <c r="V729" t="s">
        <v>143</v>
      </c>
      <c r="W729" t="s">
        <v>143</v>
      </c>
      <c r="X729" s="306" t="s">
        <v>103</v>
      </c>
      <c r="Y729" s="7"/>
      <c r="Z729" t="s">
        <v>1817</v>
      </c>
      <c r="AA729">
        <v>40</v>
      </c>
      <c r="AC729" s="183"/>
      <c r="AE729" s="183"/>
      <c r="AM729" s="517">
        <v>840</v>
      </c>
      <c r="AN729" s="184">
        <v>1</v>
      </c>
      <c r="AW729" s="7"/>
      <c r="AZ729" t="s">
        <v>374</v>
      </c>
    </row>
    <row r="730" spans="1:52" ht="15.5">
      <c r="A730" s="273">
        <v>15</v>
      </c>
      <c r="B730" s="273" t="str">
        <f t="shared" si="36"/>
        <v>AKTIVAN</v>
      </c>
      <c r="C730" s="513">
        <v>728</v>
      </c>
      <c r="D730" s="514">
        <v>36</v>
      </c>
      <c r="E730" t="str">
        <f>VLOOKUP(D730,POSLODAVCI!$A$2:$J$77,2,0)</f>
        <v>Vital Group d.o.o.</v>
      </c>
      <c r="F730" s="78">
        <f>VLOOKUP(D730,POSLODAVCI!$A$2:$J$77,3,0)</f>
        <v>45575918003</v>
      </c>
      <c r="G730" t="str">
        <f>VLOOKUP(D730,POSLODAVCI!$A$2:$J$77,4,0)</f>
        <v>Balázs Kulcsár</v>
      </c>
      <c r="H730" t="str">
        <f>VLOOKUP(D730,POSLODAVCI!$A$2:$J$107,9,0)</f>
        <v>Osijek</v>
      </c>
      <c r="I730" s="514" t="str">
        <f>VLOOKUP(D730,POSLODAVCI!$A$2:$J$76,10,0)</f>
        <v>Ribarska 10</v>
      </c>
      <c r="J730" s="514" t="s">
        <v>2682</v>
      </c>
      <c r="K730" s="516">
        <v>45384</v>
      </c>
      <c r="L730" s="516"/>
      <c r="M730" s="182">
        <v>95653950638</v>
      </c>
      <c r="N730" t="s">
        <v>89</v>
      </c>
      <c r="O730" s="7">
        <v>37616</v>
      </c>
      <c r="Q730" t="s">
        <v>82</v>
      </c>
      <c r="R730" t="s">
        <v>2683</v>
      </c>
      <c r="T730" t="s">
        <v>84</v>
      </c>
      <c r="V730" t="s">
        <v>2658</v>
      </c>
      <c r="W730" t="s">
        <v>2658</v>
      </c>
      <c r="X730" s="306" t="s">
        <v>103</v>
      </c>
      <c r="Y730" s="7"/>
      <c r="Z730" t="s">
        <v>1817</v>
      </c>
      <c r="AA730">
        <v>40</v>
      </c>
      <c r="AB730" t="s">
        <v>2684</v>
      </c>
      <c r="AC730" s="183"/>
      <c r="AE730" s="183"/>
      <c r="AM730" s="517">
        <v>840</v>
      </c>
      <c r="AN730" s="184">
        <v>1</v>
      </c>
      <c r="AW730" s="7"/>
      <c r="AZ730" t="s">
        <v>374</v>
      </c>
    </row>
    <row r="731" spans="1:52" ht="15.5">
      <c r="A731" s="273">
        <v>15</v>
      </c>
      <c r="B731" s="273" t="str">
        <f t="shared" si="36"/>
        <v>NEAKTIVAN</v>
      </c>
      <c r="C731" s="513">
        <v>729</v>
      </c>
      <c r="D731" s="514">
        <v>36</v>
      </c>
      <c r="E731" t="str">
        <f>VLOOKUP(D731,POSLODAVCI!$A$2:$J$77,2,0)</f>
        <v>Vital Group d.o.o.</v>
      </c>
      <c r="F731" s="78">
        <f>VLOOKUP(D731,POSLODAVCI!$A$2:$J$77,3,0)</f>
        <v>45575918003</v>
      </c>
      <c r="G731" t="str">
        <f>VLOOKUP(D731,POSLODAVCI!$A$2:$J$77,4,0)</f>
        <v>Balázs Kulcsár</v>
      </c>
      <c r="H731" t="str">
        <f>VLOOKUP(D731,POSLODAVCI!$A$2:$J$107,9,0)</f>
        <v>Osijek</v>
      </c>
      <c r="I731" s="514" t="str">
        <f>VLOOKUP(D731,POSLODAVCI!$A$2:$J$76,10,0)</f>
        <v>Ribarska 10</v>
      </c>
      <c r="J731" s="514" t="s">
        <v>2685</v>
      </c>
      <c r="K731" s="516">
        <v>45386</v>
      </c>
      <c r="L731" s="516">
        <v>45751</v>
      </c>
      <c r="M731" s="182">
        <v>54031561085</v>
      </c>
      <c r="N731" t="s">
        <v>89</v>
      </c>
      <c r="O731" s="7">
        <v>36973</v>
      </c>
      <c r="Q731" t="s">
        <v>2511</v>
      </c>
      <c r="R731" t="s">
        <v>2686</v>
      </c>
      <c r="T731" t="s">
        <v>84</v>
      </c>
      <c r="V731" t="s">
        <v>2658</v>
      </c>
      <c r="W731" t="s">
        <v>2658</v>
      </c>
      <c r="X731" s="306" t="s">
        <v>85</v>
      </c>
      <c r="Y731" s="7"/>
      <c r="Z731" t="s">
        <v>1817</v>
      </c>
      <c r="AA731">
        <v>40</v>
      </c>
      <c r="AC731" s="183"/>
      <c r="AE731" s="183"/>
      <c r="AM731" s="517">
        <v>840</v>
      </c>
      <c r="AN731" s="184">
        <v>1</v>
      </c>
      <c r="AW731" s="7"/>
      <c r="AZ731" t="s">
        <v>374</v>
      </c>
    </row>
    <row r="732" spans="1:52" ht="15.5">
      <c r="A732" s="273">
        <v>15</v>
      </c>
      <c r="B732" s="273" t="str">
        <f t="shared" si="36"/>
        <v>AKTIVAN</v>
      </c>
      <c r="C732" s="513">
        <v>730</v>
      </c>
      <c r="D732" s="514">
        <v>36</v>
      </c>
      <c r="E732" t="str">
        <f>VLOOKUP(D732,POSLODAVCI!$A$2:$J$77,2,0)</f>
        <v>Vital Group d.o.o.</v>
      </c>
      <c r="F732" s="78">
        <f>VLOOKUP(D732,POSLODAVCI!$A$2:$J$77,3,0)</f>
        <v>45575918003</v>
      </c>
      <c r="G732" t="str">
        <f>VLOOKUP(D732,POSLODAVCI!$A$2:$J$77,4,0)</f>
        <v>Balázs Kulcsár</v>
      </c>
      <c r="H732" t="str">
        <f>VLOOKUP(D732,POSLODAVCI!$A$2:$J$107,9,0)</f>
        <v>Osijek</v>
      </c>
      <c r="I732" s="514" t="str">
        <f>VLOOKUP(D732,POSLODAVCI!$A$2:$J$76,10,0)</f>
        <v>Ribarska 10</v>
      </c>
      <c r="J732" s="514" t="s">
        <v>2687</v>
      </c>
      <c r="K732" s="516">
        <v>45397</v>
      </c>
      <c r="L732" s="516"/>
      <c r="M732" s="182">
        <v>39928283497</v>
      </c>
      <c r="N732" t="s">
        <v>80</v>
      </c>
      <c r="O732" s="7">
        <v>36386</v>
      </c>
      <c r="Q732" t="s">
        <v>82</v>
      </c>
      <c r="R732" t="s">
        <v>2688</v>
      </c>
      <c r="T732" t="s">
        <v>84</v>
      </c>
      <c r="V732" t="s">
        <v>2658</v>
      </c>
      <c r="W732" t="s">
        <v>2658</v>
      </c>
      <c r="X732" s="306" t="s">
        <v>103</v>
      </c>
      <c r="Y732" s="7"/>
      <c r="Z732" t="s">
        <v>1817</v>
      </c>
      <c r="AA732">
        <v>40</v>
      </c>
      <c r="AB732" t="s">
        <v>2689</v>
      </c>
      <c r="AC732" s="183"/>
      <c r="AE732" s="183"/>
      <c r="AM732" s="517">
        <v>840</v>
      </c>
      <c r="AN732" s="184">
        <v>1</v>
      </c>
      <c r="AW732" s="7"/>
      <c r="AZ732" t="s">
        <v>374</v>
      </c>
    </row>
    <row r="733" spans="1:52" ht="15.5">
      <c r="A733" s="273">
        <v>4</v>
      </c>
      <c r="B733" s="273" t="str">
        <f t="shared" si="36"/>
        <v>NEAKTIVAN</v>
      </c>
      <c r="C733" s="513">
        <v>731</v>
      </c>
      <c r="D733" s="514">
        <v>75</v>
      </c>
      <c r="E733" t="str">
        <f>VLOOKUP(D733,POSLODAVCI!$A$2:$J$77,2,0)</f>
        <v>PORTO RUNKE j.d.o.o.</v>
      </c>
      <c r="F733" s="78">
        <f>VLOOKUP(D733,POSLODAVCI!$A$2:$J$77,3,0)</f>
        <v>72434492423</v>
      </c>
      <c r="G733" t="str">
        <f>VLOOKUP(D733,POSLODAVCI!$A$2:$J$77,4,0)</f>
        <v>Željko Stipić</v>
      </c>
      <c r="H733" t="str">
        <f>VLOOKUP(D733,POSLODAVCI!$A$2:$J$107,9,0)</f>
        <v>Pula</v>
      </c>
      <c r="I733" s="1" t="s">
        <v>2698</v>
      </c>
      <c r="J733" s="514" t="s">
        <v>2690</v>
      </c>
      <c r="K733" s="516">
        <v>45413</v>
      </c>
      <c r="L733" s="516">
        <v>45595</v>
      </c>
      <c r="M733" s="182">
        <v>86096604685</v>
      </c>
      <c r="N733" t="s">
        <v>89</v>
      </c>
      <c r="O733" s="7">
        <v>34373</v>
      </c>
      <c r="Q733" t="s">
        <v>82</v>
      </c>
      <c r="R733" t="s">
        <v>2691</v>
      </c>
      <c r="T733" t="s">
        <v>84</v>
      </c>
      <c r="V733" t="s">
        <v>2692</v>
      </c>
      <c r="W733" t="s">
        <v>2692</v>
      </c>
      <c r="X733" s="306" t="s">
        <v>85</v>
      </c>
      <c r="Y733" s="7"/>
      <c r="Z733" s="16" t="s">
        <v>1894</v>
      </c>
      <c r="AA733">
        <v>8</v>
      </c>
      <c r="AC733" s="183"/>
      <c r="AE733" s="183"/>
      <c r="AM733" s="517">
        <v>600</v>
      </c>
      <c r="AN733" s="184"/>
      <c r="AW733" s="7"/>
      <c r="AZ733" t="s">
        <v>374</v>
      </c>
    </row>
    <row r="734" spans="1:52" ht="15.5">
      <c r="A734" s="273">
        <v>5</v>
      </c>
      <c r="B734" s="273" t="str">
        <f t="shared" si="36"/>
        <v>NEAKTIVAN</v>
      </c>
      <c r="C734" s="513">
        <v>732</v>
      </c>
      <c r="D734" s="514">
        <v>75</v>
      </c>
      <c r="E734" t="str">
        <f>VLOOKUP(D734,POSLODAVCI!$A$2:$J$77,2,0)</f>
        <v>PORTO RUNKE j.d.o.o.</v>
      </c>
      <c r="F734" s="78">
        <f>VLOOKUP(D734,POSLODAVCI!$A$2:$J$77,3,0)</f>
        <v>72434492423</v>
      </c>
      <c r="G734" t="str">
        <f>VLOOKUP(D734,POSLODAVCI!$A$2:$J$77,4,0)</f>
        <v>Željko Stipić</v>
      </c>
      <c r="H734" t="str">
        <f>VLOOKUP(D734,POSLODAVCI!$A$2:$J$107,9,0)</f>
        <v>Pula</v>
      </c>
      <c r="I734" s="1" t="s">
        <v>2698</v>
      </c>
      <c r="J734" s="514" t="s">
        <v>2693</v>
      </c>
      <c r="K734" s="516">
        <v>45413</v>
      </c>
      <c r="L734" s="516">
        <v>45566</v>
      </c>
      <c r="M734" s="89" t="s">
        <v>2694</v>
      </c>
      <c r="N734" t="s">
        <v>452</v>
      </c>
      <c r="O734" s="7">
        <v>31019</v>
      </c>
      <c r="Q734" t="s">
        <v>82</v>
      </c>
      <c r="R734" t="s">
        <v>2695</v>
      </c>
      <c r="T734" t="s">
        <v>84</v>
      </c>
      <c r="V734" t="s">
        <v>2696</v>
      </c>
      <c r="W734" t="s">
        <v>2696</v>
      </c>
      <c r="X734" s="306" t="s">
        <v>85</v>
      </c>
      <c r="Y734" s="7"/>
      <c r="Z734" t="s">
        <v>1817</v>
      </c>
      <c r="AA734">
        <v>40</v>
      </c>
      <c r="AC734" s="183"/>
      <c r="AE734" s="183"/>
      <c r="AM734" s="517">
        <v>850</v>
      </c>
      <c r="AN734" s="184"/>
      <c r="AW734" s="7"/>
      <c r="AZ734" t="s">
        <v>374</v>
      </c>
    </row>
    <row r="735" spans="1:52" ht="15.5">
      <c r="A735" s="273">
        <v>24</v>
      </c>
      <c r="B735" s="273" t="str">
        <f t="shared" si="36"/>
        <v>NEAKTIVAN</v>
      </c>
      <c r="C735" s="513">
        <v>733</v>
      </c>
      <c r="D735" s="514">
        <v>26</v>
      </c>
      <c r="E735" t="str">
        <f>VLOOKUP(D735,POSLODAVCI!$A$2:$J$77,2,0)</f>
        <v>D-INVOICE D.O.O.</v>
      </c>
      <c r="F735" s="78">
        <f>VLOOKUP(D735,POSLODAVCI!$A$2:$J$77,3,0)</f>
        <v>95114485977</v>
      </c>
      <c r="G735" t="str">
        <f>VLOOKUP(D735,POSLODAVCI!$A$2:$J$77,4,0)</f>
        <v>LAURA GERGELJ</v>
      </c>
      <c r="H735" t="str">
        <f>VLOOKUP(D735,POSLODAVCI!$A$2:$J$107,9,0)</f>
        <v>Osijek</v>
      </c>
      <c r="I735" s="514" t="str">
        <f>VLOOKUP(D735,POSLODAVCI!$A$2:$J$76,10,0)</f>
        <v>SV.IVANA KRSTITELJA 15, DARDA</v>
      </c>
      <c r="J735" s="514" t="s">
        <v>2697</v>
      </c>
      <c r="K735" s="516">
        <v>45474</v>
      </c>
      <c r="L735" s="516">
        <v>45657</v>
      </c>
      <c r="M735" s="182">
        <v>59328824956</v>
      </c>
      <c r="N735" t="s">
        <v>452</v>
      </c>
      <c r="O735" s="7">
        <v>36603</v>
      </c>
      <c r="Q735" t="s">
        <v>82</v>
      </c>
      <c r="R735" s="16" t="s">
        <v>2701</v>
      </c>
      <c r="T735" s="16" t="s">
        <v>111</v>
      </c>
      <c r="V735" s="16" t="s">
        <v>1390</v>
      </c>
      <c r="W735" s="16" t="s">
        <v>1390</v>
      </c>
      <c r="X735" s="306" t="s">
        <v>103</v>
      </c>
      <c r="Y735" s="7"/>
      <c r="Z735" t="s">
        <v>1817</v>
      </c>
      <c r="AA735">
        <v>40</v>
      </c>
      <c r="AB735" t="s">
        <v>2699</v>
      </c>
      <c r="AC735" s="183"/>
      <c r="AE735" s="183"/>
      <c r="AH735" t="s">
        <v>81</v>
      </c>
      <c r="AM735" s="517">
        <v>1170</v>
      </c>
      <c r="AN735" s="184"/>
      <c r="AW735" s="7"/>
      <c r="AZ735" t="s">
        <v>374</v>
      </c>
    </row>
    <row r="736" spans="1:52" ht="15.5">
      <c r="A736" s="273">
        <v>15</v>
      </c>
      <c r="B736" s="273" t="str">
        <f t="shared" si="36"/>
        <v>AKTIVAN</v>
      </c>
      <c r="C736" s="513">
        <v>734</v>
      </c>
      <c r="D736" s="514">
        <v>70</v>
      </c>
      <c r="E736" t="str">
        <f>VLOOKUP(D736,POSLODAVCI!$A$2:$J$77,2,0)</f>
        <v>Kobac Trans d.o.o.</v>
      </c>
      <c r="F736" s="78">
        <f>VLOOKUP(D736,POSLODAVCI!$A$2:$J$77,3,0)</f>
        <v>89426776106</v>
      </c>
      <c r="G736" s="514" t="str">
        <f>VLOOKUP(D736,POSLODAVCI!$A$2:$J$76,4,0)</f>
        <v>JOZSEF BALOG</v>
      </c>
      <c r="H736" s="514" t="str">
        <f>VLOOKUP(D736,POSLODAVCI!$A$2:$J$107,9,0)</f>
        <v>OSIJEK</v>
      </c>
      <c r="I736" s="514" t="str">
        <f>VLOOKUP(D736,POSLODAVCI!$A$2:$J$76,10,0)</f>
        <v>Ribarska 10</v>
      </c>
      <c r="J736" s="1" t="s">
        <v>2500</v>
      </c>
      <c r="K736" s="516">
        <v>45444</v>
      </c>
      <c r="L736" s="516"/>
      <c r="M736" s="182">
        <v>43885343400</v>
      </c>
      <c r="N736" t="s">
        <v>452</v>
      </c>
      <c r="O736" s="7">
        <v>26627</v>
      </c>
      <c r="P736" s="16" t="s">
        <v>2498</v>
      </c>
      <c r="Q736" t="s">
        <v>82</v>
      </c>
      <c r="R736" s="16" t="s">
        <v>2499</v>
      </c>
      <c r="T736" t="s">
        <v>1484</v>
      </c>
      <c r="V736" s="16" t="s">
        <v>418</v>
      </c>
      <c r="W736" s="16" t="s">
        <v>418</v>
      </c>
      <c r="X736" s="306" t="s">
        <v>103</v>
      </c>
      <c r="Y736" s="7"/>
      <c r="Z736" t="s">
        <v>1817</v>
      </c>
      <c r="AA736">
        <v>40</v>
      </c>
      <c r="AB736" s="16" t="s">
        <v>672</v>
      </c>
      <c r="AC736" s="183"/>
      <c r="AE736" s="183"/>
      <c r="AH736" t="s">
        <v>81</v>
      </c>
      <c r="AM736" s="517">
        <v>2297.2199999999998</v>
      </c>
      <c r="AN736" s="184"/>
      <c r="AO736" s="15">
        <v>1710</v>
      </c>
      <c r="AW736" s="7"/>
      <c r="AZ736" t="s">
        <v>374</v>
      </c>
    </row>
    <row r="737" spans="1:53" ht="15.5">
      <c r="A737" s="273">
        <v>15</v>
      </c>
      <c r="B737" s="273" t="str">
        <f t="shared" si="36"/>
        <v>AKTIVAN</v>
      </c>
      <c r="C737" s="543">
        <v>735</v>
      </c>
      <c r="D737" s="544">
        <v>68</v>
      </c>
      <c r="E737" t="str">
        <f>VLOOKUP(D737,POSLODAVCI!$A$2:$J$77,2,0)</f>
        <v>Pineta 2023 d.o.o.</v>
      </c>
      <c r="F737" s="78">
        <f>VLOOKUP(D737,POSLODAVCI!$A$2:$J$77,3,0)</f>
        <v>68442072665</v>
      </c>
      <c r="G737" t="str">
        <f>VLOOKUP(D737,POSLODAVCI!$A$2:$J$77,4,0)</f>
        <v>KRISZTINA ERDÖSINÉ JAKAB</v>
      </c>
      <c r="H737" t="str">
        <f>VLOOKUP(D737,POSLODAVCI!$A$2:$J$107,9,0)</f>
        <v>Vir</v>
      </c>
      <c r="I737" t="str">
        <f>VLOOKUP(D737,POSLODAVCI!$A$2:$J$77,10,0)</f>
        <v>Ulica Borisa Krnčevića 58</v>
      </c>
      <c r="J737" s="544" t="s">
        <v>2497</v>
      </c>
      <c r="K737" s="546">
        <v>45463</v>
      </c>
      <c r="L737" s="546"/>
      <c r="M737" s="182">
        <v>87874284160</v>
      </c>
      <c r="N737" t="s">
        <v>89</v>
      </c>
      <c r="O737" s="7">
        <v>38059</v>
      </c>
      <c r="P737" t="s">
        <v>522</v>
      </c>
      <c r="Q737" t="s">
        <v>376</v>
      </c>
      <c r="T737" t="s">
        <v>84</v>
      </c>
      <c r="X737" s="306" t="s">
        <v>103</v>
      </c>
      <c r="Y737" s="7"/>
      <c r="Z737" t="s">
        <v>1817</v>
      </c>
      <c r="AA737">
        <v>40</v>
      </c>
      <c r="AB737" t="s">
        <v>2702</v>
      </c>
      <c r="AC737" s="183"/>
      <c r="AE737" s="183"/>
      <c r="AM737" s="547">
        <v>870</v>
      </c>
      <c r="AN737" s="184"/>
      <c r="AW737" s="7"/>
      <c r="AZ737" t="s">
        <v>374</v>
      </c>
    </row>
    <row r="738" spans="1:53" ht="15.5">
      <c r="A738" s="273">
        <v>15</v>
      </c>
      <c r="B738" s="273" t="str">
        <f t="shared" si="36"/>
        <v>AKTIVAN</v>
      </c>
      <c r="C738" s="543">
        <v>736</v>
      </c>
      <c r="D738" s="544">
        <v>76</v>
      </c>
      <c r="E738" s="544" t="str">
        <f>VLOOKUP(D738,POSLODAVCI!$A$2:$J$77,2,0)</f>
        <v>KREATIVNI KOLEKTIV j.d.o.o.</v>
      </c>
      <c r="F738" s="545">
        <f>VLOOKUP(D738,POSLODAVCI!$A$2:$J$77,3,0)</f>
        <v>99919586642</v>
      </c>
      <c r="G738" s="544" t="str">
        <f>VLOOKUP(D738,POSLODAVCI!$A$2:$J$77,4,0)</f>
        <v>Anton Brnečić</v>
      </c>
      <c r="H738" s="544" t="str">
        <f>VLOOKUP(D738,POSLODAVCI!$A$2:$J$107,9,0)</f>
        <v>Pula</v>
      </c>
      <c r="I738" s="544" t="str">
        <f>VLOOKUP(D738,POSLODAVCI!$A$2:$J$77,10,0)</f>
        <v>Ulica Valcereš 7, 52100 Pula</v>
      </c>
      <c r="J738" s="544" t="s">
        <v>2704</v>
      </c>
      <c r="K738" s="546">
        <v>45453</v>
      </c>
      <c r="L738" s="546"/>
      <c r="M738" s="182">
        <v>61288793042</v>
      </c>
      <c r="N738" t="s">
        <v>89</v>
      </c>
      <c r="O738" s="7">
        <v>30912</v>
      </c>
      <c r="Q738" t="s">
        <v>82</v>
      </c>
      <c r="R738" t="s">
        <v>2705</v>
      </c>
      <c r="V738" t="s">
        <v>418</v>
      </c>
      <c r="W738" t="s">
        <v>418</v>
      </c>
      <c r="X738" s="306" t="s">
        <v>103</v>
      </c>
      <c r="Y738" s="7"/>
      <c r="Z738" s="16" t="s">
        <v>1894</v>
      </c>
      <c r="AA738">
        <v>20</v>
      </c>
      <c r="AC738" s="183"/>
      <c r="AE738" s="183"/>
      <c r="AM738" s="547">
        <v>1014</v>
      </c>
      <c r="AN738" s="184"/>
      <c r="AW738" s="7"/>
      <c r="AZ738" t="s">
        <v>374</v>
      </c>
    </row>
    <row r="739" spans="1:53" ht="15.5">
      <c r="A739" s="273">
        <v>6</v>
      </c>
      <c r="B739" s="273" t="str">
        <f t="shared" si="36"/>
        <v>NEAKTIVAN</v>
      </c>
      <c r="C739" s="543">
        <v>737</v>
      </c>
      <c r="D739" s="544">
        <v>75</v>
      </c>
      <c r="E739" s="544" t="str">
        <f>VLOOKUP(D739,POSLODAVCI!$A$2:$J$77,2,0)</f>
        <v>PORTO RUNKE j.d.o.o.</v>
      </c>
      <c r="F739" s="545">
        <f>VLOOKUP(D739,POSLODAVCI!$A$2:$J$77,3,0)</f>
        <v>72434492423</v>
      </c>
      <c r="G739" s="544" t="str">
        <f>VLOOKUP(D739,POSLODAVCI!$A$2:$J$77,4,0)</f>
        <v>Željko Stipić</v>
      </c>
      <c r="H739" s="544" t="str">
        <f>VLOOKUP(D739,POSLODAVCI!$A$2:$J$107,9,0)</f>
        <v>Pula</v>
      </c>
      <c r="I739" s="1" t="s">
        <v>2698</v>
      </c>
      <c r="J739" s="544" t="s">
        <v>2707</v>
      </c>
      <c r="K739" s="546">
        <v>45481</v>
      </c>
      <c r="L739" s="546">
        <v>45566</v>
      </c>
      <c r="M739" s="182">
        <v>76170603623</v>
      </c>
      <c r="N739" t="s">
        <v>80</v>
      </c>
      <c r="O739" s="7">
        <v>27977</v>
      </c>
      <c r="Q739" t="s">
        <v>82</v>
      </c>
      <c r="R739" t="s">
        <v>2708</v>
      </c>
      <c r="T739" t="s">
        <v>1685</v>
      </c>
      <c r="W739" t="s">
        <v>2696</v>
      </c>
      <c r="X739" s="306" t="s">
        <v>85</v>
      </c>
      <c r="Y739" s="7"/>
      <c r="Z739" t="s">
        <v>1817</v>
      </c>
      <c r="AA739">
        <v>40</v>
      </c>
      <c r="AC739" s="183"/>
      <c r="AE739" s="183"/>
      <c r="AM739" s="547">
        <v>850</v>
      </c>
      <c r="AN739" s="184"/>
      <c r="AW739" s="7"/>
    </row>
    <row r="740" spans="1:53" ht="15.5">
      <c r="A740" s="273">
        <v>15</v>
      </c>
      <c r="B740" s="273" t="str">
        <f t="shared" si="36"/>
        <v>NEAKTIVAN</v>
      </c>
      <c r="C740" s="543">
        <v>738</v>
      </c>
      <c r="D740" s="544">
        <v>76</v>
      </c>
      <c r="E740" s="544" t="str">
        <f>VLOOKUP(D740,POSLODAVCI!$A$2:$J$77,2,0)</f>
        <v>KREATIVNI KOLEKTIV j.d.o.o.</v>
      </c>
      <c r="F740" s="545">
        <f>VLOOKUP(D740,POSLODAVCI!$A$2:$J$77,3,0)</f>
        <v>99919586642</v>
      </c>
      <c r="G740" s="544" t="str">
        <f>VLOOKUP(D740,POSLODAVCI!$A$2:$J$77,4,0)</f>
        <v>Anton Brnečić</v>
      </c>
      <c r="H740" s="544" t="str">
        <f>VLOOKUP(D740,POSLODAVCI!$A$2:$J$107,9,0)</f>
        <v>Pula</v>
      </c>
      <c r="I740" s="544" t="str">
        <f>VLOOKUP(D740,POSLODAVCI!$A$2:$J$77,10,0)</f>
        <v>Ulica Valcereš 7, 52100 Pula</v>
      </c>
      <c r="J740" s="544" t="s">
        <v>2709</v>
      </c>
      <c r="K740" s="546">
        <v>45488</v>
      </c>
      <c r="L740" s="546">
        <v>45505</v>
      </c>
      <c r="M740" s="182">
        <v>39564101262</v>
      </c>
      <c r="N740" t="s">
        <v>89</v>
      </c>
      <c r="O740" s="7">
        <v>28054</v>
      </c>
      <c r="Q740" t="s">
        <v>82</v>
      </c>
      <c r="R740" t="s">
        <v>2712</v>
      </c>
      <c r="T740" t="s">
        <v>84</v>
      </c>
      <c r="W740" t="s">
        <v>2692</v>
      </c>
      <c r="X740" s="306" t="s">
        <v>103</v>
      </c>
      <c r="Y740" s="7"/>
      <c r="Z740" t="s">
        <v>1817</v>
      </c>
      <c r="AA740">
        <v>40</v>
      </c>
      <c r="AC740" s="183"/>
      <c r="AE740" s="183"/>
      <c r="AM740" s="547">
        <v>850</v>
      </c>
      <c r="AN740" s="184"/>
      <c r="AW740" s="7"/>
    </row>
    <row r="741" spans="1:53" ht="15.5">
      <c r="A741" s="273">
        <v>15</v>
      </c>
      <c r="B741" s="273" t="str">
        <f t="shared" si="36"/>
        <v>NEAKTIVAN</v>
      </c>
      <c r="C741" s="543">
        <v>739</v>
      </c>
      <c r="D741" s="544">
        <v>76</v>
      </c>
      <c r="E741" s="544" t="str">
        <f>VLOOKUP(D741,POSLODAVCI!$A$2:$J$77,2,0)</f>
        <v>KREATIVNI KOLEKTIV j.d.o.o.</v>
      </c>
      <c r="F741" s="545">
        <f>VLOOKUP(D741,POSLODAVCI!$A$2:$J$77,3,0)</f>
        <v>99919586642</v>
      </c>
      <c r="G741" s="544" t="str">
        <f>VLOOKUP(D741,POSLODAVCI!$A$2:$J$77,4,0)</f>
        <v>Anton Brnečić</v>
      </c>
      <c r="H741" s="544" t="str">
        <f>VLOOKUP(D741,POSLODAVCI!$A$2:$J$107,9,0)</f>
        <v>Pula</v>
      </c>
      <c r="I741" s="544" t="str">
        <f>VLOOKUP(D741,POSLODAVCI!$A$2:$J$77,10,0)</f>
        <v>Ulica Valcereš 7, 52100 Pula</v>
      </c>
      <c r="J741" s="544" t="s">
        <v>2710</v>
      </c>
      <c r="K741" s="546">
        <v>45488</v>
      </c>
      <c r="L741" s="546">
        <v>45535</v>
      </c>
      <c r="M741" s="182">
        <v>86396837370</v>
      </c>
      <c r="N741" t="s">
        <v>89</v>
      </c>
      <c r="O741" s="7">
        <v>31614</v>
      </c>
      <c r="Q741" t="s">
        <v>82</v>
      </c>
      <c r="R741" t="s">
        <v>2711</v>
      </c>
      <c r="T741" t="s">
        <v>84</v>
      </c>
      <c r="W741" t="s">
        <v>2692</v>
      </c>
      <c r="X741" s="306" t="s">
        <v>103</v>
      </c>
      <c r="Y741" s="7"/>
      <c r="Z741" t="s">
        <v>1817</v>
      </c>
      <c r="AA741">
        <v>40</v>
      </c>
      <c r="AC741" s="183"/>
      <c r="AE741" s="183"/>
      <c r="AM741" s="547">
        <v>850</v>
      </c>
      <c r="AN741" s="184"/>
      <c r="AW741" s="7"/>
    </row>
    <row r="742" spans="1:53" ht="15.5">
      <c r="A742" s="273">
        <v>17</v>
      </c>
      <c r="B742" s="273" t="str">
        <f t="shared" si="36"/>
        <v>NEAKTIVAN</v>
      </c>
      <c r="C742" s="543">
        <v>740</v>
      </c>
      <c r="D742" s="544">
        <v>46</v>
      </c>
      <c r="E742" s="544" t="str">
        <f>VLOOKUP(D742,POSLODAVCI!$A$2:$J$77,2,0)</f>
        <v>Baranjske slastice Horvat j.d.o.o.</v>
      </c>
      <c r="F742" s="545">
        <f>VLOOKUP(D742,POSLODAVCI!$A$2:$J$77,3,0)</f>
        <v>81938384478</v>
      </c>
      <c r="G742" s="544" t="str">
        <f>VLOOKUP(D742,POSLODAVCI!$A$2:$J$77,4,0)</f>
        <v>Ilonka Horvat</v>
      </c>
      <c r="H742" s="544" t="str">
        <f>VLOOKUP(D742,POSLODAVCI!$A$2:$J$107,9,0)</f>
        <v>Suza</v>
      </c>
      <c r="I742" s="544" t="str">
        <f>VLOOKUP(D742,POSLODAVCI!$A$2:$J$77,10,0)</f>
        <v>Petefi Šandora 31</v>
      </c>
      <c r="J742" s="544" t="s">
        <v>2713</v>
      </c>
      <c r="K742" s="546">
        <v>45523</v>
      </c>
      <c r="L742" s="546">
        <v>45615</v>
      </c>
      <c r="M742" s="182">
        <v>24493217664</v>
      </c>
      <c r="N742" t="s">
        <v>80</v>
      </c>
      <c r="O742" s="7">
        <v>31391</v>
      </c>
      <c r="Q742" t="s">
        <v>82</v>
      </c>
      <c r="R742" t="s">
        <v>2714</v>
      </c>
      <c r="T742" t="s">
        <v>1484</v>
      </c>
      <c r="V742" t="s">
        <v>2715</v>
      </c>
      <c r="W742" t="s">
        <v>2715</v>
      </c>
      <c r="X742" s="306" t="s">
        <v>85</v>
      </c>
      <c r="Y742" s="7">
        <v>45615</v>
      </c>
      <c r="Z742" t="s">
        <v>1817</v>
      </c>
      <c r="AA742">
        <v>40</v>
      </c>
      <c r="AB742" t="s">
        <v>2716</v>
      </c>
      <c r="AC742" s="183"/>
      <c r="AE742" s="183"/>
      <c r="AM742" s="547">
        <v>840</v>
      </c>
      <c r="AN742" s="184">
        <v>1</v>
      </c>
      <c r="AW742" s="7"/>
    </row>
    <row r="743" spans="1:53" ht="15.5">
      <c r="A743" s="273">
        <v>18</v>
      </c>
      <c r="B743" s="273" t="str">
        <f t="shared" si="36"/>
        <v>NEAKTIVAN</v>
      </c>
      <c r="C743" s="543">
        <v>741</v>
      </c>
      <c r="D743" s="544">
        <v>46</v>
      </c>
      <c r="E743" s="544" t="str">
        <f>VLOOKUP(D743,POSLODAVCI!$A$2:$J$77,2,0)</f>
        <v>Baranjske slastice Horvat j.d.o.o.</v>
      </c>
      <c r="F743" s="545">
        <f>VLOOKUP(D743,POSLODAVCI!$A$2:$J$77,3,0)</f>
        <v>81938384478</v>
      </c>
      <c r="G743" s="544" t="str">
        <f>VLOOKUP(D743,POSLODAVCI!$A$2:$J$77,4,0)</f>
        <v>Ilonka Horvat</v>
      </c>
      <c r="H743" s="544" t="str">
        <f>VLOOKUP(D743,POSLODAVCI!$A$2:$J$107,9,0)</f>
        <v>Suza</v>
      </c>
      <c r="I743" s="544" t="str">
        <f>VLOOKUP(D743,POSLODAVCI!$A$2:$J$77,10,0)</f>
        <v>Petefi Šandora 31</v>
      </c>
      <c r="J743" s="544" t="s">
        <v>2717</v>
      </c>
      <c r="K743" s="546">
        <v>45523</v>
      </c>
      <c r="L743" s="546">
        <v>45615</v>
      </c>
      <c r="M743" s="182">
        <v>46438200238</v>
      </c>
      <c r="N743" t="s">
        <v>80</v>
      </c>
      <c r="O743" s="7">
        <v>36393</v>
      </c>
      <c r="Q743" t="s">
        <v>82</v>
      </c>
      <c r="R743" t="s">
        <v>2718</v>
      </c>
      <c r="T743" t="s">
        <v>1484</v>
      </c>
      <c r="W743" t="s">
        <v>2715</v>
      </c>
      <c r="X743" s="306" t="s">
        <v>85</v>
      </c>
      <c r="Y743" s="7">
        <v>45615</v>
      </c>
      <c r="Z743" t="s">
        <v>1817</v>
      </c>
      <c r="AA743">
        <v>40</v>
      </c>
      <c r="AB743" t="s">
        <v>2719</v>
      </c>
      <c r="AC743" s="183"/>
      <c r="AE743" s="183"/>
      <c r="AM743" s="547">
        <v>840</v>
      </c>
      <c r="AN743" s="184">
        <v>1</v>
      </c>
      <c r="AW743" s="7"/>
    </row>
    <row r="744" spans="1:53" ht="15.5">
      <c r="A744" s="273">
        <v>19</v>
      </c>
      <c r="B744" s="273" t="str">
        <f t="shared" si="36"/>
        <v>NEAKTIVAN</v>
      </c>
      <c r="C744" s="543">
        <v>742</v>
      </c>
      <c r="D744" s="544">
        <v>46</v>
      </c>
      <c r="E744" s="544" t="str">
        <f>VLOOKUP(D744,POSLODAVCI!$A$2:$J$77,2,0)</f>
        <v>Baranjske slastice Horvat j.d.o.o.</v>
      </c>
      <c r="F744" s="545">
        <f>VLOOKUP(D744,POSLODAVCI!$A$2:$J$77,3,0)</f>
        <v>81938384478</v>
      </c>
      <c r="G744" s="544" t="str">
        <f>VLOOKUP(D744,POSLODAVCI!$A$2:$J$77,4,0)</f>
        <v>Ilonka Horvat</v>
      </c>
      <c r="H744" s="544" t="str">
        <f>VLOOKUP(D744,POSLODAVCI!$A$2:$J$107,9,0)</f>
        <v>Suza</v>
      </c>
      <c r="I744" s="544" t="str">
        <f>VLOOKUP(D744,POSLODAVCI!$A$2:$J$77,10,0)</f>
        <v>Petefi Šandora 31</v>
      </c>
      <c r="J744" s="544" t="s">
        <v>2363</v>
      </c>
      <c r="K744" s="546">
        <v>45549</v>
      </c>
      <c r="L744" s="546">
        <v>45550</v>
      </c>
      <c r="M744" s="182">
        <v>92468695087</v>
      </c>
      <c r="N744" t="s">
        <v>89</v>
      </c>
      <c r="O744" s="7">
        <v>34864</v>
      </c>
      <c r="R744" t="s">
        <v>2364</v>
      </c>
      <c r="T744" t="s">
        <v>84</v>
      </c>
      <c r="V744" t="s">
        <v>393</v>
      </c>
      <c r="W744" t="s">
        <v>393</v>
      </c>
      <c r="X744" s="306" t="s">
        <v>85</v>
      </c>
      <c r="Y744" s="7">
        <v>45550</v>
      </c>
      <c r="Z744" t="s">
        <v>1817</v>
      </c>
      <c r="AA744">
        <v>40</v>
      </c>
      <c r="AC744" s="183"/>
      <c r="AE744" s="183"/>
      <c r="AM744" s="547">
        <v>840</v>
      </c>
      <c r="AN744" s="184">
        <v>1</v>
      </c>
      <c r="AW744" s="7"/>
    </row>
    <row r="745" spans="1:53" ht="15.5">
      <c r="A745" s="273">
        <v>20</v>
      </c>
      <c r="B745" s="273" t="str">
        <f t="shared" si="36"/>
        <v>NEAKTIVAN</v>
      </c>
      <c r="C745" s="543">
        <v>743</v>
      </c>
      <c r="D745" s="544">
        <v>46</v>
      </c>
      <c r="E745" t="str">
        <f>VLOOKUP(D745,POSLODAVCI!$A$2:$J$83,2,0)</f>
        <v>Baranjske slastice Horvat j.d.o.o.</v>
      </c>
      <c r="F745" s="78">
        <f>VLOOKUP(D745,POSLODAVCI!$A$2:$J$83,3,0)</f>
        <v>81938384478</v>
      </c>
      <c r="G745" t="str">
        <f>VLOOKUP(D745,POSLODAVCI!$A$2:$J$83,4,0)</f>
        <v>Ilonka Horvat</v>
      </c>
      <c r="H745" t="str">
        <f>VLOOKUP(D745,POSLODAVCI!$A$2:$J$107,9,0)</f>
        <v>Suza</v>
      </c>
      <c r="I745" t="str">
        <f>VLOOKUP(D745,POSLODAVCI!$A$2:$J$83,10,0)</f>
        <v>Petefi Šandora 31</v>
      </c>
      <c r="J745" s="544" t="s">
        <v>2720</v>
      </c>
      <c r="K745" s="546">
        <v>45549</v>
      </c>
      <c r="L745" s="546">
        <v>45550</v>
      </c>
      <c r="M745" s="182">
        <v>64265316862</v>
      </c>
      <c r="N745" t="s">
        <v>80</v>
      </c>
      <c r="O745" s="7">
        <v>24341</v>
      </c>
      <c r="P745" t="s">
        <v>2722</v>
      </c>
      <c r="Q745" t="s">
        <v>82</v>
      </c>
      <c r="R745" t="s">
        <v>2721</v>
      </c>
      <c r="T745" t="s">
        <v>84</v>
      </c>
      <c r="V745" t="s">
        <v>393</v>
      </c>
      <c r="W745" t="s">
        <v>393</v>
      </c>
      <c r="X745" s="306" t="s">
        <v>85</v>
      </c>
      <c r="Y745" s="7">
        <v>45550</v>
      </c>
      <c r="Z745" s="16" t="s">
        <v>1894</v>
      </c>
      <c r="AA745">
        <v>20</v>
      </c>
      <c r="AC745" s="183"/>
      <c r="AE745" s="183"/>
      <c r="AM745" s="547">
        <v>840</v>
      </c>
      <c r="AN745" s="184">
        <v>1</v>
      </c>
      <c r="AW745" s="7"/>
    </row>
    <row r="746" spans="1:53" ht="15.5">
      <c r="A746" s="273">
        <v>1</v>
      </c>
      <c r="B746" s="273" t="str">
        <f t="shared" si="36"/>
        <v>AKTIVAN</v>
      </c>
      <c r="C746" s="302">
        <v>744</v>
      </c>
      <c r="D746" s="1">
        <v>77</v>
      </c>
      <c r="E746" t="str">
        <f>VLOOKUP(D746,POSLODAVCI!$A$2:$J$83,2,0)</f>
        <v>ARISH J.D.O.O.</v>
      </c>
      <c r="F746" s="78">
        <f>VLOOKUP(D746,POSLODAVCI!$A$2:$J$83,3,0)</f>
        <v>71338755879</v>
      </c>
      <c r="G746" t="str">
        <f>VLOOKUP(D746,POSLODAVCI!$A$2:$J$83,4,0)</f>
        <v>KHOKON PRINCE</v>
      </c>
      <c r="H746" t="str">
        <f>VLOOKUP(D746,POSLODAVCI!$A$2:$J$107,9,0)</f>
        <v>OSIJEK</v>
      </c>
      <c r="I746" t="str">
        <f>VLOOKUP(D746,POSLODAVCI!$A$2:$J$83,10,0)</f>
        <v>Josipa Jurja Strossmayera 105A</v>
      </c>
      <c r="J746" s="1" t="s">
        <v>2647</v>
      </c>
      <c r="K746" s="61">
        <v>45566</v>
      </c>
      <c r="L746" s="61"/>
      <c r="M746" s="182">
        <v>78175127366</v>
      </c>
      <c r="N746" s="16" t="s">
        <v>89</v>
      </c>
      <c r="O746" s="7">
        <v>38764</v>
      </c>
      <c r="P746" s="16" t="s">
        <v>2724</v>
      </c>
      <c r="Q746" s="16" t="s">
        <v>82</v>
      </c>
      <c r="R746" s="16" t="s">
        <v>2725</v>
      </c>
      <c r="S746" s="17"/>
      <c r="T746" s="16" t="s">
        <v>84</v>
      </c>
      <c r="U746" s="16"/>
      <c r="V746" s="16" t="s">
        <v>2726</v>
      </c>
      <c r="W746" s="16" t="s">
        <v>93</v>
      </c>
      <c r="X746" s="56" t="s">
        <v>103</v>
      </c>
      <c r="Y746" s="7">
        <v>45566</v>
      </c>
      <c r="Z746" t="s">
        <v>1817</v>
      </c>
      <c r="AA746" s="16">
        <v>40</v>
      </c>
      <c r="AB746" s="16" t="s">
        <v>2727</v>
      </c>
      <c r="AC746" s="183"/>
      <c r="AD746" s="16"/>
      <c r="AE746" s="183"/>
      <c r="AF746" s="16"/>
      <c r="AG746" s="16"/>
      <c r="AH746" s="16"/>
      <c r="AI746" s="16"/>
      <c r="AJ746" s="16"/>
      <c r="AK746" s="16"/>
      <c r="AL746" s="16"/>
      <c r="AM746" s="90">
        <v>840</v>
      </c>
      <c r="AN746" s="184">
        <v>1</v>
      </c>
      <c r="AQ746" s="16"/>
      <c r="AR746" s="16"/>
      <c r="AS746" s="16"/>
      <c r="AT746" s="16"/>
      <c r="AU746" s="16"/>
      <c r="AV746" s="16"/>
      <c r="AW746" s="7"/>
      <c r="AX746" s="16"/>
      <c r="AY746" s="16"/>
      <c r="AZ746" s="16" t="s">
        <v>374</v>
      </c>
      <c r="BA746" s="16">
        <v>1</v>
      </c>
    </row>
    <row r="747" spans="1:53" ht="15.5">
      <c r="A747" s="273">
        <v>1</v>
      </c>
      <c r="B747" s="273" t="str">
        <f t="shared" si="36"/>
        <v>AKTIVAN</v>
      </c>
      <c r="C747" s="302">
        <v>745</v>
      </c>
      <c r="D747" s="1">
        <v>78</v>
      </c>
      <c r="E747" t="str">
        <f>VLOOKUP(D747,POSLODAVCI!$A$2:$J$83,2,0)</f>
        <v>KHOKON J.D.O.O.</v>
      </c>
      <c r="F747" s="78">
        <f>VLOOKUP(D747,POSLODAVCI!$A$2:$J$83,3,0)</f>
        <v>66801939221</v>
      </c>
      <c r="G747" t="str">
        <f>VLOOKUP(D747,POSLODAVCI!$A$2:$J$83,4,0)</f>
        <v>KHOKON PRINCE</v>
      </c>
      <c r="H747" t="str">
        <f>VLOOKUP(D747,POSLODAVCI!$A$2:$J$107,9,0)</f>
        <v>OSIJEK</v>
      </c>
      <c r="I747" t="str">
        <f>VLOOKUP(D747,POSLODAVCI!$A$2:$J$83,10,0)</f>
        <v>Josipa Jurja Strossmayera 105A</v>
      </c>
      <c r="J747" s="1" t="s">
        <v>2728</v>
      </c>
      <c r="K747" s="61">
        <v>45566</v>
      </c>
      <c r="L747" s="61"/>
      <c r="M747" s="185">
        <v>66801939221</v>
      </c>
      <c r="N747" s="16" t="s">
        <v>89</v>
      </c>
      <c r="O747" s="7">
        <v>44472</v>
      </c>
      <c r="P747" s="16" t="s">
        <v>294</v>
      </c>
      <c r="Q747" s="16" t="s">
        <v>82</v>
      </c>
      <c r="R747" s="16" t="s">
        <v>2729</v>
      </c>
      <c r="S747" s="17"/>
      <c r="T747" s="16" t="s">
        <v>84</v>
      </c>
      <c r="U747" s="16"/>
      <c r="V747" s="16" t="s">
        <v>2730</v>
      </c>
      <c r="W747" s="16" t="s">
        <v>93</v>
      </c>
      <c r="X747" s="56" t="s">
        <v>103</v>
      </c>
      <c r="Y747" s="7">
        <v>45566</v>
      </c>
      <c r="Z747" s="16" t="s">
        <v>1817</v>
      </c>
      <c r="AA747" s="16">
        <v>40</v>
      </c>
      <c r="AB747" s="16" t="s">
        <v>2731</v>
      </c>
      <c r="AC747" s="183"/>
      <c r="AD747" s="16"/>
      <c r="AE747" s="183"/>
      <c r="AF747" s="16"/>
      <c r="AG747" s="16"/>
      <c r="AH747" s="16"/>
      <c r="AI747" s="16"/>
      <c r="AJ747" s="16"/>
      <c r="AK747" s="16"/>
      <c r="AL747" s="16"/>
      <c r="AM747" s="90">
        <v>840</v>
      </c>
      <c r="AN747" s="184">
        <v>1</v>
      </c>
      <c r="AQ747" s="16"/>
      <c r="AR747" s="16"/>
      <c r="AS747" s="16"/>
      <c r="AT747" s="16"/>
      <c r="AU747" s="16"/>
      <c r="AV747" s="16"/>
      <c r="AW747" s="7"/>
      <c r="AX747" s="16"/>
      <c r="AY747" s="16"/>
      <c r="AZ747" s="16" t="s">
        <v>374</v>
      </c>
      <c r="BA747" s="16">
        <v>1</v>
      </c>
    </row>
    <row r="748" spans="1:53" ht="15.5">
      <c r="A748" s="273">
        <v>1</v>
      </c>
      <c r="B748" s="273" t="str">
        <f t="shared" si="36"/>
        <v>AKTIVAN</v>
      </c>
      <c r="C748" s="302">
        <v>746</v>
      </c>
      <c r="D748" s="1">
        <v>79</v>
      </c>
      <c r="E748" t="str">
        <f>VLOOKUP(D748,POSLODAVCI!$A$2:$J$83,2,0)</f>
        <v>VivaPalazzo d.o.o.</v>
      </c>
      <c r="F748" s="78">
        <f>VLOOKUP(D748,POSLODAVCI!$A$2:$J$83,3,0)</f>
        <v>93210368701</v>
      </c>
      <c r="G748" t="str">
        <f>VLOOKUP(D748,POSLODAVCI!$A$2:$J$83,4,0)</f>
        <v>Gábor Kis-Simon</v>
      </c>
      <c r="H748" t="str">
        <f>VLOOKUP(D748,POSLODAVCI!$A$2:$J$107,9,0)</f>
        <v>Osijek</v>
      </c>
      <c r="I748" t="str">
        <f>VLOOKUP(D748,POSLODAVCI!$A$2:$J$83,10,0)</f>
        <v>Ribarska 10</v>
      </c>
      <c r="J748" s="185" t="s">
        <v>2733</v>
      </c>
      <c r="K748" s="61">
        <v>45566</v>
      </c>
      <c r="L748" s="61"/>
      <c r="M748" s="185">
        <v>86172520047</v>
      </c>
      <c r="N748" s="16" t="s">
        <v>89</v>
      </c>
      <c r="O748" s="7">
        <v>29655</v>
      </c>
      <c r="P748" s="16" t="s">
        <v>2735</v>
      </c>
      <c r="Q748" s="16" t="s">
        <v>376</v>
      </c>
      <c r="R748" s="16" t="s">
        <v>2736</v>
      </c>
      <c r="S748" s="17"/>
      <c r="T748" s="16" t="s">
        <v>111</v>
      </c>
      <c r="U748" s="16"/>
      <c r="V748" s="16"/>
      <c r="W748" s="16" t="s">
        <v>2737</v>
      </c>
      <c r="X748" s="56" t="s">
        <v>103</v>
      </c>
      <c r="Y748" s="7"/>
      <c r="Z748" s="16" t="s">
        <v>1894</v>
      </c>
      <c r="AA748" s="16">
        <v>10</v>
      </c>
      <c r="AB748" s="16"/>
      <c r="AC748" s="183"/>
      <c r="AD748" s="16"/>
      <c r="AE748" s="183"/>
      <c r="AF748" s="16"/>
      <c r="AG748" s="16"/>
      <c r="AH748" s="16"/>
      <c r="AI748" s="16"/>
      <c r="AJ748" s="16"/>
      <c r="AK748" s="16"/>
      <c r="AL748" s="16"/>
      <c r="AM748" s="90">
        <v>600</v>
      </c>
      <c r="AN748" s="184"/>
      <c r="AQ748" s="16"/>
      <c r="AR748" s="16"/>
      <c r="AS748" s="16"/>
      <c r="AT748" s="16"/>
      <c r="AU748" s="16"/>
      <c r="AV748" s="16"/>
      <c r="AW748" s="7"/>
      <c r="AX748" s="16"/>
      <c r="AY748" s="16"/>
      <c r="AZ748" s="16"/>
      <c r="BA748" s="16"/>
    </row>
    <row r="749" spans="1:53" ht="15.5">
      <c r="A749" s="273">
        <v>2</v>
      </c>
      <c r="B749" s="273" t="str">
        <f t="shared" si="36"/>
        <v>AKTIVAN</v>
      </c>
      <c r="C749" s="302">
        <v>747</v>
      </c>
      <c r="D749" s="1">
        <v>79</v>
      </c>
      <c r="E749" t="str">
        <f>VLOOKUP(D749,POSLODAVCI!$A$2:$J$83,2,0)</f>
        <v>VivaPalazzo d.o.o.</v>
      </c>
      <c r="F749" s="78">
        <f>VLOOKUP(D749,POSLODAVCI!$A$2:$J$83,3,0)</f>
        <v>93210368701</v>
      </c>
      <c r="G749" t="str">
        <f>VLOOKUP(D749,POSLODAVCI!$A$2:$J$83,4,0)</f>
        <v>Gábor Kis-Simon</v>
      </c>
      <c r="H749" t="str">
        <f>VLOOKUP(D749,POSLODAVCI!$A$2:$J$107,9,0)</f>
        <v>Osijek</v>
      </c>
      <c r="I749" t="str">
        <f>VLOOKUP(D749,POSLODAVCI!$A$2:$J$83,10,0)</f>
        <v>Ribarska 10</v>
      </c>
      <c r="J749" s="185" t="s">
        <v>2738</v>
      </c>
      <c r="K749" s="61">
        <v>45566</v>
      </c>
      <c r="L749" s="61"/>
      <c r="M749" s="185">
        <v>39048000137</v>
      </c>
      <c r="N749" s="16" t="s">
        <v>89</v>
      </c>
      <c r="O749" s="7">
        <v>27772</v>
      </c>
      <c r="P749" s="16" t="s">
        <v>2739</v>
      </c>
      <c r="Q749" s="16" t="s">
        <v>376</v>
      </c>
      <c r="R749" s="16" t="s">
        <v>2736</v>
      </c>
      <c r="S749" s="17"/>
      <c r="T749" s="16" t="s">
        <v>111</v>
      </c>
      <c r="U749" s="16"/>
      <c r="V749" s="16"/>
      <c r="W749" s="16" t="s">
        <v>2737</v>
      </c>
      <c r="X749" s="56" t="s">
        <v>103</v>
      </c>
      <c r="Y749" s="7"/>
      <c r="Z749" s="16" t="s">
        <v>1894</v>
      </c>
      <c r="AA749" s="16">
        <v>10</v>
      </c>
      <c r="AB749" s="16"/>
      <c r="AC749" s="183"/>
      <c r="AD749" s="16"/>
      <c r="AE749" s="183"/>
      <c r="AF749" s="16"/>
      <c r="AG749" s="16"/>
      <c r="AH749" s="16"/>
      <c r="AI749" s="16"/>
      <c r="AJ749" s="16"/>
      <c r="AK749" s="16"/>
      <c r="AL749" s="16"/>
      <c r="AM749" s="90">
        <v>600</v>
      </c>
      <c r="AN749" s="184"/>
      <c r="AQ749" s="16"/>
      <c r="AR749" s="16"/>
      <c r="AS749" s="16"/>
      <c r="AT749" s="16"/>
      <c r="AU749" s="16"/>
      <c r="AV749" s="16"/>
      <c r="AW749" s="7"/>
      <c r="AX749" s="16"/>
      <c r="AY749" s="16"/>
      <c r="AZ749" s="16"/>
      <c r="BA749" s="16"/>
    </row>
    <row r="750" spans="1:53" ht="15.5">
      <c r="A750" s="273">
        <v>1</v>
      </c>
      <c r="B750" s="273" t="str">
        <f t="shared" si="36"/>
        <v>AKTIVAN</v>
      </c>
      <c r="C750" s="302">
        <v>748</v>
      </c>
      <c r="D750" s="1">
        <v>80</v>
      </c>
      <c r="E750" t="str">
        <f>VLOOKUP(D750,POSLODAVCI!$A$2:$J$83,2,0)</f>
        <v>Pavle Darojković</v>
      </c>
      <c r="F750" s="78">
        <f>VLOOKUP(D750,POSLODAVCI!$A$2:$J$83,3,0)</f>
        <v>9280794793</v>
      </c>
      <c r="G750" t="str">
        <f>VLOOKUP(D750,POSLODAVCI!$A$2:$J$83,4,0)</f>
        <v>Pavle Darojković</v>
      </c>
      <c r="H750" t="str">
        <f>VLOOKUP(D750,POSLODAVCI!$A$2:$J$107,9,0)</f>
        <v>Osijek</v>
      </c>
      <c r="I750" t="str">
        <f>VLOOKUP(D750,POSLODAVCI!$A$2:$J$83,10,0)</f>
        <v>Svilajska 9 , 31000 Osijek</v>
      </c>
      <c r="J750" s="1" t="s">
        <v>2740</v>
      </c>
      <c r="K750" s="61">
        <v>45536</v>
      </c>
      <c r="L750" s="61"/>
      <c r="M750" s="182">
        <v>9280794793</v>
      </c>
      <c r="N750" s="16" t="s">
        <v>89</v>
      </c>
      <c r="O750" s="7">
        <v>27188</v>
      </c>
      <c r="P750" s="16" t="s">
        <v>829</v>
      </c>
      <c r="Q750" s="16" t="s">
        <v>2742</v>
      </c>
      <c r="R750" s="16" t="s">
        <v>2743</v>
      </c>
      <c r="S750" s="17"/>
      <c r="T750" s="16" t="s">
        <v>1484</v>
      </c>
      <c r="U750" s="16"/>
      <c r="V750" s="16" t="s">
        <v>2744</v>
      </c>
      <c r="W750" s="16" t="s">
        <v>2744</v>
      </c>
      <c r="X750" s="56" t="s">
        <v>103</v>
      </c>
      <c r="Y750" s="7"/>
      <c r="Z750" t="s">
        <v>1817</v>
      </c>
      <c r="AA750" s="16">
        <v>10</v>
      </c>
      <c r="AB750" s="16" t="s">
        <v>569</v>
      </c>
      <c r="AC750" s="183"/>
      <c r="AD750" s="16"/>
      <c r="AE750" s="183"/>
      <c r="AF750" s="16"/>
      <c r="AG750" s="16"/>
      <c r="AH750" s="16"/>
      <c r="AI750" s="16"/>
      <c r="AJ750" s="16"/>
      <c r="AK750" s="16"/>
      <c r="AL750" s="16"/>
      <c r="AM750" s="90">
        <v>2565</v>
      </c>
      <c r="AN750" s="184">
        <v>2.2000000000000002</v>
      </c>
      <c r="AQ750" s="16"/>
      <c r="AR750" s="16"/>
      <c r="AS750" s="16"/>
      <c r="AT750" s="16"/>
      <c r="AU750" s="16"/>
      <c r="AV750" s="16"/>
      <c r="AW750" s="7"/>
      <c r="AX750" s="16"/>
      <c r="AY750" s="16"/>
      <c r="AZ750" s="16"/>
      <c r="BA750" s="16"/>
    </row>
    <row r="751" spans="1:53" ht="15.5">
      <c r="A751" s="273">
        <v>1</v>
      </c>
      <c r="B751" s="273" t="str">
        <f t="shared" si="36"/>
        <v>AKTIVAN</v>
      </c>
      <c r="C751" s="302">
        <v>749</v>
      </c>
      <c r="D751" s="1">
        <v>81</v>
      </c>
      <c r="E751" t="str">
        <f>VLOOKUP(D751,POSLODAVCI!$A$2:$J$83,2,0)</f>
        <v>Deep Construct j.d.o.o.</v>
      </c>
      <c r="F751" s="78">
        <f>VLOOKUP(D751,POSLODAVCI!$A$2:$J$83,3,0)</f>
        <v>83403059410</v>
      </c>
      <c r="G751" t="str">
        <f>VLOOKUP(D751,POSLODAVCI!$A$2:$J$83,4,0)</f>
        <v>Dr. Tamás Waitz</v>
      </c>
      <c r="H751" t="str">
        <f>VLOOKUP(D751,POSLODAVCI!$A$2:$J$107,9,0)</f>
        <v>Osijek</v>
      </c>
      <c r="I751" t="str">
        <f>VLOOKUP(D751,POSLODAVCI!$A$2:$J$83,10,0)</f>
        <v>Ribarska 10</v>
      </c>
      <c r="J751" s="1" t="s">
        <v>2760</v>
      </c>
      <c r="K751" s="61">
        <v>45590</v>
      </c>
      <c r="L751" s="61"/>
      <c r="M751" s="182">
        <v>71550955286</v>
      </c>
      <c r="N751" s="16" t="s">
        <v>89</v>
      </c>
      <c r="O751" s="7">
        <v>29665</v>
      </c>
      <c r="P751" s="16" t="s">
        <v>2761</v>
      </c>
      <c r="Q751" s="16" t="s">
        <v>376</v>
      </c>
      <c r="R751" s="16" t="s">
        <v>2762</v>
      </c>
      <c r="S751" s="17"/>
      <c r="T751" s="16" t="s">
        <v>84</v>
      </c>
      <c r="U751" s="16"/>
      <c r="V751" s="16" t="s">
        <v>1901</v>
      </c>
      <c r="W751" s="16" t="s">
        <v>2319</v>
      </c>
      <c r="X751" s="56" t="s">
        <v>103</v>
      </c>
      <c r="Y751" s="7"/>
      <c r="Z751" t="s">
        <v>1817</v>
      </c>
      <c r="AA751" s="16">
        <v>40</v>
      </c>
      <c r="AB751" s="16"/>
      <c r="AC751" s="183"/>
      <c r="AD751" s="16"/>
      <c r="AE751" s="183"/>
      <c r="AF751" s="16"/>
      <c r="AG751" s="16"/>
      <c r="AH751" s="16"/>
      <c r="AI751" s="16"/>
      <c r="AJ751" s="16"/>
      <c r="AK751" s="16"/>
      <c r="AL751" s="16"/>
      <c r="AM751" s="90">
        <v>950</v>
      </c>
      <c r="AN751" s="184">
        <v>1</v>
      </c>
      <c r="AQ751" s="16"/>
      <c r="AR751" s="16"/>
      <c r="AS751" s="16"/>
      <c r="AT751" s="16"/>
      <c r="AU751" s="16"/>
      <c r="AV751" s="16"/>
      <c r="AW751" s="7"/>
      <c r="AX751" s="16"/>
      <c r="AY751" s="16"/>
      <c r="AZ751" s="16"/>
      <c r="BA751" s="16"/>
    </row>
    <row r="752" spans="1:53" ht="15.5">
      <c r="A752" s="273">
        <v>2</v>
      </c>
      <c r="B752" s="273" t="str">
        <f t="shared" si="36"/>
        <v>NEAKTIVAN</v>
      </c>
      <c r="C752" s="302">
        <v>750</v>
      </c>
      <c r="D752" s="1">
        <v>81</v>
      </c>
      <c r="E752" t="str">
        <f>VLOOKUP(D752,POSLODAVCI!$A$2:$J$83,2,0)</f>
        <v>Deep Construct j.d.o.o.</v>
      </c>
      <c r="F752" s="78">
        <f>VLOOKUP(D752,POSLODAVCI!$A$2:$J$83,3,0)</f>
        <v>83403059410</v>
      </c>
      <c r="G752" t="str">
        <f>VLOOKUP(D752,POSLODAVCI!$A$2:$J$83,4,0)</f>
        <v>Dr. Tamás Waitz</v>
      </c>
      <c r="H752" t="str">
        <f>VLOOKUP(D752,POSLODAVCI!$A$2:$J$107,9,0)</f>
        <v>Osijek</v>
      </c>
      <c r="I752" t="str">
        <f>VLOOKUP(D752,POSLODAVCI!$A$2:$J$83,10,0)</f>
        <v>Ribarska 10</v>
      </c>
      <c r="J752" s="1" t="s">
        <v>2763</v>
      </c>
      <c r="K752" s="61">
        <v>45590</v>
      </c>
      <c r="L752" s="61">
        <v>45702</v>
      </c>
      <c r="M752" s="182">
        <v>87642437146</v>
      </c>
      <c r="N752" s="16" t="s">
        <v>89</v>
      </c>
      <c r="O752" s="7">
        <v>34678</v>
      </c>
      <c r="P752" s="16" t="s">
        <v>2761</v>
      </c>
      <c r="Q752" s="16" t="s">
        <v>376</v>
      </c>
      <c r="R752" s="16" t="s">
        <v>2764</v>
      </c>
      <c r="S752" s="17"/>
      <c r="T752" s="16" t="s">
        <v>1484</v>
      </c>
      <c r="U752" s="16"/>
      <c r="V752" s="16"/>
      <c r="W752" s="16" t="s">
        <v>2319</v>
      </c>
      <c r="X752" s="56" t="s">
        <v>103</v>
      </c>
      <c r="Y752" s="7"/>
      <c r="Z752" t="s">
        <v>1817</v>
      </c>
      <c r="AA752" s="16">
        <v>40</v>
      </c>
      <c r="AB752" s="16"/>
      <c r="AC752" s="183"/>
      <c r="AD752" s="16"/>
      <c r="AE752" s="183"/>
      <c r="AF752" s="16"/>
      <c r="AG752" s="16"/>
      <c r="AH752" s="16"/>
      <c r="AI752" s="16"/>
      <c r="AJ752" s="16"/>
      <c r="AK752" s="16"/>
      <c r="AL752" s="16"/>
      <c r="AM752" s="90">
        <v>950</v>
      </c>
      <c r="AN752" s="184">
        <v>1</v>
      </c>
      <c r="AQ752" s="16"/>
      <c r="AR752" s="16"/>
      <c r="AS752" s="16"/>
      <c r="AT752" s="16"/>
      <c r="AU752" s="16"/>
      <c r="AV752" s="16"/>
      <c r="AW752" s="7"/>
      <c r="AX752" s="16"/>
      <c r="AY752" s="16"/>
      <c r="AZ752" s="16"/>
      <c r="BA752" s="16"/>
    </row>
    <row r="753" spans="1:53" ht="15.5">
      <c r="A753" s="273">
        <v>3</v>
      </c>
      <c r="B753" s="273" t="str">
        <f t="shared" si="36"/>
        <v>NEAKTIVAN</v>
      </c>
      <c r="C753" s="302">
        <v>751</v>
      </c>
      <c r="D753" s="1">
        <v>81</v>
      </c>
      <c r="E753" t="str">
        <f>VLOOKUP(D753,POSLODAVCI!$A$2:$J$83,2,0)</f>
        <v>Deep Construct j.d.o.o.</v>
      </c>
      <c r="F753" s="78">
        <f>VLOOKUP(D753,POSLODAVCI!$A$2:$J$83,3,0)</f>
        <v>83403059410</v>
      </c>
      <c r="G753" t="str">
        <f>VLOOKUP(D753,POSLODAVCI!$A$2:$J$83,4,0)</f>
        <v>Dr. Tamás Waitz</v>
      </c>
      <c r="H753" t="str">
        <f>VLOOKUP(D753,POSLODAVCI!$A$2:$J$107,9,0)</f>
        <v>Osijek</v>
      </c>
      <c r="I753" t="str">
        <f>VLOOKUP(D753,POSLODAVCI!$A$2:$J$83,10,0)</f>
        <v>Ribarska 10</v>
      </c>
      <c r="J753" s="1" t="s">
        <v>2765</v>
      </c>
      <c r="K753" s="61">
        <v>45590</v>
      </c>
      <c r="L753" s="61">
        <v>45673</v>
      </c>
      <c r="M753" s="182">
        <v>36086093148</v>
      </c>
      <c r="N753" s="16" t="s">
        <v>89</v>
      </c>
      <c r="O753" s="7">
        <v>33321</v>
      </c>
      <c r="P753" s="16" t="s">
        <v>2761</v>
      </c>
      <c r="Q753" s="16" t="s">
        <v>376</v>
      </c>
      <c r="R753" s="16" t="s">
        <v>2766</v>
      </c>
      <c r="S753" s="17"/>
      <c r="T753" s="16" t="s">
        <v>1484</v>
      </c>
      <c r="U753" s="16"/>
      <c r="V753" s="16"/>
      <c r="W753" s="16" t="s">
        <v>2319</v>
      </c>
      <c r="X753" s="56" t="s">
        <v>103</v>
      </c>
      <c r="Y753" s="7"/>
      <c r="Z753" t="s">
        <v>1817</v>
      </c>
      <c r="AA753" s="16">
        <v>40</v>
      </c>
      <c r="AB753" s="16"/>
      <c r="AC753" s="183"/>
      <c r="AD753" s="16"/>
      <c r="AE753" s="183"/>
      <c r="AF753" s="16"/>
      <c r="AG753" s="16"/>
      <c r="AH753" s="16"/>
      <c r="AI753" s="16"/>
      <c r="AJ753" s="16"/>
      <c r="AK753" s="16"/>
      <c r="AL753" s="16"/>
      <c r="AM753" s="90">
        <v>950</v>
      </c>
      <c r="AN753" s="184">
        <v>1</v>
      </c>
      <c r="AQ753" s="16"/>
      <c r="AR753" s="16"/>
      <c r="AS753" s="16"/>
      <c r="AT753" s="16"/>
      <c r="AU753" s="16"/>
      <c r="AV753" s="16"/>
      <c r="AW753" s="7"/>
      <c r="AX753" s="16"/>
      <c r="AY753" s="16"/>
      <c r="AZ753" s="16"/>
      <c r="BA753" s="16"/>
    </row>
    <row r="754" spans="1:53" ht="15.5">
      <c r="A754" s="273">
        <v>4</v>
      </c>
      <c r="B754" s="273" t="str">
        <f t="shared" si="36"/>
        <v>AKTIVAN</v>
      </c>
      <c r="C754" s="302">
        <v>752</v>
      </c>
      <c r="D754" s="1">
        <v>81</v>
      </c>
      <c r="E754" t="str">
        <f>VLOOKUP(D754,POSLODAVCI!$A$2:$J$83,2,0)</f>
        <v>Deep Construct j.d.o.o.</v>
      </c>
      <c r="F754" s="78">
        <f>VLOOKUP(D754,POSLODAVCI!$A$2:$J$83,3,0)</f>
        <v>83403059410</v>
      </c>
      <c r="G754" t="str">
        <f>VLOOKUP(D754,POSLODAVCI!$A$2:$J$83,4,0)</f>
        <v>Dr. Tamás Waitz</v>
      </c>
      <c r="H754" t="str">
        <f>VLOOKUP(D754,POSLODAVCI!$A$2:$J$107,9,0)</f>
        <v>Osijek</v>
      </c>
      <c r="I754" t="str">
        <f>VLOOKUP(D754,POSLODAVCI!$A$2:$J$83,10,0)</f>
        <v>Ribarska 10</v>
      </c>
      <c r="J754" s="1" t="s">
        <v>2767</v>
      </c>
      <c r="K754" s="61">
        <v>45590</v>
      </c>
      <c r="L754" s="61"/>
      <c r="M754" s="182">
        <v>81261639962</v>
      </c>
      <c r="N754" s="16" t="s">
        <v>89</v>
      </c>
      <c r="O754" s="7">
        <v>28330</v>
      </c>
      <c r="P754" s="16" t="s">
        <v>2761</v>
      </c>
      <c r="Q754" s="16" t="s">
        <v>376</v>
      </c>
      <c r="R754" s="16" t="s">
        <v>2768</v>
      </c>
      <c r="S754" s="17"/>
      <c r="T754" s="16" t="s">
        <v>1484</v>
      </c>
      <c r="U754" s="16"/>
      <c r="V754" s="16"/>
      <c r="W754" s="16" t="s">
        <v>2319</v>
      </c>
      <c r="X754" s="56" t="s">
        <v>103</v>
      </c>
      <c r="Y754" s="7"/>
      <c r="Z754" t="s">
        <v>1817</v>
      </c>
      <c r="AA754" s="16">
        <v>40</v>
      </c>
      <c r="AB754" s="16"/>
      <c r="AC754" s="183"/>
      <c r="AD754" s="16"/>
      <c r="AE754" s="183"/>
      <c r="AF754" s="16"/>
      <c r="AG754" s="16"/>
      <c r="AH754" s="16"/>
      <c r="AI754" s="16"/>
      <c r="AJ754" s="16"/>
      <c r="AK754" s="16"/>
      <c r="AL754" s="16"/>
      <c r="AM754" s="90">
        <v>950</v>
      </c>
      <c r="AN754" s="184">
        <v>1</v>
      </c>
      <c r="AQ754" s="16"/>
      <c r="AR754" s="16"/>
      <c r="AS754" s="16"/>
      <c r="AT754" s="16"/>
      <c r="AU754" s="16"/>
      <c r="AV754" s="16"/>
      <c r="AW754" s="7"/>
      <c r="AX754" s="16"/>
      <c r="AY754" s="16"/>
      <c r="AZ754" s="16"/>
      <c r="BA754" s="16"/>
    </row>
    <row r="755" spans="1:53" ht="15.5">
      <c r="A755" s="273">
        <v>5</v>
      </c>
      <c r="B755" s="273" t="str">
        <f t="shared" si="36"/>
        <v>AKTIVAN</v>
      </c>
      <c r="C755" s="302">
        <v>753</v>
      </c>
      <c r="D755" s="1">
        <v>81</v>
      </c>
      <c r="E755" t="str">
        <f>VLOOKUP(D755,POSLODAVCI!$A$2:$J$83,2,0)</f>
        <v>Deep Construct j.d.o.o.</v>
      </c>
      <c r="F755" s="78">
        <f>VLOOKUP(D755,POSLODAVCI!$A$2:$J$83,3,0)</f>
        <v>83403059410</v>
      </c>
      <c r="G755" t="str">
        <f>VLOOKUP(D755,POSLODAVCI!$A$2:$J$83,4,0)</f>
        <v>Dr. Tamás Waitz</v>
      </c>
      <c r="H755" t="str">
        <f>VLOOKUP(D755,POSLODAVCI!$A$2:$J$107,9,0)</f>
        <v>Osijek</v>
      </c>
      <c r="I755" t="str">
        <f>VLOOKUP(D755,POSLODAVCI!$A$2:$J$83,10,0)</f>
        <v>Ribarska 10</v>
      </c>
      <c r="J755" s="1" t="s">
        <v>2769</v>
      </c>
      <c r="K755" s="61">
        <v>45590</v>
      </c>
      <c r="L755" s="61"/>
      <c r="M755" s="182">
        <v>90395926040</v>
      </c>
      <c r="N755" s="16" t="s">
        <v>89</v>
      </c>
      <c r="O755" s="7">
        <v>31226</v>
      </c>
      <c r="P755" s="16" t="s">
        <v>2770</v>
      </c>
      <c r="Q755" s="16" t="s">
        <v>376</v>
      </c>
      <c r="R755" s="16" t="s">
        <v>2771</v>
      </c>
      <c r="S755" s="17"/>
      <c r="T755" s="16" t="s">
        <v>1484</v>
      </c>
      <c r="U755" s="16"/>
      <c r="V755" s="16"/>
      <c r="W755" s="16" t="s">
        <v>2319</v>
      </c>
      <c r="X755" s="56" t="s">
        <v>103</v>
      </c>
      <c r="Y755" s="7"/>
      <c r="Z755" t="s">
        <v>1817</v>
      </c>
      <c r="AA755" s="16">
        <v>40</v>
      </c>
      <c r="AB755" s="16"/>
      <c r="AC755" s="183"/>
      <c r="AD755" s="16"/>
      <c r="AE755" s="183"/>
      <c r="AF755" s="16"/>
      <c r="AG755" s="16"/>
      <c r="AH755" s="16"/>
      <c r="AI755" s="16"/>
      <c r="AJ755" s="16"/>
      <c r="AK755" s="16"/>
      <c r="AL755" s="16"/>
      <c r="AM755" s="90">
        <v>950</v>
      </c>
      <c r="AN755" s="184">
        <v>1</v>
      </c>
      <c r="AQ755" s="16"/>
      <c r="AR755" s="16"/>
      <c r="AS755" s="16"/>
      <c r="AT755" s="16"/>
      <c r="AU755" s="16"/>
      <c r="AV755" s="16"/>
      <c r="AW755" s="7"/>
      <c r="AX755" s="16"/>
      <c r="AY755" s="16"/>
      <c r="AZ755" s="16"/>
      <c r="BA755" s="16"/>
    </row>
    <row r="756" spans="1:53" ht="15.5">
      <c r="A756" s="273">
        <v>6</v>
      </c>
      <c r="B756" s="273" t="str">
        <f t="shared" si="36"/>
        <v>AKTIVAN</v>
      </c>
      <c r="C756" s="302">
        <v>754</v>
      </c>
      <c r="D756" s="1">
        <v>81</v>
      </c>
      <c r="E756" t="str">
        <f>VLOOKUP(D756,POSLODAVCI!$A$2:$J$83,2,0)</f>
        <v>Deep Construct j.d.o.o.</v>
      </c>
      <c r="F756" s="78">
        <f>VLOOKUP(D756,POSLODAVCI!$A$2:$J$83,3,0)</f>
        <v>83403059410</v>
      </c>
      <c r="G756" t="str">
        <f>VLOOKUP(D756,POSLODAVCI!$A$2:$J$83,4,0)</f>
        <v>Dr. Tamás Waitz</v>
      </c>
      <c r="H756" t="str">
        <f>VLOOKUP(D756,POSLODAVCI!$A$2:$J$107,9,0)</f>
        <v>Osijek</v>
      </c>
      <c r="I756" t="str">
        <f>VLOOKUP(D756,POSLODAVCI!$A$2:$J$83,10,0)</f>
        <v>Ribarska 10</v>
      </c>
      <c r="J756" s="1" t="s">
        <v>2772</v>
      </c>
      <c r="K756" s="61">
        <v>45590</v>
      </c>
      <c r="L756" s="61"/>
      <c r="M756" s="182">
        <v>90509486543</v>
      </c>
      <c r="N756" s="16" t="s">
        <v>89</v>
      </c>
      <c r="O756" s="7">
        <v>28746</v>
      </c>
      <c r="P756" s="16" t="s">
        <v>2773</v>
      </c>
      <c r="Q756" s="16" t="s">
        <v>376</v>
      </c>
      <c r="R756" s="16" t="s">
        <v>2774</v>
      </c>
      <c r="S756" s="17"/>
      <c r="T756" s="16" t="s">
        <v>1484</v>
      </c>
      <c r="U756" s="16"/>
      <c r="V756" s="16"/>
      <c r="W756" s="16" t="s">
        <v>2777</v>
      </c>
      <c r="X756" s="56" t="s">
        <v>103</v>
      </c>
      <c r="Y756" s="7"/>
      <c r="Z756" t="s">
        <v>1817</v>
      </c>
      <c r="AA756" s="16">
        <v>40</v>
      </c>
      <c r="AB756" s="16"/>
      <c r="AC756" s="183"/>
      <c r="AD756" s="16"/>
      <c r="AE756" s="183"/>
      <c r="AF756" s="16"/>
      <c r="AG756" s="16"/>
      <c r="AH756" s="16"/>
      <c r="AI756" s="16"/>
      <c r="AJ756" s="16"/>
      <c r="AK756" s="16"/>
      <c r="AL756" s="16"/>
      <c r="AM756" s="90">
        <v>1040</v>
      </c>
      <c r="AN756" s="184">
        <v>1</v>
      </c>
      <c r="AQ756" s="16"/>
      <c r="AR756" s="16"/>
      <c r="AS756" s="16"/>
      <c r="AT756" s="16"/>
      <c r="AU756" s="16"/>
      <c r="AV756" s="16"/>
      <c r="AW756" s="7"/>
      <c r="AX756" s="16"/>
      <c r="AY756" s="16"/>
      <c r="AZ756" s="16"/>
      <c r="BA756" s="16"/>
    </row>
    <row r="757" spans="1:53" ht="15.5">
      <c r="A757" s="273">
        <v>7</v>
      </c>
      <c r="B757" s="273" t="str">
        <f t="shared" si="36"/>
        <v>NEAKTIVAN</v>
      </c>
      <c r="C757" s="302">
        <v>755</v>
      </c>
      <c r="D757" s="1">
        <v>81</v>
      </c>
      <c r="E757" t="str">
        <f>VLOOKUP(D757,POSLODAVCI!$A$2:$J$83,2,0)</f>
        <v>Deep Construct j.d.o.o.</v>
      </c>
      <c r="F757" s="78">
        <f>VLOOKUP(D757,POSLODAVCI!$A$2:$J$83,3,0)</f>
        <v>83403059410</v>
      </c>
      <c r="G757" t="str">
        <f>VLOOKUP(D757,POSLODAVCI!$A$2:$J$83,4,0)</f>
        <v>Dr. Tamás Waitz</v>
      </c>
      <c r="H757" t="str">
        <f>VLOOKUP(D757,POSLODAVCI!$A$2:$J$107,9,0)</f>
        <v>Osijek</v>
      </c>
      <c r="I757" t="str">
        <f>VLOOKUP(D757,POSLODAVCI!$A$2:$J$83,10,0)</f>
        <v>Ribarska 10</v>
      </c>
      <c r="J757" s="1" t="s">
        <v>2775</v>
      </c>
      <c r="K757" s="61">
        <v>45590</v>
      </c>
      <c r="L757" s="61">
        <v>45626</v>
      </c>
      <c r="M757" s="182">
        <v>32888029392</v>
      </c>
      <c r="N757" s="16" t="s">
        <v>89</v>
      </c>
      <c r="O757" s="7">
        <v>34764</v>
      </c>
      <c r="P757" s="16" t="s">
        <v>2761</v>
      </c>
      <c r="Q757" s="16" t="s">
        <v>376</v>
      </c>
      <c r="R757" s="16" t="s">
        <v>2776</v>
      </c>
      <c r="S757" s="17"/>
      <c r="T757" s="16" t="s">
        <v>1484</v>
      </c>
      <c r="U757" s="16"/>
      <c r="V757" s="16"/>
      <c r="W757" s="16" t="s">
        <v>2319</v>
      </c>
      <c r="X757" s="56" t="s">
        <v>103</v>
      </c>
      <c r="Y757" s="7"/>
      <c r="Z757" t="s">
        <v>1817</v>
      </c>
      <c r="AA757" s="16">
        <v>40</v>
      </c>
      <c r="AB757" s="16"/>
      <c r="AC757" s="183"/>
      <c r="AD757" s="16"/>
      <c r="AE757" s="183"/>
      <c r="AF757" s="16"/>
      <c r="AG757" s="16"/>
      <c r="AH757" s="16"/>
      <c r="AI757" s="16"/>
      <c r="AJ757" s="16"/>
      <c r="AK757" s="16"/>
      <c r="AL757" s="16"/>
      <c r="AM757" s="90">
        <v>950</v>
      </c>
      <c r="AN757" s="184">
        <v>1</v>
      </c>
      <c r="AQ757" s="16"/>
      <c r="AR757" s="16"/>
      <c r="AS757" s="16"/>
      <c r="AT757" s="16"/>
      <c r="AU757" s="16"/>
      <c r="AV757" s="16"/>
      <c r="AW757" s="7"/>
      <c r="AX757" s="16"/>
      <c r="AY757" s="16"/>
      <c r="AZ757" s="16"/>
      <c r="BA757" s="16"/>
    </row>
    <row r="758" spans="1:53" ht="15.5">
      <c r="A758" s="273">
        <v>7</v>
      </c>
      <c r="B758" s="273" t="str">
        <f t="shared" si="36"/>
        <v>NEAKTIVAN</v>
      </c>
      <c r="C758" s="560">
        <v>756</v>
      </c>
      <c r="D758" s="561">
        <v>75</v>
      </c>
      <c r="E758" t="str">
        <f>VLOOKUP(D758,POSLODAVCI!$A$2:$J$84,2,0)</f>
        <v>PORTO RUNKE j.d.o.o.</v>
      </c>
      <c r="F758" s="78">
        <f>VLOOKUP(D758,POSLODAVCI!$A$2:$J$84,3,0)</f>
        <v>72434492423</v>
      </c>
      <c r="G758" t="str">
        <f>VLOOKUP(D758,POSLODAVCI!$A$2:$J$84,4,0)</f>
        <v>Željko Stipić</v>
      </c>
      <c r="H758" t="str">
        <f>VLOOKUP(D758,POSLODAVCI!$A$2:$J$107,9,0)</f>
        <v>Pula</v>
      </c>
      <c r="I758" t="str">
        <f>VLOOKUP(D758,POSLODAVCI!$A$2:$J$84,10,0)</f>
        <v>Kosova ulica 31, 52100 Pula</v>
      </c>
      <c r="J758" s="561" t="s">
        <v>2778</v>
      </c>
      <c r="K758" s="562">
        <v>45566</v>
      </c>
      <c r="L758" s="562">
        <v>45322</v>
      </c>
      <c r="M758" s="182">
        <v>73340653101</v>
      </c>
      <c r="N758" t="s">
        <v>89</v>
      </c>
      <c r="O758" s="7">
        <v>26255</v>
      </c>
      <c r="Q758" t="s">
        <v>82</v>
      </c>
      <c r="R758" t="s">
        <v>2779</v>
      </c>
      <c r="T758" t="s">
        <v>84</v>
      </c>
      <c r="W758" t="s">
        <v>2692</v>
      </c>
      <c r="X758" s="306" t="s">
        <v>85</v>
      </c>
      <c r="Y758" s="7"/>
      <c r="Z758" t="s">
        <v>1817</v>
      </c>
      <c r="AA758">
        <v>40</v>
      </c>
      <c r="AC758" s="183"/>
      <c r="AE758" s="183"/>
      <c r="AM758" s="563">
        <v>1790.98</v>
      </c>
      <c r="AN758" s="184"/>
      <c r="AW758" s="7"/>
    </row>
    <row r="759" spans="1:53" ht="15.5">
      <c r="A759" s="273">
        <v>21</v>
      </c>
      <c r="B759" s="273" t="str">
        <f t="shared" si="36"/>
        <v>NEAKTIVAN</v>
      </c>
      <c r="C759" s="560">
        <v>757</v>
      </c>
      <c r="D759" s="561">
        <v>46</v>
      </c>
      <c r="E759" t="str">
        <f>VLOOKUP(D759,POSLODAVCI!$A$2:$J$84,2,0)</f>
        <v>Baranjske slastice Horvat j.d.o.o.</v>
      </c>
      <c r="F759" s="78">
        <f>VLOOKUP(D759,POSLODAVCI!$A$2:$J$84,3,0)</f>
        <v>81938384478</v>
      </c>
      <c r="G759" t="str">
        <f>VLOOKUP(D759,POSLODAVCI!$A$2:$J$84,4,0)</f>
        <v>Ilonka Horvat</v>
      </c>
      <c r="H759" t="str">
        <f>VLOOKUP(D759,POSLODAVCI!$A$2:$J$107,9,0)</f>
        <v>Suza</v>
      </c>
      <c r="I759" t="str">
        <f>VLOOKUP(D759,POSLODAVCI!$A$2:$J$84,10,0)</f>
        <v>Petefi Šandora 31</v>
      </c>
      <c r="J759" s="561" t="s">
        <v>2780</v>
      </c>
      <c r="K759" s="562">
        <v>45610</v>
      </c>
      <c r="L759" s="562">
        <v>45688</v>
      </c>
      <c r="M759" s="365" t="s">
        <v>2781</v>
      </c>
      <c r="N759" s="16" t="s">
        <v>80</v>
      </c>
      <c r="O759" s="7">
        <v>37499</v>
      </c>
      <c r="P759" s="16" t="s">
        <v>81</v>
      </c>
      <c r="Q759" s="16" t="s">
        <v>82</v>
      </c>
      <c r="R759" s="16" t="s">
        <v>2782</v>
      </c>
      <c r="T759" s="16" t="s">
        <v>1484</v>
      </c>
      <c r="V759" s="16" t="s">
        <v>2152</v>
      </c>
      <c r="W759" s="16" t="s">
        <v>2152</v>
      </c>
      <c r="X759" s="56" t="s">
        <v>2526</v>
      </c>
      <c r="Y759" s="7"/>
      <c r="Z759" s="16" t="s">
        <v>1894</v>
      </c>
      <c r="AA759">
        <v>20</v>
      </c>
      <c r="AC759" s="183"/>
      <c r="AE759" s="183"/>
      <c r="AM759" s="563">
        <v>420</v>
      </c>
      <c r="AN759" s="184">
        <v>1</v>
      </c>
      <c r="AW759" s="7"/>
    </row>
    <row r="760" spans="1:53" ht="15.5">
      <c r="A760" s="576">
        <v>1</v>
      </c>
      <c r="B760" s="273" t="str">
        <f t="shared" si="36"/>
        <v>AKTIVAN</v>
      </c>
      <c r="C760" s="302">
        <v>758</v>
      </c>
      <c r="D760" s="1">
        <v>82</v>
      </c>
      <c r="E760" t="str">
        <f>VLOOKUP(D760,POSLODAVCI!$A$2:$J$84,2,0)</f>
        <v>ALISCA BAU Zrt. - Podružnica Osijek</v>
      </c>
      <c r="F760" s="78">
        <f>VLOOKUP(D760,POSLODAVCI!$A$2:$J$84,3,0)</f>
        <v>12424713159</v>
      </c>
      <c r="G760" t="str">
        <f>VLOOKUP(D760,POSLODAVCI!$A$2:$J$84,4,0)</f>
        <v>Zoran Zsivovics</v>
      </c>
      <c r="H760" t="str">
        <f>VLOOKUP(D760,POSLODAVCI!$A$2:$J$107,9,0)</f>
        <v>Osijek</v>
      </c>
      <c r="I760" t="str">
        <f>VLOOKUP(D760,POSLODAVCI!$A$2:$J$84,10,0)</f>
        <v>Ulica svetog Leopolda Bogdana Mandića 111M</v>
      </c>
      <c r="J760" s="1" t="s">
        <v>2788</v>
      </c>
      <c r="K760" s="61">
        <v>45616</v>
      </c>
      <c r="L760" s="61"/>
      <c r="M760" s="182">
        <v>11338480217</v>
      </c>
      <c r="N760" s="16" t="s">
        <v>89</v>
      </c>
      <c r="O760" s="7">
        <v>19965</v>
      </c>
      <c r="P760" s="16" t="s">
        <v>81</v>
      </c>
      <c r="Q760" s="16" t="s">
        <v>82</v>
      </c>
      <c r="R760" s="16" t="s">
        <v>2789</v>
      </c>
      <c r="S760" s="17"/>
      <c r="T760" s="16" t="s">
        <v>84</v>
      </c>
      <c r="U760" s="16"/>
      <c r="V760" s="16" t="s">
        <v>767</v>
      </c>
      <c r="W760" s="16" t="s">
        <v>767</v>
      </c>
      <c r="X760" s="56" t="s">
        <v>2526</v>
      </c>
      <c r="Y760" s="7"/>
      <c r="Z760" s="16" t="s">
        <v>1894</v>
      </c>
      <c r="AA760" s="16">
        <v>20</v>
      </c>
      <c r="AB760" s="16"/>
      <c r="AC760" s="183"/>
      <c r="AD760" s="16"/>
      <c r="AE760" s="183"/>
      <c r="AF760" s="16"/>
      <c r="AG760" s="16"/>
      <c r="AH760" s="16"/>
      <c r="AI760" s="16"/>
      <c r="AJ760" s="16"/>
      <c r="AK760" s="16"/>
      <c r="AL760" s="16"/>
      <c r="AM760" s="90">
        <v>420</v>
      </c>
      <c r="AN760" s="184">
        <v>1</v>
      </c>
      <c r="AQ760" s="16"/>
      <c r="AR760" s="16"/>
      <c r="AS760" s="16"/>
      <c r="AT760" s="16"/>
      <c r="AU760" s="16"/>
      <c r="AV760" s="16"/>
      <c r="AW760" s="7"/>
      <c r="AX760" s="16"/>
      <c r="AY760" s="16"/>
      <c r="AZ760" s="16"/>
      <c r="BA760" s="16"/>
    </row>
    <row r="761" spans="1:53" ht="15.5">
      <c r="A761" s="576">
        <v>2</v>
      </c>
      <c r="B761" s="273" t="str">
        <f t="shared" si="36"/>
        <v>AKTIVAN</v>
      </c>
      <c r="C761" s="302">
        <v>759</v>
      </c>
      <c r="D761" s="1">
        <v>82</v>
      </c>
      <c r="E761" t="str">
        <f>VLOOKUP(D761,POSLODAVCI!$A$2:$J$84,2,0)</f>
        <v>ALISCA BAU Zrt. - Podružnica Osijek</v>
      </c>
      <c r="F761" s="78">
        <f>VLOOKUP(D761,POSLODAVCI!$A$2:$J$84,3,0)</f>
        <v>12424713159</v>
      </c>
      <c r="G761" t="str">
        <f>VLOOKUP(D761,POSLODAVCI!$A$2:$J$84,4,0)</f>
        <v>Zoran Zsivovics</v>
      </c>
      <c r="H761" t="str">
        <f>VLOOKUP(D761,POSLODAVCI!$A$2:$J$107,9,0)</f>
        <v>Osijek</v>
      </c>
      <c r="I761" t="str">
        <f>VLOOKUP(D761,POSLODAVCI!$A$2:$J$84,10,0)</f>
        <v>Ulica svetog Leopolda Bogdana Mandića 111M</v>
      </c>
      <c r="J761" s="1" t="s">
        <v>2790</v>
      </c>
      <c r="K761" s="61">
        <v>45616</v>
      </c>
      <c r="L761" s="61"/>
      <c r="M761" s="182">
        <v>31493736506</v>
      </c>
      <c r="N761" s="16" t="s">
        <v>89</v>
      </c>
      <c r="O761" s="7">
        <v>22051</v>
      </c>
      <c r="P761" s="16" t="s">
        <v>81</v>
      </c>
      <c r="Q761" s="16" t="s">
        <v>82</v>
      </c>
      <c r="R761" s="16" t="s">
        <v>2791</v>
      </c>
      <c r="S761" s="17"/>
      <c r="T761" s="16" t="s">
        <v>84</v>
      </c>
      <c r="U761" s="16"/>
      <c r="V761" s="16" t="s">
        <v>767</v>
      </c>
      <c r="W761" s="16" t="s">
        <v>767</v>
      </c>
      <c r="X761" s="56" t="s">
        <v>2526</v>
      </c>
      <c r="Y761" s="7"/>
      <c r="Z761" s="16" t="s">
        <v>1894</v>
      </c>
      <c r="AA761" s="16">
        <v>20</v>
      </c>
      <c r="AB761" s="16"/>
      <c r="AC761" s="183"/>
      <c r="AD761" s="16"/>
      <c r="AE761" s="183"/>
      <c r="AF761" s="16"/>
      <c r="AG761" s="16"/>
      <c r="AH761" s="16"/>
      <c r="AI761" s="16"/>
      <c r="AJ761" s="16"/>
      <c r="AK761" s="16"/>
      <c r="AL761" s="16"/>
      <c r="AM761" s="90">
        <v>420</v>
      </c>
      <c r="AN761" s="184">
        <v>1</v>
      </c>
      <c r="AQ761" s="16"/>
      <c r="AR761" s="16"/>
      <c r="AS761" s="16"/>
      <c r="AT761" s="16"/>
      <c r="AU761" s="16"/>
      <c r="AV761" s="16"/>
      <c r="AW761" s="7"/>
      <c r="AX761" s="16"/>
      <c r="AY761" s="16"/>
      <c r="AZ761" s="16"/>
      <c r="BA761" s="16"/>
    </row>
    <row r="762" spans="1:53" ht="15.5">
      <c r="A762" s="576">
        <v>3</v>
      </c>
      <c r="B762" s="273" t="str">
        <f t="shared" si="36"/>
        <v>AKTIVAN</v>
      </c>
      <c r="C762" s="302">
        <v>760</v>
      </c>
      <c r="D762" s="1">
        <v>82</v>
      </c>
      <c r="E762" t="str">
        <f>VLOOKUP(D762,POSLODAVCI!$A$2:$J$84,2,0)</f>
        <v>ALISCA BAU Zrt. - Podružnica Osijek</v>
      </c>
      <c r="F762" s="78">
        <f>VLOOKUP(D762,POSLODAVCI!$A$2:$J$84,3,0)</f>
        <v>12424713159</v>
      </c>
      <c r="G762" t="str">
        <f>VLOOKUP(D762,POSLODAVCI!$A$2:$J$84,4,0)</f>
        <v>Zoran Zsivovics</v>
      </c>
      <c r="H762" t="str">
        <f>VLOOKUP(D762,POSLODAVCI!$A$2:$J$107,9,0)</f>
        <v>Osijek</v>
      </c>
      <c r="I762" t="str">
        <f>VLOOKUP(D762,POSLODAVCI!$A$2:$J$84,10,0)</f>
        <v>Ulica svetog Leopolda Bogdana Mandića 111M</v>
      </c>
      <c r="J762" s="1" t="s">
        <v>2792</v>
      </c>
      <c r="K762" s="61">
        <v>45616</v>
      </c>
      <c r="L762" s="61"/>
      <c r="M762" s="182">
        <v>60102410216</v>
      </c>
      <c r="N762" s="16" t="s">
        <v>89</v>
      </c>
      <c r="O762" s="7">
        <v>32369</v>
      </c>
      <c r="P762" s="16" t="s">
        <v>81</v>
      </c>
      <c r="Q762" s="16" t="s">
        <v>82</v>
      </c>
      <c r="R762" s="16" t="s">
        <v>2793</v>
      </c>
      <c r="S762" s="17"/>
      <c r="T762" s="16" t="s">
        <v>2794</v>
      </c>
      <c r="U762" s="16"/>
      <c r="V762" s="16" t="s">
        <v>2795</v>
      </c>
      <c r="W762" s="16" t="s">
        <v>2795</v>
      </c>
      <c r="X762" s="56" t="s">
        <v>103</v>
      </c>
      <c r="Y762" s="7"/>
      <c r="Z762" s="16" t="s">
        <v>1894</v>
      </c>
      <c r="AA762" s="16">
        <v>2</v>
      </c>
      <c r="AB762" s="16"/>
      <c r="AC762" s="183"/>
      <c r="AD762" s="16"/>
      <c r="AE762" s="183"/>
      <c r="AF762" s="16"/>
      <c r="AG762" s="16"/>
      <c r="AH762" s="16"/>
      <c r="AI762" s="16"/>
      <c r="AJ762" s="16"/>
      <c r="AK762" s="16"/>
      <c r="AL762" s="16"/>
      <c r="AM762" s="90">
        <v>320</v>
      </c>
      <c r="AN762" s="184">
        <v>1</v>
      </c>
      <c r="AQ762" s="16"/>
      <c r="AR762" s="16"/>
      <c r="AS762" s="16"/>
      <c r="AT762" s="16"/>
      <c r="AU762" s="16"/>
      <c r="AV762" s="16"/>
      <c r="AW762" s="7"/>
      <c r="AX762" s="16"/>
      <c r="AY762" s="16"/>
      <c r="AZ762" s="16"/>
      <c r="BA762" s="16"/>
    </row>
    <row r="763" spans="1:53" ht="15.5">
      <c r="A763" s="576">
        <v>4</v>
      </c>
      <c r="B763" s="273" t="str">
        <f t="shared" si="36"/>
        <v>AKTIVAN</v>
      </c>
      <c r="C763" s="560">
        <v>761</v>
      </c>
      <c r="D763" s="561">
        <v>82</v>
      </c>
      <c r="E763" t="str">
        <f>VLOOKUP(D763,POSLODAVCI!$A$2:$J$84,2,0)</f>
        <v>ALISCA BAU Zrt. - Podružnica Osijek</v>
      </c>
      <c r="F763" s="78">
        <f>VLOOKUP(D763,POSLODAVCI!$A$2:$J$84,3,0)</f>
        <v>12424713159</v>
      </c>
      <c r="G763" t="str">
        <f>VLOOKUP(D763,POSLODAVCI!$A$2:$J$84,4,0)</f>
        <v>Zoran Zsivovics</v>
      </c>
      <c r="H763" t="str">
        <f>VLOOKUP(D763,POSLODAVCI!$A$2:$J$107,9,0)</f>
        <v>Osijek</v>
      </c>
      <c r="I763" t="str">
        <f>VLOOKUP(D763,POSLODAVCI!$A$2:$J$84,10,0)</f>
        <v>Ulica svetog Leopolda Bogdana Mandića 111M</v>
      </c>
      <c r="J763" s="561" t="s">
        <v>2796</v>
      </c>
      <c r="K763" s="562">
        <v>45621</v>
      </c>
      <c r="L763" s="562"/>
      <c r="M763" s="182">
        <v>37183388259</v>
      </c>
      <c r="N763" t="s">
        <v>89</v>
      </c>
      <c r="O763" s="7">
        <v>31485</v>
      </c>
      <c r="Q763" t="s">
        <v>376</v>
      </c>
      <c r="R763" t="s">
        <v>2797</v>
      </c>
      <c r="T763" t="s">
        <v>111</v>
      </c>
      <c r="V763" t="s">
        <v>1601</v>
      </c>
      <c r="W763" t="s">
        <v>1601</v>
      </c>
      <c r="X763" s="306" t="s">
        <v>103</v>
      </c>
      <c r="Y763" s="7"/>
      <c r="Z763" t="s">
        <v>1817</v>
      </c>
      <c r="AA763">
        <v>40</v>
      </c>
      <c r="AC763" s="183"/>
      <c r="AE763" s="183"/>
      <c r="AM763" s="563">
        <v>1935</v>
      </c>
      <c r="AN763" s="184">
        <v>1</v>
      </c>
      <c r="AW763" s="7"/>
    </row>
    <row r="764" spans="1:53" ht="15.5">
      <c r="A764" s="576">
        <v>21</v>
      </c>
      <c r="B764" s="273" t="str">
        <f t="shared" si="36"/>
        <v>NEAKTIVAN</v>
      </c>
      <c r="C764" s="560">
        <v>762</v>
      </c>
      <c r="D764" s="561">
        <v>46</v>
      </c>
      <c r="E764" t="str">
        <f>VLOOKUP(D764,POSLODAVCI!$A$2:$J$84,2,0)</f>
        <v>Baranjske slastice Horvat j.d.o.o.</v>
      </c>
      <c r="F764" s="78">
        <f>VLOOKUP(D764,POSLODAVCI!$A$2:$J$84,3,0)</f>
        <v>81938384478</v>
      </c>
      <c r="G764" t="str">
        <f>VLOOKUP(D764,POSLODAVCI!$A$2:$J$84,4,0)</f>
        <v>Ilonka Horvat</v>
      </c>
      <c r="H764" t="str">
        <f>VLOOKUP(D764,POSLODAVCI!$A$2:$J$107,9,0)</f>
        <v>Suza</v>
      </c>
      <c r="I764" t="str">
        <f>VLOOKUP(D764,POSLODAVCI!$A$2:$J$84,10,0)</f>
        <v>Petefi Šandora 31</v>
      </c>
      <c r="J764" s="561" t="s">
        <v>2720</v>
      </c>
      <c r="K764" s="562">
        <v>45630</v>
      </c>
      <c r="L764" s="562">
        <v>45646</v>
      </c>
      <c r="M764" s="182">
        <v>64265316862</v>
      </c>
      <c r="N764" s="16" t="s">
        <v>80</v>
      </c>
      <c r="O764" s="7">
        <v>24341</v>
      </c>
      <c r="Q764" s="16" t="s">
        <v>82</v>
      </c>
      <c r="R764" s="365" t="s">
        <v>2801</v>
      </c>
      <c r="T764" s="16" t="s">
        <v>84</v>
      </c>
      <c r="W764" s="16" t="s">
        <v>1901</v>
      </c>
      <c r="X764" s="56" t="s">
        <v>85</v>
      </c>
      <c r="Y764" s="7">
        <v>45646</v>
      </c>
      <c r="Z764" s="16" t="s">
        <v>1894</v>
      </c>
      <c r="AA764">
        <v>20</v>
      </c>
      <c r="AB764" s="365" t="s">
        <v>2802</v>
      </c>
      <c r="AC764" s="183"/>
      <c r="AE764" s="183"/>
      <c r="AM764" s="563">
        <v>420</v>
      </c>
      <c r="AN764" s="184">
        <v>1</v>
      </c>
      <c r="AW764" s="7"/>
    </row>
    <row r="765" spans="1:53" ht="15.5">
      <c r="A765" s="576">
        <v>3</v>
      </c>
      <c r="B765" s="273" t="str">
        <f t="shared" si="36"/>
        <v>AKTIVAN</v>
      </c>
      <c r="C765" s="560">
        <v>763</v>
      </c>
      <c r="D765" s="561">
        <v>51</v>
      </c>
      <c r="E765" t="str">
        <f>VLOOKUP(D765,POSLODAVCI!$A$2:$J$84,2,0)</f>
        <v>GUGA NATURA j.d.o.o.</v>
      </c>
      <c r="F765" s="78">
        <f>VLOOKUP(D765,POSLODAVCI!$A$2:$J$84,3,0)</f>
        <v>85140091316</v>
      </c>
      <c r="G765" t="str">
        <f>VLOOKUP(D765,POSLODAVCI!$A$2:$J$84,4,0)</f>
        <v>Giulia Tatalović</v>
      </c>
      <c r="H765" t="str">
        <f>VLOOKUP(D765,POSLODAVCI!$A$2:$J$107,9,0)</f>
        <v>Dajla</v>
      </c>
      <c r="I765" t="str">
        <f>VLOOKUP(D765,POSLODAVCI!$A$2:$J$84,10,0)</f>
        <v>Sv. Benedikta 35</v>
      </c>
      <c r="J765" s="1" t="s">
        <v>2826</v>
      </c>
      <c r="K765" s="562">
        <v>45694</v>
      </c>
      <c r="L765" s="562"/>
      <c r="M765" s="182">
        <v>21930875762</v>
      </c>
      <c r="N765" t="s">
        <v>89</v>
      </c>
      <c r="O765" s="7">
        <v>27591</v>
      </c>
      <c r="P765" s="16" t="s">
        <v>2827</v>
      </c>
      <c r="Q765" s="16" t="s">
        <v>82</v>
      </c>
      <c r="R765" s="16" t="s">
        <v>2828</v>
      </c>
      <c r="S765" s="17" t="s">
        <v>87</v>
      </c>
      <c r="T765" t="s">
        <v>84</v>
      </c>
      <c r="V765" t="s">
        <v>488</v>
      </c>
      <c r="W765" t="s">
        <v>488</v>
      </c>
      <c r="X765" s="306" t="s">
        <v>85</v>
      </c>
      <c r="Y765" s="7"/>
      <c r="Z765" t="s">
        <v>1817</v>
      </c>
      <c r="AA765">
        <v>40</v>
      </c>
      <c r="AC765" s="183"/>
      <c r="AE765" s="183"/>
      <c r="AH765" s="16" t="s">
        <v>2827</v>
      </c>
      <c r="AL765" s="16" t="s">
        <v>428</v>
      </c>
      <c r="AM765" s="563">
        <v>970</v>
      </c>
      <c r="AN765" s="184">
        <v>1</v>
      </c>
      <c r="AW765" s="7"/>
      <c r="AZ765" t="s">
        <v>2470</v>
      </c>
      <c r="BA765">
        <v>3</v>
      </c>
    </row>
    <row r="766" spans="1:53" ht="15.5">
      <c r="A766" s="576">
        <v>1</v>
      </c>
      <c r="B766" s="273" t="str">
        <f t="shared" si="36"/>
        <v>AKTIVAN</v>
      </c>
      <c r="C766" s="302">
        <v>764</v>
      </c>
      <c r="D766" s="1">
        <v>83</v>
      </c>
      <c r="E766" s="1" t="str">
        <f>VLOOKUP(D766,POSLODAVCI!$A$2:$J$84,2,0)</f>
        <v>5sedmina j.d.o.o.</v>
      </c>
      <c r="F766" s="4">
        <f>VLOOKUP(D766,POSLODAVCI!$A$2:$J$84,3,0)</f>
        <v>52257200443</v>
      </c>
      <c r="G766" s="1" t="str">
        <f>VLOOKUP(D766,POSLODAVCI!$A$2:$J$84,4,0)</f>
        <v>Danijela Petrović</v>
      </c>
      <c r="H766" s="1" t="str">
        <f>VLOOKUP(D766,POSLODAVCI!$A$2:$J$107,9,0)</f>
        <v>Osijek</v>
      </c>
      <c r="I766" s="1" t="str">
        <f>VLOOKUP(D766,POSLODAVCI!$A$2:$J$84,10,0)</f>
        <v>Kornatska 29, 31000 Osijek</v>
      </c>
      <c r="J766" s="1" t="s">
        <v>2809</v>
      </c>
      <c r="K766" s="61">
        <v>45618</v>
      </c>
      <c r="L766" s="61"/>
      <c r="M766" s="465">
        <v>75473123133</v>
      </c>
      <c r="N766" s="16" t="s">
        <v>80</v>
      </c>
      <c r="O766" s="7">
        <v>33460</v>
      </c>
      <c r="P766" s="16" t="s">
        <v>829</v>
      </c>
      <c r="Q766" s="16" t="s">
        <v>82</v>
      </c>
      <c r="R766" s="16" t="s">
        <v>2812</v>
      </c>
      <c r="S766" s="17"/>
      <c r="T766" s="16" t="s">
        <v>84</v>
      </c>
      <c r="U766" s="16"/>
      <c r="V766" s="16" t="s">
        <v>1966</v>
      </c>
      <c r="W766" s="16" t="s">
        <v>1966</v>
      </c>
      <c r="X766" s="56" t="s">
        <v>103</v>
      </c>
      <c r="Y766" s="7"/>
      <c r="Z766" t="s">
        <v>1817</v>
      </c>
      <c r="AA766" s="16">
        <v>40</v>
      </c>
      <c r="AB766" s="570"/>
      <c r="AC766" s="183"/>
      <c r="AD766" s="16"/>
      <c r="AE766" s="183"/>
      <c r="AF766" s="16"/>
      <c r="AG766" s="16"/>
      <c r="AH766" s="16"/>
      <c r="AI766" s="16"/>
      <c r="AJ766" s="16"/>
      <c r="AK766" s="16"/>
      <c r="AL766" s="16"/>
      <c r="AM766" s="90">
        <v>1014</v>
      </c>
      <c r="AN766" s="184">
        <v>1</v>
      </c>
      <c r="AQ766" s="16"/>
      <c r="AR766" s="16"/>
      <c r="AS766" s="16"/>
      <c r="AT766" s="16"/>
      <c r="AU766" s="16"/>
      <c r="AV766" s="16"/>
      <c r="AW766" s="7"/>
      <c r="AX766" s="16"/>
      <c r="AY766" s="16"/>
      <c r="AZ766" s="16" t="s">
        <v>374</v>
      </c>
      <c r="BA766" s="16">
        <v>1</v>
      </c>
    </row>
    <row r="767" spans="1:53" ht="15.5">
      <c r="A767" s="576">
        <v>22</v>
      </c>
      <c r="B767" s="273" t="str">
        <f t="shared" si="36"/>
        <v>NEAKTIVAN</v>
      </c>
      <c r="C767" s="560">
        <v>765</v>
      </c>
      <c r="D767" s="561">
        <v>46</v>
      </c>
      <c r="E767" s="561" t="str">
        <f>VLOOKUP(D767,POSLODAVCI!$A$2:$J$84,2,0)</f>
        <v>Baranjske slastice Horvat j.d.o.o.</v>
      </c>
      <c r="F767" s="571">
        <f>VLOOKUP(D767,POSLODAVCI!$A$2:$J$84,3,0)</f>
        <v>81938384478</v>
      </c>
      <c r="G767" s="561" t="str">
        <f>VLOOKUP(D767,POSLODAVCI!$A$2:$J$84,4,0)</f>
        <v>Ilonka Horvat</v>
      </c>
      <c r="H767" s="561" t="str">
        <f>VLOOKUP(D767,POSLODAVCI!$A$2:$J$107,9,0)</f>
        <v>Suza</v>
      </c>
      <c r="I767" s="561" t="str">
        <f>VLOOKUP(D767,POSLODAVCI!$A$2:$J$84,10,0)</f>
        <v>Petefi Šandora 31</v>
      </c>
      <c r="J767" s="561" t="s">
        <v>2813</v>
      </c>
      <c r="K767" s="562">
        <v>45645</v>
      </c>
      <c r="L767" s="562">
        <v>45649</v>
      </c>
      <c r="M767" s="182">
        <v>10475734460</v>
      </c>
      <c r="N767" t="s">
        <v>80</v>
      </c>
      <c r="O767" s="7">
        <v>38339</v>
      </c>
      <c r="P767" t="s">
        <v>81</v>
      </c>
      <c r="Q767" t="s">
        <v>82</v>
      </c>
      <c r="R767" t="s">
        <v>2814</v>
      </c>
      <c r="T767" t="s">
        <v>84</v>
      </c>
      <c r="V767" t="s">
        <v>1901</v>
      </c>
      <c r="W767" t="s">
        <v>1901</v>
      </c>
      <c r="X767" s="306" t="s">
        <v>85</v>
      </c>
      <c r="Y767" s="7">
        <v>45649</v>
      </c>
      <c r="Z767" t="s">
        <v>1817</v>
      </c>
      <c r="AA767">
        <v>40</v>
      </c>
      <c r="AC767" s="183"/>
      <c r="AE767" s="183"/>
      <c r="AM767" s="563">
        <v>840</v>
      </c>
      <c r="AN767" s="184">
        <v>1</v>
      </c>
      <c r="AW767" s="7"/>
    </row>
    <row r="768" spans="1:53" ht="15.5">
      <c r="A768" s="576">
        <v>2</v>
      </c>
      <c r="B768" s="273" t="str">
        <f t="shared" si="36"/>
        <v>AKTIVAN</v>
      </c>
      <c r="C768" s="560">
        <v>766</v>
      </c>
      <c r="D768" s="561">
        <v>83</v>
      </c>
      <c r="E768" t="str">
        <f>VLOOKUP(D768,POSLODAVCI!$A$2:$J$107,2,0)</f>
        <v>5sedmina j.d.o.o.</v>
      </c>
      <c r="F768" s="571">
        <f>VLOOKUP(D768,POSLODAVCI!$A$2:$J$84,3,0)</f>
        <v>52257200443</v>
      </c>
      <c r="G768" s="561" t="str">
        <f>VLOOKUP(D768,POSLODAVCI!$A$2:$J$84,4,0)</f>
        <v>Danijela Petrović</v>
      </c>
      <c r="H768" s="561" t="str">
        <f>VLOOKUP(D768,POSLODAVCI!$A$2:$J$107,9,0)</f>
        <v>Osijek</v>
      </c>
      <c r="I768" s="561" t="str">
        <f>VLOOKUP(D768,POSLODAVCI!$A$2:$J$84,10,0)</f>
        <v>Kornatska 29, 31000 Osijek</v>
      </c>
      <c r="J768" s="561" t="s">
        <v>2815</v>
      </c>
      <c r="K768" s="562">
        <v>45298</v>
      </c>
      <c r="L768" s="562"/>
      <c r="M768" s="182">
        <v>6643908309</v>
      </c>
      <c r="N768" t="s">
        <v>89</v>
      </c>
      <c r="O768" s="7">
        <v>32928</v>
      </c>
      <c r="P768" t="s">
        <v>81</v>
      </c>
      <c r="Q768" t="s">
        <v>82</v>
      </c>
      <c r="R768" t="s">
        <v>2812</v>
      </c>
      <c r="T768" t="s">
        <v>84</v>
      </c>
      <c r="V768" t="s">
        <v>2817</v>
      </c>
      <c r="X768" s="306" t="s">
        <v>103</v>
      </c>
      <c r="Y768" s="7"/>
      <c r="Z768" s="16" t="s">
        <v>1894</v>
      </c>
      <c r="AA768">
        <v>1</v>
      </c>
      <c r="AB768" s="23" t="s">
        <v>2816</v>
      </c>
      <c r="AC768" s="183"/>
      <c r="AE768" s="183"/>
      <c r="AM768" s="563">
        <v>970</v>
      </c>
      <c r="AN768" s="184">
        <v>1</v>
      </c>
      <c r="AW768" s="7"/>
      <c r="AZ768" s="16" t="s">
        <v>374</v>
      </c>
      <c r="BA768">
        <v>2</v>
      </c>
    </row>
    <row r="769" spans="1:53" ht="15.5">
      <c r="A769" s="576">
        <v>3</v>
      </c>
      <c r="B769" s="273" t="str">
        <f t="shared" si="36"/>
        <v>NEAKTIVAN</v>
      </c>
      <c r="C769" s="572">
        <v>767</v>
      </c>
      <c r="D769" s="573">
        <v>83</v>
      </c>
      <c r="E769" t="str">
        <f>VLOOKUP(D769,POSLODAVCI!$A$2:$J$107,2,0)</f>
        <v>5sedmina j.d.o.o.</v>
      </c>
      <c r="F769" s="78">
        <f>VLOOKUP(D769,POSLODAVCI!$A$2:$J$107,3,0)</f>
        <v>52257200443</v>
      </c>
      <c r="G769" t="str">
        <f>VLOOKUP(D769,POSLODAVCI!$A$2:$J$107,4,0)</f>
        <v>Danijela Petrović</v>
      </c>
      <c r="H769" t="str">
        <f>VLOOKUP(D769,POSLODAVCI!$A$2:$J$107,9,0)</f>
        <v>Osijek</v>
      </c>
      <c r="I769" t="str">
        <f>VLOOKUP(D769,POSLODAVCI!$A$2:$J$107,10,0)</f>
        <v>Kornatska 29, 31000 Osijek</v>
      </c>
      <c r="J769" s="573" t="s">
        <v>2820</v>
      </c>
      <c r="K769" s="574">
        <v>45667</v>
      </c>
      <c r="L769" s="574">
        <v>45671</v>
      </c>
      <c r="M769" s="182">
        <v>29375370529</v>
      </c>
      <c r="N769" t="s">
        <v>89</v>
      </c>
      <c r="O769" s="7">
        <v>36509</v>
      </c>
      <c r="P769" t="s">
        <v>81</v>
      </c>
      <c r="Q769" t="s">
        <v>82</v>
      </c>
      <c r="R769" t="s">
        <v>2812</v>
      </c>
      <c r="T769" t="s">
        <v>84</v>
      </c>
      <c r="V769" t="s">
        <v>2817</v>
      </c>
      <c r="W769" t="s">
        <v>2817</v>
      </c>
      <c r="X769" s="306" t="s">
        <v>85</v>
      </c>
      <c r="Y769" s="7"/>
      <c r="Z769" t="s">
        <v>1817</v>
      </c>
      <c r="AA769">
        <v>40</v>
      </c>
      <c r="AC769" s="183"/>
      <c r="AE769" s="183"/>
      <c r="AM769" s="575">
        <v>970</v>
      </c>
      <c r="AN769" s="184">
        <v>1</v>
      </c>
      <c r="AW769" s="7"/>
      <c r="AZ769" s="16" t="s">
        <v>374</v>
      </c>
      <c r="BA769">
        <v>3</v>
      </c>
    </row>
    <row r="770" spans="1:53" ht="15.5">
      <c r="A770" s="576">
        <v>4</v>
      </c>
      <c r="B770" s="273" t="str">
        <f t="shared" si="36"/>
        <v>AKTIVAN</v>
      </c>
      <c r="C770" s="302">
        <v>768</v>
      </c>
      <c r="D770" s="1">
        <v>51</v>
      </c>
      <c r="E770" t="str">
        <f>VLOOKUP(D770,POSLODAVCI!$A$2:$J$107,2,0)</f>
        <v>GUGA NATURA j.d.o.o.</v>
      </c>
      <c r="F770" s="78">
        <f>VLOOKUP(D770,POSLODAVCI!$A$2:$J$107,3,0)</f>
        <v>85140091316</v>
      </c>
      <c r="G770" t="str">
        <f>VLOOKUP(D770,POSLODAVCI!$A$2:$J$107,4,0)</f>
        <v>Giulia Tatalović</v>
      </c>
      <c r="H770" t="str">
        <f>VLOOKUP(D770,POSLODAVCI!$A$2:$J$107,9,0)</f>
        <v>Dajla</v>
      </c>
      <c r="I770" t="str">
        <f>VLOOKUP(D770,POSLODAVCI!$A$2:$J$107,10,0)</f>
        <v>Sv. Benedikta 35</v>
      </c>
      <c r="J770" s="1" t="s">
        <v>2829</v>
      </c>
      <c r="K770" s="61">
        <v>45717</v>
      </c>
      <c r="L770" s="61"/>
      <c r="M770" s="182">
        <v>55911427773</v>
      </c>
      <c r="N770" s="16" t="s">
        <v>89</v>
      </c>
      <c r="O770" s="7">
        <v>24446</v>
      </c>
      <c r="P770" s="16" t="s">
        <v>2827</v>
      </c>
      <c r="Q770" s="16" t="s">
        <v>82</v>
      </c>
      <c r="R770" s="402" t="s">
        <v>2133</v>
      </c>
      <c r="S770" s="17" t="s">
        <v>87</v>
      </c>
      <c r="T770" s="16" t="s">
        <v>1484</v>
      </c>
      <c r="U770" s="16"/>
      <c r="V770" s="16" t="s">
        <v>2830</v>
      </c>
      <c r="W770" s="16" t="s">
        <v>2831</v>
      </c>
      <c r="X770" s="56" t="s">
        <v>103</v>
      </c>
      <c r="Y770" s="7"/>
      <c r="Z770" t="s">
        <v>1817</v>
      </c>
      <c r="AA770" s="16">
        <v>40</v>
      </c>
      <c r="AB770" s="16"/>
      <c r="AC770" s="183"/>
      <c r="AD770" s="16"/>
      <c r="AE770" s="183"/>
      <c r="AF770" s="16"/>
      <c r="AG770" s="16"/>
      <c r="AH770" s="16" t="s">
        <v>2827</v>
      </c>
      <c r="AI770" s="16"/>
      <c r="AJ770" s="16"/>
      <c r="AK770" s="16"/>
      <c r="AL770" s="16" t="s">
        <v>428</v>
      </c>
      <c r="AM770" s="90">
        <v>1168.7</v>
      </c>
      <c r="AN770" s="184"/>
      <c r="AQ770" s="16"/>
      <c r="AR770" s="16"/>
      <c r="AS770" s="16"/>
      <c r="AT770" s="16"/>
      <c r="AU770" s="16"/>
      <c r="AV770" s="16"/>
      <c r="AW770" s="7"/>
      <c r="AX770" s="16"/>
      <c r="AY770" s="16"/>
      <c r="AZ770" s="16" t="s">
        <v>374</v>
      </c>
      <c r="BA770" s="16">
        <v>4</v>
      </c>
    </row>
    <row r="771" spans="1:53" ht="15.5">
      <c r="A771" s="576">
        <v>23</v>
      </c>
      <c r="B771" s="273" t="str">
        <f t="shared" si="36"/>
        <v>NEAKTIVAN</v>
      </c>
      <c r="C771" s="577">
        <v>769</v>
      </c>
      <c r="D771" s="578">
        <v>46</v>
      </c>
      <c r="E771" t="str">
        <f>VLOOKUP(D771,POSLODAVCI!$A$2:$J$107,2,0)</f>
        <v>Baranjske slastice Horvat j.d.o.o.</v>
      </c>
      <c r="F771" s="78">
        <f>VLOOKUP(D771,POSLODAVCI!$A$2:$J$107,3,0)</f>
        <v>81938384478</v>
      </c>
      <c r="G771" t="str">
        <f>VLOOKUP(D771,POSLODAVCI!$A$2:$J$107,4,0)</f>
        <v>Ilonka Horvat</v>
      </c>
      <c r="H771" t="str">
        <f>VLOOKUP(D771,POSLODAVCI!$A$2:$J$107,9,0)</f>
        <v>Suza</v>
      </c>
      <c r="I771" t="str">
        <f>VLOOKUP(D771,POSLODAVCI!$A$2:$J$107,10,0)</f>
        <v>Petefi Šandora 31</v>
      </c>
      <c r="J771" s="578" t="s">
        <v>2780</v>
      </c>
      <c r="K771" s="579">
        <v>45708</v>
      </c>
      <c r="L771" s="579">
        <v>45719</v>
      </c>
      <c r="M771" s="365" t="s">
        <v>2781</v>
      </c>
      <c r="N771" t="s">
        <v>80</v>
      </c>
      <c r="O771" s="7" t="s">
        <v>2832</v>
      </c>
      <c r="P771" t="s">
        <v>81</v>
      </c>
      <c r="Q771" t="s">
        <v>82</v>
      </c>
      <c r="R771" t="s">
        <v>2782</v>
      </c>
      <c r="T771" t="s">
        <v>84</v>
      </c>
      <c r="V771" t="s">
        <v>2152</v>
      </c>
      <c r="W771" t="s">
        <v>2152</v>
      </c>
      <c r="X771" s="306" t="s">
        <v>103</v>
      </c>
      <c r="Y771" s="7"/>
      <c r="Z771" t="s">
        <v>1817</v>
      </c>
      <c r="AA771">
        <v>40</v>
      </c>
      <c r="AC771" s="183"/>
      <c r="AE771" s="183"/>
      <c r="AM771" s="580">
        <v>970</v>
      </c>
      <c r="AN771" s="184">
        <v>1</v>
      </c>
      <c r="AW771" s="7"/>
    </row>
    <row r="772" spans="1:53" ht="15.5">
      <c r="A772" s="576">
        <v>4</v>
      </c>
      <c r="B772" s="273" t="str">
        <f t="shared" si="36"/>
        <v>AKTIVAN</v>
      </c>
      <c r="C772" s="302">
        <v>770</v>
      </c>
      <c r="D772" s="1">
        <v>83</v>
      </c>
      <c r="E772" t="str">
        <f>VLOOKUP(D772,POSLODAVCI!$A$2:$J$107,2,0)</f>
        <v>5sedmina j.d.o.o.</v>
      </c>
      <c r="F772" s="78">
        <f>VLOOKUP(D772,POSLODAVCI!$A$2:$J$107,3,0)</f>
        <v>52257200443</v>
      </c>
      <c r="G772" t="str">
        <f>VLOOKUP(D772,POSLODAVCI!$A$2:$J$107,4,0)</f>
        <v>Danijela Petrović</v>
      </c>
      <c r="H772" t="str">
        <f>VLOOKUP(D772,POSLODAVCI!$A$2:$J$107,9,0)</f>
        <v>Osijek</v>
      </c>
      <c r="I772" t="str">
        <f>VLOOKUP(D772,POSLODAVCI!$A$2:$J$107,10,0)</f>
        <v>Kornatska 29, 31000 Osijek</v>
      </c>
      <c r="J772" s="1" t="s">
        <v>2833</v>
      </c>
      <c r="K772" s="61">
        <v>45736</v>
      </c>
      <c r="L772" s="61"/>
      <c r="M772" s="182">
        <v>57272810685</v>
      </c>
      <c r="N772" s="16" t="s">
        <v>89</v>
      </c>
      <c r="O772" s="7">
        <v>33399</v>
      </c>
      <c r="P772" s="16" t="s">
        <v>81</v>
      </c>
      <c r="Q772" s="16" t="s">
        <v>82</v>
      </c>
      <c r="R772" s="16" t="s">
        <v>2834</v>
      </c>
      <c r="S772" s="17"/>
      <c r="T772" s="16" t="s">
        <v>84</v>
      </c>
      <c r="U772" s="16"/>
      <c r="V772" s="16" t="s">
        <v>2835</v>
      </c>
      <c r="W772" s="16" t="s">
        <v>2836</v>
      </c>
      <c r="X772" s="56" t="s">
        <v>103</v>
      </c>
      <c r="Y772" s="7"/>
      <c r="Z772" t="s">
        <v>1817</v>
      </c>
      <c r="AA772" s="16">
        <v>40</v>
      </c>
      <c r="AB772" s="16"/>
      <c r="AC772" s="183"/>
      <c r="AD772" s="16"/>
      <c r="AE772" s="183"/>
      <c r="AF772" s="16"/>
      <c r="AG772" s="16"/>
      <c r="AH772" s="16"/>
      <c r="AI772" s="16"/>
      <c r="AJ772" s="16"/>
      <c r="AK772" s="16"/>
      <c r="AL772" s="16"/>
      <c r="AM772" s="90">
        <v>970</v>
      </c>
      <c r="AN772" s="184">
        <v>1</v>
      </c>
      <c r="AQ772" s="16"/>
      <c r="AR772" s="16"/>
      <c r="AS772" s="16"/>
      <c r="AT772" s="16"/>
      <c r="AU772" s="16"/>
      <c r="AV772" s="16"/>
      <c r="AW772" s="7"/>
      <c r="AX772" s="16"/>
      <c r="AY772" s="16"/>
      <c r="AZ772" s="16" t="s">
        <v>2837</v>
      </c>
      <c r="BA772" s="16">
        <v>4</v>
      </c>
    </row>
    <row r="773" spans="1:53" ht="15.5">
      <c r="A773" s="576">
        <v>24</v>
      </c>
      <c r="B773" s="273" t="str">
        <f t="shared" si="36"/>
        <v>NEAKTIVAN</v>
      </c>
      <c r="C773" s="581">
        <v>771</v>
      </c>
      <c r="D773" s="582">
        <v>46</v>
      </c>
      <c r="E773" t="str">
        <f>VLOOKUP(D773,POSLODAVCI!$A$2:$J$107,2,0)</f>
        <v>Baranjske slastice Horvat j.d.o.o.</v>
      </c>
      <c r="F773" s="78">
        <f>VLOOKUP(D773,POSLODAVCI!$A$2:$J$107,3,0)</f>
        <v>81938384478</v>
      </c>
      <c r="G773" t="str">
        <f>VLOOKUP(D773,POSLODAVCI!$A$2:$J$107,4,0)</f>
        <v>Ilonka Horvat</v>
      </c>
      <c r="H773" t="str">
        <f>VLOOKUP(D773,POSLODAVCI!$A$2:$J$107,9,0)</f>
        <v>Suza</v>
      </c>
      <c r="I773" t="str">
        <f>VLOOKUP(D773,POSLODAVCI!$A$2:$J$107,10,0)</f>
        <v>Petefi Šandora 31</v>
      </c>
      <c r="J773" s="582" t="s">
        <v>2838</v>
      </c>
      <c r="K773" s="583">
        <v>45748</v>
      </c>
      <c r="L773" s="583">
        <v>46053</v>
      </c>
      <c r="M773" s="182">
        <v>46438200238</v>
      </c>
      <c r="N773" t="s">
        <v>80</v>
      </c>
      <c r="O773" s="7">
        <v>36393</v>
      </c>
      <c r="P773" t="s">
        <v>81</v>
      </c>
      <c r="Q773" t="s">
        <v>82</v>
      </c>
      <c r="R773" t="s">
        <v>2718</v>
      </c>
      <c r="T773" t="s">
        <v>84</v>
      </c>
      <c r="W773" t="s">
        <v>2839</v>
      </c>
      <c r="X773" s="306" t="s">
        <v>85</v>
      </c>
      <c r="Y773" s="7">
        <v>46053</v>
      </c>
      <c r="Z773" t="s">
        <v>1817</v>
      </c>
      <c r="AA773">
        <v>40</v>
      </c>
      <c r="AB773" t="s">
        <v>2719</v>
      </c>
      <c r="AC773" s="183"/>
      <c r="AE773" s="183"/>
      <c r="AM773" s="584"/>
      <c r="AN773" s="184"/>
      <c r="AW773" s="7"/>
    </row>
    <row r="774" spans="1:53" ht="15.5">
      <c r="A774" s="576">
        <v>25</v>
      </c>
      <c r="B774" s="273" t="str">
        <f t="shared" si="36"/>
        <v>NEAKTIVAN</v>
      </c>
      <c r="C774" s="581">
        <v>772</v>
      </c>
      <c r="D774" s="582">
        <v>46</v>
      </c>
      <c r="E774" t="str">
        <f>VLOOKUP(D774,POSLODAVCI!$A$2:$J$107,2,0)</f>
        <v>Baranjske slastice Horvat j.d.o.o.</v>
      </c>
      <c r="F774" s="78">
        <f>VLOOKUP(D774,POSLODAVCI!$A$2:$J$107,3,0)</f>
        <v>81938384478</v>
      </c>
      <c r="G774" t="str">
        <f>VLOOKUP(D774,POSLODAVCI!$A$2:$J$107,4,0)</f>
        <v>Ilonka Horvat</v>
      </c>
      <c r="H774" t="str">
        <f>VLOOKUP(D774,POSLODAVCI!$A$2:$J$107,9,0)</f>
        <v>Suza</v>
      </c>
      <c r="I774" t="str">
        <f>VLOOKUP(D774,POSLODAVCI!$A$2:$J$107,10,0)</f>
        <v>Petefi Šandora 31</v>
      </c>
      <c r="J774" s="582" t="s">
        <v>2840</v>
      </c>
      <c r="K774" s="583">
        <v>45748</v>
      </c>
      <c r="L774" s="583">
        <v>46053</v>
      </c>
      <c r="M774" s="182">
        <v>51977625956</v>
      </c>
      <c r="N774" t="s">
        <v>80</v>
      </c>
      <c r="O774" s="7">
        <v>34544</v>
      </c>
      <c r="P774" t="s">
        <v>2841</v>
      </c>
      <c r="Q774" t="s">
        <v>82</v>
      </c>
      <c r="R774" t="s">
        <v>2842</v>
      </c>
      <c r="T774" t="s">
        <v>84</v>
      </c>
      <c r="W774" t="s">
        <v>2839</v>
      </c>
      <c r="X774" s="306" t="s">
        <v>85</v>
      </c>
      <c r="Y774" s="7" t="s">
        <v>2843</v>
      </c>
      <c r="Z774" t="s">
        <v>1817</v>
      </c>
      <c r="AA774">
        <v>40</v>
      </c>
      <c r="AB774" t="s">
        <v>2844</v>
      </c>
      <c r="AC774" s="183"/>
      <c r="AE774" s="183"/>
      <c r="AM774" s="584"/>
      <c r="AN774" s="184"/>
      <c r="AW774" s="7"/>
    </row>
    <row r="775" spans="1:53" ht="15.5">
      <c r="A775" s="576">
        <v>26</v>
      </c>
      <c r="B775" s="273" t="str">
        <f t="shared" si="36"/>
        <v>NEAKTIVAN</v>
      </c>
      <c r="C775" s="581">
        <v>773</v>
      </c>
      <c r="D775" s="582">
        <v>46</v>
      </c>
      <c r="E775" t="str">
        <f>VLOOKUP(D775,POSLODAVCI!$A$2:$J$107,2,0)</f>
        <v>Baranjske slastice Horvat j.d.o.o.</v>
      </c>
      <c r="F775" s="78">
        <f>VLOOKUP(D775,POSLODAVCI!$A$2:$J$107,3,0)</f>
        <v>81938384478</v>
      </c>
      <c r="G775" t="str">
        <f>VLOOKUP(D775,POSLODAVCI!$A$2:$J$107,4,0)</f>
        <v>Ilonka Horvat</v>
      </c>
      <c r="H775" t="str">
        <f>VLOOKUP(D775,POSLODAVCI!$A$2:$J$107,9,0)</f>
        <v>Suza</v>
      </c>
      <c r="I775" t="str">
        <f>VLOOKUP(D775,POSLODAVCI!$A$2:$J$107,10,0)</f>
        <v>Petefi Šandora 31</v>
      </c>
      <c r="J775" s="582" t="s">
        <v>1888</v>
      </c>
      <c r="K775" s="583">
        <v>45748</v>
      </c>
      <c r="L775" s="583">
        <v>46053</v>
      </c>
      <c r="M775" s="182">
        <v>80146813683</v>
      </c>
      <c r="N775" t="s">
        <v>80</v>
      </c>
      <c r="O775" s="7">
        <v>30309</v>
      </c>
      <c r="P775" t="s">
        <v>81</v>
      </c>
      <c r="Q775" t="s">
        <v>82</v>
      </c>
      <c r="R775" t="s">
        <v>1889</v>
      </c>
      <c r="S775" s="5" t="s">
        <v>83</v>
      </c>
      <c r="T775" t="s">
        <v>84</v>
      </c>
      <c r="V775" t="s">
        <v>1774</v>
      </c>
      <c r="W775" t="s">
        <v>1775</v>
      </c>
      <c r="X775" s="306" t="s">
        <v>2474</v>
      </c>
      <c r="Y775" s="7">
        <v>46053</v>
      </c>
      <c r="Z775" t="s">
        <v>1817</v>
      </c>
      <c r="AA775">
        <v>40</v>
      </c>
      <c r="AB775" t="s">
        <v>1890</v>
      </c>
      <c r="AC775" s="183"/>
      <c r="AE775" s="183"/>
      <c r="AM775" s="584"/>
      <c r="AN775" s="184"/>
      <c r="AO775" s="15">
        <v>800</v>
      </c>
      <c r="AW775" s="7"/>
    </row>
    <row r="776" spans="1:53" ht="15.5">
      <c r="A776" s="576">
        <v>27</v>
      </c>
      <c r="B776" s="273" t="str">
        <f t="shared" si="36"/>
        <v>NEAKTIVAN</v>
      </c>
      <c r="C776" s="581">
        <v>774</v>
      </c>
      <c r="D776" s="582">
        <v>46</v>
      </c>
      <c r="E776" t="str">
        <f>VLOOKUP(D776,POSLODAVCI!$A$2:$J$107,2,0)</f>
        <v>Baranjske slastice Horvat j.d.o.o.</v>
      </c>
      <c r="F776" s="78">
        <f>VLOOKUP(D776,POSLODAVCI!$A$2:$J$107,3,0)</f>
        <v>81938384478</v>
      </c>
      <c r="G776" t="str">
        <f>VLOOKUP(D776,POSLODAVCI!$A$2:$J$107,4,0)</f>
        <v>Ilonka Horvat</v>
      </c>
      <c r="H776" t="str">
        <f>VLOOKUP(D776,POSLODAVCI!$A$2:$J$107,9,0)</f>
        <v>Suza</v>
      </c>
      <c r="I776" t="str">
        <f>VLOOKUP(D776,POSLODAVCI!$A$2:$J$107,10,0)</f>
        <v>Petefi Šandora 31</v>
      </c>
      <c r="J776" s="582" t="s">
        <v>1891</v>
      </c>
      <c r="K776" s="583">
        <v>45748</v>
      </c>
      <c r="L776" s="583">
        <v>46053</v>
      </c>
      <c r="M776" s="182">
        <v>5523151006</v>
      </c>
      <c r="N776" t="s">
        <v>80</v>
      </c>
      <c r="O776" s="7">
        <v>26759</v>
      </c>
      <c r="Q776" t="s">
        <v>82</v>
      </c>
      <c r="R776" t="s">
        <v>2845</v>
      </c>
      <c r="S776" s="5" t="s">
        <v>83</v>
      </c>
      <c r="T776" t="s">
        <v>84</v>
      </c>
      <c r="V776" t="s">
        <v>1774</v>
      </c>
      <c r="W776" t="s">
        <v>1775</v>
      </c>
      <c r="X776" s="306" t="s">
        <v>85</v>
      </c>
      <c r="Y776" s="7"/>
      <c r="Z776" t="s">
        <v>1817</v>
      </c>
      <c r="AA776">
        <v>40</v>
      </c>
      <c r="AB776" t="s">
        <v>1895</v>
      </c>
      <c r="AC776" s="183"/>
      <c r="AE776" s="183"/>
      <c r="AH776" t="s">
        <v>108</v>
      </c>
      <c r="AM776" s="584"/>
      <c r="AN776" s="184"/>
      <c r="AO776" s="15">
        <v>800</v>
      </c>
      <c r="AW776" s="7"/>
    </row>
    <row r="777" spans="1:53" ht="15.5">
      <c r="A777">
        <v>1</v>
      </c>
      <c r="B777" s="273" t="str">
        <f t="shared" si="36"/>
        <v>AKTIVAN</v>
      </c>
      <c r="C777" s="581">
        <v>775</v>
      </c>
      <c r="D777" s="582">
        <v>84</v>
      </c>
      <c r="E777" t="str">
        <f>VLOOKUP(D777,POSLODAVCI!$A$2:$J$107,2,0)</f>
        <v>SPEED BOX  j.d.o.o.</v>
      </c>
      <c r="F777" s="78">
        <f>VLOOKUP(D777,POSLODAVCI!$A$2:$J$107,3,0)</f>
        <v>36404257254</v>
      </c>
      <c r="G777" t="str">
        <f>VLOOKUP(D777,POSLODAVCI!$A$2:$J$107,4,0)</f>
        <v>ALEKSA JURIĆ</v>
      </c>
      <c r="H777" t="str">
        <f>VLOOKUP(D777,POSLODAVCI!$A$2:$J$107,9,0)</f>
        <v>Ilok</v>
      </c>
      <c r="I777" t="str">
        <f>VLOOKUP(D777,POSLODAVCI!$A$2:$J$107,10,0)</f>
        <v>Julia Benešića 32</v>
      </c>
      <c r="J777" s="582" t="s">
        <v>2848</v>
      </c>
      <c r="K777" s="583">
        <v>45778</v>
      </c>
      <c r="L777" s="583"/>
      <c r="M777">
        <v>59979451754</v>
      </c>
      <c r="N777" t="s">
        <v>89</v>
      </c>
      <c r="O777" s="7">
        <v>36239</v>
      </c>
      <c r="P777" t="s">
        <v>2852</v>
      </c>
      <c r="Q777" t="s">
        <v>82</v>
      </c>
      <c r="R777" t="s">
        <v>2853</v>
      </c>
      <c r="S777" s="5" t="s">
        <v>83</v>
      </c>
      <c r="T777" t="s">
        <v>84</v>
      </c>
      <c r="V777" t="s">
        <v>2854</v>
      </c>
      <c r="W777" t="s">
        <v>2855</v>
      </c>
      <c r="X777" s="306" t="s">
        <v>103</v>
      </c>
      <c r="Y777" s="7"/>
      <c r="Z777" t="s">
        <v>1817</v>
      </c>
      <c r="AA777">
        <v>40</v>
      </c>
      <c r="AC777" s="183"/>
      <c r="AE777" s="183"/>
      <c r="AM777" s="584">
        <v>1168.7</v>
      </c>
      <c r="AN777" s="184">
        <v>1</v>
      </c>
      <c r="AW777" s="7"/>
      <c r="AZ777" t="s">
        <v>2856</v>
      </c>
      <c r="BA777">
        <v>1</v>
      </c>
    </row>
    <row r="778" spans="1:53" ht="15.5">
      <c r="A778">
        <v>5</v>
      </c>
      <c r="B778" s="273" t="str">
        <f t="shared" si="36"/>
        <v>AKTIVAN</v>
      </c>
      <c r="C778" s="581">
        <v>776</v>
      </c>
      <c r="D778" s="582">
        <v>83</v>
      </c>
      <c r="E778" t="str">
        <f>VLOOKUP(D778,POSLODAVCI!$A$2:$J$107,2,0)</f>
        <v>5sedmina j.d.o.o.</v>
      </c>
      <c r="F778" s="78">
        <f>VLOOKUP(D778,POSLODAVCI!$A$2:$J$107,3,0)</f>
        <v>52257200443</v>
      </c>
      <c r="G778" t="str">
        <f>VLOOKUP(D778,POSLODAVCI!$A$2:$J$107,4,0)</f>
        <v>Danijela Petrović</v>
      </c>
      <c r="H778" t="str">
        <f>VLOOKUP(D778,POSLODAVCI!$A$2:$J$107,9,0)</f>
        <v>Osijek</v>
      </c>
      <c r="I778" t="str">
        <f>VLOOKUP(D778,POSLODAVCI!$A$2:$J$107,10,0)</f>
        <v>Kornatska 29, 31000 Osijek</v>
      </c>
      <c r="J778" s="582" t="s">
        <v>2857</v>
      </c>
      <c r="K778" s="583">
        <v>45793</v>
      </c>
      <c r="L778" s="583"/>
      <c r="M778" s="182">
        <v>25027764108</v>
      </c>
      <c r="N778" t="s">
        <v>89</v>
      </c>
      <c r="O778" s="7">
        <v>34947</v>
      </c>
      <c r="P778" t="s">
        <v>81</v>
      </c>
      <c r="Q778" t="s">
        <v>82</v>
      </c>
      <c r="R778" t="s">
        <v>2858</v>
      </c>
      <c r="S778" s="5" t="s">
        <v>83</v>
      </c>
      <c r="T778" t="s">
        <v>84</v>
      </c>
      <c r="V778" t="s">
        <v>2859</v>
      </c>
      <c r="W778" t="s">
        <v>2859</v>
      </c>
      <c r="X778" s="306" t="s">
        <v>103</v>
      </c>
      <c r="Y778" s="7"/>
      <c r="Z778" s="16" t="s">
        <v>1894</v>
      </c>
      <c r="AA778">
        <v>1</v>
      </c>
      <c r="AB778" s="23" t="s">
        <v>2860</v>
      </c>
      <c r="AC778" s="183"/>
      <c r="AE778" s="183"/>
      <c r="AM778" s="584">
        <v>970</v>
      </c>
      <c r="AN778" s="184">
        <v>1</v>
      </c>
      <c r="AO778" s="15">
        <v>776</v>
      </c>
      <c r="AW778" s="7"/>
      <c r="AZ778" s="16" t="s">
        <v>374</v>
      </c>
      <c r="BA778">
        <v>5</v>
      </c>
    </row>
    <row r="779" spans="1:53" ht="15.5">
      <c r="A779">
        <v>1</v>
      </c>
      <c r="B779" s="273" t="str">
        <f t="shared" ref="B779:B798" si="37">IF(L779&gt;0,"NEAKTIVAN","AKTIVAN")</f>
        <v>AKTIVAN</v>
      </c>
      <c r="C779" s="302">
        <v>777</v>
      </c>
      <c r="D779" s="1">
        <v>85</v>
      </c>
      <c r="E779" t="str">
        <f>VLOOKUP(D779,POSLODAVCI!$A$2:$J$107,2,0)</f>
        <v>DG-ELEKTRO J.D.O.O.</v>
      </c>
      <c r="F779" s="78">
        <f>VLOOKUP(D779,POSLODAVCI!$A$2:$J$107,3,0)</f>
        <v>97057049112</v>
      </c>
      <c r="G779" t="str">
        <f>VLOOKUP(D779,POSLODAVCI!$A$2:$J$107,4,0)</f>
        <v>Domagoj Grgurić,</v>
      </c>
      <c r="H779" t="str">
        <f>VLOOKUP(D779,POSLODAVCI!$A$2:$J$107,9,0)</f>
        <v>Mali Lošinj</v>
      </c>
      <c r="I779" t="str">
        <f>VLOOKUP(D779,POSLODAVCI!$A$2:$J$107,10,0)</f>
        <v xml:space="preserve"> Vresikovo 25, Mali Lošinj</v>
      </c>
      <c r="J779" s="185" t="s">
        <v>2863</v>
      </c>
      <c r="K779" s="61">
        <v>45797</v>
      </c>
      <c r="L779" s="61"/>
      <c r="M779" s="426" t="s">
        <v>2866</v>
      </c>
      <c r="N779" s="16" t="s">
        <v>89</v>
      </c>
      <c r="O779" s="7">
        <v>34867</v>
      </c>
      <c r="P779" s="16" t="s">
        <v>2865</v>
      </c>
      <c r="Q779" s="16" t="s">
        <v>82</v>
      </c>
      <c r="R779" s="1" t="s">
        <v>2867</v>
      </c>
      <c r="S779" s="17" t="s">
        <v>83</v>
      </c>
      <c r="T779" s="16" t="s">
        <v>1484</v>
      </c>
      <c r="U779" s="16"/>
      <c r="V779" s="16" t="s">
        <v>2868</v>
      </c>
      <c r="W779" s="16" t="s">
        <v>2869</v>
      </c>
      <c r="X779" s="56" t="s">
        <v>103</v>
      </c>
      <c r="Y779" s="7"/>
      <c r="Z779" t="s">
        <v>1817</v>
      </c>
      <c r="AA779" s="16">
        <v>40</v>
      </c>
      <c r="AB779" s="16"/>
      <c r="AC779" s="183"/>
      <c r="AD779" s="16"/>
      <c r="AE779" s="183"/>
      <c r="AF779" s="16"/>
      <c r="AG779" s="16"/>
      <c r="AH779" s="16" t="s">
        <v>2870</v>
      </c>
      <c r="AI779" s="16"/>
      <c r="AJ779" s="16"/>
      <c r="AK779" s="16"/>
      <c r="AL779" s="16"/>
      <c r="AM779" s="90">
        <v>1168.7</v>
      </c>
      <c r="AN779" s="184">
        <v>1</v>
      </c>
      <c r="AO779" s="15">
        <v>846</v>
      </c>
      <c r="AQ779" s="16"/>
      <c r="AR779" s="16"/>
      <c r="AS779" s="16"/>
      <c r="AT779" s="16"/>
      <c r="AU779" s="16"/>
      <c r="AV779" s="16"/>
      <c r="AW779" s="7"/>
      <c r="AX779" s="16"/>
      <c r="AY779" s="16"/>
      <c r="AZ779" s="16" t="s">
        <v>374</v>
      </c>
      <c r="BA779" s="16">
        <v>1</v>
      </c>
    </row>
    <row r="780" spans="1:53" ht="15.5">
      <c r="A780">
        <v>1</v>
      </c>
      <c r="B780" s="273" t="str">
        <f t="shared" si="37"/>
        <v>NEAKTIVAN</v>
      </c>
      <c r="C780" s="302">
        <v>778</v>
      </c>
      <c r="D780" s="1">
        <v>86</v>
      </c>
      <c r="E780" t="str">
        <f>VLOOKUP(D780,POSLODAVCI!$A$2:$J$107,2,0)</f>
        <v>DALMATIA ASSET OPERATION D.O.O</v>
      </c>
      <c r="F780" s="78">
        <f>VLOOKUP(D780,POSLODAVCI!$A$2:$J$107,3,0)</f>
        <v>54482863185</v>
      </c>
      <c r="G780" t="str">
        <f>VLOOKUP(D780,POSLODAVCI!$A$2:$J$107,4,0)</f>
        <v>Zoltan Đulai</v>
      </c>
      <c r="H780" t="str">
        <f>VLOOKUP(D780,POSLODAVCI!$A$2:$J$107,9,0)</f>
        <v>Tribunj</v>
      </c>
      <c r="I780" t="str">
        <f>VLOOKUP(D780,POSLODAVCI!$A$2:$J$107,10,0)</f>
        <v>Jurjevgradska ulica 2, Tribunj</v>
      </c>
      <c r="J780" s="16" t="s">
        <v>2880</v>
      </c>
      <c r="K780" s="67">
        <v>44713</v>
      </c>
      <c r="L780" s="61">
        <v>45813</v>
      </c>
      <c r="M780" s="16">
        <v>19775084378</v>
      </c>
      <c r="N780" s="16" t="s">
        <v>89</v>
      </c>
      <c r="O780" s="67">
        <v>32351</v>
      </c>
      <c r="P780" s="16" t="s">
        <v>2881</v>
      </c>
      <c r="Q780" s="16" t="s">
        <v>82</v>
      </c>
      <c r="R780" s="16" t="s">
        <v>2882</v>
      </c>
      <c r="S780" s="17"/>
      <c r="T780" s="16" t="s">
        <v>84</v>
      </c>
      <c r="U780" s="16"/>
      <c r="V780" s="16" t="s">
        <v>2883</v>
      </c>
      <c r="W780" s="16" t="s">
        <v>418</v>
      </c>
      <c r="X780" s="56" t="s">
        <v>103</v>
      </c>
      <c r="Y780" s="7"/>
      <c r="Z780" t="s">
        <v>1817</v>
      </c>
      <c r="AA780" s="16">
        <v>40</v>
      </c>
      <c r="AB780" s="16"/>
      <c r="AC780" s="183"/>
      <c r="AD780" s="16"/>
      <c r="AE780" s="183"/>
      <c r="AF780" s="16"/>
      <c r="AG780" s="16"/>
      <c r="AH780" s="16"/>
      <c r="AI780" s="16"/>
      <c r="AJ780" s="16"/>
      <c r="AK780" s="16"/>
      <c r="AL780" s="16"/>
      <c r="AM780" s="90">
        <v>1168.77</v>
      </c>
      <c r="AN780" s="184">
        <v>2.2000000000000002</v>
      </c>
      <c r="AQ780" s="16"/>
      <c r="AR780" s="16"/>
      <c r="AS780" s="16"/>
      <c r="AT780" s="16"/>
      <c r="AU780" s="16"/>
      <c r="AV780" s="16"/>
      <c r="AW780" s="7"/>
      <c r="AX780" s="16"/>
      <c r="AY780" s="16"/>
      <c r="AZ780" s="16" t="s">
        <v>374</v>
      </c>
      <c r="BA780" s="16">
        <v>1</v>
      </c>
    </row>
    <row r="781" spans="1:53" ht="15.5">
      <c r="A781">
        <v>2</v>
      </c>
      <c r="B781" s="273" t="str">
        <f t="shared" si="37"/>
        <v>AKTIVAN</v>
      </c>
      <c r="C781" s="581">
        <v>779</v>
      </c>
      <c r="D781" s="582">
        <v>86</v>
      </c>
      <c r="E781" t="str">
        <f>VLOOKUP(D781,POSLODAVCI!$A$2:$J$107,2,0)</f>
        <v>DALMATIA ASSET OPERATION D.O.O</v>
      </c>
      <c r="F781" s="78">
        <f>VLOOKUP(D781,POSLODAVCI!$A$2:$J$107,3,0)</f>
        <v>54482863185</v>
      </c>
      <c r="G781" t="str">
        <f>VLOOKUP(D781,POSLODAVCI!$A$2:$J$107,4,0)</f>
        <v>Zoltan Đulai</v>
      </c>
      <c r="H781" t="str">
        <f>VLOOKUP(D781,POSLODAVCI!$A$2:$J$107,9,0)</f>
        <v>Tribunj</v>
      </c>
      <c r="I781" t="str">
        <f>VLOOKUP(D781,POSLODAVCI!$A$2:$J$107,10,0)</f>
        <v>Jurjevgradska ulica 2, Tribunj</v>
      </c>
      <c r="J781" s="582" t="s">
        <v>2885</v>
      </c>
      <c r="K781" s="583">
        <v>45820</v>
      </c>
      <c r="L781" s="583"/>
      <c r="M781" s="465">
        <v>17939741059</v>
      </c>
      <c r="N781" s="16" t="s">
        <v>89</v>
      </c>
      <c r="O781" s="7">
        <v>23943</v>
      </c>
      <c r="P781" s="16" t="s">
        <v>2879</v>
      </c>
      <c r="Q781" s="16" t="s">
        <v>82</v>
      </c>
      <c r="R781" s="185" t="s">
        <v>2886</v>
      </c>
      <c r="T781" s="16" t="s">
        <v>1484</v>
      </c>
      <c r="V781" s="16" t="s">
        <v>2883</v>
      </c>
      <c r="W781" s="16" t="s">
        <v>418</v>
      </c>
      <c r="X781" s="56" t="s">
        <v>103</v>
      </c>
      <c r="Y781" s="7"/>
      <c r="Z781" t="s">
        <v>1817</v>
      </c>
      <c r="AA781">
        <v>40</v>
      </c>
      <c r="AC781" s="183"/>
      <c r="AE781" s="183"/>
      <c r="AM781" s="584">
        <v>1168.77</v>
      </c>
      <c r="AN781" s="184">
        <v>1</v>
      </c>
      <c r="AW781" s="7"/>
      <c r="AZ781" s="16" t="s">
        <v>2888</v>
      </c>
      <c r="BA781">
        <v>1</v>
      </c>
    </row>
    <row r="782" spans="1:53" ht="15.5">
      <c r="A782" s="593">
        <v>25</v>
      </c>
      <c r="B782" s="273" t="str">
        <f t="shared" si="37"/>
        <v>NEAKTIVAN</v>
      </c>
      <c r="C782" s="581">
        <v>780</v>
      </c>
      <c r="D782" s="582">
        <v>26</v>
      </c>
      <c r="E782" t="str">
        <f>VLOOKUP(D782,POSLODAVCI!$A$2:$J$107,2,0)</f>
        <v>D-INVOICE D.O.O.</v>
      </c>
      <c r="F782" s="78">
        <f>VLOOKUP(D782,POSLODAVCI!$A$2:$J$107,3,0)</f>
        <v>95114485977</v>
      </c>
      <c r="G782" t="str">
        <f>VLOOKUP(D782,POSLODAVCI!$A$2:$J$107,4,0)</f>
        <v>LAURA GERGELJ</v>
      </c>
      <c r="H782" t="str">
        <f>VLOOKUP(D782,POSLODAVCI!$A$2:$J$107,9,0)</f>
        <v>Osijek</v>
      </c>
      <c r="I782" t="str">
        <f>VLOOKUP(D782,POSLODAVCI!$A$2:$J$107,10,0)</f>
        <v>SV.IVANA KRSTITELJA 15, DARDA</v>
      </c>
      <c r="J782" s="582" t="s">
        <v>2890</v>
      </c>
      <c r="K782" s="583">
        <v>45824</v>
      </c>
      <c r="L782" s="583">
        <v>45869</v>
      </c>
      <c r="M782" s="182">
        <v>84696241104</v>
      </c>
      <c r="N782" t="s">
        <v>80</v>
      </c>
      <c r="O782" s="7">
        <v>29604</v>
      </c>
      <c r="P782" t="s">
        <v>2889</v>
      </c>
      <c r="Q782" t="s">
        <v>82</v>
      </c>
      <c r="R782" t="s">
        <v>2891</v>
      </c>
      <c r="S782" s="5" t="s">
        <v>83</v>
      </c>
      <c r="T782" t="s">
        <v>111</v>
      </c>
      <c r="V782" t="s">
        <v>777</v>
      </c>
      <c r="W782" t="s">
        <v>777</v>
      </c>
      <c r="X782" s="306" t="s">
        <v>2526</v>
      </c>
      <c r="Y782" s="7"/>
      <c r="Z782" t="s">
        <v>1817</v>
      </c>
      <c r="AA782">
        <v>40</v>
      </c>
      <c r="AC782" s="183"/>
      <c r="AE782" s="183"/>
      <c r="AM782" s="584">
        <v>1531.25</v>
      </c>
      <c r="AN782" s="184">
        <v>1</v>
      </c>
      <c r="AW782" s="7"/>
      <c r="AZ782" t="s">
        <v>374</v>
      </c>
    </row>
    <row r="783" spans="1:53" ht="16.5">
      <c r="A783" s="593">
        <v>1</v>
      </c>
      <c r="B783" s="273" t="str">
        <f t="shared" si="37"/>
        <v>AKTIVAN</v>
      </c>
      <c r="C783" s="302">
        <v>781</v>
      </c>
      <c r="D783" s="1">
        <v>87</v>
      </c>
      <c r="E783" t="str">
        <f>VLOOKUP(D783,POSLODAVCI!$A$2:$J$107,2,0)</f>
        <v>CRUDA NAVITAS d.o.o.</v>
      </c>
      <c r="F783" s="78">
        <f>VLOOKUP(D783,POSLODAVCI!$A$2:$J$107,3,0)</f>
        <v>92836050023</v>
      </c>
      <c r="G783" t="str">
        <f>VLOOKUP(D783,POSLODAVCI!$A$2:$J$107,4,0)</f>
        <v>Adam Kazimierz Grom</v>
      </c>
      <c r="H783" t="str">
        <f>VLOOKUP(D783,POSLODAVCI!$A$2:$J$107,9,0)</f>
        <v>Split</v>
      </c>
      <c r="I783" t="str">
        <f>VLOOKUP(D783,POSLODAVCI!$A$2:$J$107,10,0)</f>
        <v>Smiljanićeva 2</v>
      </c>
      <c r="J783" s="587" t="s">
        <v>2897</v>
      </c>
      <c r="K783" s="61">
        <v>45889</v>
      </c>
      <c r="L783" s="61"/>
      <c r="M783" s="426" t="s">
        <v>2900</v>
      </c>
      <c r="N783" s="16" t="s">
        <v>89</v>
      </c>
      <c r="O783" s="7"/>
      <c r="P783" s="16" t="s">
        <v>2901</v>
      </c>
      <c r="Q783" s="16" t="s">
        <v>2903</v>
      </c>
      <c r="R783" s="587" t="s">
        <v>2902</v>
      </c>
      <c r="S783" s="17" t="s">
        <v>83</v>
      </c>
      <c r="T783" s="16" t="s">
        <v>84</v>
      </c>
      <c r="U783" s="16"/>
      <c r="V783" s="16" t="s">
        <v>418</v>
      </c>
      <c r="W783" s="16" t="s">
        <v>418</v>
      </c>
      <c r="X783" s="56" t="s">
        <v>103</v>
      </c>
      <c r="Y783" s="7"/>
      <c r="Z783" s="16" t="s">
        <v>1894</v>
      </c>
      <c r="AA783" s="16">
        <v>2</v>
      </c>
      <c r="AB783" s="16"/>
      <c r="AC783" s="183"/>
      <c r="AD783" s="16"/>
      <c r="AE783" s="183"/>
      <c r="AF783" s="16"/>
      <c r="AG783" s="16"/>
      <c r="AH783" s="16"/>
      <c r="AI783" s="16"/>
      <c r="AJ783" s="16"/>
      <c r="AK783" s="16"/>
      <c r="AL783" s="16"/>
      <c r="AM783" s="90">
        <v>1168.77</v>
      </c>
      <c r="AN783" s="184">
        <v>1</v>
      </c>
      <c r="AQ783" s="16"/>
      <c r="AR783" s="16"/>
      <c r="AS783" s="16"/>
      <c r="AT783" s="16"/>
      <c r="AU783" s="16"/>
      <c r="AV783" s="16"/>
      <c r="AW783" s="7"/>
      <c r="AX783" s="16"/>
      <c r="AY783" s="16"/>
      <c r="AZ783" s="16" t="s">
        <v>374</v>
      </c>
      <c r="BA783" s="16">
        <v>1</v>
      </c>
    </row>
    <row r="784" spans="1:53" ht="15.5">
      <c r="A784" s="593">
        <v>1</v>
      </c>
      <c r="B784" s="273" t="str">
        <f t="shared" si="37"/>
        <v>AKTIVAN</v>
      </c>
      <c r="C784" s="588">
        <v>782</v>
      </c>
      <c r="D784" s="589">
        <v>88</v>
      </c>
      <c r="E784" t="str">
        <f>VLOOKUP(D784,POSLODAVCI!$A$2:$J$107,2,0)</f>
        <v>PopBor j.d.o.o.</v>
      </c>
      <c r="F784" s="78">
        <f>VLOOKUP(D784,POSLODAVCI!$A$2:$J$107,3,0)</f>
        <v>24420062451</v>
      </c>
      <c r="G784" t="str">
        <f>VLOOKUP(D784,POSLODAVCI!$A$2:$J$107,4,0)</f>
        <v>Boris Popović</v>
      </c>
      <c r="H784" t="str">
        <f>VLOOKUP(D784,POSLODAVCI!$A$2:$J$107,9,0)</f>
        <v>OSIJEK</v>
      </c>
      <c r="I784" t="str">
        <f>VLOOKUP(D784,POSLODAVCI!$A$2:$J$107,10,0)</f>
        <v>DONJODRASKA OBALA 20, 31000 OSIJEK</v>
      </c>
      <c r="J784" s="589" t="s">
        <v>2908</v>
      </c>
      <c r="K784" s="590">
        <v>45901</v>
      </c>
      <c r="L784" s="590"/>
      <c r="M784" s="182">
        <v>69607926537</v>
      </c>
      <c r="N784" t="s">
        <v>89</v>
      </c>
      <c r="O784" s="7">
        <v>28410</v>
      </c>
      <c r="P784" t="s">
        <v>81</v>
      </c>
      <c r="Q784" t="s">
        <v>82</v>
      </c>
      <c r="R784" t="s">
        <v>2909</v>
      </c>
      <c r="S784" s="5" t="s">
        <v>83</v>
      </c>
      <c r="T784" t="s">
        <v>84</v>
      </c>
      <c r="V784" t="s">
        <v>2910</v>
      </c>
      <c r="W784" t="s">
        <v>418</v>
      </c>
      <c r="X784" s="306" t="s">
        <v>2526</v>
      </c>
      <c r="Y784" s="7"/>
      <c r="Z784" t="s">
        <v>1817</v>
      </c>
      <c r="AA784">
        <v>40</v>
      </c>
      <c r="AB784" t="s">
        <v>2911</v>
      </c>
      <c r="AC784" s="183"/>
      <c r="AE784" s="183"/>
      <c r="AM784" s="591">
        <v>1168.77</v>
      </c>
      <c r="AN784" s="184">
        <v>1</v>
      </c>
      <c r="AW784" s="7"/>
      <c r="AZ784" t="s">
        <v>374</v>
      </c>
      <c r="BA784">
        <v>1</v>
      </c>
    </row>
    <row r="785" spans="1:53" ht="15.5">
      <c r="A785" s="593">
        <v>26</v>
      </c>
      <c r="B785" s="273" t="str">
        <f t="shared" si="37"/>
        <v>NEAKTIVAN</v>
      </c>
      <c r="C785" s="588">
        <v>783</v>
      </c>
      <c r="D785" s="589">
        <v>26</v>
      </c>
      <c r="E785" t="str">
        <f>VLOOKUP(D785,POSLODAVCI!$A$2:$J$107,2,0)</f>
        <v>D-INVOICE D.O.O.</v>
      </c>
      <c r="F785" s="78">
        <f>VLOOKUP(D785,POSLODAVCI!$A$2:$J$107,3,0)</f>
        <v>95114485977</v>
      </c>
      <c r="G785" t="str">
        <f>VLOOKUP(D785,POSLODAVCI!$A$2:$J$107,4,0)</f>
        <v>LAURA GERGELJ</v>
      </c>
      <c r="H785" t="str">
        <f>VLOOKUP(D785,POSLODAVCI!$A$2:$J$107,9,0)</f>
        <v>Osijek</v>
      </c>
      <c r="I785" t="str">
        <f>VLOOKUP(D785,POSLODAVCI!$A$2:$J$107,10,0)</f>
        <v>SV.IVANA KRSTITELJA 15, DARDA</v>
      </c>
      <c r="J785" s="589" t="s">
        <v>2930</v>
      </c>
      <c r="K785" s="590">
        <v>46037</v>
      </c>
      <c r="L785" s="590">
        <v>46053</v>
      </c>
      <c r="M785" s="182">
        <v>8766996095</v>
      </c>
      <c r="N785" t="s">
        <v>80</v>
      </c>
      <c r="O785" s="7">
        <v>36511</v>
      </c>
      <c r="P785" t="s">
        <v>94</v>
      </c>
      <c r="Q785" t="s">
        <v>82</v>
      </c>
      <c r="R785" t="s">
        <v>2931</v>
      </c>
      <c r="T785" t="s">
        <v>1484</v>
      </c>
      <c r="V785" t="s">
        <v>2975</v>
      </c>
      <c r="W785" t="s">
        <v>2975</v>
      </c>
      <c r="X785" s="306" t="s">
        <v>2526</v>
      </c>
      <c r="Y785" s="7"/>
      <c r="Z785" t="s">
        <v>1817</v>
      </c>
      <c r="AA785">
        <v>40</v>
      </c>
      <c r="AC785" s="183"/>
      <c r="AE785" s="183"/>
      <c r="AM785" s="591">
        <v>1050</v>
      </c>
      <c r="AN785" s="184">
        <v>1</v>
      </c>
      <c r="AW785" s="7"/>
      <c r="AZ785" t="s">
        <v>374</v>
      </c>
      <c r="BA785">
        <v>2</v>
      </c>
    </row>
    <row r="786" spans="1:53" ht="15.5">
      <c r="A786" s="593">
        <v>1</v>
      </c>
      <c r="B786" s="273" t="str">
        <f t="shared" si="37"/>
        <v>AKTIVAN</v>
      </c>
      <c r="C786" s="503">
        <v>784</v>
      </c>
      <c r="D786" s="330">
        <v>89</v>
      </c>
      <c r="E786" t="str">
        <f>VLOOKUP(D786,POSLODAVCI!$A$2:$J$107,2,0)</f>
        <v>Nyugat epito KFT</v>
      </c>
      <c r="F786" s="78">
        <f>VLOOKUP(D786,POSLODAVCI!$A$2:$J$107,3,0)</f>
        <v>70481698940</v>
      </c>
      <c r="G786" t="str">
        <f>VLOOKUP(D786,POSLODAVCI!$A$2:$J$107,4,0)</f>
        <v>Görgky Zoltán</v>
      </c>
      <c r="H786" t="str">
        <f>VLOOKUP(D786,POSLODAVCI!$A$2:$J$107,9,0)</f>
        <v>VÖRÖSMARTY </v>
      </c>
      <c r="I786" t="str">
        <f>VLOOKUP(D786,POSLODAVCI!$A$2:$J$107,10,0)</f>
        <v>MIHÁLY UTCA, 0031,</v>
      </c>
      <c r="J786" s="330" t="s">
        <v>2936</v>
      </c>
      <c r="K786" s="331">
        <v>46043</v>
      </c>
      <c r="L786" s="331"/>
      <c r="M786" s="182"/>
      <c r="N786" s="313" t="s">
        <v>89</v>
      </c>
      <c r="O786" s="7">
        <v>35341</v>
      </c>
      <c r="P786" s="313" t="s">
        <v>2494</v>
      </c>
      <c r="Q786" s="313" t="s">
        <v>376</v>
      </c>
      <c r="R786" s="313" t="s">
        <v>2937</v>
      </c>
      <c r="S786" s="332"/>
      <c r="T786" s="313" t="s">
        <v>1484</v>
      </c>
      <c r="U786" s="313"/>
      <c r="V786" s="313" t="s">
        <v>2938</v>
      </c>
      <c r="W786" s="313" t="s">
        <v>2939</v>
      </c>
      <c r="X786" s="333" t="s">
        <v>103</v>
      </c>
      <c r="Y786" s="7"/>
      <c r="Z786" t="s">
        <v>1817</v>
      </c>
      <c r="AA786" s="313">
        <v>40</v>
      </c>
      <c r="AB786" s="313"/>
      <c r="AC786" s="183"/>
      <c r="AD786" s="313"/>
      <c r="AE786" s="183"/>
      <c r="AF786" s="313"/>
      <c r="AG786" s="313"/>
      <c r="AH786" s="313"/>
      <c r="AI786" s="313"/>
      <c r="AJ786" s="313"/>
      <c r="AK786" s="313"/>
      <c r="AL786" s="313"/>
      <c r="AM786" s="334">
        <v>1050</v>
      </c>
      <c r="AN786" s="184">
        <v>1</v>
      </c>
      <c r="AQ786" s="313"/>
      <c r="AR786" s="313"/>
      <c r="AS786" s="313"/>
      <c r="AT786" s="313"/>
      <c r="AU786" s="313"/>
      <c r="AV786" s="313"/>
      <c r="AW786" s="7"/>
      <c r="AX786" s="313"/>
      <c r="AY786" s="313"/>
      <c r="AZ786" t="s">
        <v>374</v>
      </c>
      <c r="BA786">
        <v>3</v>
      </c>
    </row>
    <row r="787" spans="1:53" ht="15.5">
      <c r="A787" s="593">
        <v>2</v>
      </c>
      <c r="B787" s="273" t="str">
        <f t="shared" si="37"/>
        <v>AKTIVAN</v>
      </c>
      <c r="C787" s="503">
        <v>785</v>
      </c>
      <c r="D787" s="330">
        <v>89</v>
      </c>
      <c r="E787" t="str">
        <f>VLOOKUP(D787,POSLODAVCI!$A$2:$J$107,2,0)</f>
        <v>Nyugat epito KFT</v>
      </c>
      <c r="F787" s="78">
        <f>VLOOKUP(D787,POSLODAVCI!$A$2:$J$107,3,0)</f>
        <v>70481698940</v>
      </c>
      <c r="G787" t="str">
        <f>VLOOKUP(D787,POSLODAVCI!$A$2:$J$107,4,0)</f>
        <v>Görgky Zoltán</v>
      </c>
      <c r="H787" t="str">
        <f>VLOOKUP(D787,POSLODAVCI!$A$2:$J$107,9,0)</f>
        <v>VÖRÖSMARTY </v>
      </c>
      <c r="I787" t="str">
        <f>VLOOKUP(D787,POSLODAVCI!$A$2:$J$107,10,0)</f>
        <v>MIHÁLY UTCA, 0031,</v>
      </c>
      <c r="J787" s="330" t="s">
        <v>2940</v>
      </c>
      <c r="K787" s="331">
        <v>46043</v>
      </c>
      <c r="L787" s="331"/>
      <c r="M787" s="182"/>
      <c r="N787" s="313" t="s">
        <v>89</v>
      </c>
      <c r="O787" s="7">
        <v>33307</v>
      </c>
      <c r="P787" s="313" t="s">
        <v>2494</v>
      </c>
      <c r="Q787" s="313" t="s">
        <v>376</v>
      </c>
      <c r="R787" s="313" t="s">
        <v>2941</v>
      </c>
      <c r="S787" s="332"/>
      <c r="T787" s="313" t="s">
        <v>1484</v>
      </c>
      <c r="U787" s="313"/>
      <c r="V787" s="313" t="s">
        <v>2938</v>
      </c>
      <c r="W787" s="313" t="s">
        <v>2939</v>
      </c>
      <c r="X787" s="333" t="s">
        <v>103</v>
      </c>
      <c r="Y787" s="7"/>
      <c r="Z787" t="s">
        <v>1817</v>
      </c>
      <c r="AA787" s="313">
        <v>40</v>
      </c>
      <c r="AB787" s="313"/>
      <c r="AC787" s="183"/>
      <c r="AD787" s="313"/>
      <c r="AE787" s="183"/>
      <c r="AF787" s="313"/>
      <c r="AG787" s="313"/>
      <c r="AH787" s="313"/>
      <c r="AI787" s="313"/>
      <c r="AJ787" s="313"/>
      <c r="AK787" s="313"/>
      <c r="AL787" s="313"/>
      <c r="AM787" s="334">
        <v>1050</v>
      </c>
      <c r="AN787" s="184">
        <v>1</v>
      </c>
      <c r="AQ787" s="313"/>
      <c r="AR787" s="313"/>
      <c r="AS787" s="313"/>
      <c r="AT787" s="313"/>
      <c r="AU787" s="313"/>
      <c r="AV787" s="313"/>
      <c r="AW787" s="7"/>
      <c r="AX787" s="313"/>
      <c r="AY787" s="313"/>
      <c r="AZ787" t="s">
        <v>374</v>
      </c>
      <c r="BA787">
        <v>4</v>
      </c>
    </row>
    <row r="788" spans="1:53" ht="15.5">
      <c r="A788" s="593">
        <v>3</v>
      </c>
      <c r="B788" s="273" t="str">
        <f t="shared" si="37"/>
        <v>AKTIVAN</v>
      </c>
      <c r="C788" s="503">
        <v>786</v>
      </c>
      <c r="D788" s="330">
        <v>89</v>
      </c>
      <c r="E788" t="str">
        <f>VLOOKUP(D788,POSLODAVCI!$A$2:$J$107,2,0)</f>
        <v>Nyugat epito KFT</v>
      </c>
      <c r="F788" s="78">
        <f>VLOOKUP(D788,POSLODAVCI!$A$2:$J$107,3,0)</f>
        <v>70481698940</v>
      </c>
      <c r="G788" t="str">
        <f>VLOOKUP(D788,POSLODAVCI!$A$2:$J$107,4,0)</f>
        <v>Görgky Zoltán</v>
      </c>
      <c r="H788" t="str">
        <f>VLOOKUP(D788,POSLODAVCI!$A$2:$J$107,9,0)</f>
        <v>VÖRÖSMARTY </v>
      </c>
      <c r="I788" t="str">
        <f>VLOOKUP(D788,POSLODAVCI!$A$2:$J$107,10,0)</f>
        <v>MIHÁLY UTCA, 0031,</v>
      </c>
      <c r="J788" s="330" t="s">
        <v>2942</v>
      </c>
      <c r="K788" s="331">
        <v>46043</v>
      </c>
      <c r="L788" s="331"/>
      <c r="M788" s="182"/>
      <c r="N788" s="313" t="s">
        <v>89</v>
      </c>
      <c r="O788" s="7">
        <v>33778</v>
      </c>
      <c r="P788" s="313" t="s">
        <v>2494</v>
      </c>
      <c r="Q788" s="313" t="s">
        <v>376</v>
      </c>
      <c r="R788" s="313" t="s">
        <v>2943</v>
      </c>
      <c r="S788" s="332"/>
      <c r="T788" s="313" t="s">
        <v>1484</v>
      </c>
      <c r="U788" s="313"/>
      <c r="V788" s="313" t="s">
        <v>2938</v>
      </c>
      <c r="W788" s="313" t="s">
        <v>2939</v>
      </c>
      <c r="X788" s="333" t="s">
        <v>103</v>
      </c>
      <c r="Y788" s="7"/>
      <c r="Z788" t="s">
        <v>1817</v>
      </c>
      <c r="AA788" s="313">
        <v>40</v>
      </c>
      <c r="AB788" s="313"/>
      <c r="AC788" s="183"/>
      <c r="AD788" s="313"/>
      <c r="AE788" s="183"/>
      <c r="AF788" s="313"/>
      <c r="AG788" s="313"/>
      <c r="AH788" s="313"/>
      <c r="AI788" s="313"/>
      <c r="AJ788" s="313"/>
      <c r="AK788" s="313"/>
      <c r="AL788" s="313"/>
      <c r="AM788" s="334">
        <v>1050</v>
      </c>
      <c r="AN788" s="184">
        <v>1</v>
      </c>
      <c r="AQ788" s="313"/>
      <c r="AR788" s="313"/>
      <c r="AS788" s="313"/>
      <c r="AT788" s="313"/>
      <c r="AU788" s="313"/>
      <c r="AV788" s="313"/>
      <c r="AW788" s="7"/>
      <c r="AX788" s="313"/>
      <c r="AY788" s="313"/>
      <c r="AZ788" t="s">
        <v>374</v>
      </c>
      <c r="BA788">
        <v>5</v>
      </c>
    </row>
    <row r="789" spans="1:53" ht="15.5">
      <c r="A789" s="593">
        <v>4</v>
      </c>
      <c r="B789" s="273" t="str">
        <f t="shared" si="37"/>
        <v>AKTIVAN</v>
      </c>
      <c r="C789" s="503">
        <v>787</v>
      </c>
      <c r="D789" s="330">
        <v>89</v>
      </c>
      <c r="E789" t="str">
        <f>VLOOKUP(D789,POSLODAVCI!$A$2:$J$107,2,0)</f>
        <v>Nyugat epito KFT</v>
      </c>
      <c r="F789" s="78">
        <f>VLOOKUP(D789,POSLODAVCI!$A$2:$J$107,3,0)</f>
        <v>70481698940</v>
      </c>
      <c r="G789" t="str">
        <f>VLOOKUP(D789,POSLODAVCI!$A$2:$J$107,4,0)</f>
        <v>Görgky Zoltán</v>
      </c>
      <c r="H789" t="str">
        <f>VLOOKUP(D789,POSLODAVCI!$A$2:$J$107,9,0)</f>
        <v>VÖRÖSMARTY </v>
      </c>
      <c r="I789" t="str">
        <f>VLOOKUP(D789,POSLODAVCI!$A$2:$J$107,10,0)</f>
        <v>MIHÁLY UTCA, 0031,</v>
      </c>
      <c r="J789" s="330" t="s">
        <v>2944</v>
      </c>
      <c r="K789" s="331">
        <v>46043</v>
      </c>
      <c r="L789" s="331"/>
      <c r="M789" s="182"/>
      <c r="N789" s="313" t="s">
        <v>89</v>
      </c>
      <c r="O789" s="7">
        <v>31240</v>
      </c>
      <c r="P789" s="313" t="s">
        <v>2494</v>
      </c>
      <c r="Q789" s="313" t="s">
        <v>376</v>
      </c>
      <c r="R789" s="313" t="s">
        <v>2945</v>
      </c>
      <c r="S789" s="332"/>
      <c r="T789" s="313" t="s">
        <v>1484</v>
      </c>
      <c r="U789" s="313"/>
      <c r="V789" s="313" t="s">
        <v>2938</v>
      </c>
      <c r="W789" s="313" t="s">
        <v>2939</v>
      </c>
      <c r="X789" s="333" t="s">
        <v>103</v>
      </c>
      <c r="Y789" s="7"/>
      <c r="Z789" t="s">
        <v>1817</v>
      </c>
      <c r="AA789" s="313">
        <v>40</v>
      </c>
      <c r="AB789" s="313"/>
      <c r="AC789" s="183"/>
      <c r="AD789" s="313"/>
      <c r="AE789" s="183"/>
      <c r="AF789" s="313"/>
      <c r="AG789" s="313"/>
      <c r="AH789" s="313"/>
      <c r="AI789" s="313"/>
      <c r="AJ789" s="313"/>
      <c r="AK789" s="313"/>
      <c r="AL789" s="313"/>
      <c r="AM789" s="334">
        <v>1050</v>
      </c>
      <c r="AN789" s="184">
        <v>1</v>
      </c>
      <c r="AQ789" s="313"/>
      <c r="AR789" s="313"/>
      <c r="AS789" s="313"/>
      <c r="AT789" s="313"/>
      <c r="AU789" s="313"/>
      <c r="AV789" s="313"/>
      <c r="AW789" s="7"/>
      <c r="AX789" s="313"/>
      <c r="AY789" s="313"/>
      <c r="AZ789" t="s">
        <v>374</v>
      </c>
      <c r="BA789">
        <v>6</v>
      </c>
    </row>
    <row r="790" spans="1:53" ht="15.5">
      <c r="A790" s="593">
        <v>5</v>
      </c>
      <c r="B790" s="273" t="str">
        <f t="shared" si="37"/>
        <v>AKTIVAN</v>
      </c>
      <c r="C790" s="503">
        <v>788</v>
      </c>
      <c r="D790" s="330">
        <v>89</v>
      </c>
      <c r="E790" t="str">
        <f>VLOOKUP(D790,POSLODAVCI!$A$2:$J$107,2,0)</f>
        <v>Nyugat epito KFT</v>
      </c>
      <c r="F790" s="78">
        <f>VLOOKUP(D790,POSLODAVCI!$A$2:$J$107,3,0)</f>
        <v>70481698940</v>
      </c>
      <c r="G790" t="str">
        <f>VLOOKUP(D790,POSLODAVCI!$A$2:$J$107,4,0)</f>
        <v>Görgky Zoltán</v>
      </c>
      <c r="H790" t="str">
        <f>VLOOKUP(D790,POSLODAVCI!$A$2:$J$107,9,0)</f>
        <v>VÖRÖSMARTY </v>
      </c>
      <c r="I790" t="str">
        <f>VLOOKUP(D790,POSLODAVCI!$A$2:$J$107,10,0)</f>
        <v>MIHÁLY UTCA, 0031,</v>
      </c>
      <c r="J790" s="330" t="s">
        <v>2946</v>
      </c>
      <c r="K790" s="331">
        <v>46042</v>
      </c>
      <c r="L790" s="331"/>
      <c r="M790" s="182">
        <v>38771506737</v>
      </c>
      <c r="N790" s="313" t="s">
        <v>89</v>
      </c>
      <c r="O790" s="7">
        <v>36484</v>
      </c>
      <c r="P790" s="313" t="s">
        <v>2494</v>
      </c>
      <c r="Q790" s="313" t="s">
        <v>376</v>
      </c>
      <c r="R790" s="313" t="s">
        <v>2947</v>
      </c>
      <c r="S790" s="332"/>
      <c r="T790" s="313" t="s">
        <v>1484</v>
      </c>
      <c r="U790" s="313"/>
      <c r="V790" s="313" t="s">
        <v>2938</v>
      </c>
      <c r="W790" s="313" t="s">
        <v>2939</v>
      </c>
      <c r="X790" s="333" t="s">
        <v>103</v>
      </c>
      <c r="Y790" s="7"/>
      <c r="Z790" t="s">
        <v>1817</v>
      </c>
      <c r="AA790" s="313">
        <v>40</v>
      </c>
      <c r="AB790" s="313"/>
      <c r="AC790" s="183"/>
      <c r="AD790" s="313"/>
      <c r="AE790" s="183"/>
      <c r="AF790" s="313"/>
      <c r="AG790" s="313"/>
      <c r="AH790" s="313"/>
      <c r="AI790" s="313"/>
      <c r="AJ790" s="313"/>
      <c r="AK790" s="313"/>
      <c r="AL790" s="313"/>
      <c r="AM790" s="334">
        <v>1050</v>
      </c>
      <c r="AN790" s="184">
        <v>1</v>
      </c>
      <c r="AQ790" s="313"/>
      <c r="AR790" s="313"/>
      <c r="AS790" s="313"/>
      <c r="AT790" s="313"/>
      <c r="AU790" s="313"/>
      <c r="AV790" s="313"/>
      <c r="AW790" s="7"/>
      <c r="AX790" s="313"/>
      <c r="AY790" s="313"/>
      <c r="AZ790" t="s">
        <v>374</v>
      </c>
      <c r="BA790">
        <v>7</v>
      </c>
    </row>
    <row r="791" spans="1:53" ht="15.5">
      <c r="A791" s="593">
        <v>6</v>
      </c>
      <c r="B791" s="273" t="str">
        <f t="shared" si="37"/>
        <v>AKTIVAN</v>
      </c>
      <c r="C791" s="503">
        <v>789</v>
      </c>
      <c r="D791" s="330">
        <v>89</v>
      </c>
      <c r="E791" t="str">
        <f>VLOOKUP(D791,POSLODAVCI!$A$2:$J$107,2,0)</f>
        <v>Nyugat epito KFT</v>
      </c>
      <c r="F791" s="78">
        <f>VLOOKUP(D791,POSLODAVCI!$A$2:$J$107,3,0)</f>
        <v>70481698940</v>
      </c>
      <c r="G791" t="str">
        <f>VLOOKUP(D791,POSLODAVCI!$A$2:$J$107,4,0)</f>
        <v>Görgky Zoltán</v>
      </c>
      <c r="H791" t="str">
        <f>VLOOKUP(D791,POSLODAVCI!$A$2:$J$107,9,0)</f>
        <v>VÖRÖSMARTY </v>
      </c>
      <c r="I791" t="str">
        <f>VLOOKUP(D791,POSLODAVCI!$A$2:$J$107,10,0)</f>
        <v>MIHÁLY UTCA, 0031,</v>
      </c>
      <c r="J791" s="330" t="s">
        <v>2948</v>
      </c>
      <c r="K791" s="331">
        <v>46042</v>
      </c>
      <c r="L791" s="331"/>
      <c r="M791" s="182">
        <v>18087765115</v>
      </c>
      <c r="N791" s="313" t="s">
        <v>89</v>
      </c>
      <c r="O791" s="7">
        <v>27300</v>
      </c>
      <c r="P791" s="313" t="s">
        <v>2494</v>
      </c>
      <c r="Q791" s="313" t="s">
        <v>376</v>
      </c>
      <c r="R791" s="313" t="s">
        <v>2947</v>
      </c>
      <c r="S791" s="332"/>
      <c r="T791" s="313" t="s">
        <v>1484</v>
      </c>
      <c r="U791" s="313"/>
      <c r="V791" s="313" t="s">
        <v>2938</v>
      </c>
      <c r="W791" s="313" t="s">
        <v>2939</v>
      </c>
      <c r="X791" s="333" t="s">
        <v>103</v>
      </c>
      <c r="Y791" s="7"/>
      <c r="Z791" t="s">
        <v>1817</v>
      </c>
      <c r="AA791" s="313">
        <v>40</v>
      </c>
      <c r="AB791" s="313"/>
      <c r="AC791" s="183"/>
      <c r="AD791" s="313"/>
      <c r="AE791" s="183"/>
      <c r="AF791" s="313"/>
      <c r="AG791" s="313"/>
      <c r="AH791" s="313"/>
      <c r="AI791" s="313"/>
      <c r="AJ791" s="313"/>
      <c r="AK791" s="313"/>
      <c r="AL791" s="313"/>
      <c r="AM791" s="334">
        <v>1050</v>
      </c>
      <c r="AN791" s="184">
        <v>1</v>
      </c>
      <c r="AQ791" s="313"/>
      <c r="AR791" s="313"/>
      <c r="AS791" s="313"/>
      <c r="AT791" s="313"/>
      <c r="AU791" s="313"/>
      <c r="AV791" s="313"/>
      <c r="AW791" s="7"/>
      <c r="AX791" s="313"/>
      <c r="AY791" s="313"/>
      <c r="AZ791" t="s">
        <v>374</v>
      </c>
      <c r="BA791">
        <v>8</v>
      </c>
    </row>
    <row r="792" spans="1:53" ht="15.5">
      <c r="A792" s="593">
        <v>7</v>
      </c>
      <c r="B792" s="273" t="str">
        <f t="shared" si="37"/>
        <v>AKTIVAN</v>
      </c>
      <c r="C792" s="503">
        <v>790</v>
      </c>
      <c r="D792" s="330">
        <v>89</v>
      </c>
      <c r="E792" t="str">
        <f>VLOOKUP(D792,POSLODAVCI!$A$2:$J$107,2,0)</f>
        <v>Nyugat epito KFT</v>
      </c>
      <c r="F792" s="78">
        <f>VLOOKUP(D792,POSLODAVCI!$A$2:$J$107,3,0)</f>
        <v>70481698940</v>
      </c>
      <c r="G792" t="str">
        <f>VLOOKUP(D792,POSLODAVCI!$A$2:$J$107,4,0)</f>
        <v>Görgky Zoltán</v>
      </c>
      <c r="H792" t="str">
        <f>VLOOKUP(D792,POSLODAVCI!$A$2:$J$107,9,0)</f>
        <v>VÖRÖSMARTY </v>
      </c>
      <c r="I792" t="str">
        <f>VLOOKUP(D792,POSLODAVCI!$A$2:$J$107,10,0)</f>
        <v>MIHÁLY UTCA, 0031,</v>
      </c>
      <c r="J792" s="330" t="s">
        <v>2949</v>
      </c>
      <c r="K792" s="331">
        <v>46042</v>
      </c>
      <c r="L792" s="331"/>
      <c r="M792" s="182">
        <v>72327727916</v>
      </c>
      <c r="N792" s="313" t="s">
        <v>89</v>
      </c>
      <c r="O792" s="7">
        <v>29688</v>
      </c>
      <c r="P792" s="313" t="s">
        <v>2494</v>
      </c>
      <c r="Q792" s="313" t="s">
        <v>376</v>
      </c>
      <c r="R792" s="313" t="s">
        <v>2950</v>
      </c>
      <c r="S792" s="332"/>
      <c r="T792" s="313" t="s">
        <v>1484</v>
      </c>
      <c r="U792" s="313"/>
      <c r="V792" s="313" t="s">
        <v>2938</v>
      </c>
      <c r="W792" s="313" t="s">
        <v>2939</v>
      </c>
      <c r="X792" s="333" t="s">
        <v>103</v>
      </c>
      <c r="Y792" s="7"/>
      <c r="Z792" t="s">
        <v>1817</v>
      </c>
      <c r="AA792" s="313">
        <v>40</v>
      </c>
      <c r="AB792" s="313"/>
      <c r="AC792" s="183"/>
      <c r="AD792" s="313"/>
      <c r="AE792" s="183"/>
      <c r="AF792" s="313"/>
      <c r="AG792" s="313"/>
      <c r="AH792" s="313"/>
      <c r="AI792" s="313"/>
      <c r="AJ792" s="313"/>
      <c r="AK792" s="313"/>
      <c r="AL792" s="313"/>
      <c r="AM792" s="334">
        <v>1050</v>
      </c>
      <c r="AN792" s="184">
        <v>1</v>
      </c>
      <c r="AQ792" s="313"/>
      <c r="AR792" s="313"/>
      <c r="AS792" s="313"/>
      <c r="AT792" s="313"/>
      <c r="AU792" s="313"/>
      <c r="AV792" s="313"/>
      <c r="AW792" s="7"/>
      <c r="AX792" s="313"/>
      <c r="AY792" s="313"/>
      <c r="AZ792" t="s">
        <v>374</v>
      </c>
      <c r="BA792">
        <v>9</v>
      </c>
    </row>
    <row r="793" spans="1:53" ht="15.5">
      <c r="A793" s="593">
        <v>2</v>
      </c>
      <c r="B793" s="273" t="str">
        <f t="shared" si="37"/>
        <v>AKTIVAN</v>
      </c>
      <c r="C793" s="503">
        <v>791</v>
      </c>
      <c r="D793" s="330">
        <v>17</v>
      </c>
      <c r="E793" t="str">
        <f>VLOOKUP(D793,POSLODAVCI!$A$2:$J$107,2,0)</f>
        <v>DOMOKOS D.O.O.</v>
      </c>
      <c r="F793" s="78">
        <f>VLOOKUP(D793,POSLODAVCI!$A$2:$J$107,3,0)</f>
        <v>7942284015</v>
      </c>
      <c r="G793" t="str">
        <f>VLOOKUP(D793,POSLODAVCI!$A$2:$J$107,4,0)</f>
        <v>DOMOKOS ISTVAN</v>
      </c>
      <c r="H793" t="str">
        <f>VLOOKUP(D793,POSLODAVCI!$A$2:$J$107,9,0)</f>
        <v>Osijek</v>
      </c>
      <c r="I793" t="str">
        <f>VLOOKUP(D793,POSLODAVCI!$A$2:$J$107,10,0)</f>
        <v>VRTNA 35,  BRIJEŠĆE</v>
      </c>
      <c r="J793" s="330" t="s">
        <v>2952</v>
      </c>
      <c r="K793" s="331">
        <v>42620</v>
      </c>
      <c r="L793" s="331"/>
      <c r="M793" s="182">
        <v>40862874723</v>
      </c>
      <c r="N793" s="313" t="s">
        <v>80</v>
      </c>
      <c r="O793" s="7">
        <v>29127</v>
      </c>
      <c r="P793" s="313" t="s">
        <v>2953</v>
      </c>
      <c r="Q793" s="313" t="s">
        <v>82</v>
      </c>
      <c r="R793" s="313" t="s">
        <v>2954</v>
      </c>
      <c r="S793" s="332" t="s">
        <v>83</v>
      </c>
      <c r="T793" s="313" t="s">
        <v>84</v>
      </c>
      <c r="U793" s="313"/>
      <c r="V793" s="313" t="s">
        <v>1281</v>
      </c>
      <c r="W793" s="313" t="s">
        <v>1281</v>
      </c>
      <c r="X793" s="333" t="s">
        <v>103</v>
      </c>
      <c r="Y793" s="7"/>
      <c r="Z793" s="16" t="s">
        <v>1894</v>
      </c>
      <c r="AA793" s="313">
        <v>5</v>
      </c>
      <c r="AB793" s="313" t="s">
        <v>2955</v>
      </c>
      <c r="AC793" s="183"/>
      <c r="AD793" s="313"/>
      <c r="AE793" s="183"/>
      <c r="AF793" s="313"/>
      <c r="AG793" s="313"/>
      <c r="AH793" s="313"/>
      <c r="AI793" s="313"/>
      <c r="AJ793" s="313"/>
      <c r="AK793" s="313"/>
      <c r="AL793" s="313"/>
      <c r="AM793" s="334">
        <v>200</v>
      </c>
      <c r="AN793" s="184">
        <v>1</v>
      </c>
      <c r="AQ793" s="313"/>
      <c r="AR793" s="313"/>
      <c r="AS793" s="313"/>
      <c r="AT793" s="313"/>
      <c r="AU793" s="313"/>
      <c r="AV793" s="313"/>
      <c r="AW793" s="7"/>
      <c r="AX793" s="313"/>
      <c r="AY793" s="313"/>
      <c r="AZ793" s="313" t="s">
        <v>374</v>
      </c>
      <c r="BA793" s="313"/>
    </row>
    <row r="794" spans="1:53" ht="15.5">
      <c r="A794" s="593">
        <v>1</v>
      </c>
      <c r="B794" s="273" t="str">
        <f t="shared" si="37"/>
        <v>AKTIVAN</v>
      </c>
      <c r="C794" s="503">
        <v>792</v>
      </c>
      <c r="D794" s="330">
        <v>90</v>
      </c>
      <c r="E794" t="str">
        <f>VLOOKUP(D794,POSLODAVCI!$A$2:$J$107,2,0)</f>
        <v>HOKUS-OKUS MT j.d.o.o</v>
      </c>
      <c r="F794" s="78">
        <f>VLOOKUP(D794,POSLODAVCI!$A$2:$J$107,3,0)</f>
        <v>28788779090</v>
      </c>
      <c r="G794" t="str">
        <f>VLOOKUP(D794,POSLODAVCI!$A$2:$J$107,4,0)</f>
        <v>Mateo Glibo</v>
      </c>
      <c r="H794" t="str">
        <f>VLOOKUP(D794,POSLODAVCI!$A$2:$J$107,9,0)</f>
        <v>Osijek</v>
      </c>
      <c r="I794" t="str">
        <f>VLOOKUP(D794,POSLODAVCI!$A$2:$J$107,10,0)</f>
        <v>Županijska ulica 17</v>
      </c>
      <c r="J794" s="330" t="s">
        <v>2963</v>
      </c>
      <c r="K794" s="331">
        <v>46044</v>
      </c>
      <c r="L794" s="331"/>
      <c r="M794" s="182">
        <v>91247348951</v>
      </c>
      <c r="N794" s="313" t="s">
        <v>89</v>
      </c>
      <c r="O794" s="594">
        <v>37361</v>
      </c>
      <c r="P794" s="313" t="s">
        <v>2953</v>
      </c>
      <c r="Q794" s="313" t="s">
        <v>82</v>
      </c>
      <c r="R794" s="313" t="s">
        <v>2964</v>
      </c>
      <c r="S794" s="332" t="s">
        <v>428</v>
      </c>
      <c r="T794" s="313" t="s">
        <v>1484</v>
      </c>
      <c r="U794" s="313"/>
      <c r="V794" s="313" t="s">
        <v>2965</v>
      </c>
      <c r="W794" s="313" t="s">
        <v>2965</v>
      </c>
      <c r="X794" s="333" t="s">
        <v>103</v>
      </c>
      <c r="Y794" s="7"/>
      <c r="Z794" t="s">
        <v>1817</v>
      </c>
      <c r="AA794" s="313">
        <v>40</v>
      </c>
      <c r="AB794" s="313" t="s">
        <v>2966</v>
      </c>
      <c r="AC794" s="183"/>
      <c r="AD794" s="313"/>
      <c r="AE794" s="183"/>
      <c r="AF794" s="313"/>
      <c r="AG794" s="313"/>
      <c r="AH794" s="313"/>
      <c r="AI794" s="313"/>
      <c r="AJ794" s="313"/>
      <c r="AK794" s="313"/>
      <c r="AL794" s="313"/>
      <c r="AM794" s="334">
        <v>1050</v>
      </c>
      <c r="AN794" s="184">
        <v>1</v>
      </c>
      <c r="AQ794" s="313"/>
      <c r="AR794" s="313"/>
      <c r="AS794" s="313"/>
      <c r="AT794" s="313"/>
      <c r="AU794" s="313"/>
      <c r="AV794" s="313"/>
      <c r="AW794" s="7"/>
      <c r="AX794" s="313"/>
      <c r="AY794" s="313"/>
      <c r="AZ794" s="313"/>
      <c r="BA794" s="313"/>
    </row>
    <row r="795" spans="1:53" ht="15.5">
      <c r="A795" s="593">
        <v>8</v>
      </c>
      <c r="B795" s="273" t="str">
        <f t="shared" si="37"/>
        <v>AKTIVAN</v>
      </c>
      <c r="C795" s="588">
        <v>793</v>
      </c>
      <c r="D795" s="589">
        <v>89</v>
      </c>
      <c r="E795" t="str">
        <f>VLOOKUP(D795,POSLODAVCI!$A$2:$J$107,2,0)</f>
        <v>Nyugat epito KFT</v>
      </c>
      <c r="F795" s="78">
        <f>VLOOKUP(D795,POSLODAVCI!$A$2:$J$107,3,0)</f>
        <v>70481698940</v>
      </c>
      <c r="G795" t="str">
        <f>VLOOKUP(D795,POSLODAVCI!$A$2:$J$107,4,0)</f>
        <v>Görgky Zoltán</v>
      </c>
      <c r="H795" t="str">
        <f>VLOOKUP(D795,POSLODAVCI!$A$2:$J$107,9,0)</f>
        <v>VÖRÖSMARTY </v>
      </c>
      <c r="I795" t="str">
        <f>VLOOKUP(D795,POSLODAVCI!$A$2:$J$107,10,0)</f>
        <v>MIHÁLY UTCA, 0031,</v>
      </c>
      <c r="J795" s="589" t="s">
        <v>2936</v>
      </c>
      <c r="K795" s="590">
        <v>46044</v>
      </c>
      <c r="L795" s="590"/>
      <c r="M795" s="182">
        <v>43014074078</v>
      </c>
      <c r="N795" t="s">
        <v>89</v>
      </c>
      <c r="O795" s="7">
        <v>35341</v>
      </c>
      <c r="P795" t="s">
        <v>2494</v>
      </c>
      <c r="Q795" t="s">
        <v>2544</v>
      </c>
      <c r="R795" t="s">
        <v>2937</v>
      </c>
      <c r="T795" t="s">
        <v>1484</v>
      </c>
      <c r="V795" t="s">
        <v>2938</v>
      </c>
      <c r="W795" t="s">
        <v>2939</v>
      </c>
      <c r="X795" s="306" t="s">
        <v>103</v>
      </c>
      <c r="Y795" s="7"/>
      <c r="Z795" t="s">
        <v>1817</v>
      </c>
      <c r="AA795">
        <v>40</v>
      </c>
      <c r="AC795" s="183"/>
      <c r="AE795" s="183"/>
      <c r="AM795" s="591">
        <v>1050</v>
      </c>
      <c r="AN795" s="184">
        <v>1</v>
      </c>
      <c r="AW795" s="7"/>
    </row>
    <row r="796" spans="1:53" ht="15.5">
      <c r="A796" s="593">
        <v>9</v>
      </c>
      <c r="B796" s="273" t="str">
        <f t="shared" si="37"/>
        <v>AKTIVAN</v>
      </c>
      <c r="C796" s="588">
        <v>794</v>
      </c>
      <c r="D796" s="589">
        <v>89</v>
      </c>
      <c r="E796" t="str">
        <f>VLOOKUP(D796,POSLODAVCI!$A$2:$J$107,2,0)</f>
        <v>Nyugat epito KFT</v>
      </c>
      <c r="F796" s="78">
        <f>VLOOKUP(D796,POSLODAVCI!$A$2:$J$107,3,0)</f>
        <v>70481698940</v>
      </c>
      <c r="G796" t="str">
        <f>VLOOKUP(D796,POSLODAVCI!$A$2:$J$107,4,0)</f>
        <v>Görgky Zoltán</v>
      </c>
      <c r="H796" t="str">
        <f>VLOOKUP(D796,POSLODAVCI!$A$2:$J$107,9,0)</f>
        <v>VÖRÖSMARTY </v>
      </c>
      <c r="I796" t="str">
        <f>VLOOKUP(D796,POSLODAVCI!$A$2:$J$107,10,0)</f>
        <v>MIHÁLY UTCA, 0031,</v>
      </c>
      <c r="J796" s="589" t="s">
        <v>2940</v>
      </c>
      <c r="K796" s="590">
        <v>46044</v>
      </c>
      <c r="L796" s="590"/>
      <c r="M796" s="182">
        <v>18693543333</v>
      </c>
      <c r="N796" t="s">
        <v>89</v>
      </c>
      <c r="O796" s="7">
        <v>33307</v>
      </c>
      <c r="P796" t="s">
        <v>2042</v>
      </c>
      <c r="Q796" t="s">
        <v>2544</v>
      </c>
      <c r="R796" t="s">
        <v>2941</v>
      </c>
      <c r="T796" t="s">
        <v>1484</v>
      </c>
      <c r="V796" t="s">
        <v>2938</v>
      </c>
      <c r="W796" t="s">
        <v>2939</v>
      </c>
      <c r="X796" s="306" t="s">
        <v>103</v>
      </c>
      <c r="Y796" s="7"/>
      <c r="Z796" t="s">
        <v>1817</v>
      </c>
      <c r="AA796">
        <v>40</v>
      </c>
      <c r="AC796" s="183"/>
      <c r="AE796" s="183"/>
      <c r="AM796" s="591">
        <v>1050</v>
      </c>
      <c r="AN796" s="184">
        <v>1</v>
      </c>
      <c r="AW796" s="7"/>
    </row>
    <row r="797" spans="1:53" ht="15.5">
      <c r="A797" s="593">
        <v>10</v>
      </c>
      <c r="B797" s="273" t="str">
        <f t="shared" si="37"/>
        <v>AKTIVAN</v>
      </c>
      <c r="C797" s="588">
        <v>795</v>
      </c>
      <c r="D797" s="589">
        <v>89</v>
      </c>
      <c r="E797" t="str">
        <f>VLOOKUP(D797,POSLODAVCI!$A$2:$J$107,2,0)</f>
        <v>Nyugat epito KFT</v>
      </c>
      <c r="F797" s="78">
        <f>VLOOKUP(D797,POSLODAVCI!$A$2:$J$107,3,0)</f>
        <v>70481698940</v>
      </c>
      <c r="G797" t="str">
        <f>VLOOKUP(D797,POSLODAVCI!$A$2:$J$107,4,0)</f>
        <v>Görgky Zoltán</v>
      </c>
      <c r="H797" t="str">
        <f>VLOOKUP(D797,POSLODAVCI!$A$2:$J$107,9,0)</f>
        <v>VÖRÖSMARTY </v>
      </c>
      <c r="I797" t="str">
        <f>VLOOKUP(D797,POSLODAVCI!$A$2:$J$107,10,0)</f>
        <v>MIHÁLY UTCA, 0031,</v>
      </c>
      <c r="J797" s="589" t="s">
        <v>2942</v>
      </c>
      <c r="K797" s="590">
        <v>46044</v>
      </c>
      <c r="L797" s="590"/>
      <c r="M797" s="182">
        <v>26235073253</v>
      </c>
      <c r="N797" t="s">
        <v>89</v>
      </c>
      <c r="O797" s="7">
        <v>33778</v>
      </c>
      <c r="P797" t="s">
        <v>2042</v>
      </c>
      <c r="Q797" t="s">
        <v>2544</v>
      </c>
      <c r="R797" t="s">
        <v>2968</v>
      </c>
      <c r="T797" t="s">
        <v>1484</v>
      </c>
      <c r="V797" t="s">
        <v>2938</v>
      </c>
      <c r="W797" t="s">
        <v>2939</v>
      </c>
      <c r="X797" s="306" t="s">
        <v>103</v>
      </c>
      <c r="Y797" s="7"/>
      <c r="Z797" t="s">
        <v>1817</v>
      </c>
      <c r="AA797">
        <v>40</v>
      </c>
      <c r="AC797" s="183"/>
      <c r="AE797" s="183"/>
      <c r="AM797" s="591">
        <v>1050</v>
      </c>
      <c r="AN797" s="184">
        <v>1</v>
      </c>
      <c r="AW797" s="7"/>
    </row>
    <row r="798" spans="1:53" ht="15.5">
      <c r="A798" s="593">
        <v>11</v>
      </c>
      <c r="B798" s="273" t="str">
        <f t="shared" si="37"/>
        <v>AKTIVAN</v>
      </c>
      <c r="C798" s="588">
        <v>796</v>
      </c>
      <c r="D798" s="589">
        <v>89</v>
      </c>
      <c r="E798" t="str">
        <f>VLOOKUP(D798,POSLODAVCI!$A$2:$J$107,2,0)</f>
        <v>Nyugat epito KFT</v>
      </c>
      <c r="F798" s="78">
        <f>VLOOKUP(D798,POSLODAVCI!$A$2:$J$107,3,0)</f>
        <v>70481698940</v>
      </c>
      <c r="G798" t="str">
        <f>VLOOKUP(D798,POSLODAVCI!$A$2:$J$107,4,0)</f>
        <v>Görgky Zoltán</v>
      </c>
      <c r="H798" t="str">
        <f>VLOOKUP(D798,POSLODAVCI!$A$2:$J$107,9,0)</f>
        <v>VÖRÖSMARTY </v>
      </c>
      <c r="I798" t="str">
        <f>VLOOKUP(D798,POSLODAVCI!$A$2:$J$107,10,0)</f>
        <v>MIHÁLY UTCA, 0031,</v>
      </c>
      <c r="J798" s="589" t="s">
        <v>2944</v>
      </c>
      <c r="K798" s="590">
        <v>46044</v>
      </c>
      <c r="L798" s="590"/>
      <c r="M798" s="182">
        <v>67400017450</v>
      </c>
      <c r="N798" t="s">
        <v>89</v>
      </c>
      <c r="O798" s="7">
        <v>31240</v>
      </c>
      <c r="P798" t="s">
        <v>2494</v>
      </c>
      <c r="Q798" t="s">
        <v>2544</v>
      </c>
      <c r="R798" t="s">
        <v>2945</v>
      </c>
      <c r="T798" t="s">
        <v>84</v>
      </c>
      <c r="V798" t="s">
        <v>2938</v>
      </c>
      <c r="W798" t="s">
        <v>2939</v>
      </c>
      <c r="X798" s="306" t="s">
        <v>103</v>
      </c>
      <c r="Y798" s="7"/>
      <c r="Z798" t="s">
        <v>1817</v>
      </c>
      <c r="AA798">
        <v>40</v>
      </c>
      <c r="AC798" s="183"/>
      <c r="AE798" s="183"/>
      <c r="AM798" s="591">
        <v>1050</v>
      </c>
      <c r="AN798" s="184">
        <v>1</v>
      </c>
      <c r="AW798" s="7"/>
    </row>
    <row r="799" spans="1:53" ht="15.5">
      <c r="A799" s="593">
        <v>27</v>
      </c>
      <c r="B799" s="273" t="s">
        <v>374</v>
      </c>
      <c r="C799" s="588">
        <v>797</v>
      </c>
      <c r="D799" s="589">
        <v>26</v>
      </c>
      <c r="E799" t="str">
        <f>VLOOKUP(D799,POSLODAVCI!$A$2:$J$107,2,0)</f>
        <v>D-INVOICE D.O.O.</v>
      </c>
      <c r="F799" s="78">
        <f>VLOOKUP(D799,POSLODAVCI!$A$2:$J$107,3,0)</f>
        <v>95114485977</v>
      </c>
      <c r="G799" t="str">
        <f>VLOOKUP(D799,POSLODAVCI!$A$2:$J$107,4,0)</f>
        <v>LAURA GERGELJ</v>
      </c>
      <c r="H799" t="str">
        <f>VLOOKUP(D799,POSLODAVCI!$A$2:$J$107,9,0)</f>
        <v>Osijek</v>
      </c>
      <c r="I799" t="str">
        <f>VLOOKUP(D799,POSLODAVCI!$A$2:$J$107,10,0)</f>
        <v>SV.IVANA KRSTITELJA 15, DARDA</v>
      </c>
      <c r="J799" s="589" t="s">
        <v>2969</v>
      </c>
      <c r="K799" s="590">
        <v>46021</v>
      </c>
      <c r="L799" s="590">
        <v>46111</v>
      </c>
      <c r="M799" s="182">
        <v>70729208004</v>
      </c>
      <c r="N799" t="s">
        <v>89</v>
      </c>
      <c r="O799" s="7">
        <v>27061</v>
      </c>
      <c r="P799" t="s">
        <v>2953</v>
      </c>
      <c r="Q799" t="s">
        <v>82</v>
      </c>
      <c r="R799" t="s">
        <v>2970</v>
      </c>
      <c r="T799" t="s">
        <v>84</v>
      </c>
      <c r="V799" t="s">
        <v>2972</v>
      </c>
      <c r="W799" t="s">
        <v>2972</v>
      </c>
      <c r="X799" s="306" t="s">
        <v>85</v>
      </c>
      <c r="Y799" s="7"/>
      <c r="Z799" t="s">
        <v>1817</v>
      </c>
      <c r="AA799">
        <v>40</v>
      </c>
      <c r="AB799" t="s">
        <v>2971</v>
      </c>
      <c r="AC799" s="183"/>
      <c r="AE799" s="183"/>
      <c r="AM799" s="591">
        <v>1295.45</v>
      </c>
      <c r="AN799" s="184">
        <v>1</v>
      </c>
      <c r="AW799" s="7"/>
    </row>
    <row r="800" spans="1:53" ht="15.5">
      <c r="A800" s="593">
        <v>28</v>
      </c>
      <c r="B800" s="273" t="s">
        <v>374</v>
      </c>
      <c r="C800" s="588">
        <v>798</v>
      </c>
      <c r="D800" s="589">
        <v>89</v>
      </c>
      <c r="E800" t="str">
        <f>VLOOKUP(D800,POSLODAVCI!$A$2:$J$107,2,0)</f>
        <v>Nyugat epito KFT</v>
      </c>
      <c r="F800" s="78">
        <f>VLOOKUP(D800,POSLODAVCI!$A$2:$J$107,3,0)</f>
        <v>70481698940</v>
      </c>
      <c r="G800" t="str">
        <f>VLOOKUP(D800,POSLODAVCI!$A$2:$J$107,4,0)</f>
        <v>Görgky Zoltán</v>
      </c>
      <c r="H800" t="str">
        <f>VLOOKUP(D800,POSLODAVCI!$A$2:$J$107,9,0)</f>
        <v>VÖRÖSMARTY </v>
      </c>
      <c r="I800" t="str">
        <f>VLOOKUP(D800,POSLODAVCI!$A$2:$J$107,10,0)</f>
        <v>MIHÁLY UTCA, 0031,</v>
      </c>
      <c r="J800" s="589" t="s">
        <v>2977</v>
      </c>
      <c r="K800" s="61">
        <v>46056</v>
      </c>
      <c r="L800" s="590"/>
      <c r="M800" s="182">
        <v>72612815910</v>
      </c>
      <c r="N800" s="16" t="s">
        <v>89</v>
      </c>
      <c r="O800" s="7">
        <v>32190</v>
      </c>
      <c r="P800" s="16" t="s">
        <v>2494</v>
      </c>
      <c r="Q800" s="16" t="s">
        <v>376</v>
      </c>
      <c r="R800" s="16" t="s">
        <v>2978</v>
      </c>
      <c r="T800" s="16" t="s">
        <v>84</v>
      </c>
      <c r="V800" s="16" t="s">
        <v>2979</v>
      </c>
      <c r="W800" t="s">
        <v>2939</v>
      </c>
      <c r="X800" s="56" t="s">
        <v>103</v>
      </c>
      <c r="Y800" s="7"/>
      <c r="Z800" t="s">
        <v>1817</v>
      </c>
      <c r="AA800">
        <v>40</v>
      </c>
      <c r="AB800" t="s">
        <v>2980</v>
      </c>
      <c r="AC800" s="183"/>
      <c r="AE800" s="183"/>
      <c r="AM800" s="591">
        <v>1050</v>
      </c>
      <c r="AN800" s="184">
        <v>1</v>
      </c>
      <c r="AW800" s="7"/>
    </row>
    <row r="801" spans="1:53" ht="15.5">
      <c r="A801" s="593">
        <v>29</v>
      </c>
      <c r="B801" s="597" t="s">
        <v>374</v>
      </c>
      <c r="C801" s="588">
        <v>799</v>
      </c>
      <c r="D801" s="589">
        <v>89</v>
      </c>
      <c r="E801" t="str">
        <f>VLOOKUP(D801,POSLODAVCI!$A$2:$J$107,2,0)</f>
        <v>Nyugat epito KFT</v>
      </c>
      <c r="F801" s="78">
        <f>VLOOKUP(D801,POSLODAVCI!$A$2:$J$107,3,0)</f>
        <v>70481698940</v>
      </c>
      <c r="G801" t="str">
        <f>VLOOKUP(D801,POSLODAVCI!$A$2:$J$107,4,0)</f>
        <v>Görgky Zoltán</v>
      </c>
      <c r="H801" t="str">
        <f>VLOOKUP(D801,POSLODAVCI!$A$2:$J$107,9,0)</f>
        <v>VÖRÖSMARTY </v>
      </c>
      <c r="I801" t="str">
        <f>VLOOKUP(D801,POSLODAVCI!$A$2:$J$107,10,0)</f>
        <v>MIHÁLY UTCA, 0031,</v>
      </c>
      <c r="J801" s="589" t="s">
        <v>2981</v>
      </c>
      <c r="K801" s="61">
        <v>46056</v>
      </c>
      <c r="L801" s="590"/>
      <c r="M801" s="182">
        <v>69639847010</v>
      </c>
      <c r="N801" s="16" t="s">
        <v>89</v>
      </c>
      <c r="O801" s="590">
        <v>34940</v>
      </c>
      <c r="P801" s="16" t="s">
        <v>2494</v>
      </c>
      <c r="Q801" s="16" t="s">
        <v>376</v>
      </c>
      <c r="R801" s="128" t="s">
        <v>2982</v>
      </c>
      <c r="T801" s="16" t="s">
        <v>84</v>
      </c>
      <c r="V801" s="16" t="s">
        <v>2979</v>
      </c>
      <c r="W801" t="s">
        <v>2939</v>
      </c>
      <c r="X801" s="56" t="s">
        <v>103</v>
      </c>
      <c r="Y801" s="7"/>
      <c r="Z801" t="s">
        <v>1817</v>
      </c>
      <c r="AA801">
        <v>40</v>
      </c>
      <c r="AB801" t="s">
        <v>2980</v>
      </c>
      <c r="AC801" s="183"/>
      <c r="AE801" s="183"/>
      <c r="AM801" s="591">
        <v>1050</v>
      </c>
      <c r="AN801" s="184">
        <v>1</v>
      </c>
      <c r="AW801" s="7"/>
    </row>
    <row r="802" spans="1:53" ht="15.5">
      <c r="A802" s="593">
        <v>30</v>
      </c>
      <c r="B802" s="597" t="s">
        <v>374</v>
      </c>
      <c r="C802" s="588">
        <v>800</v>
      </c>
      <c r="D802" s="589">
        <v>89</v>
      </c>
      <c r="E802" t="str">
        <f>VLOOKUP(D802,POSLODAVCI!$A$2:$J$107,2,0)</f>
        <v>Nyugat epito KFT</v>
      </c>
      <c r="F802" s="78">
        <f>VLOOKUP(D802,POSLODAVCI!$A$2:$J$107,3,0)</f>
        <v>70481698940</v>
      </c>
      <c r="G802" t="str">
        <f>VLOOKUP(D802,POSLODAVCI!$A$2:$J$107,4,0)</f>
        <v>Görgky Zoltán</v>
      </c>
      <c r="H802" t="str">
        <f>VLOOKUP(D802,POSLODAVCI!$A$2:$J$107,9,0)</f>
        <v>VÖRÖSMARTY </v>
      </c>
      <c r="I802" t="str">
        <f>VLOOKUP(D802,POSLODAVCI!$A$2:$J$107,10,0)</f>
        <v>MIHÁLY UTCA, 0031,</v>
      </c>
      <c r="J802" s="589" t="s">
        <v>2983</v>
      </c>
      <c r="K802" s="61">
        <v>46056</v>
      </c>
      <c r="L802" s="590"/>
      <c r="M802" s="182">
        <v>14054226977</v>
      </c>
      <c r="N802" s="16" t="s">
        <v>89</v>
      </c>
      <c r="O802" s="7">
        <v>37796</v>
      </c>
      <c r="P802" s="16" t="s">
        <v>2494</v>
      </c>
      <c r="Q802" s="16" t="s">
        <v>376</v>
      </c>
      <c r="R802" s="16" t="s">
        <v>2984</v>
      </c>
      <c r="T802" s="16" t="s">
        <v>84</v>
      </c>
      <c r="V802" s="16" t="s">
        <v>2979</v>
      </c>
      <c r="W802" t="s">
        <v>2939</v>
      </c>
      <c r="X802" s="56" t="s">
        <v>103</v>
      </c>
      <c r="Y802" s="7"/>
      <c r="Z802" t="s">
        <v>1817</v>
      </c>
      <c r="AA802">
        <v>40</v>
      </c>
      <c r="AB802" t="s">
        <v>2980</v>
      </c>
      <c r="AC802" s="183"/>
      <c r="AE802" s="183"/>
      <c r="AM802" s="591">
        <v>1050</v>
      </c>
      <c r="AN802" s="184">
        <v>1</v>
      </c>
      <c r="AW802" s="7"/>
    </row>
    <row r="803" spans="1:53" ht="15.5">
      <c r="A803" s="593">
        <v>31</v>
      </c>
      <c r="B803" s="597" t="s">
        <v>374</v>
      </c>
      <c r="C803" s="588">
        <v>801</v>
      </c>
      <c r="D803" s="589">
        <v>89</v>
      </c>
      <c r="E803" t="str">
        <f>VLOOKUP(D803,POSLODAVCI!$A$2:$J$107,2,0)</f>
        <v>Nyugat epito KFT</v>
      </c>
      <c r="F803" s="78">
        <f>VLOOKUP(D803,POSLODAVCI!$A$2:$J$107,3,0)</f>
        <v>70481698940</v>
      </c>
      <c r="G803" t="str">
        <f>VLOOKUP(D803,POSLODAVCI!$A$2:$J$107,4,0)</f>
        <v>Görgky Zoltán</v>
      </c>
      <c r="H803" t="str">
        <f>VLOOKUP(D803,POSLODAVCI!$A$2:$J$107,9,0)</f>
        <v>VÖRÖSMARTY </v>
      </c>
      <c r="I803" t="str">
        <f>VLOOKUP(D803,POSLODAVCI!$A$2:$J$107,10,0)</f>
        <v>MIHÁLY UTCA, 0031,</v>
      </c>
      <c r="J803" s="589" t="s">
        <v>2985</v>
      </c>
      <c r="K803" s="61">
        <v>46056</v>
      </c>
      <c r="L803" s="590"/>
      <c r="M803" s="182">
        <v>18927405881</v>
      </c>
      <c r="N803" s="16" t="s">
        <v>89</v>
      </c>
      <c r="O803" s="7">
        <v>36875</v>
      </c>
      <c r="P803" s="16" t="s">
        <v>2494</v>
      </c>
      <c r="Q803" s="16" t="s">
        <v>376</v>
      </c>
      <c r="R803" s="16" t="s">
        <v>2986</v>
      </c>
      <c r="T803" s="16" t="s">
        <v>84</v>
      </c>
      <c r="V803" s="16" t="s">
        <v>2979</v>
      </c>
      <c r="W803" t="s">
        <v>2939</v>
      </c>
      <c r="X803" s="56" t="s">
        <v>103</v>
      </c>
      <c r="Y803" s="7"/>
      <c r="Z803" t="s">
        <v>1817</v>
      </c>
      <c r="AA803">
        <v>40</v>
      </c>
      <c r="AB803" t="s">
        <v>2980</v>
      </c>
      <c r="AC803" s="183"/>
      <c r="AE803" s="183"/>
      <c r="AM803" s="591">
        <v>1050</v>
      </c>
      <c r="AN803" s="184">
        <v>1</v>
      </c>
      <c r="AW803" s="7"/>
    </row>
    <row r="804" spans="1:53" ht="15.5">
      <c r="A804" s="593">
        <v>32</v>
      </c>
      <c r="B804" s="597" t="s">
        <v>374</v>
      </c>
      <c r="C804" s="588">
        <v>802</v>
      </c>
      <c r="D804" s="589">
        <v>89</v>
      </c>
      <c r="E804" t="str">
        <f>VLOOKUP(D804,POSLODAVCI!$A$2:$J$107,2,0)</f>
        <v>Nyugat epito KFT</v>
      </c>
      <c r="F804" s="78">
        <f>VLOOKUP(D804,POSLODAVCI!$A$2:$J$107,3,0)</f>
        <v>70481698940</v>
      </c>
      <c r="G804" t="str">
        <f>VLOOKUP(D804,POSLODAVCI!$A$2:$J$107,4,0)</f>
        <v>Görgky Zoltán</v>
      </c>
      <c r="H804" t="str">
        <f>VLOOKUP(D804,POSLODAVCI!$A$2:$J$107,9,0)</f>
        <v>VÖRÖSMARTY </v>
      </c>
      <c r="I804" t="str">
        <f>VLOOKUP(D804,POSLODAVCI!$A$2:$J$107,10,0)</f>
        <v>MIHÁLY UTCA, 0031,</v>
      </c>
      <c r="J804" s="1" t="s">
        <v>2987</v>
      </c>
      <c r="K804" s="61">
        <v>46056</v>
      </c>
      <c r="L804" s="590"/>
      <c r="M804" s="182">
        <v>50588027091</v>
      </c>
      <c r="N804" s="16" t="s">
        <v>89</v>
      </c>
      <c r="O804" s="7">
        <v>27117</v>
      </c>
      <c r="P804" s="16" t="s">
        <v>2494</v>
      </c>
      <c r="Q804" s="16" t="s">
        <v>376</v>
      </c>
      <c r="R804" s="16" t="s">
        <v>2988</v>
      </c>
      <c r="T804" s="16" t="s">
        <v>84</v>
      </c>
      <c r="V804" s="16" t="s">
        <v>2979</v>
      </c>
      <c r="W804" t="s">
        <v>2939</v>
      </c>
      <c r="X804" s="56" t="s">
        <v>103</v>
      </c>
      <c r="Y804" s="7"/>
      <c r="Z804" t="s">
        <v>1817</v>
      </c>
      <c r="AA804">
        <v>40</v>
      </c>
      <c r="AB804" t="s">
        <v>2980</v>
      </c>
      <c r="AC804" s="183"/>
      <c r="AE804" s="183"/>
      <c r="AM804" s="591">
        <v>1050</v>
      </c>
      <c r="AN804" s="184">
        <v>1</v>
      </c>
      <c r="AW804" s="7"/>
    </row>
    <row r="805" spans="1:53" ht="15.5">
      <c r="A805" s="593"/>
      <c r="B805" s="273"/>
      <c r="C805" s="588">
        <v>803</v>
      </c>
      <c r="D805" s="589">
        <v>89</v>
      </c>
      <c r="E805" t="str">
        <f>VLOOKUP(D805,POSLODAVCI!$A$2:$J$107,2,0)</f>
        <v>Nyugat epito KFT</v>
      </c>
      <c r="F805" s="78">
        <f>VLOOKUP(D805,POSLODAVCI!$A$2:$J$107,3,0)</f>
        <v>70481698940</v>
      </c>
      <c r="G805" t="str">
        <f>VLOOKUP(D805,POSLODAVCI!$A$2:$J$107,4,0)</f>
        <v>Görgky Zoltán</v>
      </c>
      <c r="H805" t="str">
        <f>VLOOKUP(D805,POSLODAVCI!$A$2:$J$107,9,0)</f>
        <v>VÖRÖSMARTY </v>
      </c>
      <c r="I805" t="str">
        <f>VLOOKUP(D805,POSLODAVCI!$A$2:$J$107,10,0)</f>
        <v>MIHÁLY UTCA, 0031,</v>
      </c>
      <c r="J805" s="1" t="s">
        <v>2989</v>
      </c>
      <c r="K805" s="61">
        <v>46056</v>
      </c>
      <c r="L805" s="590"/>
      <c r="M805" s="182">
        <v>41947350394</v>
      </c>
      <c r="N805" s="16" t="s">
        <v>89</v>
      </c>
      <c r="O805" s="7">
        <v>39086</v>
      </c>
      <c r="P805" s="16" t="s">
        <v>2494</v>
      </c>
      <c r="Q805" s="16" t="s">
        <v>376</v>
      </c>
      <c r="R805" s="16" t="s">
        <v>2990</v>
      </c>
      <c r="T805" s="16" t="s">
        <v>84</v>
      </c>
      <c r="V805" s="16" t="s">
        <v>2979</v>
      </c>
      <c r="W805" t="s">
        <v>2939</v>
      </c>
      <c r="X805" s="56" t="s">
        <v>103</v>
      </c>
      <c r="Y805" s="7"/>
      <c r="Z805" t="s">
        <v>1817</v>
      </c>
      <c r="AA805">
        <v>40</v>
      </c>
      <c r="AB805" t="s">
        <v>2980</v>
      </c>
      <c r="AC805" s="183"/>
      <c r="AE805" s="183"/>
      <c r="AM805" s="591">
        <v>1050</v>
      </c>
      <c r="AN805" s="184">
        <v>1</v>
      </c>
      <c r="AW805" s="7"/>
    </row>
    <row r="806" spans="1:53" ht="15.5">
      <c r="A806" s="593">
        <v>28</v>
      </c>
      <c r="B806" s="273" t="s">
        <v>374</v>
      </c>
      <c r="C806" s="588">
        <v>804</v>
      </c>
      <c r="D806" s="589">
        <v>26</v>
      </c>
      <c r="E806" t="str">
        <f>VLOOKUP(D806,POSLODAVCI!$A$2:$J$107,2,0)</f>
        <v>D-INVOICE D.O.O.</v>
      </c>
      <c r="F806" s="78">
        <f>VLOOKUP(D806,POSLODAVCI!$A$2:$J$107,3,0)</f>
        <v>95114485977</v>
      </c>
      <c r="G806" t="str">
        <f>VLOOKUP(D806,POSLODAVCI!$A$2:$J$107,4,0)</f>
        <v>LAURA GERGELJ</v>
      </c>
      <c r="H806" t="str">
        <f>VLOOKUP(D806,POSLODAVCI!$A$2:$J$107,9,0)</f>
        <v>Osijek</v>
      </c>
      <c r="I806" t="str">
        <f>VLOOKUP(D806,POSLODAVCI!$A$2:$J$107,10,0)</f>
        <v>SV.IVANA KRSTITELJA 15, DARDA</v>
      </c>
      <c r="J806" s="589" t="s">
        <v>2991</v>
      </c>
      <c r="K806" s="590">
        <v>46059</v>
      </c>
      <c r="L806" s="590">
        <v>46148</v>
      </c>
      <c r="M806" s="182">
        <v>11171878350</v>
      </c>
      <c r="N806" t="s">
        <v>80</v>
      </c>
      <c r="O806" s="7">
        <v>30522</v>
      </c>
      <c r="P806" t="s">
        <v>94</v>
      </c>
      <c r="Q806" t="s">
        <v>2992</v>
      </c>
      <c r="R806" t="s">
        <v>2993</v>
      </c>
      <c r="T806" t="s">
        <v>1484</v>
      </c>
      <c r="V806" t="s">
        <v>2972</v>
      </c>
      <c r="W806" t="s">
        <v>2994</v>
      </c>
      <c r="X806" s="306" t="s">
        <v>2479</v>
      </c>
      <c r="Y806" s="7"/>
      <c r="Z806" t="s">
        <v>1817</v>
      </c>
      <c r="AA806">
        <v>40</v>
      </c>
      <c r="AB806" t="s">
        <v>2995</v>
      </c>
      <c r="AC806" s="183"/>
      <c r="AE806" s="183"/>
      <c r="AM806" s="591">
        <v>1050</v>
      </c>
      <c r="AN806" s="184">
        <v>1</v>
      </c>
      <c r="AW806" s="7"/>
      <c r="AZ806" t="s">
        <v>374</v>
      </c>
      <c r="BA806">
        <v>10</v>
      </c>
    </row>
    <row r="807" spans="1:53" ht="15.5">
      <c r="A807" s="593"/>
      <c r="B807" s="273" t="s">
        <v>374</v>
      </c>
      <c r="C807" s="588">
        <v>805</v>
      </c>
      <c r="D807" s="589">
        <v>91</v>
      </c>
      <c r="E807" t="str">
        <f>VLOOKUP(D807,POSLODAVCI!$A$2:$J$107,2,0)</f>
        <v>Sagitta Consulting d.o.o.</v>
      </c>
      <c r="F807" s="78">
        <f>VLOOKUP(D807,POSLODAVCI!$A$2:$J$107,3,0)</f>
        <v>17653370550</v>
      </c>
      <c r="G807" t="str">
        <f>VLOOKUP(D807,POSLODAVCI!$A$2:$J$107,4,0)</f>
        <v>Andoči Janoš</v>
      </c>
      <c r="H807" t="str">
        <f>VLOOKUP(D807,POSLODAVCI!$A$2:$J$107,9,0)</f>
        <v>Kneževi Vinogradi</v>
      </c>
      <c r="I807" t="str">
        <f>VLOOKUP(D807,POSLODAVCI!$A$2:$J$107,10,0)</f>
        <v>Ulica 8. marta 47</v>
      </c>
      <c r="J807" s="1" t="s">
        <v>3001</v>
      </c>
      <c r="K807" s="590">
        <v>46139</v>
      </c>
      <c r="L807" s="590">
        <v>46445</v>
      </c>
      <c r="M807" s="426" t="s">
        <v>3002</v>
      </c>
      <c r="N807" s="16" t="s">
        <v>80</v>
      </c>
      <c r="O807" s="7"/>
      <c r="P807" s="16" t="s">
        <v>829</v>
      </c>
      <c r="Q807" s="16" t="s">
        <v>82</v>
      </c>
      <c r="R807" s="16" t="s">
        <v>2499</v>
      </c>
      <c r="T807" s="16" t="s">
        <v>1484</v>
      </c>
      <c r="V807" s="16" t="s">
        <v>345</v>
      </c>
      <c r="W807" s="16" t="s">
        <v>2975</v>
      </c>
      <c r="X807" s="56" t="s">
        <v>2474</v>
      </c>
      <c r="Y807" s="7"/>
      <c r="Z807" t="s">
        <v>1817</v>
      </c>
      <c r="AA807">
        <v>40</v>
      </c>
      <c r="AB807" s="16" t="s">
        <v>672</v>
      </c>
      <c r="AC807" s="183"/>
      <c r="AE807" s="183"/>
      <c r="AH807" s="16" t="s">
        <v>81</v>
      </c>
      <c r="AM807" s="591">
        <v>1854.7</v>
      </c>
      <c r="AN807" s="184">
        <v>1</v>
      </c>
      <c r="AW807" s="7"/>
      <c r="AZ807" s="16" t="s">
        <v>374</v>
      </c>
      <c r="BA807">
        <v>1</v>
      </c>
    </row>
    <row r="808" spans="1:53" ht="15.5">
      <c r="A808" s="593">
        <v>29</v>
      </c>
      <c r="B808" s="273" t="s">
        <v>374</v>
      </c>
      <c r="C808" s="588">
        <v>806</v>
      </c>
      <c r="D808" s="589">
        <v>26</v>
      </c>
      <c r="E808" t="str">
        <f>VLOOKUP(D808,POSLODAVCI!$A$2:$J$107,2,0)</f>
        <v>D-INVOICE D.O.O.</v>
      </c>
      <c r="F808" s="78">
        <f>VLOOKUP(D808,POSLODAVCI!$A$2:$J$107,3,0)</f>
        <v>95114485977</v>
      </c>
      <c r="G808" t="str">
        <f>VLOOKUP(D808,POSLODAVCI!$A$2:$J$107,4,0)</f>
        <v>LAURA GERGELJ</v>
      </c>
      <c r="H808" t="str">
        <f>VLOOKUP(D808,POSLODAVCI!$A$2:$J$107,9,0)</f>
        <v>Osijek</v>
      </c>
      <c r="I808" t="str">
        <f>VLOOKUP(D808,POSLODAVCI!$A$2:$J$107,10,0)</f>
        <v>SV.IVANA KRSTITELJA 15, DARDA</v>
      </c>
      <c r="J808" s="1" t="s">
        <v>3003</v>
      </c>
      <c r="K808" s="590">
        <v>46153</v>
      </c>
      <c r="L808" s="590">
        <v>46244</v>
      </c>
      <c r="M808" s="182">
        <v>4181516292</v>
      </c>
      <c r="N808" t="s">
        <v>80</v>
      </c>
      <c r="O808" s="7">
        <v>38371</v>
      </c>
      <c r="P808" t="s">
        <v>94</v>
      </c>
      <c r="Q808" t="s">
        <v>82</v>
      </c>
      <c r="R808" t="s">
        <v>3004</v>
      </c>
      <c r="T808" t="s">
        <v>1484</v>
      </c>
      <c r="V808" t="s">
        <v>2975</v>
      </c>
      <c r="W808" t="s">
        <v>345</v>
      </c>
      <c r="X808" s="306" t="s">
        <v>2479</v>
      </c>
      <c r="Y808" s="7"/>
      <c r="Z808" t="s">
        <v>1817</v>
      </c>
      <c r="AA808">
        <v>40</v>
      </c>
      <c r="AB808" t="s">
        <v>2588</v>
      </c>
      <c r="AC808" s="183"/>
      <c r="AE808" s="183"/>
      <c r="AM808" s="591">
        <v>1050</v>
      </c>
      <c r="AN808" s="184">
        <v>1</v>
      </c>
      <c r="AW808" s="7"/>
      <c r="AZ808" t="s">
        <v>3005</v>
      </c>
    </row>
    <row r="809" spans="1:53" ht="15.5">
      <c r="B809" s="273" t="s">
        <v>374</v>
      </c>
      <c r="C809" s="302">
        <v>807</v>
      </c>
      <c r="D809" s="1">
        <v>92</v>
      </c>
      <c r="E809" t="str">
        <f>VLOOKUP(D809,POSLODAVCI!$A$2:$J$107,2,0)</f>
        <v>SUNERG OS D.O.O.</v>
      </c>
      <c r="F809" s="78">
        <f>VLOOKUP(D809,POSLODAVCI!$A$2:$J$107,3,0)</f>
        <v>79614880677</v>
      </c>
      <c r="G809" t="str">
        <f>VLOOKUP(D809,POSLODAVCI!$A$2:$J$107,4,0)</f>
        <v>Attila peli</v>
      </c>
      <c r="H809" t="str">
        <f>VLOOKUP(D809,POSLODAVCI!$A$2:$J$107,9,0)</f>
        <v>Osijek</v>
      </c>
      <c r="I809" t="str">
        <f>VLOOKUP(D809,POSLODAVCI!$A$2:$J$107,10,0)</f>
        <v>Ribarska 10</v>
      </c>
      <c r="J809" s="1" t="s">
        <v>3010</v>
      </c>
      <c r="K809" s="61">
        <v>46176</v>
      </c>
      <c r="L809" s="61"/>
      <c r="M809" s="182">
        <v>22044787722</v>
      </c>
      <c r="N809" s="16" t="s">
        <v>89</v>
      </c>
      <c r="O809" s="7">
        <v>34879</v>
      </c>
      <c r="P809" s="16" t="s">
        <v>3011</v>
      </c>
      <c r="Q809" s="16" t="s">
        <v>82</v>
      </c>
      <c r="R809" s="16" t="s">
        <v>3012</v>
      </c>
      <c r="S809" s="17"/>
      <c r="T809" s="16" t="s">
        <v>1484</v>
      </c>
      <c r="U809" s="16"/>
      <c r="V809" s="16" t="s">
        <v>1244</v>
      </c>
      <c r="W809" s="16" t="s">
        <v>1244</v>
      </c>
      <c r="X809" s="56" t="s">
        <v>103</v>
      </c>
      <c r="Y809" s="7"/>
      <c r="Z809" t="s">
        <v>1817</v>
      </c>
      <c r="AA809" s="16">
        <v>50</v>
      </c>
      <c r="AB809" s="16" t="s">
        <v>3013</v>
      </c>
      <c r="AC809" s="183"/>
      <c r="AD809" s="16"/>
      <c r="AE809" s="183"/>
      <c r="AF809" s="16"/>
      <c r="AG809" s="16"/>
      <c r="AH809" s="16" t="s">
        <v>192</v>
      </c>
      <c r="AI809" s="16"/>
      <c r="AJ809" s="16"/>
      <c r="AK809" s="16"/>
      <c r="AL809" s="16"/>
      <c r="AM809" s="90">
        <v>1404.45</v>
      </c>
      <c r="AN809" s="184">
        <v>1</v>
      </c>
      <c r="AQ809" s="16"/>
      <c r="AR809" s="16"/>
      <c r="AS809" s="16"/>
      <c r="AT809" s="16"/>
      <c r="AU809" s="16"/>
      <c r="AV809" s="16"/>
      <c r="AW809" s="7"/>
      <c r="AX809" s="16"/>
      <c r="AY809" s="16"/>
      <c r="AZ809" s="16" t="s">
        <v>3014</v>
      </c>
      <c r="BA809" s="16">
        <v>1</v>
      </c>
    </row>
    <row r="810" spans="1:53" ht="15.5">
      <c r="A810">
        <v>30</v>
      </c>
      <c r="B810" s="273" t="s">
        <v>374</v>
      </c>
      <c r="C810" s="599">
        <v>808</v>
      </c>
      <c r="D810" s="600">
        <v>26</v>
      </c>
      <c r="E810" t="str">
        <f>VLOOKUP(D810,POSLODAVCI!$A$2:$J$107,2,0)</f>
        <v>D-INVOICE D.O.O.</v>
      </c>
      <c r="F810" s="78">
        <f>VLOOKUP(D810,POSLODAVCI!$A$2:$J$107,3,0)</f>
        <v>95114485977</v>
      </c>
      <c r="G810" t="str">
        <f>VLOOKUP(D810,POSLODAVCI!$A$2:$J$107,4,0)</f>
        <v>LAURA GERGELJ</v>
      </c>
      <c r="H810" t="str">
        <f>VLOOKUP(D810,POSLODAVCI!$A$2:$J$107,9,0)</f>
        <v>Osijek</v>
      </c>
      <c r="I810" t="str">
        <f>VLOOKUP(D810,POSLODAVCI!$A$2:$J$107,10,0)</f>
        <v>SV.IVANA KRSTITELJA 15, DARDA</v>
      </c>
      <c r="J810" s="600" t="s">
        <v>3015</v>
      </c>
      <c r="K810" s="601">
        <v>46181</v>
      </c>
      <c r="L810" s="601">
        <v>46210</v>
      </c>
      <c r="M810" s="182">
        <v>31157145393</v>
      </c>
      <c r="N810" t="s">
        <v>89</v>
      </c>
      <c r="O810" s="7">
        <v>30446</v>
      </c>
      <c r="P810" t="s">
        <v>94</v>
      </c>
      <c r="Q810" t="s">
        <v>2742</v>
      </c>
      <c r="R810" t="s">
        <v>3016</v>
      </c>
      <c r="T810" t="s">
        <v>1484</v>
      </c>
      <c r="V810" t="s">
        <v>2972</v>
      </c>
      <c r="W810" t="s">
        <v>3017</v>
      </c>
      <c r="X810" s="306" t="s">
        <v>2479</v>
      </c>
      <c r="Y810" s="7">
        <v>46210</v>
      </c>
      <c r="Z810" t="s">
        <v>1817</v>
      </c>
      <c r="AA810">
        <v>40</v>
      </c>
      <c r="AC810" s="183"/>
      <c r="AE810" s="183"/>
      <c r="AM810" s="602">
        <v>1050</v>
      </c>
      <c r="AN810" s="184">
        <v>1</v>
      </c>
      <c r="AW810" s="7"/>
      <c r="AZ810" t="s">
        <v>2471</v>
      </c>
      <c r="BA810">
        <v>30</v>
      </c>
    </row>
    <row r="811" spans="1:53" ht="15.5">
      <c r="C811" s="302">
        <v>809</v>
      </c>
      <c r="D811" s="1">
        <v>93</v>
      </c>
      <c r="E811" s="1" t="str">
        <f>VLOOKUP(D811,POSLODAVCI!$A$2:$J$107,2,0)</f>
        <v>CLEANING FACILITY MANAGEMENT d.o.o.</v>
      </c>
      <c r="F811" s="4">
        <f>VLOOKUP(D811,POSLODAVCI!$A$2:$J$107,3,0)</f>
        <v>81730765098</v>
      </c>
      <c r="G811" s="1" t="str">
        <f>VLOOKUP(D811,POSLODAVCI!$A$2:$J$107,4,0)</f>
        <v>MICHAEL BAUER</v>
      </c>
      <c r="H811" s="1" t="str">
        <f>VLOOKUP(D811,POSLODAVCI!$A$2:$J$107,9,0)</f>
        <v>Oprtalj - Portole</v>
      </c>
      <c r="I811" s="1" t="str">
        <f>VLOOKUP(D811,POSLODAVCI!$A$2:$J$107,10,0)</f>
        <v>Ulica Matka Laginje 13</v>
      </c>
      <c r="J811" s="16" t="s">
        <v>3028</v>
      </c>
      <c r="K811" s="61">
        <v>46190</v>
      </c>
      <c r="L811" s="61"/>
      <c r="M811" s="16">
        <v>55911427773</v>
      </c>
      <c r="N811" s="16" t="s">
        <v>89</v>
      </c>
      <c r="O811" s="16" t="s">
        <v>3029</v>
      </c>
      <c r="P811" s="16"/>
      <c r="Q811" s="16" t="s">
        <v>82</v>
      </c>
      <c r="R811" s="16" t="s">
        <v>2133</v>
      </c>
      <c r="S811" s="17"/>
      <c r="T811" s="16"/>
      <c r="U811" s="16"/>
      <c r="V811" s="16" t="s">
        <v>3030</v>
      </c>
      <c r="W811" s="16" t="s">
        <v>3030</v>
      </c>
      <c r="X811" s="56" t="s">
        <v>103</v>
      </c>
      <c r="Y811" s="7"/>
      <c r="Z811" s="16" t="s">
        <v>1894</v>
      </c>
      <c r="AA811" s="16">
        <v>20</v>
      </c>
      <c r="AB811" s="16"/>
      <c r="AC811" s="183"/>
      <c r="AD811" s="16"/>
      <c r="AE811" s="183"/>
      <c r="AF811" s="16"/>
      <c r="AG811" s="16"/>
      <c r="AH811" s="16" t="s">
        <v>3031</v>
      </c>
      <c r="AI811" s="16"/>
      <c r="AJ811" s="16"/>
      <c r="AK811" s="16"/>
      <c r="AL811" s="16"/>
      <c r="AM811" s="90">
        <v>1050</v>
      </c>
      <c r="AN811" s="184">
        <v>1</v>
      </c>
      <c r="AQ811" s="16"/>
      <c r="AR811" s="16"/>
      <c r="AS811" s="16"/>
      <c r="AT811" s="16"/>
      <c r="AU811" s="16"/>
      <c r="AV811" s="16"/>
      <c r="AW811" s="7"/>
      <c r="AX811" s="16"/>
      <c r="AY811" s="16"/>
      <c r="AZ811" s="16" t="s">
        <v>2470</v>
      </c>
      <c r="BA811" s="16">
        <v>2</v>
      </c>
    </row>
    <row r="812" spans="1:53" ht="15.5">
      <c r="C812" s="302">
        <v>810</v>
      </c>
      <c r="D812" s="1">
        <v>93</v>
      </c>
      <c r="E812" s="1" t="str">
        <f>VLOOKUP(D812,POSLODAVCI!$A$2:$J$107,2,0)</f>
        <v>CLEANING FACILITY MANAGEMENT d.o.o.</v>
      </c>
      <c r="F812" s="4">
        <f>VLOOKUP(D812,POSLODAVCI!$A$2:$J$107,3,0)</f>
        <v>81730765098</v>
      </c>
      <c r="G812" s="1" t="str">
        <f>VLOOKUP(D812,POSLODAVCI!$A$2:$J$107,4,0)</f>
        <v>MICHAEL BAUER</v>
      </c>
      <c r="H812" s="1" t="str">
        <f>VLOOKUP(D812,POSLODAVCI!$A$2:$J$107,9,0)</f>
        <v>Oprtalj - Portole</v>
      </c>
      <c r="I812" s="1" t="str">
        <f>VLOOKUP(D812,POSLODAVCI!$A$2:$J$107,10,0)</f>
        <v>Ulica Matka Laginje 13</v>
      </c>
      <c r="J812" s="1" t="s">
        <v>3033</v>
      </c>
      <c r="K812" s="61">
        <v>46190</v>
      </c>
      <c r="L812" s="61"/>
      <c r="M812" s="16">
        <v>38293362315</v>
      </c>
      <c r="N812" s="16" t="s">
        <v>89</v>
      </c>
      <c r="O812" s="7">
        <v>33993</v>
      </c>
      <c r="P812" s="16"/>
      <c r="Q812" s="16" t="s">
        <v>82</v>
      </c>
      <c r="R812" s="16" t="s">
        <v>2133</v>
      </c>
      <c r="S812" s="17"/>
      <c r="T812" s="16"/>
      <c r="U812" s="16"/>
      <c r="V812" s="16" t="s">
        <v>3034</v>
      </c>
      <c r="W812" s="16" t="s">
        <v>3034</v>
      </c>
      <c r="X812" s="56" t="s">
        <v>103</v>
      </c>
      <c r="Y812" s="7"/>
      <c r="Z812" s="16" t="s">
        <v>1894</v>
      </c>
      <c r="AA812" s="16">
        <v>10</v>
      </c>
      <c r="AB812" s="16"/>
      <c r="AC812" s="183"/>
      <c r="AD812" s="16"/>
      <c r="AE812" s="183"/>
      <c r="AF812" s="16"/>
      <c r="AG812" s="16"/>
      <c r="AH812" s="16" t="s">
        <v>3031</v>
      </c>
      <c r="AI812" s="16"/>
      <c r="AJ812" s="16"/>
      <c r="AK812" s="16"/>
      <c r="AL812" s="16"/>
      <c r="AM812" s="90">
        <v>1050</v>
      </c>
      <c r="AN812" s="184">
        <v>1</v>
      </c>
      <c r="AQ812" s="16"/>
      <c r="AR812" s="16"/>
      <c r="AS812" s="16"/>
      <c r="AT812" s="16"/>
      <c r="AU812" s="16"/>
      <c r="AV812" s="16"/>
      <c r="AW812" s="7"/>
      <c r="AX812" s="16"/>
      <c r="AY812" s="16"/>
      <c r="AZ812" s="16"/>
      <c r="BA812" s="16"/>
    </row>
    <row r="813" spans="1:53" ht="15.5">
      <c r="C813" s="302">
        <v>811</v>
      </c>
      <c r="D813" s="1">
        <v>93</v>
      </c>
      <c r="E813" s="1" t="str">
        <f>VLOOKUP(D813,POSLODAVCI!$A$2:$J$107,2,0)</f>
        <v>CLEANING FACILITY MANAGEMENT d.o.o.</v>
      </c>
      <c r="F813" s="4">
        <f>VLOOKUP(D813,POSLODAVCI!$A$2:$J$107,3,0)</f>
        <v>81730765098</v>
      </c>
      <c r="G813" s="1" t="str">
        <f>VLOOKUP(D813,POSLODAVCI!$A$2:$J$107,4,0)</f>
        <v>MICHAEL BAUER</v>
      </c>
      <c r="H813" s="1" t="str">
        <f>VLOOKUP(D813,POSLODAVCI!$A$2:$J$107,9,0)</f>
        <v>Oprtalj - Portole</v>
      </c>
      <c r="I813" s="1" t="str">
        <f>VLOOKUP(D813,POSLODAVCI!$A$2:$J$107,10,0)</f>
        <v>Ulica Matka Laginje 13</v>
      </c>
      <c r="J813" s="1" t="s">
        <v>2337</v>
      </c>
      <c r="K813" s="61">
        <v>46190</v>
      </c>
      <c r="L813" s="61"/>
      <c r="M813" s="365">
        <v>54027953194</v>
      </c>
      <c r="N813" s="16" t="s">
        <v>80</v>
      </c>
      <c r="O813" s="7">
        <v>34506</v>
      </c>
      <c r="P813" s="16"/>
      <c r="Q813" s="16" t="s">
        <v>82</v>
      </c>
      <c r="R813" s="16" t="s">
        <v>2133</v>
      </c>
      <c r="S813" s="17"/>
      <c r="T813" s="16"/>
      <c r="U813" s="16"/>
      <c r="V813" s="16" t="s">
        <v>304</v>
      </c>
      <c r="W813" s="16" t="s">
        <v>304</v>
      </c>
      <c r="X813" s="56" t="s">
        <v>103</v>
      </c>
      <c r="Y813" s="7"/>
      <c r="Z813" s="16" t="s">
        <v>1894</v>
      </c>
      <c r="AA813" s="16">
        <v>2</v>
      </c>
      <c r="AB813" s="16"/>
      <c r="AC813" s="183"/>
      <c r="AD813" s="16"/>
      <c r="AE813" s="183"/>
      <c r="AF813" s="16"/>
      <c r="AG813" s="16"/>
      <c r="AH813" s="16" t="s">
        <v>3031</v>
      </c>
      <c r="AI813" s="16"/>
      <c r="AJ813" s="16"/>
      <c r="AK813" s="16"/>
      <c r="AL813" s="16"/>
      <c r="AM813" s="90">
        <v>1050</v>
      </c>
      <c r="AN813" s="184">
        <v>1</v>
      </c>
      <c r="AQ813" s="16"/>
      <c r="AR813" s="16"/>
      <c r="AS813" s="16"/>
      <c r="AT813" s="16"/>
      <c r="AU813" s="16"/>
      <c r="AV813" s="16"/>
      <c r="AW813" s="7"/>
      <c r="AX813" s="16"/>
      <c r="AY813" s="16"/>
      <c r="AZ813" s="16"/>
      <c r="BA813" s="16"/>
    </row>
    <row r="814" spans="1:53" ht="15.5">
      <c r="C814" s="302">
        <v>812</v>
      </c>
      <c r="D814" s="1">
        <v>93</v>
      </c>
      <c r="E814" s="1" t="str">
        <f>VLOOKUP(D814,POSLODAVCI!$A$2:$J$107,2,0)</f>
        <v>CLEANING FACILITY MANAGEMENT d.o.o.</v>
      </c>
      <c r="F814" s="4">
        <f>VLOOKUP(D814,POSLODAVCI!$A$2:$J$107,3,0)</f>
        <v>81730765098</v>
      </c>
      <c r="G814" s="1" t="str">
        <f>VLOOKUP(D814,POSLODAVCI!$A$2:$J$107,4,0)</f>
        <v>MICHAEL BAUER</v>
      </c>
      <c r="H814" s="1" t="str">
        <f>VLOOKUP(D814,POSLODAVCI!$A$2:$J$107,9,0)</f>
        <v>Oprtalj - Portole</v>
      </c>
      <c r="I814" s="1" t="str">
        <f>VLOOKUP(D814,POSLODAVCI!$A$2:$J$107,10,0)</f>
        <v>Ulica Matka Laginje 13</v>
      </c>
      <c r="J814" s="365" t="s">
        <v>2826</v>
      </c>
      <c r="K814" s="61">
        <v>46190</v>
      </c>
      <c r="L814" s="61"/>
      <c r="M814" s="365">
        <v>92278801639</v>
      </c>
      <c r="N814" s="16" t="s">
        <v>89</v>
      </c>
      <c r="O814" s="7"/>
      <c r="P814" s="16"/>
      <c r="Q814" s="16" t="s">
        <v>82</v>
      </c>
      <c r="R814" s="16" t="s">
        <v>2133</v>
      </c>
      <c r="S814" s="17"/>
      <c r="T814" s="16"/>
      <c r="U814" s="16"/>
      <c r="V814" s="16" t="s">
        <v>488</v>
      </c>
      <c r="W814" s="16" t="s">
        <v>488</v>
      </c>
      <c r="X814" s="56" t="s">
        <v>103</v>
      </c>
      <c r="Y814" s="7"/>
      <c r="Z814" t="s">
        <v>1817</v>
      </c>
      <c r="AA814" s="16">
        <v>40</v>
      </c>
      <c r="AB814" s="16"/>
      <c r="AC814" s="183"/>
      <c r="AD814" s="16"/>
      <c r="AE814" s="183"/>
      <c r="AF814" s="16"/>
      <c r="AG814" s="16"/>
      <c r="AH814" s="16" t="s">
        <v>3031</v>
      </c>
      <c r="AI814" s="16"/>
      <c r="AJ814" s="16"/>
      <c r="AK814" s="16"/>
      <c r="AL814" s="16"/>
      <c r="AM814" s="90">
        <v>1050</v>
      </c>
      <c r="AN814" s="184">
        <v>1</v>
      </c>
      <c r="AQ814" s="16"/>
      <c r="AR814" s="16"/>
      <c r="AS814" s="16"/>
      <c r="AT814" s="16"/>
      <c r="AU814" s="16"/>
      <c r="AV814" s="16"/>
      <c r="AW814" s="7"/>
      <c r="AX814" s="16"/>
      <c r="AY814" s="16"/>
      <c r="AZ814" s="16"/>
      <c r="BA814" s="16"/>
    </row>
    <row r="815" spans="1:53" ht="15.5">
      <c r="C815" s="599">
        <v>813</v>
      </c>
      <c r="D815" s="600">
        <v>93</v>
      </c>
      <c r="E815" s="600" t="str">
        <f>VLOOKUP(D815,POSLODAVCI!$A$2:$J$107,2,0)</f>
        <v>CLEANING FACILITY MANAGEMENT d.o.o.</v>
      </c>
      <c r="F815" s="604">
        <f>VLOOKUP(D815,POSLODAVCI!$A$2:$J$107,3,0)</f>
        <v>81730765098</v>
      </c>
      <c r="G815" s="600" t="str">
        <f>VLOOKUP(D815,POSLODAVCI!$A$2:$J$107,4,0)</f>
        <v>MICHAEL BAUER</v>
      </c>
      <c r="H815" s="600" t="str">
        <f>VLOOKUP(D815,POSLODAVCI!$A$2:$J$107,9,0)</f>
        <v>Oprtalj - Portole</v>
      </c>
      <c r="I815" s="600" t="str">
        <f>VLOOKUP(D815,POSLODAVCI!$A$2:$J$107,10,0)</f>
        <v>Ulica Matka Laginje 13</v>
      </c>
      <c r="J815" s="600" t="s">
        <v>3036</v>
      </c>
      <c r="K815" s="601">
        <v>46191</v>
      </c>
      <c r="L815" s="601"/>
      <c r="M815" s="182">
        <v>79375783205</v>
      </c>
      <c r="N815" t="s">
        <v>89</v>
      </c>
      <c r="O815" s="7">
        <v>33455</v>
      </c>
      <c r="Q815" t="s">
        <v>82</v>
      </c>
      <c r="R815" t="s">
        <v>3037</v>
      </c>
      <c r="T815" t="s">
        <v>84</v>
      </c>
      <c r="V815" t="s">
        <v>210</v>
      </c>
      <c r="W815" t="s">
        <v>210</v>
      </c>
      <c r="X815" s="306" t="s">
        <v>85</v>
      </c>
      <c r="Y815" s="7">
        <v>46295</v>
      </c>
      <c r="Z815" t="s">
        <v>1817</v>
      </c>
      <c r="AA815">
        <v>40</v>
      </c>
      <c r="AC815" s="183"/>
      <c r="AE815" s="183"/>
      <c r="AM815" s="602"/>
      <c r="AN815" s="184"/>
      <c r="AS815" s="623"/>
      <c r="AW815" s="7"/>
      <c r="AX815" s="623"/>
    </row>
    <row r="816" spans="1:53" ht="15.5">
      <c r="A816">
        <v>1</v>
      </c>
      <c r="B816" s="273" t="s">
        <v>374</v>
      </c>
      <c r="C816" s="599">
        <v>814</v>
      </c>
      <c r="D816" s="600">
        <v>94</v>
      </c>
      <c r="E816" s="600" t="str">
        <f>VLOOKUP(D816,POSLODAVCI!$A$2:$J$107,2,0)</f>
        <v>Studio031, vl. Alma Okanović</v>
      </c>
      <c r="F816" s="604">
        <f>VLOOKUP(D816,POSLODAVCI!$A$2:$J$107,3,0)</f>
        <v>27380297470</v>
      </c>
      <c r="G816" s="600" t="str">
        <f>VLOOKUP(D816,POSLODAVCI!$A$2:$J$107,4,0)</f>
        <v>Alma Okanović</v>
      </c>
      <c r="H816" s="600" t="str">
        <f>VLOOKUP(D816,POSLODAVCI!$A$2:$J$107,9,0)</f>
        <v>Osijek</v>
      </c>
      <c r="I816" s="600" t="str">
        <f>VLOOKUP(D816,POSLODAVCI!$A$2:$J$107,10,0)</f>
        <v>Gornjodravska 90c</v>
      </c>
      <c r="J816" s="600" t="s">
        <v>3039</v>
      </c>
      <c r="K816" s="601">
        <v>46196</v>
      </c>
      <c r="L816" s="601"/>
      <c r="M816" s="182">
        <v>48661122615</v>
      </c>
      <c r="N816" t="s">
        <v>89</v>
      </c>
      <c r="O816" s="7">
        <v>38653</v>
      </c>
      <c r="Q816" t="s">
        <v>82</v>
      </c>
      <c r="R816" t="s">
        <v>3053</v>
      </c>
      <c r="T816" t="s">
        <v>84</v>
      </c>
      <c r="V816" t="s">
        <v>3040</v>
      </c>
      <c r="W816" t="s">
        <v>3040</v>
      </c>
      <c r="X816" s="306" t="s">
        <v>103</v>
      </c>
      <c r="Y816" s="7"/>
      <c r="Z816" t="s">
        <v>1817</v>
      </c>
      <c r="AA816">
        <v>40</v>
      </c>
      <c r="AC816" s="183"/>
      <c r="AE816" s="183"/>
      <c r="AH816" s="313" t="s">
        <v>3048</v>
      </c>
      <c r="AM816" s="602">
        <v>1195.9000000000001</v>
      </c>
      <c r="AN816" s="184">
        <v>1</v>
      </c>
      <c r="AP816" s="15">
        <v>40</v>
      </c>
      <c r="AS816" s="623" t="s">
        <v>3080</v>
      </c>
      <c r="AW816" s="7"/>
    </row>
    <row r="817" spans="3:49" ht="15.5">
      <c r="C817" s="599">
        <v>815</v>
      </c>
      <c r="D817" s="600">
        <v>93</v>
      </c>
      <c r="E817" s="600" t="str">
        <f>VLOOKUP(D817,POSLODAVCI!$A$2:$J$107,2,0)</f>
        <v>CLEANING FACILITY MANAGEMENT d.o.o.</v>
      </c>
      <c r="F817" s="604">
        <f>VLOOKUP(D817,POSLODAVCI!$A$2:$J$107,3,0)</f>
        <v>81730765098</v>
      </c>
      <c r="G817" s="600" t="str">
        <f>VLOOKUP(D817,POSLODAVCI!$A$2:$J$107,4,0)</f>
        <v>MICHAEL BAUER</v>
      </c>
      <c r="H817" s="600" t="str">
        <f>VLOOKUP(D817,POSLODAVCI!$A$2:$J$107,9,0)</f>
        <v>Oprtalj - Portole</v>
      </c>
      <c r="I817" s="600" t="str">
        <f>VLOOKUP(D817,POSLODAVCI!$A$2:$J$107,10,0)</f>
        <v>Ulica Matka Laginje 13</v>
      </c>
      <c r="J817" s="600"/>
      <c r="K817" s="601"/>
      <c r="L817" s="601"/>
      <c r="M817" s="182"/>
      <c r="O817" s="7"/>
      <c r="X817" s="306"/>
      <c r="Y817" s="7"/>
      <c r="AC817" s="183"/>
      <c r="AE817" s="183"/>
      <c r="AM817" s="602"/>
      <c r="AN817" s="184"/>
      <c r="AW817" s="7"/>
    </row>
    <row r="818" spans="3:49" ht="15.5">
      <c r="C818" s="599">
        <v>816</v>
      </c>
      <c r="D818" s="600">
        <v>93</v>
      </c>
      <c r="E818" s="600" t="str">
        <f>VLOOKUP(D818,POSLODAVCI!$A$2:$J$107,2,0)</f>
        <v>CLEANING FACILITY MANAGEMENT d.o.o.</v>
      </c>
      <c r="F818" s="604">
        <f>VLOOKUP(D818,POSLODAVCI!$A$2:$J$107,3,0)</f>
        <v>81730765098</v>
      </c>
      <c r="G818" s="600" t="str">
        <f>VLOOKUP(D818,POSLODAVCI!$A$2:$J$107,4,0)</f>
        <v>MICHAEL BAUER</v>
      </c>
      <c r="H818" s="600" t="str">
        <f>VLOOKUP(D818,POSLODAVCI!$A$2:$J$107,9,0)</f>
        <v>Oprtalj - Portole</v>
      </c>
      <c r="I818" s="600" t="str">
        <f>VLOOKUP(D818,POSLODAVCI!$A$2:$J$107,10,0)</f>
        <v>Ulica Matka Laginje 13</v>
      </c>
      <c r="J818" s="600"/>
      <c r="K818" s="601"/>
      <c r="L818" s="601"/>
      <c r="M818" s="182"/>
      <c r="O818" s="7"/>
      <c r="X818" s="306"/>
      <c r="Y818" s="7"/>
      <c r="AC818" s="183"/>
      <c r="AE818" s="183"/>
      <c r="AM818" s="602"/>
      <c r="AN818" s="184"/>
      <c r="AW818" s="7"/>
    </row>
    <row r="819" spans="3:49" ht="15.5">
      <c r="C819" s="599"/>
      <c r="D819" s="600"/>
      <c r="E819" s="600" t="e">
        <f>VLOOKUP(D819,POSLODAVCI!$A$2:$J$107,2,0)</f>
        <v>#N/A</v>
      </c>
      <c r="F819" s="604" t="e">
        <f>VLOOKUP(D819,POSLODAVCI!$A$2:$J$107,3,0)</f>
        <v>#N/A</v>
      </c>
      <c r="G819" s="600" t="e">
        <f>VLOOKUP(D819,POSLODAVCI!$A$2:$J$107,4,0)</f>
        <v>#N/A</v>
      </c>
      <c r="H819" s="600" t="e">
        <f>VLOOKUP(D819,POSLODAVCI!$A$2:$J$107,9,0)</f>
        <v>#N/A</v>
      </c>
      <c r="I819" s="600" t="e">
        <f>VLOOKUP(D819,POSLODAVCI!$A$2:$J$107,10,0)</f>
        <v>#N/A</v>
      </c>
      <c r="J819" s="600"/>
      <c r="K819" s="601"/>
      <c r="L819" s="601"/>
      <c r="M819" s="182"/>
      <c r="O819" s="7"/>
      <c r="X819" s="306"/>
      <c r="Y819" s="7"/>
      <c r="AC819" s="183"/>
      <c r="AE819" s="183"/>
      <c r="AM819" s="602"/>
      <c r="AN819" s="184"/>
      <c r="AW819" s="7"/>
    </row>
    <row r="820" spans="3:49" ht="15.5">
      <c r="C820" s="599"/>
      <c r="D820" s="600"/>
      <c r="E820" s="600" t="e">
        <f>VLOOKUP(D820,POSLODAVCI!$A$2:$J$107,2,0)</f>
        <v>#N/A</v>
      </c>
      <c r="F820" s="604" t="e">
        <f>VLOOKUP(D820,POSLODAVCI!$A$2:$J$107,3,0)</f>
        <v>#N/A</v>
      </c>
      <c r="G820" s="600" t="e">
        <f>VLOOKUP(D820,POSLODAVCI!$A$2:$J$107,4,0)</f>
        <v>#N/A</v>
      </c>
      <c r="H820" s="600" t="e">
        <f>VLOOKUP(D820,POSLODAVCI!$A$2:$J$107,9,0)</f>
        <v>#N/A</v>
      </c>
      <c r="I820" s="600" t="e">
        <f>VLOOKUP(D820,POSLODAVCI!$A$2:$J$107,10,0)</f>
        <v>#N/A</v>
      </c>
      <c r="J820" s="600"/>
      <c r="K820" s="601"/>
      <c r="L820" s="601"/>
      <c r="M820" s="182"/>
      <c r="O820" s="7"/>
      <c r="X820" s="306"/>
      <c r="Y820" s="7"/>
      <c r="AC820" s="183"/>
      <c r="AE820" s="183"/>
      <c r="AM820" s="602"/>
      <c r="AN820" s="184"/>
      <c r="AW820" s="7"/>
    </row>
    <row r="821" spans="3:49" ht="15.5">
      <c r="C821" s="599"/>
      <c r="D821" s="600"/>
      <c r="E821" s="600" t="e">
        <f>VLOOKUP(D821,POSLODAVCI!$A$2:$J$107,2,0)</f>
        <v>#N/A</v>
      </c>
      <c r="F821" s="604" t="e">
        <f>VLOOKUP(D821,POSLODAVCI!$A$2:$J$107,3,0)</f>
        <v>#N/A</v>
      </c>
      <c r="G821" s="600" t="e">
        <f>VLOOKUP(D821,POSLODAVCI!$A$2:$J$107,4,0)</f>
        <v>#N/A</v>
      </c>
      <c r="H821" s="600" t="e">
        <f>VLOOKUP(D821,POSLODAVCI!$A$2:$J$107,9,0)</f>
        <v>#N/A</v>
      </c>
      <c r="I821" s="600" t="e">
        <f>VLOOKUP(D821,POSLODAVCI!$A$2:$J$107,10,0)</f>
        <v>#N/A</v>
      </c>
      <c r="J821" s="600"/>
      <c r="K821" s="601"/>
      <c r="L821" s="601"/>
      <c r="M821" s="182"/>
      <c r="O821" s="7"/>
      <c r="X821" s="306"/>
      <c r="Y821" s="7"/>
      <c r="AC821" s="183"/>
      <c r="AE821" s="183"/>
      <c r="AM821" s="602"/>
      <c r="AN821" s="184"/>
      <c r="AW821" s="7"/>
    </row>
    <row r="822" spans="3:49" ht="15.5">
      <c r="C822" s="599"/>
      <c r="D822" s="600"/>
      <c r="E822" s="600" t="e">
        <f>VLOOKUP(D822,POSLODAVCI!$A$2:$J$107,2,0)</f>
        <v>#N/A</v>
      </c>
      <c r="F822" s="604" t="e">
        <f>VLOOKUP(D822,POSLODAVCI!$A$2:$J$107,3,0)</f>
        <v>#N/A</v>
      </c>
      <c r="G822" s="600" t="e">
        <f>VLOOKUP(D822,POSLODAVCI!$A$2:$J$107,4,0)</f>
        <v>#N/A</v>
      </c>
      <c r="H822" s="600" t="e">
        <f>VLOOKUP(D822,POSLODAVCI!$A$2:$J$107,9,0)</f>
        <v>#N/A</v>
      </c>
      <c r="I822" s="600" t="e">
        <f>VLOOKUP(D822,POSLODAVCI!$A$2:$J$107,10,0)</f>
        <v>#N/A</v>
      </c>
      <c r="J822" s="600"/>
      <c r="K822" s="601"/>
      <c r="L822" s="601"/>
      <c r="M822" s="182"/>
      <c r="O822" s="7"/>
      <c r="X822" s="306"/>
      <c r="Y822" s="7"/>
      <c r="AC822" s="183"/>
      <c r="AE822" s="183"/>
      <c r="AM822" s="602"/>
      <c r="AN822" s="184"/>
      <c r="AW822" s="7"/>
    </row>
    <row r="823" spans="3:49" ht="15.5">
      <c r="C823" s="599"/>
      <c r="D823" s="600"/>
      <c r="E823" s="600" t="e">
        <f>VLOOKUP(D823,POSLODAVCI!$A$2:$J$107,2,0)</f>
        <v>#N/A</v>
      </c>
      <c r="F823" s="604" t="e">
        <f>VLOOKUP(D823,POSLODAVCI!$A$2:$J$107,3,0)</f>
        <v>#N/A</v>
      </c>
      <c r="G823" s="600" t="e">
        <f>VLOOKUP(D823,POSLODAVCI!$A$2:$J$107,4,0)</f>
        <v>#N/A</v>
      </c>
      <c r="H823" s="600" t="e">
        <f>VLOOKUP(D823,POSLODAVCI!$A$2:$J$107,9,0)</f>
        <v>#N/A</v>
      </c>
      <c r="I823" s="600" t="e">
        <f>VLOOKUP(D823,POSLODAVCI!$A$2:$J$107,10,0)</f>
        <v>#N/A</v>
      </c>
      <c r="J823" s="600"/>
      <c r="K823" s="601"/>
      <c r="L823" s="601"/>
      <c r="M823" s="182"/>
      <c r="O823" s="7"/>
      <c r="X823" s="306"/>
      <c r="Y823" s="7"/>
      <c r="AC823" s="183"/>
      <c r="AE823" s="183"/>
      <c r="AM823" s="602"/>
      <c r="AN823" s="184"/>
      <c r="AW823" s="7"/>
    </row>
    <row r="824" spans="3:49" ht="15.5">
      <c r="C824" s="599"/>
      <c r="D824" s="600"/>
      <c r="E824" s="600" t="e">
        <f>VLOOKUP(D824,POSLODAVCI!$A$2:$J$107,2,0)</f>
        <v>#N/A</v>
      </c>
      <c r="F824" s="604" t="e">
        <f>VLOOKUP(D824,POSLODAVCI!$A$2:$J$107,3,0)</f>
        <v>#N/A</v>
      </c>
      <c r="G824" s="600" t="e">
        <f>VLOOKUP(D824,POSLODAVCI!$A$2:$J$107,4,0)</f>
        <v>#N/A</v>
      </c>
      <c r="H824" s="600" t="e">
        <f>VLOOKUP(D824,POSLODAVCI!$A$2:$J$107,9,0)</f>
        <v>#N/A</v>
      </c>
      <c r="I824" s="600" t="e">
        <f>VLOOKUP(D824,POSLODAVCI!$A$2:$J$107,10,0)</f>
        <v>#N/A</v>
      </c>
      <c r="J824" s="600"/>
      <c r="K824" s="601"/>
      <c r="L824" s="601"/>
      <c r="M824" s="182"/>
      <c r="O824" s="7"/>
      <c r="X824" s="306"/>
      <c r="Y824" s="7"/>
      <c r="AC824" s="183"/>
      <c r="AE824" s="183"/>
      <c r="AM824" s="602"/>
      <c r="AN824" s="184"/>
      <c r="AW824" s="7"/>
    </row>
    <row r="825" spans="3:49" ht="15.5">
      <c r="C825" s="599"/>
      <c r="D825" s="600"/>
      <c r="E825" s="600" t="e">
        <f>VLOOKUP(D825,POSLODAVCI!$A$2:$J$107,2,0)</f>
        <v>#N/A</v>
      </c>
      <c r="F825" s="604" t="e">
        <f>VLOOKUP(D825,POSLODAVCI!$A$2:$J$107,3,0)</f>
        <v>#N/A</v>
      </c>
      <c r="G825" s="600" t="e">
        <f>VLOOKUP(D825,POSLODAVCI!$A$2:$J$107,4,0)</f>
        <v>#N/A</v>
      </c>
      <c r="H825" s="600" t="e">
        <f>VLOOKUP(D825,POSLODAVCI!$A$2:$J$107,9,0)</f>
        <v>#N/A</v>
      </c>
      <c r="I825" s="600" t="e">
        <f>VLOOKUP(D825,POSLODAVCI!$A$2:$J$107,10,0)</f>
        <v>#N/A</v>
      </c>
      <c r="J825" s="600"/>
      <c r="K825" s="601"/>
      <c r="L825" s="601"/>
      <c r="M825" s="182"/>
      <c r="O825" s="7"/>
      <c r="X825" s="306"/>
      <c r="Y825" s="7"/>
      <c r="AC825" s="183"/>
      <c r="AE825" s="183"/>
      <c r="AM825" s="602"/>
      <c r="AN825" s="184"/>
      <c r="AW825" s="7"/>
    </row>
    <row r="826" spans="3:49" ht="15.5">
      <c r="C826" s="599"/>
      <c r="D826" s="600"/>
      <c r="E826" s="600" t="e">
        <f>VLOOKUP(D826,POSLODAVCI!$A$2:$J$107,2,0)</f>
        <v>#N/A</v>
      </c>
      <c r="F826" s="604" t="e">
        <f>VLOOKUP(D826,POSLODAVCI!$A$2:$J$107,3,0)</f>
        <v>#N/A</v>
      </c>
      <c r="G826" s="600" t="e">
        <f>VLOOKUP(D826,POSLODAVCI!$A$2:$J$107,4,0)</f>
        <v>#N/A</v>
      </c>
      <c r="H826" s="600" t="e">
        <f>VLOOKUP(D826,POSLODAVCI!$A$2:$J$107,9,0)</f>
        <v>#N/A</v>
      </c>
      <c r="I826" s="600" t="e">
        <f>VLOOKUP(D826,POSLODAVCI!$A$2:$J$107,10,0)</f>
        <v>#N/A</v>
      </c>
      <c r="J826" s="600"/>
      <c r="K826" s="601"/>
      <c r="L826" s="601"/>
      <c r="M826" s="182"/>
      <c r="O826" s="7"/>
      <c r="X826" s="306"/>
      <c r="Y826" s="7"/>
      <c r="AC826" s="183"/>
      <c r="AE826" s="183"/>
      <c r="AM826" s="602"/>
      <c r="AN826" s="184"/>
      <c r="AW826" s="7"/>
    </row>
    <row r="827" spans="3:49" ht="15.5">
      <c r="C827" s="599"/>
      <c r="D827" s="600"/>
      <c r="E827" s="600" t="e">
        <f>VLOOKUP(D827,POSLODAVCI!$A$2:$J$107,2,0)</f>
        <v>#N/A</v>
      </c>
      <c r="F827" s="604" t="e">
        <f>VLOOKUP(D827,POSLODAVCI!$A$2:$J$107,3,0)</f>
        <v>#N/A</v>
      </c>
      <c r="G827" s="600" t="e">
        <f>VLOOKUP(D827,POSLODAVCI!$A$2:$J$107,4,0)</f>
        <v>#N/A</v>
      </c>
      <c r="H827" s="600" t="e">
        <f>VLOOKUP(D827,POSLODAVCI!$A$2:$J$107,9,0)</f>
        <v>#N/A</v>
      </c>
      <c r="I827" s="600" t="e">
        <f>VLOOKUP(D827,POSLODAVCI!$A$2:$J$107,10,0)</f>
        <v>#N/A</v>
      </c>
      <c r="J827" s="600"/>
      <c r="K827" s="601"/>
      <c r="L827" s="601"/>
      <c r="M827" s="605"/>
      <c r="O827" s="7"/>
      <c r="X827" s="306"/>
      <c r="Y827" s="7"/>
      <c r="AC827" s="183"/>
      <c r="AE827" s="183"/>
      <c r="AM827" s="602"/>
      <c r="AN827" s="184"/>
      <c r="AW827" s="7"/>
    </row>
    <row r="828" spans="3:49" ht="15.5">
      <c r="C828" s="599"/>
      <c r="D828" s="600"/>
      <c r="E828" s="600"/>
      <c r="F828" s="604"/>
      <c r="G828" s="600"/>
      <c r="H828" s="600" t="e">
        <f>VLOOKUP(D828,POSLODAVCI!$A$2:$J$107,9,0)</f>
        <v>#N/A</v>
      </c>
      <c r="I828" s="600"/>
      <c r="J828" s="600"/>
      <c r="K828" s="601"/>
      <c r="L828" s="601"/>
      <c r="M828" s="182"/>
      <c r="O828" s="7"/>
      <c r="X828" s="306"/>
      <c r="Y828" s="7"/>
      <c r="AC828" s="183"/>
      <c r="AE828" s="183"/>
      <c r="AH828" s="16" t="s">
        <v>3031</v>
      </c>
      <c r="AM828" s="602">
        <v>1050</v>
      </c>
      <c r="AN828" s="184">
        <v>1</v>
      </c>
      <c r="AW828" s="7"/>
    </row>
  </sheetData>
  <sheetProtection formatCells="0" formatColumns="0" formatRows="0" insertColumns="0" insertRows="0" insertHyperlinks="0" deleteColumns="0" deleteRows="0" sort="0" autoFilter="0" pivotTables="0"/>
  <sortState ref="A162:A377">
    <sortCondition ref="A162"/>
  </sortState>
  <phoneticPr fontId="7" type="noConversion"/>
  <hyperlinks>
    <hyperlink ref="AB564" r:id="rId1" display="https://moj.minimax.hr/HR/VA/WebUI/OrganizacijaTRR/OrganizacijaTRRView.aspx?orgtrr_id=25458&amp;pgat=pgatv"/>
    <hyperlink ref="J689" r:id="rId2" display="https://moj.minimax.hr/HR/VA/WebUI/Delavec/DelavecView.aspx?dl_id=114294&amp;pgat=pgatv"/>
    <hyperlink ref="J690" r:id="rId3" display="https://moj.minimax.hr/HR/VA/WebUI/Delavec/DelavecView.aspx?dl_id=107975&amp;pgat=pgatv"/>
    <hyperlink ref="M779" r:id="rId4" display="https://sudreg.pravosudje.hr/registar/f?p=150:40:0::NO:RP,40:P40_OIB,P40_TIP:86017751097,1&amp;cs=37A8F6F906C86E406B79179E80FB205C5"/>
    <hyperlink ref="M783" r:id="rId5" display="https://sudreg.pravosudje.hr/ords/r/esudreg/public/40?p40_oib=79430081358&amp;p40_tip=1&amp;clear=RP,40&amp;cs=16AE182645348699A8A786E660E630C9D"/>
    <hyperlink ref="M807" r:id="rId6" display="https://sudreg.pravosudje.hr/ords/r/esudreg/public/vezani-subjekti?p40_oib=43885343400&amp;p40_tip=1&amp;clear=RP,40&amp;cs=187D65D35EF639EA66A4F32E3F8010406"/>
  </hyperlinks>
  <pageMargins left="0.7" right="0.7" top="0.75" bottom="0.75" header="0.3" footer="0.3"/>
  <pageSetup scale="14" orientation="landscape" r:id="rId7"/>
  <headerFooter alignWithMargins="0"/>
  <drawing r:id="rId8"/>
  <legacyDrawing r:id="rId9"/>
  <tableParts count="1"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4"/>
  <sheetViews>
    <sheetView workbookViewId="0">
      <selection activeCell="H8" sqref="H8"/>
    </sheetView>
  </sheetViews>
  <sheetFormatPr defaultRowHeight="14.5"/>
  <cols>
    <col min="1" max="1" width="29.7265625" bestFit="1" customWidth="1"/>
    <col min="2" max="2" width="10.1796875" bestFit="1" customWidth="1"/>
    <col min="4" max="4" width="12" bestFit="1" customWidth="1"/>
  </cols>
  <sheetData>
    <row r="1" spans="1:5">
      <c r="A1" s="238" t="s">
        <v>36</v>
      </c>
      <c r="B1" s="238" t="s">
        <v>37</v>
      </c>
      <c r="C1" s="238" t="s">
        <v>38</v>
      </c>
      <c r="D1" s="239" t="s">
        <v>39</v>
      </c>
      <c r="E1" s="252" t="s">
        <v>17</v>
      </c>
    </row>
    <row r="2" spans="1:5" ht="15.5">
      <c r="A2" s="240" t="s">
        <v>147</v>
      </c>
      <c r="B2" s="241">
        <v>43466</v>
      </c>
      <c r="C2" s="241"/>
      <c r="D2" s="242">
        <v>16065838903</v>
      </c>
      <c r="E2" s="253">
        <v>6200.61</v>
      </c>
    </row>
    <row r="3" spans="1:5" ht="15.5">
      <c r="A3" s="243" t="s">
        <v>211</v>
      </c>
      <c r="B3" s="244">
        <v>43466</v>
      </c>
      <c r="C3" s="244"/>
      <c r="D3" s="245">
        <v>79843816739</v>
      </c>
      <c r="E3" s="254">
        <v>4225</v>
      </c>
    </row>
    <row r="4" spans="1:5" ht="15.5">
      <c r="A4" s="240" t="s">
        <v>174</v>
      </c>
      <c r="B4" s="241">
        <v>43466</v>
      </c>
      <c r="C4" s="241"/>
      <c r="D4" s="246">
        <v>16260284290</v>
      </c>
      <c r="E4" s="255">
        <v>5250</v>
      </c>
    </row>
    <row r="5" spans="1:5" ht="15.5">
      <c r="A5" s="243" t="s">
        <v>505</v>
      </c>
      <c r="B5" s="244">
        <v>43474</v>
      </c>
      <c r="C5" s="244"/>
      <c r="D5" s="247">
        <v>81476803276</v>
      </c>
      <c r="E5" s="257">
        <v>4375</v>
      </c>
    </row>
    <row r="6" spans="1:5" ht="15.5">
      <c r="A6" s="240" t="s">
        <v>618</v>
      </c>
      <c r="B6" s="241">
        <v>43640</v>
      </c>
      <c r="C6" s="241"/>
      <c r="D6" s="246">
        <v>37440200087</v>
      </c>
      <c r="E6" s="255">
        <v>4375</v>
      </c>
    </row>
    <row r="7" spans="1:5" ht="15.5">
      <c r="A7" s="243" t="s">
        <v>648</v>
      </c>
      <c r="B7" s="244">
        <v>43725</v>
      </c>
      <c r="C7" s="244"/>
      <c r="D7" s="245">
        <v>86034825742</v>
      </c>
      <c r="E7" s="254">
        <v>4375</v>
      </c>
    </row>
    <row r="8" spans="1:5" ht="15.5">
      <c r="A8" s="240" t="s">
        <v>655</v>
      </c>
      <c r="B8" s="241">
        <v>43738</v>
      </c>
      <c r="C8" s="241"/>
      <c r="D8" s="246">
        <v>77737288895</v>
      </c>
      <c r="E8" s="255">
        <v>5093.03</v>
      </c>
    </row>
    <row r="9" spans="1:5" ht="15.5">
      <c r="A9" s="243" t="s">
        <v>702</v>
      </c>
      <c r="B9" s="244">
        <v>43759</v>
      </c>
      <c r="C9" s="244"/>
      <c r="D9" s="245">
        <v>73717195719</v>
      </c>
      <c r="E9" s="254">
        <v>5084.22</v>
      </c>
    </row>
    <row r="10" spans="1:5" ht="15.5">
      <c r="A10" s="240" t="s">
        <v>715</v>
      </c>
      <c r="B10" s="241">
        <v>43794</v>
      </c>
      <c r="C10" s="241"/>
      <c r="D10" s="246">
        <v>72094958860</v>
      </c>
      <c r="E10" s="255">
        <v>4375</v>
      </c>
    </row>
    <row r="11" spans="1:5" ht="15.5">
      <c r="A11" s="243" t="s">
        <v>732</v>
      </c>
      <c r="B11" s="244">
        <v>43837</v>
      </c>
      <c r="C11" s="244"/>
      <c r="D11" s="245">
        <v>40752728430</v>
      </c>
      <c r="E11" s="254">
        <v>4375</v>
      </c>
    </row>
    <row r="12" spans="1:5" ht="15.5">
      <c r="A12" s="240" t="s">
        <v>749</v>
      </c>
      <c r="B12" s="241">
        <v>43864</v>
      </c>
      <c r="C12" s="241"/>
      <c r="D12" s="248" t="s">
        <v>750</v>
      </c>
      <c r="E12" s="255">
        <v>4375</v>
      </c>
    </row>
    <row r="13" spans="1:5" ht="15.5">
      <c r="A13" s="243" t="s">
        <v>764</v>
      </c>
      <c r="B13" s="244">
        <v>43892</v>
      </c>
      <c r="C13" s="244"/>
      <c r="D13" s="245">
        <v>35671171883</v>
      </c>
      <c r="E13" s="254">
        <v>8426.4599999999991</v>
      </c>
    </row>
    <row r="14" spans="1:5" ht="15.5">
      <c r="A14" s="249" t="s">
        <v>770</v>
      </c>
      <c r="B14" s="250">
        <v>43892</v>
      </c>
      <c r="C14" s="250"/>
      <c r="D14" s="251">
        <v>93342553119</v>
      </c>
      <c r="E14" s="256">
        <v>4375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L83"/>
  <sheetViews>
    <sheetView view="pageLayout" zoomScaleNormal="100" workbookViewId="0"/>
  </sheetViews>
  <sheetFormatPr defaultRowHeight="14.5"/>
  <cols>
    <col min="2" max="2" width="11.81640625" customWidth="1"/>
    <col min="3" max="3" width="9.1796875" customWidth="1"/>
    <col min="4" max="4" width="10.81640625" customWidth="1"/>
    <col min="5" max="5" width="5.7265625" customWidth="1"/>
    <col min="8" max="8" width="9.7265625" customWidth="1"/>
    <col min="9" max="9" width="6" customWidth="1"/>
    <col min="11" max="11" width="9.453125" customWidth="1"/>
  </cols>
  <sheetData>
    <row r="1" spans="1:12">
      <c r="A1" s="14">
        <v>421</v>
      </c>
    </row>
    <row r="2" spans="1:12" ht="15.5">
      <c r="A2" s="627" t="s">
        <v>895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</row>
    <row r="3" spans="1:12" ht="15.5">
      <c r="A3" s="203" t="s">
        <v>896</v>
      </c>
      <c r="B3" s="37">
        <v>44340</v>
      </c>
      <c r="C3" s="203" t="s">
        <v>897</v>
      </c>
      <c r="D3" s="203"/>
      <c r="E3" s="203"/>
      <c r="F3" s="203"/>
      <c r="G3" s="203"/>
      <c r="H3" s="203"/>
      <c r="I3" s="203"/>
      <c r="J3" s="203"/>
      <c r="K3" s="203"/>
    </row>
    <row r="4" spans="1:12" ht="15.5">
      <c r="A4" s="22"/>
    </row>
    <row r="5" spans="1:12" ht="20">
      <c r="A5" s="628" t="s">
        <v>1422</v>
      </c>
      <c r="B5" s="628"/>
      <c r="C5" s="628"/>
      <c r="D5" s="628"/>
      <c r="E5" s="628"/>
      <c r="F5" s="628"/>
      <c r="G5" s="628"/>
      <c r="H5" s="628"/>
      <c r="I5" s="628"/>
      <c r="J5" s="628"/>
      <c r="K5" s="628"/>
    </row>
    <row r="6" spans="1:12" ht="17.5">
      <c r="A6" s="644" t="s">
        <v>1423</v>
      </c>
      <c r="B6" s="644"/>
      <c r="C6" s="644"/>
      <c r="D6" s="644"/>
      <c r="E6" s="644"/>
      <c r="F6" s="644"/>
      <c r="G6" s="644"/>
      <c r="H6" s="644"/>
      <c r="I6" s="644"/>
      <c r="J6" s="644"/>
      <c r="K6" s="644"/>
      <c r="L6" s="644"/>
    </row>
    <row r="7" spans="1:12">
      <c r="A7" s="221"/>
    </row>
    <row r="8" spans="1:12" s="33" customFormat="1" ht="20">
      <c r="A8" s="31" t="s">
        <v>900</v>
      </c>
      <c r="B8" s="31"/>
      <c r="C8" s="31"/>
      <c r="D8" s="31"/>
      <c r="E8" s="32"/>
      <c r="F8" s="637" t="str">
        <f ca="1">OFFSET(RADNICI!E2,A1,0)</f>
        <v>Vital Group d.o.o.</v>
      </c>
      <c r="G8" s="637"/>
      <c r="H8" s="637"/>
      <c r="I8" s="33" t="s">
        <v>901</v>
      </c>
      <c r="J8" s="630">
        <f ca="1">OFFSET(RADNICI!F2,A1,0)</f>
        <v>45575918003</v>
      </c>
      <c r="K8" s="630"/>
    </row>
    <row r="9" spans="1:12" s="33" customFormat="1" ht="20.5">
      <c r="A9" s="203" t="s">
        <v>902</v>
      </c>
      <c r="B9" s="31"/>
      <c r="C9" s="31"/>
      <c r="D9" s="31"/>
      <c r="E9" s="75" t="str">
        <f ca="1">OFFSET(RADNICI!G2,A1,0)</f>
        <v>Balázs Kulcsár</v>
      </c>
      <c r="F9" s="204"/>
      <c r="G9" s="204"/>
      <c r="H9" s="34" t="s">
        <v>903</v>
      </c>
      <c r="J9" s="204"/>
      <c r="K9" s="204"/>
    </row>
    <row r="10" spans="1:12" s="33" customFormat="1" ht="15.5">
      <c r="A10" s="202" t="s">
        <v>904</v>
      </c>
    </row>
    <row r="11" spans="1:12" s="33" customFormat="1" ht="20">
      <c r="A11" s="24" t="s">
        <v>905</v>
      </c>
      <c r="B11" s="631" t="str">
        <f ca="1">OFFSET(RADNICI!J2,$A$1,0)</f>
        <v>Vladimir Cindrić</v>
      </c>
      <c r="C11" s="631"/>
      <c r="D11" s="631"/>
      <c r="E11" s="33" t="s">
        <v>3</v>
      </c>
      <c r="F11" s="632">
        <f ca="1">OFFSET(RADNICI!M2,$A$1,0)</f>
        <v>16238851829</v>
      </c>
      <c r="G11" s="632"/>
      <c r="H11" s="632"/>
      <c r="I11" s="33" t="s">
        <v>906</v>
      </c>
    </row>
    <row r="12" spans="1:12" s="33" customFormat="1" ht="20">
      <c r="A12" s="633" t="str">
        <f ca="1">OFFSET(RADNICI!R2,$A$1,0)</f>
        <v>BRANKA RADIČEVIĆA 3</v>
      </c>
      <c r="B12" s="633"/>
      <c r="C12" s="633"/>
      <c r="D12" s="633"/>
      <c r="E12" s="633"/>
      <c r="F12" s="633"/>
      <c r="G12" s="34" t="s">
        <v>907</v>
      </c>
      <c r="H12" s="204"/>
    </row>
    <row r="13" spans="1:12" s="33" customFormat="1" ht="15.5">
      <c r="A13" s="202"/>
    </row>
    <row r="14" spans="1:12" s="33" customFormat="1" ht="15.5">
      <c r="A14" s="626" t="s">
        <v>908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</row>
    <row r="15" spans="1:12" s="33" customFormat="1" ht="14">
      <c r="A15" s="222" t="s">
        <v>909</v>
      </c>
    </row>
    <row r="16" spans="1:12" ht="15.5">
      <c r="A16" s="22"/>
    </row>
    <row r="17" spans="1:11" ht="15.5">
      <c r="A17" s="25" t="s">
        <v>910</v>
      </c>
    </row>
    <row r="18" spans="1:11" ht="15.5">
      <c r="A18" s="25" t="s">
        <v>976</v>
      </c>
    </row>
    <row r="19" spans="1:11" ht="15.5">
      <c r="A19" s="25"/>
      <c r="B19" s="634" t="str">
        <f ca="1">OFFSET(RADNICI!W2,$A$1,0)</f>
        <v>Stručnjak zaštite na radu</v>
      </c>
      <c r="C19" s="634"/>
      <c r="D19" s="634"/>
      <c r="E19" s="634"/>
      <c r="F19" s="634"/>
      <c r="G19" s="634"/>
      <c r="H19" s="634"/>
    </row>
    <row r="20" spans="1:11" ht="15.5">
      <c r="A20" s="25" t="s">
        <v>914</v>
      </c>
      <c r="H20" s="275" t="s">
        <v>1424</v>
      </c>
    </row>
    <row r="21" spans="1:11" ht="15.5">
      <c r="A21" s="25" t="s">
        <v>1588</v>
      </c>
      <c r="E21" s="635" t="s">
        <v>1589</v>
      </c>
      <c r="F21" s="635"/>
      <c r="G21" s="635"/>
      <c r="H21" s="635"/>
      <c r="I21" s="635"/>
      <c r="J21" s="635"/>
      <c r="K21" s="40"/>
    </row>
    <row r="22" spans="1:11" ht="15.5">
      <c r="B22" s="25" t="s">
        <v>917</v>
      </c>
    </row>
    <row r="23" spans="1:11" ht="15.5">
      <c r="A23" s="25" t="s">
        <v>1426</v>
      </c>
      <c r="D23" s="43">
        <f ca="1">OFFSET(RADNICI!K2,$A$1,0)</f>
        <v>44340</v>
      </c>
    </row>
    <row r="24" spans="1:11" ht="15.5">
      <c r="A24" s="22"/>
    </row>
    <row r="25" spans="1:11" ht="15.5">
      <c r="A25" s="626" t="s">
        <v>921</v>
      </c>
      <c r="B25" s="626"/>
      <c r="C25" s="626"/>
      <c r="D25" s="626"/>
      <c r="E25" s="626"/>
      <c r="F25" s="626"/>
      <c r="G25" s="626"/>
      <c r="H25" s="626"/>
      <c r="I25" s="626"/>
      <c r="J25" s="626"/>
      <c r="K25" s="626"/>
    </row>
    <row r="26" spans="1:11">
      <c r="A26" s="223" t="s">
        <v>922</v>
      </c>
    </row>
    <row r="27" spans="1:11" ht="15.5">
      <c r="A27" s="26"/>
    </row>
    <row r="28" spans="1:11" ht="15.5">
      <c r="A28" s="27" t="s">
        <v>923</v>
      </c>
    </row>
    <row r="29" spans="1:11" ht="15.5">
      <c r="A29" s="27"/>
      <c r="B29" s="36">
        <f ca="1">OFFSET(RADNICI!AM2,$A$1,0)</f>
        <v>514.54</v>
      </c>
      <c r="C29" s="33" t="s">
        <v>977</v>
      </c>
    </row>
    <row r="30" spans="1:11" ht="15.5">
      <c r="A30" s="27" t="s">
        <v>978</v>
      </c>
    </row>
    <row r="31" spans="1:11" ht="15.5">
      <c r="A31" s="27"/>
      <c r="B31" s="33" t="s">
        <v>979</v>
      </c>
    </row>
    <row r="32" spans="1:11" ht="15.5">
      <c r="A32" s="27" t="s">
        <v>980</v>
      </c>
    </row>
    <row r="33" spans="1:11" ht="15.5">
      <c r="A33" s="27" t="s">
        <v>928</v>
      </c>
    </row>
    <row r="34" spans="1:11" ht="15.5">
      <c r="B34" s="27" t="s">
        <v>929</v>
      </c>
      <c r="H34" s="44">
        <v>0.1</v>
      </c>
    </row>
    <row r="35" spans="1:11" ht="15.5">
      <c r="B35" s="27" t="s">
        <v>930</v>
      </c>
      <c r="C35" s="28"/>
      <c r="H35" s="45">
        <v>0.5</v>
      </c>
    </row>
    <row r="36" spans="1:11" ht="15.5">
      <c r="A36" s="27" t="s">
        <v>898</v>
      </c>
      <c r="B36" s="27" t="s">
        <v>931</v>
      </c>
      <c r="H36" s="44">
        <v>0.3</v>
      </c>
    </row>
    <row r="37" spans="1:11" ht="15.5">
      <c r="B37" s="27" t="s">
        <v>932</v>
      </c>
      <c r="H37" s="45">
        <v>0.3</v>
      </c>
      <c r="I37" s="28"/>
    </row>
    <row r="38" spans="1:11" ht="15.5">
      <c r="B38" s="27" t="s">
        <v>933</v>
      </c>
      <c r="H38" s="44">
        <v>0.5</v>
      </c>
    </row>
    <row r="39" spans="1:11" ht="15.5">
      <c r="B39" s="27" t="s">
        <v>981</v>
      </c>
      <c r="H39" s="200"/>
    </row>
    <row r="40" spans="1:11" ht="15.5">
      <c r="A40" s="27"/>
    </row>
    <row r="41" spans="1:11" ht="15.5">
      <c r="A41" s="626" t="s">
        <v>935</v>
      </c>
      <c r="B41" s="626"/>
      <c r="C41" s="626"/>
      <c r="D41" s="626"/>
      <c r="E41" s="626"/>
      <c r="F41" s="626"/>
      <c r="G41" s="626"/>
      <c r="H41" s="626"/>
      <c r="I41" s="626"/>
      <c r="J41" s="626"/>
      <c r="K41" s="626"/>
    </row>
    <row r="42" spans="1:11">
      <c r="A42" s="224" t="s">
        <v>936</v>
      </c>
    </row>
    <row r="43" spans="1:11" ht="15.5">
      <c r="A43" s="27"/>
    </row>
    <row r="44" spans="1:11" ht="15.5">
      <c r="A44" s="22" t="s">
        <v>937</v>
      </c>
    </row>
    <row r="45" spans="1:11" ht="15.5">
      <c r="A45" s="29" t="s">
        <v>938</v>
      </c>
    </row>
    <row r="46" spans="1:11" ht="15.5">
      <c r="A46" s="626" t="s">
        <v>939</v>
      </c>
      <c r="B46" s="626"/>
      <c r="C46" s="626"/>
      <c r="D46" s="626"/>
      <c r="E46" s="626"/>
      <c r="F46" s="626"/>
      <c r="G46" s="626"/>
      <c r="H46" s="626"/>
      <c r="I46" s="626"/>
      <c r="J46" s="626"/>
      <c r="K46" s="626"/>
    </row>
    <row r="47" spans="1:11">
      <c r="A47" s="224" t="s">
        <v>940</v>
      </c>
    </row>
    <row r="48" spans="1:11" ht="15.5">
      <c r="A48" s="29"/>
    </row>
    <row r="49" spans="1:11" ht="15.5">
      <c r="A49" s="29" t="s">
        <v>941</v>
      </c>
      <c r="C49" s="276" t="s">
        <v>1428</v>
      </c>
      <c r="D49" s="35"/>
      <c r="E49" t="s">
        <v>942</v>
      </c>
      <c r="H49" s="38">
        <v>8</v>
      </c>
      <c r="I49" s="16" t="s">
        <v>1429</v>
      </c>
    </row>
    <row r="50" spans="1:11" ht="15.5">
      <c r="A50" s="25" t="s">
        <v>1587</v>
      </c>
    </row>
    <row r="51" spans="1:11" ht="15.5">
      <c r="A51" s="25"/>
      <c r="B51" s="33" t="s">
        <v>1586</v>
      </c>
    </row>
    <row r="52" spans="1:11" ht="15.5">
      <c r="A52" s="25" t="s">
        <v>1427</v>
      </c>
    </row>
    <row r="53" spans="1:11" ht="15.5">
      <c r="A53" s="29"/>
    </row>
    <row r="54" spans="1:11" ht="15.5">
      <c r="A54" s="626" t="s">
        <v>947</v>
      </c>
      <c r="B54" s="626"/>
      <c r="C54" s="626"/>
      <c r="D54" s="626"/>
      <c r="E54" s="626"/>
      <c r="F54" s="626"/>
      <c r="G54" s="626"/>
      <c r="H54" s="626"/>
      <c r="I54" s="626"/>
      <c r="J54" s="626"/>
      <c r="K54" s="626"/>
    </row>
    <row r="55" spans="1:11">
      <c r="A55" s="222" t="s">
        <v>948</v>
      </c>
    </row>
    <row r="56" spans="1:11">
      <c r="A56" s="225"/>
    </row>
    <row r="57" spans="1:11" ht="15.5">
      <c r="A57" s="25" t="s">
        <v>949</v>
      </c>
    </row>
    <row r="58" spans="1:11" ht="15.5">
      <c r="A58" s="22" t="s">
        <v>950</v>
      </c>
    </row>
    <row r="59" spans="1:11" ht="15.5">
      <c r="A59" s="22" t="s">
        <v>951</v>
      </c>
    </row>
    <row r="60" spans="1:11" ht="15.5">
      <c r="A60" s="22"/>
    </row>
    <row r="61" spans="1:11" ht="15.5">
      <c r="A61" s="626" t="s">
        <v>952</v>
      </c>
      <c r="B61" s="626"/>
      <c r="C61" s="626"/>
      <c r="D61" s="626"/>
      <c r="E61" s="626"/>
      <c r="F61" s="626"/>
      <c r="G61" s="626"/>
      <c r="H61" s="626"/>
      <c r="I61" s="626"/>
      <c r="J61" s="626"/>
      <c r="K61" s="626"/>
    </row>
    <row r="62" spans="1:11">
      <c r="A62" s="224" t="s">
        <v>953</v>
      </c>
    </row>
    <row r="63" spans="1:11">
      <c r="A63" s="215"/>
    </row>
    <row r="64" spans="1:11" ht="15.5">
      <c r="A64" s="25" t="s">
        <v>1430</v>
      </c>
    </row>
    <row r="65" spans="1:11" ht="15.5">
      <c r="A65" s="25"/>
      <c r="B65" s="23"/>
    </row>
    <row r="66" spans="1:11" ht="15.5">
      <c r="A66" s="25" t="s">
        <v>1431</v>
      </c>
    </row>
    <row r="67" spans="1:11" ht="15.5">
      <c r="A67" s="22" t="s">
        <v>898</v>
      </c>
    </row>
    <row r="68" spans="1:11" ht="15.5">
      <c r="A68" s="626" t="s">
        <v>958</v>
      </c>
      <c r="B68" s="626"/>
      <c r="C68" s="626"/>
      <c r="D68" s="626"/>
      <c r="E68" s="626"/>
      <c r="F68" s="626"/>
      <c r="G68" s="626"/>
      <c r="H68" s="626"/>
      <c r="I68" s="626"/>
      <c r="J68" s="626"/>
      <c r="K68" s="626"/>
    </row>
    <row r="69" spans="1:11">
      <c r="A69" s="224" t="s">
        <v>963</v>
      </c>
    </row>
    <row r="70" spans="1:11" ht="15.5">
      <c r="A70" s="202" t="s">
        <v>964</v>
      </c>
    </row>
    <row r="71" spans="1:11" ht="15.5">
      <c r="A71" s="25" t="s">
        <v>965</v>
      </c>
    </row>
    <row r="72" spans="1:11" ht="15.5">
      <c r="A72" s="25" t="s">
        <v>966</v>
      </c>
      <c r="D72" s="624">
        <f ca="1">D23</f>
        <v>44340</v>
      </c>
      <c r="E72" s="625"/>
      <c r="F72" s="625"/>
    </row>
    <row r="73" spans="1:11" ht="15.5">
      <c r="A73" s="25" t="s">
        <v>967</v>
      </c>
    </row>
    <row r="74" spans="1:11" ht="15.5">
      <c r="A74" s="22"/>
      <c r="B74" s="33" t="s">
        <v>968</v>
      </c>
    </row>
    <row r="75" spans="1:11" ht="15.5">
      <c r="A75" s="22"/>
    </row>
    <row r="76" spans="1:11" ht="15.5">
      <c r="A76" s="22" t="s">
        <v>969</v>
      </c>
      <c r="C76" s="82">
        <v>44136</v>
      </c>
    </row>
    <row r="77" spans="1:11" ht="15.5">
      <c r="A77" s="22"/>
    </row>
    <row r="78" spans="1:11" ht="15.5">
      <c r="A78" s="22"/>
    </row>
    <row r="79" spans="1:11" ht="15.5">
      <c r="A79" s="22" t="s">
        <v>970</v>
      </c>
      <c r="G79" s="22" t="s">
        <v>971</v>
      </c>
    </row>
    <row r="80" spans="1:11" ht="15.5">
      <c r="A80" s="22"/>
    </row>
    <row r="81" spans="1:6">
      <c r="A81" s="227" t="s">
        <v>972</v>
      </c>
    </row>
    <row r="82" spans="1:6" ht="15.5">
      <c r="A82" s="22" t="s">
        <v>973</v>
      </c>
      <c r="F82" s="22" t="s">
        <v>974</v>
      </c>
    </row>
    <row r="83" spans="1:6">
      <c r="A83" s="221"/>
    </row>
  </sheetData>
  <mergeCells count="18">
    <mergeCell ref="D72:F72"/>
    <mergeCell ref="A6:L6"/>
    <mergeCell ref="A46:K46"/>
    <mergeCell ref="A54:K54"/>
    <mergeCell ref="A61:K61"/>
    <mergeCell ref="A68:K68"/>
    <mergeCell ref="A12:F12"/>
    <mergeCell ref="A14:K14"/>
    <mergeCell ref="B19:H19"/>
    <mergeCell ref="E21:J21"/>
    <mergeCell ref="A25:K25"/>
    <mergeCell ref="A41:K41"/>
    <mergeCell ref="A2:K2"/>
    <mergeCell ref="A5:K5"/>
    <mergeCell ref="F8:H8"/>
    <mergeCell ref="J8:K8"/>
    <mergeCell ref="B11:D11"/>
    <mergeCell ref="F11:H11"/>
  </mergeCells>
  <pageMargins left="0.39370078740157483" right="0.23622047244094491" top="0.74803149606299213" bottom="0.74803149606299213" header="0.31496062992125984" footer="0.31496062992125984"/>
  <pageSetup paperSize="9" scale="91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92D050"/>
    <pageSetUpPr fitToPage="1"/>
  </sheetPr>
  <dimension ref="A1:I47"/>
  <sheetViews>
    <sheetView topLeftCell="B1" zoomScale="70" zoomScaleNormal="70" workbookViewId="0">
      <selection activeCell="J14" sqref="J14"/>
    </sheetView>
  </sheetViews>
  <sheetFormatPr defaultRowHeight="14.5"/>
  <cols>
    <col min="3" max="3" width="5.453125" customWidth="1"/>
    <col min="6" max="6" width="21.81640625" customWidth="1"/>
    <col min="7" max="7" width="12.54296875" customWidth="1"/>
    <col min="8" max="8" width="4.453125" customWidth="1"/>
    <col min="9" max="9" width="30.1796875" customWidth="1"/>
  </cols>
  <sheetData>
    <row r="1" spans="1:9" ht="28.5">
      <c r="A1" s="86" t="s">
        <v>898</v>
      </c>
      <c r="B1" s="86">
        <v>167</v>
      </c>
      <c r="F1" s="86" t="s">
        <v>0</v>
      </c>
      <c r="G1" s="85">
        <v>808</v>
      </c>
    </row>
    <row r="2" spans="1:9">
      <c r="G2" s="7"/>
    </row>
    <row r="3" spans="1:9" ht="15.5">
      <c r="A3" s="55" t="s">
        <v>1</v>
      </c>
      <c r="B3" s="55"/>
      <c r="C3" s="700" t="str">
        <f ca="1">OFFSET(RADNICI!E2,$G$1,0)</f>
        <v>D-INVOICE D.O.O.</v>
      </c>
      <c r="D3" s="700"/>
      <c r="E3" s="700"/>
      <c r="F3" s="700"/>
      <c r="G3" s="700"/>
      <c r="H3" s="700"/>
      <c r="I3" s="700"/>
    </row>
    <row r="4" spans="1:9" ht="15.5">
      <c r="A4" s="55" t="s">
        <v>2</v>
      </c>
      <c r="B4" s="55"/>
      <c r="C4" s="55"/>
      <c r="D4" s="700" t="str">
        <f ca="1">OFFSET(RADNICI!I2,$G$1,0)</f>
        <v>SV.IVANA KRSTITELJA 15, DARDA</v>
      </c>
      <c r="E4" s="700"/>
      <c r="F4" s="700"/>
      <c r="G4" s="700"/>
      <c r="H4" s="55" t="s">
        <v>3</v>
      </c>
      <c r="I4" s="68">
        <f ca="1">OFFSET(RADNICI!F2,$G$1,0)</f>
        <v>95114485977</v>
      </c>
    </row>
    <row r="5" spans="1:9" ht="15.5">
      <c r="A5" s="55"/>
      <c r="B5" s="55"/>
      <c r="C5" s="55"/>
      <c r="D5" s="55"/>
      <c r="E5" s="55"/>
      <c r="F5" s="55"/>
      <c r="G5" s="55"/>
      <c r="H5" s="55"/>
      <c r="I5" s="55"/>
    </row>
    <row r="6" spans="1:9" ht="15.5">
      <c r="A6" s="55"/>
      <c r="B6" s="55"/>
      <c r="C6" s="55"/>
      <c r="D6" s="68" t="s">
        <v>4</v>
      </c>
      <c r="E6" s="55"/>
      <c r="F6" s="55"/>
      <c r="G6" s="55"/>
      <c r="H6" s="55"/>
      <c r="I6" s="55"/>
    </row>
    <row r="7" spans="1:9" ht="15.5">
      <c r="A7" s="702" t="s">
        <v>5</v>
      </c>
      <c r="B7" s="702"/>
      <c r="C7" s="702"/>
      <c r="D7" s="702"/>
      <c r="E7" s="702"/>
      <c r="F7" s="702"/>
      <c r="G7" s="702"/>
      <c r="H7" s="702"/>
      <c r="I7" s="702"/>
    </row>
    <row r="8" spans="1:9" ht="15.5">
      <c r="A8" s="55"/>
      <c r="B8" s="55"/>
      <c r="C8" s="55"/>
      <c r="D8" s="55"/>
      <c r="E8" s="55"/>
      <c r="F8" s="55"/>
      <c r="G8" s="55"/>
      <c r="H8" s="55"/>
      <c r="I8" s="55"/>
    </row>
    <row r="9" spans="1:9" ht="21">
      <c r="A9" s="657" t="s">
        <v>6</v>
      </c>
      <c r="B9" s="657"/>
      <c r="C9" s="657"/>
      <c r="D9" s="657"/>
      <c r="E9" s="657"/>
      <c r="F9" s="657"/>
      <c r="G9" s="701" t="str">
        <f ca="1">OFFSET(RADNICI!J2,$G$1,0)</f>
        <v>VLADIMIR DEDUŠ</v>
      </c>
      <c r="H9" s="701"/>
      <c r="I9" s="701"/>
    </row>
    <row r="10" spans="1:9" ht="15.5">
      <c r="A10" s="657" t="s">
        <v>7</v>
      </c>
      <c r="B10" s="657"/>
      <c r="C10" s="657"/>
      <c r="D10" s="657"/>
      <c r="E10" s="657"/>
      <c r="F10" s="657"/>
      <c r="G10" s="680">
        <v>39928283497</v>
      </c>
      <c r="H10" s="681"/>
      <c r="I10" s="682"/>
    </row>
    <row r="11" spans="1:9" ht="15.5">
      <c r="A11" s="657" t="s">
        <v>8</v>
      </c>
      <c r="B11" s="657"/>
      <c r="C11" s="657"/>
      <c r="D11" s="657"/>
      <c r="E11" s="657"/>
      <c r="F11" s="657"/>
      <c r="G11" s="655" t="str">
        <f ca="1">OFFSET(RADNICI!N2,G1,0)</f>
        <v>M-MUŠKO</v>
      </c>
      <c r="H11" s="655"/>
      <c r="I11" s="655"/>
    </row>
    <row r="12" spans="1:9" ht="15.5">
      <c r="A12" s="657" t="s">
        <v>9</v>
      </c>
      <c r="B12" s="657"/>
      <c r="C12" s="657"/>
      <c r="D12" s="657"/>
      <c r="E12" s="657"/>
      <c r="F12" s="657"/>
      <c r="G12" s="677">
        <f ca="1">OFFSET(RADNICI!O2,G1,0)</f>
        <v>30446</v>
      </c>
      <c r="H12" s="678"/>
      <c r="I12" s="679"/>
    </row>
    <row r="13" spans="1:9" ht="15.5">
      <c r="A13" s="657" t="s">
        <v>10</v>
      </c>
      <c r="B13" s="657"/>
      <c r="C13" s="657"/>
      <c r="D13" s="657"/>
      <c r="E13" s="657"/>
      <c r="F13" s="657"/>
      <c r="G13" s="655" t="str">
        <f ca="1">OFFSET(RADNICI!Q2,G1,0)</f>
        <v>hrvatsko</v>
      </c>
      <c r="H13" s="655"/>
      <c r="I13" s="655"/>
    </row>
    <row r="14" spans="1:9" ht="34.5" customHeight="1">
      <c r="A14" s="696" t="s">
        <v>11</v>
      </c>
      <c r="B14" s="697"/>
      <c r="C14" s="697"/>
      <c r="D14" s="697"/>
      <c r="E14" s="697"/>
      <c r="F14" s="698"/>
      <c r="G14" s="693" t="str">
        <f ca="1">OFFSET(RADNICI!R2,$G$1,0)</f>
        <v>Moslavačka 7 a</v>
      </c>
      <c r="H14" s="694"/>
      <c r="I14" s="695"/>
    </row>
    <row r="15" spans="1:9">
      <c r="A15" s="658" t="s">
        <v>12</v>
      </c>
      <c r="B15" s="658"/>
      <c r="C15" s="658"/>
      <c r="D15" s="658"/>
      <c r="E15" s="658"/>
      <c r="F15" s="658"/>
      <c r="G15" s="699">
        <f ca="1">OFFSET(RADNICI!S2,G1,0)</f>
        <v>0</v>
      </c>
      <c r="H15" s="699"/>
      <c r="I15" s="699"/>
    </row>
    <row r="16" spans="1:9">
      <c r="A16" s="658"/>
      <c r="B16" s="658"/>
      <c r="C16" s="658"/>
      <c r="D16" s="658"/>
      <c r="E16" s="658"/>
      <c r="F16" s="658"/>
      <c r="G16" s="699"/>
      <c r="H16" s="699"/>
      <c r="I16" s="699"/>
    </row>
    <row r="17" spans="1:9">
      <c r="A17" s="658" t="s">
        <v>13</v>
      </c>
      <c r="B17" s="658"/>
      <c r="C17" s="658"/>
      <c r="D17" s="658"/>
      <c r="E17" s="658"/>
      <c r="F17" s="658"/>
      <c r="G17" s="659" t="str">
        <f ca="1">OFFSET(RADNICI!T2,$G$1,0)</f>
        <v>sss</v>
      </c>
      <c r="H17" s="660"/>
      <c r="I17" s="661"/>
    </row>
    <row r="18" spans="1:9">
      <c r="A18" s="658"/>
      <c r="B18" s="658"/>
      <c r="C18" s="658"/>
      <c r="D18" s="658"/>
      <c r="E18" s="658"/>
      <c r="F18" s="658"/>
      <c r="G18" s="662"/>
      <c r="H18" s="663"/>
      <c r="I18" s="664"/>
    </row>
    <row r="19" spans="1:9" ht="15.5">
      <c r="A19" s="657" t="s">
        <v>14</v>
      </c>
      <c r="B19" s="657"/>
      <c r="C19" s="657"/>
      <c r="D19" s="657"/>
      <c r="E19" s="657"/>
      <c r="F19" s="657"/>
      <c r="G19" s="677">
        <f ca="1">OFFSET(RADNICI!K2,$G$1,0)</f>
        <v>46181</v>
      </c>
      <c r="H19" s="678"/>
      <c r="I19" s="679"/>
    </row>
    <row r="20" spans="1:9" ht="15.5">
      <c r="A20" s="674" t="s">
        <v>15</v>
      </c>
      <c r="B20" s="675"/>
      <c r="C20" s="675"/>
      <c r="D20" s="675"/>
      <c r="E20" s="675"/>
      <c r="F20" s="676"/>
      <c r="G20" s="677" t="str">
        <f ca="1">OFFSET(RADNICI!W2,$G$1,0)</f>
        <v>maser / maserka</v>
      </c>
      <c r="H20" s="678"/>
      <c r="I20" s="679"/>
    </row>
    <row r="21" spans="1:9" ht="15.5">
      <c r="A21" s="674" t="s">
        <v>16</v>
      </c>
      <c r="B21" s="675"/>
      <c r="C21" s="675"/>
      <c r="D21" s="675"/>
      <c r="E21" s="675"/>
      <c r="F21" s="676"/>
      <c r="G21" s="680">
        <f ca="1">OFFSET(RADNICI!AA2,$G$1,0)</f>
        <v>40</v>
      </c>
      <c r="H21" s="681"/>
      <c r="I21" s="682"/>
    </row>
    <row r="22" spans="1:9" ht="15.5">
      <c r="A22" s="674" t="s">
        <v>17</v>
      </c>
      <c r="B22" s="675"/>
      <c r="C22" s="675"/>
      <c r="D22" s="675"/>
      <c r="E22" s="675"/>
      <c r="F22" s="676"/>
      <c r="G22" s="683">
        <f ca="1">OFFSET(RADNICI!AM2,$G$1,0)</f>
        <v>1050</v>
      </c>
      <c r="H22" s="684"/>
      <c r="I22" s="685"/>
    </row>
    <row r="23" spans="1:9" ht="17.25" customHeight="1">
      <c r="A23" s="658" t="s">
        <v>18</v>
      </c>
      <c r="B23" s="658"/>
      <c r="C23" s="658"/>
      <c r="D23" s="658"/>
      <c r="E23" s="658"/>
      <c r="F23" s="658"/>
      <c r="G23" s="665"/>
      <c r="H23" s="666"/>
      <c r="I23" s="667"/>
    </row>
    <row r="24" spans="1:9">
      <c r="A24" s="658"/>
      <c r="B24" s="658"/>
      <c r="C24" s="658"/>
      <c r="D24" s="658"/>
      <c r="E24" s="658"/>
      <c r="F24" s="658"/>
      <c r="G24" s="668"/>
      <c r="H24" s="669"/>
      <c r="I24" s="670"/>
    </row>
    <row r="25" spans="1:9">
      <c r="A25" s="658"/>
      <c r="B25" s="658"/>
      <c r="C25" s="658"/>
      <c r="D25" s="658"/>
      <c r="E25" s="658"/>
      <c r="F25" s="658"/>
      <c r="G25" s="668"/>
      <c r="H25" s="669"/>
      <c r="I25" s="670"/>
    </row>
    <row r="26" spans="1:9">
      <c r="A26" s="658"/>
      <c r="B26" s="658"/>
      <c r="C26" s="658"/>
      <c r="D26" s="658"/>
      <c r="E26" s="658"/>
      <c r="F26" s="658"/>
      <c r="G26" s="668"/>
      <c r="H26" s="669"/>
      <c r="I26" s="670"/>
    </row>
    <row r="27" spans="1:9">
      <c r="A27" s="658"/>
      <c r="B27" s="658"/>
      <c r="C27" s="658"/>
      <c r="D27" s="658"/>
      <c r="E27" s="658"/>
      <c r="F27" s="658"/>
      <c r="G27" s="671"/>
      <c r="H27" s="672"/>
      <c r="I27" s="673"/>
    </row>
    <row r="28" spans="1:9">
      <c r="A28" s="658" t="s">
        <v>19</v>
      </c>
      <c r="B28" s="658"/>
      <c r="C28" s="658"/>
      <c r="D28" s="658"/>
      <c r="E28" s="658"/>
      <c r="F28" s="658"/>
      <c r="G28" s="657"/>
      <c r="H28" s="657"/>
      <c r="I28" s="657"/>
    </row>
    <row r="29" spans="1:9">
      <c r="A29" s="658"/>
      <c r="B29" s="658"/>
      <c r="C29" s="658"/>
      <c r="D29" s="658"/>
      <c r="E29" s="658"/>
      <c r="F29" s="658"/>
      <c r="G29" s="657"/>
      <c r="H29" s="657"/>
      <c r="I29" s="657"/>
    </row>
    <row r="30" spans="1:9">
      <c r="A30" s="658" t="s">
        <v>20</v>
      </c>
      <c r="B30" s="658"/>
      <c r="C30" s="658"/>
      <c r="D30" s="658"/>
      <c r="E30" s="658"/>
      <c r="F30" s="658"/>
      <c r="G30" s="657"/>
      <c r="H30" s="657"/>
      <c r="I30" s="657"/>
    </row>
    <row r="31" spans="1:9">
      <c r="A31" s="658"/>
      <c r="B31" s="658"/>
      <c r="C31" s="658"/>
      <c r="D31" s="658"/>
      <c r="E31" s="658"/>
      <c r="F31" s="658"/>
      <c r="G31" s="657"/>
      <c r="H31" s="657"/>
      <c r="I31" s="657"/>
    </row>
    <row r="32" spans="1:9">
      <c r="A32" s="658"/>
      <c r="B32" s="658"/>
      <c r="C32" s="658"/>
      <c r="D32" s="658"/>
      <c r="E32" s="658"/>
      <c r="F32" s="658"/>
      <c r="G32" s="657"/>
      <c r="H32" s="657"/>
      <c r="I32" s="657"/>
    </row>
    <row r="33" spans="1:9">
      <c r="A33" s="658" t="s">
        <v>21</v>
      </c>
      <c r="B33" s="658"/>
      <c r="C33" s="658"/>
      <c r="D33" s="658"/>
      <c r="E33" s="658"/>
      <c r="F33" s="658"/>
      <c r="G33" s="657">
        <f ca="1">OFFSET(RADNICI!AB2,$G$1,0)</f>
        <v>0</v>
      </c>
      <c r="H33" s="657"/>
      <c r="I33" s="657"/>
    </row>
    <row r="34" spans="1:9">
      <c r="A34" s="658"/>
      <c r="B34" s="658"/>
      <c r="C34" s="658"/>
      <c r="D34" s="658"/>
      <c r="E34" s="658"/>
      <c r="F34" s="658"/>
      <c r="G34" s="657"/>
      <c r="H34" s="657"/>
      <c r="I34" s="657"/>
    </row>
    <row r="35" spans="1:9">
      <c r="A35" s="658" t="s">
        <v>22</v>
      </c>
      <c r="B35" s="658"/>
      <c r="C35" s="658"/>
      <c r="D35" s="658"/>
      <c r="E35" s="658"/>
      <c r="F35" s="658"/>
      <c r="G35" s="655">
        <f ca="1">OFFSET(RADNICI!AH2,$G$1,0)</f>
        <v>0</v>
      </c>
      <c r="H35" s="655"/>
      <c r="I35" s="655"/>
    </row>
    <row r="36" spans="1:9">
      <c r="A36" s="658"/>
      <c r="B36" s="658"/>
      <c r="C36" s="658"/>
      <c r="D36" s="658"/>
      <c r="E36" s="658"/>
      <c r="F36" s="658"/>
      <c r="G36" s="655"/>
      <c r="H36" s="655"/>
      <c r="I36" s="655"/>
    </row>
    <row r="37" spans="1:9">
      <c r="A37" s="658" t="s">
        <v>23</v>
      </c>
      <c r="B37" s="658"/>
      <c r="C37" s="658"/>
      <c r="D37" s="658"/>
      <c r="E37" s="658"/>
      <c r="F37" s="658"/>
      <c r="G37" s="687">
        <f ca="1">OFFSET(RADNICI!AA2,$G$1,0)</f>
        <v>40</v>
      </c>
      <c r="H37" s="688"/>
      <c r="I37" s="689"/>
    </row>
    <row r="38" spans="1:9">
      <c r="A38" s="658"/>
      <c r="B38" s="658"/>
      <c r="C38" s="658"/>
      <c r="D38" s="658"/>
      <c r="E38" s="658"/>
      <c r="F38" s="658"/>
      <c r="G38" s="690"/>
      <c r="H38" s="691"/>
      <c r="I38" s="692"/>
    </row>
    <row r="39" spans="1:9">
      <c r="A39" s="658" t="s">
        <v>24</v>
      </c>
      <c r="B39" s="658"/>
      <c r="C39" s="658"/>
      <c r="D39" s="658"/>
      <c r="E39" s="658"/>
      <c r="F39" s="658"/>
      <c r="G39" s="657"/>
      <c r="H39" s="657"/>
      <c r="I39" s="657"/>
    </row>
    <row r="40" spans="1:9">
      <c r="A40" s="658"/>
      <c r="B40" s="658"/>
      <c r="C40" s="658"/>
      <c r="D40" s="658"/>
      <c r="E40" s="658"/>
      <c r="F40" s="658"/>
      <c r="G40" s="657"/>
      <c r="H40" s="657"/>
      <c r="I40" s="657"/>
    </row>
    <row r="41" spans="1:9">
      <c r="A41" s="658"/>
      <c r="B41" s="658"/>
      <c r="C41" s="658"/>
      <c r="D41" s="658"/>
      <c r="E41" s="658"/>
      <c r="F41" s="658"/>
      <c r="G41" s="657"/>
      <c r="H41" s="657"/>
      <c r="I41" s="657"/>
    </row>
    <row r="42" spans="1:9" ht="15.5">
      <c r="A42" s="657" t="s">
        <v>25</v>
      </c>
      <c r="B42" s="657"/>
      <c r="C42" s="657"/>
      <c r="D42" s="657"/>
      <c r="E42" s="657"/>
      <c r="F42" s="657"/>
      <c r="G42" s="686">
        <f ca="1">IF(OFFSET(RADNICI!L2,$G$1,0)&lt;&gt;0,OFFSET(RADNICI!L2,$G$1,0)," ")</f>
        <v>46210</v>
      </c>
      <c r="H42" s="686"/>
      <c r="I42" s="686"/>
    </row>
    <row r="43" spans="1:9" ht="15.5">
      <c r="A43" s="657" t="s">
        <v>26</v>
      </c>
      <c r="B43" s="657"/>
      <c r="C43" s="657"/>
      <c r="D43" s="657"/>
      <c r="E43" s="657"/>
      <c r="F43" s="657"/>
      <c r="G43" s="655">
        <f ca="1">OFFSET(RADNICI!AI2,$G$1,0)</f>
        <v>0</v>
      </c>
      <c r="H43" s="655"/>
      <c r="I43" s="655"/>
    </row>
    <row r="44" spans="1:9" ht="15.5">
      <c r="A44" s="657" t="s">
        <v>27</v>
      </c>
      <c r="B44" s="657"/>
      <c r="C44" s="657"/>
      <c r="D44" s="657"/>
      <c r="E44" s="657"/>
      <c r="F44" s="657"/>
      <c r="G44" s="656">
        <f ca="1">OFFSET(RADNICI!AC2,$G$1,0)</f>
        <v>0</v>
      </c>
      <c r="H44" s="656"/>
      <c r="I44" s="656"/>
    </row>
    <row r="45" spans="1:9">
      <c r="A45" s="645" t="s">
        <v>28</v>
      </c>
      <c r="B45" s="645"/>
      <c r="C45" s="645"/>
      <c r="D45" s="645"/>
      <c r="E45" s="645"/>
      <c r="F45" s="645"/>
      <c r="G45" s="646"/>
      <c r="H45" s="647"/>
      <c r="I45" s="648"/>
    </row>
    <row r="46" spans="1:9">
      <c r="A46" s="645"/>
      <c r="B46" s="645"/>
      <c r="C46" s="645"/>
      <c r="D46" s="645"/>
      <c r="E46" s="645"/>
      <c r="F46" s="645"/>
      <c r="G46" s="649"/>
      <c r="H46" s="650"/>
      <c r="I46" s="651"/>
    </row>
    <row r="47" spans="1:9">
      <c r="A47" s="645"/>
      <c r="B47" s="645"/>
      <c r="C47" s="645"/>
      <c r="D47" s="645"/>
      <c r="E47" s="645"/>
      <c r="F47" s="645"/>
      <c r="G47" s="652"/>
      <c r="H47" s="653"/>
      <c r="I47" s="654"/>
    </row>
  </sheetData>
  <mergeCells count="49">
    <mergeCell ref="A11:F11"/>
    <mergeCell ref="C3:I3"/>
    <mergeCell ref="A10:F10"/>
    <mergeCell ref="A9:F9"/>
    <mergeCell ref="D4:G4"/>
    <mergeCell ref="G9:I9"/>
    <mergeCell ref="A7:I7"/>
    <mergeCell ref="G10:I10"/>
    <mergeCell ref="G11:I11"/>
    <mergeCell ref="G12:I12"/>
    <mergeCell ref="A12:F12"/>
    <mergeCell ref="A13:F13"/>
    <mergeCell ref="A15:F16"/>
    <mergeCell ref="G13:I13"/>
    <mergeCell ref="G14:I14"/>
    <mergeCell ref="A14:F14"/>
    <mergeCell ref="G15:I16"/>
    <mergeCell ref="G42:I42"/>
    <mergeCell ref="A42:F42"/>
    <mergeCell ref="A35:F36"/>
    <mergeCell ref="G37:I38"/>
    <mergeCell ref="A37:F38"/>
    <mergeCell ref="A39:F41"/>
    <mergeCell ref="G39:I41"/>
    <mergeCell ref="G35:I36"/>
    <mergeCell ref="G17:I18"/>
    <mergeCell ref="A23:F27"/>
    <mergeCell ref="G23:I27"/>
    <mergeCell ref="A17:F18"/>
    <mergeCell ref="A20:F20"/>
    <mergeCell ref="A21:F21"/>
    <mergeCell ref="A19:F19"/>
    <mergeCell ref="G20:I20"/>
    <mergeCell ref="G21:I21"/>
    <mergeCell ref="G19:I19"/>
    <mergeCell ref="A22:F22"/>
    <mergeCell ref="G22:I22"/>
    <mergeCell ref="G33:I34"/>
    <mergeCell ref="A33:F34"/>
    <mergeCell ref="A30:F32"/>
    <mergeCell ref="G30:I32"/>
    <mergeCell ref="G28:I29"/>
    <mergeCell ref="A28:F29"/>
    <mergeCell ref="A45:F47"/>
    <mergeCell ref="G45:I47"/>
    <mergeCell ref="G43:I43"/>
    <mergeCell ref="G44:I44"/>
    <mergeCell ref="A43:F43"/>
    <mergeCell ref="A44:F44"/>
  </mergeCells>
  <phoneticPr fontId="35" type="noConversion"/>
  <pageMargins left="0.23622047244094491" right="0.23622047244094491" top="0.74803149606299213" bottom="0.74803149606299213" header="0.31496062992125984" footer="0.31496062992125984"/>
  <pageSetup paperSize="9" scale="8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I28"/>
  <sheetViews>
    <sheetView showRuler="0" zoomScaleNormal="100" workbookViewId="0">
      <selection activeCell="C18" sqref="C18"/>
    </sheetView>
  </sheetViews>
  <sheetFormatPr defaultRowHeight="14.5"/>
  <cols>
    <col min="1" max="1" width="22" customWidth="1"/>
    <col min="2" max="2" width="17.81640625" customWidth="1"/>
    <col min="4" max="4" width="4.1796875" customWidth="1"/>
    <col min="5" max="5" width="13.54296875" customWidth="1"/>
    <col min="8" max="8" width="10.7265625" bestFit="1" customWidth="1"/>
    <col min="11" max="11" width="8.453125" customWidth="1"/>
  </cols>
  <sheetData>
    <row r="1" spans="1:3">
      <c r="A1" s="14">
        <f>'EVIDENCIJA NOVA'!G1</f>
        <v>808</v>
      </c>
    </row>
    <row r="2" spans="1:3">
      <c r="A2" s="21"/>
      <c r="B2" s="21"/>
    </row>
    <row r="3" spans="1:3">
      <c r="A3" s="164"/>
    </row>
    <row r="4" spans="1:3">
      <c r="A4" s="164"/>
    </row>
    <row r="5" spans="1:3">
      <c r="A5" s="164" t="s">
        <v>872</v>
      </c>
    </row>
    <row r="6" spans="1:3">
      <c r="A6" s="164" t="s">
        <v>873</v>
      </c>
    </row>
    <row r="7" spans="1:3">
      <c r="A7" s="165" t="s">
        <v>874</v>
      </c>
      <c r="B7" t="str">
        <f ca="1">OFFSET(RADNICI!E2,A1,0)</f>
        <v>D-INVOICE D.O.O.</v>
      </c>
    </row>
    <row r="8" spans="1:3">
      <c r="A8" s="165" t="s">
        <v>875</v>
      </c>
      <c r="B8" t="str">
        <f ca="1">OFFSET(RADNICI!I2,A1,0)</f>
        <v>SV.IVANA KRSTITELJA 15, DARDA</v>
      </c>
    </row>
    <row r="9" spans="1:3">
      <c r="A9" s="165" t="s">
        <v>876</v>
      </c>
      <c r="B9">
        <f ca="1">OFFSET(RADNICI!F2,A1,0)</f>
        <v>95114485977</v>
      </c>
    </row>
    <row r="10" spans="1:3">
      <c r="A10" s="165" t="s">
        <v>877</v>
      </c>
      <c r="C10" t="s">
        <v>878</v>
      </c>
    </row>
    <row r="11" spans="1:3">
      <c r="A11" s="166"/>
      <c r="C11" s="163" t="s">
        <v>879</v>
      </c>
    </row>
    <row r="12" spans="1:3">
      <c r="C12" s="163" t="s">
        <v>880</v>
      </c>
    </row>
    <row r="13" spans="1:3">
      <c r="C13" s="163" t="s">
        <v>81</v>
      </c>
    </row>
    <row r="15" spans="1:3">
      <c r="A15" s="31"/>
    </row>
    <row r="16" spans="1:3">
      <c r="A16" s="31"/>
    </row>
    <row r="17" spans="1:9">
      <c r="A17" s="704" t="s">
        <v>881</v>
      </c>
      <c r="B17" s="704"/>
      <c r="C17" s="704"/>
      <c r="D17" s="704"/>
      <c r="E17" s="704"/>
      <c r="F17" s="704"/>
      <c r="G17" s="704"/>
      <c r="H17" s="704"/>
    </row>
    <row r="18" spans="1:9">
      <c r="A18" s="31"/>
    </row>
    <row r="19" spans="1:9">
      <c r="A19" s="31"/>
    </row>
    <row r="20" spans="1:9">
      <c r="A20" s="19" t="s">
        <v>882</v>
      </c>
      <c r="B20" s="640" t="str">
        <f ca="1">OFFSET(RADNICI!J2,$A$1,0)</f>
        <v>VLADIMIR DEDUŠ</v>
      </c>
      <c r="C20" s="640"/>
      <c r="D20" t="s">
        <v>784</v>
      </c>
      <c r="E20" s="21">
        <f ca="1">OFFSET(RADNICI!M2,$A$1,0)</f>
        <v>31157145393</v>
      </c>
      <c r="F20" s="703" t="s">
        <v>883</v>
      </c>
      <c r="G20" s="703"/>
      <c r="H20" s="169">
        <v>0</v>
      </c>
    </row>
    <row r="21" spans="1:9">
      <c r="A21" s="19" t="s">
        <v>884</v>
      </c>
      <c r="B21" s="19"/>
      <c r="C21" s="19"/>
      <c r="D21" s="19"/>
      <c r="E21" s="19"/>
      <c r="F21" s="19"/>
      <c r="G21" s="19"/>
      <c r="H21" s="19"/>
      <c r="I21" s="19"/>
    </row>
    <row r="23" spans="1:9">
      <c r="A23" s="31" t="s">
        <v>885</v>
      </c>
      <c r="B23" s="167">
        <f ca="1">TODAY()</f>
        <v>46202</v>
      </c>
    </row>
    <row r="24" spans="1:9">
      <c r="A24" s="162"/>
    </row>
    <row r="25" spans="1:9">
      <c r="A25" s="162"/>
    </row>
    <row r="26" spans="1:9">
      <c r="A26" s="162" t="s">
        <v>886</v>
      </c>
      <c r="F26" s="168"/>
    </row>
    <row r="27" spans="1:9">
      <c r="A27" s="162" t="s">
        <v>887</v>
      </c>
      <c r="F27" s="168"/>
    </row>
    <row r="28" spans="1:9">
      <c r="A28" s="162" t="s">
        <v>888</v>
      </c>
      <c r="F28" s="168"/>
    </row>
  </sheetData>
  <sheetProtection formatCells="0" formatColumns="0" formatRows="0" insertColumns="0" insertRows="0" insertHyperlinks="0" deleteColumns="0" deleteRows="0" sort="0" autoFilter="0" pivotTables="0"/>
  <mergeCells count="3">
    <mergeCell ref="B20:C20"/>
    <mergeCell ref="F20:G20"/>
    <mergeCell ref="A17:H17"/>
  </mergeCells>
  <pageMargins left="0.25" right="0.25" top="0.75" bottom="0.75" header="0.3" footer="0.3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1:K19"/>
  <sheetViews>
    <sheetView showRuler="0" zoomScaleNormal="100" workbookViewId="0">
      <selection activeCell="A5" sqref="A5:I5"/>
    </sheetView>
  </sheetViews>
  <sheetFormatPr defaultRowHeight="14.5"/>
  <cols>
    <col min="2" max="2" width="10.81640625" customWidth="1"/>
    <col min="3" max="3" width="14.26953125" customWidth="1"/>
    <col min="4" max="4" width="4.1796875" customWidth="1"/>
    <col min="5" max="5" width="13.54296875" customWidth="1"/>
    <col min="11" max="11" width="8.453125" customWidth="1"/>
  </cols>
  <sheetData>
    <row r="1" spans="1:11">
      <c r="A1" s="14">
        <v>808</v>
      </c>
    </row>
    <row r="2" spans="1:11">
      <c r="A2" s="21" t="str">
        <f ca="1">OFFSET(RADNICI!E2,A1,0)</f>
        <v>D-INVOICE D.O.O.</v>
      </c>
      <c r="B2" s="21"/>
    </row>
    <row r="3" spans="1:11">
      <c r="A3" s="640">
        <f ca="1">OFFSET(RADNICI!F2,$A$1,0)</f>
        <v>95114485977</v>
      </c>
      <c r="B3" s="640"/>
    </row>
    <row r="5" spans="1:11">
      <c r="A5" s="641" t="s">
        <v>889</v>
      </c>
      <c r="B5" s="641"/>
      <c r="C5" s="641"/>
      <c r="D5" s="641"/>
      <c r="E5" s="641"/>
      <c r="F5" s="641"/>
      <c r="G5" s="641"/>
      <c r="H5" s="641"/>
      <c r="I5" s="641"/>
      <c r="J5" s="19"/>
      <c r="K5" s="19"/>
    </row>
    <row r="6" spans="1:11">
      <c r="A6" s="18"/>
    </row>
    <row r="7" spans="1:11">
      <c r="A7" s="19" t="s">
        <v>890</v>
      </c>
      <c r="B7" s="640" t="str">
        <f ca="1">OFFSET(RADNICI!J2,$A$1,0)</f>
        <v>VLADIMIR DEDUŠ</v>
      </c>
      <c r="C7" s="640"/>
      <c r="D7" t="s">
        <v>784</v>
      </c>
      <c r="E7" s="21">
        <f ca="1">OFFSET(RADNICI!M2,$A$1,0)</f>
        <v>31157145393</v>
      </c>
      <c r="F7" s="706" t="s">
        <v>891</v>
      </c>
      <c r="G7" s="706"/>
      <c r="H7" s="706"/>
      <c r="I7" s="706"/>
    </row>
    <row r="8" spans="1:11">
      <c r="A8" s="705" t="s">
        <v>892</v>
      </c>
      <c r="B8" s="705"/>
      <c r="C8" s="705"/>
      <c r="D8" s="705"/>
      <c r="E8" s="705"/>
      <c r="F8" s="705"/>
      <c r="G8" s="705"/>
      <c r="H8" s="705"/>
      <c r="I8" s="705"/>
    </row>
    <row r="12" spans="1:11">
      <c r="A12" s="19"/>
    </row>
    <row r="13" spans="1:11">
      <c r="A13" s="20" t="s">
        <v>893</v>
      </c>
      <c r="B13" s="603">
        <v>46178</v>
      </c>
    </row>
    <row r="14" spans="1:11">
      <c r="A14" s="19"/>
    </row>
    <row r="19" spans="1:1">
      <c r="A19" s="19" t="s">
        <v>894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8:I8"/>
    <mergeCell ref="F7:I7"/>
    <mergeCell ref="A3:B3"/>
    <mergeCell ref="A5:I5"/>
    <mergeCell ref="B7:C7"/>
  </mergeCells>
  <phoneticPr fontId="7" type="noConversion"/>
  <pageMargins left="1.1811023622047245" right="0.23622047244094491" top="0.74803149606299213" bottom="0.74803149606299213" header="0.31496062992125984" footer="0.31496062992125984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9"/>
  <sheetViews>
    <sheetView showRuler="0" zoomScaleNormal="100" workbookViewId="0">
      <selection activeCell="H25" sqref="H25"/>
    </sheetView>
  </sheetViews>
  <sheetFormatPr defaultRowHeight="14.5"/>
  <cols>
    <col min="2" max="2" width="10.81640625" customWidth="1"/>
    <col min="3" max="3" width="14.26953125" customWidth="1"/>
    <col min="4" max="4" width="4.1796875" customWidth="1"/>
    <col min="5" max="5" width="13.54296875" customWidth="1"/>
    <col min="11" max="11" width="8.453125" customWidth="1"/>
  </cols>
  <sheetData>
    <row r="1" spans="1:11">
      <c r="A1" s="14">
        <v>808</v>
      </c>
    </row>
    <row r="2" spans="1:11">
      <c r="A2" s="21" t="str">
        <f ca="1">OFFSET(RADNICI!E2,A1,0)</f>
        <v>D-INVOICE D.O.O.</v>
      </c>
      <c r="B2" s="21"/>
    </row>
    <row r="3" spans="1:11">
      <c r="A3" s="640">
        <f ca="1">OFFSET(RADNICI!F2,$A$1,0)</f>
        <v>95114485977</v>
      </c>
      <c r="B3" s="640"/>
    </row>
    <row r="5" spans="1:11">
      <c r="A5" s="641" t="s">
        <v>3018</v>
      </c>
      <c r="B5" s="641"/>
      <c r="C5" s="641"/>
      <c r="D5" s="641"/>
      <c r="E5" s="641"/>
      <c r="F5" s="641"/>
      <c r="G5" s="641"/>
      <c r="H5" s="641"/>
      <c r="I5" s="641"/>
      <c r="J5" s="19"/>
      <c r="K5" s="19"/>
    </row>
    <row r="6" spans="1:11">
      <c r="A6" s="18"/>
    </row>
    <row r="7" spans="1:11">
      <c r="A7" s="19" t="s">
        <v>890</v>
      </c>
      <c r="B7" s="640" t="str">
        <f ca="1">OFFSET(RADNICI!J2,$A$1,0)</f>
        <v>VLADIMIR DEDUŠ</v>
      </c>
      <c r="C7" s="640"/>
      <c r="D7" t="s">
        <v>784</v>
      </c>
      <c r="E7" s="21">
        <f ca="1">OFFSET(RADNICI!M2,$A$1,0)</f>
        <v>31157145393</v>
      </c>
      <c r="F7" s="706" t="s">
        <v>3019</v>
      </c>
      <c r="G7" s="706"/>
      <c r="H7" s="706"/>
      <c r="I7" s="706"/>
    </row>
    <row r="8" spans="1:11">
      <c r="A8" s="705" t="s">
        <v>3020</v>
      </c>
      <c r="B8" s="705"/>
      <c r="C8" s="705"/>
      <c r="D8" s="705"/>
      <c r="E8" s="705"/>
      <c r="F8" s="705"/>
      <c r="G8" s="705"/>
      <c r="H8" s="705"/>
      <c r="I8" s="705"/>
    </row>
    <row r="9" spans="1:11">
      <c r="A9" s="707" t="s">
        <v>3021</v>
      </c>
      <c r="B9" s="707"/>
      <c r="C9" s="707"/>
      <c r="D9" s="707"/>
      <c r="E9" s="707"/>
      <c r="F9" s="707"/>
      <c r="G9" s="707"/>
      <c r="H9" s="707"/>
      <c r="I9" s="707"/>
    </row>
    <row r="10" spans="1:11">
      <c r="A10" s="707" t="s">
        <v>3022</v>
      </c>
      <c r="B10" s="707"/>
      <c r="C10" s="707"/>
      <c r="D10" s="707"/>
      <c r="E10" s="707"/>
      <c r="F10" s="707"/>
      <c r="G10" s="707"/>
      <c r="H10" s="707"/>
      <c r="I10" s="707"/>
    </row>
    <row r="11" spans="1:11">
      <c r="A11" s="707" t="s">
        <v>3023</v>
      </c>
      <c r="B11" s="707"/>
      <c r="C11" s="707"/>
      <c r="D11" s="707"/>
      <c r="E11" s="707"/>
      <c r="F11" s="707"/>
      <c r="G11" s="707"/>
      <c r="H11" s="707"/>
      <c r="I11" s="707"/>
    </row>
    <row r="12" spans="1:11">
      <c r="A12" s="19"/>
    </row>
    <row r="13" spans="1:11">
      <c r="A13" s="20" t="s">
        <v>893</v>
      </c>
      <c r="B13" s="603">
        <v>46178</v>
      </c>
    </row>
    <row r="14" spans="1:11">
      <c r="A14" s="19"/>
    </row>
    <row r="19" spans="1:1">
      <c r="A19" s="19" t="s">
        <v>894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10:I10"/>
    <mergeCell ref="A11:I11"/>
    <mergeCell ref="A3:B3"/>
    <mergeCell ref="A5:I5"/>
    <mergeCell ref="B7:C7"/>
    <mergeCell ref="F7:I7"/>
    <mergeCell ref="A8:I8"/>
    <mergeCell ref="A9:I9"/>
  </mergeCells>
  <pageMargins left="1.1811023622047245" right="0.23622047244094491" top="0.74803149606299213" bottom="0.74803149606299213" header="0.31496062992125984" footer="0.31496062992125984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92D050"/>
    <pageSetUpPr fitToPage="1"/>
  </sheetPr>
  <dimension ref="A1:J87"/>
  <sheetViews>
    <sheetView zoomScaleNormal="100" workbookViewId="0">
      <selection activeCell="A5" sqref="A5:I5"/>
    </sheetView>
  </sheetViews>
  <sheetFormatPr defaultRowHeight="14.5"/>
  <cols>
    <col min="1" max="1" width="9.81640625" customWidth="1"/>
    <col min="2" max="2" width="10.54296875" customWidth="1"/>
    <col min="3" max="3" width="9.81640625" bestFit="1" customWidth="1"/>
    <col min="4" max="4" width="14.54296875" customWidth="1"/>
    <col min="5" max="5" width="4.81640625" customWidth="1"/>
    <col min="6" max="6" width="17" customWidth="1"/>
    <col min="7" max="7" width="17.26953125" customWidth="1"/>
    <col min="8" max="8" width="11.1796875" customWidth="1"/>
    <col min="9" max="9" width="22.453125" bestFit="1" customWidth="1"/>
    <col min="10" max="10" width="18" customWidth="1"/>
  </cols>
  <sheetData>
    <row r="1" spans="1:10">
      <c r="A1" s="14">
        <v>813</v>
      </c>
    </row>
    <row r="2" spans="1:10" ht="15.5">
      <c r="A2" s="22" t="s">
        <v>895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15.5">
      <c r="A3" s="203" t="s">
        <v>896</v>
      </c>
      <c r="B3" s="84">
        <v>46178</v>
      </c>
      <c r="C3" s="203" t="s">
        <v>897</v>
      </c>
      <c r="D3" s="203"/>
      <c r="E3" s="203"/>
      <c r="F3" s="203"/>
      <c r="G3" s="203"/>
      <c r="H3" s="203"/>
      <c r="I3" s="203"/>
      <c r="J3" s="203"/>
    </row>
    <row r="4" spans="1:10" ht="15.5">
      <c r="A4" s="22"/>
      <c r="B4" t="s">
        <v>898</v>
      </c>
    </row>
    <row r="5" spans="1:10" ht="20">
      <c r="A5" s="628" t="s">
        <v>899</v>
      </c>
      <c r="B5" s="628"/>
      <c r="C5" s="628"/>
      <c r="D5" s="628"/>
      <c r="E5" s="628"/>
      <c r="F5" s="628"/>
      <c r="G5" s="628"/>
      <c r="H5" s="628"/>
      <c r="I5" s="628"/>
      <c r="J5" s="138"/>
    </row>
    <row r="6" spans="1:10">
      <c r="A6" s="221"/>
    </row>
    <row r="7" spans="1:10" s="23" customFormat="1" ht="16">
      <c r="A7" s="22" t="s">
        <v>900</v>
      </c>
      <c r="B7" s="22"/>
      <c r="C7" s="22"/>
      <c r="D7" s="22"/>
      <c r="E7" s="156"/>
      <c r="F7" s="715" t="str">
        <f ca="1">OFFSET(RADNICI!E2,A1,0)</f>
        <v>CLEANING FACILITY MANAGEMENT d.o.o.</v>
      </c>
      <c r="G7" s="715"/>
      <c r="H7" s="23" t="s">
        <v>901</v>
      </c>
      <c r="I7" s="213">
        <f ca="1">OFFSET(RADNICI!F2,A1,0)</f>
        <v>81730765098</v>
      </c>
      <c r="J7" s="213"/>
    </row>
    <row r="8" spans="1:10" s="23" customFormat="1" ht="15.5">
      <c r="A8" s="50" t="s">
        <v>2633</v>
      </c>
      <c r="E8" s="156" t="str">
        <f ca="1">OFFSET(RADNICI!G2,A1,0)</f>
        <v>MICHAEL BAUER</v>
      </c>
      <c r="F8" s="552"/>
      <c r="G8" s="50" t="s">
        <v>903</v>
      </c>
      <c r="J8" s="278"/>
    </row>
    <row r="9" spans="1:10" s="23" customFormat="1" ht="15.5">
      <c r="A9" s="202" t="s">
        <v>904</v>
      </c>
    </row>
    <row r="10" spans="1:10" s="23" customFormat="1" ht="15.5">
      <c r="A10" s="24" t="s">
        <v>905</v>
      </c>
      <c r="B10" s="713" t="str">
        <f ca="1">OFFSET(RADNICI!J2,$A$1,0)</f>
        <v>LUJANAC FILIP</v>
      </c>
      <c r="C10" s="713"/>
      <c r="D10" s="713"/>
      <c r="E10" s="23" t="s">
        <v>3</v>
      </c>
      <c r="F10" s="713">
        <f ca="1">OFFSET(RADNICI!M2,$A$1,0)</f>
        <v>79375783205</v>
      </c>
      <c r="G10" s="713"/>
      <c r="H10" s="23" t="s">
        <v>906</v>
      </c>
    </row>
    <row r="11" spans="1:10" s="23" customFormat="1" ht="15.5">
      <c r="A11" s="714" t="str">
        <f ca="1">OFFSET(RADNICI!R2,$A$1,0)</f>
        <v>ULICA TOME LUJANCA 36, BADLJEVINA, PAKRAC</v>
      </c>
      <c r="B11" s="714"/>
      <c r="C11" s="714"/>
      <c r="D11" s="714"/>
      <c r="E11" s="714"/>
      <c r="F11" s="714"/>
      <c r="G11" s="50" t="s">
        <v>907</v>
      </c>
      <c r="H11" s="278"/>
    </row>
    <row r="12" spans="1:10" s="23" customFormat="1" ht="15.5">
      <c r="A12" s="202"/>
    </row>
    <row r="13" spans="1:10" s="33" customFormat="1" ht="15.5">
      <c r="A13" s="626" t="s">
        <v>908</v>
      </c>
      <c r="B13" s="626"/>
      <c r="C13" s="626"/>
      <c r="D13" s="626"/>
      <c r="E13" s="626"/>
      <c r="F13" s="626"/>
      <c r="G13" s="626"/>
      <c r="H13" s="626"/>
      <c r="I13" s="626"/>
      <c r="J13" s="22"/>
    </row>
    <row r="14" spans="1:10" s="33" customFormat="1" ht="14">
      <c r="A14" s="222" t="s">
        <v>909</v>
      </c>
    </row>
    <row r="15" spans="1:10" ht="15.5">
      <c r="A15" s="22"/>
    </row>
    <row r="16" spans="1:10" s="55" customFormat="1" ht="15.5">
      <c r="A16" s="25" t="s">
        <v>910</v>
      </c>
    </row>
    <row r="17" spans="1:10" s="55" customFormat="1" ht="15.5">
      <c r="A17" s="25" t="s">
        <v>911</v>
      </c>
      <c r="F17" s="23" t="str">
        <f ca="1">OFFSET(RADNICI!X2,$A$1,0)</f>
        <v>ODREĐENO</v>
      </c>
      <c r="G17" s="23" t="s">
        <v>2233</v>
      </c>
      <c r="H17" s="538">
        <f ca="1">OFFSET(RADNICI!Y2,$A$1,0)</f>
        <v>46295</v>
      </c>
      <c r="I17" s="539"/>
      <c r="J17" s="539"/>
    </row>
    <row r="18" spans="1:10" s="55" customFormat="1" ht="15.5">
      <c r="A18" s="25" t="s">
        <v>913</v>
      </c>
      <c r="B18" s="532"/>
      <c r="C18" s="532"/>
      <c r="D18" s="532" t="str">
        <f ca="1">OFFSET(RADNICI!W2,$A$1,0)</f>
        <v>KONOBAR</v>
      </c>
      <c r="E18" s="532"/>
      <c r="F18" s="532"/>
      <c r="G18" s="532"/>
      <c r="H18" s="532"/>
    </row>
    <row r="19" spans="1:10" s="55" customFormat="1" ht="15.5" hidden="1">
      <c r="A19" s="25" t="s">
        <v>914</v>
      </c>
      <c r="H19" s="156" t="s">
        <v>2232</v>
      </c>
    </row>
    <row r="20" spans="1:10" s="55" customFormat="1" ht="15.5">
      <c r="A20" s="25" t="s">
        <v>2803</v>
      </c>
      <c r="E20" s="712">
        <f ca="1">OFFSET(RADNICI!AH2,$A$1,0)</f>
        <v>0</v>
      </c>
      <c r="F20" s="712"/>
      <c r="G20" s="712"/>
      <c r="H20" s="712"/>
      <c r="I20" s="712"/>
      <c r="J20" s="156"/>
    </row>
    <row r="21" spans="1:10" s="55" customFormat="1" ht="15.5">
      <c r="B21" s="25" t="s">
        <v>917</v>
      </c>
    </row>
    <row r="22" spans="1:10" s="55" customFormat="1" ht="15.5">
      <c r="A22" s="25" t="s">
        <v>2804</v>
      </c>
    </row>
    <row r="23" spans="1:10" s="55" customFormat="1" ht="15.5">
      <c r="A23" s="25"/>
      <c r="B23" s="23" t="s">
        <v>919</v>
      </c>
    </row>
    <row r="24" spans="1:10" s="55" customFormat="1" ht="15.5">
      <c r="A24" s="25" t="s">
        <v>2805</v>
      </c>
      <c r="D24" s="540">
        <f ca="1">OFFSET(RADNICI!K2,$A$1,0)</f>
        <v>46191</v>
      </c>
      <c r="F24" s="23" t="s">
        <v>2618</v>
      </c>
      <c r="G24" s="23"/>
      <c r="H24" s="23"/>
      <c r="I24" s="23"/>
    </row>
    <row r="25" spans="1:10" s="55" customFormat="1" ht="15.5">
      <c r="A25" s="25" t="s">
        <v>2806</v>
      </c>
      <c r="D25" s="541"/>
    </row>
    <row r="26" spans="1:10" s="55" customFormat="1" ht="15.5">
      <c r="A26" s="22"/>
    </row>
    <row r="27" spans="1:10" ht="15.5">
      <c r="A27" s="711" t="s">
        <v>921</v>
      </c>
      <c r="B27" s="711"/>
      <c r="C27" s="711"/>
      <c r="D27" s="711"/>
      <c r="E27" s="711"/>
      <c r="F27" s="711"/>
      <c r="G27" s="711"/>
      <c r="H27" s="711"/>
      <c r="I27" s="711"/>
      <c r="J27" s="22"/>
    </row>
    <row r="28" spans="1:10">
      <c r="A28" s="223" t="s">
        <v>922</v>
      </c>
    </row>
    <row r="29" spans="1:10" ht="15.5">
      <c r="A29" s="26"/>
    </row>
    <row r="30" spans="1:10" ht="15.5">
      <c r="A30" s="27" t="s">
        <v>923</v>
      </c>
    </row>
    <row r="31" spans="1:10" ht="15.5">
      <c r="A31" s="27"/>
      <c r="B31" s="596">
        <f ca="1">OFFSET(RADNICI!AM2,$A$1,0)</f>
        <v>0</v>
      </c>
      <c r="C31" s="23" t="s">
        <v>2416</v>
      </c>
    </row>
    <row r="32" spans="1:10" ht="15.5">
      <c r="A32" s="27" t="s">
        <v>925</v>
      </c>
    </row>
    <row r="33" spans="1:10" ht="15.5">
      <c r="A33" s="27" t="s">
        <v>2418</v>
      </c>
    </row>
    <row r="34" spans="1:10" ht="15.5">
      <c r="A34" s="27" t="s">
        <v>2419</v>
      </c>
    </row>
    <row r="35" spans="1:10" ht="15.5">
      <c r="A35" s="27" t="s">
        <v>928</v>
      </c>
    </row>
    <row r="36" spans="1:10" ht="15.5">
      <c r="B36" s="27" t="s">
        <v>929</v>
      </c>
      <c r="H36" s="484">
        <v>0.1</v>
      </c>
    </row>
    <row r="37" spans="1:10" ht="15.5">
      <c r="B37" s="27" t="s">
        <v>930</v>
      </c>
      <c r="C37" s="28"/>
      <c r="H37" s="485">
        <v>0.5</v>
      </c>
    </row>
    <row r="38" spans="1:10" ht="15.5">
      <c r="A38" s="27" t="s">
        <v>898</v>
      </c>
      <c r="B38" s="27" t="s">
        <v>931</v>
      </c>
      <c r="H38" s="484">
        <v>0.5</v>
      </c>
    </row>
    <row r="39" spans="1:10" ht="15.5">
      <c r="B39" s="27" t="s">
        <v>932</v>
      </c>
      <c r="H39" s="485">
        <v>0.3</v>
      </c>
      <c r="I39" s="28"/>
    </row>
    <row r="40" spans="1:10" ht="15.5">
      <c r="B40" s="27" t="s">
        <v>933</v>
      </c>
      <c r="H40" s="484">
        <v>0.5</v>
      </c>
    </row>
    <row r="41" spans="1:10" ht="15.5">
      <c r="B41" s="159" t="s">
        <v>934</v>
      </c>
      <c r="H41" s="484" t="s">
        <v>1734</v>
      </c>
    </row>
    <row r="42" spans="1:10" ht="15.5">
      <c r="A42" s="27"/>
    </row>
    <row r="43" spans="1:10" ht="15.5">
      <c r="A43" s="626" t="s">
        <v>935</v>
      </c>
      <c r="B43" s="626"/>
      <c r="C43" s="626"/>
      <c r="D43" s="626"/>
      <c r="E43" s="626"/>
      <c r="F43" s="626"/>
      <c r="G43" s="626"/>
      <c r="H43" s="626"/>
      <c r="I43" s="626"/>
      <c r="J43" s="22"/>
    </row>
    <row r="44" spans="1:10">
      <c r="A44" s="224" t="s">
        <v>936</v>
      </c>
    </row>
    <row r="45" spans="1:10" ht="15.5">
      <c r="A45" s="22" t="s">
        <v>937</v>
      </c>
    </row>
    <row r="46" spans="1:10" ht="15.5">
      <c r="A46" s="22" t="s">
        <v>938</v>
      </c>
    </row>
    <row r="47" spans="1:10" ht="15.5">
      <c r="A47" s="626" t="s">
        <v>939</v>
      </c>
      <c r="B47" s="626"/>
      <c r="C47" s="626"/>
      <c r="D47" s="626"/>
      <c r="E47" s="626"/>
      <c r="F47" s="626"/>
      <c r="G47" s="626"/>
      <c r="H47" s="626"/>
      <c r="I47" s="626"/>
      <c r="J47" s="22"/>
    </row>
    <row r="48" spans="1:10">
      <c r="A48" s="224" t="s">
        <v>940</v>
      </c>
    </row>
    <row r="49" spans="1:10" ht="15.5">
      <c r="A49" s="29"/>
    </row>
    <row r="50" spans="1:10" ht="15.5">
      <c r="A50" s="25" t="s">
        <v>941</v>
      </c>
      <c r="D50" s="35" t="str">
        <f ca="1">OFFSET(RADNICI!Z2,$A$1,0)</f>
        <v>puno</v>
      </c>
      <c r="E50" t="s">
        <v>942</v>
      </c>
      <c r="H50" s="38">
        <f ca="1">OFFSET(RADNICI!AA2,$A$1,0)</f>
        <v>40</v>
      </c>
      <c r="I50" t="s">
        <v>943</v>
      </c>
    </row>
    <row r="51" spans="1:10" ht="15.5">
      <c r="A51" s="25" t="s">
        <v>982</v>
      </c>
    </row>
    <row r="52" spans="1:10" ht="15.5">
      <c r="A52" s="25" t="s">
        <v>1838</v>
      </c>
      <c r="B52" s="33"/>
    </row>
    <row r="53" spans="1:10" ht="15.5">
      <c r="A53" s="25" t="s">
        <v>944</v>
      </c>
    </row>
    <row r="54" spans="1:10" ht="15.5">
      <c r="A54" s="30" t="s">
        <v>945</v>
      </c>
    </row>
    <row r="55" spans="1:10" ht="15.5">
      <c r="A55" s="25" t="s">
        <v>946</v>
      </c>
    </row>
    <row r="56" spans="1:10" ht="15.5">
      <c r="A56" s="29"/>
    </row>
    <row r="57" spans="1:10" ht="15.5">
      <c r="A57" s="626" t="s">
        <v>947</v>
      </c>
      <c r="B57" s="626"/>
      <c r="C57" s="626"/>
      <c r="D57" s="626"/>
      <c r="E57" s="626"/>
      <c r="F57" s="626"/>
      <c r="G57" s="626"/>
      <c r="H57" s="626"/>
      <c r="I57" s="626"/>
      <c r="J57" s="22"/>
    </row>
    <row r="58" spans="1:10">
      <c r="A58" s="222" t="s">
        <v>948</v>
      </c>
    </row>
    <row r="59" spans="1:10">
      <c r="A59" s="225"/>
    </row>
    <row r="60" spans="1:10" ht="15.5">
      <c r="A60" s="25" t="s">
        <v>949</v>
      </c>
    </row>
    <row r="61" spans="1:10" ht="15.5">
      <c r="A61" s="22" t="s">
        <v>950</v>
      </c>
    </row>
    <row r="62" spans="1:10" ht="15.5">
      <c r="A62" s="22" t="s">
        <v>951</v>
      </c>
    </row>
    <row r="63" spans="1:10" ht="15.5">
      <c r="A63" s="22"/>
    </row>
    <row r="64" spans="1:10" ht="15.5">
      <c r="A64" s="626" t="s">
        <v>952</v>
      </c>
      <c r="B64" s="626"/>
      <c r="C64" s="626"/>
      <c r="D64" s="626"/>
      <c r="E64" s="626"/>
      <c r="F64" s="626"/>
      <c r="G64" s="626"/>
      <c r="H64" s="626"/>
      <c r="I64" s="626"/>
      <c r="J64" s="22"/>
    </row>
    <row r="65" spans="1:10">
      <c r="A65" s="224" t="s">
        <v>953</v>
      </c>
    </row>
    <row r="66" spans="1:10">
      <c r="A66" s="215"/>
    </row>
    <row r="67" spans="1:10" ht="15.5">
      <c r="A67" s="25" t="s">
        <v>954</v>
      </c>
    </row>
    <row r="68" spans="1:10" ht="15.5">
      <c r="A68" s="25"/>
      <c r="B68" s="23" t="s">
        <v>955</v>
      </c>
    </row>
    <row r="69" spans="1:10" ht="15.5">
      <c r="A69" s="25" t="s">
        <v>956</v>
      </c>
    </row>
    <row r="70" spans="1:10" ht="15.5">
      <c r="A70" s="25"/>
      <c r="B70" s="23" t="s">
        <v>957</v>
      </c>
    </row>
    <row r="71" spans="1:10" ht="15.5">
      <c r="A71" s="203"/>
    </row>
    <row r="72" spans="1:10" ht="15.5">
      <c r="A72" s="626" t="s">
        <v>958</v>
      </c>
      <c r="B72" s="626"/>
      <c r="C72" s="626"/>
      <c r="D72" s="626"/>
      <c r="E72" s="626"/>
      <c r="F72" s="626"/>
      <c r="G72" s="626"/>
      <c r="H72" s="626"/>
      <c r="I72" s="626"/>
      <c r="J72" s="22"/>
    </row>
    <row r="73" spans="1:10">
      <c r="A73" s="224" t="s">
        <v>963</v>
      </c>
    </row>
    <row r="74" spans="1:10" ht="15.5">
      <c r="A74" s="202"/>
    </row>
    <row r="75" spans="1:10" ht="15.5">
      <c r="A75" s="25" t="s">
        <v>2631</v>
      </c>
    </row>
    <row r="76" spans="1:10" ht="15.5">
      <c r="A76" s="25" t="s">
        <v>966</v>
      </c>
      <c r="D76" s="709">
        <f ca="1">D24</f>
        <v>46191</v>
      </c>
      <c r="E76" s="710"/>
      <c r="F76" s="710"/>
    </row>
    <row r="77" spans="1:10" ht="15.5">
      <c r="A77" s="25" t="s">
        <v>967</v>
      </c>
    </row>
    <row r="78" spans="1:10" ht="15.75" customHeight="1">
      <c r="A78" s="708" t="s">
        <v>968</v>
      </c>
      <c r="B78" s="708"/>
    </row>
    <row r="79" spans="1:10" ht="15.5">
      <c r="A79" s="22"/>
    </row>
    <row r="80" spans="1:10" ht="15.5">
      <c r="A80" s="22" t="s">
        <v>2973</v>
      </c>
      <c r="C80" s="83"/>
      <c r="D80" s="67">
        <f>B3</f>
        <v>46178</v>
      </c>
    </row>
    <row r="81" spans="1:7" ht="15.5">
      <c r="A81" s="22"/>
    </row>
    <row r="82" spans="1:7" ht="15.5">
      <c r="A82" s="22"/>
    </row>
    <row r="83" spans="1:7" ht="15.5">
      <c r="A83" s="22" t="s">
        <v>970</v>
      </c>
      <c r="G83" s="22" t="s">
        <v>971</v>
      </c>
    </row>
    <row r="84" spans="1:7" ht="15.5">
      <c r="A84" s="22"/>
    </row>
    <row r="85" spans="1:7" ht="25.5">
      <c r="A85" s="227" t="s">
        <v>972</v>
      </c>
      <c r="G85" s="336"/>
    </row>
    <row r="86" spans="1:7" ht="15.5">
      <c r="A86" s="22" t="s">
        <v>973</v>
      </c>
      <c r="F86" s="22" t="s">
        <v>974</v>
      </c>
    </row>
    <row r="87" spans="1:7">
      <c r="A87" s="221"/>
    </row>
  </sheetData>
  <mergeCells count="15">
    <mergeCell ref="B10:D10"/>
    <mergeCell ref="A11:F11"/>
    <mergeCell ref="F7:G7"/>
    <mergeCell ref="F10:G10"/>
    <mergeCell ref="A5:I5"/>
    <mergeCell ref="A78:B78"/>
    <mergeCell ref="D76:F76"/>
    <mergeCell ref="A27:I27"/>
    <mergeCell ref="A72:I72"/>
    <mergeCell ref="A13:I13"/>
    <mergeCell ref="E20:I20"/>
    <mergeCell ref="A43:I43"/>
    <mergeCell ref="A47:I47"/>
    <mergeCell ref="A57:I57"/>
    <mergeCell ref="A64:I64"/>
  </mergeCells>
  <phoneticPr fontId="23" type="noConversion"/>
  <pageMargins left="0.23622047244094491" right="0" top="0.74803149606299213" bottom="0.74803149606299213" header="0.31496062992125984" footer="0.31496062992125984"/>
  <pageSetup paperSize="9" scale="85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97"/>
  <sheetViews>
    <sheetView tabSelected="1" view="pageLayout" topLeftCell="A74" zoomScaleNormal="100" workbookViewId="0">
      <selection activeCell="A57" sqref="A57"/>
    </sheetView>
  </sheetViews>
  <sheetFormatPr defaultRowHeight="14"/>
  <cols>
    <col min="1" max="1" width="8.7265625" style="33"/>
    <col min="2" max="2" width="12.1796875" style="33" customWidth="1"/>
    <col min="3" max="3" width="10" style="33" customWidth="1"/>
    <col min="4" max="4" width="10.81640625" style="33" customWidth="1"/>
    <col min="5" max="5" width="5.7265625" style="33" customWidth="1"/>
    <col min="6" max="6" width="6.7265625" style="33" customWidth="1"/>
    <col min="7" max="7" width="8.7265625" style="33" customWidth="1"/>
    <col min="8" max="8" width="5.453125" style="33" customWidth="1"/>
    <col min="9" max="9" width="6.26953125" style="33" customWidth="1"/>
    <col min="10" max="10" width="12.453125" style="33" customWidth="1"/>
    <col min="11" max="11" width="3.81640625" style="33" customWidth="1"/>
    <col min="12" max="16384" width="8.7265625" style="33"/>
  </cols>
  <sheetData>
    <row r="1" spans="1:12">
      <c r="A1" s="815">
        <v>814</v>
      </c>
    </row>
    <row r="2" spans="1:12" ht="15.5">
      <c r="A2" s="718" t="s">
        <v>3052</v>
      </c>
      <c r="B2" s="718"/>
      <c r="C2" s="718"/>
      <c r="D2" s="718"/>
      <c r="E2" s="718"/>
      <c r="F2" s="718"/>
      <c r="G2" s="718"/>
      <c r="H2" s="718"/>
      <c r="I2" s="718"/>
      <c r="J2" s="718"/>
      <c r="K2" s="718"/>
    </row>
    <row r="3" spans="1:12" ht="15.5">
      <c r="A3" s="613" t="s">
        <v>896</v>
      </c>
      <c r="B3" s="828">
        <f ca="1">TODAY()</f>
        <v>46202</v>
      </c>
      <c r="C3" s="613" t="s">
        <v>897</v>
      </c>
      <c r="D3" s="613"/>
      <c r="E3" s="613"/>
      <c r="F3" s="613"/>
      <c r="G3" s="613"/>
      <c r="H3" s="613"/>
      <c r="I3" s="613"/>
      <c r="J3" s="613"/>
      <c r="K3" s="613"/>
    </row>
    <row r="4" spans="1:12" ht="15.5">
      <c r="A4" s="613"/>
      <c r="B4" s="65"/>
      <c r="C4" s="613"/>
      <c r="D4" s="613"/>
      <c r="E4" s="613"/>
      <c r="F4" s="613"/>
      <c r="G4" s="613"/>
      <c r="H4" s="613"/>
      <c r="I4" s="613"/>
      <c r="J4" s="613"/>
      <c r="K4" s="613"/>
    </row>
    <row r="5" spans="1:12" ht="20">
      <c r="A5" s="628" t="s">
        <v>975</v>
      </c>
      <c r="B5" s="628"/>
      <c r="C5" s="628"/>
      <c r="D5" s="628"/>
      <c r="E5" s="628"/>
      <c r="F5" s="628"/>
      <c r="G5" s="628"/>
      <c r="H5" s="628"/>
      <c r="I5" s="628"/>
      <c r="J5" s="628"/>
      <c r="K5" s="628"/>
    </row>
    <row r="6" spans="1:12">
      <c r="A6" s="221"/>
    </row>
    <row r="7" spans="1:12" ht="15.5">
      <c r="A7" s="22" t="s">
        <v>3074</v>
      </c>
      <c r="B7" s="22"/>
      <c r="C7" s="22"/>
      <c r="D7" s="22"/>
      <c r="E7" s="822"/>
      <c r="F7" s="717" t="str">
        <f ca="1">OFFSET(RADNICI!E2,A1,0)</f>
        <v>Studio031, vl. Alma Okanović</v>
      </c>
      <c r="G7" s="717"/>
      <c r="H7" s="717"/>
      <c r="I7" s="717"/>
      <c r="J7" s="717"/>
      <c r="K7" s="22"/>
      <c r="L7" s="618"/>
    </row>
    <row r="8" spans="1:12" ht="15.5">
      <c r="A8" s="730" t="s">
        <v>3047</v>
      </c>
      <c r="B8" s="730"/>
      <c r="C8" s="719" t="str">
        <f ca="1">OFFSET(RADNICI!H2,A1,0)</f>
        <v>Osijek</v>
      </c>
      <c r="D8" s="719"/>
      <c r="E8" s="820" t="str">
        <f ca="1">OFFSET(RADNICI!I2,A1,0)</f>
        <v>Gornjodravska 90c</v>
      </c>
      <c r="F8" s="821"/>
      <c r="G8" s="821"/>
      <c r="H8" s="620" t="s">
        <v>901</v>
      </c>
      <c r="I8" s="827">
        <f ca="1">OFFSET(RADNICI!F2,A1,0)</f>
        <v>27380297470</v>
      </c>
      <c r="J8" s="827"/>
      <c r="K8" s="23"/>
    </row>
    <row r="9" spans="1:12" ht="15.5">
      <c r="A9" s="613" t="s">
        <v>2633</v>
      </c>
      <c r="B9" s="22"/>
      <c r="C9" s="22"/>
      <c r="D9" s="22"/>
      <c r="E9" s="619" t="str">
        <f ca="1">OFFSET(RADNICI!G2,A1,0)</f>
        <v>Alma Okanović</v>
      </c>
      <c r="F9" s="610"/>
      <c r="G9" s="610"/>
      <c r="H9" s="617" t="s">
        <v>903</v>
      </c>
      <c r="I9" s="23"/>
      <c r="J9" s="616"/>
      <c r="K9" s="616"/>
    </row>
    <row r="10" spans="1:12" ht="15.5">
      <c r="A10" s="614" t="s">
        <v>904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5.5">
      <c r="A11" s="24" t="s">
        <v>905</v>
      </c>
      <c r="B11" s="719" t="str">
        <f ca="1">OFFSET(RADNICI!J2,$A$1,0)</f>
        <v>Stefan Kiš</v>
      </c>
      <c r="C11" s="719"/>
      <c r="D11" s="719"/>
      <c r="E11" s="23" t="s">
        <v>3</v>
      </c>
      <c r="F11" s="719">
        <f ca="1">OFFSET(RADNICI!M2,$A$1,0)</f>
        <v>48661122615</v>
      </c>
      <c r="G11" s="719"/>
      <c r="H11" s="23" t="s">
        <v>906</v>
      </c>
      <c r="J11" s="23"/>
      <c r="K11" s="23"/>
    </row>
    <row r="12" spans="1:12" ht="15.5">
      <c r="A12" s="824" t="str">
        <f ca="1">OFFSET(RADNICI!R2,$A$1,0)</f>
        <v>Tenja, Ulica Matije Vlačića 13A</v>
      </c>
      <c r="B12" s="824"/>
      <c r="C12" s="824"/>
      <c r="D12" s="824"/>
      <c r="E12" s="824"/>
      <c r="F12" s="823" t="s">
        <v>907</v>
      </c>
      <c r="H12" s="616"/>
      <c r="I12" s="23"/>
      <c r="J12" s="23"/>
      <c r="K12" s="23"/>
    </row>
    <row r="13" spans="1:12" ht="12" customHeight="1">
      <c r="A13" s="24"/>
      <c r="B13" s="24"/>
      <c r="C13" s="24"/>
      <c r="D13" s="24"/>
      <c r="E13" s="24"/>
      <c r="F13" s="24"/>
      <c r="G13" s="622"/>
      <c r="H13" s="615"/>
    </row>
    <row r="14" spans="1:12" ht="15">
      <c r="A14" s="725" t="s">
        <v>908</v>
      </c>
      <c r="B14" s="725"/>
      <c r="C14" s="725"/>
      <c r="D14" s="725"/>
      <c r="E14" s="725"/>
      <c r="F14" s="725"/>
      <c r="G14" s="725"/>
      <c r="H14" s="725"/>
      <c r="I14" s="725"/>
      <c r="J14" s="725"/>
      <c r="K14" s="725"/>
    </row>
    <row r="15" spans="1:12" ht="15">
      <c r="A15" s="24" t="s">
        <v>909</v>
      </c>
    </row>
    <row r="16" spans="1:12" ht="9.5" customHeight="1">
      <c r="A16" s="22"/>
    </row>
    <row r="17" spans="1:11" ht="15.5">
      <c r="A17" s="25" t="s">
        <v>3062</v>
      </c>
    </row>
    <row r="18" spans="1:11" ht="15.5">
      <c r="A18" s="25"/>
      <c r="B18" s="23" t="s">
        <v>3063</v>
      </c>
    </row>
    <row r="19" spans="1:11" ht="15.5">
      <c r="A19" s="25" t="s">
        <v>3069</v>
      </c>
    </row>
    <row r="20" spans="1:11" ht="15.5">
      <c r="A20" s="25"/>
      <c r="B20" s="819" t="str">
        <f ca="1">OFFSET(RADNICI!W2,$A$1,0)</f>
        <v>Frizer</v>
      </c>
      <c r="C20" s="819"/>
      <c r="D20" s="819"/>
      <c r="E20" s="826" t="s">
        <v>3068</v>
      </c>
      <c r="F20" s="612" t="str">
        <f ca="1">OFFSET(RADNICI!T2,$A$1,0)</f>
        <v>SSS</v>
      </c>
      <c r="G20" s="156" t="s">
        <v>3083</v>
      </c>
    </row>
    <row r="21" spans="1:11" ht="15.5">
      <c r="A21" s="25" t="s">
        <v>914</v>
      </c>
      <c r="H21" s="619">
        <v>6</v>
      </c>
      <c r="I21" s="619" t="s">
        <v>3072</v>
      </c>
    </row>
    <row r="22" spans="1:11" ht="15.5">
      <c r="A22" s="25" t="s">
        <v>916</v>
      </c>
      <c r="D22" s="609" t="str">
        <f ca="1">OFFSET(RADNICI!H2,$A$1,0)</f>
        <v>Osijek</v>
      </c>
      <c r="E22" s="618" t="s">
        <v>1168</v>
      </c>
      <c r="F22" s="419" t="str">
        <f ca="1">OFFSET(RADNICI!I2,$A$1,0)</f>
        <v>Gornjodravska 90c</v>
      </c>
      <c r="G22" s="619"/>
      <c r="H22" s="419"/>
      <c r="I22" s="818" t="s">
        <v>964</v>
      </c>
      <c r="J22" s="40"/>
      <c r="K22" s="40"/>
    </row>
    <row r="23" spans="1:11" ht="15.5">
      <c r="B23" s="25" t="s">
        <v>917</v>
      </c>
    </row>
    <row r="24" spans="1:11" ht="15.5">
      <c r="A24" s="25" t="s">
        <v>918</v>
      </c>
    </row>
    <row r="25" spans="1:11" ht="15.5">
      <c r="A25" s="25"/>
      <c r="B25" s="23" t="s">
        <v>919</v>
      </c>
    </row>
    <row r="26" spans="1:11" ht="15.5">
      <c r="A26" s="25" t="s">
        <v>3073</v>
      </c>
      <c r="D26" s="611">
        <f ca="1">OFFSET(RADNICI!K2,$A$1,0)</f>
        <v>46196</v>
      </c>
      <c r="E26" s="611"/>
      <c r="F26" s="611"/>
      <c r="I26" s="528"/>
    </row>
    <row r="27" spans="1:11" ht="15.5">
      <c r="A27" s="25"/>
      <c r="D27" s="606"/>
      <c r="E27" s="606"/>
      <c r="F27" s="606"/>
      <c r="G27" s="606"/>
      <c r="H27" s="606"/>
      <c r="I27" s="606"/>
    </row>
    <row r="28" spans="1:11" ht="15">
      <c r="A28" s="725" t="s">
        <v>921</v>
      </c>
      <c r="B28" s="725"/>
      <c r="C28" s="725"/>
      <c r="D28" s="725"/>
      <c r="E28" s="725"/>
      <c r="F28" s="725"/>
      <c r="G28" s="725"/>
      <c r="H28" s="725"/>
      <c r="I28" s="725"/>
      <c r="J28" s="725"/>
      <c r="K28" s="725"/>
    </row>
    <row r="29" spans="1:11" ht="15">
      <c r="A29" s="290" t="s">
        <v>922</v>
      </c>
    </row>
    <row r="30" spans="1:11" ht="9" customHeight="1">
      <c r="A30" s="22"/>
    </row>
    <row r="31" spans="1:11" ht="15.5">
      <c r="A31" s="27" t="s">
        <v>923</v>
      </c>
    </row>
    <row r="32" spans="1:11" ht="15.5">
      <c r="A32" s="27"/>
      <c r="B32" s="816">
        <f ca="1">OFFSET(RADNICI!AM2,$A$1,0)</f>
        <v>1195.9000000000001</v>
      </c>
      <c r="C32" s="33" t="s">
        <v>3056</v>
      </c>
    </row>
    <row r="33" spans="1:11" ht="15.5">
      <c r="A33" s="27"/>
      <c r="B33" s="817" t="s">
        <v>3057</v>
      </c>
    </row>
    <row r="34" spans="1:11" ht="15.5">
      <c r="A34" s="27" t="s">
        <v>3067</v>
      </c>
    </row>
    <row r="35" spans="1:11" ht="15.5">
      <c r="A35" s="27"/>
      <c r="B35" s="33" t="s">
        <v>3066</v>
      </c>
    </row>
    <row r="36" spans="1:11" ht="15.5">
      <c r="A36" s="27" t="s">
        <v>3054</v>
      </c>
    </row>
    <row r="37" spans="1:11" ht="15.5">
      <c r="A37" s="27"/>
      <c r="B37" s="33" t="s">
        <v>3055</v>
      </c>
    </row>
    <row r="38" spans="1:11" ht="15.5">
      <c r="A38" s="27" t="s">
        <v>928</v>
      </c>
    </row>
    <row r="39" spans="1:11" ht="15.5">
      <c r="B39" s="27" t="s">
        <v>929</v>
      </c>
      <c r="H39" s="44">
        <v>0.1</v>
      </c>
    </row>
    <row r="40" spans="1:11" ht="15.5">
      <c r="B40" s="27" t="s">
        <v>930</v>
      </c>
      <c r="C40" s="28"/>
      <c r="H40" s="542">
        <v>0.5</v>
      </c>
    </row>
    <row r="41" spans="1:11" ht="15.5">
      <c r="A41" s="27" t="s">
        <v>898</v>
      </c>
      <c r="B41" s="27" t="s">
        <v>931</v>
      </c>
      <c r="H41" s="44">
        <v>0.5</v>
      </c>
    </row>
    <row r="42" spans="1:11" ht="15.5">
      <c r="B42" s="27" t="s">
        <v>932</v>
      </c>
      <c r="H42" s="542">
        <v>0.3</v>
      </c>
      <c r="I42" s="28"/>
    </row>
    <row r="43" spans="1:11" ht="15.5">
      <c r="B43" s="27" t="s">
        <v>933</v>
      </c>
      <c r="H43" s="44">
        <v>0.5</v>
      </c>
    </row>
    <row r="44" spans="1:11" ht="15.5">
      <c r="A44" s="27"/>
    </row>
    <row r="45" spans="1:11" ht="15">
      <c r="A45" s="725" t="s">
        <v>935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</row>
    <row r="46" spans="1:11" ht="15">
      <c r="A46" s="24" t="s">
        <v>936</v>
      </c>
    </row>
    <row r="47" spans="1:11" ht="9" customHeight="1">
      <c r="A47" s="27"/>
    </row>
    <row r="48" spans="1:11" ht="15.5">
      <c r="A48" s="25" t="s">
        <v>3078</v>
      </c>
    </row>
    <row r="49" spans="1:11" ht="15.5">
      <c r="A49" s="22"/>
      <c r="B49" s="23" t="s">
        <v>3079</v>
      </c>
      <c r="E49" s="825">
        <f ca="1">OFFSET(RADNICI!AP2,$A$1,0)</f>
        <v>40</v>
      </c>
      <c r="F49" s="825"/>
    </row>
    <row r="50" spans="1:11" ht="15.5">
      <c r="A50" s="25" t="s">
        <v>3064</v>
      </c>
    </row>
    <row r="51" spans="1:11" ht="15.5">
      <c r="A51" s="22"/>
      <c r="B51" s="23" t="s">
        <v>3065</v>
      </c>
    </row>
    <row r="52" spans="1:11" ht="15.5">
      <c r="A52" s="22"/>
    </row>
    <row r="53" spans="1:11" ht="15">
      <c r="A53" s="725" t="s">
        <v>939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</row>
    <row r="54" spans="1:11" ht="15">
      <c r="A54" s="24" t="s">
        <v>940</v>
      </c>
    </row>
    <row r="55" spans="1:11" ht="9.5" customHeight="1">
      <c r="A55" s="29"/>
    </row>
    <row r="56" spans="1:11" ht="15.5">
      <c r="A56" s="25" t="s">
        <v>941</v>
      </c>
      <c r="C56" s="719" t="str">
        <f ca="1">OFFSET(RADNICI!Z2,$A$1,0)</f>
        <v>puno</v>
      </c>
      <c r="D56" s="719"/>
      <c r="E56" s="708" t="s">
        <v>942</v>
      </c>
      <c r="F56" s="708"/>
      <c r="G56" s="708"/>
      <c r="H56" s="610">
        <f ca="1">OFFSET(RADNICI!AA2,$A$1,0)</f>
        <v>40</v>
      </c>
      <c r="I56" s="33" t="s">
        <v>943</v>
      </c>
    </row>
    <row r="57" spans="1:11" ht="15.5">
      <c r="A57" s="25" t="s">
        <v>982</v>
      </c>
    </row>
    <row r="58" spans="1:11" ht="15.5">
      <c r="A58" s="25"/>
      <c r="B58" s="23" t="s">
        <v>3051</v>
      </c>
    </row>
    <row r="59" spans="1:11" ht="15.5">
      <c r="A59" s="25" t="s">
        <v>944</v>
      </c>
    </row>
    <row r="60" spans="1:11" ht="15.5">
      <c r="A60" s="30" t="s">
        <v>945</v>
      </c>
      <c r="D60" s="23"/>
    </row>
    <row r="61" spans="1:11" ht="15.5">
      <c r="A61" s="25" t="s">
        <v>3081</v>
      </c>
      <c r="F61" s="712" t="str">
        <f ca="1">OFFSET(RADNICI!AS2,$A$1,0)</f>
        <v>4 tjedna</v>
      </c>
      <c r="G61" s="712"/>
    </row>
    <row r="62" spans="1:11" ht="15.5">
      <c r="A62" s="29"/>
    </row>
    <row r="63" spans="1:11" ht="15">
      <c r="A63" s="725" t="s">
        <v>947</v>
      </c>
      <c r="B63" s="725"/>
      <c r="C63" s="725"/>
      <c r="D63" s="725"/>
      <c r="E63" s="725"/>
      <c r="F63" s="725"/>
      <c r="G63" s="725"/>
      <c r="H63" s="725"/>
      <c r="I63" s="725"/>
      <c r="J63" s="725"/>
      <c r="K63" s="725"/>
    </row>
    <row r="64" spans="1:11" ht="15">
      <c r="A64" s="24" t="s">
        <v>2637</v>
      </c>
    </row>
    <row r="65" spans="1:11" ht="9.5" customHeight="1">
      <c r="A65" s="621"/>
    </row>
    <row r="66" spans="1:11" ht="15.5">
      <c r="A66" s="25" t="s">
        <v>3061</v>
      </c>
    </row>
    <row r="67" spans="1:11" ht="15.5">
      <c r="A67" s="25" t="s">
        <v>3076</v>
      </c>
    </row>
    <row r="68" spans="1:11" ht="15.5">
      <c r="A68" s="25" t="s">
        <v>3075</v>
      </c>
    </row>
    <row r="69" spans="1:11" ht="15.5">
      <c r="A69" s="22"/>
    </row>
    <row r="70" spans="1:11" ht="15">
      <c r="A70" s="725" t="s">
        <v>952</v>
      </c>
      <c r="B70" s="725"/>
      <c r="C70" s="725"/>
      <c r="D70" s="725"/>
      <c r="E70" s="725"/>
      <c r="F70" s="725"/>
      <c r="G70" s="725"/>
      <c r="H70" s="725"/>
      <c r="I70" s="725"/>
      <c r="J70" s="725"/>
      <c r="K70" s="725"/>
    </row>
    <row r="71" spans="1:11" ht="15">
      <c r="A71" s="24" t="s">
        <v>953</v>
      </c>
    </row>
    <row r="72" spans="1:11" ht="9.5" customHeight="1">
      <c r="A72" s="621"/>
    </row>
    <row r="73" spans="1:11" ht="15.5">
      <c r="A73" s="25" t="s">
        <v>3058</v>
      </c>
    </row>
    <row r="74" spans="1:11" ht="15.5">
      <c r="A74" s="25"/>
      <c r="B74" s="23" t="s">
        <v>3059</v>
      </c>
    </row>
    <row r="75" spans="1:11" ht="15.5">
      <c r="A75" s="25" t="s">
        <v>3060</v>
      </c>
    </row>
    <row r="76" spans="1:11" ht="15.5">
      <c r="A76" s="25"/>
      <c r="B76" s="33" t="s">
        <v>3082</v>
      </c>
    </row>
    <row r="77" spans="1:11" ht="15.5">
      <c r="A77" s="25"/>
      <c r="B77" s="23"/>
    </row>
    <row r="78" spans="1:11" ht="15">
      <c r="A78" s="725" t="s">
        <v>958</v>
      </c>
      <c r="B78" s="725"/>
      <c r="C78" s="725"/>
      <c r="D78" s="725"/>
      <c r="E78" s="725"/>
      <c r="F78" s="725"/>
      <c r="G78" s="725"/>
      <c r="H78" s="725"/>
      <c r="I78" s="725"/>
      <c r="J78" s="725"/>
      <c r="K78" s="725"/>
    </row>
    <row r="79" spans="1:11" ht="15">
      <c r="A79" s="24" t="s">
        <v>959</v>
      </c>
    </row>
    <row r="80" spans="1:11" ht="9.5" customHeight="1">
      <c r="A80" s="222"/>
    </row>
    <row r="81" spans="1:11" ht="15.5">
      <c r="A81" s="626" t="s">
        <v>960</v>
      </c>
      <c r="B81" s="626"/>
      <c r="C81" s="626"/>
      <c r="D81" s="626"/>
      <c r="E81" s="22" t="s">
        <v>3077</v>
      </c>
      <c r="F81" s="22"/>
      <c r="G81" s="22"/>
      <c r="H81" s="22"/>
      <c r="I81" s="22"/>
    </row>
    <row r="82" spans="1:11" ht="15.5">
      <c r="A82" s="613"/>
      <c r="B82" s="613"/>
      <c r="C82" s="613"/>
      <c r="D82" s="613"/>
      <c r="E82" s="613"/>
      <c r="F82" s="613"/>
      <c r="G82" s="613"/>
      <c r="H82" s="613"/>
      <c r="I82" s="613"/>
    </row>
    <row r="83" spans="1:11" ht="15">
      <c r="A83" s="725" t="s">
        <v>962</v>
      </c>
      <c r="B83" s="725"/>
      <c r="C83" s="725"/>
      <c r="D83" s="725"/>
      <c r="E83" s="725"/>
      <c r="F83" s="725"/>
      <c r="G83" s="725"/>
      <c r="H83" s="725"/>
      <c r="I83" s="725"/>
      <c r="J83" s="725"/>
      <c r="K83" s="725"/>
    </row>
    <row r="84" spans="1:11" ht="15">
      <c r="A84" s="24" t="s">
        <v>963</v>
      </c>
    </row>
    <row r="85" spans="1:11" ht="9.5" customHeight="1">
      <c r="A85" s="614"/>
    </row>
    <row r="86" spans="1:11" ht="15.5">
      <c r="A86" s="25" t="s">
        <v>965</v>
      </c>
    </row>
    <row r="87" spans="1:11" ht="15.5">
      <c r="A87" s="25" t="s">
        <v>966</v>
      </c>
      <c r="D87" s="716">
        <f ca="1">D26</f>
        <v>46196</v>
      </c>
      <c r="E87" s="717"/>
      <c r="F87" s="717"/>
    </row>
    <row r="88" spans="1:11" ht="15.5">
      <c r="A88" s="25" t="s">
        <v>3071</v>
      </c>
    </row>
    <row r="89" spans="1:11" ht="15.5">
      <c r="A89" s="22"/>
      <c r="B89" s="23" t="s">
        <v>3070</v>
      </c>
    </row>
    <row r="90" spans="1:11" ht="15.5">
      <c r="A90" s="22"/>
    </row>
    <row r="91" spans="1:11" ht="15.5">
      <c r="A91" s="22" t="s">
        <v>3044</v>
      </c>
      <c r="B91" s="23"/>
      <c r="C91" s="540">
        <f ca="1">B3</f>
        <v>46202</v>
      </c>
    </row>
    <row r="92" spans="1:11" ht="15.5">
      <c r="A92" s="22"/>
    </row>
    <row r="93" spans="1:11" ht="15.5">
      <c r="A93" s="25" t="s">
        <v>1074</v>
      </c>
      <c r="G93" s="22" t="s">
        <v>2197</v>
      </c>
    </row>
    <row r="94" spans="1:11" ht="14.5" customHeight="1">
      <c r="D94" s="830" t="s">
        <v>972</v>
      </c>
      <c r="E94" s="830"/>
      <c r="F94" s="830"/>
    </row>
    <row r="95" spans="1:11">
      <c r="A95" s="227"/>
    </row>
    <row r="96" spans="1:11" ht="15.5">
      <c r="A96" s="829"/>
      <c r="B96" s="829"/>
      <c r="C96" s="818"/>
      <c r="G96" s="818"/>
      <c r="H96" s="829"/>
      <c r="I96" s="818"/>
      <c r="J96" s="818"/>
    </row>
    <row r="97" spans="1:9" ht="15">
      <c r="A97" s="221"/>
      <c r="B97" s="156" t="str">
        <f ca="1">E9</f>
        <v>Alma Okanović</v>
      </c>
      <c r="I97" s="156" t="str">
        <f ca="1">B11</f>
        <v>Stefan Kiš</v>
      </c>
    </row>
  </sheetData>
  <mergeCells count="25">
    <mergeCell ref="E49:F49"/>
    <mergeCell ref="C56:D56"/>
    <mergeCell ref="F61:G61"/>
    <mergeCell ref="D94:F94"/>
    <mergeCell ref="E56:G56"/>
    <mergeCell ref="A2:K2"/>
    <mergeCell ref="A5:K5"/>
    <mergeCell ref="B11:D11"/>
    <mergeCell ref="C8:D8"/>
    <mergeCell ref="F11:G11"/>
    <mergeCell ref="I8:J8"/>
    <mergeCell ref="A8:B8"/>
    <mergeCell ref="F7:J7"/>
    <mergeCell ref="D87:F87"/>
    <mergeCell ref="A53:K53"/>
    <mergeCell ref="A63:K63"/>
    <mergeCell ref="A70:K70"/>
    <mergeCell ref="A78:K78"/>
    <mergeCell ref="A83:K83"/>
    <mergeCell ref="A81:D81"/>
    <mergeCell ref="A14:K14"/>
    <mergeCell ref="A28:K28"/>
    <mergeCell ref="A45:K45"/>
    <mergeCell ref="B20:D20"/>
    <mergeCell ref="A12:E12"/>
  </mergeCells>
  <printOptions horizontalCentered="1" verticalCentered="1"/>
  <pageMargins left="0.31496062992125984" right="0.31496062992125984" top="0.6692913385826772" bottom="0.6692913385826772" header="0" footer="0"/>
  <pageSetup paperSize="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J87"/>
  <sheetViews>
    <sheetView topLeftCell="A41" zoomScaleNormal="100" workbookViewId="0">
      <selection activeCell="I74" sqref="I74"/>
    </sheetView>
  </sheetViews>
  <sheetFormatPr defaultRowHeight="14.5"/>
  <cols>
    <col min="1" max="1" width="9.81640625" customWidth="1"/>
    <col min="2" max="2" width="10.54296875" customWidth="1"/>
    <col min="3" max="3" width="9.81640625" bestFit="1" customWidth="1"/>
    <col min="4" max="4" width="14.54296875" customWidth="1"/>
    <col min="5" max="5" width="4.81640625" customWidth="1"/>
    <col min="6" max="6" width="13.453125" customWidth="1"/>
    <col min="7" max="7" width="17.26953125" customWidth="1"/>
    <col min="8" max="8" width="11.1796875" customWidth="1"/>
    <col min="9" max="9" width="22.453125" bestFit="1" customWidth="1"/>
    <col min="10" max="10" width="18" customWidth="1"/>
  </cols>
  <sheetData>
    <row r="1" spans="1:10">
      <c r="A1" s="14">
        <v>797</v>
      </c>
    </row>
    <row r="2" spans="1:10" ht="15.5">
      <c r="A2" s="627" t="s">
        <v>895</v>
      </c>
      <c r="B2" s="627"/>
      <c r="C2" s="627"/>
      <c r="D2" s="627"/>
      <c r="E2" s="627"/>
      <c r="F2" s="627"/>
      <c r="G2" s="627"/>
      <c r="H2" s="627"/>
      <c r="I2" s="627"/>
      <c r="J2" s="627"/>
    </row>
    <row r="3" spans="1:10" ht="15.5">
      <c r="A3" s="203" t="s">
        <v>896</v>
      </c>
      <c r="B3" s="84">
        <v>46021</v>
      </c>
      <c r="C3" s="203" t="s">
        <v>897</v>
      </c>
      <c r="D3" s="203"/>
      <c r="E3" s="203"/>
      <c r="F3" s="203"/>
      <c r="G3" s="203"/>
      <c r="H3" s="203"/>
      <c r="I3" s="203"/>
      <c r="J3" s="203"/>
    </row>
    <row r="4" spans="1:10" ht="15.5">
      <c r="A4" s="22"/>
      <c r="B4" t="s">
        <v>898</v>
      </c>
    </row>
    <row r="5" spans="1:10" ht="20">
      <c r="A5" s="628" t="s">
        <v>899</v>
      </c>
      <c r="B5" s="628"/>
      <c r="C5" s="628"/>
      <c r="D5" s="628"/>
      <c r="E5" s="628"/>
      <c r="F5" s="628"/>
      <c r="G5" s="628"/>
      <c r="H5" s="628"/>
      <c r="I5" s="628"/>
      <c r="J5" s="628"/>
    </row>
    <row r="6" spans="1:10">
      <c r="A6" s="221"/>
    </row>
    <row r="7" spans="1:10" s="23" customFormat="1" ht="16">
      <c r="A7" s="22" t="s">
        <v>900</v>
      </c>
      <c r="B7" s="22"/>
      <c r="C7" s="22"/>
      <c r="D7" s="22"/>
      <c r="E7" s="156"/>
      <c r="F7" s="715" t="str">
        <f ca="1">OFFSET(RADNICI!E2,A1,0)</f>
        <v>D-INVOICE D.O.O.</v>
      </c>
      <c r="G7" s="715"/>
      <c r="H7" s="23" t="s">
        <v>901</v>
      </c>
      <c r="I7" s="213">
        <f ca="1">OFFSET(RADNICI!F2,A1,0)</f>
        <v>95114485977</v>
      </c>
      <c r="J7" s="213"/>
    </row>
    <row r="8" spans="1:10" s="23" customFormat="1" ht="15.5">
      <c r="A8" s="50" t="s">
        <v>2633</v>
      </c>
      <c r="E8" s="156" t="str">
        <f ca="1">OFFSET(RADNICI!G2,A1,0)</f>
        <v>LAURA GERGELJ</v>
      </c>
      <c r="F8" s="552"/>
      <c r="G8" s="50" t="s">
        <v>903</v>
      </c>
      <c r="J8" s="278"/>
    </row>
    <row r="9" spans="1:10" s="23" customFormat="1" ht="15.5">
      <c r="A9" s="202" t="s">
        <v>904</v>
      </c>
    </row>
    <row r="10" spans="1:10" s="23" customFormat="1" ht="15.5">
      <c r="A10" s="24" t="s">
        <v>905</v>
      </c>
      <c r="B10" s="713" t="str">
        <f ca="1">OFFSET(RADNICI!J2,$A$1,0)</f>
        <v>Kristina Vezaj</v>
      </c>
      <c r="C10" s="713"/>
      <c r="D10" s="713"/>
      <c r="E10" s="23" t="s">
        <v>3</v>
      </c>
      <c r="F10" s="713">
        <f ca="1">OFFSET(RADNICI!M2,$A$1,0)</f>
        <v>70729208004</v>
      </c>
      <c r="G10" s="713"/>
      <c r="H10" s="23" t="s">
        <v>906</v>
      </c>
    </row>
    <row r="11" spans="1:10" s="23" customFormat="1" ht="15.5">
      <c r="A11" s="714" t="str">
        <f ca="1">OFFSET(RADNICI!R2,$A$1,0)</f>
        <v>Bosutsko 13., 31000 Osijek</v>
      </c>
      <c r="B11" s="714"/>
      <c r="C11" s="714"/>
      <c r="D11" s="714"/>
      <c r="E11" s="714"/>
      <c r="F11" s="714"/>
      <c r="G11" s="50" t="s">
        <v>907</v>
      </c>
      <c r="H11" s="278"/>
    </row>
    <row r="12" spans="1:10" s="23" customFormat="1" ht="15.5">
      <c r="A12" s="202"/>
    </row>
    <row r="13" spans="1:10" s="33" customFormat="1" ht="15.5">
      <c r="A13" s="626" t="s">
        <v>908</v>
      </c>
      <c r="B13" s="626"/>
      <c r="C13" s="626"/>
      <c r="D13" s="626"/>
      <c r="E13" s="626"/>
      <c r="F13" s="626"/>
      <c r="G13" s="626"/>
      <c r="H13" s="626"/>
      <c r="I13" s="626"/>
      <c r="J13" s="626"/>
    </row>
    <row r="14" spans="1:10" s="33" customFormat="1" ht="14">
      <c r="A14" s="222" t="s">
        <v>909</v>
      </c>
    </row>
    <row r="15" spans="1:10" ht="15.5">
      <c r="A15" s="22"/>
    </row>
    <row r="16" spans="1:10" s="55" customFormat="1" ht="15.5">
      <c r="A16" s="25" t="s">
        <v>910</v>
      </c>
    </row>
    <row r="17" spans="1:10" s="55" customFormat="1" ht="15.5">
      <c r="A17" s="25" t="s">
        <v>911</v>
      </c>
      <c r="F17" s="23" t="str">
        <f ca="1">OFFSET(RADNICI!X2,$A$1,0)</f>
        <v>ODREĐENO</v>
      </c>
      <c r="G17" s="23" t="s">
        <v>2233</v>
      </c>
      <c r="H17" s="538">
        <f ca="1">OFFSET(RADNICI!L2,$A$1,0)</f>
        <v>46111</v>
      </c>
      <c r="I17" s="539"/>
      <c r="J17" s="539"/>
    </row>
    <row r="18" spans="1:10" s="55" customFormat="1" ht="15.5">
      <c r="A18" s="25" t="s">
        <v>913</v>
      </c>
      <c r="B18" s="532"/>
      <c r="C18" s="532"/>
      <c r="D18" s="532" t="str">
        <f ca="1">OFFSET(RADNICI!W2,$A$1,0)</f>
        <v>maser</v>
      </c>
      <c r="E18" s="532"/>
      <c r="F18" s="532"/>
      <c r="G18" s="532"/>
      <c r="H18" s="532"/>
    </row>
    <row r="19" spans="1:10" s="55" customFormat="1" ht="15.5" hidden="1">
      <c r="A19" s="25" t="s">
        <v>914</v>
      </c>
      <c r="H19" s="156" t="s">
        <v>2232</v>
      </c>
    </row>
    <row r="20" spans="1:10" s="55" customFormat="1" ht="15.5">
      <c r="A20" s="25" t="s">
        <v>2803</v>
      </c>
      <c r="E20" s="712" t="str">
        <f ca="1">OFFSET(RADNICI!I2,$A$1,0)</f>
        <v>SV.IVANA KRSTITELJA 15, DARDA</v>
      </c>
      <c r="F20" s="712"/>
      <c r="G20" s="712"/>
      <c r="H20" s="712"/>
      <c r="I20" s="712"/>
      <c r="J20" s="712"/>
    </row>
    <row r="21" spans="1:10" s="55" customFormat="1" ht="15.5">
      <c r="B21" s="25" t="s">
        <v>917</v>
      </c>
    </row>
    <row r="22" spans="1:10" s="55" customFormat="1" ht="15.5">
      <c r="A22" s="25" t="s">
        <v>2804</v>
      </c>
    </row>
    <row r="23" spans="1:10" s="55" customFormat="1" ht="15.5">
      <c r="A23" s="25"/>
      <c r="B23" s="23" t="s">
        <v>919</v>
      </c>
    </row>
    <row r="24" spans="1:10" s="55" customFormat="1" ht="15.5">
      <c r="A24" s="25" t="s">
        <v>2805</v>
      </c>
      <c r="D24" s="540">
        <f ca="1">OFFSET(RADNICI!K2,$A$1,0)</f>
        <v>46021</v>
      </c>
      <c r="F24" s="23" t="s">
        <v>2618</v>
      </c>
      <c r="G24" s="23"/>
      <c r="H24" s="23"/>
      <c r="I24" s="23"/>
    </row>
    <row r="25" spans="1:10" s="55" customFormat="1" ht="15.5">
      <c r="A25" s="25" t="s">
        <v>2806</v>
      </c>
      <c r="D25" s="541"/>
    </row>
    <row r="26" spans="1:10" s="55" customFormat="1" ht="15.5">
      <c r="A26" s="22"/>
    </row>
    <row r="27" spans="1:10" ht="15.5">
      <c r="A27" s="626" t="s">
        <v>921</v>
      </c>
      <c r="B27" s="626"/>
      <c r="C27" s="626"/>
      <c r="D27" s="626"/>
      <c r="E27" s="626"/>
      <c r="F27" s="626"/>
      <c r="G27" s="626"/>
      <c r="H27" s="626"/>
      <c r="I27" s="626"/>
      <c r="J27" s="626"/>
    </row>
    <row r="28" spans="1:10">
      <c r="A28" s="223" t="s">
        <v>922</v>
      </c>
    </row>
    <row r="29" spans="1:10" ht="15.5">
      <c r="A29" s="26"/>
    </row>
    <row r="30" spans="1:10" ht="15.5">
      <c r="A30" s="27" t="s">
        <v>923</v>
      </c>
    </row>
    <row r="31" spans="1:10" ht="15.5">
      <c r="A31" s="27"/>
      <c r="B31" s="596">
        <f ca="1">OFFSET(RADNICI!AM2,$A$1,0)</f>
        <v>1295.45</v>
      </c>
      <c r="C31" s="23" t="s">
        <v>2416</v>
      </c>
    </row>
    <row r="32" spans="1:10" ht="15.5">
      <c r="A32" s="27" t="s">
        <v>925</v>
      </c>
    </row>
    <row r="33" spans="1:10" ht="15.5">
      <c r="A33" s="27" t="s">
        <v>2418</v>
      </c>
    </row>
    <row r="34" spans="1:10" ht="15.5">
      <c r="A34" s="27" t="s">
        <v>2419</v>
      </c>
    </row>
    <row r="35" spans="1:10" ht="15.5">
      <c r="A35" s="27" t="s">
        <v>928</v>
      </c>
    </row>
    <row r="36" spans="1:10" ht="15.5">
      <c r="B36" s="27" t="s">
        <v>929</v>
      </c>
      <c r="H36" s="484">
        <v>0.1</v>
      </c>
    </row>
    <row r="37" spans="1:10" ht="15.5">
      <c r="B37" s="27" t="s">
        <v>930</v>
      </c>
      <c r="C37" s="28"/>
      <c r="H37" s="485">
        <v>0.5</v>
      </c>
    </row>
    <row r="38" spans="1:10" ht="15.5">
      <c r="A38" s="27" t="s">
        <v>898</v>
      </c>
      <c r="B38" s="27" t="s">
        <v>931</v>
      </c>
      <c r="H38" s="484">
        <v>0.5</v>
      </c>
    </row>
    <row r="39" spans="1:10" ht="15.5">
      <c r="B39" s="27" t="s">
        <v>932</v>
      </c>
      <c r="H39" s="485">
        <v>0.3</v>
      </c>
      <c r="I39" s="28"/>
    </row>
    <row r="40" spans="1:10" ht="15.5">
      <c r="B40" s="27" t="s">
        <v>933</v>
      </c>
      <c r="H40" s="484">
        <v>0.5</v>
      </c>
    </row>
    <row r="41" spans="1:10" ht="15.5">
      <c r="B41" s="159" t="s">
        <v>934</v>
      </c>
      <c r="H41" s="484" t="s">
        <v>1734</v>
      </c>
    </row>
    <row r="42" spans="1:10" ht="15.5">
      <c r="A42" s="27"/>
    </row>
    <row r="43" spans="1:10" ht="15.5">
      <c r="A43" s="626" t="s">
        <v>935</v>
      </c>
      <c r="B43" s="626"/>
      <c r="C43" s="626"/>
      <c r="D43" s="626"/>
      <c r="E43" s="626"/>
      <c r="F43" s="626"/>
      <c r="G43" s="626"/>
      <c r="H43" s="626"/>
      <c r="I43" s="626"/>
      <c r="J43" s="626"/>
    </row>
    <row r="44" spans="1:10">
      <c r="A44" s="224" t="s">
        <v>936</v>
      </c>
    </row>
    <row r="45" spans="1:10" ht="15.5">
      <c r="A45" s="22" t="s">
        <v>937</v>
      </c>
    </row>
    <row r="46" spans="1:10" ht="15.5">
      <c r="A46" s="22" t="s">
        <v>938</v>
      </c>
    </row>
    <row r="47" spans="1:10" ht="15.5">
      <c r="A47" s="626" t="s">
        <v>939</v>
      </c>
      <c r="B47" s="626"/>
      <c r="C47" s="626"/>
      <c r="D47" s="626"/>
      <c r="E47" s="626"/>
      <c r="F47" s="626"/>
      <c r="G47" s="626"/>
      <c r="H47" s="626"/>
      <c r="I47" s="626"/>
      <c r="J47" s="626"/>
    </row>
    <row r="48" spans="1:10">
      <c r="A48" s="224" t="s">
        <v>940</v>
      </c>
    </row>
    <row r="49" spans="1:10" ht="15.5">
      <c r="A49" s="29"/>
    </row>
    <row r="50" spans="1:10" ht="15.5">
      <c r="A50" s="25" t="s">
        <v>941</v>
      </c>
      <c r="D50" s="35" t="str">
        <f ca="1">OFFSET(RADNICI!Z2,$A$1,0)</f>
        <v>puno</v>
      </c>
      <c r="E50" t="s">
        <v>942</v>
      </c>
      <c r="H50" s="38">
        <f ca="1">OFFSET(RADNICI!AA2,$A$1,0)</f>
        <v>40</v>
      </c>
      <c r="I50" t="s">
        <v>943</v>
      </c>
    </row>
    <row r="51" spans="1:10" ht="15.5">
      <c r="A51" s="25" t="s">
        <v>982</v>
      </c>
    </row>
    <row r="52" spans="1:10" ht="15.5">
      <c r="A52" s="25" t="s">
        <v>1838</v>
      </c>
      <c r="B52" s="33"/>
    </row>
    <row r="53" spans="1:10" ht="15.5">
      <c r="A53" s="25" t="s">
        <v>944</v>
      </c>
    </row>
    <row r="54" spans="1:10" ht="15.5">
      <c r="A54" s="30" t="s">
        <v>945</v>
      </c>
    </row>
    <row r="55" spans="1:10" ht="15.5">
      <c r="A55" s="25" t="s">
        <v>946</v>
      </c>
    </row>
    <row r="56" spans="1:10" ht="15.5">
      <c r="A56" s="29"/>
    </row>
    <row r="57" spans="1:10" ht="15.5">
      <c r="A57" s="626" t="s">
        <v>947</v>
      </c>
      <c r="B57" s="626"/>
      <c r="C57" s="626"/>
      <c r="D57" s="626"/>
      <c r="E57" s="626"/>
      <c r="F57" s="626"/>
      <c r="G57" s="626"/>
      <c r="H57" s="626"/>
      <c r="I57" s="626"/>
      <c r="J57" s="626"/>
    </row>
    <row r="58" spans="1:10">
      <c r="A58" s="222" t="s">
        <v>948</v>
      </c>
    </row>
    <row r="59" spans="1:10">
      <c r="A59" s="225"/>
    </row>
    <row r="60" spans="1:10" ht="15.5">
      <c r="A60" s="25" t="s">
        <v>949</v>
      </c>
    </row>
    <row r="61" spans="1:10" ht="15.5">
      <c r="A61" s="22" t="s">
        <v>950</v>
      </c>
    </row>
    <row r="62" spans="1:10" ht="15.5">
      <c r="A62" s="22" t="s">
        <v>951</v>
      </c>
    </row>
    <row r="63" spans="1:10" ht="15.5">
      <c r="A63" s="22"/>
    </row>
    <row r="64" spans="1:10" ht="15.5">
      <c r="A64" s="626" t="s">
        <v>952</v>
      </c>
      <c r="B64" s="626"/>
      <c r="C64" s="626"/>
      <c r="D64" s="626"/>
      <c r="E64" s="626"/>
      <c r="F64" s="626"/>
      <c r="G64" s="626"/>
      <c r="H64" s="626"/>
      <c r="I64" s="626"/>
      <c r="J64" s="626"/>
    </row>
    <row r="65" spans="1:10">
      <c r="A65" s="224" t="s">
        <v>953</v>
      </c>
    </row>
    <row r="66" spans="1:10">
      <c r="A66" s="215"/>
    </row>
    <row r="67" spans="1:10" ht="15.5">
      <c r="A67" s="25" t="s">
        <v>954</v>
      </c>
    </row>
    <row r="68" spans="1:10" ht="15.5">
      <c r="A68" s="25"/>
      <c r="B68" s="23" t="s">
        <v>955</v>
      </c>
    </row>
    <row r="69" spans="1:10" ht="15.5">
      <c r="A69" s="25" t="s">
        <v>956</v>
      </c>
    </row>
    <row r="70" spans="1:10" ht="15.5">
      <c r="A70" s="25"/>
      <c r="B70" s="23" t="s">
        <v>957</v>
      </c>
    </row>
    <row r="71" spans="1:10" ht="15.5">
      <c r="A71" s="203"/>
    </row>
    <row r="72" spans="1:10" ht="15.5">
      <c r="A72" s="626" t="s">
        <v>958</v>
      </c>
      <c r="B72" s="626"/>
      <c r="C72" s="626"/>
      <c r="D72" s="626"/>
      <c r="E72" s="626"/>
      <c r="F72" s="626"/>
      <c r="G72" s="626"/>
      <c r="H72" s="626"/>
      <c r="I72" s="626"/>
      <c r="J72" s="626"/>
    </row>
    <row r="73" spans="1:10">
      <c r="A73" s="224" t="s">
        <v>963</v>
      </c>
    </row>
    <row r="74" spans="1:10" ht="15.5">
      <c r="A74" s="202"/>
    </row>
    <row r="75" spans="1:10" ht="15.5">
      <c r="A75" s="25" t="s">
        <v>2631</v>
      </c>
    </row>
    <row r="76" spans="1:10" ht="15.5">
      <c r="A76" s="25" t="s">
        <v>966</v>
      </c>
      <c r="D76" s="709">
        <f ca="1">D24</f>
        <v>46021</v>
      </c>
      <c r="E76" s="710"/>
      <c r="F76" s="710"/>
    </row>
    <row r="77" spans="1:10" ht="15.5">
      <c r="A77" s="25" t="s">
        <v>967</v>
      </c>
    </row>
    <row r="78" spans="1:10" ht="15.75" customHeight="1">
      <c r="A78" s="708" t="s">
        <v>968</v>
      </c>
      <c r="B78" s="708"/>
    </row>
    <row r="79" spans="1:10" ht="15.5">
      <c r="A79" s="22"/>
    </row>
    <row r="80" spans="1:10" ht="15.5">
      <c r="A80" s="22" t="s">
        <v>2973</v>
      </c>
      <c r="C80" s="83"/>
      <c r="D80" s="67">
        <f>B3</f>
        <v>46021</v>
      </c>
    </row>
    <row r="81" spans="1:7" ht="15.5">
      <c r="A81" s="22"/>
    </row>
    <row r="82" spans="1:7" ht="15.5">
      <c r="A82" s="22"/>
    </row>
    <row r="83" spans="1:7" ht="15.5">
      <c r="A83" s="22" t="s">
        <v>970</v>
      </c>
      <c r="G83" s="22" t="s">
        <v>971</v>
      </c>
    </row>
    <row r="84" spans="1:7" ht="15.5">
      <c r="A84" s="22"/>
    </row>
    <row r="85" spans="1:7" ht="25.5">
      <c r="A85" s="227" t="s">
        <v>972</v>
      </c>
      <c r="G85" s="336"/>
    </row>
    <row r="86" spans="1:7" ht="15.5">
      <c r="A86" s="22" t="s">
        <v>973</v>
      </c>
      <c r="F86" s="22" t="s">
        <v>974</v>
      </c>
    </row>
    <row r="87" spans="1:7">
      <c r="A87" s="221"/>
    </row>
  </sheetData>
  <mergeCells count="16">
    <mergeCell ref="A64:J64"/>
    <mergeCell ref="A72:J72"/>
    <mergeCell ref="D76:F76"/>
    <mergeCell ref="A78:B78"/>
    <mergeCell ref="A13:J13"/>
    <mergeCell ref="E20:J20"/>
    <mergeCell ref="A27:J27"/>
    <mergeCell ref="A43:J43"/>
    <mergeCell ref="A47:J47"/>
    <mergeCell ref="A57:J57"/>
    <mergeCell ref="A11:F11"/>
    <mergeCell ref="A2:J2"/>
    <mergeCell ref="A5:J5"/>
    <mergeCell ref="F7:G7"/>
    <mergeCell ref="B10:D10"/>
    <mergeCell ref="F10:G10"/>
  </mergeCells>
  <pageMargins left="0.23622047244094491" right="0" top="0.74803149606299213" bottom="0.74803149606299213" header="0.31496062992125984" footer="0.31496062992125984"/>
  <pageSetup paperSize="9" scale="77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105"/>
  <sheetViews>
    <sheetView topLeftCell="A62" zoomScaleNormal="100" workbookViewId="0">
      <selection activeCell="O100" sqref="O100"/>
    </sheetView>
  </sheetViews>
  <sheetFormatPr defaultRowHeight="14.5"/>
  <cols>
    <col min="1" max="1" width="9.81640625" customWidth="1"/>
    <col min="2" max="2" width="10.54296875" customWidth="1"/>
    <col min="3" max="3" width="9.81640625" bestFit="1" customWidth="1"/>
    <col min="4" max="4" width="14.54296875" customWidth="1"/>
    <col min="5" max="5" width="4.81640625" customWidth="1"/>
    <col min="6" max="6" width="13.453125" customWidth="1"/>
    <col min="7" max="7" width="17.26953125" customWidth="1"/>
    <col min="8" max="8" width="11.1796875" customWidth="1"/>
    <col min="9" max="9" width="17.7265625" customWidth="1"/>
    <col min="10" max="10" width="10.1796875" customWidth="1"/>
    <col min="11" max="14" width="9.1796875" customWidth="1"/>
    <col min="18" max="20" width="9.1796875" customWidth="1"/>
  </cols>
  <sheetData>
    <row r="1" spans="1:13">
      <c r="A1" s="14">
        <f>'EVIDENCIJA NOVA'!G1</f>
        <v>808</v>
      </c>
    </row>
    <row r="2" spans="1:13" ht="15.5">
      <c r="A2" s="627" t="s">
        <v>895</v>
      </c>
      <c r="B2" s="627"/>
      <c r="C2" s="627"/>
      <c r="D2" s="627"/>
      <c r="E2" s="627"/>
      <c r="F2" s="627"/>
      <c r="G2" s="627"/>
      <c r="H2" s="627"/>
      <c r="I2" s="627"/>
      <c r="J2" s="627"/>
    </row>
    <row r="3" spans="1:13" ht="15.5">
      <c r="A3" s="203" t="s">
        <v>896</v>
      </c>
      <c r="B3" s="84" t="s">
        <v>2846</v>
      </c>
      <c r="C3" s="203" t="s">
        <v>897</v>
      </c>
      <c r="D3" s="203"/>
      <c r="E3" s="203"/>
      <c r="F3" s="203"/>
      <c r="G3" s="203"/>
      <c r="H3" s="203"/>
      <c r="I3" s="203"/>
      <c r="J3" s="203"/>
    </row>
    <row r="4" spans="1:13" ht="15.5">
      <c r="A4" s="22"/>
      <c r="B4" t="s">
        <v>898</v>
      </c>
    </row>
    <row r="5" spans="1:13" ht="20">
      <c r="A5" s="628" t="s">
        <v>899</v>
      </c>
      <c r="B5" s="628"/>
      <c r="C5" s="628"/>
      <c r="D5" s="628"/>
      <c r="E5" s="628"/>
      <c r="F5" s="628"/>
      <c r="G5" s="628"/>
      <c r="H5" s="628"/>
      <c r="I5" s="628"/>
      <c r="J5" s="628"/>
    </row>
    <row r="6" spans="1:13">
      <c r="A6" s="221"/>
    </row>
    <row r="7" spans="1:13" s="23" customFormat="1" ht="16">
      <c r="A7" s="22" t="s">
        <v>900</v>
      </c>
      <c r="B7" s="22"/>
      <c r="C7" s="22"/>
      <c r="D7" s="22"/>
      <c r="E7" s="156"/>
      <c r="F7" s="715" t="str">
        <f ca="1">OFFSET(RADNICI!E2,A1,0)</f>
        <v>D-INVOICE D.O.O.</v>
      </c>
      <c r="G7" s="715"/>
      <c r="H7" s="23" t="s">
        <v>901</v>
      </c>
      <c r="I7" s="213">
        <f ca="1">OFFSET(RADNICI!F2,A1,0)</f>
        <v>95114485977</v>
      </c>
      <c r="J7" s="213"/>
    </row>
    <row r="8" spans="1:13" s="23" customFormat="1" ht="15.5">
      <c r="A8" s="50" t="s">
        <v>2633</v>
      </c>
      <c r="E8" s="156" t="str">
        <f ca="1">OFFSET(RADNICI!G2,A1,0)</f>
        <v>LAURA GERGELJ</v>
      </c>
      <c r="F8" s="552"/>
      <c r="G8" s="50" t="s">
        <v>903</v>
      </c>
      <c r="J8" s="278"/>
    </row>
    <row r="9" spans="1:13" s="23" customFormat="1" ht="15.5">
      <c r="A9" s="202" t="s">
        <v>904</v>
      </c>
    </row>
    <row r="10" spans="1:13" s="23" customFormat="1" ht="15.5">
      <c r="A10" s="24" t="s">
        <v>905</v>
      </c>
      <c r="B10" s="713" t="str">
        <f ca="1">OFFSET(RADNICI!J2,$A$1,0)</f>
        <v>VLADIMIR DEDUŠ</v>
      </c>
      <c r="C10" s="713"/>
      <c r="D10" s="713"/>
      <c r="E10" s="23" t="s">
        <v>3</v>
      </c>
      <c r="F10" s="713">
        <f ca="1">OFFSET(RADNICI!M2,$A$1,0)</f>
        <v>31157145393</v>
      </c>
      <c r="G10" s="713"/>
      <c r="H10" s="23" t="s">
        <v>906</v>
      </c>
    </row>
    <row r="11" spans="1:13" s="23" customFormat="1" ht="15.5">
      <c r="A11" s="714" t="str">
        <f ca="1">OFFSET(RADNICI!R2,$A$1,0)</f>
        <v>Moslavačka 7 a</v>
      </c>
      <c r="B11" s="714"/>
      <c r="C11" s="714"/>
      <c r="D11" s="714"/>
      <c r="E11" s="714"/>
      <c r="F11" s="714"/>
      <c r="G11" s="50" t="s">
        <v>907</v>
      </c>
      <c r="H11" s="278"/>
    </row>
    <row r="12" spans="1:13" s="23" customFormat="1" ht="15.5">
      <c r="A12" s="202"/>
    </row>
    <row r="13" spans="1:13" s="33" customFormat="1" ht="15.5">
      <c r="A13" s="626" t="s">
        <v>908</v>
      </c>
      <c r="B13" s="626"/>
      <c r="C13" s="626"/>
      <c r="D13" s="626"/>
      <c r="E13" s="626"/>
      <c r="F13" s="626"/>
      <c r="G13" s="626"/>
      <c r="H13" s="626"/>
      <c r="I13" s="626"/>
      <c r="J13" s="626"/>
    </row>
    <row r="14" spans="1:13" s="33" customFormat="1" ht="15">
      <c r="A14" s="222" t="s">
        <v>909</v>
      </c>
      <c r="L14" s="715"/>
      <c r="M14" s="715"/>
    </row>
    <row r="15" spans="1:13" ht="15.5">
      <c r="A15" s="22"/>
    </row>
    <row r="16" spans="1:13" s="55" customFormat="1" ht="15.5">
      <c r="A16" s="25" t="s">
        <v>910</v>
      </c>
    </row>
    <row r="17" spans="1:10" s="55" customFormat="1" ht="15.5">
      <c r="A17" s="25" t="s">
        <v>911</v>
      </c>
      <c r="F17" s="23" t="str">
        <f ca="1">OFFSET(RADNICI!X2,$A$1,0)</f>
        <v>Određeno</v>
      </c>
      <c r="G17" s="23" t="s">
        <v>2233</v>
      </c>
      <c r="H17" s="538">
        <f ca="1">OFFSET(RADNICI!L2,$A$1,0)</f>
        <v>46210</v>
      </c>
      <c r="I17" s="539"/>
      <c r="J17" s="539"/>
    </row>
    <row r="18" spans="1:10" s="55" customFormat="1" ht="15.5">
      <c r="A18" s="25" t="s">
        <v>913</v>
      </c>
      <c r="B18" s="532"/>
      <c r="C18" s="532"/>
      <c r="D18" s="532" t="str">
        <f ca="1">OFFSET(RADNICI!W2,$A$1,0)</f>
        <v>maser / maserka</v>
      </c>
      <c r="E18" s="532"/>
      <c r="F18" s="532"/>
      <c r="G18" s="532"/>
      <c r="H18" s="532"/>
    </row>
    <row r="19" spans="1:10" s="55" customFormat="1" ht="15.5" hidden="1">
      <c r="A19" s="25" t="s">
        <v>914</v>
      </c>
      <c r="H19" s="156" t="s">
        <v>2232</v>
      </c>
    </row>
    <row r="20" spans="1:10" s="55" customFormat="1" ht="15.5">
      <c r="A20" s="25" t="s">
        <v>2803</v>
      </c>
      <c r="E20" s="712" t="str">
        <f ca="1">OFFSET(RADNICI!I2,$A$1,0)</f>
        <v>SV.IVANA KRSTITELJA 15, DARDA</v>
      </c>
      <c r="F20" s="712"/>
      <c r="G20" s="712"/>
      <c r="H20" s="712"/>
      <c r="I20" s="712"/>
      <c r="J20" s="712"/>
    </row>
    <row r="21" spans="1:10" s="55" customFormat="1" ht="15.5">
      <c r="B21" s="25" t="s">
        <v>917</v>
      </c>
    </row>
    <row r="22" spans="1:10" s="55" customFormat="1" ht="15.5">
      <c r="A22" s="25" t="s">
        <v>2804</v>
      </c>
    </row>
    <row r="23" spans="1:10" s="55" customFormat="1" ht="15.5">
      <c r="A23" s="25"/>
      <c r="B23" s="23" t="s">
        <v>919</v>
      </c>
    </row>
    <row r="24" spans="1:10" s="55" customFormat="1" ht="15.5">
      <c r="A24" s="25" t="s">
        <v>2805</v>
      </c>
      <c r="D24" s="540">
        <f ca="1">OFFSET(RADNICI!K2,$A$1,0)</f>
        <v>46181</v>
      </c>
      <c r="F24" s="23" t="s">
        <v>2618</v>
      </c>
      <c r="G24" s="23"/>
      <c r="H24" s="23"/>
      <c r="I24" s="23"/>
    </row>
    <row r="25" spans="1:10" s="55" customFormat="1" ht="15.5">
      <c r="A25" s="25" t="s">
        <v>2806</v>
      </c>
      <c r="D25" s="541"/>
    </row>
    <row r="26" spans="1:10" s="55" customFormat="1" ht="15.5">
      <c r="A26" s="22"/>
    </row>
    <row r="27" spans="1:10" ht="15.5">
      <c r="A27" s="626" t="s">
        <v>921</v>
      </c>
      <c r="B27" s="626"/>
      <c r="C27" s="626"/>
      <c r="D27" s="626"/>
      <c r="E27" s="626"/>
      <c r="F27" s="626"/>
      <c r="G27" s="626"/>
      <c r="H27" s="626"/>
      <c r="I27" s="626"/>
      <c r="J27" s="626"/>
    </row>
    <row r="28" spans="1:10">
      <c r="A28" s="223" t="s">
        <v>922</v>
      </c>
    </row>
    <row r="29" spans="1:10" ht="15.5">
      <c r="A29" s="26"/>
    </row>
    <row r="30" spans="1:10" ht="15.5">
      <c r="A30" s="27" t="s">
        <v>923</v>
      </c>
    </row>
    <row r="31" spans="1:10" ht="15.5">
      <c r="A31" s="27"/>
      <c r="B31" s="592">
        <v>1037.93</v>
      </c>
      <c r="C31" s="23" t="s">
        <v>2416</v>
      </c>
    </row>
    <row r="32" spans="1:10" ht="15.5">
      <c r="A32" s="27" t="s">
        <v>925</v>
      </c>
    </row>
    <row r="33" spans="1:10" ht="15.5">
      <c r="A33" s="27" t="s">
        <v>2418</v>
      </c>
    </row>
    <row r="34" spans="1:10" ht="15.5">
      <c r="A34" s="27" t="s">
        <v>2419</v>
      </c>
    </row>
    <row r="35" spans="1:10" ht="15.5">
      <c r="A35" s="27" t="s">
        <v>928</v>
      </c>
    </row>
    <row r="36" spans="1:10" ht="15.5">
      <c r="B36" s="27" t="s">
        <v>929</v>
      </c>
      <c r="H36" s="484">
        <v>0.1</v>
      </c>
    </row>
    <row r="37" spans="1:10" ht="15.5">
      <c r="B37" s="27" t="s">
        <v>930</v>
      </c>
      <c r="C37" s="28"/>
      <c r="H37" s="485">
        <v>0.5</v>
      </c>
    </row>
    <row r="38" spans="1:10" ht="15.5">
      <c r="A38" s="27" t="s">
        <v>898</v>
      </c>
      <c r="B38" s="27" t="s">
        <v>931</v>
      </c>
      <c r="H38" s="484">
        <v>0.5</v>
      </c>
    </row>
    <row r="39" spans="1:10" ht="15.5">
      <c r="B39" s="27" t="s">
        <v>932</v>
      </c>
      <c r="H39" s="485">
        <v>0.3</v>
      </c>
      <c r="I39" s="28"/>
    </row>
    <row r="40" spans="1:10" ht="15.5">
      <c r="B40" s="27" t="s">
        <v>933</v>
      </c>
      <c r="H40" s="484">
        <v>0.5</v>
      </c>
    </row>
    <row r="41" spans="1:10" ht="15.5">
      <c r="B41" s="159" t="s">
        <v>934</v>
      </c>
      <c r="H41" s="484" t="s">
        <v>1734</v>
      </c>
    </row>
    <row r="42" spans="1:10" ht="15.5">
      <c r="A42" s="27"/>
    </row>
    <row r="43" spans="1:10" ht="15.5">
      <c r="A43" s="626" t="s">
        <v>935</v>
      </c>
      <c r="B43" s="626"/>
      <c r="C43" s="626"/>
      <c r="D43" s="626"/>
      <c r="E43" s="626"/>
      <c r="F43" s="626"/>
      <c r="G43" s="626"/>
      <c r="H43" s="626"/>
      <c r="I43" s="626"/>
      <c r="J43" s="626"/>
    </row>
    <row r="44" spans="1:10">
      <c r="A44" s="224" t="s">
        <v>936</v>
      </c>
    </row>
    <row r="45" spans="1:10" ht="15.5">
      <c r="A45" s="22" t="s">
        <v>937</v>
      </c>
    </row>
    <row r="46" spans="1:10" ht="15.5">
      <c r="A46" s="22" t="s">
        <v>938</v>
      </c>
    </row>
    <row r="47" spans="1:10" ht="15.5">
      <c r="A47" s="626" t="s">
        <v>939</v>
      </c>
      <c r="B47" s="626"/>
      <c r="C47" s="626"/>
      <c r="D47" s="626"/>
      <c r="E47" s="626"/>
      <c r="F47" s="626"/>
      <c r="G47" s="626"/>
      <c r="H47" s="626"/>
      <c r="I47" s="626"/>
      <c r="J47" s="626"/>
    </row>
    <row r="48" spans="1:10">
      <c r="A48" s="224" t="s">
        <v>940</v>
      </c>
    </row>
    <row r="49" spans="1:10" ht="15.5">
      <c r="A49" s="29"/>
    </row>
    <row r="50" spans="1:10" ht="15.5">
      <c r="A50" s="25" t="s">
        <v>941</v>
      </c>
      <c r="D50" s="35" t="str">
        <f ca="1">OFFSET(RADNICI!Z2,$A$1,0)</f>
        <v>puno</v>
      </c>
      <c r="E50" t="s">
        <v>942</v>
      </c>
      <c r="H50" s="38">
        <f ca="1">OFFSET(RADNICI!AA2,$A$1,0)</f>
        <v>40</v>
      </c>
      <c r="I50" t="s">
        <v>943</v>
      </c>
    </row>
    <row r="51" spans="1:10" ht="15.5">
      <c r="A51" s="25" t="s">
        <v>982</v>
      </c>
    </row>
    <row r="52" spans="1:10" ht="15.5">
      <c r="A52" s="25" t="s">
        <v>1838</v>
      </c>
      <c r="B52" s="33"/>
    </row>
    <row r="53" spans="1:10" ht="15.5">
      <c r="A53" s="25" t="s">
        <v>944</v>
      </c>
    </row>
    <row r="54" spans="1:10" ht="15.5">
      <c r="A54" s="30" t="s">
        <v>945</v>
      </c>
    </row>
    <row r="55" spans="1:10" ht="15.5">
      <c r="A55" s="25" t="s">
        <v>946</v>
      </c>
    </row>
    <row r="56" spans="1:10" ht="15.5">
      <c r="A56" s="29"/>
    </row>
    <row r="57" spans="1:10" ht="15.5">
      <c r="A57" s="626" t="s">
        <v>947</v>
      </c>
      <c r="B57" s="626"/>
      <c r="C57" s="626"/>
      <c r="D57" s="626"/>
      <c r="E57" s="626"/>
      <c r="F57" s="626"/>
      <c r="G57" s="626"/>
      <c r="H57" s="626"/>
      <c r="I57" s="626"/>
      <c r="J57" s="626"/>
    </row>
    <row r="58" spans="1:10">
      <c r="A58" s="222" t="s">
        <v>948</v>
      </c>
    </row>
    <row r="59" spans="1:10">
      <c r="A59" s="225"/>
    </row>
    <row r="60" spans="1:10" ht="15.5">
      <c r="A60" s="25" t="s">
        <v>949</v>
      </c>
    </row>
    <row r="61" spans="1:10" ht="15.5">
      <c r="A61" s="22" t="s">
        <v>950</v>
      </c>
    </row>
    <row r="62" spans="1:10" ht="15.5">
      <c r="A62" s="22" t="s">
        <v>951</v>
      </c>
    </row>
    <row r="63" spans="1:10" ht="15.5">
      <c r="A63" s="22"/>
    </row>
    <row r="64" spans="1:10" ht="15.5">
      <c r="A64" s="626" t="s">
        <v>952</v>
      </c>
      <c r="B64" s="626"/>
      <c r="C64" s="626"/>
      <c r="D64" s="626"/>
      <c r="E64" s="626"/>
      <c r="F64" s="626"/>
      <c r="G64" s="626"/>
      <c r="H64" s="626"/>
      <c r="I64" s="626"/>
      <c r="J64" s="626"/>
    </row>
    <row r="65" spans="1:10">
      <c r="A65" s="224" t="s">
        <v>953</v>
      </c>
    </row>
    <row r="66" spans="1:10">
      <c r="A66" s="215"/>
    </row>
    <row r="67" spans="1:10" ht="15.5">
      <c r="A67" s="25" t="s">
        <v>954</v>
      </c>
    </row>
    <row r="68" spans="1:10" ht="15.5">
      <c r="A68" s="25"/>
      <c r="B68" s="23" t="s">
        <v>955</v>
      </c>
    </row>
    <row r="69" spans="1:10" ht="15.5">
      <c r="A69" s="25" t="s">
        <v>956</v>
      </c>
    </row>
    <row r="70" spans="1:10" ht="15.5">
      <c r="A70" s="25"/>
      <c r="B70" s="23" t="s">
        <v>957</v>
      </c>
    </row>
    <row r="71" spans="1:10" ht="15.5">
      <c r="A71" s="203"/>
    </row>
    <row r="72" spans="1:10" ht="15.5">
      <c r="A72" s="626" t="s">
        <v>958</v>
      </c>
      <c r="B72" s="626"/>
      <c r="C72" s="626"/>
      <c r="D72" s="626"/>
      <c r="E72" s="626"/>
      <c r="F72" s="626"/>
      <c r="G72" s="626"/>
      <c r="H72" s="626"/>
      <c r="I72" s="626"/>
      <c r="J72" s="626"/>
    </row>
    <row r="73" spans="1:10">
      <c r="A73" s="224" t="s">
        <v>963</v>
      </c>
    </row>
    <row r="74" spans="1:10" ht="15.5">
      <c r="A74" s="202"/>
    </row>
    <row r="75" spans="1:10" ht="15.5">
      <c r="A75" s="25" t="s">
        <v>2631</v>
      </c>
    </row>
    <row r="76" spans="1:10" ht="15.5">
      <c r="A76" s="25" t="s">
        <v>966</v>
      </c>
      <c r="D76" s="709">
        <f ca="1">D24</f>
        <v>46181</v>
      </c>
      <c r="E76" s="710"/>
      <c r="F76" s="710"/>
    </row>
    <row r="77" spans="1:10" ht="15.5">
      <c r="A77" s="25" t="s">
        <v>967</v>
      </c>
    </row>
    <row r="78" spans="1:10" ht="15.75" customHeight="1">
      <c r="A78" s="708" t="s">
        <v>968</v>
      </c>
      <c r="B78" s="708"/>
    </row>
    <row r="79" spans="1:10" ht="15.5">
      <c r="A79" s="22"/>
    </row>
    <row r="80" spans="1:10" ht="15.5">
      <c r="A80" s="626" t="s">
        <v>962</v>
      </c>
      <c r="B80" s="626"/>
      <c r="C80" s="626"/>
      <c r="D80" s="626"/>
      <c r="E80" s="626"/>
      <c r="F80" s="626"/>
      <c r="G80" s="626"/>
      <c r="H80" s="626"/>
      <c r="I80" s="626"/>
    </row>
    <row r="81" spans="1:7" ht="15.5">
      <c r="A81" s="156" t="s">
        <v>2914</v>
      </c>
      <c r="B81" s="21"/>
      <c r="C81" s="21"/>
      <c r="D81" s="21"/>
    </row>
    <row r="82" spans="1:7" ht="15.5">
      <c r="A82" s="22"/>
    </row>
    <row r="83" spans="1:7" ht="15.5">
      <c r="A83" s="22" t="s">
        <v>2915</v>
      </c>
      <c r="G83" s="22"/>
    </row>
    <row r="84" spans="1:7" ht="15.5">
      <c r="A84" s="22" t="s">
        <v>2916</v>
      </c>
    </row>
    <row r="85" spans="1:7" ht="25.5">
      <c r="A85" s="203" t="s">
        <v>2917</v>
      </c>
      <c r="G85" s="336"/>
    </row>
    <row r="86" spans="1:7" ht="15.5">
      <c r="A86" s="22" t="s">
        <v>2918</v>
      </c>
      <c r="F86" s="22"/>
    </row>
    <row r="87" spans="1:7" ht="15.5">
      <c r="A87" s="22" t="s">
        <v>2919</v>
      </c>
    </row>
    <row r="88" spans="1:7" s="23" customFormat="1" ht="15.5">
      <c r="A88" s="23" t="s">
        <v>2920</v>
      </c>
    </row>
    <row r="89" spans="1:7" s="23" customFormat="1" ht="15.5">
      <c r="A89" s="23" t="s">
        <v>2921</v>
      </c>
    </row>
    <row r="90" spans="1:7" s="23" customFormat="1" ht="15.5">
      <c r="A90" s="23" t="s">
        <v>2922</v>
      </c>
    </row>
    <row r="91" spans="1:7" s="23" customFormat="1" ht="15.5">
      <c r="A91" s="23" t="s">
        <v>2923</v>
      </c>
    </row>
    <row r="92" spans="1:7" s="23" customFormat="1" ht="15.5">
      <c r="A92" s="23" t="s">
        <v>2924</v>
      </c>
    </row>
    <row r="93" spans="1:7" s="23" customFormat="1" ht="15.5">
      <c r="A93" s="23" t="s">
        <v>2925</v>
      </c>
    </row>
    <row r="94" spans="1:7" s="23" customFormat="1" ht="15.5">
      <c r="A94" s="23" t="s">
        <v>2926</v>
      </c>
    </row>
    <row r="95" spans="1:7" s="23" customFormat="1" ht="15.5">
      <c r="A95" s="23" t="s">
        <v>2927</v>
      </c>
    </row>
    <row r="97" spans="1:7" s="23" customFormat="1" ht="15.5">
      <c r="A97" s="23" t="s">
        <v>2928</v>
      </c>
    </row>
    <row r="99" spans="1:7" ht="15.5">
      <c r="A99" s="23" t="s">
        <v>2929</v>
      </c>
      <c r="B99" s="23"/>
      <c r="C99" s="23"/>
      <c r="D99" s="23" t="s">
        <v>2846</v>
      </c>
      <c r="E99" s="23"/>
      <c r="F99" s="23"/>
      <c r="G99" s="23"/>
    </row>
    <row r="100" spans="1:7" ht="15.5">
      <c r="A100" s="23"/>
      <c r="B100" s="23"/>
      <c r="C100" s="23"/>
      <c r="D100" s="23"/>
      <c r="E100" s="23"/>
      <c r="F100" s="23"/>
      <c r="G100" s="23"/>
    </row>
    <row r="101" spans="1:7" ht="15.5">
      <c r="A101" s="23"/>
      <c r="B101" s="23"/>
      <c r="C101" s="23"/>
      <c r="D101" s="23"/>
      <c r="E101" s="23"/>
      <c r="F101" s="23"/>
      <c r="G101" s="23"/>
    </row>
    <row r="102" spans="1:7" ht="15.5">
      <c r="A102" s="23" t="s">
        <v>970</v>
      </c>
      <c r="B102" s="23"/>
      <c r="C102" s="23"/>
      <c r="D102" s="23"/>
      <c r="E102" s="23"/>
      <c r="F102" s="23"/>
      <c r="G102" s="23" t="s">
        <v>971</v>
      </c>
    </row>
    <row r="103" spans="1:7" ht="15.5">
      <c r="A103" s="23"/>
      <c r="B103" s="23"/>
      <c r="C103" s="23"/>
      <c r="D103" s="23"/>
      <c r="E103" s="23"/>
      <c r="F103" s="23"/>
      <c r="G103" s="23"/>
    </row>
    <row r="104" spans="1:7" ht="15.5">
      <c r="A104" s="23" t="s">
        <v>972</v>
      </c>
      <c r="B104" s="23"/>
      <c r="C104" s="23"/>
      <c r="D104" s="23"/>
      <c r="E104" s="23"/>
      <c r="F104" s="23"/>
      <c r="G104" s="23"/>
    </row>
    <row r="105" spans="1:7" ht="15.5">
      <c r="A105" s="23" t="s">
        <v>973</v>
      </c>
      <c r="B105" s="23"/>
      <c r="C105" s="23"/>
      <c r="D105" s="23"/>
      <c r="E105" s="23"/>
      <c r="F105" s="23" t="s">
        <v>974</v>
      </c>
      <c r="G105" s="23"/>
    </row>
  </sheetData>
  <mergeCells count="18">
    <mergeCell ref="A80:I80"/>
    <mergeCell ref="A2:J2"/>
    <mergeCell ref="A5:J5"/>
    <mergeCell ref="F7:G7"/>
    <mergeCell ref="B10:D10"/>
    <mergeCell ref="F10:G10"/>
    <mergeCell ref="A13:J13"/>
    <mergeCell ref="E20:J20"/>
    <mergeCell ref="A27:J27"/>
    <mergeCell ref="A43:J43"/>
    <mergeCell ref="A47:J47"/>
    <mergeCell ref="A64:J64"/>
    <mergeCell ref="A72:J72"/>
    <mergeCell ref="D76:F76"/>
    <mergeCell ref="A78:B78"/>
    <mergeCell ref="L14:M14"/>
    <mergeCell ref="A57:J57"/>
    <mergeCell ref="A11:F11"/>
  </mergeCells>
  <pageMargins left="0.23622047244094491" right="0" top="0.74803149606299213" bottom="0.74803149606299213" header="0.31496062992125984" footer="0.31496062992125984"/>
  <pageSetup paperSize="9" scale="4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92D050"/>
    <pageSetUpPr fitToPage="1"/>
  </sheetPr>
  <dimension ref="A1:K91"/>
  <sheetViews>
    <sheetView topLeftCell="A61" zoomScaleNormal="100" workbookViewId="0">
      <selection activeCell="B70" sqref="B70"/>
    </sheetView>
  </sheetViews>
  <sheetFormatPr defaultRowHeight="14.5"/>
  <cols>
    <col min="1" max="1" width="13.453125" customWidth="1"/>
    <col min="2" max="2" width="12.54296875" customWidth="1"/>
    <col min="3" max="3" width="13.54296875" customWidth="1"/>
    <col min="4" max="4" width="11.81640625" customWidth="1"/>
    <col min="5" max="5" width="7.7265625" hidden="1" customWidth="1"/>
    <col min="6" max="6" width="21.81640625" customWidth="1"/>
    <col min="7" max="7" width="9.1796875" customWidth="1"/>
    <col min="8" max="8" width="18.453125" customWidth="1"/>
    <col min="9" max="9" width="6" customWidth="1"/>
    <col min="10" max="10" width="9.1796875" customWidth="1"/>
    <col min="11" max="11" width="9.453125" customWidth="1"/>
  </cols>
  <sheetData>
    <row r="1" spans="1:11">
      <c r="A1" s="14">
        <v>814</v>
      </c>
    </row>
    <row r="2" spans="1:11" ht="15.5">
      <c r="A2" s="627" t="s">
        <v>895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</row>
    <row r="3" spans="1:11" ht="15.5">
      <c r="A3" s="203" t="s">
        <v>896</v>
      </c>
      <c r="B3" s="551">
        <v>46190</v>
      </c>
      <c r="C3" s="203" t="s">
        <v>897</v>
      </c>
      <c r="D3" s="203"/>
      <c r="E3" s="203"/>
      <c r="F3" s="203"/>
      <c r="G3" s="203"/>
      <c r="H3" s="203"/>
      <c r="I3" s="203"/>
      <c r="J3" s="203"/>
      <c r="K3" s="203"/>
    </row>
    <row r="4" spans="1:11" ht="15.5">
      <c r="A4" s="22"/>
    </row>
    <row r="5" spans="1:11" ht="20">
      <c r="A5" s="628" t="s">
        <v>975</v>
      </c>
      <c r="B5" s="628"/>
      <c r="C5" s="628"/>
      <c r="D5" s="628"/>
      <c r="E5" s="628"/>
      <c r="F5" s="628"/>
      <c r="G5" s="628"/>
      <c r="H5" s="628"/>
      <c r="I5" s="628"/>
      <c r="J5" s="628"/>
      <c r="K5" s="628"/>
    </row>
    <row r="6" spans="1:11">
      <c r="A6" s="221"/>
    </row>
    <row r="7" spans="1:11" s="23" customFormat="1" ht="15.5">
      <c r="A7" s="23" t="s">
        <v>900</v>
      </c>
      <c r="E7" s="156"/>
      <c r="F7" s="720" t="str">
        <f ca="1">OFFSET(RADNICI!E2,A1,0)</f>
        <v>Studio031, vl. Alma Okanović</v>
      </c>
      <c r="G7" s="720"/>
      <c r="H7" s="720"/>
      <c r="I7" s="406" t="s">
        <v>2386</v>
      </c>
      <c r="J7" s="712">
        <f ca="1">OFFSET(RADNICI!F2,A1,0)</f>
        <v>27380297470</v>
      </c>
      <c r="K7" s="712"/>
    </row>
    <row r="8" spans="1:11" s="23" customFormat="1" ht="20.25" customHeight="1">
      <c r="A8" s="50" t="s">
        <v>2700</v>
      </c>
      <c r="E8" s="713" t="str">
        <f ca="1">OFFSET(RADNICI!G2,A1,0)</f>
        <v>Alma Okanović</v>
      </c>
      <c r="F8" s="713"/>
      <c r="G8" s="23" t="s">
        <v>2388</v>
      </c>
      <c r="J8" s="278"/>
      <c r="K8" s="278"/>
    </row>
    <row r="9" spans="1:11" s="23" customFormat="1" ht="16.5" customHeight="1">
      <c r="A9" s="50" t="s">
        <v>2387</v>
      </c>
      <c r="B9" s="713" t="str">
        <f ca="1">OFFSET(RADNICI!J2,$A$1,0)</f>
        <v>Stefan Kiš</v>
      </c>
      <c r="C9" s="713"/>
      <c r="D9" s="713"/>
      <c r="E9" s="23" t="s">
        <v>1008</v>
      </c>
      <c r="F9" s="713">
        <f ca="1">OFFSET(RADNICI!M2,$A$1,0)</f>
        <v>48661122615</v>
      </c>
      <c r="G9" s="713"/>
      <c r="H9" s="23" t="s">
        <v>906</v>
      </c>
    </row>
    <row r="10" spans="1:11" s="23" customFormat="1" ht="15.5">
      <c r="A10" s="23" t="str">
        <f ca="1">OFFSET(RADNICI!R2,$A$1,0)</f>
        <v>Tenja, Ulica Matije Vlačića 13A</v>
      </c>
      <c r="D10" s="50" t="s">
        <v>907</v>
      </c>
      <c r="H10" s="278"/>
    </row>
    <row r="11" spans="1:11" s="33" customFormat="1" ht="15.5">
      <c r="A11" s="202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11" s="33" customFormat="1" ht="15.5">
      <c r="A12" s="626" t="s">
        <v>908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</row>
    <row r="13" spans="1:11" s="33" customFormat="1" ht="15.5">
      <c r="A13" s="222" t="s">
        <v>909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.5">
      <c r="A14" s="22"/>
      <c r="B14" s="55"/>
      <c r="C14" s="55"/>
      <c r="D14" s="55"/>
      <c r="E14" s="55"/>
      <c r="F14" s="55"/>
      <c r="G14" s="55"/>
      <c r="H14" s="55"/>
      <c r="I14" s="55"/>
      <c r="J14" s="55"/>
      <c r="K14" s="55"/>
    </row>
    <row r="15" spans="1:11" ht="15.5">
      <c r="A15" s="50" t="s">
        <v>910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</row>
    <row r="16" spans="1:11" ht="15.5">
      <c r="A16" s="50" t="s">
        <v>976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</row>
    <row r="17" spans="1:11" ht="15.5">
      <c r="A17" s="50"/>
      <c r="B17" s="721" t="str">
        <f ca="1">OFFSET(RADNICI!W2,$A$1,0)</f>
        <v>Frizer</v>
      </c>
      <c r="C17" s="721"/>
      <c r="D17" s="721"/>
      <c r="E17" s="721"/>
      <c r="F17" s="721"/>
      <c r="G17" s="721"/>
      <c r="H17" s="721"/>
      <c r="I17" s="55"/>
      <c r="J17" s="55"/>
      <c r="K17" s="55"/>
    </row>
    <row r="18" spans="1:11" ht="15.5">
      <c r="A18" s="50" t="s">
        <v>2892</v>
      </c>
      <c r="B18" s="55"/>
      <c r="C18" s="55"/>
      <c r="D18" s="55"/>
      <c r="E18" s="55"/>
      <c r="F18" s="55"/>
      <c r="G18" s="524"/>
      <c r="H18" s="156"/>
      <c r="I18" s="55"/>
      <c r="J18" s="55"/>
      <c r="K18" s="55"/>
    </row>
    <row r="19" spans="1:11" ht="15.5">
      <c r="A19" s="50" t="s">
        <v>916</v>
      </c>
      <c r="B19" s="55"/>
      <c r="C19" s="55"/>
      <c r="D19" s="55"/>
      <c r="E19" s="719" t="str">
        <f ca="1">OFFSET(RADNICI!AH2,$A$1,0)</f>
        <v>Osijek, Gornjodravska 90C</v>
      </c>
      <c r="F19" s="719"/>
      <c r="G19" s="719"/>
      <c r="H19" s="719"/>
      <c r="I19" s="719"/>
      <c r="J19" s="719"/>
      <c r="K19" s="156"/>
    </row>
    <row r="20" spans="1:11" ht="15.5">
      <c r="A20" s="50" t="s">
        <v>2389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</row>
    <row r="21" spans="1:11" ht="15.5">
      <c r="A21" s="50" t="s">
        <v>918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</row>
    <row r="22" spans="1:11" ht="15.5">
      <c r="A22" s="23" t="s">
        <v>919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</row>
    <row r="23" spans="1:11" ht="15.5">
      <c r="A23" s="50" t="s">
        <v>920</v>
      </c>
      <c r="B23" s="55"/>
      <c r="C23" s="55"/>
      <c r="D23" s="531">
        <f ca="1">OFFSET(RADNICI!K2,$A$1,0)</f>
        <v>46196</v>
      </c>
      <c r="E23" s="23" t="s">
        <v>2455</v>
      </c>
      <c r="F23" s="55"/>
      <c r="G23" s="55"/>
      <c r="H23" s="55"/>
      <c r="I23" s="55"/>
      <c r="J23" s="55"/>
      <c r="K23" s="55"/>
    </row>
    <row r="24" spans="1:11" ht="15.5">
      <c r="A24" s="22"/>
    </row>
    <row r="25" spans="1:11" ht="15.5">
      <c r="A25" s="626" t="s">
        <v>921</v>
      </c>
      <c r="B25" s="626"/>
      <c r="C25" s="626"/>
      <c r="D25" s="626"/>
      <c r="E25" s="626"/>
      <c r="F25" s="626"/>
      <c r="G25" s="626"/>
      <c r="H25" s="626"/>
      <c r="I25" s="626"/>
      <c r="J25" s="626"/>
      <c r="K25" s="626"/>
    </row>
    <row r="26" spans="1:11">
      <c r="A26" s="525" t="s">
        <v>922</v>
      </c>
    </row>
    <row r="27" spans="1:11" ht="15.5">
      <c r="A27" s="26"/>
    </row>
    <row r="28" spans="1:11" s="48" customFormat="1" ht="15.5">
      <c r="A28" s="203" t="s">
        <v>923</v>
      </c>
    </row>
    <row r="29" spans="1:11" s="48" customFormat="1" ht="15.5">
      <c r="A29" s="550">
        <f ca="1">OFFSET(RADNICI!AM2,$A$1,0)</f>
        <v>1195.9000000000001</v>
      </c>
      <c r="B29" s="50" t="s">
        <v>3032</v>
      </c>
    </row>
    <row r="30" spans="1:11" s="48" customFormat="1" ht="15.5">
      <c r="A30" s="203" t="s">
        <v>2379</v>
      </c>
    </row>
    <row r="31" spans="1:11" s="48" customFormat="1" ht="15.5">
      <c r="A31" s="50" t="s">
        <v>979</v>
      </c>
    </row>
    <row r="32" spans="1:11" s="48" customFormat="1" ht="15.5">
      <c r="A32" s="203" t="s">
        <v>2417</v>
      </c>
    </row>
    <row r="33" spans="1:11" s="48" customFormat="1" ht="15.5">
      <c r="A33" s="203" t="s">
        <v>2420</v>
      </c>
    </row>
    <row r="34" spans="1:11" s="48" customFormat="1" ht="15.5">
      <c r="A34" s="203" t="s">
        <v>928</v>
      </c>
    </row>
    <row r="35" spans="1:11" ht="15.5">
      <c r="B35" s="22" t="s">
        <v>929</v>
      </c>
      <c r="H35" s="44">
        <v>0.1</v>
      </c>
    </row>
    <row r="36" spans="1:11" ht="15.5">
      <c r="B36" s="22" t="s">
        <v>930</v>
      </c>
      <c r="C36" s="28"/>
      <c r="H36" s="45">
        <v>0.5</v>
      </c>
    </row>
    <row r="37" spans="1:11" ht="15.5">
      <c r="A37" s="27" t="s">
        <v>898</v>
      </c>
      <c r="B37" s="22" t="s">
        <v>931</v>
      </c>
      <c r="H37" s="44">
        <v>0.5</v>
      </c>
    </row>
    <row r="38" spans="1:11" ht="15.5">
      <c r="B38" s="22" t="s">
        <v>932</v>
      </c>
      <c r="H38" s="45">
        <v>0.3</v>
      </c>
      <c r="I38" s="28"/>
    </row>
    <row r="39" spans="1:11" ht="15.5">
      <c r="B39" s="22" t="s">
        <v>933</v>
      </c>
      <c r="H39" s="44">
        <v>0.5</v>
      </c>
    </row>
    <row r="40" spans="1:11" ht="15.5">
      <c r="B40" s="22" t="s">
        <v>981</v>
      </c>
      <c r="H40" s="595">
        <v>0.3</v>
      </c>
    </row>
    <row r="41" spans="1:11" ht="15.5">
      <c r="B41" s="159"/>
      <c r="H41" s="200"/>
    </row>
    <row r="42" spans="1:11" ht="15.5">
      <c r="B42" s="159"/>
      <c r="H42" s="200"/>
    </row>
    <row r="43" spans="1:11" ht="15.5">
      <c r="A43" s="27"/>
    </row>
    <row r="44" spans="1:11" ht="15.5">
      <c r="A44" s="626" t="s">
        <v>935</v>
      </c>
      <c r="B44" s="626"/>
      <c r="C44" s="626"/>
      <c r="D44" s="626"/>
      <c r="E44" s="626"/>
      <c r="F44" s="626"/>
      <c r="G44" s="626"/>
      <c r="H44" s="626"/>
      <c r="I44" s="626"/>
      <c r="J44" s="626"/>
      <c r="K44" s="626"/>
    </row>
    <row r="45" spans="1:11">
      <c r="A45" s="222" t="s">
        <v>936</v>
      </c>
    </row>
    <row r="46" spans="1:11" ht="15.5">
      <c r="A46" s="27"/>
    </row>
    <row r="47" spans="1:11" ht="15.5" hidden="1">
      <c r="A47" s="22" t="s">
        <v>1732</v>
      </c>
    </row>
    <row r="48" spans="1:11" ht="15.5" hidden="1">
      <c r="A48" s="27"/>
    </row>
    <row r="49" spans="1:11" s="55" customFormat="1" ht="15.5">
      <c r="A49" s="22" t="s">
        <v>937</v>
      </c>
    </row>
    <row r="50" spans="1:11" s="55" customFormat="1" ht="15.5">
      <c r="A50" s="22" t="s">
        <v>938</v>
      </c>
    </row>
    <row r="51" spans="1:11" ht="15.5">
      <c r="A51" s="22"/>
    </row>
    <row r="52" spans="1:11" ht="15.5">
      <c r="A52" s="626" t="s">
        <v>939</v>
      </c>
      <c r="B52" s="626"/>
      <c r="C52" s="626"/>
      <c r="D52" s="626"/>
      <c r="E52" s="626"/>
      <c r="F52" s="626"/>
      <c r="G52" s="626"/>
      <c r="H52" s="626"/>
      <c r="I52" s="626"/>
      <c r="J52" s="626"/>
      <c r="K52" s="626"/>
    </row>
    <row r="53" spans="1:11">
      <c r="A53" s="222" t="s">
        <v>940</v>
      </c>
    </row>
    <row r="54" spans="1:11" ht="15.5">
      <c r="A54" s="29"/>
    </row>
    <row r="55" spans="1:11" s="55" customFormat="1" ht="15.5">
      <c r="A55" s="22" t="s">
        <v>2634</v>
      </c>
      <c r="C55" s="549" t="str">
        <f ca="1">OFFSET(RADNICI!Z2,$A$1,0)</f>
        <v>puno</v>
      </c>
      <c r="D55" s="55" t="s">
        <v>2635</v>
      </c>
      <c r="F55" s="548">
        <f ca="1">OFFSET(RADNICI!AA2,$A$1,0)</f>
        <v>40</v>
      </c>
      <c r="G55" s="55" t="s">
        <v>943</v>
      </c>
    </row>
    <row r="56" spans="1:11" s="55" customFormat="1" ht="15.5">
      <c r="A56" s="22" t="s">
        <v>2967</v>
      </c>
    </row>
    <row r="57" spans="1:11" s="55" customFormat="1" ht="15.5">
      <c r="A57" s="23" t="s">
        <v>3043</v>
      </c>
    </row>
    <row r="58" spans="1:11" s="55" customFormat="1" ht="15.5">
      <c r="A58" s="22" t="s">
        <v>944</v>
      </c>
    </row>
    <row r="59" spans="1:11" s="55" customFormat="1" ht="15.5">
      <c r="A59" s="529" t="s">
        <v>945</v>
      </c>
    </row>
    <row r="60" spans="1:11" s="55" customFormat="1" ht="15.5">
      <c r="A60" s="22" t="s">
        <v>946</v>
      </c>
    </row>
    <row r="61" spans="1:11" ht="15.5">
      <c r="A61" s="29"/>
    </row>
    <row r="62" spans="1:11" ht="15.5">
      <c r="A62" s="626" t="s">
        <v>947</v>
      </c>
      <c r="B62" s="626"/>
      <c r="C62" s="626"/>
      <c r="D62" s="626"/>
      <c r="E62" s="626"/>
      <c r="F62" s="626"/>
      <c r="G62" s="626"/>
      <c r="H62" s="626"/>
      <c r="I62" s="626"/>
      <c r="J62" s="626"/>
      <c r="K62" s="626"/>
    </row>
    <row r="63" spans="1:11">
      <c r="A63" s="222" t="s">
        <v>2637</v>
      </c>
    </row>
    <row r="64" spans="1:11">
      <c r="A64" s="225"/>
    </row>
    <row r="65" spans="1:11" s="55" customFormat="1" ht="15.5">
      <c r="A65" s="22" t="s">
        <v>949</v>
      </c>
    </row>
    <row r="66" spans="1:11" s="55" customFormat="1" ht="15.5">
      <c r="A66" s="22" t="s">
        <v>950</v>
      </c>
    </row>
    <row r="67" spans="1:11" s="55" customFormat="1" ht="15.5">
      <c r="A67" s="22" t="s">
        <v>951</v>
      </c>
    </row>
    <row r="68" spans="1:11" ht="15.5">
      <c r="A68" s="22"/>
    </row>
    <row r="69" spans="1:11" ht="15.5">
      <c r="A69" s="626" t="s">
        <v>952</v>
      </c>
      <c r="B69" s="626"/>
      <c r="C69" s="626"/>
      <c r="D69" s="626"/>
      <c r="E69" s="626"/>
      <c r="F69" s="626"/>
      <c r="G69" s="626"/>
      <c r="H69" s="626"/>
      <c r="I69" s="626"/>
      <c r="J69" s="626"/>
      <c r="K69" s="626"/>
    </row>
    <row r="70" spans="1:11">
      <c r="A70" s="222" t="s">
        <v>953</v>
      </c>
    </row>
    <row r="71" spans="1:11">
      <c r="A71" s="215"/>
    </row>
    <row r="72" spans="1:11" ht="15.5">
      <c r="A72" s="22" t="s">
        <v>2951</v>
      </c>
    </row>
    <row r="73" spans="1:11" ht="15.5">
      <c r="A73" s="23" t="s">
        <v>984</v>
      </c>
    </row>
    <row r="74" spans="1:11" ht="15.5">
      <c r="A74" s="22" t="s">
        <v>1730</v>
      </c>
    </row>
    <row r="75" spans="1:11" ht="15.5">
      <c r="A75" s="25"/>
      <c r="B75" s="23"/>
    </row>
    <row r="76" spans="1:11" ht="15.5">
      <c r="A76" s="626" t="s">
        <v>958</v>
      </c>
      <c r="B76" s="626"/>
      <c r="C76" s="626"/>
      <c r="D76" s="626"/>
      <c r="E76" s="626"/>
      <c r="F76" s="626"/>
      <c r="G76" s="626"/>
      <c r="H76" s="626"/>
      <c r="I76" s="626"/>
      <c r="J76" s="626"/>
      <c r="K76" s="626"/>
    </row>
    <row r="77" spans="1:11">
      <c r="A77" s="222" t="s">
        <v>963</v>
      </c>
    </row>
    <row r="78" spans="1:11" ht="15.5">
      <c r="A78" s="202"/>
    </row>
    <row r="79" spans="1:11" s="55" customFormat="1" ht="15.5">
      <c r="A79" s="22" t="s">
        <v>2783</v>
      </c>
    </row>
    <row r="80" spans="1:11" s="55" customFormat="1" ht="15.5">
      <c r="A80" s="22" t="s">
        <v>966</v>
      </c>
      <c r="D80" s="541">
        <f ca="1">D23</f>
        <v>46196</v>
      </c>
      <c r="E80" s="156"/>
      <c r="F80" s="156"/>
    </row>
    <row r="81" spans="1:7" s="55" customFormat="1" ht="15.5">
      <c r="A81" s="22" t="s">
        <v>967</v>
      </c>
    </row>
    <row r="82" spans="1:7" ht="15.5">
      <c r="A82" s="23" t="s">
        <v>968</v>
      </c>
    </row>
    <row r="83" spans="1:7" ht="15.5">
      <c r="A83" s="22"/>
    </row>
    <row r="84" spans="1:7" ht="15.5">
      <c r="A84" s="598" t="s">
        <v>3035</v>
      </c>
      <c r="C84" s="285">
        <f>B3</f>
        <v>46190</v>
      </c>
    </row>
    <row r="85" spans="1:7" ht="15.5">
      <c r="A85" s="361"/>
    </row>
    <row r="86" spans="1:7" ht="15.5">
      <c r="A86" s="22"/>
    </row>
    <row r="87" spans="1:7" ht="15.5">
      <c r="A87" s="22" t="s">
        <v>970</v>
      </c>
      <c r="G87" s="22" t="s">
        <v>971</v>
      </c>
    </row>
    <row r="88" spans="1:7" ht="15.5">
      <c r="A88" s="22"/>
    </row>
    <row r="89" spans="1:7">
      <c r="A89" s="227" t="s">
        <v>972</v>
      </c>
    </row>
    <row r="90" spans="1:7" ht="15.5">
      <c r="A90" s="22" t="s">
        <v>973</v>
      </c>
      <c r="B90" s="22"/>
      <c r="G90" s="22" t="s">
        <v>974</v>
      </c>
    </row>
    <row r="91" spans="1:7">
      <c r="A91" s="221"/>
    </row>
  </sheetData>
  <mergeCells count="16">
    <mergeCell ref="A76:K76"/>
    <mergeCell ref="E19:J19"/>
    <mergeCell ref="B9:D9"/>
    <mergeCell ref="A12:K12"/>
    <mergeCell ref="B17:H17"/>
    <mergeCell ref="A25:K25"/>
    <mergeCell ref="A52:K52"/>
    <mergeCell ref="A62:K62"/>
    <mergeCell ref="A69:K69"/>
    <mergeCell ref="F9:G9"/>
    <mergeCell ref="A2:K2"/>
    <mergeCell ref="A5:K5"/>
    <mergeCell ref="F7:H7"/>
    <mergeCell ref="J7:K7"/>
    <mergeCell ref="A44:K44"/>
    <mergeCell ref="E8:F8"/>
  </mergeCells>
  <phoneticPr fontId="23" type="noConversion"/>
  <pageMargins left="0.25" right="0.25" top="0.75" bottom="0.75" header="0.3" footer="0.3"/>
  <pageSetup paperSize="9" scale="78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J93"/>
  <sheetViews>
    <sheetView view="pageLayout" zoomScaleNormal="100" workbookViewId="0"/>
  </sheetViews>
  <sheetFormatPr defaultRowHeight="14.5"/>
  <cols>
    <col min="1" max="1" width="10.26953125" customWidth="1"/>
    <col min="2" max="2" width="12" customWidth="1"/>
    <col min="3" max="3" width="9.81640625" bestFit="1" customWidth="1"/>
    <col min="4" max="4" width="10.81640625" customWidth="1"/>
    <col min="5" max="5" width="5.7265625" customWidth="1"/>
    <col min="7" max="7" width="8.81640625" customWidth="1"/>
    <col min="8" max="8" width="9.81640625" customWidth="1"/>
    <col min="9" max="9" width="6" customWidth="1"/>
    <col min="10" max="10" width="18" customWidth="1"/>
  </cols>
  <sheetData>
    <row r="1" spans="1:10">
      <c r="A1" s="14">
        <v>712</v>
      </c>
    </row>
    <row r="2" spans="1:10" ht="15.5">
      <c r="A2" s="627" t="s">
        <v>895</v>
      </c>
      <c r="B2" s="627"/>
      <c r="C2" s="627"/>
      <c r="D2" s="627"/>
      <c r="E2" s="627"/>
      <c r="F2" s="627"/>
      <c r="G2" s="627"/>
      <c r="H2" s="627"/>
      <c r="I2" s="627"/>
      <c r="J2" s="627"/>
    </row>
    <row r="3" spans="1:10" ht="15.5">
      <c r="A3" s="203" t="s">
        <v>896</v>
      </c>
      <c r="B3" s="84">
        <f ca="1">OFFSET(RADNICI!K2,$A$1,0)</f>
        <v>45413</v>
      </c>
      <c r="C3" s="203" t="s">
        <v>897</v>
      </c>
      <c r="D3" s="203"/>
      <c r="E3" s="203"/>
      <c r="F3" s="203"/>
      <c r="G3" s="203"/>
      <c r="H3" s="203"/>
      <c r="I3" s="203"/>
      <c r="J3" s="203"/>
    </row>
    <row r="4" spans="1:10" ht="15.5">
      <c r="A4" s="22"/>
      <c r="B4" t="s">
        <v>898</v>
      </c>
    </row>
    <row r="5" spans="1:10" ht="20">
      <c r="A5" s="628" t="s">
        <v>899</v>
      </c>
      <c r="B5" s="628"/>
      <c r="C5" s="628"/>
      <c r="D5" s="628"/>
      <c r="E5" s="628"/>
      <c r="F5" s="628"/>
      <c r="G5" s="628"/>
      <c r="H5" s="628"/>
      <c r="I5" s="628"/>
      <c r="J5" s="628"/>
    </row>
    <row r="6" spans="1:10">
      <c r="A6" s="221"/>
    </row>
    <row r="7" spans="1:10" s="23" customFormat="1" ht="15.5">
      <c r="A7" s="22" t="s">
        <v>900</v>
      </c>
      <c r="B7" s="22"/>
      <c r="C7" s="22"/>
      <c r="D7" s="22"/>
      <c r="E7" s="713" t="str">
        <f ca="1">OFFSET(RADNICI!E2,A1,0)</f>
        <v>PORTO RUNKE j.d.o.o.</v>
      </c>
      <c r="F7" s="713"/>
      <c r="G7" s="713"/>
      <c r="H7" s="406" t="s">
        <v>3</v>
      </c>
      <c r="I7" s="712">
        <f ca="1">OFFSET(RADNICI!F2,A1,0)</f>
        <v>72434492423</v>
      </c>
      <c r="J7" s="712"/>
    </row>
    <row r="8" spans="1:10" s="23" customFormat="1" ht="15.5">
      <c r="A8" s="203" t="s">
        <v>2633</v>
      </c>
      <c r="B8" s="22"/>
      <c r="C8" s="22"/>
      <c r="D8" s="22"/>
      <c r="E8" s="156" t="str">
        <f ca="1">OFFSET(RADNICI!G2,A1,0)</f>
        <v>Željko Stipić</v>
      </c>
      <c r="F8" s="278"/>
      <c r="G8" s="50" t="s">
        <v>903</v>
      </c>
      <c r="J8" s="278"/>
    </row>
    <row r="9" spans="1:10" s="23" customFormat="1" ht="15.5">
      <c r="A9" s="202" t="s">
        <v>904</v>
      </c>
    </row>
    <row r="10" spans="1:10" s="23" customFormat="1" ht="15.5">
      <c r="A10" s="203" t="s">
        <v>2387</v>
      </c>
      <c r="B10" s="713" t="str">
        <f ca="1">OFFSET(RADNICI!J2,$A$1,0)</f>
        <v>Marina Radić</v>
      </c>
      <c r="C10" s="713"/>
      <c r="D10" s="713"/>
      <c r="E10" s="23" t="s">
        <v>3</v>
      </c>
      <c r="F10" s="712">
        <f ca="1">OFFSET(RADNICI!M2,$A$1,0)</f>
        <v>74273122978</v>
      </c>
      <c r="G10" s="712"/>
      <c r="H10" s="23" t="s">
        <v>906</v>
      </c>
    </row>
    <row r="11" spans="1:10" s="23" customFormat="1" ht="15.5">
      <c r="A11" s="22" t="str">
        <f ca="1">OFFSET(RADNICI!R2,$A$1,0)</f>
        <v>Kosova ulica 31, 52100 Pula</v>
      </c>
      <c r="B11" s="22"/>
      <c r="C11" s="22"/>
      <c r="D11" s="50" t="s">
        <v>907</v>
      </c>
      <c r="E11" s="22"/>
      <c r="F11" s="22"/>
      <c r="H11" s="278"/>
    </row>
    <row r="12" spans="1:10" s="33" customFormat="1" ht="15.5">
      <c r="A12" s="202"/>
    </row>
    <row r="13" spans="1:10" s="33" customFormat="1" ht="15.5">
      <c r="A13" s="626" t="s">
        <v>908</v>
      </c>
      <c r="B13" s="626"/>
      <c r="C13" s="626"/>
      <c r="D13" s="626"/>
      <c r="E13" s="626"/>
      <c r="F13" s="626"/>
      <c r="G13" s="626"/>
      <c r="H13" s="626"/>
      <c r="I13" s="626"/>
      <c r="J13" s="626"/>
    </row>
    <row r="14" spans="1:10" s="33" customFormat="1" ht="14">
      <c r="A14" s="222" t="s">
        <v>909</v>
      </c>
    </row>
    <row r="15" spans="1:10" ht="15.5">
      <c r="A15" s="22"/>
    </row>
    <row r="16" spans="1:10" s="55" customFormat="1" ht="15.5">
      <c r="A16" s="22" t="s">
        <v>910</v>
      </c>
    </row>
    <row r="17" spans="1:10" s="55" customFormat="1" ht="15.5">
      <c r="A17" s="22" t="s">
        <v>2645</v>
      </c>
      <c r="I17" s="722">
        <f ca="1">OFFSET(RADNICI!L2,$A$1,0)</f>
        <v>45566</v>
      </c>
      <c r="J17" s="722"/>
    </row>
    <row r="18" spans="1:10" s="55" customFormat="1" ht="15.5">
      <c r="A18" s="22" t="s">
        <v>913</v>
      </c>
      <c r="B18" s="532"/>
      <c r="C18" s="532" t="str">
        <f ca="1">OFFSET(RADNICI!V2,$A$1,0)</f>
        <v>Konobar</v>
      </c>
      <c r="D18" s="532"/>
      <c r="E18" s="532"/>
      <c r="F18" s="532"/>
      <c r="G18" s="532"/>
      <c r="H18" s="532"/>
    </row>
    <row r="19" spans="1:10" s="55" customFormat="1" ht="15.5">
      <c r="A19" s="22" t="s">
        <v>914</v>
      </c>
      <c r="G19" s="156" t="s">
        <v>1783</v>
      </c>
      <c r="H19" s="156"/>
    </row>
    <row r="20" spans="1:10" s="55" customFormat="1" ht="15.5">
      <c r="A20" s="22" t="s">
        <v>916</v>
      </c>
      <c r="E20" s="533" t="str">
        <f ca="1">OFFSET(RADNICI!I2,$A$1,0)</f>
        <v>Runke 43, 52203 Premantura, Medulin</v>
      </c>
      <c r="F20" s="533"/>
      <c r="G20" s="533"/>
      <c r="H20" s="533"/>
      <c r="I20" s="156"/>
      <c r="J20" s="156"/>
    </row>
    <row r="21" spans="1:10" s="55" customFormat="1" ht="15.5">
      <c r="A21" s="22" t="s">
        <v>917</v>
      </c>
    </row>
    <row r="22" spans="1:10" s="55" customFormat="1" ht="15.5">
      <c r="A22" s="22" t="s">
        <v>918</v>
      </c>
    </row>
    <row r="23" spans="1:10" s="55" customFormat="1" ht="15.5">
      <c r="A23" s="23" t="s">
        <v>919</v>
      </c>
    </row>
    <row r="24" spans="1:10" s="55" customFormat="1" ht="15.5">
      <c r="A24" s="22" t="s">
        <v>920</v>
      </c>
      <c r="D24" s="531">
        <f ca="1">OFFSET(RADNICI!K2,$A$1,0)</f>
        <v>45413</v>
      </c>
    </row>
    <row r="25" spans="1:10" ht="15.5">
      <c r="A25" s="22"/>
    </row>
    <row r="26" spans="1:10" ht="15.5">
      <c r="A26" s="626" t="s">
        <v>921</v>
      </c>
      <c r="B26" s="626"/>
      <c r="C26" s="626"/>
      <c r="D26" s="626"/>
      <c r="E26" s="626"/>
      <c r="F26" s="626"/>
      <c r="G26" s="626"/>
      <c r="H26" s="626"/>
      <c r="I26" s="626"/>
      <c r="J26" s="626"/>
    </row>
    <row r="27" spans="1:10">
      <c r="A27" s="525" t="s">
        <v>922</v>
      </c>
    </row>
    <row r="28" spans="1:10" ht="15.5">
      <c r="A28" s="26"/>
    </row>
    <row r="29" spans="1:10" ht="15.5">
      <c r="A29" s="22" t="s">
        <v>923</v>
      </c>
    </row>
    <row r="30" spans="1:10">
      <c r="A30" s="530">
        <f ca="1">OFFSET(RADNICI!AM2,$A$1,0)</f>
        <v>880</v>
      </c>
      <c r="B30" s="33" t="s">
        <v>2644</v>
      </c>
    </row>
    <row r="31" spans="1:10" ht="15.5">
      <c r="A31" s="22" t="s">
        <v>2642</v>
      </c>
    </row>
    <row r="32" spans="1:10" ht="15.5">
      <c r="A32" s="22" t="s">
        <v>2643</v>
      </c>
    </row>
    <row r="33" spans="1:10" ht="15.5">
      <c r="A33" s="23" t="s">
        <v>980</v>
      </c>
    </row>
    <row r="34" spans="1:10" ht="15.5">
      <c r="A34" s="22" t="s">
        <v>928</v>
      </c>
    </row>
    <row r="35" spans="1:10" ht="15.5">
      <c r="B35" s="22" t="s">
        <v>929</v>
      </c>
      <c r="H35" s="44">
        <v>0.1</v>
      </c>
    </row>
    <row r="36" spans="1:10" ht="15.5">
      <c r="B36" s="22" t="s">
        <v>930</v>
      </c>
      <c r="C36" s="28"/>
      <c r="H36" s="542">
        <v>0.5</v>
      </c>
    </row>
    <row r="37" spans="1:10" ht="15.5">
      <c r="A37" s="27" t="s">
        <v>898</v>
      </c>
      <c r="B37" s="22" t="s">
        <v>931</v>
      </c>
      <c r="H37" s="44">
        <v>0.5</v>
      </c>
    </row>
    <row r="38" spans="1:10" ht="15.5">
      <c r="B38" s="22" t="s">
        <v>932</v>
      </c>
      <c r="H38" s="542">
        <v>0.3</v>
      </c>
      <c r="I38" s="28"/>
    </row>
    <row r="39" spans="1:10" ht="15.5">
      <c r="B39" s="22" t="s">
        <v>933</v>
      </c>
      <c r="H39" s="44">
        <v>0.5</v>
      </c>
    </row>
    <row r="40" spans="1:10" ht="15.5">
      <c r="B40" s="405" t="s">
        <v>934</v>
      </c>
      <c r="H40" s="44" t="s">
        <v>1734</v>
      </c>
    </row>
    <row r="41" spans="1:10" ht="15.5">
      <c r="A41" s="27"/>
    </row>
    <row r="42" spans="1:10" ht="15.5">
      <c r="A42" s="626" t="s">
        <v>935</v>
      </c>
      <c r="B42" s="626"/>
      <c r="C42" s="626"/>
      <c r="D42" s="626"/>
      <c r="E42" s="626"/>
      <c r="F42" s="626"/>
      <c r="G42" s="626"/>
      <c r="H42" s="626"/>
      <c r="I42" s="626"/>
      <c r="J42" s="626"/>
    </row>
    <row r="43" spans="1:10">
      <c r="A43" s="222" t="s">
        <v>936</v>
      </c>
    </row>
    <row r="44" spans="1:10">
      <c r="A44" s="222"/>
    </row>
    <row r="45" spans="1:10" ht="15.5">
      <c r="A45" s="22" t="s">
        <v>1732</v>
      </c>
    </row>
    <row r="46" spans="1:10" ht="15.5">
      <c r="A46" s="22" t="s">
        <v>937</v>
      </c>
    </row>
    <row r="47" spans="1:10" ht="15.5">
      <c r="A47" s="22" t="s">
        <v>2085</v>
      </c>
      <c r="J47" s="202"/>
    </row>
    <row r="48" spans="1:10" ht="15.5">
      <c r="A48" s="29"/>
      <c r="J48" s="202"/>
    </row>
    <row r="49" spans="1:10" ht="15.5">
      <c r="A49" s="626" t="s">
        <v>939</v>
      </c>
      <c r="B49" s="626"/>
      <c r="C49" s="626"/>
      <c r="D49" s="626"/>
      <c r="E49" s="626"/>
      <c r="F49" s="626"/>
      <c r="G49" s="626"/>
      <c r="H49" s="626"/>
      <c r="I49" s="626"/>
      <c r="J49" s="626"/>
    </row>
    <row r="50" spans="1:10">
      <c r="A50" s="222" t="s">
        <v>940</v>
      </c>
    </row>
    <row r="51" spans="1:10" ht="15.5">
      <c r="A51" s="29"/>
    </row>
    <row r="52" spans="1:10" ht="15.5">
      <c r="A52" s="22" t="s">
        <v>2634</v>
      </c>
      <c r="C52" s="35" t="str">
        <f ca="1">OFFSET(RADNICI!Z2,$A$1,0)</f>
        <v>puno</v>
      </c>
      <c r="D52" s="23" t="s">
        <v>2635</v>
      </c>
      <c r="F52" s="38">
        <f ca="1">OFFSET(RADNICI!AA2,$A$1,0)</f>
        <v>40</v>
      </c>
      <c r="G52" s="23" t="s">
        <v>943</v>
      </c>
    </row>
    <row r="53" spans="1:10" ht="15.5">
      <c r="A53" s="22" t="s">
        <v>982</v>
      </c>
    </row>
    <row r="54" spans="1:10" ht="15.5">
      <c r="A54" s="22" t="s">
        <v>2640</v>
      </c>
      <c r="B54" s="33"/>
    </row>
    <row r="55" spans="1:10" ht="15.5">
      <c r="A55" s="22" t="s">
        <v>944</v>
      </c>
    </row>
    <row r="56" spans="1:10" ht="15.5">
      <c r="A56" s="529" t="s">
        <v>945</v>
      </c>
    </row>
    <row r="57" spans="1:10" ht="15.5">
      <c r="A57" s="22" t="s">
        <v>946</v>
      </c>
    </row>
    <row r="58" spans="1:10" ht="15.5">
      <c r="A58" s="29"/>
      <c r="J58" s="202"/>
    </row>
    <row r="59" spans="1:10" ht="15.5">
      <c r="A59" s="626" t="s">
        <v>947</v>
      </c>
      <c r="B59" s="626"/>
      <c r="C59" s="626"/>
      <c r="D59" s="626"/>
      <c r="E59" s="626"/>
      <c r="F59" s="626"/>
      <c r="G59" s="626"/>
      <c r="H59" s="626"/>
      <c r="I59" s="626"/>
      <c r="J59" s="626"/>
    </row>
    <row r="60" spans="1:10">
      <c r="A60" s="222" t="s">
        <v>2637</v>
      </c>
    </row>
    <row r="61" spans="1:10">
      <c r="A61" s="225"/>
    </row>
    <row r="62" spans="1:10" ht="15.5">
      <c r="A62" s="22" t="s">
        <v>949</v>
      </c>
    </row>
    <row r="63" spans="1:10" ht="15.5">
      <c r="A63" s="22" t="s">
        <v>950</v>
      </c>
    </row>
    <row r="64" spans="1:10" ht="15.5">
      <c r="A64" s="22" t="s">
        <v>2639</v>
      </c>
    </row>
    <row r="65" spans="1:10" ht="15.5">
      <c r="A65" s="22"/>
      <c r="J65" s="202"/>
    </row>
    <row r="66" spans="1:10" ht="15.5">
      <c r="A66" s="626" t="s">
        <v>952</v>
      </c>
      <c r="B66" s="626"/>
      <c r="C66" s="626"/>
      <c r="D66" s="626"/>
      <c r="E66" s="626"/>
      <c r="F66" s="626"/>
      <c r="G66" s="626"/>
      <c r="H66" s="626"/>
      <c r="I66" s="626"/>
      <c r="J66" s="626"/>
    </row>
    <row r="67" spans="1:10">
      <c r="A67" s="222" t="s">
        <v>953</v>
      </c>
    </row>
    <row r="68" spans="1:10">
      <c r="A68" s="215"/>
    </row>
    <row r="69" spans="1:10" ht="15.5">
      <c r="A69" s="22" t="s">
        <v>954</v>
      </c>
    </row>
    <row r="70" spans="1:10" ht="15.5">
      <c r="A70" s="23" t="s">
        <v>955</v>
      </c>
    </row>
    <row r="71" spans="1:10" ht="15.5">
      <c r="A71" s="22" t="s">
        <v>956</v>
      </c>
    </row>
    <row r="72" spans="1:10" ht="15.5">
      <c r="A72" s="23" t="s">
        <v>957</v>
      </c>
    </row>
    <row r="73" spans="1:10" ht="15.5">
      <c r="A73" s="22" t="s">
        <v>898</v>
      </c>
      <c r="J73" s="202"/>
    </row>
    <row r="74" spans="1:10" ht="15.5">
      <c r="A74" s="626" t="s">
        <v>958</v>
      </c>
      <c r="B74" s="626"/>
      <c r="C74" s="626"/>
      <c r="D74" s="626"/>
      <c r="E74" s="626"/>
      <c r="F74" s="626"/>
      <c r="G74" s="626"/>
      <c r="H74" s="626"/>
      <c r="I74" s="626"/>
      <c r="J74" s="626"/>
    </row>
    <row r="75" spans="1:10">
      <c r="A75" s="222" t="s">
        <v>959</v>
      </c>
    </row>
    <row r="76" spans="1:10">
      <c r="A76" s="225"/>
    </row>
    <row r="77" spans="1:10" ht="15.5">
      <c r="A77" s="627" t="s">
        <v>960</v>
      </c>
      <c r="B77" s="627"/>
      <c r="C77" s="627"/>
      <c r="D77" s="627"/>
      <c r="E77" s="627"/>
      <c r="F77" s="627"/>
      <c r="G77" s="627"/>
      <c r="H77" s="627"/>
      <c r="I77" s="627"/>
    </row>
    <row r="78" spans="1:10" ht="15.5">
      <c r="A78" s="203"/>
      <c r="J78" s="202"/>
    </row>
    <row r="79" spans="1:10" ht="15.5">
      <c r="A79" s="626" t="s">
        <v>962</v>
      </c>
      <c r="B79" s="626"/>
      <c r="C79" s="626"/>
      <c r="D79" s="626"/>
      <c r="E79" s="626"/>
      <c r="F79" s="626"/>
      <c r="G79" s="626"/>
      <c r="H79" s="626"/>
      <c r="I79" s="626"/>
      <c r="J79" s="626"/>
    </row>
    <row r="80" spans="1:10">
      <c r="A80" s="222" t="s">
        <v>963</v>
      </c>
    </row>
    <row r="81" spans="1:7" ht="15.5">
      <c r="A81" s="202"/>
    </row>
    <row r="82" spans="1:7" ht="15.5">
      <c r="A82" s="22" t="s">
        <v>2631</v>
      </c>
    </row>
    <row r="83" spans="1:7" ht="15.5">
      <c r="A83" s="22" t="s">
        <v>966</v>
      </c>
      <c r="D83" s="528">
        <f ca="1">D24</f>
        <v>45413</v>
      </c>
      <c r="E83" s="40"/>
      <c r="F83" s="40"/>
    </row>
    <row r="84" spans="1:7" ht="15.5">
      <c r="A84" s="22" t="s">
        <v>967</v>
      </c>
    </row>
    <row r="85" spans="1:7">
      <c r="A85" s="33" t="s">
        <v>968</v>
      </c>
    </row>
    <row r="86" spans="1:7" ht="15.5">
      <c r="A86" s="22"/>
    </row>
    <row r="87" spans="1:7" ht="15.5">
      <c r="A87" s="22" t="s">
        <v>2638</v>
      </c>
      <c r="C87" s="83"/>
      <c r="D87" s="83"/>
    </row>
    <row r="88" spans="1:7" ht="15.5">
      <c r="A88" s="22"/>
    </row>
    <row r="89" spans="1:7" ht="15.5">
      <c r="A89" s="22" t="s">
        <v>970</v>
      </c>
      <c r="G89" s="22" t="s">
        <v>971</v>
      </c>
    </row>
    <row r="90" spans="1:7" ht="15.5">
      <c r="A90" s="22"/>
    </row>
    <row r="91" spans="1:7" ht="25.5">
      <c r="A91" s="227" t="s">
        <v>972</v>
      </c>
      <c r="G91" s="336"/>
    </row>
    <row r="92" spans="1:7" ht="15.5">
      <c r="A92" s="22" t="s">
        <v>973</v>
      </c>
      <c r="F92" s="22" t="s">
        <v>974</v>
      </c>
    </row>
    <row r="93" spans="1:7">
      <c r="A93" s="221"/>
    </row>
  </sheetData>
  <mergeCells count="16">
    <mergeCell ref="A79:J79"/>
    <mergeCell ref="A13:J13"/>
    <mergeCell ref="I17:J17"/>
    <mergeCell ref="A26:J26"/>
    <mergeCell ref="A42:J42"/>
    <mergeCell ref="A77:I77"/>
    <mergeCell ref="A49:J49"/>
    <mergeCell ref="A59:J59"/>
    <mergeCell ref="A66:J66"/>
    <mergeCell ref="A74:J74"/>
    <mergeCell ref="A2:J2"/>
    <mergeCell ref="A5:J5"/>
    <mergeCell ref="B10:D10"/>
    <mergeCell ref="E7:G7"/>
    <mergeCell ref="I7:J7"/>
    <mergeCell ref="F10:G10"/>
  </mergeCells>
  <pageMargins left="0.23622047244094491" right="0" top="0.74803149606299213" bottom="0.6875" header="0.31496062992125984" footer="0.31496062992125984"/>
  <pageSetup paperSize="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K94"/>
  <sheetViews>
    <sheetView view="pageLayout" zoomScaleNormal="100" workbookViewId="0">
      <selection activeCell="A43" sqref="A43"/>
    </sheetView>
  </sheetViews>
  <sheetFormatPr defaultRowHeight="14.5"/>
  <cols>
    <col min="2" max="2" width="11.81640625" customWidth="1"/>
    <col min="3" max="3" width="9.1796875" customWidth="1"/>
    <col min="4" max="4" width="15.1796875" customWidth="1"/>
    <col min="5" max="5" width="5.7265625" customWidth="1"/>
    <col min="6" max="6" width="9.1796875" customWidth="1"/>
    <col min="8" max="8" width="9.7265625" customWidth="1"/>
    <col min="9" max="9" width="6" customWidth="1"/>
    <col min="11" max="11" width="9.453125" customWidth="1"/>
  </cols>
  <sheetData>
    <row r="1" spans="1:11">
      <c r="A1" s="397">
        <v>711</v>
      </c>
    </row>
    <row r="2" spans="1:11" ht="15.5">
      <c r="A2" s="627" t="s">
        <v>895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</row>
    <row r="3" spans="1:11" ht="15.5">
      <c r="A3" s="203" t="s">
        <v>896</v>
      </c>
      <c r="B3" s="37">
        <f ca="1">OFFSET(RADNICI!K2,$A$1,0)</f>
        <v>45391</v>
      </c>
      <c r="C3" s="203" t="s">
        <v>897</v>
      </c>
      <c r="D3" s="203"/>
      <c r="E3" s="203"/>
      <c r="F3" s="203"/>
      <c r="G3" s="203"/>
      <c r="H3" s="203"/>
      <c r="I3" s="203"/>
      <c r="J3" s="203"/>
      <c r="K3" s="203"/>
    </row>
    <row r="4" spans="1:11" ht="15.5">
      <c r="A4" s="22"/>
    </row>
    <row r="5" spans="1:11" ht="20">
      <c r="A5" s="628" t="s">
        <v>975</v>
      </c>
      <c r="B5" s="628"/>
      <c r="C5" s="628"/>
      <c r="D5" s="628"/>
      <c r="E5" s="628"/>
      <c r="F5" s="628"/>
      <c r="G5" s="628"/>
      <c r="H5" s="628"/>
      <c r="I5" s="628"/>
      <c r="J5" s="628"/>
      <c r="K5" s="628"/>
    </row>
    <row r="6" spans="1:11">
      <c r="A6" s="221"/>
    </row>
    <row r="7" spans="1:11" s="23" customFormat="1" ht="15.5">
      <c r="A7" s="22" t="s">
        <v>900</v>
      </c>
      <c r="B7" s="22"/>
      <c r="C7" s="22"/>
      <c r="D7" s="22"/>
      <c r="E7" s="156" t="str">
        <f ca="1">OFFSET(RADNICI!E2,A1,0)</f>
        <v>PORTO RUNKE j.d.o.o.</v>
      </c>
      <c r="G7" s="156"/>
      <c r="H7" s="406" t="s">
        <v>901</v>
      </c>
      <c r="I7" s="713">
        <f ca="1">OFFSET(RADNICI!F2,A1,0)</f>
        <v>72434492423</v>
      </c>
      <c r="J7" s="713"/>
      <c r="K7" s="156"/>
    </row>
    <row r="8" spans="1:11" s="23" customFormat="1" ht="15.5">
      <c r="A8" s="203" t="s">
        <v>2633</v>
      </c>
      <c r="B8" s="22"/>
      <c r="C8" s="22"/>
      <c r="D8" s="22"/>
      <c r="E8" s="156" t="str">
        <f ca="1">OFFSET(RADNICI!G2,A1,0)</f>
        <v>Željko Stipić</v>
      </c>
      <c r="F8" s="278"/>
      <c r="G8" s="714" t="s">
        <v>903</v>
      </c>
      <c r="H8" s="714"/>
      <c r="J8" s="278"/>
      <c r="K8" s="278"/>
    </row>
    <row r="9" spans="1:11" s="23" customFormat="1" ht="15.5">
      <c r="A9" s="202" t="s">
        <v>904</v>
      </c>
      <c r="E9" s="212"/>
    </row>
    <row r="10" spans="1:11" s="23" customFormat="1" ht="15.5">
      <c r="A10" s="24" t="s">
        <v>905</v>
      </c>
      <c r="B10" s="713" t="str">
        <f ca="1">OFFSET(RADNICI!J2,$A$1,0)</f>
        <v>Željko Stipić</v>
      </c>
      <c r="C10" s="713"/>
      <c r="D10" s="713"/>
      <c r="E10" s="23" t="s">
        <v>3</v>
      </c>
      <c r="F10" s="712">
        <f ca="1">OFFSET(RADNICI!M2,$A$1,0)</f>
        <v>98757945085</v>
      </c>
      <c r="G10" s="712"/>
      <c r="H10" s="23" t="s">
        <v>906</v>
      </c>
    </row>
    <row r="11" spans="1:11" s="23" customFormat="1" ht="15.5">
      <c r="A11" s="22" t="str">
        <f ca="1">OFFSET(RADNICI!R2,$A$1,0)</f>
        <v>Kosova ulica 31, 52100 Pula</v>
      </c>
      <c r="B11" s="22"/>
      <c r="C11" s="22"/>
      <c r="D11" s="50" t="s">
        <v>907</v>
      </c>
      <c r="E11" s="22"/>
      <c r="F11" s="22"/>
      <c r="H11" s="278"/>
    </row>
    <row r="12" spans="1:11" s="33" customFormat="1" ht="15.5">
      <c r="A12" s="202"/>
    </row>
    <row r="13" spans="1:11" s="33" customFormat="1" ht="15.5">
      <c r="A13" s="626" t="s">
        <v>908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</row>
    <row r="14" spans="1:11" s="33" customFormat="1" ht="14">
      <c r="A14" s="222" t="s">
        <v>909</v>
      </c>
    </row>
    <row r="15" spans="1:11" ht="15.5">
      <c r="A15" s="22"/>
    </row>
    <row r="16" spans="1:11" ht="15.5">
      <c r="A16" s="22" t="s">
        <v>910</v>
      </c>
      <c r="B16" s="55"/>
      <c r="C16" s="55"/>
      <c r="D16" s="55"/>
      <c r="E16" s="55"/>
      <c r="F16" s="55"/>
      <c r="G16" s="55"/>
      <c r="H16" s="55"/>
      <c r="I16" s="55"/>
      <c r="J16" s="55"/>
    </row>
    <row r="17" spans="1:11" ht="15.5">
      <c r="A17" s="22" t="s">
        <v>976</v>
      </c>
      <c r="B17" s="55"/>
      <c r="C17" s="55"/>
      <c r="D17" s="55"/>
      <c r="E17" s="55"/>
      <c r="F17" s="55"/>
      <c r="G17" s="55"/>
      <c r="H17" s="55"/>
      <c r="I17" s="55"/>
      <c r="J17" s="55"/>
    </row>
    <row r="18" spans="1:11" ht="15.5">
      <c r="A18" s="25"/>
      <c r="B18" s="721" t="str">
        <f ca="1">OFFSET(RADNICI!W2,$A$1,0)</f>
        <v>Direktor</v>
      </c>
      <c r="C18" s="721"/>
      <c r="D18" s="721"/>
      <c r="E18" s="721"/>
      <c r="F18" s="721"/>
      <c r="G18" s="721"/>
      <c r="H18" s="721"/>
      <c r="I18" s="55"/>
      <c r="J18" s="55"/>
    </row>
    <row r="19" spans="1:11" ht="15.5">
      <c r="A19" s="22" t="s">
        <v>914</v>
      </c>
      <c r="B19" s="55"/>
      <c r="C19" s="55"/>
      <c r="D19" s="55"/>
      <c r="E19" s="55"/>
      <c r="F19" s="55"/>
      <c r="G19" s="55"/>
      <c r="H19" s="156" t="s">
        <v>1783</v>
      </c>
      <c r="I19" s="55"/>
      <c r="J19" s="55"/>
    </row>
    <row r="20" spans="1:11" ht="15.5">
      <c r="A20" s="22" t="s">
        <v>916</v>
      </c>
      <c r="B20" s="55"/>
      <c r="C20" s="55"/>
      <c r="D20" s="55"/>
      <c r="E20" s="723" t="str">
        <f ca="1">OFFSET(RADNICI!I2,$A$1,0)</f>
        <v>Runke 43, 52203 Premantura, Medulin</v>
      </c>
      <c r="F20" s="723"/>
      <c r="G20" s="723"/>
      <c r="H20" s="723"/>
      <c r="I20" s="723"/>
      <c r="J20" s="723"/>
      <c r="K20" s="40"/>
    </row>
    <row r="21" spans="1:11" ht="15.5">
      <c r="A21" s="22" t="s">
        <v>917</v>
      </c>
      <c r="C21" s="55"/>
      <c r="D21" s="55"/>
      <c r="E21" s="55"/>
      <c r="F21" s="55"/>
      <c r="G21" s="55"/>
      <c r="H21" s="55"/>
      <c r="I21" s="55"/>
      <c r="J21" s="55"/>
    </row>
    <row r="22" spans="1:11" ht="15.5">
      <c r="A22" s="22" t="s">
        <v>918</v>
      </c>
      <c r="B22" s="55"/>
      <c r="C22" s="55"/>
      <c r="D22" s="55"/>
      <c r="E22" s="55"/>
      <c r="F22" s="55"/>
      <c r="G22" s="55"/>
      <c r="H22" s="55"/>
      <c r="I22" s="55"/>
      <c r="J22" s="55"/>
    </row>
    <row r="23" spans="1:11" ht="15.5">
      <c r="A23" s="23" t="s">
        <v>919</v>
      </c>
      <c r="C23" s="55"/>
      <c r="D23" s="55"/>
      <c r="E23" s="55"/>
      <c r="F23" s="55"/>
      <c r="G23" s="55"/>
      <c r="H23" s="55"/>
      <c r="I23" s="55"/>
      <c r="J23" s="55"/>
    </row>
    <row r="24" spans="1:11" ht="15.5">
      <c r="A24" s="22" t="s">
        <v>920</v>
      </c>
      <c r="B24" s="55"/>
      <c r="C24" s="55"/>
      <c r="D24" s="531">
        <f ca="1">OFFSET(RADNICI!K2,$A$1,0)</f>
        <v>45391</v>
      </c>
      <c r="E24" s="55"/>
      <c r="F24" s="55"/>
      <c r="G24" s="55"/>
      <c r="H24" s="55"/>
      <c r="I24" s="55"/>
      <c r="J24" s="55"/>
    </row>
    <row r="25" spans="1:11" ht="15.5">
      <c r="A25" s="22"/>
    </row>
    <row r="26" spans="1:11" ht="15.5">
      <c r="A26" s="626" t="s">
        <v>921</v>
      </c>
      <c r="B26" s="626"/>
      <c r="C26" s="626"/>
      <c r="D26" s="626"/>
      <c r="E26" s="626"/>
      <c r="F26" s="626"/>
      <c r="G26" s="626"/>
      <c r="H26" s="626"/>
      <c r="I26" s="626"/>
      <c r="J26" s="626"/>
      <c r="K26" s="626"/>
    </row>
    <row r="27" spans="1:11">
      <c r="A27" s="525" t="s">
        <v>922</v>
      </c>
    </row>
    <row r="28" spans="1:11" ht="15.5">
      <c r="A28" s="26"/>
    </row>
    <row r="29" spans="1:11" ht="15.5">
      <c r="A29" s="203" t="s">
        <v>923</v>
      </c>
      <c r="B29" s="526"/>
      <c r="C29" s="526"/>
      <c r="D29" s="526"/>
      <c r="E29" s="526"/>
      <c r="F29" s="526"/>
      <c r="G29" s="526"/>
      <c r="H29" s="526"/>
      <c r="I29" s="526"/>
      <c r="J29" s="526"/>
      <c r="K29" s="48"/>
    </row>
    <row r="30" spans="1:11" ht="15.5">
      <c r="A30" s="527">
        <f ca="1">OFFSET(RADNICI!AM2,$A$1,0)</f>
        <v>1014</v>
      </c>
      <c r="B30" s="50" t="s">
        <v>924</v>
      </c>
      <c r="D30" s="526"/>
      <c r="E30" s="526"/>
      <c r="F30" s="526"/>
      <c r="G30" s="526"/>
      <c r="H30" s="526"/>
      <c r="I30" s="526"/>
      <c r="J30" s="526"/>
      <c r="K30" s="48"/>
    </row>
    <row r="31" spans="1:11" ht="15.5">
      <c r="A31" s="203" t="s">
        <v>2641</v>
      </c>
      <c r="B31" s="526"/>
      <c r="C31" s="526"/>
      <c r="D31" s="526"/>
      <c r="E31" s="526"/>
      <c r="F31" s="526"/>
      <c r="G31" s="526"/>
      <c r="H31" s="526"/>
      <c r="I31" s="526"/>
      <c r="J31" s="526"/>
      <c r="K31" s="48"/>
    </row>
    <row r="32" spans="1:11" ht="15.5">
      <c r="A32" s="50" t="s">
        <v>1733</v>
      </c>
      <c r="C32" s="526"/>
      <c r="D32" s="526"/>
      <c r="E32" s="526"/>
      <c r="F32" s="526"/>
      <c r="G32" s="526"/>
      <c r="H32" s="526"/>
      <c r="I32" s="526"/>
      <c r="J32" s="526"/>
      <c r="K32" s="48"/>
    </row>
    <row r="33" spans="1:11" ht="15.5">
      <c r="A33" s="203" t="s">
        <v>980</v>
      </c>
      <c r="B33" s="526"/>
      <c r="C33" s="526"/>
      <c r="D33" s="526"/>
      <c r="E33" s="526"/>
      <c r="F33" s="526"/>
      <c r="G33" s="526"/>
      <c r="H33" s="526"/>
      <c r="I33" s="526"/>
      <c r="J33" s="526"/>
      <c r="K33" s="48"/>
    </row>
    <row r="34" spans="1:11" ht="15.5">
      <c r="A34" s="203" t="s">
        <v>928</v>
      </c>
      <c r="B34" s="526"/>
      <c r="C34" s="526"/>
      <c r="D34" s="526"/>
      <c r="E34" s="526"/>
      <c r="F34" s="526"/>
      <c r="G34" s="526"/>
      <c r="H34" s="526"/>
      <c r="I34" s="526"/>
      <c r="J34" s="526"/>
      <c r="K34" s="48"/>
    </row>
    <row r="35" spans="1:11" ht="15.5">
      <c r="A35" s="55"/>
      <c r="B35" s="22" t="s">
        <v>929</v>
      </c>
      <c r="C35" s="55"/>
      <c r="D35" s="55"/>
      <c r="E35" s="55"/>
      <c r="F35" s="55"/>
      <c r="G35" s="55"/>
      <c r="H35" s="44">
        <v>0.1</v>
      </c>
      <c r="I35" s="55"/>
      <c r="J35" s="55"/>
    </row>
    <row r="36" spans="1:11" ht="15.5">
      <c r="A36" s="55"/>
      <c r="B36" s="22" t="s">
        <v>930</v>
      </c>
      <c r="C36" s="28"/>
      <c r="D36" s="55"/>
      <c r="E36" s="55"/>
      <c r="F36" s="55"/>
      <c r="G36" s="55"/>
      <c r="H36" s="542">
        <v>0.5</v>
      </c>
      <c r="I36" s="55"/>
      <c r="J36" s="55"/>
    </row>
    <row r="37" spans="1:11" ht="15.5">
      <c r="A37" s="27" t="s">
        <v>898</v>
      </c>
      <c r="B37" s="22" t="s">
        <v>931</v>
      </c>
      <c r="C37" s="55"/>
      <c r="D37" s="55"/>
      <c r="E37" s="55"/>
      <c r="F37" s="55"/>
      <c r="G37" s="55"/>
      <c r="H37" s="44">
        <v>0.3</v>
      </c>
      <c r="I37" s="55"/>
      <c r="J37" s="55"/>
    </row>
    <row r="38" spans="1:11" ht="15.5">
      <c r="A38" s="55"/>
      <c r="B38" s="22" t="s">
        <v>932</v>
      </c>
      <c r="C38" s="55"/>
      <c r="D38" s="55"/>
      <c r="E38" s="55"/>
      <c r="F38" s="55"/>
      <c r="G38" s="55"/>
      <c r="H38" s="542">
        <v>0.3</v>
      </c>
      <c r="I38" s="28"/>
      <c r="J38" s="55"/>
    </row>
    <row r="39" spans="1:11" ht="15.5">
      <c r="A39" s="55"/>
      <c r="B39" s="22" t="s">
        <v>933</v>
      </c>
      <c r="C39" s="55"/>
      <c r="D39" s="55"/>
      <c r="E39" s="55"/>
      <c r="F39" s="55"/>
      <c r="G39" s="55"/>
      <c r="H39" s="44">
        <v>0.5</v>
      </c>
      <c r="I39" s="55"/>
      <c r="J39" s="55"/>
    </row>
    <row r="40" spans="1:11" ht="15.5">
      <c r="A40" s="55"/>
      <c r="B40" s="22" t="s">
        <v>981</v>
      </c>
      <c r="C40" s="55"/>
      <c r="D40" s="55"/>
      <c r="E40" s="55"/>
      <c r="F40" s="55"/>
      <c r="G40" s="55"/>
      <c r="H40" s="524"/>
      <c r="I40" s="55"/>
      <c r="J40" s="55"/>
    </row>
    <row r="41" spans="1:11" ht="15.5">
      <c r="A41" s="27"/>
    </row>
    <row r="42" spans="1:11" ht="15.5">
      <c r="A42" s="626" t="s">
        <v>935</v>
      </c>
      <c r="B42" s="626"/>
      <c r="C42" s="626"/>
      <c r="D42" s="626"/>
      <c r="E42" s="626"/>
      <c r="F42" s="626"/>
      <c r="G42" s="626"/>
      <c r="H42" s="626"/>
      <c r="I42" s="626"/>
      <c r="J42" s="626"/>
      <c r="K42" s="626"/>
    </row>
    <row r="43" spans="1:11">
      <c r="A43" s="222" t="s">
        <v>936</v>
      </c>
    </row>
    <row r="44" spans="1:11" ht="15.5">
      <c r="A44" s="27"/>
    </row>
    <row r="45" spans="1:11" ht="15.5">
      <c r="A45" s="22" t="s">
        <v>1732</v>
      </c>
    </row>
    <row r="46" spans="1:11" ht="15.5">
      <c r="A46" s="22" t="s">
        <v>937</v>
      </c>
    </row>
    <row r="47" spans="1:11" ht="15.5">
      <c r="A47" s="22" t="s">
        <v>938</v>
      </c>
    </row>
    <row r="48" spans="1:11" ht="15.5">
      <c r="A48" s="626" t="s">
        <v>939</v>
      </c>
      <c r="B48" s="626"/>
      <c r="C48" s="626"/>
      <c r="D48" s="626"/>
      <c r="E48" s="626"/>
      <c r="F48" s="626"/>
      <c r="G48" s="626"/>
      <c r="H48" s="626"/>
      <c r="I48" s="626"/>
      <c r="J48" s="626"/>
      <c r="K48" s="626"/>
    </row>
    <row r="49" spans="1:11">
      <c r="A49" s="222" t="s">
        <v>940</v>
      </c>
    </row>
    <row r="50" spans="1:11" ht="15.5">
      <c r="A50" s="29"/>
    </row>
    <row r="51" spans="1:11" ht="15.5">
      <c r="A51" s="203" t="s">
        <v>2634</v>
      </c>
      <c r="C51" s="38" t="str">
        <f ca="1">OFFSET(RADNICI!Z2,$A$1,0)</f>
        <v>puno</v>
      </c>
      <c r="D51" s="450" t="s">
        <v>2635</v>
      </c>
      <c r="E51" s="38">
        <f ca="1">OFFSET(RADNICI!AA2,$A$1,0)</f>
        <v>40</v>
      </c>
      <c r="F51" t="s">
        <v>943</v>
      </c>
    </row>
    <row r="52" spans="1:11" ht="15.5">
      <c r="A52" s="203" t="s">
        <v>982</v>
      </c>
    </row>
    <row r="53" spans="1:11" ht="15.5">
      <c r="A53" s="22" t="s">
        <v>2636</v>
      </c>
      <c r="B53" s="33"/>
    </row>
    <row r="54" spans="1:11" ht="15.5">
      <c r="A54" s="22" t="s">
        <v>944</v>
      </c>
    </row>
    <row r="55" spans="1:11" ht="15.5">
      <c r="A55" s="529" t="s">
        <v>1735</v>
      </c>
    </row>
    <row r="56" spans="1:11" ht="15.5">
      <c r="A56" s="22" t="s">
        <v>946</v>
      </c>
    </row>
    <row r="57" spans="1:11" ht="15.5">
      <c r="A57" s="29"/>
    </row>
    <row r="58" spans="1:11" ht="15.5">
      <c r="A58" s="626" t="s">
        <v>947</v>
      </c>
      <c r="B58" s="626"/>
      <c r="C58" s="626"/>
      <c r="D58" s="626"/>
      <c r="E58" s="626"/>
      <c r="F58" s="626"/>
      <c r="G58" s="626"/>
      <c r="H58" s="626"/>
      <c r="I58" s="626"/>
      <c r="J58" s="626"/>
      <c r="K58" s="626"/>
    </row>
    <row r="59" spans="1:11">
      <c r="A59" s="222" t="s">
        <v>2637</v>
      </c>
    </row>
    <row r="60" spans="1:11">
      <c r="A60" s="225"/>
    </row>
    <row r="61" spans="1:11" ht="15.5">
      <c r="A61" s="22" t="s">
        <v>949</v>
      </c>
    </row>
    <row r="62" spans="1:11" ht="15.5">
      <c r="A62" s="22" t="s">
        <v>950</v>
      </c>
    </row>
    <row r="63" spans="1:11" ht="15.5">
      <c r="A63" s="22" t="s">
        <v>2639</v>
      </c>
    </row>
    <row r="64" spans="1:11" ht="15.5">
      <c r="A64" s="22"/>
    </row>
    <row r="65" spans="1:11" ht="15.5">
      <c r="A65" s="626" t="s">
        <v>952</v>
      </c>
      <c r="B65" s="626"/>
      <c r="C65" s="626"/>
      <c r="D65" s="626"/>
      <c r="E65" s="626"/>
      <c r="F65" s="626"/>
      <c r="G65" s="626"/>
      <c r="H65" s="626"/>
      <c r="I65" s="626"/>
      <c r="J65" s="626"/>
      <c r="K65" s="626"/>
    </row>
    <row r="66" spans="1:11">
      <c r="A66" s="222" t="s">
        <v>953</v>
      </c>
    </row>
    <row r="67" spans="1:11">
      <c r="A67" s="215"/>
    </row>
    <row r="68" spans="1:11" ht="15.5">
      <c r="A68" s="22" t="s">
        <v>954</v>
      </c>
    </row>
    <row r="69" spans="1:11" ht="15.5">
      <c r="A69" s="50" t="s">
        <v>984</v>
      </c>
    </row>
    <row r="70" spans="1:11" ht="15.5">
      <c r="A70" s="22" t="s">
        <v>956</v>
      </c>
    </row>
    <row r="71" spans="1:11" ht="15.5">
      <c r="A71" s="23" t="s">
        <v>957</v>
      </c>
    </row>
    <row r="72" spans="1:11" ht="15.5">
      <c r="A72" s="22" t="s">
        <v>898</v>
      </c>
    </row>
    <row r="73" spans="1:11" ht="15.5">
      <c r="A73" s="626" t="s">
        <v>958</v>
      </c>
      <c r="B73" s="626"/>
      <c r="C73" s="626"/>
      <c r="D73" s="626"/>
      <c r="E73" s="626"/>
      <c r="F73" s="626"/>
      <c r="G73" s="626"/>
      <c r="H73" s="626"/>
      <c r="I73" s="626"/>
      <c r="J73" s="626"/>
      <c r="K73" s="626"/>
    </row>
    <row r="74" spans="1:11">
      <c r="A74" s="222" t="s">
        <v>959</v>
      </c>
    </row>
    <row r="75" spans="1:11">
      <c r="A75" s="222"/>
    </row>
    <row r="76" spans="1:11" ht="15.75" customHeight="1">
      <c r="A76" s="22" t="s">
        <v>1731</v>
      </c>
      <c r="B76" s="223"/>
      <c r="C76" s="223"/>
      <c r="D76" s="223"/>
      <c r="E76" s="223"/>
      <c r="F76" s="223"/>
      <c r="G76" s="223"/>
      <c r="H76" s="223"/>
      <c r="I76" s="223"/>
      <c r="J76" s="223"/>
      <c r="K76" s="223"/>
    </row>
    <row r="77" spans="1:11" ht="15.5">
      <c r="A77" s="627" t="s">
        <v>960</v>
      </c>
      <c r="B77" s="627"/>
      <c r="C77" s="627"/>
      <c r="D77" s="627"/>
      <c r="E77" s="627"/>
      <c r="F77" s="627"/>
      <c r="G77" s="627"/>
      <c r="H77" s="627"/>
      <c r="I77" s="627"/>
    </row>
    <row r="78" spans="1:11" ht="15.5">
      <c r="A78" s="203"/>
      <c r="B78" s="203"/>
      <c r="C78" s="203"/>
      <c r="D78" s="203"/>
      <c r="E78" s="203"/>
      <c r="F78" s="203"/>
      <c r="G78" s="203"/>
      <c r="H78" s="203"/>
      <c r="I78" s="203"/>
    </row>
    <row r="79" spans="1:11" ht="15.5">
      <c r="A79" s="626" t="s">
        <v>962</v>
      </c>
      <c r="B79" s="626"/>
      <c r="C79" s="626"/>
      <c r="D79" s="626"/>
      <c r="E79" s="626"/>
      <c r="F79" s="626"/>
      <c r="G79" s="626"/>
      <c r="H79" s="626"/>
      <c r="I79" s="626"/>
      <c r="J79" s="626"/>
      <c r="K79" s="626"/>
    </row>
    <row r="80" spans="1:11">
      <c r="A80" s="222" t="s">
        <v>963</v>
      </c>
    </row>
    <row r="81" spans="1:7" ht="15.5">
      <c r="A81" s="202"/>
    </row>
    <row r="82" spans="1:7" ht="15.5">
      <c r="A82" s="22" t="s">
        <v>2631</v>
      </c>
    </row>
    <row r="83" spans="1:7" ht="15.5">
      <c r="A83" s="22" t="s">
        <v>966</v>
      </c>
      <c r="D83" s="624">
        <f ca="1">D24</f>
        <v>45391</v>
      </c>
      <c r="E83" s="625"/>
      <c r="F83" s="625"/>
    </row>
    <row r="84" spans="1:7" ht="15.5">
      <c r="A84" s="22" t="s">
        <v>967</v>
      </c>
    </row>
    <row r="85" spans="1:7">
      <c r="A85" s="33" t="s">
        <v>968</v>
      </c>
    </row>
    <row r="86" spans="1:7" ht="15.5">
      <c r="A86" s="22"/>
    </row>
    <row r="87" spans="1:7" ht="15.5">
      <c r="A87" s="22" t="s">
        <v>2632</v>
      </c>
      <c r="C87" s="82"/>
    </row>
    <row r="88" spans="1:7" ht="15.5">
      <c r="A88" s="361"/>
    </row>
    <row r="89" spans="1:7" ht="15.5">
      <c r="A89" s="22"/>
    </row>
    <row r="90" spans="1:7" ht="15.5">
      <c r="A90" s="22" t="s">
        <v>970</v>
      </c>
      <c r="G90" s="22" t="s">
        <v>971</v>
      </c>
    </row>
    <row r="91" spans="1:7" ht="15.5">
      <c r="A91" s="22"/>
    </row>
    <row r="92" spans="1:7">
      <c r="A92" s="227" t="s">
        <v>972</v>
      </c>
    </row>
    <row r="93" spans="1:7" ht="15.5">
      <c r="A93" s="22" t="s">
        <v>973</v>
      </c>
      <c r="F93" s="22" t="s">
        <v>974</v>
      </c>
    </row>
    <row r="94" spans="1:7">
      <c r="A94" s="221"/>
    </row>
  </sheetData>
  <mergeCells count="18">
    <mergeCell ref="D83:F83"/>
    <mergeCell ref="A48:K48"/>
    <mergeCell ref="A58:K58"/>
    <mergeCell ref="A65:K65"/>
    <mergeCell ref="A73:K73"/>
    <mergeCell ref="A77:I77"/>
    <mergeCell ref="A79:K79"/>
    <mergeCell ref="A42:K42"/>
    <mergeCell ref="A2:K2"/>
    <mergeCell ref="A5:K5"/>
    <mergeCell ref="B10:D10"/>
    <mergeCell ref="A13:K13"/>
    <mergeCell ref="B18:H18"/>
    <mergeCell ref="E20:J20"/>
    <mergeCell ref="A26:K26"/>
    <mergeCell ref="I7:J7"/>
    <mergeCell ref="G8:H8"/>
    <mergeCell ref="F10:G10"/>
  </mergeCells>
  <pageMargins left="0.39370078740157483" right="0.23622047244094491" top="0.74803149606299213" bottom="0.74803149606299213" header="0.31496062992125984" footer="0.31496062992125984"/>
  <pageSetup paperSize="9" scale="94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92D050"/>
  </sheetPr>
  <dimension ref="A1:K42"/>
  <sheetViews>
    <sheetView showRuler="0" zoomScaleNormal="100" workbookViewId="0">
      <selection activeCell="A18" sqref="A18"/>
    </sheetView>
  </sheetViews>
  <sheetFormatPr defaultRowHeight="14.5"/>
  <cols>
    <col min="1" max="1" width="13.54296875" customWidth="1"/>
    <col min="2" max="2" width="11" customWidth="1"/>
    <col min="3" max="3" width="23.1796875" customWidth="1"/>
    <col min="4" max="4" width="10.1796875" customWidth="1"/>
    <col min="5" max="5" width="16" customWidth="1"/>
    <col min="6" max="6" width="21.26953125" customWidth="1"/>
    <col min="7" max="7" width="10.7265625" customWidth="1"/>
    <col min="11" max="11" width="8.453125" customWidth="1"/>
  </cols>
  <sheetData>
    <row r="1" spans="1:11">
      <c r="A1" s="391">
        <f>'EVIDENCIJA NOVA'!G1</f>
        <v>808</v>
      </c>
      <c r="B1" s="16"/>
      <c r="C1" s="16"/>
      <c r="D1" s="16"/>
      <c r="E1" s="16"/>
      <c r="F1" s="16"/>
    </row>
    <row r="2" spans="1:11">
      <c r="A2" s="21" t="str">
        <f ca="1">OFFSET(RADNICI!E2,A1,0)</f>
        <v>D-INVOICE D.O.O.</v>
      </c>
      <c r="B2" s="21"/>
      <c r="C2" s="16"/>
      <c r="D2" s="16"/>
      <c r="E2" s="16"/>
      <c r="F2" s="16"/>
    </row>
    <row r="3" spans="1:11">
      <c r="A3" s="640">
        <f ca="1">OFFSET(RADNICI!F2,$A$1,0)</f>
        <v>95114485977</v>
      </c>
      <c r="B3" s="640"/>
      <c r="C3" s="16"/>
      <c r="D3" s="16"/>
      <c r="E3" s="16"/>
      <c r="F3" s="16"/>
    </row>
    <row r="4" spans="1:11">
      <c r="A4" s="198"/>
      <c r="B4" s="198"/>
      <c r="C4" s="16"/>
      <c r="D4" s="16"/>
      <c r="E4" s="16"/>
      <c r="F4" s="16"/>
    </row>
    <row r="5" spans="1:11">
      <c r="A5" s="191" t="s">
        <v>985</v>
      </c>
      <c r="B5" s="198"/>
      <c r="C5" s="16"/>
      <c r="D5" s="16"/>
      <c r="E5" s="16"/>
      <c r="F5" s="16"/>
    </row>
    <row r="6" spans="1:11">
      <c r="A6" s="228" t="s">
        <v>986</v>
      </c>
      <c r="B6" s="229">
        <v>45673</v>
      </c>
      <c r="C6" s="16" t="s">
        <v>987</v>
      </c>
      <c r="D6" s="16"/>
      <c r="E6" s="16"/>
      <c r="F6" s="16"/>
    </row>
    <row r="7" spans="1:11">
      <c r="A7" s="16"/>
      <c r="B7" s="16"/>
      <c r="C7" s="16"/>
      <c r="D7" s="16"/>
      <c r="E7" s="16"/>
      <c r="F7" s="16"/>
    </row>
    <row r="8" spans="1:11" ht="15.5">
      <c r="A8" s="641" t="s">
        <v>988</v>
      </c>
      <c r="B8" s="641"/>
      <c r="C8" s="641"/>
      <c r="D8" s="641"/>
      <c r="E8" s="641"/>
      <c r="F8" s="641"/>
      <c r="G8" s="60"/>
      <c r="H8" s="60"/>
      <c r="I8" s="60"/>
      <c r="J8" s="19"/>
      <c r="K8" s="19"/>
    </row>
    <row r="9" spans="1:11" ht="15.5">
      <c r="A9" s="201"/>
      <c r="B9" s="201"/>
      <c r="C9" s="201"/>
      <c r="D9" s="201"/>
      <c r="E9" s="201"/>
      <c r="F9" s="201"/>
      <c r="G9" s="210"/>
      <c r="H9" s="60"/>
      <c r="I9" s="60"/>
      <c r="J9" s="19"/>
      <c r="K9" s="19"/>
    </row>
    <row r="10" spans="1:11">
      <c r="A10" s="74" t="s">
        <v>2564</v>
      </c>
      <c r="B10" s="201"/>
      <c r="C10" s="393" t="str">
        <f ca="1">OFFSET(RADNICI!E2,A1,0)</f>
        <v>D-INVOICE D.O.O.</v>
      </c>
      <c r="D10" s="20" t="s">
        <v>3</v>
      </c>
      <c r="E10" s="199">
        <f ca="1">OFFSET(RADNICI!F2,$A$1,0)</f>
        <v>95114485977</v>
      </c>
      <c r="F10" s="18"/>
      <c r="G10" s="201"/>
    </row>
    <row r="11" spans="1:11">
      <c r="A11" s="199" t="s">
        <v>904</v>
      </c>
      <c r="B11" s="201"/>
      <c r="C11" s="201"/>
      <c r="D11" s="18"/>
      <c r="E11" s="201"/>
      <c r="F11" s="18"/>
      <c r="G11" s="201"/>
    </row>
    <row r="12" spans="1:11" ht="15.5">
      <c r="A12" s="19" t="s">
        <v>2565</v>
      </c>
      <c r="B12" s="640" t="str">
        <f ca="1">OFFSET(RADNICI!J2,$A$1,0)</f>
        <v>VLADIMIR DEDUŠ</v>
      </c>
      <c r="C12" s="640"/>
      <c r="D12" s="228" t="s">
        <v>3</v>
      </c>
      <c r="E12" s="74">
        <f ca="1">OFFSET(RADNICI!M2,$A$1,0)</f>
        <v>31157145393</v>
      </c>
      <c r="F12" s="16"/>
      <c r="G12" s="58"/>
      <c r="H12" s="58"/>
      <c r="I12" s="58"/>
    </row>
    <row r="13" spans="1:11" ht="15.5">
      <c r="A13" s="19"/>
      <c r="B13" s="198"/>
      <c r="C13" s="198"/>
      <c r="D13" s="16"/>
      <c r="E13" s="21"/>
      <c r="F13" s="16"/>
      <c r="G13" s="58"/>
      <c r="H13" s="58"/>
      <c r="I13" s="58"/>
    </row>
    <row r="14" spans="1:11" ht="15.5">
      <c r="A14" s="642" t="s">
        <v>908</v>
      </c>
      <c r="B14" s="642"/>
      <c r="C14" s="642"/>
      <c r="D14" s="642"/>
      <c r="E14" s="642"/>
      <c r="F14" s="642"/>
      <c r="G14" s="58"/>
      <c r="H14" s="58"/>
      <c r="I14" s="58"/>
    </row>
    <row r="15" spans="1:11" ht="15.5">
      <c r="A15" s="19"/>
      <c r="B15" s="198"/>
      <c r="C15" s="198"/>
      <c r="D15" s="16"/>
      <c r="E15" s="21"/>
      <c r="F15" s="16"/>
      <c r="G15" s="58"/>
      <c r="H15" s="58"/>
      <c r="I15" s="58"/>
    </row>
    <row r="16" spans="1:11" ht="15" customHeight="1">
      <c r="A16" s="518" t="s">
        <v>2818</v>
      </c>
      <c r="B16" s="518"/>
      <c r="C16" s="518"/>
      <c r="D16" s="518"/>
      <c r="E16" s="230"/>
      <c r="F16" s="231"/>
      <c r="G16" s="70"/>
      <c r="H16" s="70"/>
      <c r="I16" s="70"/>
    </row>
    <row r="17" spans="1:6">
      <c r="A17" s="16"/>
      <c r="B17" s="16"/>
      <c r="C17" s="16"/>
      <c r="D17" s="16"/>
      <c r="E17" s="16"/>
      <c r="F17" s="16"/>
    </row>
    <row r="18" spans="1:6">
      <c r="A18" s="16" t="s">
        <v>2799</v>
      </c>
      <c r="B18" s="16"/>
      <c r="C18" s="16"/>
      <c r="D18" s="16"/>
      <c r="E18" s="16"/>
      <c r="F18" s="16"/>
    </row>
    <row r="19" spans="1:6">
      <c r="A19" s="16" t="s">
        <v>2798</v>
      </c>
      <c r="B19" s="16"/>
      <c r="C19" s="16"/>
      <c r="D19" s="16"/>
      <c r="E19" s="16"/>
      <c r="F19" s="16"/>
    </row>
    <row r="20" spans="1:6">
      <c r="A20" s="232"/>
      <c r="B20" s="16"/>
      <c r="C20" s="16"/>
      <c r="D20" s="130"/>
      <c r="E20" s="16"/>
      <c r="F20" s="16"/>
    </row>
    <row r="21" spans="1:6">
      <c r="A21" s="19"/>
      <c r="B21" s="16"/>
      <c r="C21" s="16"/>
      <c r="D21" s="16"/>
      <c r="E21" s="16"/>
      <c r="F21" s="16"/>
    </row>
    <row r="22" spans="1:6">
      <c r="A22" s="19"/>
      <c r="B22" s="16"/>
      <c r="C22" s="16"/>
      <c r="D22" s="16"/>
      <c r="E22" s="16"/>
      <c r="F22" s="16"/>
    </row>
    <row r="23" spans="1:6">
      <c r="A23" s="19"/>
      <c r="B23" s="16"/>
      <c r="C23" s="16"/>
      <c r="D23" s="16"/>
      <c r="E23" s="16"/>
      <c r="F23" s="16"/>
    </row>
    <row r="24" spans="1:6">
      <c r="A24" s="19"/>
      <c r="B24" s="16"/>
      <c r="C24" s="16"/>
      <c r="D24" s="16"/>
      <c r="E24" s="16"/>
      <c r="F24" s="16"/>
    </row>
    <row r="25" spans="1:6">
      <c r="A25" s="233" t="s">
        <v>993</v>
      </c>
      <c r="B25" s="16"/>
      <c r="C25" s="16"/>
      <c r="D25" s="229">
        <v>45615</v>
      </c>
      <c r="E25" s="450"/>
      <c r="F25" s="451"/>
    </row>
    <row r="26" spans="1:6">
      <c r="A26" s="19"/>
      <c r="B26" s="67"/>
      <c r="C26" s="16"/>
      <c r="D26" s="16"/>
      <c r="E26" s="16"/>
      <c r="F26" s="16"/>
    </row>
    <row r="27" spans="1:6">
      <c r="A27" s="19"/>
      <c r="B27" s="16"/>
      <c r="C27" s="16"/>
      <c r="D27" s="16"/>
      <c r="E27" s="16"/>
      <c r="F27" s="16"/>
    </row>
    <row r="28" spans="1:6">
      <c r="A28" s="19" t="s">
        <v>2800</v>
      </c>
      <c r="B28" s="16"/>
      <c r="C28" s="16"/>
      <c r="D28" s="16"/>
      <c r="E28" s="16"/>
      <c r="F28" s="16"/>
    </row>
    <row r="29" spans="1:6">
      <c r="A29" s="519">
        <f>D25</f>
        <v>45615</v>
      </c>
      <c r="B29" s="16"/>
      <c r="C29" s="16"/>
      <c r="D29" s="16"/>
      <c r="E29" s="16"/>
      <c r="F29" s="16"/>
    </row>
    <row r="30" spans="1:6">
      <c r="A30" s="19"/>
      <c r="B30" s="16"/>
      <c r="C30" s="16"/>
      <c r="D30" s="16"/>
      <c r="E30" s="16"/>
      <c r="F30" s="16"/>
    </row>
    <row r="31" spans="1:6">
      <c r="A31" s="19" t="s">
        <v>995</v>
      </c>
      <c r="B31" s="16"/>
      <c r="C31" s="16"/>
      <c r="D31" s="16"/>
      <c r="E31" s="16" t="s">
        <v>971</v>
      </c>
      <c r="F31" s="16"/>
    </row>
    <row r="32" spans="1:6">
      <c r="A32" s="19" t="str">
        <f ca="1">OFFSET(RADNICI!E2,A1,0)</f>
        <v>D-INVOICE D.O.O.</v>
      </c>
      <c r="B32" s="16"/>
      <c r="C32" s="16"/>
      <c r="D32" s="16"/>
      <c r="E32" s="21" t="str">
        <f ca="1">OFFSET(RADNICI!J2,$A$1,0)</f>
        <v>VLADIMIR DEDUŠ</v>
      </c>
      <c r="F32" s="16"/>
    </row>
    <row r="33" spans="1:6">
      <c r="A33" s="19"/>
      <c r="B33" s="16"/>
      <c r="C33" s="16"/>
      <c r="D33" s="16"/>
      <c r="E33" s="21"/>
      <c r="F33" s="16"/>
    </row>
    <row r="34" spans="1:6">
      <c r="A34" s="19"/>
      <c r="B34" s="16"/>
      <c r="C34" s="16"/>
      <c r="D34" s="16"/>
      <c r="E34" s="16"/>
      <c r="F34" s="16"/>
    </row>
    <row r="35" spans="1:6" ht="15" thickBot="1">
      <c r="A35" s="520"/>
      <c r="B35" s="521"/>
      <c r="C35" s="521"/>
      <c r="D35" s="16"/>
      <c r="E35" s="521"/>
      <c r="F35" s="521"/>
    </row>
    <row r="36" spans="1:6" ht="15.5">
      <c r="A36" s="57"/>
    </row>
    <row r="37" spans="1:6" ht="15.5">
      <c r="A37" s="57"/>
    </row>
    <row r="38" spans="1:6" ht="15.5">
      <c r="A38" s="57"/>
    </row>
    <row r="40" spans="1:6" ht="15.5">
      <c r="A40" s="57"/>
      <c r="E40" s="58"/>
    </row>
    <row r="41" spans="1:6" ht="15.5">
      <c r="A41" s="57"/>
      <c r="E41" s="68"/>
    </row>
    <row r="42" spans="1:6" ht="15.5">
      <c r="A42" s="57"/>
    </row>
  </sheetData>
  <sheetProtection formatCells="0" formatColumns="0" formatRows="0" insertColumns="0" insertRows="0" insertHyperlinks="0" deleteColumns="0" deleteRows="0" sort="0" autoFilter="0" pivotTables="0"/>
  <mergeCells count="4">
    <mergeCell ref="A3:B3"/>
    <mergeCell ref="B12:C12"/>
    <mergeCell ref="A8:F8"/>
    <mergeCell ref="A14:F14"/>
  </mergeCells>
  <phoneticPr fontId="0" type="noConversion"/>
  <pageMargins left="0.39370078740157483" right="0.23622047244094491" top="0.74803149606299213" bottom="0.74803149606299213" header="0.31496062992125984" footer="0.31496062992125984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92D050"/>
  </sheetPr>
  <dimension ref="A1:K46"/>
  <sheetViews>
    <sheetView showRuler="0" zoomScaleNormal="100" workbookViewId="0">
      <selection activeCell="K19" sqref="K19"/>
    </sheetView>
  </sheetViews>
  <sheetFormatPr defaultRowHeight="14.5"/>
  <cols>
    <col min="1" max="1" width="13.54296875" customWidth="1"/>
    <col min="2" max="2" width="11.453125" bestFit="1" customWidth="1"/>
    <col min="3" max="3" width="21.7265625" customWidth="1"/>
    <col min="4" max="4" width="11" customWidth="1"/>
    <col min="5" max="5" width="16" customWidth="1"/>
    <col min="6" max="6" width="21.26953125" customWidth="1"/>
    <col min="7" max="7" width="10.7265625" customWidth="1"/>
    <col min="11" max="11" width="8.453125" customWidth="1"/>
  </cols>
  <sheetData>
    <row r="1" spans="1:11" ht="15.5">
      <c r="A1" s="293">
        <v>791</v>
      </c>
      <c r="B1" s="23"/>
      <c r="C1" s="23"/>
      <c r="D1" s="23"/>
      <c r="E1" s="23"/>
      <c r="F1" s="23"/>
    </row>
    <row r="2" spans="1:11" ht="15.5">
      <c r="A2" s="156" t="str">
        <f ca="1">OFFSET(RADNICI!E2,A1,0)</f>
        <v>DOMOKOS D.O.O.</v>
      </c>
      <c r="B2" s="156"/>
      <c r="C2" s="23"/>
      <c r="D2" s="23"/>
      <c r="E2" s="23"/>
      <c r="F2" s="23"/>
    </row>
    <row r="3" spans="1:11" ht="15.5">
      <c r="A3" s="713">
        <f ca="1">OFFSET(RADNICI!F2,$A$1,0)</f>
        <v>7942284015</v>
      </c>
      <c r="B3" s="713"/>
      <c r="C3" s="23"/>
      <c r="D3" s="23"/>
      <c r="E3" s="23"/>
      <c r="F3" s="23"/>
    </row>
    <row r="4" spans="1:11" ht="15.5">
      <c r="A4" s="278"/>
      <c r="B4" s="278"/>
      <c r="C4" s="23"/>
      <c r="D4" s="23"/>
      <c r="E4" s="23"/>
      <c r="F4" s="23"/>
    </row>
    <row r="5" spans="1:11" ht="15.5">
      <c r="A5" s="50" t="s">
        <v>997</v>
      </c>
      <c r="B5" s="278"/>
      <c r="C5" s="23"/>
      <c r="D5" s="23"/>
      <c r="E5" s="23"/>
      <c r="F5" s="23"/>
    </row>
    <row r="6" spans="1:11" ht="15.5">
      <c r="A6" s="406" t="s">
        <v>986</v>
      </c>
      <c r="B6" s="54">
        <v>46023</v>
      </c>
      <c r="C6" s="23" t="s">
        <v>987</v>
      </c>
      <c r="D6" s="23"/>
      <c r="E6" s="23"/>
      <c r="F6" s="23"/>
    </row>
    <row r="7" spans="1:11" ht="15.5">
      <c r="A7" s="23"/>
      <c r="B7" s="23"/>
      <c r="C7" s="23"/>
      <c r="D7" s="23"/>
      <c r="E7" s="23"/>
      <c r="F7" s="23"/>
    </row>
    <row r="8" spans="1:11" ht="15.5">
      <c r="A8" s="725" t="s">
        <v>988</v>
      </c>
      <c r="B8" s="725"/>
      <c r="C8" s="725"/>
      <c r="D8" s="725"/>
      <c r="E8" s="725"/>
      <c r="F8" s="725"/>
      <c r="G8" s="60"/>
      <c r="H8" s="60"/>
      <c r="I8" s="60"/>
      <c r="J8" s="19"/>
      <c r="K8" s="19"/>
    </row>
    <row r="9" spans="1:11" ht="15.5">
      <c r="A9" s="214"/>
      <c r="B9" s="214"/>
      <c r="C9" s="214"/>
      <c r="D9" s="214"/>
      <c r="E9" s="214"/>
      <c r="F9" s="214"/>
      <c r="G9" s="210"/>
      <c r="H9" s="60"/>
      <c r="I9" s="60"/>
      <c r="J9" s="19"/>
      <c r="K9" s="19"/>
    </row>
    <row r="10" spans="1:11" s="183" customFormat="1" ht="15.5">
      <c r="A10" s="24" t="s">
        <v>989</v>
      </c>
      <c r="B10" s="407"/>
      <c r="C10" s="404" t="str">
        <f ca="1">OFFSET(RADNICI!E2,A1,0)</f>
        <v>DOMOKOS D.O.O.</v>
      </c>
      <c r="D10" s="202" t="s">
        <v>784</v>
      </c>
      <c r="E10" s="202">
        <f ca="1">OFFSET(RADNICI!F2,$A$1,0)</f>
        <v>7942284015</v>
      </c>
      <c r="F10" s="404"/>
      <c r="G10" s="403"/>
    </row>
    <row r="11" spans="1:11" ht="15.5">
      <c r="A11" s="203" t="s">
        <v>904</v>
      </c>
      <c r="B11" s="214"/>
      <c r="C11" s="214"/>
      <c r="D11" s="202"/>
      <c r="E11" s="214"/>
      <c r="F11" s="202"/>
      <c r="G11" s="201"/>
    </row>
    <row r="12" spans="1:11" ht="15.5">
      <c r="A12" s="22" t="s">
        <v>1994</v>
      </c>
      <c r="B12" s="713" t="str">
        <f ca="1">OFFSET(RADNICI!J2,$A$1,0)</f>
        <v>ĐURĐINA JOVČIĆ</v>
      </c>
      <c r="C12" s="713"/>
      <c r="D12" s="23" t="s">
        <v>784</v>
      </c>
      <c r="E12" s="156">
        <f ca="1">OFFSET(RADNICI!M2,$A$1,0)</f>
        <v>40862874723</v>
      </c>
      <c r="F12" s="23"/>
      <c r="G12" s="58"/>
      <c r="H12" s="58"/>
      <c r="I12" s="58"/>
    </row>
    <row r="13" spans="1:11" ht="15.5">
      <c r="A13" s="22"/>
      <c r="B13" s="278"/>
      <c r="C13" s="278"/>
      <c r="D13" s="23"/>
      <c r="E13" s="156"/>
      <c r="F13" s="23"/>
      <c r="G13" s="58"/>
      <c r="H13" s="58"/>
      <c r="I13" s="58"/>
    </row>
    <row r="14" spans="1:11" ht="15.5">
      <c r="A14" s="626" t="s">
        <v>908</v>
      </c>
      <c r="B14" s="626"/>
      <c r="C14" s="626"/>
      <c r="D14" s="626"/>
      <c r="E14" s="626"/>
      <c r="F14" s="626"/>
      <c r="G14" s="58"/>
      <c r="H14" s="58"/>
      <c r="I14" s="58"/>
    </row>
    <row r="15" spans="1:11" ht="15.5">
      <c r="A15" s="22"/>
      <c r="B15" s="278"/>
      <c r="C15" s="278"/>
      <c r="D15" s="23"/>
      <c r="E15" s="156"/>
      <c r="F15" s="23"/>
      <c r="G15" s="58"/>
      <c r="H15" s="58"/>
      <c r="I15" s="58"/>
    </row>
    <row r="16" spans="1:11" ht="15" customHeight="1">
      <c r="A16" s="724" t="s">
        <v>2956</v>
      </c>
      <c r="B16" s="724"/>
      <c r="C16" s="724"/>
      <c r="D16" s="724"/>
      <c r="E16" s="408" t="s">
        <v>2010</v>
      </c>
      <c r="F16" s="409"/>
      <c r="G16" s="70"/>
      <c r="H16" s="70"/>
      <c r="I16" s="70"/>
    </row>
    <row r="17" spans="1:9" ht="15.5">
      <c r="A17" s="23"/>
      <c r="B17" s="23"/>
      <c r="C17" s="23"/>
      <c r="D17" s="23"/>
      <c r="E17" s="23"/>
      <c r="F17" s="23"/>
    </row>
    <row r="18" spans="1:9" ht="15.5">
      <c r="A18" s="23" t="s">
        <v>2957</v>
      </c>
      <c r="B18" s="23"/>
      <c r="C18" s="23"/>
      <c r="D18" s="23"/>
      <c r="E18" s="23"/>
      <c r="F18" s="23"/>
    </row>
    <row r="19" spans="1:9" ht="15.5">
      <c r="A19" s="23" t="s">
        <v>992</v>
      </c>
      <c r="B19" s="23"/>
      <c r="C19" s="23"/>
      <c r="D19" s="23"/>
      <c r="E19" s="23"/>
      <c r="F19" s="23"/>
    </row>
    <row r="20" spans="1:9" ht="15.5">
      <c r="A20" s="410" t="s">
        <v>961</v>
      </c>
      <c r="B20" s="23" t="s">
        <v>1883</v>
      </c>
      <c r="C20" s="23"/>
      <c r="D20" s="416">
        <v>200</v>
      </c>
      <c r="E20" s="23"/>
      <c r="F20" s="23"/>
    </row>
    <row r="21" spans="1:9" ht="15.5">
      <c r="A21" s="410"/>
      <c r="B21" s="23"/>
      <c r="C21" s="23"/>
      <c r="D21" s="416"/>
      <c r="E21" s="23"/>
      <c r="F21" s="23"/>
    </row>
    <row r="22" spans="1:9" ht="15.5">
      <c r="A22" s="724" t="s">
        <v>2861</v>
      </c>
      <c r="B22" s="724"/>
      <c r="C22" s="724"/>
      <c r="D22" s="724"/>
      <c r="E22" s="23" t="s">
        <v>2819</v>
      </c>
      <c r="F22" s="23"/>
    </row>
    <row r="23" spans="1:9" ht="15.5">
      <c r="A23" s="25"/>
      <c r="B23" s="23"/>
      <c r="C23" s="23"/>
      <c r="D23" s="23"/>
      <c r="E23" s="23"/>
      <c r="F23" s="23"/>
    </row>
    <row r="24" spans="1:9" ht="15.5">
      <c r="A24" s="25" t="s">
        <v>2958</v>
      </c>
      <c r="B24" s="23"/>
      <c r="C24" s="411"/>
      <c r="D24" s="411"/>
      <c r="E24" s="411"/>
      <c r="F24" s="411"/>
      <c r="G24" s="208"/>
      <c r="H24" s="208"/>
      <c r="I24" s="208"/>
    </row>
    <row r="25" spans="1:9" ht="15.5">
      <c r="A25" s="22"/>
      <c r="B25" s="23"/>
      <c r="C25" s="23"/>
      <c r="D25" s="23"/>
      <c r="E25" s="23"/>
      <c r="F25" s="23"/>
    </row>
    <row r="26" spans="1:9" ht="15.5">
      <c r="A26" s="405" t="s">
        <v>993</v>
      </c>
      <c r="B26" s="23"/>
      <c r="C26" s="23"/>
      <c r="D26" s="285">
        <f>B6</f>
        <v>46023</v>
      </c>
      <c r="E26" s="23"/>
      <c r="F26" s="23"/>
    </row>
    <row r="27" spans="1:9" ht="15.5">
      <c r="A27" s="22"/>
      <c r="B27" s="285"/>
      <c r="C27" s="23"/>
      <c r="D27" s="23"/>
      <c r="E27" s="23"/>
      <c r="F27" s="23"/>
    </row>
    <row r="28" spans="1:9" ht="15.5">
      <c r="A28" s="405"/>
      <c r="B28" s="23"/>
      <c r="C28" s="23"/>
      <c r="D28" s="23"/>
      <c r="E28" s="23"/>
      <c r="F28" s="23"/>
    </row>
    <row r="29" spans="1:9" ht="15.5">
      <c r="A29" s="405"/>
      <c r="B29" s="23"/>
      <c r="C29" s="23"/>
      <c r="D29" s="23"/>
      <c r="E29" s="23"/>
      <c r="F29" s="23"/>
    </row>
    <row r="30" spans="1:9" ht="15.5">
      <c r="A30" s="22"/>
      <c r="B30" s="23"/>
      <c r="C30" s="23"/>
      <c r="D30" s="23"/>
      <c r="E30" s="23"/>
      <c r="F30" s="23"/>
    </row>
    <row r="31" spans="1:9" ht="15.5">
      <c r="A31" s="22" t="s">
        <v>994</v>
      </c>
      <c r="B31" s="23"/>
      <c r="C31" s="23"/>
      <c r="D31" s="23"/>
      <c r="E31" s="23"/>
      <c r="F31" s="23"/>
    </row>
    <row r="32" spans="1:9" ht="15.5">
      <c r="A32" s="361">
        <f>D26</f>
        <v>46023</v>
      </c>
      <c r="B32" s="23"/>
      <c r="C32" s="23"/>
      <c r="D32" s="23"/>
      <c r="E32" s="23"/>
      <c r="F32" s="23"/>
    </row>
    <row r="33" spans="1:6" ht="15.5">
      <c r="A33" s="22"/>
      <c r="B33" s="23"/>
      <c r="C33" s="23"/>
      <c r="D33" s="23"/>
      <c r="E33" s="23"/>
      <c r="F33" s="23"/>
    </row>
    <row r="34" spans="1:6" ht="15.5">
      <c r="A34" s="23"/>
      <c r="B34" s="23"/>
      <c r="C34" s="23"/>
      <c r="D34" s="23"/>
      <c r="E34" s="23"/>
      <c r="F34" s="23"/>
    </row>
    <row r="35" spans="1:6" ht="15.5">
      <c r="A35" s="22" t="s">
        <v>995</v>
      </c>
      <c r="B35" s="23"/>
      <c r="C35" s="23"/>
      <c r="D35" s="23"/>
      <c r="E35" s="23" t="s">
        <v>971</v>
      </c>
      <c r="F35" s="23"/>
    </row>
    <row r="36" spans="1:6" ht="15.5">
      <c r="A36" s="22" t="str">
        <f ca="1">OFFSET(RADNICI!E2,A1,0)</f>
        <v>DOMOKOS D.O.O.</v>
      </c>
      <c r="B36" s="23"/>
      <c r="C36" s="23"/>
      <c r="D36" s="23"/>
      <c r="E36" s="156" t="str">
        <f ca="1">OFFSET(RADNICI!J2,$A$1,0)</f>
        <v>ĐURĐINA JOVČIĆ</v>
      </c>
      <c r="F36" s="23"/>
    </row>
    <row r="37" spans="1:6" ht="15.5">
      <c r="A37" s="22" t="s">
        <v>996</v>
      </c>
      <c r="B37" s="23"/>
      <c r="C37" s="23"/>
      <c r="D37" s="23"/>
      <c r="E37" s="23"/>
      <c r="F37" s="23"/>
    </row>
    <row r="38" spans="1:6" ht="15.5">
      <c r="A38" s="57"/>
    </row>
    <row r="39" spans="1:6" ht="15.5">
      <c r="A39" s="57"/>
    </row>
    <row r="40" spans="1:6" ht="15.5">
      <c r="A40" s="57"/>
    </row>
    <row r="41" spans="1:6" ht="15.5">
      <c r="A41" s="57"/>
    </row>
    <row r="42" spans="1:6" ht="15.5">
      <c r="A42" s="57"/>
    </row>
    <row r="44" spans="1:6" ht="15.5">
      <c r="A44" s="57"/>
      <c r="E44" s="58"/>
    </row>
    <row r="45" spans="1:6" ht="15.5">
      <c r="A45" s="57"/>
      <c r="E45" s="68"/>
    </row>
    <row r="46" spans="1:6" ht="15.5">
      <c r="A46" s="57"/>
    </row>
  </sheetData>
  <sheetProtection formatCells="0" formatColumns="0" formatRows="0" insertColumns="0" insertRows="0" insertHyperlinks="0" deleteColumns="0" deleteRows="0" sort="0" autoFilter="0" pivotTables="0"/>
  <mergeCells count="6">
    <mergeCell ref="A22:D22"/>
    <mergeCell ref="A16:D16"/>
    <mergeCell ref="A3:B3"/>
    <mergeCell ref="A8:F8"/>
    <mergeCell ref="B12:C12"/>
    <mergeCell ref="A14:F14"/>
  </mergeCells>
  <phoneticPr fontId="35" type="noConversion"/>
  <pageMargins left="0.39370078740157483" right="0.23622047244094491" top="0.74803149606299213" bottom="0.74803149606299213" header="0.31496062992125984" footer="0.31496062992125984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27"/>
  <sheetViews>
    <sheetView workbookViewId="0">
      <selection activeCell="E25" sqref="E25"/>
    </sheetView>
  </sheetViews>
  <sheetFormatPr defaultRowHeight="14.5"/>
  <cols>
    <col min="1" max="1" width="12.81640625" customWidth="1"/>
    <col min="2" max="2" width="23.54296875" customWidth="1"/>
    <col min="3" max="3" width="9.81640625" customWidth="1"/>
    <col min="4" max="4" width="17.453125" customWidth="1"/>
    <col min="5" max="5" width="21.26953125" customWidth="1"/>
  </cols>
  <sheetData>
    <row r="1" spans="1:8" ht="15.5">
      <c r="A1" s="234">
        <v>757</v>
      </c>
      <c r="B1" s="55"/>
      <c r="C1" s="55"/>
      <c r="D1" s="55"/>
      <c r="E1" s="55"/>
      <c r="F1" s="55"/>
      <c r="G1" s="55"/>
      <c r="H1" s="55"/>
    </row>
    <row r="2" spans="1:8" ht="15.5">
      <c r="A2" s="203" t="s">
        <v>1004</v>
      </c>
      <c r="B2" s="50"/>
      <c r="C2" s="50"/>
      <c r="D2" s="50"/>
      <c r="E2" s="50"/>
      <c r="F2" s="156" t="str">
        <f ca="1">(OFFSET(RADNICI!E2,A1,0))</f>
        <v>Baranjske slastice Horvat j.d.o.o.</v>
      </c>
      <c r="G2" s="156"/>
      <c r="H2" s="156"/>
    </row>
    <row r="3" spans="1:8" ht="15.5">
      <c r="A3" s="51" t="s">
        <v>1005</v>
      </c>
      <c r="B3" s="213" t="str">
        <f ca="1">(OFFSET(RADNICI!I2,A1,0))</f>
        <v>Petefi Šandora 31</v>
      </c>
      <c r="C3" s="212"/>
      <c r="D3" s="212" t="s">
        <v>3</v>
      </c>
      <c r="E3" s="213">
        <f ca="1">OFFSET(RADNICI!F2,A1,0)</f>
        <v>81938384478</v>
      </c>
      <c r="F3" s="23" t="s">
        <v>1006</v>
      </c>
      <c r="G3" s="23"/>
      <c r="H3" s="23"/>
    </row>
    <row r="4" spans="1:8" ht="15.5">
      <c r="A4" s="50" t="s">
        <v>1007</v>
      </c>
      <c r="B4" s="50"/>
      <c r="C4" s="55"/>
      <c r="D4" s="50"/>
      <c r="E4" s="50"/>
      <c r="F4" s="50"/>
      <c r="G4" s="50"/>
      <c r="H4" s="50"/>
    </row>
    <row r="5" spans="1:8" ht="15.5">
      <c r="A5" s="725" t="str">
        <f ca="1">OFFSET(RADNICI!J2,A1,0)</f>
        <v>NATALIJA HORAK</v>
      </c>
      <c r="B5" s="725"/>
      <c r="C5" s="92" t="s">
        <v>3</v>
      </c>
      <c r="D5" s="213" t="str">
        <f ca="1">OFFSET(RADNICI!M2,$A$1,0)</f>
        <v>´06745396921</v>
      </c>
      <c r="E5" s="50" t="s">
        <v>1009</v>
      </c>
      <c r="F5" s="50"/>
      <c r="G5" s="50"/>
      <c r="H5" s="50"/>
    </row>
    <row r="6" spans="1:8" ht="15.5">
      <c r="A6" s="214"/>
      <c r="B6" s="214"/>
      <c r="C6" s="92"/>
      <c r="D6" s="213"/>
      <c r="E6" s="50"/>
      <c r="F6" s="50"/>
      <c r="G6" s="50"/>
      <c r="H6" s="50"/>
    </row>
    <row r="7" spans="1:8" ht="15">
      <c r="A7" s="725" t="s">
        <v>1660</v>
      </c>
      <c r="B7" s="725"/>
      <c r="C7" s="725"/>
      <c r="D7" s="725"/>
      <c r="E7" s="725"/>
      <c r="F7" s="725"/>
      <c r="G7" s="725"/>
      <c r="H7" s="725"/>
    </row>
    <row r="8" spans="1:8" ht="15.5">
      <c r="A8" s="22"/>
      <c r="B8" s="55"/>
      <c r="C8" s="55"/>
      <c r="D8" s="55"/>
      <c r="E8" s="55"/>
      <c r="F8" s="55"/>
      <c r="G8" s="55"/>
      <c r="H8" s="55"/>
    </row>
    <row r="9" spans="1:8" ht="15.5">
      <c r="A9" s="203" t="s">
        <v>1011</v>
      </c>
      <c r="B9" s="50"/>
      <c r="C9" s="726" t="str">
        <f ca="1">OFFSET(RADNICI!X2,A1,0)</f>
        <v>neodređeno</v>
      </c>
      <c r="D9" s="726"/>
      <c r="E9" s="50" t="s">
        <v>1012</v>
      </c>
      <c r="F9" s="50"/>
      <c r="G9" s="50"/>
      <c r="H9" s="50"/>
    </row>
    <row r="10" spans="1:8" ht="15.5">
      <c r="A10" s="53">
        <f ca="1">OFFSET(RADNICI!K2,A1,0)</f>
        <v>45610</v>
      </c>
      <c r="B10" s="50" t="s">
        <v>1013</v>
      </c>
      <c r="C10" s="50"/>
      <c r="D10" s="54">
        <v>45688</v>
      </c>
      <c r="E10" s="50" t="s">
        <v>2824</v>
      </c>
      <c r="F10" s="50"/>
      <c r="G10" s="50"/>
      <c r="H10" s="50"/>
    </row>
    <row r="11" spans="1:8" ht="15.5">
      <c r="A11" s="65"/>
      <c r="B11" s="50"/>
      <c r="C11" s="50"/>
      <c r="D11" s="54"/>
      <c r="E11" s="50"/>
      <c r="F11" s="50"/>
      <c r="G11" s="50"/>
      <c r="H11" s="50"/>
    </row>
    <row r="12" spans="1:8" ht="15.5">
      <c r="A12" s="22"/>
      <c r="B12" s="55"/>
      <c r="C12" s="55"/>
      <c r="D12" s="55"/>
      <c r="E12" s="55"/>
      <c r="F12" s="55"/>
      <c r="G12" s="55"/>
      <c r="H12" s="55"/>
    </row>
    <row r="13" spans="1:8" ht="15.5">
      <c r="A13" s="22" t="s">
        <v>1016</v>
      </c>
      <c r="B13" s="55"/>
      <c r="C13" s="55"/>
      <c r="D13" s="55"/>
      <c r="E13" s="55"/>
      <c r="F13" s="55"/>
      <c r="G13" s="55"/>
      <c r="H13" s="55"/>
    </row>
    <row r="14" spans="1:8" ht="15.5">
      <c r="A14" s="22" t="s">
        <v>1046</v>
      </c>
      <c r="B14" s="22"/>
      <c r="C14" s="22"/>
      <c r="D14" s="22"/>
      <c r="E14" s="22"/>
      <c r="F14" s="22"/>
      <c r="G14" s="22"/>
      <c r="H14" s="22"/>
    </row>
    <row r="15" spans="1:8" ht="15.5">
      <c r="A15" s="203" t="s">
        <v>1047</v>
      </c>
      <c r="B15" s="203"/>
      <c r="C15" s="203"/>
      <c r="D15" s="203"/>
      <c r="E15" s="203"/>
      <c r="F15" s="203"/>
      <c r="G15" s="203"/>
      <c r="H15" s="203"/>
    </row>
    <row r="16" spans="1:8" ht="15.5">
      <c r="A16" s="203" t="s">
        <v>1741</v>
      </c>
      <c r="B16" s="203"/>
      <c r="C16" s="203"/>
      <c r="D16" s="203"/>
      <c r="E16" s="203"/>
      <c r="F16" s="203"/>
      <c r="G16" s="203"/>
      <c r="H16" s="203"/>
    </row>
    <row r="17" spans="1:8" ht="15.5">
      <c r="A17" s="22" t="s">
        <v>1254</v>
      </c>
      <c r="B17" s="55"/>
      <c r="C17" s="55"/>
      <c r="D17" s="55"/>
      <c r="E17" s="55"/>
      <c r="F17" s="55"/>
      <c r="G17" s="55"/>
      <c r="H17" s="55"/>
    </row>
    <row r="18" spans="1:8" ht="15.5">
      <c r="A18" s="22" t="s">
        <v>1049</v>
      </c>
      <c r="B18" s="55"/>
      <c r="C18" s="55"/>
      <c r="D18" s="55"/>
      <c r="E18" s="55"/>
      <c r="F18" s="55"/>
      <c r="G18" s="55"/>
      <c r="H18" s="55"/>
    </row>
    <row r="19" spans="1:8" ht="15.5">
      <c r="A19" s="22"/>
      <c r="B19" s="55"/>
      <c r="C19" s="55"/>
      <c r="D19" s="55"/>
      <c r="E19" s="55"/>
      <c r="F19" s="55"/>
      <c r="G19" s="55"/>
      <c r="H19" s="55"/>
    </row>
    <row r="20" spans="1:8" ht="15.5">
      <c r="A20" s="22" t="s">
        <v>1023</v>
      </c>
      <c r="B20" s="55"/>
      <c r="C20" s="55"/>
      <c r="D20" s="55"/>
      <c r="E20" s="55"/>
      <c r="F20" s="55"/>
      <c r="G20" s="55"/>
      <c r="H20" s="55"/>
    </row>
    <row r="21" spans="1:8" ht="15.5">
      <c r="A21" s="47" t="s">
        <v>1024</v>
      </c>
      <c r="B21" s="55"/>
      <c r="C21" s="55"/>
      <c r="D21" s="55"/>
      <c r="E21" s="55"/>
      <c r="F21" s="55"/>
      <c r="G21" s="55"/>
      <c r="H21" s="55"/>
    </row>
    <row r="22" spans="1:8" ht="15.5">
      <c r="A22" s="47" t="s">
        <v>1025</v>
      </c>
      <c r="B22" s="55"/>
      <c r="C22" s="55"/>
      <c r="D22" s="55"/>
      <c r="E22" s="55"/>
      <c r="F22" s="55"/>
      <c r="G22" s="55"/>
      <c r="H22" s="55"/>
    </row>
    <row r="23" spans="1:8" ht="15.5">
      <c r="A23" s="47"/>
      <c r="B23" s="55"/>
      <c r="C23" s="55"/>
      <c r="D23" s="55"/>
      <c r="E23" s="55"/>
      <c r="F23" s="55"/>
      <c r="G23" s="55"/>
      <c r="H23" s="55"/>
    </row>
    <row r="24" spans="1:8" ht="15.5">
      <c r="A24" s="23" t="s">
        <v>1027</v>
      </c>
      <c r="B24" s="55"/>
      <c r="C24" s="55"/>
      <c r="D24" s="55" t="s">
        <v>971</v>
      </c>
      <c r="E24" s="55"/>
      <c r="F24" s="55"/>
      <c r="G24" s="55"/>
      <c r="H24" s="55"/>
    </row>
    <row r="25" spans="1:8" ht="15.5">
      <c r="A25" s="47"/>
      <c r="B25" s="55"/>
      <c r="C25" s="55"/>
      <c r="D25" s="55"/>
      <c r="E25" s="55"/>
      <c r="F25" s="55"/>
      <c r="G25" s="55"/>
      <c r="H25" s="55"/>
    </row>
    <row r="26" spans="1:8" ht="15.5">
      <c r="A26" s="47"/>
      <c r="B26" s="55"/>
      <c r="C26" s="55"/>
      <c r="D26" s="55"/>
      <c r="E26" s="55"/>
      <c r="F26" s="55"/>
      <c r="G26" s="55"/>
      <c r="H26" s="55"/>
    </row>
    <row r="27" spans="1:8" ht="15.5">
      <c r="A27" s="23"/>
      <c r="B27" s="55"/>
      <c r="C27" s="55"/>
      <c r="D27" s="55"/>
      <c r="E27" s="55"/>
      <c r="F27" s="55"/>
      <c r="G27" s="55"/>
      <c r="H27" s="55"/>
    </row>
  </sheetData>
  <mergeCells count="3">
    <mergeCell ref="A5:B5"/>
    <mergeCell ref="A7:H7"/>
    <mergeCell ref="C9:D9"/>
  </mergeCells>
  <pageMargins left="0.7" right="0.7" top="0.75" bottom="0.75" header="0.3" footer="0.3"/>
  <pageSetup paperSize="9" scale="71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S66"/>
  <sheetViews>
    <sheetView workbookViewId="0">
      <selection activeCell="E47" sqref="E47"/>
    </sheetView>
  </sheetViews>
  <sheetFormatPr defaultColWidth="9.1796875" defaultRowHeight="15.5"/>
  <cols>
    <col min="1" max="1" width="9.1796875" style="23"/>
    <col min="2" max="2" width="17.54296875" style="23" customWidth="1"/>
    <col min="3" max="3" width="32" style="23" customWidth="1"/>
    <col min="4" max="4" width="13.54296875" style="23" customWidth="1"/>
    <col min="5" max="5" width="17.1796875" style="23" customWidth="1"/>
    <col min="6" max="6" width="16.7265625" style="23" customWidth="1"/>
    <col min="7" max="7" width="9.1796875" style="23"/>
    <col min="8" max="8" width="11.26953125" style="23" customWidth="1"/>
    <col min="9" max="16384" width="9.1796875" style="23"/>
  </cols>
  <sheetData>
    <row r="1" spans="1:8">
      <c r="A1" s="293">
        <f>'EVIDENCIJA NOVA'!G1</f>
        <v>808</v>
      </c>
    </row>
    <row r="2" spans="1:8">
      <c r="A2" s="203" t="s">
        <v>1477</v>
      </c>
      <c r="B2" s="50"/>
      <c r="C2" s="50"/>
      <c r="D2" s="50"/>
      <c r="E2" s="50"/>
      <c r="F2" s="50"/>
    </row>
    <row r="3" spans="1:8">
      <c r="A3" s="713" t="str">
        <f ca="1">OFFSET(RADNICI!E2,A1,0)</f>
        <v>D-INVOICE D.O.O.</v>
      </c>
      <c r="B3" s="713"/>
      <c r="C3" s="202" t="s">
        <v>1005</v>
      </c>
      <c r="D3" s="213" t="str">
        <f ca="1">OFFSET(RADNICI!I2,A1,0)</f>
        <v>SV.IVANA KRSTITELJA 15, DARDA</v>
      </c>
      <c r="E3" s="212"/>
      <c r="F3" s="50"/>
      <c r="G3" s="278"/>
      <c r="H3" s="278"/>
    </row>
    <row r="4" spans="1:8">
      <c r="A4" s="212" t="s">
        <v>3</v>
      </c>
      <c r="B4" s="213">
        <f ca="1">OFFSET(RADNICI!F2,A1,0)</f>
        <v>95114485977</v>
      </c>
      <c r="C4" s="213"/>
      <c r="D4" s="23" t="s">
        <v>2895</v>
      </c>
    </row>
    <row r="5" spans="1:8">
      <c r="A5" s="50" t="s">
        <v>1476</v>
      </c>
      <c r="B5" s="292">
        <v>45852</v>
      </c>
      <c r="C5" s="23" t="s">
        <v>1475</v>
      </c>
      <c r="D5" s="291"/>
      <c r="E5" s="50"/>
      <c r="F5" s="50"/>
      <c r="G5" s="50"/>
      <c r="H5" s="50"/>
    </row>
    <row r="6" spans="1:8">
      <c r="A6" s="214"/>
      <c r="B6" s="214"/>
      <c r="C6" s="92"/>
      <c r="D6" s="213"/>
      <c r="E6" s="50"/>
      <c r="F6" s="50"/>
      <c r="G6" s="50"/>
      <c r="H6" s="50"/>
    </row>
    <row r="7" spans="1:8">
      <c r="A7" s="725" t="s">
        <v>1474</v>
      </c>
      <c r="B7" s="725"/>
      <c r="C7" s="725"/>
      <c r="D7" s="725"/>
      <c r="E7" s="725"/>
      <c r="F7" s="725"/>
      <c r="G7" s="290"/>
      <c r="H7" s="290"/>
    </row>
    <row r="8" spans="1:8">
      <c r="A8" s="22"/>
    </row>
    <row r="9" spans="1:8">
      <c r="A9" s="22" t="s">
        <v>1077</v>
      </c>
      <c r="B9" s="23" t="s">
        <v>1473</v>
      </c>
      <c r="C9" s="728" t="str">
        <f ca="1">OFFSET(RADNICI!J2,$A$1,0)</f>
        <v>VLADIMIR DEDUŠ</v>
      </c>
      <c r="D9" s="728"/>
      <c r="E9" s="92" t="s">
        <v>1008</v>
      </c>
      <c r="F9" s="213">
        <f ca="1">OFFSET(RADNICI!M2,$A$1,0)</f>
        <v>31157145393</v>
      </c>
    </row>
    <row r="10" spans="1:8">
      <c r="A10" s="22"/>
      <c r="B10" s="23" t="s">
        <v>1472</v>
      </c>
    </row>
    <row r="11" spans="1:8">
      <c r="A11" s="22"/>
      <c r="B11" s="726" t="str">
        <f ca="1">OFFSET(RADNICI!R2,$A$1,0)</f>
        <v>Moslavačka 7 a</v>
      </c>
      <c r="C11" s="726"/>
      <c r="D11" s="23" t="s">
        <v>1471</v>
      </c>
      <c r="F11" s="23" t="str">
        <f ca="1">OFFSET(RADNICI!X2,A1,0)</f>
        <v>Određeno</v>
      </c>
      <c r="G11" s="23" t="s">
        <v>1470</v>
      </c>
    </row>
    <row r="12" spans="1:8">
      <c r="A12" s="22"/>
      <c r="B12" s="23" t="s">
        <v>1469</v>
      </c>
      <c r="C12" s="53">
        <f ca="1">OFFSET(RADNICI!K2,A1,0)</f>
        <v>46181</v>
      </c>
      <c r="D12" s="23" t="s">
        <v>2974</v>
      </c>
    </row>
    <row r="13" spans="1:8">
      <c r="A13" s="22" t="s">
        <v>1080</v>
      </c>
      <c r="B13" s="23" t="s">
        <v>1468</v>
      </c>
    </row>
    <row r="14" spans="1:8">
      <c r="A14" s="22"/>
      <c r="B14" s="23" t="s">
        <v>1467</v>
      </c>
      <c r="D14" s="285">
        <f ca="1">OFFSET(RADNICI!L2,A1,0)</f>
        <v>46210</v>
      </c>
    </row>
    <row r="15" spans="1:8">
      <c r="A15" s="22" t="s">
        <v>1082</v>
      </c>
      <c r="B15" s="23" t="s">
        <v>2893</v>
      </c>
    </row>
    <row r="16" spans="1:8">
      <c r="A16" s="22"/>
    </row>
    <row r="17" spans="1:10">
      <c r="A17" s="22"/>
      <c r="D17" s="289" t="s">
        <v>1065</v>
      </c>
    </row>
    <row r="18" spans="1:10">
      <c r="A18" s="203"/>
      <c r="B18" s="50"/>
      <c r="E18" s="50"/>
      <c r="F18" s="50"/>
      <c r="G18" s="50"/>
      <c r="H18" s="50"/>
    </row>
    <row r="19" spans="1:10">
      <c r="B19" s="50"/>
      <c r="C19" s="50"/>
      <c r="E19" s="50"/>
      <c r="F19" s="50"/>
      <c r="G19" s="50"/>
      <c r="H19" s="50"/>
      <c r="J19" s="54"/>
    </row>
    <row r="20" spans="1:10">
      <c r="A20" s="65"/>
      <c r="B20" s="22" t="s">
        <v>1466</v>
      </c>
      <c r="C20" s="22"/>
      <c r="D20" s="22"/>
      <c r="E20" s="22"/>
      <c r="F20" s="22" t="str">
        <f ca="1">OFFSET(RADNICI!X2,A1,0)</f>
        <v>Određeno</v>
      </c>
      <c r="G20" s="22"/>
      <c r="H20" s="22"/>
    </row>
    <row r="21" spans="1:10">
      <c r="A21" s="22"/>
      <c r="B21" s="23" t="s">
        <v>1465</v>
      </c>
      <c r="D21" s="54">
        <f ca="1">OFFSET(RADNICI!K2,A1,0)</f>
        <v>46181</v>
      </c>
      <c r="E21" s="23" t="s">
        <v>1464</v>
      </c>
    </row>
    <row r="22" spans="1:10">
      <c r="A22" s="22"/>
      <c r="B22" s="726" t="str">
        <f ca="1">OFFSET(RADNICI!V2,$A$1,0)</f>
        <v>maser</v>
      </c>
      <c r="C22" s="726"/>
      <c r="D22" s="23" t="s">
        <v>1463</v>
      </c>
    </row>
    <row r="23" spans="1:10">
      <c r="A23" s="22"/>
      <c r="B23" s="23" t="s">
        <v>1462</v>
      </c>
    </row>
    <row r="24" spans="1:10">
      <c r="A24" s="22"/>
    </row>
    <row r="25" spans="1:10" hidden="1">
      <c r="A25" s="22"/>
      <c r="B25" s="727" t="s">
        <v>1461</v>
      </c>
      <c r="C25" s="727"/>
      <c r="D25" s="727"/>
      <c r="E25" s="727"/>
      <c r="F25" s="727"/>
      <c r="G25" s="727"/>
    </row>
    <row r="26" spans="1:10" hidden="1">
      <c r="A26" s="22"/>
      <c r="B26" s="727"/>
      <c r="C26" s="727"/>
      <c r="D26" s="727"/>
      <c r="E26" s="727"/>
      <c r="F26" s="727"/>
      <c r="G26" s="727"/>
      <c r="H26" s="22"/>
    </row>
    <row r="27" spans="1:10" hidden="1">
      <c r="A27" s="203"/>
      <c r="B27" s="727"/>
      <c r="C27" s="727"/>
      <c r="D27" s="727"/>
      <c r="E27" s="727"/>
      <c r="F27" s="727"/>
      <c r="G27" s="727"/>
      <c r="H27" s="203"/>
    </row>
    <row r="28" spans="1:10" hidden="1">
      <c r="A28" s="22"/>
      <c r="B28" s="727"/>
      <c r="C28" s="727"/>
      <c r="D28" s="727"/>
      <c r="E28" s="727"/>
      <c r="F28" s="727"/>
      <c r="G28" s="727"/>
    </row>
    <row r="29" spans="1:10">
      <c r="A29" s="22"/>
      <c r="B29" s="287"/>
      <c r="C29" s="287"/>
      <c r="D29" s="287"/>
      <c r="E29" s="287"/>
      <c r="F29" s="287"/>
      <c r="G29" s="287"/>
    </row>
    <row r="30" spans="1:10" ht="15.75" customHeight="1">
      <c r="A30" s="22"/>
      <c r="B30" s="727" t="s">
        <v>1460</v>
      </c>
      <c r="C30" s="727"/>
      <c r="D30" s="727"/>
      <c r="E30" s="727"/>
      <c r="F30" s="727"/>
      <c r="G30" s="727"/>
    </row>
    <row r="31" spans="1:10">
      <c r="A31" s="22"/>
      <c r="B31" s="727"/>
      <c r="C31" s="727"/>
      <c r="D31" s="727"/>
      <c r="E31" s="727"/>
      <c r="F31" s="727"/>
      <c r="G31" s="727"/>
    </row>
    <row r="32" spans="1:10">
      <c r="A32" s="22"/>
      <c r="B32" s="288"/>
      <c r="C32" s="288"/>
      <c r="D32" s="288"/>
      <c r="E32" s="288"/>
      <c r="F32" s="288"/>
      <c r="G32" s="288"/>
    </row>
    <row r="33" spans="1:8" ht="13.5" customHeight="1">
      <c r="A33" s="22"/>
      <c r="B33" s="727" t="s">
        <v>1459</v>
      </c>
      <c r="C33" s="727"/>
      <c r="D33" s="727"/>
      <c r="E33" s="727"/>
      <c r="F33" s="727"/>
      <c r="G33" s="727"/>
    </row>
    <row r="34" spans="1:8">
      <c r="A34" s="22"/>
      <c r="B34" s="727"/>
      <c r="C34" s="727"/>
      <c r="D34" s="727"/>
      <c r="E34" s="727"/>
      <c r="F34" s="727"/>
      <c r="G34" s="727"/>
    </row>
    <row r="35" spans="1:8">
      <c r="A35" s="22"/>
      <c r="B35" s="287"/>
      <c r="C35" s="287"/>
      <c r="D35" s="287"/>
      <c r="E35" s="287"/>
      <c r="F35" s="287"/>
      <c r="G35" s="287"/>
    </row>
    <row r="36" spans="1:8">
      <c r="A36" s="22"/>
      <c r="B36" s="22" t="s">
        <v>1458</v>
      </c>
      <c r="C36" s="22"/>
      <c r="D36" s="22"/>
      <c r="E36" s="22"/>
      <c r="F36" s="286" t="s">
        <v>2976</v>
      </c>
      <c r="G36" s="22"/>
      <c r="H36" s="285"/>
    </row>
    <row r="37" spans="1:8" ht="15.75" customHeight="1">
      <c r="A37" s="22"/>
      <c r="B37" s="724" t="s">
        <v>1457</v>
      </c>
      <c r="C37" s="724"/>
      <c r="D37" s="724"/>
      <c r="E37" s="724"/>
      <c r="F37" s="724"/>
      <c r="G37" s="724"/>
    </row>
    <row r="38" spans="1:8">
      <c r="A38" s="22"/>
    </row>
    <row r="39" spans="1:8">
      <c r="A39" s="22"/>
      <c r="B39" s="23" t="s">
        <v>2894</v>
      </c>
    </row>
    <row r="40" spans="1:8">
      <c r="A40" s="22"/>
    </row>
    <row r="41" spans="1:8">
      <c r="A41" s="46"/>
    </row>
    <row r="42" spans="1:8">
      <c r="A42" s="65"/>
      <c r="B42" s="50" t="s">
        <v>1456</v>
      </c>
      <c r="C42" s="50"/>
    </row>
    <row r="43" spans="1:8">
      <c r="A43" s="22"/>
      <c r="B43" s="282"/>
      <c r="C43" s="282"/>
    </row>
    <row r="44" spans="1:8">
      <c r="A44" s="22"/>
      <c r="B44" s="156" t="str">
        <f ca="1">OFFSET(RADNICI!E2,A1,0)</f>
        <v>D-INVOICE D.O.O.</v>
      </c>
    </row>
    <row r="45" spans="1:8">
      <c r="A45" s="47"/>
    </row>
    <row r="46" spans="1:8">
      <c r="A46" s="47"/>
      <c r="B46" s="730" t="s">
        <v>1455</v>
      </c>
      <c r="C46" s="730"/>
      <c r="D46" s="730"/>
      <c r="E46" s="284">
        <f ca="1">D14</f>
        <v>46210</v>
      </c>
    </row>
    <row r="47" spans="1:8">
      <c r="A47" s="47"/>
      <c r="B47" s="22"/>
      <c r="C47" s="22"/>
      <c r="D47" s="22"/>
      <c r="E47" s="22"/>
      <c r="F47" s="22"/>
    </row>
    <row r="49" spans="1:19">
      <c r="B49" s="283"/>
      <c r="C49" s="282"/>
      <c r="D49" s="282"/>
    </row>
    <row r="50" spans="1:19">
      <c r="A50" s="279"/>
      <c r="B50" s="281" t="s">
        <v>1454</v>
      </c>
      <c r="C50" s="729" t="str">
        <f ca="1">OFFSET(RADNICI!J2,$A$1,0)</f>
        <v>VLADIMIR DEDUŠ</v>
      </c>
      <c r="D50" s="729"/>
    </row>
    <row r="51" spans="1:19">
      <c r="H51" s="279"/>
    </row>
    <row r="52" spans="1:19">
      <c r="A52" s="279"/>
    </row>
    <row r="53" spans="1:19">
      <c r="A53" s="279"/>
    </row>
    <row r="54" spans="1:19">
      <c r="A54" s="279"/>
    </row>
    <row r="55" spans="1:19">
      <c r="S55" s="279"/>
    </row>
    <row r="56" spans="1:19">
      <c r="A56" s="280"/>
    </row>
    <row r="57" spans="1:19">
      <c r="A57" s="280"/>
    </row>
    <row r="58" spans="1:19">
      <c r="A58" s="279"/>
    </row>
    <row r="59" spans="1:19">
      <c r="A59" s="279"/>
    </row>
    <row r="60" spans="1:19">
      <c r="A60" s="279"/>
    </row>
    <row r="61" spans="1:19">
      <c r="A61" s="279"/>
    </row>
    <row r="62" spans="1:19">
      <c r="A62" s="279"/>
    </row>
    <row r="63" spans="1:19">
      <c r="A63" s="279"/>
    </row>
    <row r="64" spans="1:19">
      <c r="A64" s="279"/>
    </row>
    <row r="65" spans="1:1">
      <c r="A65" s="279"/>
    </row>
    <row r="66" spans="1:1">
      <c r="A66" s="279"/>
    </row>
  </sheetData>
  <mergeCells count="11">
    <mergeCell ref="B25:G28"/>
    <mergeCell ref="A3:B3"/>
    <mergeCell ref="C9:D9"/>
    <mergeCell ref="B11:C11"/>
    <mergeCell ref="C50:D50"/>
    <mergeCell ref="A7:F7"/>
    <mergeCell ref="B30:G31"/>
    <mergeCell ref="B33:G34"/>
    <mergeCell ref="B37:G37"/>
    <mergeCell ref="B46:D46"/>
    <mergeCell ref="B22:C22"/>
  </mergeCells>
  <pageMargins left="0.25" right="0.25" top="0.75" bottom="0.75" header="0.3" footer="0.3"/>
  <pageSetup paperSize="9" scale="7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0000"/>
    <pageSetUpPr fitToPage="1"/>
  </sheetPr>
  <dimension ref="A1:K32"/>
  <sheetViews>
    <sheetView showRuler="0" zoomScaleNormal="100" workbookViewId="0">
      <selection activeCell="A2" sqref="A2"/>
    </sheetView>
  </sheetViews>
  <sheetFormatPr defaultRowHeight="14.5"/>
  <cols>
    <col min="1" max="1" width="13.54296875" customWidth="1"/>
    <col min="3" max="3" width="24.1796875" customWidth="1"/>
    <col min="4" max="4" width="6.81640625" customWidth="1"/>
    <col min="5" max="5" width="16.81640625" customWidth="1"/>
    <col min="7" max="7" width="10.7265625" customWidth="1"/>
    <col min="11" max="11" width="8.453125" customWidth="1"/>
  </cols>
  <sheetData>
    <row r="1" spans="1:11">
      <c r="A1" s="14">
        <v>573</v>
      </c>
    </row>
    <row r="2" spans="1:11" ht="15.5">
      <c r="A2" s="59" t="str">
        <f ca="1">OFFSET(RADNICI!E2,A1,0)</f>
        <v>Naturos d.o.o.</v>
      </c>
      <c r="B2" s="59"/>
    </row>
    <row r="3" spans="1:11" ht="15.5">
      <c r="A3" s="731">
        <f ca="1">OFFSET(RADNICI!F2,$A$1,0)</f>
        <v>69606074367</v>
      </c>
      <c r="B3" s="731"/>
    </row>
    <row r="5" spans="1:11" ht="15.5">
      <c r="A5" s="735" t="s">
        <v>889</v>
      </c>
      <c r="B5" s="735"/>
      <c r="C5" s="735"/>
      <c r="D5" s="735"/>
      <c r="E5" s="735"/>
      <c r="F5" s="735"/>
      <c r="G5" s="735"/>
      <c r="H5" s="60"/>
      <c r="I5" s="60"/>
      <c r="J5" s="19"/>
      <c r="K5" s="19"/>
    </row>
    <row r="6" spans="1:11">
      <c r="A6" s="18"/>
    </row>
    <row r="7" spans="1:11" ht="15.5">
      <c r="A7" s="57" t="s">
        <v>890</v>
      </c>
      <c r="B7" s="732" t="str">
        <f ca="1">OFFSET(RADNICI!J2,$A$1,0)</f>
        <v>Adhikari Rishi Raj</v>
      </c>
      <c r="C7" s="732"/>
      <c r="D7" s="69" t="s">
        <v>2199</v>
      </c>
      <c r="E7" s="211">
        <f ca="1">OFFSET(RADNICI!M2,$A$1,0)</f>
        <v>68722467694</v>
      </c>
      <c r="F7" s="58" t="s">
        <v>2200</v>
      </c>
      <c r="G7" s="58"/>
      <c r="H7" s="58"/>
      <c r="I7" s="58"/>
    </row>
    <row r="8" spans="1:11" ht="15.5">
      <c r="A8" s="733" t="s">
        <v>999</v>
      </c>
      <c r="B8" s="734"/>
      <c r="C8" s="734"/>
      <c r="D8" s="734"/>
      <c r="E8" s="734"/>
      <c r="F8" s="734"/>
      <c r="G8" s="734"/>
      <c r="H8" s="734"/>
      <c r="I8" s="734"/>
    </row>
    <row r="10" spans="1:11" ht="15.5">
      <c r="A10" s="62" t="s">
        <v>1000</v>
      </c>
    </row>
    <row r="11" spans="1:11" ht="15.5">
      <c r="A11" s="57"/>
    </row>
    <row r="12" spans="1:11" ht="15.5">
      <c r="A12" s="62" t="s">
        <v>1001</v>
      </c>
    </row>
    <row r="13" spans="1:11" ht="15.5">
      <c r="A13" s="57"/>
      <c r="B13" s="7"/>
    </row>
    <row r="14" spans="1:11" ht="15.5">
      <c r="A14" s="62" t="s">
        <v>1002</v>
      </c>
    </row>
    <row r="15" spans="1:11" ht="15.5">
      <c r="A15" s="57"/>
    </row>
    <row r="16" spans="1:11" ht="15.5">
      <c r="A16" s="57"/>
    </row>
    <row r="17" spans="1:5" ht="15.5">
      <c r="A17" s="57" t="s">
        <v>1003</v>
      </c>
    </row>
    <row r="18" spans="1:5">
      <c r="A18" s="171">
        <f ca="1">OFFSET(RADNICI!L2,A1,0)</f>
        <v>45076</v>
      </c>
    </row>
    <row r="19" spans="1:5" ht="15.5">
      <c r="A19" s="57"/>
    </row>
    <row r="20" spans="1:5" ht="15.5">
      <c r="A20" s="57"/>
    </row>
    <row r="21" spans="1:5" ht="15.5">
      <c r="A21" s="57"/>
    </row>
    <row r="22" spans="1:5" ht="15.5">
      <c r="A22" s="57"/>
    </row>
    <row r="23" spans="1:5" ht="15.5">
      <c r="A23" s="57"/>
    </row>
    <row r="24" spans="1:5" ht="15.5">
      <c r="A24" s="57"/>
    </row>
    <row r="25" spans="1:5" ht="15.5">
      <c r="A25" s="57"/>
    </row>
    <row r="26" spans="1:5" ht="15.5">
      <c r="A26" s="57"/>
    </row>
    <row r="27" spans="1:5" ht="15.5">
      <c r="A27" s="57"/>
    </row>
    <row r="28" spans="1:5" ht="15.5">
      <c r="A28" s="57"/>
    </row>
    <row r="30" spans="1:5" ht="15.5">
      <c r="A30" s="57" t="s">
        <v>995</v>
      </c>
      <c r="E30" s="58" t="s">
        <v>971</v>
      </c>
    </row>
    <row r="31" spans="1:5" ht="15.5">
      <c r="A31" s="57"/>
      <c r="E31" s="68" t="str">
        <f ca="1">OFFSET(RADNICI!J2,$A$1,0)</f>
        <v>Adhikari Rishi Raj</v>
      </c>
    </row>
    <row r="32" spans="1:5" ht="15.5">
      <c r="A32" s="57"/>
    </row>
  </sheetData>
  <sheetProtection formatCells="0" formatColumns="0" formatRows="0" insertColumns="0" insertRows="0" insertHyperlinks="0" deleteColumns="0" deleteRows="0" sort="0" autoFilter="0" pivotTables="0"/>
  <mergeCells count="4">
    <mergeCell ref="A3:B3"/>
    <mergeCell ref="B7:C7"/>
    <mergeCell ref="A8:I8"/>
    <mergeCell ref="A5:G5"/>
  </mergeCells>
  <phoneticPr fontId="29" type="noConversion"/>
  <pageMargins left="1.1811023622047245" right="0.23622047244094491" top="0.74803149606299213" bottom="0.74803149606299213" header="0.31496062992125984" footer="0.31496062992125984"/>
  <pageSetup scale="83" fitToHeight="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FF0000"/>
    <pageSetUpPr fitToPage="1"/>
  </sheetPr>
  <dimension ref="A1:R30"/>
  <sheetViews>
    <sheetView workbookViewId="0">
      <selection activeCell="F33" sqref="F33"/>
    </sheetView>
  </sheetViews>
  <sheetFormatPr defaultRowHeight="14.5"/>
  <cols>
    <col min="1" max="1" width="11.26953125" customWidth="1"/>
    <col min="2" max="2" width="19.453125" customWidth="1"/>
    <col min="3" max="3" width="7.26953125" customWidth="1"/>
    <col min="4" max="4" width="13.7265625" customWidth="1"/>
    <col min="5" max="5" width="10.26953125" customWidth="1"/>
    <col min="6" max="6" width="11.26953125" customWidth="1"/>
    <col min="7" max="7" width="26.54296875" customWidth="1"/>
    <col min="8" max="8" width="13.1796875" customWidth="1"/>
  </cols>
  <sheetData>
    <row r="1" spans="1:18">
      <c r="A1" s="14">
        <v>523</v>
      </c>
    </row>
    <row r="2" spans="1:18" ht="15.5">
      <c r="A2" s="203" t="s">
        <v>1004</v>
      </c>
      <c r="B2" s="34"/>
      <c r="C2" s="34"/>
      <c r="D2" s="34"/>
      <c r="E2" s="34"/>
      <c r="F2" s="625" t="str">
        <f ca="1">(OFFSET(RADNICI!E2,A1,0))</f>
        <v>D-INVOICE D.O.O.</v>
      </c>
      <c r="G2" s="625"/>
      <c r="H2" s="625"/>
      <c r="I2" s="34"/>
      <c r="J2" s="34"/>
      <c r="K2" s="34"/>
      <c r="L2" s="34"/>
      <c r="M2" s="34"/>
      <c r="N2" s="34"/>
      <c r="O2" s="34"/>
    </row>
    <row r="3" spans="1:18" ht="15.5">
      <c r="A3" s="51" t="s">
        <v>1005</v>
      </c>
      <c r="B3" s="278" t="str">
        <f ca="1">(OFFSET(RADNICI!I2,A1,0))</f>
        <v>SV.IVANA KRSTITELJA 15, DARDA</v>
      </c>
      <c r="C3" s="212"/>
      <c r="D3" s="212" t="s">
        <v>3</v>
      </c>
      <c r="E3" s="712">
        <f ca="1">OFFSET(RADNICI!F2,A1,0)</f>
        <v>95114485977</v>
      </c>
      <c r="F3" s="712"/>
      <c r="G3" s="33" t="s">
        <v>2192</v>
      </c>
      <c r="H3" s="33"/>
      <c r="I3" s="33"/>
      <c r="J3" s="34"/>
      <c r="K3" s="34"/>
      <c r="L3" s="34"/>
      <c r="M3" s="34"/>
      <c r="N3" s="34"/>
      <c r="O3" s="34"/>
    </row>
    <row r="4" spans="1:18" ht="15.5">
      <c r="A4" s="725" t="str">
        <f ca="1">OFFSET(RADNICI!J2,A1,0)</f>
        <v>TIMEA BEJTEŠ</v>
      </c>
      <c r="B4" s="725"/>
      <c r="C4" s="206" t="s">
        <v>1008</v>
      </c>
      <c r="D4" s="206">
        <f ca="1">OFFSET(RADNICI!M2,$A$1,0)</f>
        <v>86252978963</v>
      </c>
      <c r="E4" s="50" t="s">
        <v>2193</v>
      </c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8" ht="15.5">
      <c r="A5" s="203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8" ht="20">
      <c r="A6" s="736" t="s">
        <v>1010</v>
      </c>
      <c r="B6" s="736"/>
      <c r="C6" s="736"/>
      <c r="D6" s="736"/>
      <c r="E6" s="736"/>
      <c r="F6" s="736"/>
      <c r="G6" s="736"/>
      <c r="H6" s="429"/>
      <c r="I6" s="34"/>
      <c r="J6" s="34"/>
      <c r="K6" s="34"/>
      <c r="L6" s="34"/>
      <c r="M6" s="34"/>
      <c r="N6" s="34"/>
      <c r="O6" s="34"/>
    </row>
    <row r="7" spans="1:18" ht="15.5">
      <c r="A7" s="203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8" ht="15.5">
      <c r="A8" s="203" t="s">
        <v>1011</v>
      </c>
      <c r="B8" s="50"/>
      <c r="C8" s="726" t="str">
        <f ca="1">OFFSET(RADNICI!X2,A1,0)</f>
        <v>NEODREĐENO</v>
      </c>
      <c r="D8" s="726"/>
      <c r="E8" s="50" t="s">
        <v>1012</v>
      </c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8" ht="15.5">
      <c r="A9" s="53">
        <f ca="1">OFFSET(RADNICI!K2,A1,0)</f>
        <v>44881</v>
      </c>
      <c r="B9" s="50" t="s">
        <v>1013</v>
      </c>
      <c r="C9" s="50"/>
      <c r="D9" s="54">
        <f ca="1">OFFSET(RADNICI!L2,A1,0)</f>
        <v>45828</v>
      </c>
      <c r="E9" s="50" t="s">
        <v>1014</v>
      </c>
      <c r="F9" s="50" t="s">
        <v>1015</v>
      </c>
      <c r="G9" s="50"/>
      <c r="H9" s="50"/>
      <c r="I9" s="50"/>
      <c r="J9" s="50"/>
      <c r="K9" s="50"/>
      <c r="L9" s="50"/>
      <c r="M9" s="50"/>
      <c r="N9" s="50"/>
      <c r="O9" s="50"/>
    </row>
    <row r="10" spans="1:18" ht="15.5">
      <c r="A10" s="203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8" ht="15.5">
      <c r="A11" s="203" t="s">
        <v>1016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8" ht="15.5">
      <c r="A12" s="22" t="s">
        <v>1017</v>
      </c>
      <c r="B12" s="22"/>
      <c r="C12" s="22"/>
      <c r="D12" s="22"/>
      <c r="E12" s="22"/>
      <c r="F12" s="22"/>
      <c r="G12" s="22"/>
      <c r="H12" s="22"/>
      <c r="I12" s="22"/>
      <c r="J12" s="22"/>
      <c r="K12" s="203"/>
      <c r="L12" s="203"/>
      <c r="M12" s="203"/>
      <c r="N12" s="203"/>
      <c r="O12" s="203"/>
      <c r="P12" s="203"/>
      <c r="Q12" s="203"/>
      <c r="R12" s="203"/>
    </row>
    <row r="13" spans="1:18" ht="15.5">
      <c r="A13" s="203" t="s">
        <v>1018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2"/>
      <c r="O13" s="203"/>
      <c r="P13" s="203"/>
      <c r="Q13" s="203"/>
      <c r="R13" s="203"/>
    </row>
    <row r="14" spans="1:18" ht="15.5">
      <c r="A14" s="203" t="s">
        <v>1037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2"/>
      <c r="O14" s="203"/>
      <c r="P14" s="203"/>
      <c r="Q14" s="203"/>
      <c r="R14" s="203"/>
    </row>
    <row r="15" spans="1:18" ht="15.5">
      <c r="A15" s="203" t="s">
        <v>2872</v>
      </c>
      <c r="B15" s="203"/>
      <c r="C15" s="203"/>
      <c r="D15" s="202">
        <v>5</v>
      </c>
      <c r="E15" s="203" t="s">
        <v>2874</v>
      </c>
      <c r="F15" s="203"/>
      <c r="G15" s="203"/>
      <c r="H15" s="203"/>
      <c r="I15" s="203"/>
      <c r="J15" s="203"/>
      <c r="K15" s="203"/>
      <c r="L15" s="203"/>
      <c r="M15" s="203"/>
      <c r="N15" s="203"/>
      <c r="O15" s="203"/>
    </row>
    <row r="16" spans="1:18" ht="15.5">
      <c r="A16" s="65" t="s">
        <v>2875</v>
      </c>
      <c r="B16" s="203"/>
      <c r="C16" s="203"/>
      <c r="D16" s="202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</row>
    <row r="17" spans="1:15" ht="15.5">
      <c r="A17" s="203" t="s">
        <v>1019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15.5">
      <c r="A18" s="203" t="s">
        <v>1020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15.5">
      <c r="A19" s="49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15.5">
      <c r="A20" s="49" t="s">
        <v>1021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</row>
    <row r="21" spans="1:15" ht="15.5">
      <c r="A21" s="203" t="s">
        <v>1022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</row>
    <row r="22" spans="1:15" ht="15.5">
      <c r="A22" s="203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</row>
    <row r="23" spans="1:15" ht="15.5">
      <c r="A23" s="203" t="s">
        <v>1023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</row>
    <row r="24" spans="1:15" ht="15.5">
      <c r="A24" s="47" t="s">
        <v>1024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</row>
    <row r="25" spans="1:15" ht="15.5">
      <c r="A25" s="47" t="s">
        <v>1025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</row>
    <row r="26" spans="1:15" ht="15.5">
      <c r="A26" s="47" t="s">
        <v>1026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 spans="1:15" ht="15.5">
      <c r="A27" s="55"/>
      <c r="B27" s="50"/>
      <c r="C27" s="50"/>
      <c r="D27" s="50"/>
      <c r="E27" s="50"/>
      <c r="G27" s="50"/>
      <c r="H27" s="50"/>
      <c r="I27" s="50"/>
      <c r="J27" s="50"/>
      <c r="K27" s="50"/>
      <c r="L27" s="50"/>
      <c r="M27" s="50"/>
      <c r="N27" s="50"/>
      <c r="O27" s="50"/>
    </row>
    <row r="28" spans="1:15" ht="15.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</row>
    <row r="30" spans="1:15" ht="15.5">
      <c r="A30" s="23" t="s">
        <v>2194</v>
      </c>
      <c r="F30" s="50" t="s">
        <v>2195</v>
      </c>
    </row>
  </sheetData>
  <mergeCells count="5">
    <mergeCell ref="F2:H2"/>
    <mergeCell ref="A6:G6"/>
    <mergeCell ref="C8:D8"/>
    <mergeCell ref="E3:F3"/>
    <mergeCell ref="A4:B4"/>
  </mergeCells>
  <phoneticPr fontId="23" type="noConversion"/>
  <pageMargins left="0.39370078740157483" right="0.23622047244094491" top="0.74803149606299213" bottom="0.74803149606299213" header="0.31496062992125984" footer="0.31496062992125984"/>
  <pageSetup paperSize="9" scale="86" fitToHeight="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FF0000"/>
    <pageSetUpPr fitToPage="1"/>
  </sheetPr>
  <dimension ref="A1:T35"/>
  <sheetViews>
    <sheetView workbookViewId="0">
      <selection activeCell="E17" sqref="E17"/>
    </sheetView>
  </sheetViews>
  <sheetFormatPr defaultRowHeight="14.5"/>
  <cols>
    <col min="1" max="1" width="9.1796875" style="48" customWidth="1"/>
    <col min="2" max="2" width="14" customWidth="1"/>
    <col min="3" max="3" width="11.26953125" customWidth="1"/>
    <col min="4" max="4" width="15.7265625" customWidth="1"/>
    <col min="5" max="5" width="14.54296875" customWidth="1"/>
    <col min="7" max="7" width="24.453125" customWidth="1"/>
    <col min="8" max="8" width="15.453125" customWidth="1"/>
    <col min="13" max="14" width="10.1796875" customWidth="1"/>
    <col min="15" max="15" width="10.453125" customWidth="1"/>
  </cols>
  <sheetData>
    <row r="1" spans="1:16">
      <c r="A1" s="63">
        <v>354</v>
      </c>
    </row>
    <row r="2" spans="1:16" ht="17.5">
      <c r="A2" s="203" t="s">
        <v>1028</v>
      </c>
      <c r="B2" s="34"/>
      <c r="C2" s="34"/>
      <c r="D2" s="34"/>
      <c r="E2" s="34"/>
      <c r="F2" s="34"/>
      <c r="G2" s="64"/>
      <c r="H2" s="64"/>
      <c r="I2" s="48"/>
    </row>
    <row r="3" spans="1:16" ht="15.5">
      <c r="A3" s="222" t="str">
        <f ca="1">(OFFSET(RADNICI!E2,A1,0))</f>
        <v>D-INVOICE D.O.O.</v>
      </c>
      <c r="B3" s="213"/>
      <c r="C3" s="212"/>
      <c r="D3" s="212" t="s">
        <v>3</v>
      </c>
      <c r="E3" s="712">
        <f ca="1">OFFSET(RADNICI!F2,A1,0)</f>
        <v>95114485977</v>
      </c>
      <c r="F3" s="712"/>
      <c r="G3" s="33" t="s">
        <v>1006</v>
      </c>
      <c r="H3" s="33"/>
      <c r="I3" s="203"/>
    </row>
    <row r="4" spans="1:16" ht="15.5">
      <c r="A4" s="50" t="s">
        <v>1007</v>
      </c>
      <c r="B4" s="50"/>
      <c r="D4" s="50"/>
      <c r="E4" s="50"/>
      <c r="F4" s="34"/>
      <c r="G4" s="34"/>
      <c r="H4" s="34"/>
      <c r="I4" s="24"/>
    </row>
    <row r="5" spans="1:16" ht="15.5">
      <c r="A5" s="737" t="str">
        <f ca="1">OFFSET(RADNICI!J2,A1,0)</f>
        <v>Gabrijela Denković</v>
      </c>
      <c r="B5" s="737"/>
      <c r="C5" s="52" t="s">
        <v>1008</v>
      </c>
      <c r="D5" s="206">
        <f ca="1">OFFSET(RADNICI!M2,$A$1,0)</f>
        <v>65592272975</v>
      </c>
      <c r="E5" s="50" t="s">
        <v>1009</v>
      </c>
      <c r="F5" s="34"/>
      <c r="G5" s="34"/>
      <c r="H5" s="34"/>
      <c r="I5" s="24"/>
    </row>
    <row r="6" spans="1:16" ht="15.5">
      <c r="A6" s="214"/>
      <c r="B6" s="214"/>
      <c r="C6" s="52"/>
      <c r="D6" s="206"/>
      <c r="E6" s="50"/>
      <c r="F6" s="34"/>
      <c r="G6" s="34"/>
      <c r="H6" s="34"/>
      <c r="I6" s="24"/>
    </row>
    <row r="7" spans="1:16" ht="20">
      <c r="A7" s="628" t="s">
        <v>1029</v>
      </c>
      <c r="B7" s="628"/>
      <c r="C7" s="628"/>
      <c r="D7" s="628"/>
      <c r="E7" s="628"/>
      <c r="F7" s="628"/>
      <c r="G7" s="628"/>
      <c r="H7" s="138"/>
      <c r="I7" s="138"/>
    </row>
    <row r="8" spans="1:16" ht="15.5">
      <c r="A8" s="203"/>
    </row>
    <row r="9" spans="1:16" ht="15.5">
      <c r="A9" s="711" t="s">
        <v>1030</v>
      </c>
      <c r="B9" s="711"/>
      <c r="C9" s="711"/>
      <c r="D9" s="711"/>
      <c r="E9" s="711"/>
      <c r="F9" s="711"/>
      <c r="G9" s="711"/>
      <c r="H9" s="288"/>
    </row>
    <row r="10" spans="1:16">
      <c r="A10" s="205" t="s">
        <v>1011</v>
      </c>
      <c r="B10" s="33"/>
      <c r="C10" s="708" t="str">
        <f ca="1">OFFSET(RADNICI!X2,A1,0)</f>
        <v>NEODREĐENO</v>
      </c>
      <c r="D10" s="708"/>
      <c r="E10" s="33" t="s">
        <v>1031</v>
      </c>
      <c r="F10" s="33"/>
      <c r="G10" s="33"/>
      <c r="H10" s="33"/>
    </row>
    <row r="11" spans="1:16">
      <c r="A11" s="160">
        <f ca="1">OFFSET(RADNICI!K2,A1,0)</f>
        <v>44061</v>
      </c>
      <c r="B11" s="33" t="s">
        <v>1032</v>
      </c>
      <c r="C11" s="216"/>
      <c r="D11" s="480"/>
      <c r="E11" s="481">
        <f ca="1">OFFSET(RADNICI!L2,A1,0)</f>
        <v>46234</v>
      </c>
      <c r="F11" s="33" t="s">
        <v>1033</v>
      </c>
      <c r="G11" s="33"/>
      <c r="H11" s="33"/>
    </row>
    <row r="12" spans="1:16" ht="15.5">
      <c r="A12" s="66"/>
      <c r="B12" s="16"/>
      <c r="C12" s="200"/>
      <c r="D12" s="200"/>
      <c r="E12" s="67"/>
      <c r="F12" s="16"/>
      <c r="L12" s="22" t="s">
        <v>1034</v>
      </c>
      <c r="M12" s="22"/>
      <c r="N12" s="22"/>
      <c r="O12" s="22"/>
      <c r="P12" s="22"/>
    </row>
    <row r="13" spans="1:16" ht="15.5">
      <c r="A13" s="626" t="s">
        <v>1035</v>
      </c>
      <c r="B13" s="626"/>
      <c r="C13" s="626"/>
      <c r="D13" s="626"/>
      <c r="E13" s="626"/>
      <c r="F13" s="626"/>
      <c r="G13" s="626"/>
      <c r="H13" s="22"/>
      <c r="L13" s="203" t="s">
        <v>1036</v>
      </c>
      <c r="M13" s="203"/>
      <c r="N13" s="203"/>
      <c r="O13" s="203"/>
      <c r="P13" s="203"/>
    </row>
    <row r="14" spans="1:16" ht="15.5">
      <c r="A14" s="203" t="s">
        <v>1037</v>
      </c>
      <c r="B14" s="203"/>
      <c r="C14" s="203"/>
      <c r="D14" s="203"/>
      <c r="E14" s="203"/>
      <c r="F14" s="203"/>
      <c r="G14" s="203"/>
      <c r="H14" s="203"/>
    </row>
    <row r="15" spans="1:16" ht="15.5">
      <c r="A15" s="203" t="s">
        <v>2872</v>
      </c>
      <c r="B15" s="203"/>
      <c r="C15" s="203"/>
      <c r="D15" s="202">
        <v>12</v>
      </c>
      <c r="E15" s="203" t="s">
        <v>3006</v>
      </c>
      <c r="F15" s="203"/>
      <c r="G15" s="203"/>
      <c r="H15" s="203"/>
    </row>
    <row r="16" spans="1:16" ht="15.5">
      <c r="A16" s="203" t="s">
        <v>2884</v>
      </c>
      <c r="B16" s="203"/>
      <c r="C16" s="203"/>
      <c r="D16" s="202"/>
      <c r="E16" s="203"/>
      <c r="F16" s="203"/>
      <c r="G16" s="203"/>
      <c r="H16" s="203"/>
    </row>
    <row r="17" spans="1:20" ht="15.5">
      <c r="A17" s="203" t="s">
        <v>3007</v>
      </c>
      <c r="B17" s="203"/>
      <c r="C17" s="203"/>
      <c r="D17" s="202"/>
      <c r="E17" s="203"/>
      <c r="F17" s="203"/>
      <c r="G17" s="203"/>
      <c r="H17" s="203"/>
    </row>
    <row r="18" spans="1:20" ht="15.5">
      <c r="A18" s="626" t="s">
        <v>1038</v>
      </c>
      <c r="B18" s="626"/>
      <c r="C18" s="626"/>
      <c r="D18" s="626"/>
      <c r="E18" s="626"/>
      <c r="F18" s="626"/>
      <c r="G18" s="626"/>
      <c r="H18" s="22"/>
    </row>
    <row r="19" spans="1:20" ht="15.5">
      <c r="A19" s="203" t="s">
        <v>1034</v>
      </c>
      <c r="B19" s="203"/>
      <c r="C19" s="203"/>
      <c r="D19" s="203"/>
      <c r="E19" s="203"/>
      <c r="F19" s="203"/>
      <c r="G19" s="203"/>
      <c r="H19" s="203"/>
      <c r="I19" s="22"/>
      <c r="L19" s="203" t="s">
        <v>1037</v>
      </c>
      <c r="M19" s="203"/>
      <c r="N19" s="203"/>
      <c r="O19" s="203"/>
      <c r="P19" s="203"/>
      <c r="Q19" s="203"/>
      <c r="R19" s="203"/>
      <c r="S19" s="203"/>
      <c r="T19" s="22"/>
    </row>
    <row r="20" spans="1:20" ht="15.5">
      <c r="A20" s="203" t="s">
        <v>1036</v>
      </c>
      <c r="B20" s="203"/>
      <c r="C20" s="203"/>
      <c r="D20" s="202"/>
      <c r="E20" s="203"/>
      <c r="F20" s="203"/>
      <c r="G20" s="203"/>
      <c r="H20" s="203"/>
      <c r="I20" s="203"/>
      <c r="L20" s="203" t="s">
        <v>1655</v>
      </c>
      <c r="M20" s="203"/>
      <c r="N20" s="203"/>
      <c r="O20" s="202">
        <v>3</v>
      </c>
      <c r="P20" s="203" t="s">
        <v>1039</v>
      </c>
      <c r="Q20" s="203"/>
      <c r="R20" s="203"/>
      <c r="S20" s="203"/>
      <c r="T20" s="203"/>
    </row>
    <row r="21" spans="1:20" ht="15.5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</row>
    <row r="22" spans="1:20" ht="15.5">
      <c r="A22" s="626" t="s">
        <v>1040</v>
      </c>
      <c r="B22" s="626"/>
      <c r="C22" s="626"/>
      <c r="D22" s="626"/>
      <c r="E22" s="626"/>
      <c r="F22" s="626"/>
      <c r="G22" s="626"/>
      <c r="H22" s="22"/>
    </row>
    <row r="23" spans="1:20" ht="15.5">
      <c r="A23" s="203" t="s">
        <v>1041</v>
      </c>
    </row>
    <row r="24" spans="1:20" ht="15.5">
      <c r="A24" s="203" t="s">
        <v>1042</v>
      </c>
    </row>
    <row r="25" spans="1:20" ht="15.5">
      <c r="A25" s="203"/>
    </row>
    <row r="26" spans="1:20" ht="15.5">
      <c r="A26" s="626" t="s">
        <v>1043</v>
      </c>
      <c r="B26" s="626"/>
      <c r="C26" s="626"/>
      <c r="D26" s="626"/>
      <c r="E26" s="626"/>
      <c r="F26" s="626"/>
      <c r="G26" s="626"/>
      <c r="H26" s="22"/>
    </row>
    <row r="27" spans="1:20" ht="15.5">
      <c r="A27" s="203" t="s">
        <v>1019</v>
      </c>
    </row>
    <row r="28" spans="1:20" ht="15.5">
      <c r="A28" s="203" t="s">
        <v>1020</v>
      </c>
    </row>
    <row r="29" spans="1:20" ht="15.5">
      <c r="A29" s="203"/>
    </row>
    <row r="30" spans="1:20" ht="15.5">
      <c r="A30" s="203" t="s">
        <v>2873</v>
      </c>
    </row>
    <row r="31" spans="1:20" ht="15.5">
      <c r="A31" s="203" t="s">
        <v>1044</v>
      </c>
      <c r="B31" s="482">
        <f ca="1">OFFSET(RADNICI!L2,A1,0)</f>
        <v>46234</v>
      </c>
    </row>
    <row r="32" spans="1:20" ht="15.5">
      <c r="A32" s="203"/>
      <c r="B32" s="7"/>
    </row>
    <row r="33" spans="1:5" ht="15.5">
      <c r="A33" s="203"/>
      <c r="B33" s="7"/>
    </row>
    <row r="34" spans="1:5" ht="15.5">
      <c r="A34" s="50" t="s">
        <v>1027</v>
      </c>
      <c r="E34" s="23" t="s">
        <v>971</v>
      </c>
    </row>
    <row r="35" spans="1:5">
      <c r="A35" s="48" t="str">
        <f ca="1">(OFFSET(RADNICI!E2,A1,0))</f>
        <v>D-INVOICE D.O.O.</v>
      </c>
      <c r="E35" t="str">
        <f ca="1">OFFSET(RADNICI!J2,A1,0)</f>
        <v>Gabrijela Denković</v>
      </c>
    </row>
  </sheetData>
  <mergeCells count="9">
    <mergeCell ref="A13:G13"/>
    <mergeCell ref="A18:G18"/>
    <mergeCell ref="A22:G22"/>
    <mergeCell ref="A26:G26"/>
    <mergeCell ref="E3:F3"/>
    <mergeCell ref="A5:B5"/>
    <mergeCell ref="C10:D10"/>
    <mergeCell ref="A7:G7"/>
    <mergeCell ref="A9:G9"/>
  </mergeCells>
  <phoneticPr fontId="29" type="noConversion"/>
  <pageMargins left="0.78740157480314965" right="0.23622047244094491" top="0.74803149606299213" bottom="0.74803149606299213" header="0.31496062992125984" footer="0.31496062992125984"/>
  <pageSetup paperSize="9" scale="40" fitToHeight="0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FF0000"/>
    <pageSetUpPr fitToPage="1"/>
  </sheetPr>
  <dimension ref="A1:IV28"/>
  <sheetViews>
    <sheetView zoomScale="115" zoomScaleNormal="115" workbookViewId="0">
      <selection activeCell="D20" sqref="D20"/>
    </sheetView>
  </sheetViews>
  <sheetFormatPr defaultRowHeight="14.5"/>
  <cols>
    <col min="1" max="1" width="15.453125" customWidth="1"/>
    <col min="2" max="2" width="20.81640625" customWidth="1"/>
    <col min="3" max="3" width="6.54296875" customWidth="1"/>
    <col min="4" max="4" width="29.1796875" customWidth="1"/>
    <col min="5" max="5" width="15.1796875" customWidth="1"/>
    <col min="6" max="6" width="14.81640625" customWidth="1"/>
    <col min="7" max="7" width="17.7265625" customWidth="1"/>
    <col min="8" max="8" width="15" customWidth="1"/>
    <col min="12" max="12" width="10" customWidth="1"/>
  </cols>
  <sheetData>
    <row r="1" spans="1:256" ht="15.5">
      <c r="A1" s="234">
        <f>'EVIDENCIJA NOVA'!G1</f>
        <v>808</v>
      </c>
      <c r="B1" s="55"/>
      <c r="C1" s="55"/>
      <c r="D1" s="55"/>
      <c r="E1" s="55"/>
      <c r="F1" s="55"/>
      <c r="G1" s="55"/>
      <c r="H1" s="55"/>
    </row>
    <row r="2" spans="1:256" s="16" customFormat="1">
      <c r="A2" s="738" t="s">
        <v>1004</v>
      </c>
      <c r="B2" s="738"/>
      <c r="C2" s="738"/>
      <c r="D2" s="738"/>
      <c r="E2" s="564"/>
      <c r="G2" s="564"/>
    </row>
    <row r="3" spans="1:256" s="16" customFormat="1">
      <c r="A3" s="206" t="str">
        <f ca="1">(OFFSET(RADNICI!E2,A1,0))</f>
        <v>D-INVOICE D.O.O.</v>
      </c>
      <c r="B3" s="34"/>
      <c r="C3" s="34" t="s">
        <v>1005</v>
      </c>
      <c r="D3" s="206" t="str">
        <f ca="1">(OFFSET(RADNICI!I2,A1,0))</f>
        <v>SV.IVANA KRSTITELJA 15, DARDA</v>
      </c>
      <c r="E3" s="564"/>
      <c r="G3" s="564"/>
    </row>
    <row r="4" spans="1:256" s="16" customFormat="1">
      <c r="A4" s="34" t="s">
        <v>3</v>
      </c>
      <c r="B4" s="206">
        <f ca="1">(OFFSET(RADNICI!F2,A1,0))</f>
        <v>95114485977</v>
      </c>
      <c r="C4" s="738" t="s">
        <v>2913</v>
      </c>
      <c r="D4" s="738"/>
      <c r="E4" s="33"/>
      <c r="H4" s="33"/>
    </row>
    <row r="5" spans="1:256" s="16" customFormat="1">
      <c r="A5" s="637" t="str">
        <f ca="1">OFFSET(RADNICI!J2,A1,0)</f>
        <v>VLADIMIR DEDUŠ</v>
      </c>
      <c r="B5" s="637"/>
      <c r="C5" s="16" t="s">
        <v>1008</v>
      </c>
      <c r="D5" s="206">
        <f ca="1">(OFFSET(RADNICI!M2,A1,0))</f>
        <v>31157145393</v>
      </c>
      <c r="E5" s="34"/>
      <c r="F5" s="34"/>
      <c r="G5" s="34"/>
      <c r="H5" s="34"/>
    </row>
    <row r="6" spans="1:256" s="16" customFormat="1">
      <c r="A6" s="33" t="s">
        <v>1009</v>
      </c>
      <c r="B6" s="40"/>
      <c r="C6" s="564"/>
      <c r="D6" s="206"/>
      <c r="E6" s="34"/>
      <c r="F6" s="34"/>
      <c r="G6" s="34"/>
      <c r="H6" s="34"/>
    </row>
    <row r="7" spans="1:256" s="16" customFormat="1">
      <c r="A7" s="564"/>
      <c r="B7" s="564"/>
      <c r="C7" s="52"/>
      <c r="D7" s="206"/>
      <c r="E7" s="34"/>
      <c r="F7" s="34"/>
      <c r="G7" s="34"/>
      <c r="H7" s="34"/>
    </row>
    <row r="8" spans="1:256" s="16" customFormat="1">
      <c r="A8" s="637" t="s">
        <v>1045</v>
      </c>
      <c r="B8" s="637"/>
      <c r="C8" s="637"/>
      <c r="D8" s="637"/>
      <c r="E8" s="637"/>
      <c r="F8" s="637"/>
      <c r="G8" s="40"/>
      <c r="H8" s="40"/>
    </row>
    <row r="9" spans="1:256" s="16" customFormat="1">
      <c r="A9" s="33"/>
    </row>
    <row r="10" spans="1:256" s="16" customFormat="1">
      <c r="A10" s="34" t="s">
        <v>1011</v>
      </c>
      <c r="B10" s="34"/>
      <c r="C10" s="708" t="str">
        <f ca="1">OFFSET(RADNICI!X2,A1,0)</f>
        <v>Određeno</v>
      </c>
      <c r="D10" s="708"/>
      <c r="E10" s="34" t="s">
        <v>2504</v>
      </c>
      <c r="F10" s="34"/>
      <c r="G10" s="34"/>
      <c r="H10" s="34"/>
      <c r="I10" s="34"/>
      <c r="J10" s="34"/>
      <c r="K10" s="708"/>
      <c r="L10" s="708"/>
      <c r="M10" s="34"/>
      <c r="N10" s="34"/>
      <c r="O10" s="34"/>
      <c r="P10" s="34"/>
      <c r="Q10" s="34"/>
      <c r="R10" s="34"/>
      <c r="S10" s="708"/>
      <c r="T10" s="708"/>
      <c r="U10" s="34"/>
      <c r="V10" s="34"/>
      <c r="W10" s="34"/>
      <c r="X10" s="34"/>
      <c r="Y10" s="34"/>
      <c r="Z10" s="34"/>
      <c r="AA10" s="708"/>
      <c r="AB10" s="708"/>
      <c r="AC10" s="34"/>
      <c r="AD10" s="34"/>
      <c r="AE10" s="34"/>
      <c r="AF10" s="34"/>
      <c r="AG10" s="34"/>
      <c r="AH10" s="34"/>
      <c r="AI10" s="708"/>
      <c r="AJ10" s="708"/>
      <c r="AK10" s="34"/>
      <c r="AL10" s="34"/>
      <c r="AM10" s="34"/>
      <c r="AN10" s="34"/>
      <c r="AO10" s="34"/>
      <c r="AP10" s="34"/>
      <c r="AQ10" s="708"/>
      <c r="AR10" s="708"/>
      <c r="AS10" s="34"/>
      <c r="AT10" s="34"/>
      <c r="AU10" s="34"/>
      <c r="AV10" s="34"/>
      <c r="AW10" s="34"/>
      <c r="AX10" s="34"/>
      <c r="AY10" s="708"/>
      <c r="AZ10" s="708"/>
      <c r="BA10" s="34"/>
      <c r="BB10" s="34"/>
      <c r="BC10" s="34"/>
      <c r="BD10" s="34"/>
      <c r="BE10" s="34"/>
      <c r="BF10" s="34"/>
      <c r="BG10" s="708"/>
      <c r="BH10" s="708"/>
      <c r="BI10" s="34"/>
      <c r="BJ10" s="34"/>
      <c r="BK10" s="34"/>
      <c r="BL10" s="34"/>
      <c r="BM10" s="34"/>
      <c r="BN10" s="34"/>
      <c r="BO10" s="708"/>
      <c r="BP10" s="708"/>
      <c r="BQ10" s="34"/>
      <c r="BR10" s="34"/>
      <c r="BS10" s="34"/>
      <c r="BT10" s="34"/>
      <c r="BU10" s="34"/>
      <c r="BV10" s="34"/>
      <c r="BW10" s="708"/>
      <c r="BX10" s="708"/>
      <c r="BY10" s="34"/>
      <c r="BZ10" s="34"/>
      <c r="CA10" s="34"/>
      <c r="CB10" s="34"/>
      <c r="CC10" s="34"/>
      <c r="CD10" s="34"/>
      <c r="CE10" s="708"/>
      <c r="CF10" s="708"/>
      <c r="CG10" s="34"/>
      <c r="CH10" s="34"/>
      <c r="CI10" s="34"/>
      <c r="CJ10" s="34"/>
      <c r="CK10" s="34"/>
      <c r="CL10" s="34"/>
      <c r="CM10" s="708"/>
      <c r="CN10" s="708"/>
      <c r="CO10" s="34"/>
      <c r="CP10" s="34"/>
      <c r="CQ10" s="34"/>
      <c r="CR10" s="34"/>
      <c r="CS10" s="34"/>
      <c r="CT10" s="34"/>
      <c r="CU10" s="708"/>
      <c r="CV10" s="708"/>
      <c r="CW10" s="34"/>
      <c r="CX10" s="34"/>
      <c r="CY10" s="34"/>
      <c r="CZ10" s="34"/>
      <c r="DA10" s="34"/>
      <c r="DB10" s="34"/>
      <c r="DC10" s="708"/>
      <c r="DD10" s="708"/>
      <c r="DE10" s="34"/>
      <c r="DF10" s="34"/>
      <c r="DG10" s="34"/>
      <c r="DH10" s="34"/>
      <c r="DI10" s="34"/>
      <c r="DJ10" s="34"/>
      <c r="DK10" s="708"/>
      <c r="DL10" s="708"/>
      <c r="DM10" s="34"/>
      <c r="DN10" s="34"/>
      <c r="DO10" s="34"/>
      <c r="DP10" s="34"/>
      <c r="DQ10" s="34"/>
      <c r="DR10" s="34"/>
      <c r="DS10" s="708"/>
      <c r="DT10" s="708"/>
      <c r="DU10" s="34"/>
      <c r="DV10" s="34"/>
      <c r="DW10" s="34"/>
      <c r="DX10" s="34"/>
      <c r="DY10" s="34"/>
      <c r="DZ10" s="34"/>
      <c r="EA10" s="708"/>
      <c r="EB10" s="708"/>
      <c r="EC10" s="34"/>
      <c r="ED10" s="34"/>
      <c r="EE10" s="34"/>
      <c r="EF10" s="34"/>
      <c r="EG10" s="34"/>
      <c r="EH10" s="34"/>
      <c r="EI10" s="708"/>
      <c r="EJ10" s="708"/>
      <c r="EK10" s="34"/>
      <c r="EL10" s="34"/>
      <c r="EM10" s="34"/>
      <c r="EN10" s="34"/>
      <c r="EO10" s="34"/>
      <c r="EP10" s="34"/>
      <c r="EQ10" s="708"/>
      <c r="ER10" s="708"/>
      <c r="ES10" s="34"/>
      <c r="ET10" s="34"/>
      <c r="EU10" s="34"/>
      <c r="EV10" s="34"/>
      <c r="EW10" s="34"/>
      <c r="EX10" s="34"/>
      <c r="EY10" s="708"/>
      <c r="EZ10" s="708"/>
      <c r="FA10" s="34"/>
      <c r="FB10" s="34"/>
      <c r="FC10" s="34"/>
      <c r="FD10" s="34"/>
      <c r="FE10" s="34"/>
      <c r="FF10" s="34"/>
      <c r="FG10" s="708"/>
      <c r="FH10" s="708"/>
      <c r="FI10" s="34"/>
      <c r="FJ10" s="34"/>
      <c r="FK10" s="34"/>
      <c r="FL10" s="34"/>
      <c r="FM10" s="34"/>
      <c r="FN10" s="34"/>
      <c r="FO10" s="708"/>
      <c r="FP10" s="708"/>
      <c r="FQ10" s="34"/>
      <c r="FR10" s="34"/>
      <c r="FS10" s="34"/>
      <c r="FT10" s="34"/>
      <c r="FU10" s="34"/>
      <c r="FV10" s="34"/>
      <c r="FW10" s="708"/>
      <c r="FX10" s="708"/>
      <c r="FY10" s="34"/>
      <c r="FZ10" s="34"/>
      <c r="GA10" s="34"/>
      <c r="GB10" s="34"/>
      <c r="GC10" s="34"/>
      <c r="GD10" s="34"/>
      <c r="GE10" s="708"/>
      <c r="GF10" s="708"/>
      <c r="GG10" s="34"/>
      <c r="GH10" s="34"/>
      <c r="GI10" s="34"/>
      <c r="GJ10" s="34"/>
      <c r="GK10" s="34"/>
      <c r="GL10" s="34"/>
      <c r="GM10" s="708"/>
      <c r="GN10" s="708"/>
      <c r="GO10" s="34"/>
      <c r="GP10" s="34"/>
      <c r="GQ10" s="34"/>
      <c r="GR10" s="34"/>
      <c r="GS10" s="34"/>
      <c r="GT10" s="34"/>
      <c r="GU10" s="708"/>
      <c r="GV10" s="708"/>
      <c r="GW10" s="34"/>
      <c r="GX10" s="34"/>
      <c r="GY10" s="34"/>
      <c r="GZ10" s="34"/>
      <c r="HA10" s="34"/>
      <c r="HB10" s="34"/>
      <c r="HC10" s="708"/>
      <c r="HD10" s="708"/>
      <c r="HE10" s="34"/>
      <c r="HF10" s="34"/>
      <c r="HG10" s="34"/>
      <c r="HH10" s="34"/>
      <c r="HI10" s="34"/>
      <c r="HJ10" s="34"/>
      <c r="HK10" s="708"/>
      <c r="HL10" s="708"/>
      <c r="HM10" s="34"/>
      <c r="HN10" s="34"/>
      <c r="HO10" s="34"/>
      <c r="HP10" s="34"/>
      <c r="HQ10" s="34"/>
      <c r="HR10" s="34"/>
      <c r="HS10" s="708"/>
      <c r="HT10" s="708"/>
      <c r="HU10" s="34"/>
      <c r="HV10" s="34"/>
      <c r="HW10" s="34"/>
      <c r="HX10" s="34"/>
      <c r="HY10" s="34"/>
      <c r="HZ10" s="34"/>
      <c r="IA10" s="708"/>
      <c r="IB10" s="708"/>
      <c r="IC10" s="34"/>
      <c r="ID10" s="34"/>
      <c r="IE10" s="34"/>
      <c r="IF10" s="34"/>
      <c r="IG10" s="34"/>
      <c r="IH10" s="34"/>
      <c r="II10" s="708"/>
      <c r="IJ10" s="708"/>
      <c r="IK10" s="34"/>
      <c r="IL10" s="34"/>
      <c r="IM10" s="34"/>
      <c r="IN10" s="34"/>
      <c r="IO10" s="34"/>
      <c r="IP10" s="34"/>
      <c r="IQ10" s="708"/>
      <c r="IR10" s="708"/>
      <c r="IS10" s="34"/>
      <c r="IT10" s="34"/>
      <c r="IU10" s="34"/>
      <c r="IV10" s="34"/>
    </row>
    <row r="11" spans="1:256" s="16" customFormat="1">
      <c r="A11" s="565">
        <f ca="1">OFFSET(RADNICI!K2,A1,0)</f>
        <v>46181</v>
      </c>
      <c r="B11" s="34" t="s">
        <v>1013</v>
      </c>
      <c r="C11" s="34"/>
      <c r="D11" s="566">
        <f ca="1">OFFSET(RADNICI!L2,A1,0)</f>
        <v>46210</v>
      </c>
      <c r="E11" s="34" t="s">
        <v>2355</v>
      </c>
      <c r="F11" s="34"/>
      <c r="G11" s="34"/>
      <c r="H11" s="34"/>
      <c r="I11" s="565"/>
      <c r="J11" s="34"/>
      <c r="K11" s="34"/>
      <c r="L11" s="565"/>
      <c r="M11" s="34"/>
      <c r="N11" s="34"/>
      <c r="O11" s="34"/>
      <c r="P11" s="34"/>
      <c r="Q11" s="565"/>
      <c r="R11" s="34"/>
      <c r="S11" s="34"/>
      <c r="T11" s="565"/>
      <c r="U11" s="34"/>
      <c r="V11" s="34"/>
      <c r="W11" s="34"/>
      <c r="X11" s="34"/>
      <c r="Y11" s="565"/>
      <c r="Z11" s="34"/>
      <c r="AA11" s="34"/>
      <c r="AB11" s="565"/>
      <c r="AC11" s="34"/>
      <c r="AD11" s="34"/>
      <c r="AE11" s="34"/>
      <c r="AF11" s="34"/>
      <c r="AG11" s="565"/>
      <c r="AH11" s="34"/>
      <c r="AI11" s="34"/>
      <c r="AJ11" s="565"/>
      <c r="AK11" s="34"/>
      <c r="AL11" s="34"/>
      <c r="AM11" s="34"/>
      <c r="AN11" s="34"/>
      <c r="AO11" s="565"/>
      <c r="AP11" s="34"/>
      <c r="AQ11" s="34"/>
      <c r="AR11" s="565"/>
      <c r="AS11" s="34"/>
      <c r="AT11" s="34"/>
      <c r="AU11" s="34"/>
      <c r="AV11" s="34"/>
      <c r="AW11" s="565"/>
      <c r="AX11" s="34"/>
      <c r="AY11" s="34"/>
      <c r="AZ11" s="565"/>
      <c r="BA11" s="34"/>
      <c r="BB11" s="34"/>
      <c r="BC11" s="34"/>
      <c r="BD11" s="34"/>
      <c r="BE11" s="565"/>
      <c r="BF11" s="34"/>
      <c r="BG11" s="34"/>
      <c r="BH11" s="565"/>
      <c r="BI11" s="34"/>
      <c r="BJ11" s="34"/>
      <c r="BK11" s="34"/>
      <c r="BL11" s="34"/>
      <c r="BM11" s="565"/>
      <c r="BN11" s="34"/>
      <c r="BO11" s="34"/>
      <c r="BP11" s="565"/>
      <c r="BQ11" s="34"/>
      <c r="BR11" s="34"/>
      <c r="BS11" s="34"/>
      <c r="BT11" s="34"/>
      <c r="BU11" s="565"/>
      <c r="BV11" s="34"/>
      <c r="BW11" s="34"/>
      <c r="BX11" s="565"/>
      <c r="BY11" s="34"/>
      <c r="BZ11" s="34"/>
      <c r="CA11" s="34"/>
      <c r="CB11" s="34"/>
      <c r="CC11" s="565"/>
      <c r="CD11" s="34"/>
      <c r="CE11" s="34"/>
      <c r="CF11" s="565"/>
      <c r="CG11" s="34"/>
      <c r="CH11" s="34"/>
      <c r="CI11" s="34"/>
      <c r="CJ11" s="34"/>
      <c r="CK11" s="565"/>
      <c r="CL11" s="34"/>
      <c r="CM11" s="34"/>
      <c r="CN11" s="565"/>
      <c r="CO11" s="34"/>
      <c r="CP11" s="34"/>
      <c r="CQ11" s="34"/>
      <c r="CR11" s="34"/>
      <c r="CS11" s="565"/>
      <c r="CT11" s="34"/>
      <c r="CU11" s="34"/>
      <c r="CV11" s="565"/>
      <c r="CW11" s="34"/>
      <c r="CX11" s="34"/>
      <c r="CY11" s="34"/>
      <c r="CZ11" s="34"/>
      <c r="DA11" s="565"/>
      <c r="DB11" s="34"/>
      <c r="DC11" s="34"/>
      <c r="DD11" s="565"/>
      <c r="DE11" s="34"/>
      <c r="DF11" s="34"/>
      <c r="DG11" s="34"/>
      <c r="DH11" s="34"/>
      <c r="DI11" s="565"/>
      <c r="DJ11" s="34"/>
      <c r="DK11" s="34"/>
      <c r="DL11" s="565"/>
      <c r="DM11" s="34"/>
      <c r="DN11" s="34"/>
      <c r="DO11" s="34"/>
      <c r="DP11" s="34"/>
      <c r="DQ11" s="565"/>
      <c r="DR11" s="34"/>
      <c r="DS11" s="34"/>
      <c r="DT11" s="565"/>
      <c r="DU11" s="34"/>
      <c r="DV11" s="34"/>
      <c r="DW11" s="34"/>
      <c r="DX11" s="34"/>
      <c r="DY11" s="565"/>
      <c r="DZ11" s="34"/>
      <c r="EA11" s="34"/>
      <c r="EB11" s="565"/>
      <c r="EC11" s="34"/>
      <c r="ED11" s="34"/>
      <c r="EE11" s="34"/>
      <c r="EF11" s="34"/>
      <c r="EG11" s="565"/>
      <c r="EH11" s="34"/>
      <c r="EI11" s="34"/>
      <c r="EJ11" s="565"/>
      <c r="EK11" s="34"/>
      <c r="EL11" s="34"/>
      <c r="EM11" s="34"/>
      <c r="EN11" s="34"/>
      <c r="EO11" s="565"/>
      <c r="EP11" s="34"/>
      <c r="EQ11" s="34"/>
      <c r="ER11" s="565"/>
      <c r="ES11" s="34"/>
      <c r="ET11" s="34"/>
      <c r="EU11" s="34"/>
      <c r="EV11" s="34"/>
      <c r="EW11" s="565"/>
      <c r="EX11" s="34"/>
      <c r="EY11" s="34"/>
      <c r="EZ11" s="565"/>
      <c r="FA11" s="34"/>
      <c r="FB11" s="34"/>
      <c r="FC11" s="34"/>
      <c r="FD11" s="34"/>
      <c r="FE11" s="565"/>
      <c r="FF11" s="34"/>
      <c r="FG11" s="34"/>
      <c r="FH11" s="565"/>
      <c r="FI11" s="34"/>
      <c r="FJ11" s="34"/>
      <c r="FK11" s="34"/>
      <c r="FL11" s="34"/>
      <c r="FM11" s="565"/>
      <c r="FN11" s="34"/>
      <c r="FO11" s="34"/>
      <c r="FP11" s="565"/>
      <c r="FQ11" s="34"/>
      <c r="FR11" s="34"/>
      <c r="FS11" s="34"/>
      <c r="FT11" s="34"/>
      <c r="FU11" s="565"/>
      <c r="FV11" s="34"/>
      <c r="FW11" s="34"/>
      <c r="FX11" s="565"/>
      <c r="FY11" s="34"/>
      <c r="FZ11" s="34"/>
      <c r="GA11" s="34"/>
      <c r="GB11" s="34"/>
      <c r="GC11" s="565"/>
      <c r="GD11" s="34"/>
      <c r="GE11" s="34"/>
      <c r="GF11" s="565"/>
      <c r="GG11" s="34"/>
      <c r="GH11" s="34"/>
      <c r="GI11" s="34"/>
      <c r="GJ11" s="34"/>
      <c r="GK11" s="565"/>
      <c r="GL11" s="34"/>
      <c r="GM11" s="34"/>
      <c r="GN11" s="565"/>
      <c r="GO11" s="34"/>
      <c r="GP11" s="34"/>
      <c r="GQ11" s="34"/>
      <c r="GR11" s="34"/>
      <c r="GS11" s="565"/>
      <c r="GT11" s="34"/>
      <c r="GU11" s="34"/>
      <c r="GV11" s="565"/>
      <c r="GW11" s="34"/>
      <c r="GX11" s="34"/>
      <c r="GY11" s="34"/>
      <c r="GZ11" s="34"/>
      <c r="HA11" s="565"/>
      <c r="HB11" s="34"/>
      <c r="HC11" s="34"/>
      <c r="HD11" s="565"/>
      <c r="HE11" s="34"/>
      <c r="HF11" s="34"/>
      <c r="HG11" s="34"/>
      <c r="HH11" s="34"/>
      <c r="HI11" s="565"/>
      <c r="HJ11" s="34"/>
      <c r="HK11" s="34"/>
      <c r="HL11" s="565"/>
      <c r="HM11" s="34"/>
      <c r="HN11" s="34"/>
      <c r="HO11" s="34"/>
      <c r="HP11" s="34"/>
      <c r="HQ11" s="565"/>
      <c r="HR11" s="34"/>
      <c r="HS11" s="34"/>
      <c r="HT11" s="565"/>
      <c r="HU11" s="34"/>
      <c r="HV11" s="34"/>
      <c r="HW11" s="34"/>
      <c r="HX11" s="34"/>
      <c r="HY11" s="565"/>
      <c r="HZ11" s="34"/>
      <c r="IA11" s="34"/>
      <c r="IB11" s="565"/>
      <c r="IC11" s="34"/>
      <c r="ID11" s="34"/>
      <c r="IE11" s="34"/>
      <c r="IF11" s="34"/>
      <c r="IG11" s="565"/>
      <c r="IH11" s="34"/>
      <c r="II11" s="34"/>
      <c r="IJ11" s="565"/>
      <c r="IK11" s="34"/>
      <c r="IL11" s="34"/>
      <c r="IM11" s="34"/>
      <c r="IN11" s="34"/>
      <c r="IO11" s="565"/>
      <c r="IP11" s="34"/>
      <c r="IQ11" s="34"/>
      <c r="IR11" s="565"/>
      <c r="IS11" s="34"/>
      <c r="IT11" s="34"/>
      <c r="IU11" s="34"/>
      <c r="IV11" s="34"/>
    </row>
    <row r="12" spans="1:256" s="16" customFormat="1">
      <c r="A12" s="567" t="s">
        <v>1907</v>
      </c>
      <c r="B12" s="34"/>
      <c r="C12" s="34"/>
      <c r="D12" s="565"/>
      <c r="E12" s="34"/>
      <c r="F12" s="34"/>
      <c r="G12" s="34"/>
      <c r="H12" s="34"/>
      <c r="I12" s="565"/>
      <c r="J12" s="34"/>
      <c r="K12" s="34"/>
      <c r="L12" s="565"/>
      <c r="M12" s="34"/>
      <c r="N12" s="34"/>
      <c r="O12" s="34"/>
      <c r="P12" s="34"/>
      <c r="Q12" s="565"/>
      <c r="R12" s="34"/>
      <c r="S12" s="34"/>
      <c r="T12" s="565"/>
      <c r="U12" s="34"/>
      <c r="V12" s="34"/>
      <c r="W12" s="34"/>
      <c r="X12" s="34"/>
      <c r="Y12" s="565"/>
      <c r="Z12" s="34"/>
      <c r="AA12" s="34"/>
      <c r="AB12" s="565"/>
      <c r="AC12" s="34"/>
      <c r="AD12" s="34"/>
      <c r="AE12" s="34"/>
      <c r="AF12" s="34"/>
      <c r="AG12" s="565"/>
      <c r="AH12" s="34"/>
      <c r="AI12" s="34"/>
      <c r="AJ12" s="565"/>
      <c r="AK12" s="34"/>
      <c r="AL12" s="34"/>
      <c r="AM12" s="34"/>
      <c r="AN12" s="34"/>
      <c r="AO12" s="565"/>
      <c r="AP12" s="34"/>
      <c r="AQ12" s="34"/>
      <c r="AR12" s="565"/>
      <c r="AS12" s="34"/>
      <c r="AT12" s="34"/>
      <c r="AU12" s="34"/>
      <c r="AV12" s="34"/>
      <c r="AW12" s="565"/>
      <c r="AX12" s="34"/>
      <c r="AY12" s="34"/>
      <c r="AZ12" s="565"/>
      <c r="BA12" s="34"/>
      <c r="BB12" s="34"/>
      <c r="BC12" s="34"/>
      <c r="BD12" s="34"/>
      <c r="BE12" s="565"/>
      <c r="BF12" s="34"/>
      <c r="BG12" s="34"/>
      <c r="BH12" s="565"/>
      <c r="BI12" s="34"/>
      <c r="BJ12" s="34"/>
      <c r="BK12" s="34"/>
      <c r="BL12" s="34"/>
      <c r="BM12" s="565"/>
      <c r="BN12" s="34"/>
      <c r="BO12" s="34"/>
      <c r="BP12" s="565"/>
      <c r="BQ12" s="34"/>
      <c r="BR12" s="34"/>
      <c r="BS12" s="34"/>
      <c r="BT12" s="34"/>
      <c r="BU12" s="565"/>
      <c r="BV12" s="34"/>
      <c r="BW12" s="34"/>
      <c r="BX12" s="565"/>
      <c r="BY12" s="34"/>
      <c r="BZ12" s="34"/>
      <c r="CA12" s="34"/>
      <c r="CB12" s="34"/>
      <c r="CC12" s="565"/>
      <c r="CD12" s="34"/>
      <c r="CE12" s="34"/>
      <c r="CF12" s="565"/>
      <c r="CG12" s="34"/>
      <c r="CH12" s="34"/>
      <c r="CI12" s="34"/>
      <c r="CJ12" s="34"/>
      <c r="CK12" s="565"/>
      <c r="CL12" s="34"/>
      <c r="CM12" s="34"/>
      <c r="CN12" s="565"/>
      <c r="CO12" s="34"/>
      <c r="CP12" s="34"/>
      <c r="CQ12" s="34"/>
      <c r="CR12" s="34"/>
      <c r="CS12" s="565"/>
      <c r="CT12" s="34"/>
      <c r="CU12" s="34"/>
      <c r="CV12" s="565"/>
      <c r="CW12" s="34"/>
      <c r="CX12" s="34"/>
      <c r="CY12" s="34"/>
      <c r="CZ12" s="34"/>
      <c r="DA12" s="565"/>
      <c r="DB12" s="34"/>
      <c r="DC12" s="34"/>
      <c r="DD12" s="565"/>
      <c r="DE12" s="34"/>
      <c r="DF12" s="34"/>
      <c r="DG12" s="34"/>
      <c r="DH12" s="34"/>
      <c r="DI12" s="565"/>
      <c r="DJ12" s="34"/>
      <c r="DK12" s="34"/>
      <c r="DL12" s="565"/>
      <c r="DM12" s="34"/>
      <c r="DN12" s="34"/>
      <c r="DO12" s="34"/>
      <c r="DP12" s="34"/>
      <c r="DQ12" s="565"/>
      <c r="DR12" s="34"/>
      <c r="DS12" s="34"/>
      <c r="DT12" s="565"/>
      <c r="DU12" s="34"/>
      <c r="DV12" s="34"/>
      <c r="DW12" s="34"/>
      <c r="DX12" s="34"/>
      <c r="DY12" s="565"/>
      <c r="DZ12" s="34"/>
      <c r="EA12" s="34"/>
      <c r="EB12" s="565"/>
      <c r="EC12" s="34"/>
      <c r="ED12" s="34"/>
      <c r="EE12" s="34"/>
      <c r="EF12" s="34"/>
      <c r="EG12" s="565"/>
      <c r="EH12" s="34"/>
      <c r="EI12" s="34"/>
      <c r="EJ12" s="565"/>
      <c r="EK12" s="34"/>
      <c r="EL12" s="34"/>
      <c r="EM12" s="34"/>
      <c r="EN12" s="34"/>
      <c r="EO12" s="565"/>
      <c r="EP12" s="34"/>
      <c r="EQ12" s="34"/>
      <c r="ER12" s="565"/>
      <c r="ES12" s="34"/>
      <c r="ET12" s="34"/>
      <c r="EU12" s="34"/>
      <c r="EV12" s="34"/>
      <c r="EW12" s="565"/>
      <c r="EX12" s="34"/>
      <c r="EY12" s="34"/>
      <c r="EZ12" s="565"/>
      <c r="FA12" s="34"/>
      <c r="FB12" s="34"/>
      <c r="FC12" s="34"/>
      <c r="FD12" s="34"/>
      <c r="FE12" s="565"/>
      <c r="FF12" s="34"/>
      <c r="FG12" s="34"/>
      <c r="FH12" s="565"/>
      <c r="FI12" s="34"/>
      <c r="FJ12" s="34"/>
      <c r="FK12" s="34"/>
      <c r="FL12" s="34"/>
      <c r="FM12" s="565"/>
      <c r="FN12" s="34"/>
      <c r="FO12" s="34"/>
      <c r="FP12" s="565"/>
      <c r="FQ12" s="34"/>
      <c r="FR12" s="34"/>
      <c r="FS12" s="34"/>
      <c r="FT12" s="34"/>
      <c r="FU12" s="565"/>
      <c r="FV12" s="34"/>
      <c r="FW12" s="34"/>
      <c r="FX12" s="565"/>
      <c r="FY12" s="34"/>
      <c r="FZ12" s="34"/>
      <c r="GA12" s="34"/>
      <c r="GB12" s="34"/>
      <c r="GC12" s="565"/>
      <c r="GD12" s="34"/>
      <c r="GE12" s="34"/>
      <c r="GF12" s="565"/>
      <c r="GG12" s="34"/>
      <c r="GH12" s="34"/>
      <c r="GI12" s="34"/>
      <c r="GJ12" s="34"/>
      <c r="GK12" s="565"/>
      <c r="GL12" s="34"/>
      <c r="GM12" s="34"/>
      <c r="GN12" s="565"/>
      <c r="GO12" s="34"/>
      <c r="GP12" s="34"/>
      <c r="GQ12" s="34"/>
      <c r="GR12" s="34"/>
      <c r="GS12" s="565"/>
      <c r="GT12" s="34"/>
      <c r="GU12" s="34"/>
      <c r="GV12" s="565"/>
      <c r="GW12" s="34"/>
      <c r="GX12" s="34"/>
      <c r="GY12" s="34"/>
      <c r="GZ12" s="34"/>
      <c r="HA12" s="565"/>
      <c r="HB12" s="34"/>
      <c r="HC12" s="34"/>
      <c r="HD12" s="565"/>
      <c r="HE12" s="34"/>
      <c r="HF12" s="34"/>
      <c r="HG12" s="34"/>
      <c r="HH12" s="34"/>
      <c r="HI12" s="565"/>
      <c r="HJ12" s="34"/>
      <c r="HK12" s="34"/>
      <c r="HL12" s="565"/>
      <c r="HM12" s="34"/>
      <c r="HN12" s="34"/>
      <c r="HO12" s="34"/>
      <c r="HP12" s="34"/>
      <c r="HQ12" s="565"/>
      <c r="HR12" s="34"/>
      <c r="HS12" s="34"/>
      <c r="HT12" s="565"/>
      <c r="HU12" s="34"/>
      <c r="HV12" s="34"/>
      <c r="HW12" s="34"/>
      <c r="HX12" s="34"/>
      <c r="HY12" s="565"/>
      <c r="HZ12" s="34"/>
      <c r="IA12" s="34"/>
      <c r="IB12" s="565"/>
      <c r="IC12" s="34"/>
      <c r="ID12" s="34"/>
      <c r="IE12" s="34"/>
      <c r="IF12" s="34"/>
      <c r="IG12" s="565"/>
      <c r="IH12" s="34"/>
      <c r="II12" s="34"/>
      <c r="IJ12" s="565"/>
      <c r="IK12" s="34"/>
      <c r="IL12" s="34"/>
      <c r="IM12" s="34"/>
      <c r="IN12" s="34"/>
      <c r="IO12" s="565"/>
      <c r="IP12" s="34"/>
      <c r="IQ12" s="34"/>
      <c r="IR12" s="565"/>
      <c r="IS12" s="34"/>
      <c r="IT12" s="34"/>
      <c r="IU12" s="34"/>
      <c r="IV12" s="34"/>
    </row>
    <row r="13" spans="1:256" s="16" customFormat="1">
      <c r="A13" s="33"/>
    </row>
    <row r="14" spans="1:256" s="16" customFormat="1">
      <c r="A14" s="33" t="s">
        <v>1016</v>
      </c>
    </row>
    <row r="15" spans="1:256" s="16" customFormat="1">
      <c r="A15" s="33" t="s">
        <v>1046</v>
      </c>
      <c r="B15" s="33"/>
      <c r="C15" s="33"/>
      <c r="D15" s="33"/>
      <c r="E15" s="33"/>
      <c r="F15" s="33"/>
      <c r="G15" s="33"/>
      <c r="H15" s="33"/>
      <c r="I15" s="33"/>
      <c r="J15" s="34"/>
      <c r="K15" s="33"/>
      <c r="L15" s="33"/>
      <c r="M15" s="33"/>
      <c r="N15" s="33"/>
      <c r="O15" s="33"/>
    </row>
    <row r="16" spans="1:256" s="16" customFormat="1">
      <c r="A16" s="34" t="s">
        <v>1047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216"/>
      <c r="N16" s="34"/>
      <c r="O16" s="34"/>
    </row>
    <row r="17" spans="1:1" s="16" customFormat="1">
      <c r="A17" s="33" t="s">
        <v>2912</v>
      </c>
    </row>
    <row r="18" spans="1:1" s="16" customFormat="1">
      <c r="A18" s="33" t="s">
        <v>1048</v>
      </c>
    </row>
    <row r="19" spans="1:1" s="16" customFormat="1">
      <c r="A19" s="33" t="s">
        <v>1049</v>
      </c>
    </row>
    <row r="20" spans="1:1" s="16" customFormat="1">
      <c r="A20" s="33"/>
    </row>
    <row r="21" spans="1:1" s="16" customFormat="1">
      <c r="A21" s="568" t="s">
        <v>1021</v>
      </c>
    </row>
    <row r="22" spans="1:1" s="16" customFormat="1">
      <c r="A22" s="33" t="s">
        <v>1908</v>
      </c>
    </row>
    <row r="23" spans="1:1" s="16" customFormat="1">
      <c r="A23" s="33"/>
    </row>
    <row r="24" spans="1:1" s="16" customFormat="1">
      <c r="A24" s="33" t="s">
        <v>1023</v>
      </c>
    </row>
    <row r="25" spans="1:1" s="16" customFormat="1">
      <c r="A25" s="34" t="s">
        <v>1024</v>
      </c>
    </row>
    <row r="26" spans="1:1" s="16" customFormat="1">
      <c r="A26" s="34" t="s">
        <v>1025</v>
      </c>
    </row>
    <row r="27" spans="1:1" s="16" customFormat="1">
      <c r="A27" s="34" t="s">
        <v>1050</v>
      </c>
    </row>
    <row r="28" spans="1:1" s="16" customFormat="1">
      <c r="A28" s="33" t="s">
        <v>1027</v>
      </c>
    </row>
  </sheetData>
  <mergeCells count="36">
    <mergeCell ref="II10:IJ10"/>
    <mergeCell ref="IQ10:IR10"/>
    <mergeCell ref="GM10:GN10"/>
    <mergeCell ref="GU10:GV10"/>
    <mergeCell ref="HS10:HT10"/>
    <mergeCell ref="IA10:IB10"/>
    <mergeCell ref="HC10:HD10"/>
    <mergeCell ref="HK10:HL10"/>
    <mergeCell ref="FW10:FX10"/>
    <mergeCell ref="GE10:GF10"/>
    <mergeCell ref="CU10:CV10"/>
    <mergeCell ref="DC10:DD10"/>
    <mergeCell ref="DK10:DL10"/>
    <mergeCell ref="DS10:DT10"/>
    <mergeCell ref="FG10:FH10"/>
    <mergeCell ref="FO10:FP10"/>
    <mergeCell ref="EQ10:ER10"/>
    <mergeCell ref="EY10:EZ10"/>
    <mergeCell ref="EA10:EB10"/>
    <mergeCell ref="EI10:EJ10"/>
    <mergeCell ref="C4:D4"/>
    <mergeCell ref="A2:D2"/>
    <mergeCell ref="CE10:CF10"/>
    <mergeCell ref="CM10:CN10"/>
    <mergeCell ref="C10:D10"/>
    <mergeCell ref="K10:L10"/>
    <mergeCell ref="BO10:BP10"/>
    <mergeCell ref="BW10:BX10"/>
    <mergeCell ref="AY10:AZ10"/>
    <mergeCell ref="BG10:BH10"/>
    <mergeCell ref="AI10:AJ10"/>
    <mergeCell ref="AQ10:AR10"/>
    <mergeCell ref="S10:T10"/>
    <mergeCell ref="AA10:AB10"/>
    <mergeCell ref="A8:F8"/>
    <mergeCell ref="A5:B5"/>
  </mergeCells>
  <phoneticPr fontId="29" type="noConversion"/>
  <pageMargins left="0.25" right="0.25" top="0.75" bottom="0.75" header="0.3" footer="0.3"/>
  <pageSetup paperSize="9" scale="10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FF0000"/>
    <pageSetUpPr fitToPage="1"/>
  </sheetPr>
  <dimension ref="A1:K41"/>
  <sheetViews>
    <sheetView showRuler="0" zoomScaleNormal="100" workbookViewId="0">
      <selection activeCell="H18" sqref="H18"/>
    </sheetView>
  </sheetViews>
  <sheetFormatPr defaultRowHeight="14.5"/>
  <cols>
    <col min="1" max="1" width="13.54296875" customWidth="1"/>
    <col min="2" max="2" width="12.81640625" customWidth="1"/>
    <col min="3" max="3" width="22.81640625" customWidth="1"/>
    <col min="4" max="4" width="13.81640625" customWidth="1"/>
    <col min="5" max="5" width="16" customWidth="1"/>
    <col min="6" max="6" width="15.7265625" customWidth="1"/>
    <col min="7" max="7" width="10.7265625" customWidth="1"/>
    <col min="11" max="11" width="8.453125" customWidth="1"/>
  </cols>
  <sheetData>
    <row r="1" spans="1:11">
      <c r="A1" s="14">
        <v>523</v>
      </c>
    </row>
    <row r="2" spans="1:11" ht="15.5">
      <c r="A2" s="59" t="str">
        <f ca="1">OFFSET(RADNICI!E2,A1,0)</f>
        <v>D-INVOICE D.O.O.</v>
      </c>
      <c r="B2" s="59"/>
    </row>
    <row r="3" spans="1:11" ht="15.5">
      <c r="A3" s="731">
        <f ca="1">OFFSET(RADNICI!F2,$A$1,0)</f>
        <v>95114485977</v>
      </c>
      <c r="B3" s="731"/>
    </row>
    <row r="4" spans="1:11" ht="15.5">
      <c r="A4" s="209"/>
      <c r="B4" s="209"/>
    </row>
    <row r="5" spans="1:11" ht="15.5">
      <c r="A5" s="69" t="s">
        <v>1052</v>
      </c>
      <c r="B5" s="209"/>
    </row>
    <row r="6" spans="1:11" ht="15.5">
      <c r="A6" s="69" t="s">
        <v>1053</v>
      </c>
      <c r="B6" s="209"/>
    </row>
    <row r="8" spans="1:11" ht="15.5">
      <c r="A8" s="735" t="s">
        <v>1054</v>
      </c>
      <c r="B8" s="735"/>
      <c r="C8" s="735"/>
      <c r="D8" s="735"/>
      <c r="E8" s="735"/>
      <c r="F8" s="735"/>
      <c r="G8" s="735"/>
      <c r="H8" s="60"/>
      <c r="I8" s="60"/>
      <c r="J8" s="19"/>
      <c r="K8" s="19"/>
    </row>
    <row r="9" spans="1:11" ht="15.5">
      <c r="A9" s="210"/>
      <c r="B9" s="210"/>
      <c r="C9" s="210"/>
      <c r="D9" s="210"/>
      <c r="E9" s="210"/>
      <c r="F9" s="210"/>
      <c r="G9" s="210"/>
      <c r="H9" s="60"/>
      <c r="I9" s="60"/>
      <c r="J9" s="19"/>
      <c r="K9" s="19"/>
    </row>
    <row r="10" spans="1:11">
      <c r="A10" s="641" t="s">
        <v>1055</v>
      </c>
      <c r="B10" s="641"/>
      <c r="C10" s="641"/>
      <c r="D10" s="641"/>
      <c r="E10" s="641"/>
      <c r="F10" s="641"/>
      <c r="G10" s="641"/>
    </row>
    <row r="11" spans="1:11">
      <c r="A11" s="201"/>
      <c r="B11" s="201"/>
      <c r="C11" s="201"/>
      <c r="D11" s="201"/>
      <c r="E11" s="201"/>
      <c r="F11" s="201"/>
      <c r="G11" s="201"/>
    </row>
    <row r="12" spans="1:11" ht="15.5">
      <c r="A12" s="57" t="s">
        <v>1056</v>
      </c>
      <c r="B12" s="740" t="str">
        <f ca="1">OFFSET(RADNICI!J2,$A$1,0)</f>
        <v>TIMEA BEJTEŠ</v>
      </c>
      <c r="C12" s="740"/>
      <c r="D12" s="58" t="s">
        <v>784</v>
      </c>
      <c r="E12" s="59">
        <f ca="1">OFFSET(RADNICI!M2,$A$1,0)</f>
        <v>86252978963</v>
      </c>
      <c r="F12" s="58" t="s">
        <v>1057</v>
      </c>
      <c r="G12" s="58"/>
      <c r="H12" s="58"/>
      <c r="I12" s="58"/>
    </row>
    <row r="13" spans="1:11" ht="15" customHeight="1">
      <c r="A13" s="739" t="s">
        <v>1058</v>
      </c>
      <c r="B13" s="739"/>
      <c r="C13" s="739"/>
      <c r="D13" s="72">
        <f ca="1">OFFSET(RADNICI!K2,$A$1,0)</f>
        <v>44881</v>
      </c>
      <c r="E13" s="71" t="s">
        <v>1059</v>
      </c>
      <c r="F13" s="72">
        <f ca="1">OFFSET(RADNICI!L2,$A$1,0)</f>
        <v>45828</v>
      </c>
      <c r="G13" s="70"/>
      <c r="H13" s="70"/>
      <c r="I13" s="70"/>
    </row>
    <row r="15" spans="1:11" s="55" customFormat="1" ht="15.5">
      <c r="A15" s="58" t="s">
        <v>1060</v>
      </c>
      <c r="B15" s="454"/>
      <c r="C15" s="58"/>
      <c r="D15" s="58"/>
      <c r="E15" s="58"/>
    </row>
    <row r="17" spans="1:5" ht="15.5">
      <c r="A17" s="73" t="s">
        <v>961</v>
      </c>
      <c r="B17" s="58" t="str">
        <f ca="1">OFFSET(RADNICI!W2,$A$1,0)</f>
        <v>KNJIGOVOĐA</v>
      </c>
    </row>
    <row r="18" spans="1:5" ht="15.5">
      <c r="A18" s="452" t="s">
        <v>961</v>
      </c>
      <c r="B18" s="453" t="s">
        <v>2196</v>
      </c>
      <c r="C18" s="58"/>
    </row>
    <row r="19" spans="1:5" ht="15.5">
      <c r="A19" s="452" t="s">
        <v>961</v>
      </c>
      <c r="B19" s="17" t="s">
        <v>2876</v>
      </c>
    </row>
    <row r="20" spans="1:5" ht="15.5">
      <c r="A20" s="57"/>
    </row>
    <row r="21" spans="1:5" ht="15.5">
      <c r="A21" s="62"/>
    </row>
    <row r="22" spans="1:5" ht="15.5">
      <c r="A22" s="57"/>
    </row>
    <row r="23" spans="1:5" ht="15.5">
      <c r="A23" s="62"/>
    </row>
    <row r="24" spans="1:5" ht="15.5">
      <c r="A24" s="57"/>
    </row>
    <row r="25" spans="1:5" ht="15.5">
      <c r="A25" s="57"/>
    </row>
    <row r="26" spans="1:5" ht="15.5">
      <c r="A26" s="57" t="s">
        <v>2198</v>
      </c>
      <c r="B26" s="7">
        <f ca="1">TODAY()</f>
        <v>46202</v>
      </c>
    </row>
    <row r="27" spans="1:5">
      <c r="A27" s="171"/>
    </row>
    <row r="28" spans="1:5" ht="15.5">
      <c r="A28" s="57"/>
    </row>
    <row r="30" spans="1:5" ht="15.5">
      <c r="A30" s="57" t="s">
        <v>1074</v>
      </c>
      <c r="E30" s="58" t="s">
        <v>2197</v>
      </c>
    </row>
    <row r="31" spans="1:5" ht="15.5">
      <c r="A31" s="57" t="str">
        <f ca="1">OFFSET(RADNICI!E2,A1,0)</f>
        <v>D-INVOICE D.O.O.</v>
      </c>
      <c r="E31" s="68"/>
    </row>
    <row r="32" spans="1:5" ht="15.5">
      <c r="A32" s="62"/>
    </row>
    <row r="33" spans="1:5" ht="15.5">
      <c r="A33" s="57"/>
    </row>
    <row r="34" spans="1:5" ht="15.5">
      <c r="A34" s="57"/>
    </row>
    <row r="35" spans="1:5" ht="15.5">
      <c r="A35" s="57"/>
    </row>
    <row r="36" spans="1:5" ht="15.5">
      <c r="A36" s="57"/>
    </row>
    <row r="37" spans="1:5" ht="15.5">
      <c r="A37" s="57"/>
    </row>
    <row r="39" spans="1:5" ht="15.5">
      <c r="A39" s="57"/>
      <c r="E39" s="58"/>
    </row>
    <row r="40" spans="1:5" ht="15.5">
      <c r="A40" s="57"/>
      <c r="E40" s="68"/>
    </row>
    <row r="41" spans="1:5" ht="15.5">
      <c r="A41" s="57"/>
    </row>
  </sheetData>
  <sheetProtection formatCells="0" formatColumns="0" formatRows="0" insertColumns="0" insertRows="0" insertHyperlinks="0" deleteColumns="0" deleteRows="0" sort="0" autoFilter="0" pivotTables="0"/>
  <mergeCells count="5">
    <mergeCell ref="A13:C13"/>
    <mergeCell ref="A3:B3"/>
    <mergeCell ref="A8:G8"/>
    <mergeCell ref="B12:C12"/>
    <mergeCell ref="A10:G10"/>
  </mergeCells>
  <phoneticPr fontId="0" type="noConversion"/>
  <pageMargins left="1.1811023622047245" right="0.23622047244094491" top="0.74803149606299213" bottom="0.74803149606299213" header="0.31496062992125984" footer="0.31496062992125984"/>
  <pageSetup scale="85" fitToHeight="0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IV27"/>
  <sheetViews>
    <sheetView zoomScaleNormal="100" workbookViewId="0">
      <selection activeCell="J7" sqref="J7"/>
    </sheetView>
  </sheetViews>
  <sheetFormatPr defaultColWidth="9.1796875" defaultRowHeight="14.5"/>
  <cols>
    <col min="1" max="1" width="12.7265625" customWidth="1"/>
    <col min="2" max="2" width="22.26953125" customWidth="1"/>
    <col min="3" max="3" width="18" customWidth="1"/>
    <col min="4" max="4" width="14.1796875" customWidth="1"/>
    <col min="5" max="5" width="9.1796875" customWidth="1"/>
    <col min="6" max="6" width="11" customWidth="1"/>
    <col min="7" max="7" width="10.54296875" customWidth="1"/>
    <col min="8" max="8" width="15" customWidth="1"/>
    <col min="12" max="12" width="10" customWidth="1"/>
  </cols>
  <sheetData>
    <row r="1" spans="1:256" ht="15.5">
      <c r="A1" s="234">
        <f>'EVIDENCIJA NOVA'!G1</f>
        <v>808</v>
      </c>
      <c r="B1" s="55"/>
      <c r="C1" s="55"/>
      <c r="D1" s="55"/>
      <c r="E1" s="55"/>
      <c r="F1" s="55"/>
      <c r="G1" s="55"/>
      <c r="H1" s="55"/>
    </row>
    <row r="2" spans="1:256" ht="15.5">
      <c r="A2" s="203" t="s">
        <v>1004</v>
      </c>
      <c r="B2" s="50"/>
      <c r="C2" s="50"/>
      <c r="D2" s="50"/>
      <c r="E2" s="50"/>
      <c r="F2" s="50"/>
      <c r="G2" s="713" t="str">
        <f ca="1">(OFFSET(RADNICI!E2,A1,0))</f>
        <v>D-INVOICE D.O.O.</v>
      </c>
      <c r="H2" s="713"/>
    </row>
    <row r="3" spans="1:256" ht="15.5">
      <c r="A3" s="51" t="s">
        <v>1005</v>
      </c>
      <c r="B3" s="213" t="str">
        <f ca="1">(OFFSET(RADNICI!I2,A1,0))</f>
        <v>SV.IVANA KRSTITELJA 15, DARDA</v>
      </c>
      <c r="C3" s="212"/>
      <c r="D3" s="212" t="s">
        <v>3</v>
      </c>
      <c r="E3" s="712">
        <f ca="1">OFFSET(RADNICI!F2,A1,0)</f>
        <v>95114485977</v>
      </c>
      <c r="F3" s="712"/>
      <c r="G3" s="23" t="s">
        <v>1006</v>
      </c>
      <c r="H3" s="23"/>
    </row>
    <row r="4" spans="1:256" ht="15.5">
      <c r="A4" s="50" t="s">
        <v>1007</v>
      </c>
      <c r="B4" s="50"/>
      <c r="C4" s="55"/>
      <c r="D4" s="50"/>
      <c r="E4" s="50"/>
      <c r="F4" s="50"/>
      <c r="G4" s="50"/>
      <c r="H4" s="50"/>
    </row>
    <row r="5" spans="1:256" ht="15.5">
      <c r="A5" s="725" t="str">
        <f ca="1">OFFSET(RADNICI!J2,A1,0)</f>
        <v>VLADIMIR DEDUŠ</v>
      </c>
      <c r="B5" s="725"/>
      <c r="C5" s="92" t="s">
        <v>3</v>
      </c>
      <c r="D5" s="213">
        <f ca="1">OFFSET(RADNICI!M2,$A$1,0)</f>
        <v>31157145393</v>
      </c>
      <c r="E5" s="50" t="s">
        <v>1009</v>
      </c>
      <c r="F5" s="50"/>
      <c r="G5" s="50"/>
      <c r="H5" s="50"/>
    </row>
    <row r="6" spans="1:256" ht="15.5">
      <c r="A6" s="214"/>
      <c r="B6" s="214"/>
      <c r="C6" s="92"/>
      <c r="D6" s="213"/>
      <c r="E6" s="50"/>
      <c r="F6" s="50"/>
      <c r="G6" s="50"/>
      <c r="H6" s="50"/>
    </row>
    <row r="7" spans="1:256" ht="15">
      <c r="A7" s="725" t="s">
        <v>1051</v>
      </c>
      <c r="B7" s="725"/>
      <c r="C7" s="725"/>
      <c r="D7" s="725"/>
      <c r="E7" s="725"/>
      <c r="F7" s="725"/>
      <c r="G7" s="725"/>
      <c r="H7" s="725"/>
    </row>
    <row r="8" spans="1:256" ht="15.5">
      <c r="A8" s="22"/>
      <c r="B8" s="55"/>
      <c r="C8" s="55"/>
      <c r="D8" s="55"/>
      <c r="E8" s="55"/>
      <c r="F8" s="55"/>
      <c r="G8" s="55"/>
      <c r="H8" s="55"/>
    </row>
    <row r="9" spans="1:256" ht="15.5">
      <c r="A9" s="203" t="s">
        <v>1011</v>
      </c>
      <c r="B9" s="50"/>
      <c r="C9" s="726" t="str">
        <f ca="1">OFFSET(RADNICI!X2,A1,0)</f>
        <v>Određeno</v>
      </c>
      <c r="D9" s="726"/>
      <c r="E9" s="50" t="s">
        <v>1012</v>
      </c>
      <c r="F9" s="50"/>
      <c r="G9" s="50"/>
      <c r="H9" s="50"/>
      <c r="I9" s="203"/>
      <c r="J9" s="50"/>
      <c r="K9" s="726"/>
      <c r="L9" s="726"/>
      <c r="M9" s="50"/>
      <c r="N9" s="50"/>
      <c r="O9" s="50"/>
      <c r="P9" s="50"/>
      <c r="Q9" s="203"/>
      <c r="R9" s="50"/>
      <c r="S9" s="726"/>
      <c r="T9" s="726"/>
      <c r="U9" s="50"/>
      <c r="V9" s="50"/>
      <c r="W9" s="50"/>
      <c r="X9" s="50"/>
      <c r="Y9" s="203"/>
      <c r="Z9" s="50"/>
      <c r="AA9" s="726"/>
      <c r="AB9" s="726"/>
      <c r="AC9" s="50"/>
      <c r="AD9" s="50"/>
      <c r="AE9" s="50"/>
      <c r="AF9" s="50"/>
      <c r="AG9" s="203"/>
      <c r="AH9" s="50"/>
      <c r="AI9" s="726"/>
      <c r="AJ9" s="726"/>
      <c r="AK9" s="50"/>
      <c r="AL9" s="50"/>
      <c r="AM9" s="50"/>
      <c r="AN9" s="50"/>
      <c r="AO9" s="203"/>
      <c r="AP9" s="50"/>
      <c r="AQ9" s="726"/>
      <c r="AR9" s="726"/>
      <c r="AS9" s="50"/>
      <c r="AT9" s="50"/>
      <c r="AU9" s="50"/>
      <c r="AV9" s="50"/>
      <c r="AW9" s="203"/>
      <c r="AX9" s="50"/>
      <c r="AY9" s="726"/>
      <c r="AZ9" s="726"/>
      <c r="BA9" s="50"/>
      <c r="BB9" s="50"/>
      <c r="BC9" s="50"/>
      <c r="BD9" s="50"/>
      <c r="BE9" s="203"/>
      <c r="BF9" s="50"/>
      <c r="BG9" s="726"/>
      <c r="BH9" s="726"/>
      <c r="BI9" s="50"/>
      <c r="BJ9" s="50"/>
      <c r="BK9" s="50"/>
      <c r="BL9" s="50"/>
      <c r="BM9" s="203"/>
      <c r="BN9" s="50"/>
      <c r="BO9" s="726"/>
      <c r="BP9" s="726"/>
      <c r="BQ9" s="50"/>
      <c r="BR9" s="50"/>
      <c r="BS9" s="50"/>
      <c r="BT9" s="50"/>
      <c r="BU9" s="203"/>
      <c r="BV9" s="50"/>
      <c r="BW9" s="726"/>
      <c r="BX9" s="726"/>
      <c r="BY9" s="50"/>
      <c r="BZ9" s="50"/>
      <c r="CA9" s="50"/>
      <c r="CB9" s="50"/>
      <c r="CC9" s="203"/>
      <c r="CD9" s="50"/>
      <c r="CE9" s="726"/>
      <c r="CF9" s="726"/>
      <c r="CG9" s="50"/>
      <c r="CH9" s="50"/>
      <c r="CI9" s="50"/>
      <c r="CJ9" s="50"/>
      <c r="CK9" s="203"/>
      <c r="CL9" s="50"/>
      <c r="CM9" s="726"/>
      <c r="CN9" s="726"/>
      <c r="CO9" s="50"/>
      <c r="CP9" s="50"/>
      <c r="CQ9" s="50"/>
      <c r="CR9" s="50"/>
      <c r="CS9" s="203"/>
      <c r="CT9" s="50"/>
      <c r="CU9" s="726"/>
      <c r="CV9" s="726"/>
      <c r="CW9" s="50"/>
      <c r="CX9" s="50"/>
      <c r="CY9" s="50"/>
      <c r="CZ9" s="50"/>
      <c r="DA9" s="203"/>
      <c r="DB9" s="50"/>
      <c r="DC9" s="726"/>
      <c r="DD9" s="726"/>
      <c r="DE9" s="50"/>
      <c r="DF9" s="50"/>
      <c r="DG9" s="50"/>
      <c r="DH9" s="50"/>
      <c r="DI9" s="203"/>
      <c r="DJ9" s="50"/>
      <c r="DK9" s="726"/>
      <c r="DL9" s="726"/>
      <c r="DM9" s="50"/>
      <c r="DN9" s="50"/>
      <c r="DO9" s="50"/>
      <c r="DP9" s="50"/>
      <c r="DQ9" s="203"/>
      <c r="DR9" s="50"/>
      <c r="DS9" s="726"/>
      <c r="DT9" s="726"/>
      <c r="DU9" s="50"/>
      <c r="DV9" s="50"/>
      <c r="DW9" s="50"/>
      <c r="DX9" s="50"/>
      <c r="DY9" s="203"/>
      <c r="DZ9" s="50"/>
      <c r="EA9" s="726"/>
      <c r="EB9" s="726"/>
      <c r="EC9" s="50"/>
      <c r="ED9" s="50"/>
      <c r="EE9" s="50"/>
      <c r="EF9" s="50"/>
      <c r="EG9" s="203"/>
      <c r="EH9" s="50"/>
      <c r="EI9" s="726"/>
      <c r="EJ9" s="726"/>
      <c r="EK9" s="50"/>
      <c r="EL9" s="50"/>
      <c r="EM9" s="50"/>
      <c r="EN9" s="50"/>
      <c r="EO9" s="203"/>
      <c r="EP9" s="50"/>
      <c r="EQ9" s="726"/>
      <c r="ER9" s="726"/>
      <c r="ES9" s="50"/>
      <c r="ET9" s="50"/>
      <c r="EU9" s="50"/>
      <c r="EV9" s="50"/>
      <c r="EW9" s="203"/>
      <c r="EX9" s="50"/>
      <c r="EY9" s="726"/>
      <c r="EZ9" s="726"/>
      <c r="FA9" s="50"/>
      <c r="FB9" s="50"/>
      <c r="FC9" s="50"/>
      <c r="FD9" s="50"/>
      <c r="FE9" s="203"/>
      <c r="FF9" s="50"/>
      <c r="FG9" s="726"/>
      <c r="FH9" s="726"/>
      <c r="FI9" s="50"/>
      <c r="FJ9" s="50"/>
      <c r="FK9" s="50"/>
      <c r="FL9" s="50"/>
      <c r="FM9" s="203"/>
      <c r="FN9" s="50"/>
      <c r="FO9" s="726"/>
      <c r="FP9" s="726"/>
      <c r="FQ9" s="50"/>
      <c r="FR9" s="50"/>
      <c r="FS9" s="50"/>
      <c r="FT9" s="50"/>
      <c r="FU9" s="203"/>
      <c r="FV9" s="50"/>
      <c r="FW9" s="726"/>
      <c r="FX9" s="726"/>
      <c r="FY9" s="50"/>
      <c r="FZ9" s="50"/>
      <c r="GA9" s="50"/>
      <c r="GB9" s="50"/>
      <c r="GC9" s="203"/>
      <c r="GD9" s="50"/>
      <c r="GE9" s="726"/>
      <c r="GF9" s="726"/>
      <c r="GG9" s="50"/>
      <c r="GH9" s="50"/>
      <c r="GI9" s="50"/>
      <c r="GJ9" s="50"/>
      <c r="GK9" s="203"/>
      <c r="GL9" s="50"/>
      <c r="GM9" s="726"/>
      <c r="GN9" s="726"/>
      <c r="GO9" s="50"/>
      <c r="GP9" s="50"/>
      <c r="GQ9" s="50"/>
      <c r="GR9" s="50"/>
      <c r="GS9" s="203"/>
      <c r="GT9" s="50"/>
      <c r="GU9" s="726"/>
      <c r="GV9" s="726"/>
      <c r="GW9" s="50"/>
      <c r="GX9" s="50"/>
      <c r="GY9" s="50"/>
      <c r="GZ9" s="50"/>
      <c r="HA9" s="203"/>
      <c r="HB9" s="50"/>
      <c r="HC9" s="726"/>
      <c r="HD9" s="726"/>
      <c r="HE9" s="50"/>
      <c r="HF9" s="50"/>
      <c r="HG9" s="50"/>
      <c r="HH9" s="50"/>
      <c r="HI9" s="203"/>
      <c r="HJ9" s="50"/>
      <c r="HK9" s="726"/>
      <c r="HL9" s="726"/>
      <c r="HM9" s="50"/>
      <c r="HN9" s="50"/>
      <c r="HO9" s="50"/>
      <c r="HP9" s="50"/>
      <c r="HQ9" s="203"/>
      <c r="HR9" s="50"/>
      <c r="HS9" s="726"/>
      <c r="HT9" s="726"/>
      <c r="HU9" s="50"/>
      <c r="HV9" s="50"/>
      <c r="HW9" s="50"/>
      <c r="HX9" s="50"/>
      <c r="HY9" s="203"/>
      <c r="HZ9" s="50"/>
      <c r="IA9" s="726"/>
      <c r="IB9" s="726"/>
      <c r="IC9" s="50"/>
      <c r="ID9" s="50"/>
      <c r="IE9" s="50"/>
      <c r="IF9" s="50"/>
      <c r="IG9" s="203"/>
      <c r="IH9" s="50"/>
      <c r="II9" s="726"/>
      <c r="IJ9" s="726"/>
      <c r="IK9" s="50"/>
      <c r="IL9" s="50"/>
      <c r="IM9" s="50"/>
      <c r="IN9" s="50"/>
      <c r="IO9" s="203"/>
      <c r="IP9" s="50"/>
      <c r="IQ9" s="726"/>
      <c r="IR9" s="726"/>
      <c r="IS9" s="50"/>
      <c r="IT9" s="50"/>
      <c r="IU9" s="50"/>
      <c r="IV9" s="50"/>
    </row>
    <row r="10" spans="1:256" ht="15.5">
      <c r="A10" s="53">
        <f ca="1">OFFSET(RADNICI!K2,A1,0)</f>
        <v>46181</v>
      </c>
      <c r="B10" s="50" t="s">
        <v>1013</v>
      </c>
      <c r="C10" s="50"/>
      <c r="D10" s="54">
        <f ca="1">OFFSET(RADNICI!L2,A1,0)</f>
        <v>46210</v>
      </c>
      <c r="E10" s="50" t="s">
        <v>1014</v>
      </c>
      <c r="F10" s="50"/>
      <c r="G10" s="50"/>
      <c r="H10" s="50"/>
      <c r="I10" s="53"/>
      <c r="J10" s="50"/>
      <c r="K10" s="50"/>
      <c r="L10" s="54"/>
      <c r="M10" s="50"/>
      <c r="N10" s="50"/>
      <c r="O10" s="50"/>
      <c r="P10" s="50"/>
      <c r="Q10" s="53"/>
      <c r="R10" s="50"/>
      <c r="S10" s="50"/>
      <c r="T10" s="54"/>
      <c r="U10" s="50"/>
      <c r="V10" s="50"/>
      <c r="W10" s="50"/>
      <c r="X10" s="50"/>
      <c r="Y10" s="53"/>
      <c r="Z10" s="50"/>
      <c r="AA10" s="50"/>
      <c r="AB10" s="54"/>
      <c r="AC10" s="50"/>
      <c r="AD10" s="50"/>
      <c r="AE10" s="50"/>
      <c r="AF10" s="50"/>
      <c r="AG10" s="53"/>
      <c r="AH10" s="50"/>
      <c r="AI10" s="50"/>
      <c r="AJ10" s="54"/>
      <c r="AK10" s="50"/>
      <c r="AL10" s="50"/>
      <c r="AM10" s="50"/>
      <c r="AN10" s="50"/>
      <c r="AO10" s="53"/>
      <c r="AP10" s="50"/>
      <c r="AQ10" s="50"/>
      <c r="AR10" s="54"/>
      <c r="AS10" s="50"/>
      <c r="AT10" s="50"/>
      <c r="AU10" s="50"/>
      <c r="AV10" s="50"/>
      <c r="AW10" s="53"/>
      <c r="AX10" s="50"/>
      <c r="AY10" s="50"/>
      <c r="AZ10" s="54"/>
      <c r="BA10" s="50"/>
      <c r="BB10" s="50"/>
      <c r="BC10" s="50"/>
      <c r="BD10" s="50"/>
      <c r="BE10" s="53"/>
      <c r="BF10" s="50"/>
      <c r="BG10" s="50"/>
      <c r="BH10" s="54"/>
      <c r="BI10" s="50"/>
      <c r="BJ10" s="50"/>
      <c r="BK10" s="50"/>
      <c r="BL10" s="50"/>
      <c r="BM10" s="53"/>
      <c r="BN10" s="50"/>
      <c r="BO10" s="50"/>
      <c r="BP10" s="54"/>
      <c r="BQ10" s="50"/>
      <c r="BR10" s="50"/>
      <c r="BS10" s="50"/>
      <c r="BT10" s="50"/>
      <c r="BU10" s="53"/>
      <c r="BV10" s="50"/>
      <c r="BW10" s="50"/>
      <c r="BX10" s="54"/>
      <c r="BY10" s="50"/>
      <c r="BZ10" s="50"/>
      <c r="CA10" s="50"/>
      <c r="CB10" s="50"/>
      <c r="CC10" s="53"/>
      <c r="CD10" s="50"/>
      <c r="CE10" s="50"/>
      <c r="CF10" s="54"/>
      <c r="CG10" s="50"/>
      <c r="CH10" s="50"/>
      <c r="CI10" s="50"/>
      <c r="CJ10" s="50"/>
      <c r="CK10" s="53"/>
      <c r="CL10" s="50"/>
      <c r="CM10" s="50"/>
      <c r="CN10" s="54"/>
      <c r="CO10" s="50"/>
      <c r="CP10" s="50"/>
      <c r="CQ10" s="50"/>
      <c r="CR10" s="50"/>
      <c r="CS10" s="53"/>
      <c r="CT10" s="50"/>
      <c r="CU10" s="50"/>
      <c r="CV10" s="54"/>
      <c r="CW10" s="50"/>
      <c r="CX10" s="50"/>
      <c r="CY10" s="50"/>
      <c r="CZ10" s="50"/>
      <c r="DA10" s="53"/>
      <c r="DB10" s="50"/>
      <c r="DC10" s="50"/>
      <c r="DD10" s="54"/>
      <c r="DE10" s="50"/>
      <c r="DF10" s="50"/>
      <c r="DG10" s="50"/>
      <c r="DH10" s="50"/>
      <c r="DI10" s="53"/>
      <c r="DJ10" s="50"/>
      <c r="DK10" s="50"/>
      <c r="DL10" s="54"/>
      <c r="DM10" s="50"/>
      <c r="DN10" s="50"/>
      <c r="DO10" s="50"/>
      <c r="DP10" s="50"/>
      <c r="DQ10" s="53"/>
      <c r="DR10" s="50"/>
      <c r="DS10" s="50"/>
      <c r="DT10" s="54"/>
      <c r="DU10" s="50"/>
      <c r="DV10" s="50"/>
      <c r="DW10" s="50"/>
      <c r="DX10" s="50"/>
      <c r="DY10" s="53"/>
      <c r="DZ10" s="50"/>
      <c r="EA10" s="50"/>
      <c r="EB10" s="54"/>
      <c r="EC10" s="50"/>
      <c r="ED10" s="50"/>
      <c r="EE10" s="50"/>
      <c r="EF10" s="50"/>
      <c r="EG10" s="53"/>
      <c r="EH10" s="50"/>
      <c r="EI10" s="50"/>
      <c r="EJ10" s="54"/>
      <c r="EK10" s="50"/>
      <c r="EL10" s="50"/>
      <c r="EM10" s="50"/>
      <c r="EN10" s="50"/>
      <c r="EO10" s="53"/>
      <c r="EP10" s="50"/>
      <c r="EQ10" s="50"/>
      <c r="ER10" s="54"/>
      <c r="ES10" s="50"/>
      <c r="ET10" s="50"/>
      <c r="EU10" s="50"/>
      <c r="EV10" s="50"/>
      <c r="EW10" s="53"/>
      <c r="EX10" s="50"/>
      <c r="EY10" s="50"/>
      <c r="EZ10" s="54"/>
      <c r="FA10" s="50"/>
      <c r="FB10" s="50"/>
      <c r="FC10" s="50"/>
      <c r="FD10" s="50"/>
      <c r="FE10" s="53"/>
      <c r="FF10" s="50"/>
      <c r="FG10" s="50"/>
      <c r="FH10" s="54"/>
      <c r="FI10" s="50"/>
      <c r="FJ10" s="50"/>
      <c r="FK10" s="50"/>
      <c r="FL10" s="50"/>
      <c r="FM10" s="53"/>
      <c r="FN10" s="50"/>
      <c r="FO10" s="50"/>
      <c r="FP10" s="54"/>
      <c r="FQ10" s="50"/>
      <c r="FR10" s="50"/>
      <c r="FS10" s="50"/>
      <c r="FT10" s="50"/>
      <c r="FU10" s="53"/>
      <c r="FV10" s="50"/>
      <c r="FW10" s="50"/>
      <c r="FX10" s="54"/>
      <c r="FY10" s="50"/>
      <c r="FZ10" s="50"/>
      <c r="GA10" s="50"/>
      <c r="GB10" s="50"/>
      <c r="GC10" s="53"/>
      <c r="GD10" s="50"/>
      <c r="GE10" s="50"/>
      <c r="GF10" s="54"/>
      <c r="GG10" s="50"/>
      <c r="GH10" s="50"/>
      <c r="GI10" s="50"/>
      <c r="GJ10" s="50"/>
      <c r="GK10" s="53"/>
      <c r="GL10" s="50"/>
      <c r="GM10" s="50"/>
      <c r="GN10" s="54"/>
      <c r="GO10" s="50"/>
      <c r="GP10" s="50"/>
      <c r="GQ10" s="50"/>
      <c r="GR10" s="50"/>
      <c r="GS10" s="53"/>
      <c r="GT10" s="50"/>
      <c r="GU10" s="50"/>
      <c r="GV10" s="54"/>
      <c r="GW10" s="50"/>
      <c r="GX10" s="50"/>
      <c r="GY10" s="50"/>
      <c r="GZ10" s="50"/>
      <c r="HA10" s="53"/>
      <c r="HB10" s="50"/>
      <c r="HC10" s="50"/>
      <c r="HD10" s="54"/>
      <c r="HE10" s="50"/>
      <c r="HF10" s="50"/>
      <c r="HG10" s="50"/>
      <c r="HH10" s="50"/>
      <c r="HI10" s="53"/>
      <c r="HJ10" s="50"/>
      <c r="HK10" s="50"/>
      <c r="HL10" s="54"/>
      <c r="HM10" s="50"/>
      <c r="HN10" s="50"/>
      <c r="HO10" s="50"/>
      <c r="HP10" s="50"/>
      <c r="HQ10" s="53"/>
      <c r="HR10" s="50"/>
      <c r="HS10" s="50"/>
      <c r="HT10" s="54"/>
      <c r="HU10" s="50"/>
      <c r="HV10" s="50"/>
      <c r="HW10" s="50"/>
      <c r="HX10" s="50"/>
      <c r="HY10" s="53"/>
      <c r="HZ10" s="50"/>
      <c r="IA10" s="50"/>
      <c r="IB10" s="54"/>
      <c r="IC10" s="50"/>
      <c r="ID10" s="50"/>
      <c r="IE10" s="50"/>
      <c r="IF10" s="50"/>
      <c r="IG10" s="53"/>
      <c r="IH10" s="50"/>
      <c r="II10" s="50"/>
      <c r="IJ10" s="54"/>
      <c r="IK10" s="50"/>
      <c r="IL10" s="50"/>
      <c r="IM10" s="50"/>
      <c r="IN10" s="50"/>
      <c r="IO10" s="53"/>
      <c r="IP10" s="50"/>
      <c r="IQ10" s="50"/>
      <c r="IR10" s="54"/>
      <c r="IS10" s="50"/>
      <c r="IT10" s="50"/>
      <c r="IU10" s="50"/>
      <c r="IV10" s="50"/>
    </row>
    <row r="11" spans="1:256" ht="15.5">
      <c r="A11" s="65" t="s">
        <v>1293</v>
      </c>
      <c r="B11" s="50"/>
      <c r="C11" s="50"/>
      <c r="D11" s="54"/>
      <c r="E11" s="50"/>
      <c r="F11" s="50"/>
      <c r="G11" s="50"/>
      <c r="H11" s="50"/>
      <c r="I11" s="53"/>
      <c r="J11" s="50"/>
      <c r="K11" s="50"/>
      <c r="L11" s="54"/>
      <c r="M11" s="50"/>
      <c r="N11" s="50"/>
      <c r="O11" s="50"/>
      <c r="P11" s="50"/>
      <c r="Q11" s="53"/>
      <c r="R11" s="50"/>
      <c r="S11" s="50"/>
      <c r="T11" s="54"/>
      <c r="U11" s="50"/>
      <c r="V11" s="50"/>
      <c r="W11" s="50"/>
      <c r="X11" s="50"/>
      <c r="Y11" s="53"/>
      <c r="Z11" s="50"/>
      <c r="AA11" s="50"/>
      <c r="AB11" s="54"/>
      <c r="AC11" s="50"/>
      <c r="AD11" s="50"/>
      <c r="AE11" s="50"/>
      <c r="AF11" s="50"/>
      <c r="AG11" s="53"/>
      <c r="AH11" s="50"/>
      <c r="AI11" s="50"/>
      <c r="AJ11" s="54"/>
      <c r="AK11" s="50"/>
      <c r="AL11" s="50"/>
      <c r="AM11" s="50"/>
      <c r="AN11" s="50"/>
      <c r="AO11" s="53"/>
      <c r="AP11" s="50"/>
      <c r="AQ11" s="50"/>
      <c r="AR11" s="54"/>
      <c r="AS11" s="50"/>
      <c r="AT11" s="50"/>
      <c r="AU11" s="50"/>
      <c r="AV11" s="50"/>
      <c r="AW11" s="53"/>
      <c r="AX11" s="50"/>
      <c r="AY11" s="50"/>
      <c r="AZ11" s="54"/>
      <c r="BA11" s="50"/>
      <c r="BB11" s="50"/>
      <c r="BC11" s="50"/>
      <c r="BD11" s="50"/>
      <c r="BE11" s="53"/>
      <c r="BF11" s="50"/>
      <c r="BG11" s="50"/>
      <c r="BH11" s="54"/>
      <c r="BI11" s="50"/>
      <c r="BJ11" s="50"/>
      <c r="BK11" s="50"/>
      <c r="BL11" s="50"/>
      <c r="BM11" s="53"/>
      <c r="BN11" s="50"/>
      <c r="BO11" s="50"/>
      <c r="BP11" s="54"/>
      <c r="BQ11" s="50"/>
      <c r="BR11" s="50"/>
      <c r="BS11" s="50"/>
      <c r="BT11" s="50"/>
      <c r="BU11" s="53"/>
      <c r="BV11" s="50"/>
      <c r="BW11" s="50"/>
      <c r="BX11" s="54"/>
      <c r="BY11" s="50"/>
      <c r="BZ11" s="50"/>
      <c r="CA11" s="50"/>
      <c r="CB11" s="50"/>
      <c r="CC11" s="53"/>
      <c r="CD11" s="50"/>
      <c r="CE11" s="50"/>
      <c r="CF11" s="54"/>
      <c r="CG11" s="50"/>
      <c r="CH11" s="50"/>
      <c r="CI11" s="50"/>
      <c r="CJ11" s="50"/>
      <c r="CK11" s="53"/>
      <c r="CL11" s="50"/>
      <c r="CM11" s="50"/>
      <c r="CN11" s="54"/>
      <c r="CO11" s="50"/>
      <c r="CP11" s="50"/>
      <c r="CQ11" s="50"/>
      <c r="CR11" s="50"/>
      <c r="CS11" s="53"/>
      <c r="CT11" s="50"/>
      <c r="CU11" s="50"/>
      <c r="CV11" s="54"/>
      <c r="CW11" s="50"/>
      <c r="CX11" s="50"/>
      <c r="CY11" s="50"/>
      <c r="CZ11" s="50"/>
      <c r="DA11" s="53"/>
      <c r="DB11" s="50"/>
      <c r="DC11" s="50"/>
      <c r="DD11" s="54"/>
      <c r="DE11" s="50"/>
      <c r="DF11" s="50"/>
      <c r="DG11" s="50"/>
      <c r="DH11" s="50"/>
      <c r="DI11" s="53"/>
      <c r="DJ11" s="50"/>
      <c r="DK11" s="50"/>
      <c r="DL11" s="54"/>
      <c r="DM11" s="50"/>
      <c r="DN11" s="50"/>
      <c r="DO11" s="50"/>
      <c r="DP11" s="50"/>
      <c r="DQ11" s="53"/>
      <c r="DR11" s="50"/>
      <c r="DS11" s="50"/>
      <c r="DT11" s="54"/>
      <c r="DU11" s="50"/>
      <c r="DV11" s="50"/>
      <c r="DW11" s="50"/>
      <c r="DX11" s="50"/>
      <c r="DY11" s="53"/>
      <c r="DZ11" s="50"/>
      <c r="EA11" s="50"/>
      <c r="EB11" s="54"/>
      <c r="EC11" s="50"/>
      <c r="ED11" s="50"/>
      <c r="EE11" s="50"/>
      <c r="EF11" s="50"/>
      <c r="EG11" s="53"/>
      <c r="EH11" s="50"/>
      <c r="EI11" s="50"/>
      <c r="EJ11" s="54"/>
      <c r="EK11" s="50"/>
      <c r="EL11" s="50"/>
      <c r="EM11" s="50"/>
      <c r="EN11" s="50"/>
      <c r="EO11" s="53"/>
      <c r="EP11" s="50"/>
      <c r="EQ11" s="50"/>
      <c r="ER11" s="54"/>
      <c r="ES11" s="50"/>
      <c r="ET11" s="50"/>
      <c r="EU11" s="50"/>
      <c r="EV11" s="50"/>
      <c r="EW11" s="53"/>
      <c r="EX11" s="50"/>
      <c r="EY11" s="50"/>
      <c r="EZ11" s="54"/>
      <c r="FA11" s="50"/>
      <c r="FB11" s="50"/>
      <c r="FC11" s="50"/>
      <c r="FD11" s="50"/>
      <c r="FE11" s="53"/>
      <c r="FF11" s="50"/>
      <c r="FG11" s="50"/>
      <c r="FH11" s="54"/>
      <c r="FI11" s="50"/>
      <c r="FJ11" s="50"/>
      <c r="FK11" s="50"/>
      <c r="FL11" s="50"/>
      <c r="FM11" s="53"/>
      <c r="FN11" s="50"/>
      <c r="FO11" s="50"/>
      <c r="FP11" s="54"/>
      <c r="FQ11" s="50"/>
      <c r="FR11" s="50"/>
      <c r="FS11" s="50"/>
      <c r="FT11" s="50"/>
      <c r="FU11" s="53"/>
      <c r="FV11" s="50"/>
      <c r="FW11" s="50"/>
      <c r="FX11" s="54"/>
      <c r="FY11" s="50"/>
      <c r="FZ11" s="50"/>
      <c r="GA11" s="50"/>
      <c r="GB11" s="50"/>
      <c r="GC11" s="53"/>
      <c r="GD11" s="50"/>
      <c r="GE11" s="50"/>
      <c r="GF11" s="54"/>
      <c r="GG11" s="50"/>
      <c r="GH11" s="50"/>
      <c r="GI11" s="50"/>
      <c r="GJ11" s="50"/>
      <c r="GK11" s="53"/>
      <c r="GL11" s="50"/>
      <c r="GM11" s="50"/>
      <c r="GN11" s="54"/>
      <c r="GO11" s="50"/>
      <c r="GP11" s="50"/>
      <c r="GQ11" s="50"/>
      <c r="GR11" s="50"/>
      <c r="GS11" s="53"/>
      <c r="GT11" s="50"/>
      <c r="GU11" s="50"/>
      <c r="GV11" s="54"/>
      <c r="GW11" s="50"/>
      <c r="GX11" s="50"/>
      <c r="GY11" s="50"/>
      <c r="GZ11" s="50"/>
      <c r="HA11" s="53"/>
      <c r="HB11" s="50"/>
      <c r="HC11" s="50"/>
      <c r="HD11" s="54"/>
      <c r="HE11" s="50"/>
      <c r="HF11" s="50"/>
      <c r="HG11" s="50"/>
      <c r="HH11" s="50"/>
      <c r="HI11" s="53"/>
      <c r="HJ11" s="50"/>
      <c r="HK11" s="50"/>
      <c r="HL11" s="54"/>
      <c r="HM11" s="50"/>
      <c r="HN11" s="50"/>
      <c r="HO11" s="50"/>
      <c r="HP11" s="50"/>
      <c r="HQ11" s="53"/>
      <c r="HR11" s="50"/>
      <c r="HS11" s="50"/>
      <c r="HT11" s="54"/>
      <c r="HU11" s="50"/>
      <c r="HV11" s="50"/>
      <c r="HW11" s="50"/>
      <c r="HX11" s="50"/>
      <c r="HY11" s="53"/>
      <c r="HZ11" s="50"/>
      <c r="IA11" s="50"/>
      <c r="IB11" s="54"/>
      <c r="IC11" s="50"/>
      <c r="ID11" s="50"/>
      <c r="IE11" s="50"/>
      <c r="IF11" s="50"/>
      <c r="IG11" s="53"/>
      <c r="IH11" s="50"/>
      <c r="II11" s="50"/>
      <c r="IJ11" s="54"/>
      <c r="IK11" s="50"/>
      <c r="IL11" s="50"/>
      <c r="IM11" s="50"/>
      <c r="IN11" s="50"/>
      <c r="IO11" s="53"/>
      <c r="IP11" s="50"/>
      <c r="IQ11" s="50"/>
      <c r="IR11" s="54"/>
      <c r="IS11" s="50"/>
      <c r="IT11" s="50"/>
      <c r="IU11" s="50"/>
      <c r="IV11" s="50"/>
    </row>
    <row r="12" spans="1:256" ht="15.5">
      <c r="A12" s="22"/>
      <c r="B12" s="55"/>
      <c r="C12" s="55"/>
      <c r="D12" s="55"/>
      <c r="E12" s="55"/>
      <c r="F12" s="55"/>
      <c r="G12" s="55"/>
      <c r="H12" s="55"/>
    </row>
    <row r="13" spans="1:256" ht="15.5">
      <c r="A13" s="22" t="s">
        <v>1016</v>
      </c>
      <c r="B13" s="55"/>
      <c r="C13" s="55"/>
      <c r="D13" s="55"/>
      <c r="E13" s="55"/>
      <c r="F13" s="55"/>
      <c r="G13" s="55"/>
      <c r="H13" s="55"/>
    </row>
    <row r="14" spans="1:256" ht="15.5">
      <c r="A14" s="22" t="s">
        <v>1046</v>
      </c>
      <c r="B14" s="22"/>
      <c r="C14" s="22"/>
      <c r="D14" s="22"/>
      <c r="E14" s="22"/>
      <c r="F14" s="22"/>
      <c r="G14" s="22"/>
      <c r="H14" s="22"/>
      <c r="I14" s="22"/>
      <c r="J14" s="203"/>
      <c r="K14" s="22"/>
      <c r="L14" s="22"/>
      <c r="M14" s="22"/>
      <c r="N14" s="22"/>
      <c r="O14" s="22"/>
    </row>
    <row r="15" spans="1:256" ht="15.5">
      <c r="A15" s="203" t="s">
        <v>1047</v>
      </c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2"/>
      <c r="N15" s="203"/>
      <c r="O15" s="203"/>
    </row>
    <row r="16" spans="1:256" ht="15.5">
      <c r="A16" s="22" t="s">
        <v>1048</v>
      </c>
      <c r="B16" s="55"/>
      <c r="C16" s="55"/>
      <c r="D16" s="55"/>
      <c r="E16" s="55"/>
      <c r="F16" s="55"/>
      <c r="G16" s="55"/>
      <c r="H16" s="55"/>
    </row>
    <row r="17" spans="1:8" ht="15.5">
      <c r="A17" s="22" t="s">
        <v>1049</v>
      </c>
      <c r="B17" s="55"/>
      <c r="C17" s="55"/>
      <c r="D17" s="55"/>
      <c r="E17" s="55"/>
      <c r="F17" s="55"/>
      <c r="G17" s="55"/>
      <c r="H17" s="55"/>
    </row>
    <row r="18" spans="1:8" ht="15.5">
      <c r="A18" s="22"/>
      <c r="B18" s="55"/>
      <c r="C18" s="55"/>
      <c r="D18" s="55"/>
      <c r="E18" s="55"/>
      <c r="F18" s="55"/>
      <c r="G18" s="55"/>
      <c r="H18" s="55"/>
    </row>
    <row r="19" spans="1:8" ht="15.5">
      <c r="A19" s="22"/>
      <c r="B19" s="55"/>
      <c r="C19" s="55"/>
      <c r="D19" s="55"/>
      <c r="E19" s="55"/>
      <c r="F19" s="55"/>
      <c r="G19" s="55"/>
      <c r="H19" s="55"/>
    </row>
    <row r="20" spans="1:8" ht="15.5">
      <c r="A20" s="46" t="s">
        <v>1021</v>
      </c>
      <c r="B20" s="55"/>
      <c r="C20" s="55"/>
      <c r="D20" s="55"/>
      <c r="E20" s="55"/>
      <c r="F20" s="55"/>
      <c r="G20" s="55"/>
      <c r="H20" s="55"/>
    </row>
    <row r="21" spans="1:8" ht="15.5">
      <c r="A21" s="65" t="s">
        <v>1293</v>
      </c>
      <c r="B21" s="55"/>
      <c r="C21" s="55"/>
      <c r="D21" s="55"/>
      <c r="E21" s="55"/>
      <c r="F21" s="55"/>
      <c r="G21" s="55"/>
      <c r="H21" s="55"/>
    </row>
    <row r="22" spans="1:8" ht="15.5">
      <c r="A22" s="22"/>
      <c r="B22" s="55"/>
      <c r="C22" s="55"/>
      <c r="D22" s="55"/>
      <c r="E22" s="55"/>
      <c r="F22" s="55"/>
      <c r="G22" s="55"/>
      <c r="H22" s="55"/>
    </row>
    <row r="23" spans="1:8" ht="15.5">
      <c r="A23" s="22" t="s">
        <v>1023</v>
      </c>
      <c r="B23" s="55"/>
      <c r="C23" s="55"/>
      <c r="D23" s="55"/>
      <c r="E23" s="55"/>
      <c r="F23" s="55"/>
      <c r="G23" s="55"/>
      <c r="H23" s="55"/>
    </row>
    <row r="24" spans="1:8" ht="15.5">
      <c r="A24" s="47" t="s">
        <v>1024</v>
      </c>
      <c r="B24" s="55"/>
      <c r="C24" s="55"/>
      <c r="D24" s="55"/>
      <c r="E24" s="55"/>
      <c r="F24" s="55"/>
      <c r="G24" s="55"/>
      <c r="H24" s="55"/>
    </row>
    <row r="25" spans="1:8" ht="15.5">
      <c r="A25" s="47" t="s">
        <v>1211</v>
      </c>
      <c r="B25" s="55"/>
      <c r="C25" s="55"/>
      <c r="D25" s="55"/>
      <c r="E25" s="55"/>
      <c r="F25" s="55"/>
      <c r="G25" s="55"/>
      <c r="H25" s="55"/>
    </row>
    <row r="26" spans="1:8" ht="15.5">
      <c r="A26" s="47" t="s">
        <v>1050</v>
      </c>
      <c r="B26" s="55"/>
      <c r="C26" s="55"/>
      <c r="D26" s="55"/>
      <c r="E26" s="55"/>
      <c r="F26" s="55"/>
      <c r="G26" s="55"/>
      <c r="H26" s="55"/>
    </row>
    <row r="27" spans="1:8" ht="15.5">
      <c r="A27" s="23" t="s">
        <v>1027</v>
      </c>
      <c r="B27" s="55"/>
      <c r="C27" s="55"/>
      <c r="D27" s="55"/>
      <c r="E27" s="55"/>
      <c r="F27" s="55"/>
      <c r="G27" s="55"/>
      <c r="H27" s="55"/>
    </row>
  </sheetData>
  <mergeCells count="36">
    <mergeCell ref="IQ9:IR9"/>
    <mergeCell ref="FG9:FH9"/>
    <mergeCell ref="FO9:FP9"/>
    <mergeCell ref="FW9:FX9"/>
    <mergeCell ref="GE9:GF9"/>
    <mergeCell ref="GM9:GN9"/>
    <mergeCell ref="GU9:GV9"/>
    <mergeCell ref="HC9:HD9"/>
    <mergeCell ref="HK9:HL9"/>
    <mergeCell ref="HS9:HT9"/>
    <mergeCell ref="IA9:IB9"/>
    <mergeCell ref="II9:IJ9"/>
    <mergeCell ref="EY9:EZ9"/>
    <mergeCell ref="BO9:BP9"/>
    <mergeCell ref="BW9:BX9"/>
    <mergeCell ref="CE9:CF9"/>
    <mergeCell ref="CM9:CN9"/>
    <mergeCell ref="CU9:CV9"/>
    <mergeCell ref="DC9:DD9"/>
    <mergeCell ref="DK9:DL9"/>
    <mergeCell ref="DS9:DT9"/>
    <mergeCell ref="EA9:EB9"/>
    <mergeCell ref="EI9:EJ9"/>
    <mergeCell ref="EQ9:ER9"/>
    <mergeCell ref="BG9:BH9"/>
    <mergeCell ref="G2:H2"/>
    <mergeCell ref="E3:F3"/>
    <mergeCell ref="A5:B5"/>
    <mergeCell ref="A7:H7"/>
    <mergeCell ref="C9:D9"/>
    <mergeCell ref="K9:L9"/>
    <mergeCell ref="S9:T9"/>
    <mergeCell ref="AA9:AB9"/>
    <mergeCell ref="AI9:AJ9"/>
    <mergeCell ref="AQ9:AR9"/>
    <mergeCell ref="AY9:AZ9"/>
  </mergeCells>
  <pageMargins left="0.59055118110236215" right="0.23622047244094488" top="0.74803149606299213" bottom="0.74803149606299213" header="0.31496062992125984" footer="0.31496062992125984"/>
  <pageSetup paperSize="9" scale="10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FF0000"/>
    <pageSetUpPr fitToPage="1"/>
  </sheetPr>
  <dimension ref="A1:K41"/>
  <sheetViews>
    <sheetView workbookViewId="0">
      <selection activeCell="J38" sqref="J38"/>
    </sheetView>
  </sheetViews>
  <sheetFormatPr defaultRowHeight="14.5"/>
  <cols>
    <col min="2" max="2" width="8.453125" customWidth="1"/>
    <col min="4" max="4" width="18.7265625" customWidth="1"/>
    <col min="5" max="5" width="12.453125" customWidth="1"/>
    <col min="6" max="6" width="3.26953125" customWidth="1"/>
    <col min="7" max="7" width="27.54296875" customWidth="1"/>
    <col min="8" max="8" width="20.453125" customWidth="1"/>
    <col min="9" max="9" width="6.1796875" customWidth="1"/>
    <col min="10" max="10" width="13" customWidth="1"/>
  </cols>
  <sheetData>
    <row r="1" spans="1:11">
      <c r="A1" s="14">
        <f>'EVIDENCIJA NOVA'!G1</f>
        <v>808</v>
      </c>
    </row>
    <row r="3" spans="1:11">
      <c r="A3" s="741" t="str">
        <f ca="1">OFFSET(RADNICI!E2,A1,0)</f>
        <v>D-INVOICE D.O.O.</v>
      </c>
      <c r="B3" s="741"/>
      <c r="C3" s="741" t="str">
        <f ca="1">OFFSET(RADNICI!I2,$A$1,0)</f>
        <v>SV.IVANA KRSTITELJA 15, DARDA</v>
      </c>
      <c r="D3" s="741"/>
      <c r="E3" s="741"/>
      <c r="F3" s="741"/>
      <c r="G3" t="s">
        <v>3</v>
      </c>
      <c r="H3" s="742">
        <f ca="1">OFFSET(RADNICI!F2,$A$1,0)</f>
        <v>95114485977</v>
      </c>
      <c r="I3" s="742"/>
      <c r="J3" t="s">
        <v>1061</v>
      </c>
    </row>
    <row r="4" spans="1:11">
      <c r="A4" t="s">
        <v>1062</v>
      </c>
      <c r="B4" s="741" t="str">
        <f ca="1">OFFSET(RADNICI!G2,A1,0)</f>
        <v>LAURA GERGELJ</v>
      </c>
      <c r="C4" s="741"/>
      <c r="D4" s="741"/>
    </row>
    <row r="7" spans="1:11">
      <c r="E7" t="s">
        <v>1063</v>
      </c>
    </row>
    <row r="10" spans="1:11" ht="21">
      <c r="B10" s="743" t="s">
        <v>1225</v>
      </c>
      <c r="C10" s="743"/>
      <c r="D10" s="743"/>
      <c r="E10" s="743"/>
      <c r="F10" s="743"/>
      <c r="G10" s="743"/>
      <c r="H10" s="743"/>
    </row>
    <row r="11" spans="1:11">
      <c r="B11" t="s">
        <v>1064</v>
      </c>
      <c r="C11" s="741" t="str">
        <f ca="1">OFFSET(RADNICI!J2,$A$1,0)</f>
        <v>VLADIMIR DEDUŠ</v>
      </c>
      <c r="D11" s="741"/>
      <c r="E11" t="s">
        <v>1005</v>
      </c>
      <c r="F11" s="741" t="str">
        <f ca="1">OFFSET(RADNICI!R2,A1,0)</f>
        <v>Moslavačka 7 a</v>
      </c>
      <c r="G11" s="741"/>
      <c r="H11" s="741"/>
      <c r="I11" t="s">
        <v>3</v>
      </c>
      <c r="J11" s="742">
        <f ca="1">OFFSET(RADNICI!M2,$A$1,0)</f>
        <v>31157145393</v>
      </c>
      <c r="K11" s="742"/>
    </row>
    <row r="14" spans="1:11">
      <c r="E14" s="21" t="s">
        <v>1065</v>
      </c>
    </row>
    <row r="16" spans="1:11">
      <c r="A16" t="s">
        <v>1066</v>
      </c>
      <c r="B16" s="741" t="str">
        <f ca="1">OFFSET(RADNICI!J2,$A$1,0)</f>
        <v>VLADIMIR DEDUŠ</v>
      </c>
      <c r="C16" s="741"/>
      <c r="D16" t="s">
        <v>1005</v>
      </c>
      <c r="E16" s="741" t="str">
        <f ca="1">OFFSET(RADNICI!R2,A1,0)</f>
        <v>Moslavačka 7 a</v>
      </c>
      <c r="F16" s="741"/>
      <c r="G16" s="741"/>
      <c r="H16" t="s">
        <v>1067</v>
      </c>
      <c r="J16" s="80">
        <f ca="1">OFFSET(RADNICI!L2,A1,0)</f>
        <v>46210</v>
      </c>
    </row>
    <row r="17" spans="1:11">
      <c r="E17" s="80"/>
    </row>
    <row r="18" spans="1:11">
      <c r="A18" t="s">
        <v>1068</v>
      </c>
    </row>
    <row r="19" spans="1:11">
      <c r="A19" t="s">
        <v>1069</v>
      </c>
    </row>
    <row r="20" spans="1:11">
      <c r="A20" t="s">
        <v>1070</v>
      </c>
      <c r="K20" s="198">
        <f ca="1">OFFSET(RADNICI!AS2,A1,0)</f>
        <v>0</v>
      </c>
    </row>
    <row r="21" spans="1:11">
      <c r="A21" t="s">
        <v>1071</v>
      </c>
    </row>
    <row r="22" spans="1:11">
      <c r="A22" t="s">
        <v>1072</v>
      </c>
      <c r="I22" s="745">
        <f ca="1">OFFSET(RADNICI!L2,A1,0)</f>
        <v>46210</v>
      </c>
      <c r="J22" s="640"/>
      <c r="K22" t="s">
        <v>1073</v>
      </c>
    </row>
    <row r="26" spans="1:11">
      <c r="J26" s="746" t="s">
        <v>1074</v>
      </c>
      <c r="K26" s="746"/>
    </row>
    <row r="27" spans="1:11">
      <c r="K27" s="78" t="s">
        <v>1075</v>
      </c>
    </row>
    <row r="28" spans="1:11">
      <c r="J28" s="747" t="str">
        <f ca="1">OFFSET(RADNICI!G2,A1,0)</f>
        <v>LAURA GERGELJ</v>
      </c>
      <c r="K28" s="747"/>
    </row>
    <row r="30" spans="1:11">
      <c r="A30" t="s">
        <v>1076</v>
      </c>
      <c r="B30" s="748">
        <f ca="1">OFFSET(RADNICI!L2,A1,0)</f>
        <v>46210</v>
      </c>
      <c r="C30" s="742"/>
    </row>
    <row r="36" spans="1:8">
      <c r="A36" t="s">
        <v>1023</v>
      </c>
    </row>
    <row r="37" spans="1:8">
      <c r="A37" s="78" t="s">
        <v>1077</v>
      </c>
      <c r="B37" s="741" t="str">
        <f ca="1">OFFSET(RADNICI!J2,A1,0)</f>
        <v>VLADIMIR DEDUŠ</v>
      </c>
      <c r="C37" s="741"/>
      <c r="D37" s="744" t="s">
        <v>1078</v>
      </c>
      <c r="E37" s="744"/>
      <c r="F37" s="744"/>
      <c r="G37" s="744"/>
      <c r="H37" s="744"/>
    </row>
    <row r="38" spans="1:8">
      <c r="A38" s="78"/>
      <c r="B38" s="21"/>
      <c r="C38" s="21"/>
    </row>
    <row r="39" spans="1:8">
      <c r="A39" s="78"/>
      <c r="B39" s="741" t="s">
        <v>1079</v>
      </c>
      <c r="C39" s="744"/>
      <c r="D39" s="744"/>
    </row>
    <row r="40" spans="1:8">
      <c r="A40" s="78" t="s">
        <v>1080</v>
      </c>
      <c r="B40" s="744" t="s">
        <v>1081</v>
      </c>
      <c r="C40" s="744"/>
    </row>
    <row r="41" spans="1:8">
      <c r="A41" s="78" t="s">
        <v>1082</v>
      </c>
      <c r="B41" t="s">
        <v>1083</v>
      </c>
    </row>
  </sheetData>
  <mergeCells count="18">
    <mergeCell ref="B39:D39"/>
    <mergeCell ref="B40:C40"/>
    <mergeCell ref="J11:K11"/>
    <mergeCell ref="I22:J22"/>
    <mergeCell ref="J26:K26"/>
    <mergeCell ref="J28:K28"/>
    <mergeCell ref="B30:C30"/>
    <mergeCell ref="B37:C37"/>
    <mergeCell ref="D37:H37"/>
    <mergeCell ref="A3:B3"/>
    <mergeCell ref="C3:F3"/>
    <mergeCell ref="H3:I3"/>
    <mergeCell ref="B16:C16"/>
    <mergeCell ref="E16:G16"/>
    <mergeCell ref="B4:D4"/>
    <mergeCell ref="C11:D11"/>
    <mergeCell ref="F11:H11"/>
    <mergeCell ref="B10:H10"/>
  </mergeCells>
  <phoneticPr fontId="33" type="noConversion"/>
  <pageMargins left="0.7" right="0.7" top="0.75" bottom="0.75" header="0.3" footer="0.3"/>
  <pageSetup paperSize="9" scale="63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27"/>
  <sheetViews>
    <sheetView workbookViewId="0">
      <selection activeCell="U19" sqref="U19"/>
    </sheetView>
  </sheetViews>
  <sheetFormatPr defaultRowHeight="14.5"/>
  <cols>
    <col min="1" max="1" width="13" customWidth="1"/>
    <col min="2" max="2" width="23.54296875" bestFit="1" customWidth="1"/>
    <col min="3" max="3" width="7" bestFit="1" customWidth="1"/>
    <col min="4" max="4" width="13.7265625" bestFit="1" customWidth="1"/>
    <col min="5" max="5" width="27.1796875" customWidth="1"/>
    <col min="6" max="6" width="13.1796875" customWidth="1"/>
  </cols>
  <sheetData>
    <row r="1" spans="1:8" ht="15.5">
      <c r="A1" s="234">
        <v>733</v>
      </c>
      <c r="B1" s="55"/>
      <c r="C1" s="55"/>
      <c r="D1" s="55"/>
      <c r="E1" s="55"/>
      <c r="F1" s="55"/>
      <c r="G1" s="55"/>
      <c r="H1" s="55"/>
    </row>
    <row r="2" spans="1:8" ht="15.5">
      <c r="A2" s="203" t="s">
        <v>1004</v>
      </c>
      <c r="B2" s="50"/>
      <c r="C2" s="50"/>
      <c r="D2" s="50"/>
      <c r="E2" s="50"/>
      <c r="F2" s="156" t="str">
        <f ca="1">(OFFSET(RADNICI!E2,A1,0))</f>
        <v>D-INVOICE D.O.O.</v>
      </c>
      <c r="G2" s="156"/>
      <c r="H2" s="156"/>
    </row>
    <row r="3" spans="1:8" ht="15.5">
      <c r="A3" s="51" t="s">
        <v>1005</v>
      </c>
      <c r="B3" s="213" t="str">
        <f ca="1">(OFFSET(RADNICI!I2,A1,0))</f>
        <v>SV.IVANA KRSTITELJA 15, DARDA</v>
      </c>
      <c r="C3" s="212"/>
      <c r="D3" s="212" t="s">
        <v>3</v>
      </c>
      <c r="E3" s="213">
        <f ca="1">OFFSET(RADNICI!F2,A1,0)</f>
        <v>95114485977</v>
      </c>
      <c r="F3" s="23" t="s">
        <v>1006</v>
      </c>
      <c r="G3" s="23"/>
      <c r="H3" s="23"/>
    </row>
    <row r="4" spans="1:8" ht="15.5">
      <c r="A4" s="50" t="s">
        <v>1007</v>
      </c>
      <c r="B4" s="50"/>
      <c r="C4" s="55"/>
      <c r="D4" s="50"/>
      <c r="E4" s="50"/>
      <c r="F4" s="50"/>
      <c r="G4" s="50"/>
      <c r="H4" s="50"/>
    </row>
    <row r="5" spans="1:8" ht="15.5">
      <c r="A5" s="725" t="str">
        <f ca="1">OFFSET(RADNICI!J2,A1,0)</f>
        <v>Marijana Kunac</v>
      </c>
      <c r="B5" s="725"/>
      <c r="C5" s="92" t="s">
        <v>1008</v>
      </c>
      <c r="D5" s="213">
        <f ca="1">OFFSET(RADNICI!M2,$A$1,0)</f>
        <v>59328824956</v>
      </c>
      <c r="E5" s="50" t="s">
        <v>1226</v>
      </c>
      <c r="F5" s="50"/>
      <c r="G5" s="50"/>
      <c r="H5" s="50"/>
    </row>
    <row r="6" spans="1:8" ht="15.5">
      <c r="A6" s="214"/>
      <c r="B6" s="214"/>
      <c r="C6" s="92"/>
      <c r="D6" s="213"/>
      <c r="E6" s="50"/>
      <c r="F6" s="50"/>
      <c r="G6" s="50"/>
      <c r="H6" s="50"/>
    </row>
    <row r="7" spans="1:8" ht="15">
      <c r="A7" s="725" t="s">
        <v>2823</v>
      </c>
      <c r="B7" s="725"/>
      <c r="C7" s="725"/>
      <c r="D7" s="725"/>
      <c r="E7" s="725"/>
      <c r="F7" s="725"/>
      <c r="G7" s="725"/>
      <c r="H7" s="725"/>
    </row>
    <row r="8" spans="1:8" ht="15.5">
      <c r="A8" s="22"/>
      <c r="B8" s="55"/>
      <c r="C8" s="55"/>
      <c r="D8" s="55"/>
      <c r="E8" s="55"/>
      <c r="F8" s="55"/>
      <c r="G8" s="55"/>
      <c r="H8" s="55"/>
    </row>
    <row r="9" spans="1:8" ht="15.5">
      <c r="A9" s="203" t="s">
        <v>1011</v>
      </c>
      <c r="B9" s="50"/>
      <c r="C9" s="726" t="str">
        <f ca="1">OFFSET(RADNICI!X2,A1,0)</f>
        <v>NEODREĐENO</v>
      </c>
      <c r="D9" s="726"/>
      <c r="E9" s="50" t="s">
        <v>1012</v>
      </c>
      <c r="F9" s="50"/>
      <c r="G9" s="50"/>
      <c r="H9" s="50"/>
    </row>
    <row r="10" spans="1:8" ht="15.5">
      <c r="A10" s="53">
        <f ca="1">OFFSET(RADNICI!K2,A1,0)</f>
        <v>45474</v>
      </c>
      <c r="B10" s="50" t="s">
        <v>1013</v>
      </c>
      <c r="C10" s="50"/>
      <c r="D10" s="54">
        <f ca="1">OFFSET(RADNICI!L2,A1,0)</f>
        <v>45657</v>
      </c>
      <c r="E10" s="50" t="s">
        <v>1014</v>
      </c>
      <c r="F10" s="50"/>
      <c r="G10" s="50"/>
      <c r="H10" s="50"/>
    </row>
    <row r="11" spans="1:8" ht="15.5">
      <c r="B11" s="50"/>
      <c r="C11" s="50"/>
      <c r="D11" s="54"/>
      <c r="E11" s="50"/>
      <c r="F11" s="50"/>
      <c r="G11" s="50"/>
      <c r="H11" s="50"/>
    </row>
    <row r="12" spans="1:8" ht="15.5">
      <c r="A12" s="22"/>
      <c r="B12" s="55"/>
      <c r="C12" s="55"/>
      <c r="D12" s="55"/>
      <c r="E12" s="55"/>
      <c r="F12" s="55"/>
      <c r="G12" s="55"/>
      <c r="H12" s="55"/>
    </row>
    <row r="13" spans="1:8" ht="15.5">
      <c r="A13" s="22" t="s">
        <v>1016</v>
      </c>
      <c r="B13" s="55"/>
      <c r="C13" s="55"/>
      <c r="D13" s="55"/>
      <c r="E13" s="55"/>
      <c r="F13" s="55"/>
      <c r="G13" s="55"/>
      <c r="H13" s="55"/>
    </row>
    <row r="14" spans="1:8" ht="15.5">
      <c r="A14" s="22" t="s">
        <v>1046</v>
      </c>
      <c r="B14" s="22"/>
      <c r="C14" s="22"/>
      <c r="D14" s="22"/>
      <c r="E14" s="22"/>
      <c r="F14" s="22"/>
      <c r="G14" s="22"/>
      <c r="H14" s="22"/>
    </row>
    <row r="15" spans="1:8" ht="15.5">
      <c r="A15" s="203" t="s">
        <v>1047</v>
      </c>
      <c r="B15" s="203"/>
      <c r="C15" s="203"/>
      <c r="D15" s="203"/>
      <c r="E15" s="203"/>
      <c r="F15" s="203"/>
      <c r="G15" s="203"/>
      <c r="H15" s="203"/>
    </row>
    <row r="16" spans="1:8" ht="15.5">
      <c r="A16" s="22" t="s">
        <v>1208</v>
      </c>
      <c r="B16" s="55"/>
      <c r="C16" s="55"/>
      <c r="D16" s="55"/>
      <c r="E16" s="55"/>
      <c r="F16" s="55"/>
      <c r="G16" s="55"/>
      <c r="H16" s="55"/>
    </row>
    <row r="17" spans="1:8" ht="15.5">
      <c r="A17" s="22" t="s">
        <v>2821</v>
      </c>
      <c r="B17" s="55"/>
      <c r="C17" s="55"/>
      <c r="D17" s="55"/>
      <c r="E17" s="55"/>
      <c r="F17" s="55"/>
      <c r="G17" s="55"/>
      <c r="H17" s="55"/>
    </row>
    <row r="18" spans="1:8" ht="15.5">
      <c r="A18" s="22" t="s">
        <v>1049</v>
      </c>
      <c r="B18" s="55"/>
      <c r="C18" s="55"/>
      <c r="D18" s="55"/>
      <c r="E18" s="55"/>
      <c r="F18" s="55"/>
      <c r="G18" s="55"/>
      <c r="H18" s="55"/>
    </row>
    <row r="19" spans="1:8" ht="15.5">
      <c r="A19" s="22"/>
      <c r="B19" s="55"/>
      <c r="C19" s="55">
        <v>1</v>
      </c>
      <c r="D19" s="55"/>
      <c r="E19" s="55"/>
      <c r="F19" s="55"/>
      <c r="G19" s="55"/>
      <c r="H19" s="55"/>
    </row>
    <row r="20" spans="1:8" ht="15.5">
      <c r="A20" s="46" t="s">
        <v>1021</v>
      </c>
      <c r="B20" s="55"/>
      <c r="C20" s="55">
        <v>1</v>
      </c>
      <c r="D20" s="55"/>
      <c r="E20" s="55"/>
      <c r="F20" s="55"/>
      <c r="G20" s="55"/>
      <c r="H20" s="55"/>
    </row>
    <row r="21" spans="1:8" ht="15.5">
      <c r="A21" s="65" t="s">
        <v>2822</v>
      </c>
      <c r="B21" s="55"/>
      <c r="C21" s="55"/>
      <c r="D21" s="55"/>
      <c r="E21" s="55"/>
      <c r="F21" s="55"/>
      <c r="G21" s="55"/>
      <c r="H21" s="55"/>
    </row>
    <row r="22" spans="1:8" ht="15.5">
      <c r="A22" s="22"/>
      <c r="B22" s="55"/>
      <c r="C22" s="55"/>
      <c r="D22" s="55"/>
      <c r="E22" s="55"/>
      <c r="F22" s="55"/>
      <c r="G22" s="55"/>
      <c r="H22" s="55"/>
    </row>
    <row r="23" spans="1:8" ht="15.5">
      <c r="A23" s="22" t="s">
        <v>1023</v>
      </c>
      <c r="B23" s="55"/>
      <c r="C23" s="55"/>
      <c r="D23" s="55"/>
      <c r="E23" s="55"/>
      <c r="F23" s="55"/>
      <c r="G23" s="55"/>
      <c r="H23" s="55"/>
    </row>
    <row r="24" spans="1:8" ht="15.5">
      <c r="A24" s="47" t="s">
        <v>1024</v>
      </c>
      <c r="B24" s="55"/>
      <c r="C24" s="55"/>
      <c r="D24" s="55"/>
      <c r="E24" s="55"/>
      <c r="F24" s="55"/>
      <c r="G24" s="55"/>
      <c r="H24" s="55"/>
    </row>
    <row r="25" spans="1:8" ht="15.5">
      <c r="A25" s="47" t="s">
        <v>1025</v>
      </c>
      <c r="B25" s="55"/>
      <c r="C25" s="55"/>
      <c r="D25" s="55"/>
      <c r="E25" s="55"/>
      <c r="F25" s="55"/>
      <c r="G25" s="55"/>
      <c r="H25" s="55"/>
    </row>
    <row r="26" spans="1:8" ht="15.5">
      <c r="A26" s="47"/>
      <c r="B26" s="55"/>
      <c r="C26" s="55"/>
      <c r="D26" s="55"/>
      <c r="E26" s="55"/>
      <c r="F26" s="55"/>
      <c r="G26" s="55"/>
      <c r="H26" s="55"/>
    </row>
    <row r="27" spans="1:8" ht="15.5">
      <c r="A27" s="23" t="s">
        <v>1027</v>
      </c>
      <c r="B27" s="55"/>
      <c r="C27" s="55"/>
      <c r="D27" s="55"/>
      <c r="E27" s="55"/>
      <c r="F27" s="55"/>
      <c r="G27" s="55"/>
      <c r="H27" s="55"/>
    </row>
  </sheetData>
  <mergeCells count="3">
    <mergeCell ref="A5:B5"/>
    <mergeCell ref="A7:H7"/>
    <mergeCell ref="C9:D9"/>
  </mergeCells>
  <pageMargins left="0.7" right="0.7" top="0.75" bottom="0.75" header="0.3" footer="0.3"/>
  <pageSetup paperSize="9" scale="75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1"/>
  <sheetViews>
    <sheetView workbookViewId="0">
      <selection activeCell="C33" sqref="C33"/>
    </sheetView>
  </sheetViews>
  <sheetFormatPr defaultRowHeight="14.5"/>
  <cols>
    <col min="1" max="1" width="23.7265625" customWidth="1"/>
    <col min="2" max="2" width="10.54296875" customWidth="1"/>
    <col min="3" max="3" width="18.453125" customWidth="1"/>
    <col min="4" max="4" width="12" customWidth="1"/>
    <col min="5" max="5" width="20.26953125" customWidth="1"/>
  </cols>
  <sheetData>
    <row r="1" spans="1:9">
      <c r="A1" s="14">
        <f>'EVIDENCIJA NOVA'!G1</f>
        <v>808</v>
      </c>
    </row>
    <row r="2" spans="1:9" ht="15.5">
      <c r="A2" s="59" t="str">
        <f ca="1">OFFSET(RADNICI!E2,A1,0)</f>
        <v>D-INVOICE D.O.O.</v>
      </c>
      <c r="B2" s="59"/>
    </row>
    <row r="3" spans="1:9" ht="15.5">
      <c r="A3" s="731">
        <f ca="1">OFFSET(RADNICI!F2,$A$1,0)</f>
        <v>95114485977</v>
      </c>
      <c r="B3" s="731"/>
    </row>
    <row r="5" spans="1:9" ht="15.5">
      <c r="A5" s="735" t="s">
        <v>1237</v>
      </c>
      <c r="B5" s="735"/>
      <c r="C5" s="735"/>
      <c r="D5" s="735"/>
      <c r="E5" s="735"/>
      <c r="F5" s="735"/>
      <c r="G5" s="735"/>
      <c r="H5" s="60"/>
      <c r="I5" s="60"/>
    </row>
    <row r="6" spans="1:9">
      <c r="A6" s="18"/>
    </row>
    <row r="7" spans="1:9" ht="15.5">
      <c r="A7" s="57" t="s">
        <v>890</v>
      </c>
      <c r="B7" s="732" t="str">
        <f ca="1">OFFSET(RADNICI!J2,$A$1,0)</f>
        <v>VLADIMIR DEDUŠ</v>
      </c>
      <c r="C7" s="732"/>
      <c r="D7" s="58" t="s">
        <v>784</v>
      </c>
      <c r="E7" s="211">
        <f ca="1">OFFSET(RADNICI!M2,$A$1,0)</f>
        <v>31157145393</v>
      </c>
      <c r="F7" s="58" t="s">
        <v>998</v>
      </c>
      <c r="G7" s="58"/>
      <c r="H7" s="58"/>
      <c r="I7" s="58"/>
    </row>
    <row r="8" spans="1:9" ht="15.5">
      <c r="A8" s="733" t="s">
        <v>1227</v>
      </c>
      <c r="B8" s="734"/>
      <c r="C8" s="734"/>
      <c r="D8" s="734"/>
      <c r="E8" s="734"/>
      <c r="F8" s="734"/>
      <c r="G8" s="734"/>
      <c r="H8" s="734"/>
      <c r="I8" s="734"/>
    </row>
    <row r="9" spans="1:9" ht="15.5">
      <c r="A9" s="265">
        <f ca="1">OFFSET(RADNICI!L2,A1,0)</f>
        <v>46210</v>
      </c>
      <c r="B9" s="263" t="s">
        <v>1233</v>
      </c>
      <c r="C9" s="263"/>
      <c r="D9" s="263"/>
      <c r="E9" s="263"/>
      <c r="F9" s="263"/>
      <c r="G9" s="263"/>
      <c r="H9" s="263"/>
      <c r="I9" s="263"/>
    </row>
    <row r="10" spans="1:9" ht="15.5">
      <c r="A10" s="71" t="s">
        <v>1234</v>
      </c>
      <c r="B10" s="263" t="s">
        <v>1235</v>
      </c>
      <c r="C10" s="263"/>
      <c r="D10" s="263"/>
      <c r="E10" s="263"/>
      <c r="F10" s="263"/>
      <c r="G10" s="263"/>
      <c r="H10" s="263"/>
      <c r="I10" s="263"/>
    </row>
    <row r="11" spans="1:9" ht="15.5">
      <c r="A11" s="58" t="s">
        <v>1236</v>
      </c>
    </row>
    <row r="13" spans="1:9" ht="15.5">
      <c r="A13" s="57"/>
    </row>
    <row r="14" spans="1:9" ht="15.5">
      <c r="A14" s="57" t="s">
        <v>1003</v>
      </c>
    </row>
    <row r="15" spans="1:9">
      <c r="A15" s="171">
        <f ca="1">OFFSET(RADNICI!L2,A1,0)</f>
        <v>46210</v>
      </c>
    </row>
    <row r="16" spans="1:9" ht="15.5">
      <c r="A16" s="57"/>
    </row>
    <row r="17" spans="1:5" ht="15.5">
      <c r="A17" s="57"/>
    </row>
    <row r="19" spans="1:5" ht="15.5">
      <c r="A19" s="57" t="s">
        <v>995</v>
      </c>
      <c r="E19" s="58" t="s">
        <v>971</v>
      </c>
    </row>
    <row r="20" spans="1:5" ht="15.5">
      <c r="A20" s="57"/>
      <c r="E20" s="68" t="str">
        <f ca="1">OFFSET(RADNICI!J2,$A$1,0)</f>
        <v>VLADIMIR DEDUŠ</v>
      </c>
    </row>
    <row r="21" spans="1:5" ht="15.5">
      <c r="A21" s="57" t="s">
        <v>996</v>
      </c>
    </row>
  </sheetData>
  <mergeCells count="4">
    <mergeCell ref="A3:B3"/>
    <mergeCell ref="A5:G5"/>
    <mergeCell ref="B7:C7"/>
    <mergeCell ref="A8:I8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1"/>
  <sheetViews>
    <sheetView workbookViewId="0">
      <selection activeCell="K25" sqref="K25"/>
    </sheetView>
  </sheetViews>
  <sheetFormatPr defaultRowHeight="14.5"/>
  <cols>
    <col min="1" max="1" width="22.453125" customWidth="1"/>
    <col min="5" max="5" width="18.1796875" customWidth="1"/>
  </cols>
  <sheetData>
    <row r="1" spans="1:9">
      <c r="A1" s="14">
        <v>302</v>
      </c>
    </row>
    <row r="2" spans="1:9" ht="15.5">
      <c r="A2" s="59" t="str">
        <f ca="1">OFFSET(RADNICI!E2,A1,0)</f>
        <v>Špajz j.d.o.o.</v>
      </c>
      <c r="B2" s="59"/>
    </row>
    <row r="3" spans="1:9" ht="15.5">
      <c r="A3" s="731">
        <f ca="1">OFFSET(RADNICI!F2,$A$1,0)</f>
        <v>15795338441</v>
      </c>
      <c r="B3" s="731"/>
    </row>
    <row r="5" spans="1:9" ht="15.5">
      <c r="A5" s="735" t="s">
        <v>1232</v>
      </c>
      <c r="B5" s="735"/>
      <c r="C5" s="735"/>
      <c r="D5" s="735"/>
      <c r="E5" s="735"/>
      <c r="F5" s="735"/>
      <c r="G5" s="735"/>
      <c r="H5" s="60"/>
      <c r="I5" s="60"/>
    </row>
    <row r="6" spans="1:9">
      <c r="A6" s="18"/>
    </row>
    <row r="7" spans="1:9" ht="15.5">
      <c r="A7" s="57" t="s">
        <v>890</v>
      </c>
      <c r="B7" s="732" t="str">
        <f ca="1">OFFSET(RADNICI!J2,$A$1,0)</f>
        <v>Martina Završki</v>
      </c>
      <c r="C7" s="732"/>
      <c r="D7" s="58" t="s">
        <v>784</v>
      </c>
      <c r="E7" s="211">
        <f ca="1">OFFSET(RADNICI!M2,$A$1,0)</f>
        <v>47650763216</v>
      </c>
      <c r="F7" s="58" t="s">
        <v>998</v>
      </c>
      <c r="G7" s="58"/>
      <c r="H7" s="58"/>
      <c r="I7" s="58"/>
    </row>
    <row r="8" spans="1:9" ht="15.5">
      <c r="A8" s="733" t="s">
        <v>1227</v>
      </c>
      <c r="B8" s="734"/>
      <c r="C8" s="734"/>
      <c r="D8" s="734"/>
      <c r="E8" s="734"/>
      <c r="F8" s="734"/>
      <c r="G8" s="734"/>
      <c r="H8" s="734"/>
      <c r="I8" s="734"/>
    </row>
    <row r="9" spans="1:9" ht="15.5">
      <c r="A9" s="266">
        <f ca="1">OFFSET(RADNICI!L2,A1,0)</f>
        <v>43861</v>
      </c>
      <c r="B9" s="263" t="s">
        <v>1228</v>
      </c>
      <c r="C9" s="263"/>
      <c r="D9" s="263"/>
      <c r="E9" s="263"/>
      <c r="F9" s="263"/>
      <c r="G9" s="263"/>
      <c r="H9" s="263"/>
      <c r="I9" s="263"/>
    </row>
    <row r="10" spans="1:9" ht="15.5">
      <c r="A10" s="264" t="s">
        <v>1229</v>
      </c>
      <c r="B10" s="263" t="s">
        <v>1230</v>
      </c>
      <c r="C10" s="263"/>
      <c r="D10" s="263"/>
      <c r="E10" s="263"/>
      <c r="F10" s="263"/>
      <c r="G10" s="263"/>
      <c r="H10" s="263"/>
      <c r="I10" s="263"/>
    </row>
    <row r="11" spans="1:9" ht="15.5">
      <c r="A11" s="58" t="s">
        <v>1231</v>
      </c>
    </row>
    <row r="13" spans="1:9" ht="15.5">
      <c r="A13" s="57"/>
    </row>
    <row r="14" spans="1:9" ht="15.5">
      <c r="A14" s="57" t="s">
        <v>1003</v>
      </c>
    </row>
    <row r="15" spans="1:9">
      <c r="A15" s="171">
        <f ca="1">OFFSET(RADNICI!L2,A1,0)</f>
        <v>43861</v>
      </c>
    </row>
    <row r="16" spans="1:9" ht="15.5">
      <c r="A16" s="57"/>
    </row>
    <row r="17" spans="1:5" ht="15.5">
      <c r="A17" s="57"/>
    </row>
    <row r="19" spans="1:5" ht="15.5">
      <c r="A19" s="57" t="s">
        <v>995</v>
      </c>
      <c r="E19" s="58" t="s">
        <v>971</v>
      </c>
    </row>
    <row r="20" spans="1:5" ht="15.5">
      <c r="A20" s="57"/>
      <c r="E20" s="68" t="str">
        <f ca="1">OFFSET(RADNICI!J2,$A$1,0)</f>
        <v>Martina Završki</v>
      </c>
    </row>
    <row r="21" spans="1:5" ht="15.5">
      <c r="A21" s="57" t="s">
        <v>996</v>
      </c>
    </row>
  </sheetData>
  <mergeCells count="4">
    <mergeCell ref="A3:B3"/>
    <mergeCell ref="A5:G5"/>
    <mergeCell ref="B7:C7"/>
    <mergeCell ref="A8:I8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K40"/>
  <sheetViews>
    <sheetView topLeftCell="A10" workbookViewId="0"/>
  </sheetViews>
  <sheetFormatPr defaultRowHeight="14.5"/>
  <cols>
    <col min="1" max="1" width="9.1796875" customWidth="1"/>
    <col min="2" max="2" width="7.26953125" customWidth="1"/>
    <col min="4" max="4" width="15.54296875" customWidth="1"/>
    <col min="5" max="5" width="11.81640625" customWidth="1"/>
    <col min="6" max="6" width="4.54296875" customWidth="1"/>
    <col min="7" max="7" width="5" customWidth="1"/>
    <col min="9" max="9" width="3.7265625" customWidth="1"/>
    <col min="10" max="10" width="6.7265625" customWidth="1"/>
    <col min="11" max="11" width="11.7265625" customWidth="1"/>
  </cols>
  <sheetData>
    <row r="1" spans="1:11">
      <c r="A1" s="77">
        <f>'EVIDENCIJA NOVA'!G1</f>
        <v>808</v>
      </c>
    </row>
    <row r="3" spans="1:11">
      <c r="A3" s="741" t="str">
        <f ca="1">OFFSET(RADNICI!E2,A1,0)</f>
        <v>D-INVOICE D.O.O.</v>
      </c>
      <c r="B3" s="741"/>
      <c r="C3" s="741" t="str">
        <f ca="1">OFFSET(RADNICI!I2,$A$1,0)</f>
        <v>SV.IVANA KRSTITELJA 15, DARDA</v>
      </c>
      <c r="D3" s="741"/>
      <c r="E3" s="741"/>
      <c r="F3" s="741"/>
      <c r="G3" t="s">
        <v>3</v>
      </c>
      <c r="H3" s="742">
        <f ca="1">OFFSET(RADNICI!F2,$A$1,0)</f>
        <v>95114485977</v>
      </c>
      <c r="I3" s="742"/>
      <c r="J3" s="744" t="s">
        <v>1061</v>
      </c>
      <c r="K3" s="744"/>
    </row>
    <row r="4" spans="1:11">
      <c r="A4" s="16" t="s">
        <v>1084</v>
      </c>
      <c r="B4" s="640" t="str">
        <f ca="1">OFFSET(RADNICI!G2,A1,0)</f>
        <v>LAURA GERGELJ</v>
      </c>
      <c r="C4" s="640"/>
      <c r="D4" s="749" t="s">
        <v>1663</v>
      </c>
      <c r="E4" s="744"/>
      <c r="F4" s="744"/>
      <c r="G4" s="744"/>
      <c r="H4" s="744"/>
      <c r="I4" s="744"/>
    </row>
    <row r="7" spans="1:11">
      <c r="E7" s="200" t="s">
        <v>1063</v>
      </c>
    </row>
    <row r="10" spans="1:11" ht="21">
      <c r="A10" s="76"/>
      <c r="B10" s="743" t="s">
        <v>1085</v>
      </c>
      <c r="C10" s="706"/>
      <c r="D10" s="706"/>
      <c r="E10" s="706"/>
      <c r="F10" s="706"/>
      <c r="G10" s="706"/>
      <c r="H10" s="706"/>
      <c r="I10" s="706"/>
      <c r="J10" s="706"/>
    </row>
    <row r="13" spans="1:11">
      <c r="A13" t="s">
        <v>1664</v>
      </c>
      <c r="B13" s="640" t="str">
        <f ca="1">OFFSET(RADNICI!J2,A1,0)</f>
        <v>VLADIMIR DEDUŠ</v>
      </c>
      <c r="C13" s="640"/>
      <c r="D13" t="s">
        <v>1005</v>
      </c>
      <c r="E13" s="640" t="str">
        <f ca="1">OFFSET(RADNICI!R2,A1,0)</f>
        <v>Moslavačka 7 a</v>
      </c>
      <c r="F13" s="640"/>
      <c r="G13" s="640"/>
      <c r="H13" s="640"/>
      <c r="I13" s="744" t="s">
        <v>1086</v>
      </c>
      <c r="J13" s="744"/>
      <c r="K13" s="744"/>
    </row>
    <row r="14" spans="1:11">
      <c r="A14" t="s">
        <v>1087</v>
      </c>
      <c r="B14" s="640" t="str">
        <f ca="1">OFFSET(RADNICI!V2,$A$1,0)</f>
        <v>maser</v>
      </c>
      <c r="C14" s="640"/>
      <c r="D14" s="640"/>
      <c r="E14" s="744" t="s">
        <v>1665</v>
      </c>
      <c r="F14" s="744"/>
      <c r="G14" s="744"/>
      <c r="H14" s="744"/>
      <c r="I14" s="744"/>
      <c r="J14" s="744"/>
      <c r="K14" s="744"/>
    </row>
    <row r="15" spans="1:11">
      <c r="A15" s="744" t="s">
        <v>1088</v>
      </c>
      <c r="B15" s="744"/>
      <c r="C15" s="744"/>
      <c r="D15" s="744"/>
      <c r="E15" s="744"/>
      <c r="F15" s="198">
        <v>12</v>
      </c>
      <c r="G15" t="s">
        <v>1089</v>
      </c>
    </row>
    <row r="17" spans="1:11">
      <c r="A17" s="744" t="s">
        <v>1662</v>
      </c>
      <c r="B17" s="744"/>
      <c r="C17" s="744"/>
      <c r="D17" s="744"/>
      <c r="E17" s="744"/>
      <c r="F17" s="744"/>
      <c r="G17" s="640" t="s">
        <v>1666</v>
      </c>
      <c r="H17" s="640"/>
      <c r="I17" s="640"/>
      <c r="J17" s="640"/>
      <c r="K17" t="s">
        <v>1090</v>
      </c>
    </row>
    <row r="19" spans="1:11">
      <c r="A19" s="744" t="s">
        <v>1661</v>
      </c>
      <c r="B19" s="744"/>
      <c r="C19" s="744"/>
      <c r="D19" s="744"/>
      <c r="E19" s="744"/>
      <c r="F19" s="744"/>
      <c r="G19" s="744"/>
      <c r="H19" s="744"/>
      <c r="I19" s="744"/>
      <c r="J19" s="744"/>
      <c r="K19" s="744"/>
    </row>
    <row r="20" spans="1:11">
      <c r="A20" s="744" t="s">
        <v>1091</v>
      </c>
      <c r="B20" s="744"/>
      <c r="C20" s="744"/>
      <c r="D20" s="744"/>
      <c r="E20" s="744"/>
      <c r="F20" s="744"/>
      <c r="G20" s="744"/>
      <c r="H20" s="744"/>
      <c r="I20" s="744"/>
      <c r="J20" s="744"/>
      <c r="K20" s="744"/>
    </row>
    <row r="24" spans="1:11">
      <c r="A24" s="741" t="s">
        <v>1092</v>
      </c>
      <c r="B24" s="741"/>
      <c r="C24" s="741"/>
    </row>
    <row r="25" spans="1:11">
      <c r="A25" s="744" t="s">
        <v>1093</v>
      </c>
      <c r="B25" s="744"/>
      <c r="C25" s="744"/>
      <c r="D25" s="744"/>
      <c r="E25" s="744"/>
      <c r="F25" s="744"/>
      <c r="G25" s="744"/>
      <c r="H25" s="744"/>
      <c r="I25" s="744"/>
      <c r="J25" s="744"/>
      <c r="K25" s="744"/>
    </row>
    <row r="26" spans="1:11">
      <c r="A26" s="744" t="s">
        <v>1094</v>
      </c>
      <c r="B26" s="744"/>
    </row>
    <row r="28" spans="1:11">
      <c r="I28" t="s">
        <v>1075</v>
      </c>
    </row>
    <row r="29" spans="1:11">
      <c r="I29" s="21" t="str">
        <f ca="1">OFFSET(RADNICI!G2,A1,0)</f>
        <v>LAURA GERGELJ</v>
      </c>
      <c r="J29" s="21"/>
      <c r="K29" s="21"/>
    </row>
    <row r="30" spans="1:11">
      <c r="I30" s="78"/>
      <c r="J30" s="78"/>
      <c r="K30" s="78"/>
    </row>
    <row r="31" spans="1:11">
      <c r="E31" t="s">
        <v>972</v>
      </c>
    </row>
    <row r="35" spans="1:8">
      <c r="A35" t="s">
        <v>1023</v>
      </c>
    </row>
    <row r="36" spans="1:8">
      <c r="A36" s="78" t="s">
        <v>1077</v>
      </c>
      <c r="B36" s="741" t="str">
        <f ca="1">OFFSET(RADNICI!J2,A1,0)</f>
        <v>VLADIMIR DEDUŠ</v>
      </c>
      <c r="C36" s="741"/>
      <c r="D36" s="744" t="s">
        <v>1667</v>
      </c>
      <c r="E36" s="744"/>
      <c r="F36" s="744"/>
      <c r="G36" s="744"/>
      <c r="H36" s="744"/>
    </row>
    <row r="37" spans="1:8">
      <c r="A37" s="78"/>
      <c r="B37" s="21"/>
      <c r="C37" s="21"/>
    </row>
    <row r="38" spans="1:8">
      <c r="A38" s="78"/>
      <c r="B38" s="741" t="s">
        <v>1079</v>
      </c>
      <c r="C38" s="744"/>
      <c r="D38" s="744"/>
    </row>
    <row r="39" spans="1:8">
      <c r="A39" s="78" t="s">
        <v>1080</v>
      </c>
      <c r="B39" s="744" t="s">
        <v>1081</v>
      </c>
      <c r="C39" s="744"/>
    </row>
    <row r="40" spans="1:8">
      <c r="A40" s="78" t="s">
        <v>1082</v>
      </c>
      <c r="B40" t="s">
        <v>1083</v>
      </c>
    </row>
  </sheetData>
  <mergeCells count="24">
    <mergeCell ref="H3:I3"/>
    <mergeCell ref="B4:C4"/>
    <mergeCell ref="D4:I4"/>
    <mergeCell ref="E13:H13"/>
    <mergeCell ref="B10:J10"/>
    <mergeCell ref="J3:K3"/>
    <mergeCell ref="B13:C13"/>
    <mergeCell ref="A3:B3"/>
    <mergeCell ref="C3:F3"/>
    <mergeCell ref="I13:K13"/>
    <mergeCell ref="B39:C39"/>
    <mergeCell ref="D36:H36"/>
    <mergeCell ref="G17:J17"/>
    <mergeCell ref="A24:C24"/>
    <mergeCell ref="A19:K19"/>
    <mergeCell ref="A20:K20"/>
    <mergeCell ref="A25:K25"/>
    <mergeCell ref="B36:C36"/>
    <mergeCell ref="A26:B26"/>
    <mergeCell ref="B14:D14"/>
    <mergeCell ref="A15:E15"/>
    <mergeCell ref="E14:K14"/>
    <mergeCell ref="A17:F17"/>
    <mergeCell ref="B38:D38"/>
  </mergeCells>
  <phoneticPr fontId="0" type="noConversion"/>
  <pageMargins left="0.7" right="0.7" top="0.75" bottom="0.75" header="0.3" footer="0.3"/>
  <pageSetup paperSize="9" scale="9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F508"/>
  <sheetViews>
    <sheetView workbookViewId="0">
      <selection activeCell="A13" sqref="A13"/>
    </sheetView>
  </sheetViews>
  <sheetFormatPr defaultColWidth="9.1796875" defaultRowHeight="14.5"/>
  <cols>
    <col min="1" max="1" width="25" style="368" customWidth="1"/>
    <col min="2" max="2" width="19" style="370" customWidth="1"/>
    <col min="3" max="3" width="15.1796875" style="370" customWidth="1"/>
    <col min="4" max="4" width="13.7265625" style="368" customWidth="1"/>
    <col min="5" max="5" width="12.453125" style="369" customWidth="1"/>
    <col min="6" max="6" width="15.7265625" style="369" customWidth="1"/>
    <col min="7" max="9" width="15.7265625" style="368" customWidth="1"/>
    <col min="10" max="10" width="15.7265625" style="368" bestFit="1" customWidth="1"/>
    <col min="11" max="16384" width="9.1796875" style="368"/>
  </cols>
  <sheetData>
    <row r="1" spans="1:6">
      <c r="A1" s="390" t="s">
        <v>32</v>
      </c>
      <c r="B1" s="389" t="s">
        <v>1480</v>
      </c>
    </row>
    <row r="2" spans="1:6">
      <c r="A2" s="390" t="s">
        <v>30</v>
      </c>
      <c r="B2" s="389" t="s">
        <v>374</v>
      </c>
    </row>
    <row r="4" spans="1:6">
      <c r="A4" s="383"/>
      <c r="B4" s="388" t="s">
        <v>1095</v>
      </c>
      <c r="C4" s="387"/>
      <c r="D4" s="387"/>
      <c r="E4" s="387"/>
      <c r="F4" s="386"/>
    </row>
    <row r="5" spans="1:6">
      <c r="A5" s="385" t="s">
        <v>36</v>
      </c>
      <c r="B5" s="382" t="s">
        <v>1300</v>
      </c>
      <c r="C5" s="381" t="s">
        <v>1301</v>
      </c>
      <c r="D5" s="380" t="s">
        <v>1096</v>
      </c>
      <c r="E5" s="380" t="s">
        <v>1097</v>
      </c>
      <c r="F5" s="384" t="s">
        <v>1218</v>
      </c>
    </row>
    <row r="6" spans="1:6">
      <c r="A6" s="383" t="s">
        <v>155</v>
      </c>
      <c r="B6" s="382">
        <v>44200</v>
      </c>
      <c r="C6" s="381"/>
      <c r="D6" s="380">
        <v>4250</v>
      </c>
      <c r="E6" s="380">
        <v>3400</v>
      </c>
      <c r="F6" s="379">
        <v>1</v>
      </c>
    </row>
    <row r="7" spans="1:6">
      <c r="A7" s="378" t="s">
        <v>190</v>
      </c>
      <c r="B7" s="377">
        <v>44216</v>
      </c>
      <c r="D7" s="369">
        <v>4250</v>
      </c>
      <c r="E7" s="369">
        <v>3400</v>
      </c>
      <c r="F7" s="376">
        <v>1</v>
      </c>
    </row>
    <row r="8" spans="1:6">
      <c r="A8" s="378" t="s">
        <v>147</v>
      </c>
      <c r="B8" s="377">
        <v>44197</v>
      </c>
      <c r="D8" s="369">
        <v>5875</v>
      </c>
      <c r="E8" s="369">
        <v>4700</v>
      </c>
      <c r="F8" s="376">
        <v>1</v>
      </c>
    </row>
    <row r="9" spans="1:6">
      <c r="A9" s="378" t="s">
        <v>187</v>
      </c>
      <c r="B9" s="377">
        <v>44466</v>
      </c>
      <c r="D9" s="369">
        <v>4250</v>
      </c>
      <c r="E9" s="369">
        <v>3400</v>
      </c>
      <c r="F9" s="376">
        <v>1</v>
      </c>
    </row>
    <row r="10" spans="1:6">
      <c r="A10" s="378" t="s">
        <v>124</v>
      </c>
      <c r="B10" s="377">
        <v>44256</v>
      </c>
      <c r="D10" s="369">
        <v>4375</v>
      </c>
      <c r="E10" s="369">
        <v>3500</v>
      </c>
      <c r="F10" s="376">
        <v>1</v>
      </c>
    </row>
    <row r="11" spans="1:6">
      <c r="A11" s="378" t="s">
        <v>117</v>
      </c>
      <c r="B11" s="377">
        <v>44200</v>
      </c>
      <c r="D11" s="369">
        <v>4375</v>
      </c>
      <c r="E11" s="369">
        <v>3500</v>
      </c>
      <c r="F11" s="376">
        <v>1</v>
      </c>
    </row>
    <row r="12" spans="1:6">
      <c r="A12" s="378" t="s">
        <v>174</v>
      </c>
      <c r="B12" s="377">
        <v>44197</v>
      </c>
      <c r="D12" s="369">
        <v>5875</v>
      </c>
      <c r="E12" s="369">
        <v>4700</v>
      </c>
      <c r="F12" s="376">
        <v>1</v>
      </c>
    </row>
    <row r="13" spans="1:6">
      <c r="A13" s="378" t="s">
        <v>90</v>
      </c>
      <c r="B13" s="377">
        <v>44215</v>
      </c>
      <c r="D13" s="369">
        <v>4250</v>
      </c>
      <c r="E13" s="369">
        <v>3400</v>
      </c>
      <c r="F13" s="376">
        <v>1</v>
      </c>
    </row>
    <row r="14" spans="1:6">
      <c r="A14" s="378" t="s">
        <v>133</v>
      </c>
      <c r="B14" s="377">
        <v>44200</v>
      </c>
      <c r="D14" s="369">
        <v>4375</v>
      </c>
      <c r="E14" s="369">
        <v>3500</v>
      </c>
      <c r="F14" s="376">
        <v>1</v>
      </c>
    </row>
    <row r="15" spans="1:6">
      <c r="A15" s="378" t="s">
        <v>130</v>
      </c>
      <c r="B15" s="377">
        <v>44200</v>
      </c>
      <c r="D15" s="369">
        <v>4375</v>
      </c>
      <c r="E15" s="369">
        <v>3500</v>
      </c>
      <c r="F15" s="376">
        <v>1</v>
      </c>
    </row>
    <row r="16" spans="1:6">
      <c r="A16" s="378" t="s">
        <v>150</v>
      </c>
      <c r="B16" s="377">
        <v>44200</v>
      </c>
      <c r="D16" s="369">
        <v>4250</v>
      </c>
      <c r="E16" s="369">
        <v>3400</v>
      </c>
      <c r="F16" s="376">
        <v>1</v>
      </c>
    </row>
    <row r="17" spans="1:6">
      <c r="A17" s="378" t="s">
        <v>145</v>
      </c>
      <c r="B17" s="377">
        <v>44200</v>
      </c>
      <c r="D17" s="369">
        <v>4250</v>
      </c>
      <c r="E17" s="369">
        <v>3400</v>
      </c>
      <c r="F17" s="376">
        <v>1</v>
      </c>
    </row>
    <row r="18" spans="1:6">
      <c r="A18" s="378" t="s">
        <v>178</v>
      </c>
      <c r="B18" s="377">
        <v>44209</v>
      </c>
      <c r="D18" s="369">
        <v>4250</v>
      </c>
      <c r="E18" s="369">
        <v>3400</v>
      </c>
      <c r="F18" s="376">
        <v>1</v>
      </c>
    </row>
    <row r="19" spans="1:6">
      <c r="A19" s="378" t="s">
        <v>141</v>
      </c>
      <c r="B19" s="377">
        <v>44215</v>
      </c>
      <c r="D19" s="369">
        <v>4250</v>
      </c>
      <c r="E19" s="369">
        <v>3400</v>
      </c>
      <c r="F19" s="376">
        <v>1</v>
      </c>
    </row>
    <row r="20" spans="1:6">
      <c r="A20" s="378" t="s">
        <v>127</v>
      </c>
      <c r="B20" s="377">
        <v>44200</v>
      </c>
      <c r="D20" s="369">
        <v>4375</v>
      </c>
      <c r="E20" s="369">
        <v>3500</v>
      </c>
      <c r="F20" s="376">
        <v>1</v>
      </c>
    </row>
    <row r="21" spans="1:6">
      <c r="A21" s="378" t="s">
        <v>119</v>
      </c>
      <c r="B21" s="377">
        <v>44200</v>
      </c>
      <c r="D21" s="369">
        <v>4375</v>
      </c>
      <c r="E21" s="369">
        <v>3500</v>
      </c>
      <c r="F21" s="376">
        <v>1</v>
      </c>
    </row>
    <row r="22" spans="1:6">
      <c r="A22" s="378" t="s">
        <v>211</v>
      </c>
      <c r="B22" s="377">
        <v>44312</v>
      </c>
      <c r="D22" s="369">
        <v>4250</v>
      </c>
      <c r="E22" s="369">
        <v>3400</v>
      </c>
      <c r="F22" s="376">
        <v>1</v>
      </c>
    </row>
    <row r="23" spans="1:6">
      <c r="A23" s="378" t="s">
        <v>120</v>
      </c>
      <c r="B23" s="377">
        <v>44200</v>
      </c>
      <c r="D23" s="369">
        <v>4375</v>
      </c>
      <c r="E23" s="369">
        <v>3500</v>
      </c>
      <c r="F23" s="376">
        <v>1</v>
      </c>
    </row>
    <row r="24" spans="1:6">
      <c r="A24" s="378" t="s">
        <v>305</v>
      </c>
      <c r="B24" s="377">
        <v>44200</v>
      </c>
      <c r="D24" s="369">
        <v>4250</v>
      </c>
      <c r="E24" s="369">
        <v>3400</v>
      </c>
      <c r="F24" s="376">
        <v>1</v>
      </c>
    </row>
    <row r="25" spans="1:6">
      <c r="A25" s="378" t="s">
        <v>346</v>
      </c>
      <c r="B25" s="377">
        <v>44200</v>
      </c>
      <c r="D25" s="369">
        <v>4250</v>
      </c>
      <c r="E25" s="369">
        <v>3400</v>
      </c>
      <c r="F25" s="376">
        <v>1</v>
      </c>
    </row>
    <row r="26" spans="1:6">
      <c r="A26" s="378" t="s">
        <v>443</v>
      </c>
      <c r="B26" s="377">
        <v>44312</v>
      </c>
      <c r="D26" s="369">
        <v>4250</v>
      </c>
      <c r="E26" s="369">
        <v>3400</v>
      </c>
      <c r="F26" s="376">
        <v>1</v>
      </c>
    </row>
    <row r="27" spans="1:6">
      <c r="A27" s="378" t="s">
        <v>650</v>
      </c>
      <c r="B27" s="377">
        <v>44200</v>
      </c>
      <c r="D27" s="369">
        <v>4250</v>
      </c>
      <c r="E27" s="369">
        <v>3400</v>
      </c>
      <c r="F27" s="376">
        <v>1</v>
      </c>
    </row>
    <row r="28" spans="1:6">
      <c r="A28" s="378" t="s">
        <v>1418</v>
      </c>
      <c r="B28" s="377">
        <v>44340</v>
      </c>
      <c r="D28" s="369">
        <v>514.54</v>
      </c>
      <c r="E28" s="369">
        <v>300</v>
      </c>
      <c r="F28" s="376">
        <v>1</v>
      </c>
    </row>
    <row r="29" spans="1:6">
      <c r="A29" s="378" t="s">
        <v>1434</v>
      </c>
      <c r="B29" s="377">
        <v>44315</v>
      </c>
      <c r="D29" s="369">
        <v>4250</v>
      </c>
      <c r="E29" s="369">
        <v>3400</v>
      </c>
      <c r="F29" s="376">
        <v>1</v>
      </c>
    </row>
    <row r="30" spans="1:6">
      <c r="A30" s="378" t="s">
        <v>1508</v>
      </c>
      <c r="B30" s="377">
        <v>44197</v>
      </c>
      <c r="D30" s="369">
        <v>5084.22</v>
      </c>
      <c r="E30" s="369">
        <v>4000</v>
      </c>
      <c r="F30" s="376">
        <v>1</v>
      </c>
    </row>
    <row r="31" spans="1:6">
      <c r="A31" s="378" t="s">
        <v>1514</v>
      </c>
      <c r="B31" s="377">
        <v>44216</v>
      </c>
      <c r="D31" s="369">
        <v>4250</v>
      </c>
      <c r="E31" s="369">
        <v>3400</v>
      </c>
      <c r="F31" s="376">
        <v>1</v>
      </c>
    </row>
    <row r="32" spans="1:6">
      <c r="A32" s="378" t="s">
        <v>1569</v>
      </c>
      <c r="B32" s="377">
        <v>44673</v>
      </c>
      <c r="D32" s="369">
        <v>4687.5</v>
      </c>
      <c r="E32" s="369">
        <v>3750</v>
      </c>
      <c r="F32" s="376">
        <v>1</v>
      </c>
    </row>
    <row r="33" spans="1:6">
      <c r="A33" s="378" t="s">
        <v>1625</v>
      </c>
      <c r="B33" s="377">
        <v>44676</v>
      </c>
      <c r="D33" s="369">
        <v>4687.5</v>
      </c>
      <c r="E33" s="369">
        <v>3750</v>
      </c>
      <c r="F33" s="376">
        <v>1</v>
      </c>
    </row>
    <row r="34" spans="1:6">
      <c r="A34" s="378" t="s">
        <v>1643</v>
      </c>
      <c r="B34" s="377">
        <v>44508</v>
      </c>
      <c r="D34" s="369">
        <v>4375</v>
      </c>
      <c r="E34" s="369">
        <v>3500</v>
      </c>
      <c r="F34" s="376">
        <v>1</v>
      </c>
    </row>
    <row r="35" spans="1:6">
      <c r="A35" s="378" t="s">
        <v>1710</v>
      </c>
      <c r="B35" s="377">
        <v>44593</v>
      </c>
      <c r="D35" s="369">
        <v>4687.5</v>
      </c>
      <c r="E35" s="369">
        <v>3750</v>
      </c>
      <c r="F35" s="376">
        <v>1</v>
      </c>
    </row>
    <row r="36" spans="1:6">
      <c r="A36" s="378" t="s">
        <v>1743</v>
      </c>
      <c r="B36" s="377">
        <v>44676</v>
      </c>
      <c r="D36" s="369">
        <v>4687.5</v>
      </c>
      <c r="E36" s="369">
        <v>3750</v>
      </c>
      <c r="F36" s="376">
        <v>1</v>
      </c>
    </row>
    <row r="37" spans="1:6">
      <c r="A37" s="378" t="s">
        <v>1747</v>
      </c>
      <c r="B37" s="377">
        <v>44677</v>
      </c>
      <c r="D37" s="369">
        <v>4687.5</v>
      </c>
      <c r="E37" s="369">
        <v>3750</v>
      </c>
      <c r="F37" s="376">
        <v>1</v>
      </c>
    </row>
    <row r="38" spans="1:6">
      <c r="A38" s="378" t="s">
        <v>1750</v>
      </c>
      <c r="B38" s="377">
        <v>44679</v>
      </c>
      <c r="D38" s="369">
        <v>4687.5</v>
      </c>
      <c r="E38" s="369">
        <v>3750</v>
      </c>
      <c r="F38" s="376">
        <v>1</v>
      </c>
    </row>
    <row r="39" spans="1:6">
      <c r="A39" s="375" t="s">
        <v>1099</v>
      </c>
      <c r="B39" s="374">
        <v>1462545</v>
      </c>
      <c r="C39" s="373"/>
      <c r="D39" s="372">
        <v>144223.76</v>
      </c>
      <c r="E39" s="372">
        <v>115200</v>
      </c>
      <c r="F39" s="371">
        <v>33</v>
      </c>
    </row>
    <row r="40" spans="1:6">
      <c r="B40" s="368"/>
      <c r="C40" s="368"/>
      <c r="E40" s="368"/>
      <c r="F40" s="368"/>
    </row>
    <row r="41" spans="1:6">
      <c r="B41" s="368"/>
      <c r="C41" s="368"/>
      <c r="E41" s="368"/>
      <c r="F41" s="368"/>
    </row>
    <row r="42" spans="1:6">
      <c r="B42" s="368"/>
      <c r="C42" s="368"/>
      <c r="E42" s="368"/>
      <c r="F42" s="368"/>
    </row>
    <row r="43" spans="1:6">
      <c r="B43" s="368"/>
      <c r="C43" s="368"/>
      <c r="E43" s="368"/>
      <c r="F43" s="368"/>
    </row>
    <row r="44" spans="1:6">
      <c r="B44" s="368"/>
      <c r="C44" s="368"/>
      <c r="E44" s="368"/>
      <c r="F44" s="368"/>
    </row>
    <row r="45" spans="1:6">
      <c r="B45" s="368"/>
      <c r="C45" s="368"/>
      <c r="E45" s="368"/>
      <c r="F45" s="368"/>
    </row>
    <row r="46" spans="1:6">
      <c r="B46" s="368"/>
      <c r="C46" s="368"/>
      <c r="E46" s="368"/>
      <c r="F46" s="368"/>
    </row>
    <row r="47" spans="1:6">
      <c r="B47" s="368"/>
      <c r="C47" s="368"/>
      <c r="E47" s="368"/>
      <c r="F47" s="368"/>
    </row>
    <row r="48" spans="1:6">
      <c r="B48" s="368"/>
      <c r="C48" s="368"/>
      <c r="E48" s="368"/>
      <c r="F48" s="368"/>
    </row>
    <row r="49" s="368" customFormat="1"/>
    <row r="50" s="368" customFormat="1"/>
    <row r="51" s="368" customFormat="1"/>
    <row r="52" s="368" customFormat="1"/>
    <row r="53" s="368" customFormat="1"/>
    <row r="54" s="368" customFormat="1"/>
    <row r="55" s="368" customFormat="1"/>
    <row r="56" s="368" customFormat="1"/>
    <row r="57" s="368" customFormat="1"/>
    <row r="58" s="368" customFormat="1"/>
    <row r="59" s="368" customFormat="1"/>
    <row r="60" s="368" customFormat="1"/>
    <row r="61" s="368" customFormat="1"/>
    <row r="62" s="368" customFormat="1"/>
    <row r="63" s="368" customFormat="1"/>
    <row r="64" s="368" customFormat="1"/>
    <row r="65" s="368" customFormat="1"/>
    <row r="66" s="368" customFormat="1"/>
    <row r="67" s="368" customFormat="1"/>
    <row r="68" s="368" customFormat="1"/>
    <row r="69" s="368" customFormat="1"/>
    <row r="70" s="368" customFormat="1"/>
    <row r="71" s="368" customFormat="1"/>
    <row r="72" s="368" customFormat="1"/>
    <row r="73" s="368" customFormat="1"/>
    <row r="74" s="368" customFormat="1"/>
    <row r="75" s="368" customFormat="1"/>
    <row r="76" s="368" customFormat="1"/>
    <row r="77" s="368" customFormat="1"/>
    <row r="78" s="368" customFormat="1"/>
    <row r="79" s="368" customFormat="1"/>
    <row r="80" s="368" customFormat="1"/>
    <row r="81" s="368" customFormat="1"/>
    <row r="82" s="368" customFormat="1"/>
    <row r="83" s="368" customFormat="1"/>
    <row r="84" s="368" customFormat="1"/>
    <row r="85" s="368" customFormat="1"/>
    <row r="86" s="368" customFormat="1"/>
    <row r="87" s="368" customFormat="1"/>
    <row r="88" s="368" customFormat="1"/>
    <row r="89" s="368" customFormat="1"/>
    <row r="90" s="368" customFormat="1"/>
    <row r="91" s="368" customFormat="1"/>
    <row r="92" s="368" customFormat="1"/>
    <row r="93" s="368" customFormat="1"/>
    <row r="94" s="368" customFormat="1"/>
    <row r="95" s="368" customFormat="1"/>
    <row r="96" s="368" customFormat="1"/>
    <row r="97" s="368" customFormat="1"/>
    <row r="98" s="368" customFormat="1"/>
    <row r="99" s="368" customFormat="1"/>
    <row r="100" s="368" customFormat="1"/>
    <row r="101" s="368" customFormat="1"/>
    <row r="102" s="368" customFormat="1"/>
    <row r="103" s="368" customFormat="1"/>
    <row r="104" s="368" customFormat="1"/>
    <row r="105" s="368" customFormat="1"/>
    <row r="106" s="368" customFormat="1"/>
    <row r="107" s="368" customFormat="1"/>
    <row r="108" s="368" customFormat="1"/>
    <row r="109" s="368" customFormat="1"/>
    <row r="110" s="368" customFormat="1"/>
    <row r="111" s="368" customFormat="1"/>
    <row r="112" s="368" customFormat="1"/>
    <row r="113" spans="2:6">
      <c r="B113" s="368"/>
      <c r="C113" s="368"/>
      <c r="E113" s="368"/>
      <c r="F113" s="368"/>
    </row>
    <row r="114" spans="2:6">
      <c r="B114" s="368"/>
      <c r="C114" s="368"/>
      <c r="E114" s="368"/>
      <c r="F114" s="368"/>
    </row>
    <row r="115" spans="2:6">
      <c r="E115" s="368"/>
      <c r="F115" s="368"/>
    </row>
    <row r="116" spans="2:6">
      <c r="E116" s="368"/>
      <c r="F116" s="368"/>
    </row>
    <row r="117" spans="2:6">
      <c r="E117" s="368"/>
      <c r="F117" s="368"/>
    </row>
    <row r="118" spans="2:6">
      <c r="E118" s="368"/>
      <c r="F118" s="368"/>
    </row>
    <row r="119" spans="2:6">
      <c r="E119" s="368"/>
      <c r="F119" s="368"/>
    </row>
    <row r="120" spans="2:6">
      <c r="E120" s="368"/>
      <c r="F120" s="368"/>
    </row>
    <row r="121" spans="2:6">
      <c r="E121" s="368"/>
      <c r="F121" s="368"/>
    </row>
    <row r="122" spans="2:6">
      <c r="E122" s="368"/>
      <c r="F122" s="368"/>
    </row>
    <row r="123" spans="2:6">
      <c r="E123" s="368"/>
      <c r="F123" s="368"/>
    </row>
    <row r="124" spans="2:6">
      <c r="E124" s="368"/>
      <c r="F124" s="368"/>
    </row>
    <row r="125" spans="2:6">
      <c r="E125" s="368"/>
      <c r="F125" s="368"/>
    </row>
    <row r="126" spans="2:6">
      <c r="E126" s="368"/>
      <c r="F126" s="368"/>
    </row>
    <row r="127" spans="2:6">
      <c r="E127" s="368"/>
      <c r="F127" s="368"/>
    </row>
    <row r="128" spans="2:6">
      <c r="E128" s="368"/>
      <c r="F128" s="368"/>
    </row>
    <row r="129" spans="5:6">
      <c r="E129" s="368"/>
      <c r="F129" s="368"/>
    </row>
    <row r="130" spans="5:6">
      <c r="E130" s="368"/>
      <c r="F130" s="368"/>
    </row>
    <row r="131" spans="5:6">
      <c r="E131" s="368"/>
      <c r="F131" s="368"/>
    </row>
    <row r="132" spans="5:6">
      <c r="E132" s="368"/>
      <c r="F132" s="368"/>
    </row>
    <row r="133" spans="5:6">
      <c r="E133" s="368"/>
      <c r="F133" s="368"/>
    </row>
    <row r="134" spans="5:6">
      <c r="E134" s="368"/>
      <c r="F134" s="368"/>
    </row>
    <row r="135" spans="5:6">
      <c r="E135" s="368"/>
      <c r="F135" s="368"/>
    </row>
    <row r="136" spans="5:6">
      <c r="E136" s="368"/>
      <c r="F136" s="368"/>
    </row>
    <row r="137" spans="5:6">
      <c r="E137" s="368"/>
      <c r="F137" s="368"/>
    </row>
    <row r="138" spans="5:6">
      <c r="E138" s="368"/>
      <c r="F138" s="368"/>
    </row>
    <row r="139" spans="5:6">
      <c r="E139" s="368"/>
      <c r="F139" s="368"/>
    </row>
    <row r="140" spans="5:6">
      <c r="E140" s="368"/>
      <c r="F140" s="368"/>
    </row>
    <row r="141" spans="5:6">
      <c r="E141" s="368"/>
      <c r="F141" s="368"/>
    </row>
    <row r="142" spans="5:6">
      <c r="E142" s="368"/>
      <c r="F142" s="368"/>
    </row>
    <row r="143" spans="5:6">
      <c r="E143" s="368"/>
      <c r="F143" s="368"/>
    </row>
    <row r="144" spans="5:6">
      <c r="E144" s="368"/>
      <c r="F144" s="368"/>
    </row>
    <row r="145" spans="5:6">
      <c r="E145" s="368"/>
      <c r="F145" s="368"/>
    </row>
    <row r="146" spans="5:6">
      <c r="E146" s="368"/>
      <c r="F146" s="368"/>
    </row>
    <row r="147" spans="5:6">
      <c r="E147" s="368"/>
      <c r="F147" s="368"/>
    </row>
    <row r="148" spans="5:6">
      <c r="E148" s="368"/>
      <c r="F148" s="368"/>
    </row>
    <row r="149" spans="5:6">
      <c r="E149" s="368"/>
      <c r="F149" s="368"/>
    </row>
    <row r="150" spans="5:6">
      <c r="E150" s="368"/>
      <c r="F150" s="368"/>
    </row>
    <row r="151" spans="5:6">
      <c r="E151" s="368"/>
      <c r="F151" s="368"/>
    </row>
    <row r="152" spans="5:6">
      <c r="E152" s="368"/>
      <c r="F152" s="368"/>
    </row>
    <row r="153" spans="5:6">
      <c r="E153" s="368"/>
      <c r="F153" s="368"/>
    </row>
    <row r="154" spans="5:6">
      <c r="E154" s="368"/>
      <c r="F154" s="368"/>
    </row>
    <row r="155" spans="5:6">
      <c r="E155" s="368"/>
      <c r="F155" s="368"/>
    </row>
    <row r="156" spans="5:6">
      <c r="E156" s="368"/>
      <c r="F156" s="368"/>
    </row>
    <row r="157" spans="5:6">
      <c r="E157" s="368"/>
      <c r="F157" s="368"/>
    </row>
    <row r="158" spans="5:6">
      <c r="E158" s="368"/>
      <c r="F158" s="368"/>
    </row>
    <row r="159" spans="5:6">
      <c r="E159" s="368"/>
      <c r="F159" s="368"/>
    </row>
    <row r="160" spans="5:6">
      <c r="E160" s="368"/>
      <c r="F160" s="368"/>
    </row>
    <row r="161" spans="5:6">
      <c r="E161" s="368"/>
      <c r="F161" s="368"/>
    </row>
    <row r="162" spans="5:6">
      <c r="E162" s="368"/>
      <c r="F162" s="368"/>
    </row>
    <row r="163" spans="5:6">
      <c r="E163" s="368"/>
      <c r="F163" s="368"/>
    </row>
    <row r="164" spans="5:6">
      <c r="E164" s="368"/>
      <c r="F164" s="368"/>
    </row>
    <row r="165" spans="5:6">
      <c r="E165" s="368"/>
      <c r="F165" s="368"/>
    </row>
    <row r="166" spans="5:6">
      <c r="E166" s="368"/>
      <c r="F166" s="368"/>
    </row>
    <row r="167" spans="5:6">
      <c r="E167" s="368"/>
      <c r="F167" s="368"/>
    </row>
    <row r="168" spans="5:6">
      <c r="E168" s="368"/>
      <c r="F168" s="368"/>
    </row>
    <row r="169" spans="5:6">
      <c r="E169" s="368"/>
      <c r="F169" s="368"/>
    </row>
    <row r="170" spans="5:6">
      <c r="E170" s="368"/>
      <c r="F170" s="368"/>
    </row>
    <row r="171" spans="5:6">
      <c r="E171" s="368"/>
      <c r="F171" s="368"/>
    </row>
    <row r="172" spans="5:6">
      <c r="E172" s="368"/>
      <c r="F172" s="368"/>
    </row>
    <row r="173" spans="5:6">
      <c r="E173" s="368"/>
      <c r="F173" s="368"/>
    </row>
    <row r="174" spans="5:6">
      <c r="E174" s="368"/>
      <c r="F174" s="368"/>
    </row>
    <row r="175" spans="5:6">
      <c r="E175" s="368"/>
      <c r="F175" s="368"/>
    </row>
    <row r="176" spans="5:6">
      <c r="E176" s="368"/>
      <c r="F176" s="368"/>
    </row>
    <row r="177" spans="5:6">
      <c r="E177" s="368"/>
      <c r="F177" s="368"/>
    </row>
    <row r="178" spans="5:6">
      <c r="E178" s="368"/>
      <c r="F178" s="368"/>
    </row>
    <row r="179" spans="5:6">
      <c r="E179" s="368"/>
      <c r="F179" s="368"/>
    </row>
    <row r="180" spans="5:6">
      <c r="E180" s="368"/>
      <c r="F180" s="368"/>
    </row>
    <row r="181" spans="5:6">
      <c r="E181" s="368"/>
      <c r="F181" s="368"/>
    </row>
    <row r="182" spans="5:6">
      <c r="E182" s="368"/>
      <c r="F182" s="368"/>
    </row>
    <row r="183" spans="5:6">
      <c r="E183" s="368"/>
      <c r="F183" s="368"/>
    </row>
    <row r="184" spans="5:6">
      <c r="E184" s="368"/>
      <c r="F184" s="368"/>
    </row>
    <row r="185" spans="5:6">
      <c r="E185" s="368"/>
      <c r="F185" s="368"/>
    </row>
    <row r="186" spans="5:6">
      <c r="E186" s="368"/>
      <c r="F186" s="368"/>
    </row>
    <row r="187" spans="5:6">
      <c r="E187" s="368"/>
      <c r="F187" s="368"/>
    </row>
    <row r="188" spans="5:6">
      <c r="E188" s="368"/>
      <c r="F188" s="368"/>
    </row>
    <row r="189" spans="5:6">
      <c r="E189" s="368"/>
      <c r="F189" s="368"/>
    </row>
    <row r="190" spans="5:6">
      <c r="E190" s="368"/>
      <c r="F190" s="368"/>
    </row>
    <row r="191" spans="5:6">
      <c r="E191" s="368"/>
      <c r="F191" s="368"/>
    </row>
    <row r="192" spans="5:6">
      <c r="E192" s="368"/>
      <c r="F192" s="368"/>
    </row>
    <row r="193" spans="5:6">
      <c r="E193" s="368"/>
      <c r="F193" s="368"/>
    </row>
    <row r="194" spans="5:6">
      <c r="E194" s="368"/>
      <c r="F194" s="368"/>
    </row>
    <row r="195" spans="5:6">
      <c r="E195" s="368"/>
      <c r="F195" s="368"/>
    </row>
    <row r="196" spans="5:6">
      <c r="E196" s="368"/>
      <c r="F196" s="368"/>
    </row>
    <row r="197" spans="5:6">
      <c r="E197" s="368"/>
      <c r="F197" s="368"/>
    </row>
    <row r="198" spans="5:6">
      <c r="E198" s="368"/>
      <c r="F198" s="368"/>
    </row>
    <row r="199" spans="5:6">
      <c r="E199" s="368"/>
      <c r="F199" s="368"/>
    </row>
    <row r="200" spans="5:6">
      <c r="E200" s="368"/>
      <c r="F200" s="368"/>
    </row>
    <row r="201" spans="5:6">
      <c r="E201" s="368"/>
      <c r="F201" s="368"/>
    </row>
    <row r="202" spans="5:6">
      <c r="E202" s="368"/>
      <c r="F202" s="368"/>
    </row>
    <row r="203" spans="5:6">
      <c r="E203" s="368"/>
      <c r="F203" s="368"/>
    </row>
    <row r="204" spans="5:6">
      <c r="E204" s="368"/>
      <c r="F204" s="368"/>
    </row>
    <row r="205" spans="5:6">
      <c r="E205" s="368"/>
      <c r="F205" s="368"/>
    </row>
    <row r="206" spans="5:6">
      <c r="E206" s="368"/>
      <c r="F206" s="368"/>
    </row>
    <row r="207" spans="5:6">
      <c r="E207" s="368"/>
      <c r="F207" s="368"/>
    </row>
    <row r="208" spans="5:6">
      <c r="E208" s="368"/>
      <c r="F208" s="368"/>
    </row>
    <row r="209" spans="5:6">
      <c r="E209" s="368"/>
      <c r="F209" s="368"/>
    </row>
    <row r="210" spans="5:6">
      <c r="E210" s="368"/>
      <c r="F210" s="368"/>
    </row>
    <row r="211" spans="5:6">
      <c r="E211" s="368"/>
      <c r="F211" s="368"/>
    </row>
    <row r="212" spans="5:6">
      <c r="E212" s="368"/>
      <c r="F212" s="368"/>
    </row>
    <row r="213" spans="5:6">
      <c r="E213" s="368"/>
      <c r="F213" s="368"/>
    </row>
    <row r="214" spans="5:6">
      <c r="E214" s="368"/>
      <c r="F214" s="368"/>
    </row>
    <row r="215" spans="5:6">
      <c r="E215" s="368"/>
      <c r="F215" s="368"/>
    </row>
    <row r="216" spans="5:6">
      <c r="E216" s="368"/>
      <c r="F216" s="368"/>
    </row>
    <row r="217" spans="5:6">
      <c r="E217" s="368"/>
      <c r="F217" s="368"/>
    </row>
    <row r="218" spans="5:6">
      <c r="E218" s="368"/>
      <c r="F218" s="368"/>
    </row>
    <row r="219" spans="5:6">
      <c r="E219" s="368"/>
      <c r="F219" s="368"/>
    </row>
    <row r="220" spans="5:6">
      <c r="E220" s="368"/>
      <c r="F220" s="368"/>
    </row>
    <row r="221" spans="5:6">
      <c r="E221" s="368"/>
      <c r="F221" s="368"/>
    </row>
    <row r="222" spans="5:6">
      <c r="E222" s="368"/>
      <c r="F222" s="368"/>
    </row>
    <row r="223" spans="5:6">
      <c r="E223" s="368"/>
      <c r="F223" s="368"/>
    </row>
    <row r="224" spans="5:6">
      <c r="E224" s="368"/>
      <c r="F224" s="368"/>
    </row>
    <row r="225" spans="5:6">
      <c r="E225" s="368"/>
      <c r="F225" s="368"/>
    </row>
    <row r="226" spans="5:6">
      <c r="E226" s="368"/>
      <c r="F226" s="368"/>
    </row>
    <row r="227" spans="5:6">
      <c r="E227" s="368"/>
      <c r="F227" s="368"/>
    </row>
    <row r="228" spans="5:6">
      <c r="E228" s="368"/>
      <c r="F228" s="368"/>
    </row>
    <row r="229" spans="5:6">
      <c r="E229" s="368"/>
      <c r="F229" s="368"/>
    </row>
    <row r="230" spans="5:6">
      <c r="E230" s="368"/>
      <c r="F230" s="368"/>
    </row>
    <row r="231" spans="5:6">
      <c r="E231" s="368"/>
      <c r="F231" s="368"/>
    </row>
    <row r="232" spans="5:6">
      <c r="E232" s="368"/>
      <c r="F232" s="368"/>
    </row>
    <row r="233" spans="5:6">
      <c r="E233" s="368"/>
      <c r="F233" s="368"/>
    </row>
    <row r="234" spans="5:6">
      <c r="E234" s="368"/>
      <c r="F234" s="368"/>
    </row>
    <row r="235" spans="5:6">
      <c r="E235" s="368"/>
      <c r="F235" s="368"/>
    </row>
    <row r="236" spans="5:6">
      <c r="E236" s="368"/>
      <c r="F236" s="368"/>
    </row>
    <row r="237" spans="5:6">
      <c r="E237" s="368"/>
      <c r="F237" s="368"/>
    </row>
    <row r="238" spans="5:6">
      <c r="E238" s="368"/>
      <c r="F238" s="368"/>
    </row>
    <row r="239" spans="5:6">
      <c r="E239" s="368"/>
      <c r="F239" s="368"/>
    </row>
    <row r="240" spans="5:6">
      <c r="E240" s="368"/>
      <c r="F240" s="368"/>
    </row>
    <row r="241" spans="5:6">
      <c r="E241" s="368"/>
      <c r="F241" s="368"/>
    </row>
    <row r="242" spans="5:6">
      <c r="E242" s="368"/>
      <c r="F242" s="368"/>
    </row>
    <row r="243" spans="5:6">
      <c r="E243" s="368"/>
      <c r="F243" s="368"/>
    </row>
    <row r="244" spans="5:6">
      <c r="E244" s="368"/>
      <c r="F244" s="368"/>
    </row>
    <row r="245" spans="5:6">
      <c r="E245" s="368"/>
      <c r="F245" s="368"/>
    </row>
    <row r="246" spans="5:6">
      <c r="E246" s="368"/>
      <c r="F246" s="368"/>
    </row>
    <row r="247" spans="5:6">
      <c r="E247" s="368"/>
      <c r="F247" s="368"/>
    </row>
    <row r="248" spans="5:6">
      <c r="E248" s="368"/>
      <c r="F248" s="368"/>
    </row>
    <row r="249" spans="5:6">
      <c r="E249" s="368"/>
      <c r="F249" s="368"/>
    </row>
    <row r="250" spans="5:6">
      <c r="E250" s="368"/>
      <c r="F250" s="368"/>
    </row>
    <row r="251" spans="5:6">
      <c r="E251" s="368"/>
      <c r="F251" s="368"/>
    </row>
    <row r="252" spans="5:6">
      <c r="E252" s="368"/>
      <c r="F252" s="368"/>
    </row>
    <row r="253" spans="5:6">
      <c r="E253" s="368"/>
      <c r="F253" s="368"/>
    </row>
    <row r="254" spans="5:6">
      <c r="E254" s="368"/>
      <c r="F254" s="368"/>
    </row>
    <row r="255" spans="5:6">
      <c r="E255" s="368"/>
      <c r="F255" s="368"/>
    </row>
    <row r="256" spans="5:6">
      <c r="E256" s="368"/>
      <c r="F256" s="368"/>
    </row>
    <row r="257" spans="5:6">
      <c r="E257" s="368"/>
      <c r="F257" s="368"/>
    </row>
    <row r="258" spans="5:6">
      <c r="E258" s="368"/>
      <c r="F258" s="368"/>
    </row>
    <row r="259" spans="5:6">
      <c r="E259" s="368"/>
      <c r="F259" s="368"/>
    </row>
    <row r="260" spans="5:6">
      <c r="E260" s="368"/>
      <c r="F260" s="368"/>
    </row>
    <row r="261" spans="5:6">
      <c r="E261" s="368"/>
      <c r="F261" s="368"/>
    </row>
    <row r="262" spans="5:6">
      <c r="E262" s="368"/>
      <c r="F262" s="368"/>
    </row>
    <row r="263" spans="5:6">
      <c r="E263" s="368"/>
      <c r="F263" s="368"/>
    </row>
    <row r="264" spans="5:6">
      <c r="E264" s="368"/>
      <c r="F264" s="368"/>
    </row>
    <row r="265" spans="5:6">
      <c r="E265" s="368"/>
      <c r="F265" s="368"/>
    </row>
    <row r="266" spans="5:6">
      <c r="E266" s="368"/>
      <c r="F266" s="368"/>
    </row>
    <row r="267" spans="5:6">
      <c r="E267" s="368"/>
      <c r="F267" s="368"/>
    </row>
    <row r="268" spans="5:6">
      <c r="E268" s="368"/>
      <c r="F268" s="368"/>
    </row>
    <row r="269" spans="5:6">
      <c r="E269" s="368"/>
      <c r="F269" s="368"/>
    </row>
    <row r="270" spans="5:6">
      <c r="E270" s="368"/>
      <c r="F270" s="368"/>
    </row>
    <row r="271" spans="5:6">
      <c r="E271" s="368"/>
      <c r="F271" s="368"/>
    </row>
    <row r="272" spans="5:6">
      <c r="E272" s="368"/>
      <c r="F272" s="368"/>
    </row>
    <row r="273" spans="5:6">
      <c r="E273" s="368"/>
      <c r="F273" s="368"/>
    </row>
    <row r="274" spans="5:6">
      <c r="E274" s="368"/>
      <c r="F274" s="368"/>
    </row>
    <row r="275" spans="5:6">
      <c r="E275" s="368"/>
      <c r="F275" s="368"/>
    </row>
    <row r="276" spans="5:6">
      <c r="E276" s="368"/>
      <c r="F276" s="368"/>
    </row>
    <row r="277" spans="5:6">
      <c r="E277" s="368"/>
      <c r="F277" s="368"/>
    </row>
    <row r="278" spans="5:6">
      <c r="E278" s="368"/>
      <c r="F278" s="368"/>
    </row>
    <row r="279" spans="5:6">
      <c r="E279" s="368"/>
      <c r="F279" s="368"/>
    </row>
    <row r="280" spans="5:6">
      <c r="E280" s="368"/>
      <c r="F280" s="368"/>
    </row>
    <row r="281" spans="5:6">
      <c r="E281" s="368"/>
      <c r="F281" s="368"/>
    </row>
    <row r="282" spans="5:6">
      <c r="E282" s="368"/>
      <c r="F282" s="368"/>
    </row>
    <row r="283" spans="5:6">
      <c r="E283" s="368"/>
      <c r="F283" s="368"/>
    </row>
    <row r="284" spans="5:6">
      <c r="E284" s="368"/>
      <c r="F284" s="368"/>
    </row>
    <row r="285" spans="5:6">
      <c r="E285" s="368"/>
      <c r="F285" s="368"/>
    </row>
    <row r="286" spans="5:6">
      <c r="E286" s="368"/>
      <c r="F286" s="368"/>
    </row>
    <row r="287" spans="5:6">
      <c r="E287" s="368"/>
      <c r="F287" s="368"/>
    </row>
    <row r="288" spans="5:6">
      <c r="E288" s="368"/>
      <c r="F288" s="368"/>
    </row>
    <row r="289" spans="5:6">
      <c r="E289" s="368"/>
      <c r="F289" s="368"/>
    </row>
    <row r="290" spans="5:6">
      <c r="E290" s="368"/>
      <c r="F290" s="368"/>
    </row>
    <row r="291" spans="5:6">
      <c r="E291" s="368"/>
      <c r="F291" s="368"/>
    </row>
    <row r="292" spans="5:6">
      <c r="E292" s="368"/>
      <c r="F292" s="368"/>
    </row>
    <row r="293" spans="5:6">
      <c r="E293" s="368"/>
      <c r="F293" s="368"/>
    </row>
    <row r="294" spans="5:6">
      <c r="E294" s="368"/>
      <c r="F294" s="368"/>
    </row>
    <row r="295" spans="5:6">
      <c r="E295" s="368"/>
      <c r="F295" s="368"/>
    </row>
    <row r="296" spans="5:6">
      <c r="E296" s="368"/>
      <c r="F296" s="368"/>
    </row>
    <row r="297" spans="5:6">
      <c r="E297" s="368"/>
      <c r="F297" s="368"/>
    </row>
    <row r="298" spans="5:6">
      <c r="E298" s="368"/>
      <c r="F298" s="368"/>
    </row>
    <row r="299" spans="5:6">
      <c r="E299" s="368"/>
      <c r="F299" s="368"/>
    </row>
    <row r="300" spans="5:6">
      <c r="E300" s="368"/>
      <c r="F300" s="368"/>
    </row>
    <row r="301" spans="5:6">
      <c r="E301" s="368"/>
      <c r="F301" s="368"/>
    </row>
    <row r="302" spans="5:6">
      <c r="E302" s="368"/>
      <c r="F302" s="368"/>
    </row>
    <row r="303" spans="5:6">
      <c r="E303" s="368"/>
      <c r="F303" s="368"/>
    </row>
    <row r="304" spans="5:6">
      <c r="E304" s="368"/>
      <c r="F304" s="368"/>
    </row>
    <row r="305" spans="5:6">
      <c r="E305" s="368"/>
      <c r="F305" s="368"/>
    </row>
    <row r="306" spans="5:6">
      <c r="E306" s="368"/>
      <c r="F306" s="368"/>
    </row>
    <row r="307" spans="5:6">
      <c r="E307" s="368"/>
      <c r="F307" s="368"/>
    </row>
    <row r="308" spans="5:6">
      <c r="E308" s="368"/>
      <c r="F308" s="368"/>
    </row>
    <row r="309" spans="5:6">
      <c r="E309" s="368"/>
      <c r="F309" s="368"/>
    </row>
    <row r="310" spans="5:6">
      <c r="E310" s="368"/>
      <c r="F310" s="368"/>
    </row>
    <row r="311" spans="5:6">
      <c r="E311" s="368"/>
      <c r="F311" s="368"/>
    </row>
    <row r="312" spans="5:6">
      <c r="E312" s="368"/>
      <c r="F312" s="368"/>
    </row>
    <row r="313" spans="5:6">
      <c r="E313" s="368"/>
      <c r="F313" s="368"/>
    </row>
    <row r="314" spans="5:6">
      <c r="E314" s="368"/>
      <c r="F314" s="368"/>
    </row>
    <row r="315" spans="5:6">
      <c r="E315" s="368"/>
      <c r="F315" s="368"/>
    </row>
    <row r="316" spans="5:6">
      <c r="E316" s="368"/>
      <c r="F316" s="368"/>
    </row>
    <row r="317" spans="5:6">
      <c r="E317" s="368"/>
      <c r="F317" s="368"/>
    </row>
    <row r="318" spans="5:6">
      <c r="E318" s="368"/>
      <c r="F318" s="368"/>
    </row>
    <row r="319" spans="5:6">
      <c r="E319" s="368"/>
      <c r="F319" s="368"/>
    </row>
    <row r="320" spans="5:6">
      <c r="E320" s="368"/>
      <c r="F320" s="368"/>
    </row>
    <row r="321" spans="5:6">
      <c r="E321" s="368"/>
      <c r="F321" s="368"/>
    </row>
    <row r="322" spans="5:6">
      <c r="E322" s="368"/>
      <c r="F322" s="368"/>
    </row>
    <row r="323" spans="5:6">
      <c r="E323" s="368"/>
      <c r="F323" s="368"/>
    </row>
    <row r="324" spans="5:6">
      <c r="E324" s="368"/>
      <c r="F324" s="368"/>
    </row>
    <row r="325" spans="5:6">
      <c r="E325" s="368"/>
      <c r="F325" s="368"/>
    </row>
    <row r="326" spans="5:6">
      <c r="E326" s="368"/>
      <c r="F326" s="368"/>
    </row>
    <row r="327" spans="5:6">
      <c r="E327" s="368"/>
      <c r="F327" s="368"/>
    </row>
    <row r="328" spans="5:6">
      <c r="E328" s="368"/>
      <c r="F328" s="368"/>
    </row>
    <row r="329" spans="5:6">
      <c r="E329" s="368"/>
      <c r="F329" s="368"/>
    </row>
    <row r="330" spans="5:6">
      <c r="E330" s="368"/>
      <c r="F330" s="368"/>
    </row>
    <row r="331" spans="5:6">
      <c r="E331" s="368"/>
      <c r="F331" s="368"/>
    </row>
    <row r="332" spans="5:6">
      <c r="E332" s="368"/>
      <c r="F332" s="368"/>
    </row>
    <row r="333" spans="5:6">
      <c r="E333" s="368"/>
      <c r="F333" s="368"/>
    </row>
    <row r="334" spans="5:6">
      <c r="E334" s="368"/>
      <c r="F334" s="368"/>
    </row>
    <row r="335" spans="5:6">
      <c r="E335" s="368"/>
      <c r="F335" s="368"/>
    </row>
    <row r="336" spans="5:6">
      <c r="E336" s="368"/>
      <c r="F336" s="368"/>
    </row>
    <row r="337" spans="5:6">
      <c r="E337" s="368"/>
      <c r="F337" s="368"/>
    </row>
    <row r="338" spans="5:6">
      <c r="E338" s="368"/>
      <c r="F338" s="368"/>
    </row>
    <row r="339" spans="5:6">
      <c r="E339" s="368"/>
      <c r="F339" s="368"/>
    </row>
    <row r="340" spans="5:6">
      <c r="E340" s="368"/>
      <c r="F340" s="368"/>
    </row>
    <row r="341" spans="5:6">
      <c r="E341" s="368"/>
      <c r="F341" s="368"/>
    </row>
    <row r="342" spans="5:6">
      <c r="E342" s="368"/>
      <c r="F342" s="368"/>
    </row>
    <row r="343" spans="5:6">
      <c r="E343" s="368"/>
      <c r="F343" s="368"/>
    </row>
    <row r="344" spans="5:6">
      <c r="E344" s="368"/>
      <c r="F344" s="368"/>
    </row>
    <row r="345" spans="5:6">
      <c r="E345" s="368"/>
      <c r="F345" s="368"/>
    </row>
    <row r="346" spans="5:6">
      <c r="E346" s="368"/>
      <c r="F346" s="368"/>
    </row>
    <row r="347" spans="5:6">
      <c r="E347" s="368"/>
      <c r="F347" s="368"/>
    </row>
    <row r="348" spans="5:6">
      <c r="E348" s="368"/>
      <c r="F348" s="368"/>
    </row>
    <row r="349" spans="5:6">
      <c r="E349" s="368"/>
      <c r="F349" s="368"/>
    </row>
    <row r="350" spans="5:6">
      <c r="E350" s="368"/>
      <c r="F350" s="368"/>
    </row>
    <row r="351" spans="5:6">
      <c r="E351" s="368"/>
      <c r="F351" s="368"/>
    </row>
    <row r="352" spans="5:6">
      <c r="E352" s="368"/>
      <c r="F352" s="368"/>
    </row>
    <row r="353" spans="5:6">
      <c r="E353" s="368"/>
      <c r="F353" s="368"/>
    </row>
    <row r="354" spans="5:6">
      <c r="E354" s="368"/>
      <c r="F354" s="368"/>
    </row>
    <row r="355" spans="5:6">
      <c r="E355" s="368"/>
      <c r="F355" s="368"/>
    </row>
    <row r="356" spans="5:6">
      <c r="E356" s="368"/>
      <c r="F356" s="368"/>
    </row>
    <row r="357" spans="5:6">
      <c r="E357" s="368"/>
      <c r="F357" s="368"/>
    </row>
    <row r="358" spans="5:6">
      <c r="E358" s="368"/>
      <c r="F358" s="368"/>
    </row>
    <row r="359" spans="5:6">
      <c r="E359" s="368"/>
      <c r="F359" s="368"/>
    </row>
    <row r="360" spans="5:6">
      <c r="E360" s="368"/>
      <c r="F360" s="368"/>
    </row>
    <row r="361" spans="5:6">
      <c r="E361" s="368"/>
      <c r="F361" s="368"/>
    </row>
    <row r="362" spans="5:6">
      <c r="E362" s="368"/>
      <c r="F362" s="368"/>
    </row>
    <row r="363" spans="5:6">
      <c r="E363" s="368"/>
      <c r="F363" s="368"/>
    </row>
    <row r="364" spans="5:6">
      <c r="E364" s="368"/>
      <c r="F364" s="368"/>
    </row>
    <row r="365" spans="5:6">
      <c r="E365" s="368"/>
      <c r="F365" s="368"/>
    </row>
    <row r="366" spans="5:6">
      <c r="E366" s="368"/>
      <c r="F366" s="368"/>
    </row>
    <row r="367" spans="5:6">
      <c r="E367" s="368"/>
      <c r="F367" s="368"/>
    </row>
    <row r="368" spans="5:6">
      <c r="E368" s="368"/>
      <c r="F368" s="368"/>
    </row>
    <row r="369" spans="5:6">
      <c r="E369" s="368"/>
      <c r="F369" s="368"/>
    </row>
    <row r="370" spans="5:6">
      <c r="E370" s="368"/>
      <c r="F370" s="368"/>
    </row>
    <row r="371" spans="5:6">
      <c r="E371" s="368"/>
      <c r="F371" s="368"/>
    </row>
    <row r="372" spans="5:6">
      <c r="E372" s="368"/>
      <c r="F372" s="368"/>
    </row>
    <row r="373" spans="5:6">
      <c r="E373" s="368"/>
      <c r="F373" s="368"/>
    </row>
    <row r="374" spans="5:6">
      <c r="E374" s="368"/>
      <c r="F374" s="368"/>
    </row>
    <row r="375" spans="5:6">
      <c r="E375" s="368"/>
      <c r="F375" s="368"/>
    </row>
    <row r="376" spans="5:6">
      <c r="E376" s="368"/>
      <c r="F376" s="368"/>
    </row>
    <row r="377" spans="5:6">
      <c r="E377" s="368"/>
      <c r="F377" s="368"/>
    </row>
    <row r="378" spans="5:6">
      <c r="E378" s="368"/>
      <c r="F378" s="368"/>
    </row>
    <row r="379" spans="5:6">
      <c r="E379" s="368"/>
      <c r="F379" s="368"/>
    </row>
    <row r="380" spans="5:6">
      <c r="E380" s="368"/>
      <c r="F380" s="368"/>
    </row>
    <row r="381" spans="5:6">
      <c r="E381" s="368"/>
      <c r="F381" s="368"/>
    </row>
    <row r="382" spans="5:6">
      <c r="E382" s="368"/>
      <c r="F382" s="368"/>
    </row>
    <row r="383" spans="5:6">
      <c r="E383" s="368"/>
      <c r="F383" s="368"/>
    </row>
    <row r="384" spans="5:6">
      <c r="E384" s="368"/>
      <c r="F384" s="368"/>
    </row>
    <row r="385" spans="5:6">
      <c r="E385" s="368"/>
      <c r="F385" s="368"/>
    </row>
    <row r="386" spans="5:6">
      <c r="E386" s="368"/>
      <c r="F386" s="368"/>
    </row>
    <row r="387" spans="5:6">
      <c r="E387" s="368"/>
      <c r="F387" s="368"/>
    </row>
    <row r="388" spans="5:6">
      <c r="E388" s="368"/>
      <c r="F388" s="368"/>
    </row>
    <row r="389" spans="5:6">
      <c r="E389" s="368"/>
      <c r="F389" s="368"/>
    </row>
    <row r="390" spans="5:6">
      <c r="E390" s="368"/>
      <c r="F390" s="368"/>
    </row>
    <row r="391" spans="5:6">
      <c r="E391" s="368"/>
      <c r="F391" s="368"/>
    </row>
    <row r="392" spans="5:6">
      <c r="E392" s="368"/>
      <c r="F392" s="368"/>
    </row>
    <row r="393" spans="5:6">
      <c r="E393" s="368"/>
      <c r="F393" s="368"/>
    </row>
    <row r="394" spans="5:6">
      <c r="E394" s="368"/>
      <c r="F394" s="368"/>
    </row>
    <row r="395" spans="5:6">
      <c r="E395" s="368"/>
      <c r="F395" s="368"/>
    </row>
    <row r="396" spans="5:6">
      <c r="E396" s="368"/>
      <c r="F396" s="368"/>
    </row>
    <row r="397" spans="5:6">
      <c r="E397" s="368"/>
      <c r="F397" s="368"/>
    </row>
    <row r="398" spans="5:6">
      <c r="E398" s="368"/>
      <c r="F398" s="368"/>
    </row>
    <row r="399" spans="5:6">
      <c r="E399" s="368"/>
      <c r="F399" s="368"/>
    </row>
    <row r="400" spans="5:6">
      <c r="E400" s="368"/>
      <c r="F400" s="368"/>
    </row>
    <row r="401" spans="5:6">
      <c r="E401" s="368"/>
      <c r="F401" s="368"/>
    </row>
    <row r="402" spans="5:6">
      <c r="E402" s="368"/>
      <c r="F402" s="368"/>
    </row>
    <row r="403" spans="5:6">
      <c r="E403" s="368"/>
      <c r="F403" s="368"/>
    </row>
    <row r="404" spans="5:6">
      <c r="E404" s="368"/>
      <c r="F404" s="368"/>
    </row>
    <row r="405" spans="5:6">
      <c r="E405" s="368"/>
      <c r="F405" s="368"/>
    </row>
    <row r="406" spans="5:6">
      <c r="E406" s="368"/>
      <c r="F406" s="368"/>
    </row>
    <row r="407" spans="5:6">
      <c r="E407" s="368"/>
      <c r="F407" s="368"/>
    </row>
    <row r="408" spans="5:6">
      <c r="E408" s="368"/>
      <c r="F408" s="368"/>
    </row>
    <row r="409" spans="5:6">
      <c r="E409" s="368"/>
      <c r="F409" s="368"/>
    </row>
    <row r="410" spans="5:6">
      <c r="E410" s="368"/>
      <c r="F410" s="368"/>
    </row>
    <row r="411" spans="5:6">
      <c r="E411" s="368"/>
      <c r="F411" s="368"/>
    </row>
    <row r="412" spans="5:6">
      <c r="E412" s="368"/>
      <c r="F412" s="368"/>
    </row>
    <row r="413" spans="5:6">
      <c r="E413" s="368"/>
      <c r="F413" s="368"/>
    </row>
    <row r="414" spans="5:6">
      <c r="E414" s="368"/>
      <c r="F414" s="368"/>
    </row>
    <row r="415" spans="5:6">
      <c r="E415" s="368"/>
      <c r="F415" s="368"/>
    </row>
    <row r="416" spans="5:6">
      <c r="E416" s="368"/>
      <c r="F416" s="368"/>
    </row>
    <row r="417" spans="5:6">
      <c r="E417" s="368"/>
      <c r="F417" s="368"/>
    </row>
    <row r="418" spans="5:6">
      <c r="E418" s="368"/>
      <c r="F418" s="368"/>
    </row>
    <row r="419" spans="5:6">
      <c r="E419" s="368"/>
      <c r="F419" s="368"/>
    </row>
    <row r="420" spans="5:6">
      <c r="E420" s="368"/>
      <c r="F420" s="368"/>
    </row>
    <row r="421" spans="5:6">
      <c r="E421" s="368"/>
      <c r="F421" s="368"/>
    </row>
    <row r="422" spans="5:6">
      <c r="E422" s="368"/>
      <c r="F422" s="368"/>
    </row>
    <row r="423" spans="5:6">
      <c r="E423" s="368"/>
      <c r="F423" s="368"/>
    </row>
    <row r="424" spans="5:6">
      <c r="E424" s="368"/>
      <c r="F424" s="368"/>
    </row>
    <row r="425" spans="5:6">
      <c r="E425" s="368"/>
      <c r="F425" s="368"/>
    </row>
    <row r="426" spans="5:6">
      <c r="E426" s="368"/>
      <c r="F426" s="368"/>
    </row>
    <row r="427" spans="5:6">
      <c r="E427" s="368"/>
      <c r="F427" s="368"/>
    </row>
    <row r="428" spans="5:6">
      <c r="E428" s="368"/>
      <c r="F428" s="368"/>
    </row>
    <row r="429" spans="5:6">
      <c r="E429" s="368"/>
      <c r="F429" s="368"/>
    </row>
    <row r="430" spans="5:6">
      <c r="E430" s="368"/>
      <c r="F430" s="368"/>
    </row>
    <row r="431" spans="5:6">
      <c r="E431" s="368"/>
      <c r="F431" s="368"/>
    </row>
    <row r="432" spans="5:6">
      <c r="E432" s="368"/>
      <c r="F432" s="368"/>
    </row>
    <row r="433" spans="5:6">
      <c r="E433" s="368"/>
      <c r="F433" s="368"/>
    </row>
    <row r="434" spans="5:6">
      <c r="E434" s="368"/>
      <c r="F434" s="368"/>
    </row>
    <row r="435" spans="5:6">
      <c r="E435" s="368"/>
      <c r="F435" s="368"/>
    </row>
    <row r="436" spans="5:6">
      <c r="E436" s="368"/>
      <c r="F436" s="368"/>
    </row>
    <row r="437" spans="5:6">
      <c r="E437" s="368"/>
      <c r="F437" s="368"/>
    </row>
    <row r="438" spans="5:6">
      <c r="E438" s="368"/>
      <c r="F438" s="368"/>
    </row>
    <row r="439" spans="5:6">
      <c r="E439" s="368"/>
      <c r="F439" s="368"/>
    </row>
    <row r="440" spans="5:6">
      <c r="E440" s="368"/>
      <c r="F440" s="368"/>
    </row>
    <row r="441" spans="5:6">
      <c r="E441" s="368"/>
      <c r="F441" s="368"/>
    </row>
    <row r="442" spans="5:6">
      <c r="E442" s="368"/>
      <c r="F442" s="368"/>
    </row>
    <row r="443" spans="5:6">
      <c r="E443" s="368"/>
      <c r="F443" s="368"/>
    </row>
    <row r="444" spans="5:6">
      <c r="E444" s="368"/>
      <c r="F444" s="368"/>
    </row>
    <row r="445" spans="5:6">
      <c r="E445" s="368"/>
      <c r="F445" s="368"/>
    </row>
    <row r="446" spans="5:6">
      <c r="E446" s="368"/>
      <c r="F446" s="368"/>
    </row>
    <row r="447" spans="5:6">
      <c r="E447" s="368"/>
      <c r="F447" s="368"/>
    </row>
    <row r="448" spans="5:6">
      <c r="E448" s="368"/>
      <c r="F448" s="368"/>
    </row>
    <row r="449" spans="5:6">
      <c r="E449" s="368"/>
      <c r="F449" s="368"/>
    </row>
    <row r="450" spans="5:6">
      <c r="E450" s="368"/>
      <c r="F450" s="368"/>
    </row>
    <row r="451" spans="5:6">
      <c r="E451" s="368"/>
      <c r="F451" s="368"/>
    </row>
    <row r="452" spans="5:6">
      <c r="E452" s="368"/>
      <c r="F452" s="368"/>
    </row>
    <row r="453" spans="5:6">
      <c r="E453" s="368"/>
      <c r="F453" s="368"/>
    </row>
    <row r="454" spans="5:6">
      <c r="E454" s="368"/>
      <c r="F454" s="368"/>
    </row>
    <row r="455" spans="5:6">
      <c r="E455" s="368"/>
      <c r="F455" s="368"/>
    </row>
    <row r="456" spans="5:6">
      <c r="E456" s="368"/>
      <c r="F456" s="368"/>
    </row>
    <row r="457" spans="5:6">
      <c r="E457" s="368"/>
      <c r="F457" s="368"/>
    </row>
    <row r="458" spans="5:6">
      <c r="E458" s="368"/>
      <c r="F458" s="368"/>
    </row>
    <row r="459" spans="5:6">
      <c r="E459" s="368"/>
      <c r="F459" s="368"/>
    </row>
    <row r="460" spans="5:6">
      <c r="E460" s="368"/>
      <c r="F460" s="368"/>
    </row>
    <row r="461" spans="5:6">
      <c r="E461" s="368"/>
      <c r="F461" s="368"/>
    </row>
    <row r="462" spans="5:6">
      <c r="E462" s="368"/>
      <c r="F462" s="368"/>
    </row>
    <row r="463" spans="5:6">
      <c r="E463" s="368"/>
      <c r="F463" s="368"/>
    </row>
    <row r="464" spans="5:6">
      <c r="E464" s="368"/>
      <c r="F464" s="368"/>
    </row>
    <row r="465" spans="5:6">
      <c r="E465" s="368"/>
      <c r="F465" s="368"/>
    </row>
    <row r="466" spans="5:6">
      <c r="E466" s="368"/>
      <c r="F466" s="368"/>
    </row>
    <row r="467" spans="5:6">
      <c r="E467" s="368"/>
      <c r="F467" s="368"/>
    </row>
    <row r="468" spans="5:6">
      <c r="E468" s="368"/>
      <c r="F468" s="368"/>
    </row>
    <row r="469" spans="5:6">
      <c r="E469" s="368"/>
      <c r="F469" s="368"/>
    </row>
    <row r="470" spans="5:6">
      <c r="E470" s="368"/>
      <c r="F470" s="368"/>
    </row>
    <row r="471" spans="5:6">
      <c r="E471" s="368"/>
      <c r="F471" s="368"/>
    </row>
    <row r="472" spans="5:6">
      <c r="E472" s="368"/>
      <c r="F472" s="368"/>
    </row>
    <row r="473" spans="5:6">
      <c r="E473" s="368"/>
      <c r="F473" s="368"/>
    </row>
    <row r="474" spans="5:6">
      <c r="E474" s="368"/>
      <c r="F474" s="368"/>
    </row>
    <row r="475" spans="5:6">
      <c r="E475" s="368"/>
      <c r="F475" s="368"/>
    </row>
    <row r="476" spans="5:6">
      <c r="E476" s="368"/>
      <c r="F476" s="368"/>
    </row>
    <row r="477" spans="5:6">
      <c r="E477" s="368"/>
      <c r="F477" s="368"/>
    </row>
    <row r="478" spans="5:6">
      <c r="E478" s="368"/>
      <c r="F478" s="368"/>
    </row>
    <row r="479" spans="5:6">
      <c r="E479" s="368"/>
      <c r="F479" s="368"/>
    </row>
    <row r="480" spans="5:6">
      <c r="E480" s="368"/>
      <c r="F480" s="368"/>
    </row>
    <row r="481" spans="5:6">
      <c r="E481" s="368"/>
      <c r="F481" s="368"/>
    </row>
    <row r="482" spans="5:6">
      <c r="E482" s="368"/>
      <c r="F482" s="368"/>
    </row>
    <row r="483" spans="5:6">
      <c r="E483" s="368"/>
      <c r="F483" s="368"/>
    </row>
    <row r="484" spans="5:6">
      <c r="E484" s="368"/>
      <c r="F484" s="368"/>
    </row>
    <row r="485" spans="5:6">
      <c r="E485" s="368"/>
      <c r="F485" s="368"/>
    </row>
    <row r="486" spans="5:6">
      <c r="E486" s="368"/>
      <c r="F486" s="368"/>
    </row>
    <row r="487" spans="5:6">
      <c r="E487" s="368"/>
      <c r="F487" s="368"/>
    </row>
    <row r="488" spans="5:6">
      <c r="E488" s="368"/>
      <c r="F488" s="368"/>
    </row>
    <row r="489" spans="5:6">
      <c r="E489" s="368"/>
      <c r="F489" s="368"/>
    </row>
    <row r="490" spans="5:6">
      <c r="E490" s="368"/>
      <c r="F490" s="368"/>
    </row>
    <row r="491" spans="5:6">
      <c r="E491" s="368"/>
      <c r="F491" s="368"/>
    </row>
    <row r="492" spans="5:6">
      <c r="E492" s="368"/>
      <c r="F492" s="368"/>
    </row>
    <row r="493" spans="5:6">
      <c r="E493" s="368"/>
      <c r="F493" s="368"/>
    </row>
    <row r="494" spans="5:6">
      <c r="E494" s="368"/>
      <c r="F494" s="368"/>
    </row>
    <row r="495" spans="5:6">
      <c r="E495" s="368"/>
      <c r="F495" s="368"/>
    </row>
    <row r="496" spans="5:6">
      <c r="E496" s="368"/>
      <c r="F496" s="368"/>
    </row>
    <row r="497" spans="5:6">
      <c r="E497" s="368"/>
      <c r="F497" s="368"/>
    </row>
    <row r="498" spans="5:6">
      <c r="E498" s="368"/>
      <c r="F498" s="368"/>
    </row>
    <row r="499" spans="5:6">
      <c r="E499" s="368"/>
      <c r="F499" s="368"/>
    </row>
    <row r="500" spans="5:6">
      <c r="E500" s="368"/>
      <c r="F500" s="368"/>
    </row>
    <row r="501" spans="5:6">
      <c r="E501" s="368"/>
      <c r="F501" s="368"/>
    </row>
    <row r="502" spans="5:6">
      <c r="E502" s="368"/>
      <c r="F502" s="368"/>
    </row>
    <row r="503" spans="5:6">
      <c r="E503" s="368"/>
      <c r="F503" s="368"/>
    </row>
    <row r="504" spans="5:6">
      <c r="E504" s="368"/>
      <c r="F504" s="368"/>
    </row>
    <row r="505" spans="5:6">
      <c r="E505" s="368"/>
      <c r="F505" s="368"/>
    </row>
    <row r="506" spans="5:6">
      <c r="E506" s="368"/>
      <c r="F506" s="368"/>
    </row>
    <row r="507" spans="5:6">
      <c r="E507" s="368"/>
      <c r="F507" s="368"/>
    </row>
    <row r="508" spans="5:6">
      <c r="E508" s="368"/>
      <c r="F508" s="368"/>
    </row>
  </sheetData>
  <pageMargins left="0.7" right="0.7" top="0.75" bottom="0.75" header="0.3" footer="0.3"/>
  <pageSetup paperSize="9" scale="86" orientation="portrait"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AD71"/>
  <sheetViews>
    <sheetView topLeftCell="A31" workbookViewId="0">
      <selection activeCell="Q48" sqref="Q48"/>
    </sheetView>
  </sheetViews>
  <sheetFormatPr defaultColWidth="9.1796875" defaultRowHeight="14.5"/>
  <cols>
    <col min="1" max="1" width="5.453125" customWidth="1"/>
    <col min="2" max="2" width="30.7265625" customWidth="1"/>
    <col min="3" max="3" width="12" customWidth="1"/>
    <col min="4" max="4" width="11.81640625" style="7" customWidth="1"/>
    <col min="5" max="5" width="4.7265625" customWidth="1"/>
    <col min="6" max="6" width="6.54296875" customWidth="1"/>
    <col min="7" max="22" width="4.7265625" customWidth="1"/>
    <col min="23" max="23" width="6.26953125" customWidth="1"/>
    <col min="24" max="24" width="4.7265625" customWidth="1"/>
    <col min="25" max="25" width="5.81640625" customWidth="1"/>
    <col min="26" max="26" width="7.54296875" customWidth="1"/>
    <col min="27" max="27" width="10.1796875" customWidth="1"/>
    <col min="28" max="28" width="8.54296875" hidden="1" customWidth="1"/>
    <col min="29" max="29" width="10.81640625" hidden="1" customWidth="1"/>
    <col min="30" max="30" width="9.1796875" customWidth="1"/>
  </cols>
  <sheetData>
    <row r="1" spans="1:30">
      <c r="A1" s="750" t="s">
        <v>1100</v>
      </c>
      <c r="B1" s="752" t="s">
        <v>1551</v>
      </c>
      <c r="C1" s="753"/>
      <c r="D1" s="753"/>
      <c r="E1" s="753"/>
      <c r="F1" s="753"/>
      <c r="G1" s="753"/>
      <c r="H1" s="753"/>
      <c r="I1" s="753"/>
      <c r="J1" s="753"/>
      <c r="K1" s="756" t="s">
        <v>1101</v>
      </c>
      <c r="L1" s="756"/>
      <c r="M1" s="756"/>
      <c r="N1" s="756"/>
      <c r="O1" s="757"/>
      <c r="P1" s="760">
        <v>44986</v>
      </c>
      <c r="Q1" s="760"/>
      <c r="R1" s="760"/>
      <c r="S1" s="760"/>
      <c r="T1" s="761" t="s">
        <v>1102</v>
      </c>
      <c r="U1" s="761"/>
      <c r="V1" s="761"/>
      <c r="W1" s="761"/>
      <c r="X1" s="761"/>
      <c r="Y1" s="761"/>
      <c r="Z1" s="761"/>
      <c r="AA1" s="761"/>
      <c r="AB1" s="220"/>
      <c r="AC1" s="777" t="s">
        <v>1103</v>
      </c>
    </row>
    <row r="2" spans="1:30" ht="15" customHeight="1">
      <c r="A2" s="750"/>
      <c r="B2" s="754"/>
      <c r="C2" s="755"/>
      <c r="D2" s="755"/>
      <c r="E2" s="755"/>
      <c r="F2" s="755"/>
      <c r="G2" s="755"/>
      <c r="H2" s="755"/>
      <c r="I2" s="755"/>
      <c r="J2" s="755"/>
      <c r="K2" s="758"/>
      <c r="L2" s="758"/>
      <c r="M2" s="758"/>
      <c r="N2" s="758"/>
      <c r="O2" s="759"/>
      <c r="P2" s="760">
        <v>45016</v>
      </c>
      <c r="Q2" s="760"/>
      <c r="R2" s="760"/>
      <c r="S2" s="760"/>
      <c r="T2" s="761">
        <v>184</v>
      </c>
      <c r="U2" s="761"/>
      <c r="V2" s="761"/>
      <c r="W2" s="761"/>
      <c r="X2" s="761"/>
      <c r="Y2" s="761"/>
      <c r="Z2" s="761"/>
      <c r="AA2" s="761"/>
      <c r="AB2" s="220"/>
      <c r="AC2" s="778"/>
    </row>
    <row r="3" spans="1:30">
      <c r="A3" s="750"/>
      <c r="B3" s="761"/>
      <c r="C3" s="753"/>
      <c r="D3" s="753"/>
      <c r="E3" s="753"/>
      <c r="F3" s="753"/>
      <c r="G3" s="753"/>
      <c r="H3" s="753"/>
      <c r="I3" s="753"/>
      <c r="J3" s="753"/>
      <c r="K3" s="780"/>
      <c r="L3" s="780"/>
      <c r="M3" s="780"/>
      <c r="N3" s="780"/>
      <c r="O3" s="780"/>
      <c r="P3" s="780"/>
      <c r="Q3" s="780"/>
      <c r="R3" s="780"/>
      <c r="S3" s="780"/>
      <c r="T3" s="753"/>
      <c r="U3" s="753"/>
      <c r="V3" s="753"/>
      <c r="W3" s="753"/>
      <c r="X3" s="753"/>
      <c r="Y3" s="753"/>
      <c r="Z3" s="753"/>
      <c r="AA3" s="753"/>
      <c r="AB3" s="220"/>
      <c r="AC3" s="779"/>
    </row>
    <row r="4" spans="1:30" ht="15" customHeight="1">
      <c r="A4" s="750"/>
      <c r="B4" s="781" t="s">
        <v>971</v>
      </c>
      <c r="C4" s="108"/>
      <c r="D4" s="132"/>
      <c r="E4" s="762" t="s">
        <v>1104</v>
      </c>
      <c r="F4" s="764" t="s">
        <v>1105</v>
      </c>
      <c r="G4" s="764" t="s">
        <v>1106</v>
      </c>
      <c r="H4" s="764" t="s">
        <v>1107</v>
      </c>
      <c r="I4" s="765" t="s">
        <v>1108</v>
      </c>
      <c r="J4" s="765"/>
      <c r="K4" s="765"/>
      <c r="L4" s="765"/>
      <c r="M4" s="765"/>
      <c r="N4" s="765"/>
      <c r="O4" s="765"/>
      <c r="P4" s="765"/>
      <c r="Q4" s="765"/>
      <c r="R4" s="765"/>
      <c r="S4" s="765"/>
      <c r="T4" s="765"/>
      <c r="U4" s="765"/>
      <c r="V4" s="766" t="s">
        <v>1109</v>
      </c>
      <c r="W4" s="768" t="s">
        <v>1110</v>
      </c>
      <c r="X4" s="770" t="s">
        <v>1111</v>
      </c>
      <c r="Y4" s="772" t="s">
        <v>1112</v>
      </c>
      <c r="Z4" s="773" t="s">
        <v>1113</v>
      </c>
      <c r="AA4" s="775" t="s">
        <v>1114</v>
      </c>
      <c r="AB4" s="218"/>
      <c r="AC4" s="783" t="s">
        <v>1115</v>
      </c>
    </row>
    <row r="5" spans="1:30" ht="155.25" customHeight="1">
      <c r="A5" s="751"/>
      <c r="B5" s="782"/>
      <c r="C5" s="110" t="s">
        <v>37</v>
      </c>
      <c r="D5" s="133" t="s">
        <v>38</v>
      </c>
      <c r="E5" s="763"/>
      <c r="F5" s="762"/>
      <c r="G5" s="762"/>
      <c r="H5" s="762"/>
      <c r="I5" s="217" t="s">
        <v>1116</v>
      </c>
      <c r="J5" s="217" t="s">
        <v>1117</v>
      </c>
      <c r="K5" s="217" t="s">
        <v>1118</v>
      </c>
      <c r="L5" s="111" t="s">
        <v>1119</v>
      </c>
      <c r="M5" s="217" t="s">
        <v>1120</v>
      </c>
      <c r="N5" s="111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67"/>
      <c r="W5" s="769"/>
      <c r="X5" s="771"/>
      <c r="Y5" s="771"/>
      <c r="Z5" s="774"/>
      <c r="AA5" s="776"/>
      <c r="AB5" s="219"/>
      <c r="AC5" s="784"/>
      <c r="AD5" s="123" t="s">
        <v>1129</v>
      </c>
    </row>
    <row r="6" spans="1:30">
      <c r="A6" s="114" t="s">
        <v>1100</v>
      </c>
      <c r="B6" s="95" t="s">
        <v>1130</v>
      </c>
      <c r="C6" s="95" t="s">
        <v>1131</v>
      </c>
      <c r="D6" s="134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  <c r="AA6" s="95" t="s">
        <v>1155</v>
      </c>
      <c r="AB6" s="95" t="s">
        <v>1156</v>
      </c>
      <c r="AC6" s="95" t="s">
        <v>1157</v>
      </c>
      <c r="AD6" s="122" t="s">
        <v>1158</v>
      </c>
    </row>
    <row r="7" spans="1:30">
      <c r="A7" s="105"/>
      <c r="B7" s="192" t="s">
        <v>1508</v>
      </c>
      <c r="C7" s="193">
        <v>44197</v>
      </c>
      <c r="D7" s="269"/>
      <c r="E7" s="105"/>
      <c r="F7" s="170">
        <v>160</v>
      </c>
      <c r="G7" s="105"/>
      <c r="H7" s="105"/>
      <c r="I7" s="105"/>
      <c r="J7" s="105"/>
      <c r="K7" s="189"/>
      <c r="L7" s="189">
        <v>8</v>
      </c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1">
        <f t="shared" ref="W7:W36" si="0">SUM(F7:V7)-L7</f>
        <v>160</v>
      </c>
      <c r="X7" s="102">
        <f t="shared" ref="X7:X36" si="1">L7</f>
        <v>8</v>
      </c>
      <c r="Y7" s="105"/>
      <c r="Z7" s="101">
        <f t="shared" ref="Z7:Z36" si="2">W7+X7+Y7</f>
        <v>168</v>
      </c>
      <c r="AA7" s="107"/>
      <c r="AB7" s="262">
        <v>3400</v>
      </c>
      <c r="AC7" s="262">
        <v>4250</v>
      </c>
      <c r="AD7" s="107"/>
    </row>
    <row r="8" spans="1:30">
      <c r="A8" s="105"/>
      <c r="B8" s="267" t="s">
        <v>174</v>
      </c>
      <c r="C8" s="268">
        <v>44197</v>
      </c>
      <c r="E8" s="105"/>
      <c r="F8" s="170">
        <v>160</v>
      </c>
      <c r="G8" s="105"/>
      <c r="H8" s="105"/>
      <c r="I8" s="105"/>
      <c r="J8" s="105"/>
      <c r="K8" s="189"/>
      <c r="L8" s="189">
        <v>8</v>
      </c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1">
        <f t="shared" si="0"/>
        <v>160</v>
      </c>
      <c r="X8" s="102">
        <f t="shared" si="1"/>
        <v>8</v>
      </c>
      <c r="Y8" s="105"/>
      <c r="Z8" s="101">
        <f t="shared" si="2"/>
        <v>168</v>
      </c>
      <c r="AA8" s="107"/>
      <c r="AB8" s="15">
        <v>3400</v>
      </c>
      <c r="AC8" s="15">
        <v>4250</v>
      </c>
      <c r="AD8" s="107"/>
    </row>
    <row r="9" spans="1:30">
      <c r="A9" s="105"/>
      <c r="B9" s="267" t="s">
        <v>147</v>
      </c>
      <c r="C9" s="268">
        <v>44197</v>
      </c>
      <c r="E9" s="100"/>
      <c r="F9" s="170">
        <v>160</v>
      </c>
      <c r="G9" s="100"/>
      <c r="H9" s="189"/>
      <c r="I9" s="189"/>
      <c r="J9" s="189"/>
      <c r="K9" s="189"/>
      <c r="L9" s="189">
        <v>8</v>
      </c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01">
        <f t="shared" si="0"/>
        <v>160</v>
      </c>
      <c r="X9" s="102">
        <f t="shared" si="1"/>
        <v>8</v>
      </c>
      <c r="Y9" s="154"/>
      <c r="Z9" s="101">
        <f t="shared" si="2"/>
        <v>168</v>
      </c>
      <c r="AA9" s="117"/>
      <c r="AB9" s="15">
        <v>3400</v>
      </c>
      <c r="AC9" s="15">
        <v>4250</v>
      </c>
      <c r="AD9" s="107">
        <v>275</v>
      </c>
    </row>
    <row r="10" spans="1:30">
      <c r="A10" s="147"/>
      <c r="B10" s="267" t="s">
        <v>155</v>
      </c>
      <c r="C10" s="268">
        <v>44200</v>
      </c>
      <c r="E10" s="105"/>
      <c r="F10" s="170">
        <v>160</v>
      </c>
      <c r="G10" s="105"/>
      <c r="H10" s="105"/>
      <c r="I10" s="105"/>
      <c r="J10" s="105"/>
      <c r="K10" s="189"/>
      <c r="L10" s="189">
        <v>8</v>
      </c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1">
        <f t="shared" si="0"/>
        <v>160</v>
      </c>
      <c r="X10" s="102">
        <f t="shared" si="1"/>
        <v>8</v>
      </c>
      <c r="Y10" s="105"/>
      <c r="Z10" s="101">
        <f t="shared" si="2"/>
        <v>168</v>
      </c>
      <c r="AA10" s="107"/>
      <c r="AB10" s="15">
        <v>3400</v>
      </c>
      <c r="AC10" s="15">
        <v>4250</v>
      </c>
      <c r="AD10" s="107"/>
    </row>
    <row r="11" spans="1:30">
      <c r="A11" s="105"/>
      <c r="B11" s="267" t="s">
        <v>1509</v>
      </c>
      <c r="C11" s="268">
        <v>44200</v>
      </c>
      <c r="E11" s="105"/>
      <c r="F11" s="170">
        <v>160</v>
      </c>
      <c r="G11" s="105"/>
      <c r="H11" s="105"/>
      <c r="I11" s="105"/>
      <c r="J11" s="105"/>
      <c r="K11" s="189"/>
      <c r="L11" s="189">
        <v>8</v>
      </c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1">
        <f t="shared" si="0"/>
        <v>160</v>
      </c>
      <c r="X11" s="102">
        <f t="shared" si="1"/>
        <v>8</v>
      </c>
      <c r="Y11" s="105"/>
      <c r="Z11" s="101">
        <f t="shared" si="2"/>
        <v>168</v>
      </c>
      <c r="AA11" s="107"/>
      <c r="AB11" s="15">
        <v>3500</v>
      </c>
      <c r="AC11" s="15">
        <v>4375</v>
      </c>
      <c r="AD11" s="15"/>
    </row>
    <row r="12" spans="1:30">
      <c r="A12" s="105"/>
      <c r="B12" s="267" t="s">
        <v>150</v>
      </c>
      <c r="C12" s="268">
        <v>44200</v>
      </c>
      <c r="E12" s="105"/>
      <c r="F12" s="170">
        <v>160</v>
      </c>
      <c r="G12" s="105"/>
      <c r="H12" s="105"/>
      <c r="I12" s="105"/>
      <c r="J12" s="105"/>
      <c r="K12" s="189"/>
      <c r="L12" s="189">
        <v>8</v>
      </c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1">
        <f t="shared" si="0"/>
        <v>160</v>
      </c>
      <c r="X12" s="102">
        <f t="shared" si="1"/>
        <v>8</v>
      </c>
      <c r="Y12" s="105"/>
      <c r="Z12" s="101">
        <f t="shared" si="2"/>
        <v>168</v>
      </c>
      <c r="AA12" s="107"/>
      <c r="AB12" s="15">
        <v>3400</v>
      </c>
      <c r="AC12" s="15">
        <v>4250</v>
      </c>
      <c r="AD12" s="107"/>
    </row>
    <row r="13" spans="1:30">
      <c r="A13" s="105"/>
      <c r="B13" s="267" t="s">
        <v>145</v>
      </c>
      <c r="C13" s="268">
        <v>44200</v>
      </c>
      <c r="E13" s="105"/>
      <c r="F13" s="170">
        <v>160</v>
      </c>
      <c r="G13" s="105"/>
      <c r="H13" s="105"/>
      <c r="I13" s="105"/>
      <c r="J13" s="105"/>
      <c r="K13" s="189"/>
      <c r="L13" s="189">
        <v>8</v>
      </c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1">
        <f t="shared" si="0"/>
        <v>160</v>
      </c>
      <c r="X13" s="102">
        <f t="shared" si="1"/>
        <v>8</v>
      </c>
      <c r="Y13" s="105"/>
      <c r="Z13" s="101">
        <f t="shared" si="2"/>
        <v>168</v>
      </c>
      <c r="AA13" s="107"/>
      <c r="AB13" s="15">
        <v>4700</v>
      </c>
      <c r="AC13" s="15">
        <v>5875</v>
      </c>
      <c r="AD13" s="107">
        <v>275</v>
      </c>
    </row>
    <row r="14" spans="1:30">
      <c r="A14" s="105"/>
      <c r="B14" s="267" t="s">
        <v>346</v>
      </c>
      <c r="C14" s="268">
        <v>44200</v>
      </c>
      <c r="E14" s="105"/>
      <c r="F14" s="170">
        <v>160</v>
      </c>
      <c r="G14" s="105"/>
      <c r="H14" s="105"/>
      <c r="I14" s="105"/>
      <c r="J14" s="105"/>
      <c r="K14" s="189"/>
      <c r="L14" s="189">
        <v>8</v>
      </c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1">
        <f t="shared" si="0"/>
        <v>160</v>
      </c>
      <c r="X14" s="102">
        <f t="shared" si="1"/>
        <v>8</v>
      </c>
      <c r="Y14" s="105"/>
      <c r="Z14" s="101">
        <f t="shared" si="2"/>
        <v>168</v>
      </c>
      <c r="AA14" s="107"/>
      <c r="AB14" s="15">
        <v>3400</v>
      </c>
      <c r="AC14" s="15">
        <v>4250</v>
      </c>
      <c r="AD14" s="15"/>
    </row>
    <row r="15" spans="1:30">
      <c r="A15" s="105"/>
      <c r="B15" s="267" t="s">
        <v>117</v>
      </c>
      <c r="C15" s="268">
        <v>44200</v>
      </c>
      <c r="E15" s="105"/>
      <c r="F15" s="170">
        <v>160</v>
      </c>
      <c r="G15" s="105"/>
      <c r="H15" s="105"/>
      <c r="I15" s="105"/>
      <c r="J15" s="105"/>
      <c r="K15" s="189"/>
      <c r="L15" s="189">
        <v>8</v>
      </c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1">
        <f t="shared" si="0"/>
        <v>160</v>
      </c>
      <c r="X15" s="102">
        <f t="shared" si="1"/>
        <v>8</v>
      </c>
      <c r="Y15" s="105"/>
      <c r="Z15" s="101">
        <f t="shared" si="2"/>
        <v>168</v>
      </c>
      <c r="AA15" s="107"/>
      <c r="AB15" s="15">
        <v>3400</v>
      </c>
      <c r="AC15" s="15">
        <v>4250</v>
      </c>
      <c r="AD15" s="15"/>
    </row>
    <row r="16" spans="1:30">
      <c r="A16" s="105"/>
      <c r="B16" s="267" t="s">
        <v>476</v>
      </c>
      <c r="C16" s="268">
        <v>44200</v>
      </c>
      <c r="E16" s="105"/>
      <c r="F16" s="170">
        <v>160</v>
      </c>
      <c r="G16" s="105"/>
      <c r="H16" s="105"/>
      <c r="I16" s="105"/>
      <c r="J16" s="105"/>
      <c r="K16" s="189"/>
      <c r="L16" s="189">
        <v>8</v>
      </c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1">
        <f t="shared" si="0"/>
        <v>160</v>
      </c>
      <c r="X16" s="102">
        <f t="shared" si="1"/>
        <v>8</v>
      </c>
      <c r="Y16" s="105"/>
      <c r="Z16" s="101">
        <f t="shared" si="2"/>
        <v>168</v>
      </c>
      <c r="AA16" s="107"/>
      <c r="AB16" s="15">
        <v>3400</v>
      </c>
      <c r="AC16" s="15">
        <v>4250</v>
      </c>
      <c r="AD16" s="107"/>
    </row>
    <row r="17" spans="1:30">
      <c r="A17" s="105"/>
      <c r="B17" s="267" t="s">
        <v>178</v>
      </c>
      <c r="C17" s="268">
        <v>44209</v>
      </c>
      <c r="E17" s="105"/>
      <c r="F17" s="170">
        <v>160</v>
      </c>
      <c r="G17" s="105"/>
      <c r="H17" s="105"/>
      <c r="I17" s="105"/>
      <c r="J17" s="105"/>
      <c r="K17" s="189"/>
      <c r="L17" s="189">
        <v>8</v>
      </c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1">
        <f t="shared" si="0"/>
        <v>160</v>
      </c>
      <c r="X17" s="102">
        <f t="shared" si="1"/>
        <v>8</v>
      </c>
      <c r="Y17" s="105"/>
      <c r="Z17" s="101">
        <f t="shared" si="2"/>
        <v>168</v>
      </c>
      <c r="AA17" s="107"/>
      <c r="AB17" s="15">
        <v>3400</v>
      </c>
      <c r="AC17" s="15">
        <v>4250</v>
      </c>
      <c r="AD17" s="107"/>
    </row>
    <row r="18" spans="1:30">
      <c r="A18" s="105"/>
      <c r="B18" s="267" t="s">
        <v>141</v>
      </c>
      <c r="C18" s="268">
        <v>44215</v>
      </c>
      <c r="E18" s="105"/>
      <c r="F18" s="170">
        <v>160</v>
      </c>
      <c r="G18" s="105"/>
      <c r="H18" s="105"/>
      <c r="I18" s="105"/>
      <c r="J18" s="105"/>
      <c r="K18" s="189"/>
      <c r="L18" s="189">
        <v>8</v>
      </c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1">
        <f t="shared" si="0"/>
        <v>160</v>
      </c>
      <c r="X18" s="102">
        <f t="shared" si="1"/>
        <v>8</v>
      </c>
      <c r="Y18" s="105"/>
      <c r="Z18" s="101">
        <f t="shared" si="2"/>
        <v>168</v>
      </c>
      <c r="AA18" s="107"/>
      <c r="AB18" s="15">
        <v>3500</v>
      </c>
      <c r="AC18" s="15">
        <v>4375</v>
      </c>
      <c r="AD18" s="107"/>
    </row>
    <row r="19" spans="1:30">
      <c r="A19" s="105"/>
      <c r="B19" s="267" t="s">
        <v>1506</v>
      </c>
      <c r="C19" s="268">
        <v>44215</v>
      </c>
      <c r="E19" s="105"/>
      <c r="F19" s="170">
        <v>160</v>
      </c>
      <c r="G19" s="105"/>
      <c r="H19" s="105"/>
      <c r="I19" s="105"/>
      <c r="J19" s="105"/>
      <c r="K19" s="189"/>
      <c r="L19" s="189">
        <v>8</v>
      </c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1">
        <f t="shared" si="0"/>
        <v>160</v>
      </c>
      <c r="X19" s="102">
        <f t="shared" si="1"/>
        <v>8</v>
      </c>
      <c r="Y19" s="105"/>
      <c r="Z19" s="101">
        <f t="shared" si="2"/>
        <v>168</v>
      </c>
      <c r="AA19" s="107"/>
      <c r="AB19" s="15">
        <v>3500</v>
      </c>
      <c r="AC19" s="15">
        <v>4375</v>
      </c>
      <c r="AD19" s="107"/>
    </row>
    <row r="20" spans="1:30">
      <c r="A20" s="105"/>
      <c r="B20" s="267" t="s">
        <v>190</v>
      </c>
      <c r="C20" s="268">
        <v>44216</v>
      </c>
      <c r="E20" s="105"/>
      <c r="F20" s="170">
        <v>160</v>
      </c>
      <c r="G20" s="105"/>
      <c r="H20" s="105"/>
      <c r="I20" s="105"/>
      <c r="J20" s="105"/>
      <c r="K20" s="189"/>
      <c r="L20" s="189">
        <v>8</v>
      </c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1">
        <f t="shared" si="0"/>
        <v>160</v>
      </c>
      <c r="X20" s="102">
        <f t="shared" si="1"/>
        <v>8</v>
      </c>
      <c r="Y20" s="105"/>
      <c r="Z20" s="101">
        <f t="shared" si="2"/>
        <v>168</v>
      </c>
      <c r="AA20" s="107"/>
      <c r="AB20" s="15">
        <v>4000</v>
      </c>
      <c r="AC20" s="15">
        <v>5084.22</v>
      </c>
      <c r="AD20" s="107"/>
    </row>
    <row r="21" spans="1:30">
      <c r="A21" s="105"/>
      <c r="B21" s="267" t="s">
        <v>1514</v>
      </c>
      <c r="C21" s="268">
        <v>44216</v>
      </c>
      <c r="E21" s="105"/>
      <c r="F21" s="170">
        <v>160</v>
      </c>
      <c r="G21" s="105"/>
      <c r="H21" s="105"/>
      <c r="I21" s="105"/>
      <c r="J21" s="105"/>
      <c r="K21" s="189"/>
      <c r="L21" s="189">
        <v>8</v>
      </c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1">
        <f t="shared" si="0"/>
        <v>160</v>
      </c>
      <c r="X21" s="102">
        <f t="shared" si="1"/>
        <v>8</v>
      </c>
      <c r="Y21" s="105"/>
      <c r="Z21" s="101">
        <f t="shared" si="2"/>
        <v>168</v>
      </c>
      <c r="AA21" s="107"/>
      <c r="AB21" s="15">
        <v>3500</v>
      </c>
      <c r="AC21" s="15">
        <v>4375</v>
      </c>
      <c r="AD21" s="107"/>
    </row>
    <row r="22" spans="1:30">
      <c r="A22" s="105"/>
      <c r="B22" s="267" t="s">
        <v>124</v>
      </c>
      <c r="C22" s="268">
        <v>44256</v>
      </c>
      <c r="E22" s="105"/>
      <c r="F22" s="170">
        <v>160</v>
      </c>
      <c r="G22" s="105"/>
      <c r="H22" s="105"/>
      <c r="I22" s="105"/>
      <c r="J22" s="105"/>
      <c r="K22" s="189"/>
      <c r="L22" s="189">
        <v>8</v>
      </c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1">
        <f t="shared" si="0"/>
        <v>160</v>
      </c>
      <c r="X22" s="102">
        <f t="shared" si="1"/>
        <v>8</v>
      </c>
      <c r="Y22" s="105"/>
      <c r="Z22" s="101">
        <f t="shared" si="2"/>
        <v>168</v>
      </c>
      <c r="AA22" s="107"/>
      <c r="AB22" s="15">
        <v>4700</v>
      </c>
      <c r="AC22" s="15">
        <v>5875</v>
      </c>
      <c r="AD22" s="107"/>
    </row>
    <row r="23" spans="1:30">
      <c r="A23" s="105"/>
      <c r="B23" s="267" t="s">
        <v>456</v>
      </c>
      <c r="C23" s="268">
        <v>44312</v>
      </c>
      <c r="E23" s="105"/>
      <c r="F23" s="170">
        <v>160</v>
      </c>
      <c r="G23" s="105"/>
      <c r="H23" s="105"/>
      <c r="I23" s="105"/>
      <c r="J23" s="105"/>
      <c r="K23" s="189"/>
      <c r="L23" s="189">
        <v>8</v>
      </c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1">
        <f t="shared" si="0"/>
        <v>160</v>
      </c>
      <c r="X23" s="102">
        <f t="shared" si="1"/>
        <v>8</v>
      </c>
      <c r="Y23" s="105"/>
      <c r="Z23" s="101">
        <f t="shared" si="2"/>
        <v>168</v>
      </c>
      <c r="AA23" s="107"/>
      <c r="AB23" s="15">
        <v>3400</v>
      </c>
      <c r="AC23" s="15">
        <v>4250</v>
      </c>
      <c r="AD23" s="107"/>
    </row>
    <row r="24" spans="1:30">
      <c r="A24" s="105"/>
      <c r="B24" s="267" t="s">
        <v>211</v>
      </c>
      <c r="C24" s="268">
        <v>44312</v>
      </c>
      <c r="E24" s="105"/>
      <c r="F24" s="170">
        <v>160</v>
      </c>
      <c r="G24" s="105"/>
      <c r="H24" s="105"/>
      <c r="I24" s="105"/>
      <c r="J24" s="105"/>
      <c r="K24" s="189"/>
      <c r="L24" s="189">
        <v>8</v>
      </c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1">
        <f t="shared" si="0"/>
        <v>160</v>
      </c>
      <c r="X24" s="102">
        <f t="shared" si="1"/>
        <v>8</v>
      </c>
      <c r="Y24" s="105"/>
      <c r="Z24" s="101">
        <f t="shared" si="2"/>
        <v>168</v>
      </c>
      <c r="AA24" s="107"/>
      <c r="AB24" s="15">
        <v>3500</v>
      </c>
      <c r="AC24" s="15">
        <v>4375</v>
      </c>
      <c r="AD24" s="107"/>
    </row>
    <row r="25" spans="1:30">
      <c r="A25" s="105"/>
      <c r="B25" s="267" t="s">
        <v>1575</v>
      </c>
      <c r="C25" s="268">
        <v>44315</v>
      </c>
      <c r="E25" s="105"/>
      <c r="F25" s="170">
        <v>160</v>
      </c>
      <c r="G25" s="105"/>
      <c r="H25" s="105"/>
      <c r="I25" s="105"/>
      <c r="J25" s="105"/>
      <c r="K25" s="189"/>
      <c r="L25" s="189">
        <v>8</v>
      </c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1">
        <f t="shared" si="0"/>
        <v>160</v>
      </c>
      <c r="X25" s="102">
        <f t="shared" si="1"/>
        <v>8</v>
      </c>
      <c r="Y25" s="105"/>
      <c r="Z25" s="101">
        <f t="shared" si="2"/>
        <v>168</v>
      </c>
      <c r="AA25" s="107"/>
      <c r="AB25" s="15">
        <v>3500</v>
      </c>
      <c r="AC25" s="15">
        <v>4375</v>
      </c>
      <c r="AD25" s="107"/>
    </row>
    <row r="26" spans="1:30">
      <c r="A26" s="105"/>
      <c r="B26" s="267" t="s">
        <v>1590</v>
      </c>
      <c r="C26" s="268">
        <v>44340</v>
      </c>
      <c r="E26" s="105"/>
      <c r="F26" s="170">
        <v>160</v>
      </c>
      <c r="G26" s="105"/>
      <c r="H26" s="105"/>
      <c r="I26" s="105"/>
      <c r="J26" s="105"/>
      <c r="K26" s="189"/>
      <c r="L26" s="189">
        <v>8</v>
      </c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1">
        <f t="shared" si="0"/>
        <v>160</v>
      </c>
      <c r="X26" s="102">
        <f t="shared" si="1"/>
        <v>8</v>
      </c>
      <c r="Y26" s="105"/>
      <c r="Z26" s="101">
        <f t="shared" si="2"/>
        <v>168</v>
      </c>
      <c r="AA26" s="107"/>
      <c r="AB26" s="15">
        <v>3400</v>
      </c>
      <c r="AC26" s="15">
        <v>4250</v>
      </c>
      <c r="AD26" s="15"/>
    </row>
    <row r="27" spans="1:30">
      <c r="A27" s="105"/>
      <c r="B27" s="267" t="s">
        <v>187</v>
      </c>
      <c r="C27" s="268">
        <v>44466</v>
      </c>
      <c r="E27" s="105"/>
      <c r="F27" s="170">
        <v>160</v>
      </c>
      <c r="G27" s="105"/>
      <c r="H27" s="105"/>
      <c r="I27" s="105"/>
      <c r="J27" s="105"/>
      <c r="K27" s="189"/>
      <c r="L27" s="189">
        <v>8</v>
      </c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1">
        <f t="shared" si="0"/>
        <v>160</v>
      </c>
      <c r="X27" s="102">
        <f t="shared" si="1"/>
        <v>8</v>
      </c>
      <c r="Y27" s="105"/>
      <c r="Z27" s="101">
        <f t="shared" si="2"/>
        <v>168</v>
      </c>
      <c r="AA27" s="107"/>
      <c r="AB27" s="15">
        <v>3400</v>
      </c>
      <c r="AC27" s="15">
        <v>4250</v>
      </c>
      <c r="AD27" s="15"/>
    </row>
    <row r="28" spans="1:30">
      <c r="A28" s="105"/>
      <c r="B28" s="267" t="s">
        <v>1710</v>
      </c>
      <c r="C28" s="268">
        <v>44593</v>
      </c>
      <c r="E28" s="105"/>
      <c r="F28" s="170">
        <v>160</v>
      </c>
      <c r="G28" s="105"/>
      <c r="H28" s="105"/>
      <c r="I28" s="105"/>
      <c r="J28" s="105"/>
      <c r="K28" s="189"/>
      <c r="L28" s="189">
        <v>8</v>
      </c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1">
        <f t="shared" si="0"/>
        <v>160</v>
      </c>
      <c r="X28" s="102">
        <f t="shared" si="1"/>
        <v>8</v>
      </c>
      <c r="Y28" s="105"/>
      <c r="Z28" s="101">
        <f t="shared" si="2"/>
        <v>168</v>
      </c>
      <c r="AA28" s="107"/>
      <c r="AB28" s="15">
        <v>3400</v>
      </c>
      <c r="AC28" s="15">
        <v>4250</v>
      </c>
      <c r="AD28" s="15"/>
    </row>
    <row r="29" spans="1:30">
      <c r="A29" s="105"/>
      <c r="B29" s="267" t="s">
        <v>1625</v>
      </c>
      <c r="C29" s="268">
        <v>44676</v>
      </c>
      <c r="E29" s="105"/>
      <c r="F29" s="170">
        <v>8</v>
      </c>
      <c r="G29" s="105"/>
      <c r="H29" s="105"/>
      <c r="I29" s="105"/>
      <c r="J29" s="105"/>
      <c r="K29" s="189"/>
      <c r="L29" s="189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1">
        <f t="shared" si="0"/>
        <v>8</v>
      </c>
      <c r="X29" s="102">
        <f t="shared" si="1"/>
        <v>0</v>
      </c>
      <c r="Y29" s="105"/>
      <c r="Z29" s="101">
        <f t="shared" si="2"/>
        <v>8</v>
      </c>
      <c r="AA29" s="107"/>
      <c r="AB29" s="15">
        <v>3400</v>
      </c>
      <c r="AC29" s="15">
        <v>4250</v>
      </c>
      <c r="AD29" s="107"/>
    </row>
    <row r="30" spans="1:30">
      <c r="A30" s="105"/>
      <c r="B30" s="267" t="s">
        <v>1750</v>
      </c>
      <c r="C30" s="268">
        <v>44679</v>
      </c>
      <c r="E30" s="105"/>
      <c r="F30" s="170">
        <v>160</v>
      </c>
      <c r="G30" s="105"/>
      <c r="H30" s="105"/>
      <c r="I30" s="105"/>
      <c r="J30" s="105"/>
      <c r="K30" s="189"/>
      <c r="L30" s="189">
        <v>8</v>
      </c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1">
        <f t="shared" si="0"/>
        <v>160</v>
      </c>
      <c r="X30" s="102">
        <f t="shared" si="1"/>
        <v>8</v>
      </c>
      <c r="Y30" s="105"/>
      <c r="Z30" s="101">
        <f t="shared" si="2"/>
        <v>168</v>
      </c>
      <c r="AA30" s="107"/>
      <c r="AB30" s="15">
        <v>3400</v>
      </c>
      <c r="AC30" s="15">
        <v>4250</v>
      </c>
      <c r="AD30" s="107"/>
    </row>
    <row r="31" spans="1:30">
      <c r="A31" s="105"/>
      <c r="B31" s="267" t="s">
        <v>1567</v>
      </c>
      <c r="C31" s="268">
        <v>44683</v>
      </c>
      <c r="E31" s="105"/>
      <c r="F31" s="170">
        <v>160</v>
      </c>
      <c r="G31" s="105"/>
      <c r="H31" s="105"/>
      <c r="I31" s="105"/>
      <c r="J31" s="105"/>
      <c r="K31" s="189"/>
      <c r="L31" s="189">
        <v>8</v>
      </c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1">
        <f t="shared" si="0"/>
        <v>160</v>
      </c>
      <c r="X31" s="102">
        <f t="shared" si="1"/>
        <v>8</v>
      </c>
      <c r="Y31" s="105"/>
      <c r="Z31" s="101">
        <f t="shared" si="2"/>
        <v>168</v>
      </c>
      <c r="AA31" s="107"/>
      <c r="AB31" s="15">
        <v>3500</v>
      </c>
      <c r="AC31" s="15">
        <v>4375</v>
      </c>
      <c r="AD31" s="107">
        <v>275</v>
      </c>
    </row>
    <row r="32" spans="1:30">
      <c r="A32" s="105"/>
      <c r="B32" s="267" t="s">
        <v>1755</v>
      </c>
      <c r="C32" s="268">
        <v>44684</v>
      </c>
      <c r="E32" s="105"/>
      <c r="F32" s="170">
        <v>160</v>
      </c>
      <c r="G32" s="105"/>
      <c r="H32" s="105"/>
      <c r="I32" s="105"/>
      <c r="J32" s="105"/>
      <c r="K32" s="189"/>
      <c r="L32" s="189">
        <v>8</v>
      </c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1">
        <f t="shared" si="0"/>
        <v>160</v>
      </c>
      <c r="X32" s="102">
        <f t="shared" si="1"/>
        <v>8</v>
      </c>
      <c r="Y32" s="105"/>
      <c r="Z32" s="101">
        <f t="shared" si="2"/>
        <v>168</v>
      </c>
      <c r="AA32" s="107"/>
      <c r="AB32" s="15">
        <v>3500</v>
      </c>
      <c r="AC32" s="15">
        <v>4375</v>
      </c>
      <c r="AD32" s="107"/>
    </row>
    <row r="33" spans="1:30">
      <c r="A33" s="105"/>
      <c r="B33" s="267" t="s">
        <v>1798</v>
      </c>
      <c r="C33" s="268">
        <v>44704</v>
      </c>
      <c r="E33" s="105"/>
      <c r="F33" s="170">
        <v>160</v>
      </c>
      <c r="G33" s="105"/>
      <c r="H33" s="105"/>
      <c r="I33" s="105"/>
      <c r="J33" s="105"/>
      <c r="K33" s="189"/>
      <c r="L33" s="189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1">
        <f t="shared" si="0"/>
        <v>160</v>
      </c>
      <c r="X33" s="102">
        <f t="shared" si="1"/>
        <v>0</v>
      </c>
      <c r="Y33" s="105"/>
      <c r="Z33" s="101">
        <f t="shared" si="2"/>
        <v>160</v>
      </c>
      <c r="AA33" s="107"/>
      <c r="AB33" s="15">
        <v>3400</v>
      </c>
      <c r="AC33" s="15">
        <v>4250</v>
      </c>
      <c r="AD33" s="107"/>
    </row>
    <row r="34" spans="1:30">
      <c r="A34" s="105"/>
      <c r="B34" s="267" t="s">
        <v>1818</v>
      </c>
      <c r="C34" s="268">
        <v>44718</v>
      </c>
      <c r="E34" s="105"/>
      <c r="F34" s="170">
        <v>40</v>
      </c>
      <c r="G34" s="105"/>
      <c r="H34" s="105"/>
      <c r="I34" s="105"/>
      <c r="J34" s="105"/>
      <c r="K34" s="189"/>
      <c r="L34" s="189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1">
        <f t="shared" si="0"/>
        <v>40</v>
      </c>
      <c r="X34" s="102">
        <f t="shared" si="1"/>
        <v>0</v>
      </c>
      <c r="Y34" s="105"/>
      <c r="Z34" s="101">
        <f t="shared" si="2"/>
        <v>40</v>
      </c>
      <c r="AA34" s="107"/>
      <c r="AB34" s="15">
        <v>3500</v>
      </c>
      <c r="AC34" s="15">
        <v>4375</v>
      </c>
      <c r="AD34" s="107"/>
    </row>
    <row r="35" spans="1:30">
      <c r="A35" s="105"/>
      <c r="B35" s="267" t="s">
        <v>1844</v>
      </c>
      <c r="C35" s="268">
        <v>44781</v>
      </c>
      <c r="E35" s="105"/>
      <c r="F35" s="170">
        <v>160</v>
      </c>
      <c r="G35" s="105"/>
      <c r="H35" s="105"/>
      <c r="I35" s="105"/>
      <c r="J35" s="105"/>
      <c r="K35" s="189"/>
      <c r="L35" s="189">
        <v>8</v>
      </c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1">
        <f t="shared" si="0"/>
        <v>160</v>
      </c>
      <c r="X35" s="102">
        <f t="shared" si="1"/>
        <v>8</v>
      </c>
      <c r="Y35" s="105"/>
      <c r="Z35" s="101">
        <f t="shared" si="2"/>
        <v>168</v>
      </c>
      <c r="AA35" s="107"/>
      <c r="AB35" s="15">
        <v>3400</v>
      </c>
      <c r="AC35" s="15">
        <v>4250</v>
      </c>
      <c r="AD35" s="107"/>
    </row>
    <row r="36" spans="1:30">
      <c r="A36" s="105"/>
      <c r="B36" s="267" t="s">
        <v>1848</v>
      </c>
      <c r="C36" s="268">
        <v>44805</v>
      </c>
      <c r="E36" s="105"/>
      <c r="F36" s="170">
        <v>160</v>
      </c>
      <c r="G36" s="105"/>
      <c r="H36" s="105"/>
      <c r="I36" s="105"/>
      <c r="J36" s="105"/>
      <c r="K36" s="189"/>
      <c r="L36" s="189">
        <v>8</v>
      </c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1">
        <f t="shared" si="0"/>
        <v>160</v>
      </c>
      <c r="X36" s="102">
        <f t="shared" si="1"/>
        <v>8</v>
      </c>
      <c r="Y36" s="105"/>
      <c r="Z36" s="101">
        <f t="shared" si="2"/>
        <v>168</v>
      </c>
      <c r="AA36" s="107"/>
      <c r="AB36" s="15">
        <v>3400</v>
      </c>
      <c r="AC36" s="15">
        <v>4250</v>
      </c>
      <c r="AD36" s="107"/>
    </row>
    <row r="37" spans="1:30">
      <c r="A37" s="105"/>
      <c r="B37" s="267" t="s">
        <v>1606</v>
      </c>
      <c r="C37" s="268">
        <v>44795</v>
      </c>
      <c r="E37" s="105"/>
      <c r="F37" s="170">
        <v>32</v>
      </c>
      <c r="G37" s="105"/>
      <c r="H37" s="105"/>
      <c r="I37" s="105"/>
      <c r="J37" s="105"/>
      <c r="K37" s="189"/>
      <c r="L37" s="189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1">
        <f t="shared" ref="W37:W61" si="3">SUM(F37:V37)-L37</f>
        <v>32</v>
      </c>
      <c r="X37" s="102">
        <f t="shared" ref="X37:X49" si="4">L37</f>
        <v>0</v>
      </c>
      <c r="Y37" s="105"/>
      <c r="Z37" s="101">
        <f t="shared" ref="Z37:Z49" si="5">W37+X37+Y37</f>
        <v>32</v>
      </c>
      <c r="AA37" s="107"/>
      <c r="AB37" s="15"/>
      <c r="AC37" s="15"/>
      <c r="AD37" s="107"/>
    </row>
    <row r="38" spans="1:30">
      <c r="A38" s="105"/>
      <c r="B38" s="267" t="s">
        <v>1860</v>
      </c>
      <c r="C38" s="268">
        <v>44816</v>
      </c>
      <c r="E38" s="105"/>
      <c r="F38" s="170">
        <v>16</v>
      </c>
      <c r="G38" s="105"/>
      <c r="H38" s="105"/>
      <c r="I38" s="105"/>
      <c r="J38" s="105"/>
      <c r="K38" s="189"/>
      <c r="L38" s="189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1">
        <f t="shared" si="3"/>
        <v>16</v>
      </c>
      <c r="X38" s="102">
        <f t="shared" si="4"/>
        <v>0</v>
      </c>
      <c r="Y38" s="105"/>
      <c r="Z38" s="101">
        <f t="shared" si="5"/>
        <v>16</v>
      </c>
      <c r="AA38" s="107"/>
      <c r="AB38" s="15"/>
      <c r="AC38" s="15"/>
      <c r="AD38" s="107"/>
    </row>
    <row r="39" spans="1:30">
      <c r="A39" s="105"/>
      <c r="B39" s="267" t="s">
        <v>1870</v>
      </c>
      <c r="C39" s="268">
        <v>44818</v>
      </c>
      <c r="E39" s="105"/>
      <c r="F39" s="170"/>
      <c r="G39" s="105"/>
      <c r="H39" s="105"/>
      <c r="I39" s="105"/>
      <c r="J39" s="105"/>
      <c r="K39" s="189"/>
      <c r="L39" s="189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1">
        <f t="shared" si="3"/>
        <v>0</v>
      </c>
      <c r="X39" s="102">
        <f t="shared" si="4"/>
        <v>0</v>
      </c>
      <c r="Y39" s="105"/>
      <c r="Z39" s="101">
        <f t="shared" si="5"/>
        <v>0</v>
      </c>
      <c r="AA39" s="107"/>
      <c r="AB39" s="15"/>
      <c r="AC39" s="15"/>
      <c r="AD39" s="15"/>
    </row>
    <row r="40" spans="1:30">
      <c r="A40" s="105"/>
      <c r="B40" s="267" t="s">
        <v>1874</v>
      </c>
      <c r="C40" s="268">
        <v>44837</v>
      </c>
      <c r="E40" s="105"/>
      <c r="F40" s="170"/>
      <c r="G40" s="105"/>
      <c r="H40" s="105"/>
      <c r="I40" s="105"/>
      <c r="J40" s="105"/>
      <c r="K40" s="189"/>
      <c r="L40" s="189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1">
        <f t="shared" si="3"/>
        <v>0</v>
      </c>
      <c r="X40" s="102">
        <f t="shared" si="4"/>
        <v>0</v>
      </c>
      <c r="Y40" s="105"/>
      <c r="Z40" s="101">
        <f t="shared" si="5"/>
        <v>0</v>
      </c>
      <c r="AA40" s="107"/>
      <c r="AB40" s="15"/>
      <c r="AC40" s="15"/>
      <c r="AD40" s="107"/>
    </row>
    <row r="41" spans="1:30">
      <c r="A41" s="105"/>
      <c r="B41" s="267" t="s">
        <v>1877</v>
      </c>
      <c r="C41" s="268">
        <v>44837</v>
      </c>
      <c r="E41" s="105"/>
      <c r="F41" s="170"/>
      <c r="G41" s="105"/>
      <c r="H41" s="105"/>
      <c r="I41" s="105"/>
      <c r="J41" s="105"/>
      <c r="K41" s="189"/>
      <c r="L41" s="189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1">
        <f t="shared" si="3"/>
        <v>0</v>
      </c>
      <c r="X41" s="102">
        <f t="shared" si="4"/>
        <v>0</v>
      </c>
      <c r="Y41" s="105"/>
      <c r="Z41" s="101">
        <f t="shared" si="5"/>
        <v>0</v>
      </c>
      <c r="AA41" s="107"/>
      <c r="AB41" s="15"/>
      <c r="AC41" s="15"/>
      <c r="AD41" s="107"/>
    </row>
    <row r="42" spans="1:30">
      <c r="A42" s="105"/>
      <c r="B42" s="267" t="s">
        <v>1880</v>
      </c>
      <c r="C42" s="268">
        <v>44837</v>
      </c>
      <c r="E42" s="105"/>
      <c r="F42" s="170"/>
      <c r="G42" s="105"/>
      <c r="H42" s="105"/>
      <c r="I42" s="105"/>
      <c r="J42" s="105"/>
      <c r="K42" s="189"/>
      <c r="L42" s="189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1">
        <f t="shared" si="3"/>
        <v>0</v>
      </c>
      <c r="X42" s="102">
        <f t="shared" si="4"/>
        <v>0</v>
      </c>
      <c r="Y42" s="105"/>
      <c r="Z42" s="101">
        <f t="shared" si="5"/>
        <v>0</v>
      </c>
      <c r="AA42" s="107"/>
      <c r="AB42" s="15"/>
      <c r="AC42" s="15"/>
      <c r="AD42" s="15"/>
    </row>
    <row r="43" spans="1:30">
      <c r="A43" s="105"/>
      <c r="B43" s="267" t="s">
        <v>1909</v>
      </c>
      <c r="C43" s="268">
        <v>44860</v>
      </c>
      <c r="E43" s="105"/>
      <c r="F43" s="170"/>
      <c r="G43" s="105"/>
      <c r="H43" s="105"/>
      <c r="I43" s="105"/>
      <c r="J43" s="105"/>
      <c r="K43" s="189"/>
      <c r="L43" s="189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1">
        <f t="shared" si="3"/>
        <v>0</v>
      </c>
      <c r="X43" s="102">
        <f t="shared" si="4"/>
        <v>0</v>
      </c>
      <c r="Y43" s="105"/>
      <c r="Z43" s="101">
        <f t="shared" si="5"/>
        <v>0</v>
      </c>
      <c r="AA43" s="107"/>
      <c r="AB43" s="15"/>
      <c r="AC43" s="15"/>
      <c r="AD43" s="107"/>
    </row>
    <row r="44" spans="1:30">
      <c r="A44" s="105"/>
      <c r="B44" s="267" t="s">
        <v>1918</v>
      </c>
      <c r="C44" s="268">
        <v>44875</v>
      </c>
      <c r="E44" s="105"/>
      <c r="F44" s="170"/>
      <c r="G44" s="105"/>
      <c r="H44" s="105"/>
      <c r="I44" s="105"/>
      <c r="J44" s="105"/>
      <c r="K44" s="189"/>
      <c r="L44" s="189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1">
        <f t="shared" si="3"/>
        <v>0</v>
      </c>
      <c r="X44" s="102">
        <f t="shared" si="4"/>
        <v>0</v>
      </c>
      <c r="Y44" s="105"/>
      <c r="Z44" s="101">
        <f t="shared" si="5"/>
        <v>0</v>
      </c>
      <c r="AA44" s="107"/>
      <c r="AB44" s="15"/>
      <c r="AC44" s="15"/>
      <c r="AD44" s="107"/>
    </row>
    <row r="45" spans="1:30">
      <c r="A45" s="105"/>
      <c r="B45" s="267" t="s">
        <v>139</v>
      </c>
      <c r="C45" s="268">
        <v>44872</v>
      </c>
      <c r="E45" s="105"/>
      <c r="F45" s="170"/>
      <c r="G45" s="105"/>
      <c r="H45" s="105"/>
      <c r="I45" s="105"/>
      <c r="J45" s="105"/>
      <c r="K45" s="189"/>
      <c r="L45" s="189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1">
        <f t="shared" si="3"/>
        <v>0</v>
      </c>
      <c r="X45" s="102">
        <f t="shared" si="4"/>
        <v>0</v>
      </c>
      <c r="Y45" s="105"/>
      <c r="Z45" s="101">
        <f t="shared" si="5"/>
        <v>0</v>
      </c>
      <c r="AA45" s="107"/>
      <c r="AB45" s="15"/>
      <c r="AC45" s="15"/>
      <c r="AD45" s="107"/>
    </row>
    <row r="46" spans="1:30">
      <c r="A46" s="105"/>
      <c r="B46" s="267" t="s">
        <v>1924</v>
      </c>
      <c r="C46" s="268">
        <v>44879</v>
      </c>
      <c r="E46" s="105"/>
      <c r="F46" s="170"/>
      <c r="G46" s="105"/>
      <c r="H46" s="105"/>
      <c r="I46" s="105"/>
      <c r="J46" s="105"/>
      <c r="K46" s="189"/>
      <c r="L46" s="189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1">
        <f t="shared" si="3"/>
        <v>0</v>
      </c>
      <c r="X46" s="102">
        <f t="shared" si="4"/>
        <v>0</v>
      </c>
      <c r="Y46" s="105"/>
      <c r="Z46" s="101">
        <f t="shared" si="5"/>
        <v>0</v>
      </c>
      <c r="AA46" s="107"/>
      <c r="AB46" s="15"/>
      <c r="AC46" s="15"/>
      <c r="AD46" s="107"/>
    </row>
    <row r="47" spans="1:30">
      <c r="A47" s="105"/>
      <c r="B47" s="267" t="s">
        <v>1957</v>
      </c>
      <c r="C47" s="268">
        <v>44888</v>
      </c>
      <c r="E47" s="105"/>
      <c r="F47" s="170"/>
      <c r="G47" s="105"/>
      <c r="H47" s="105"/>
      <c r="I47" s="105"/>
      <c r="J47" s="105"/>
      <c r="K47" s="189"/>
      <c r="L47" s="189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1">
        <f t="shared" si="3"/>
        <v>0</v>
      </c>
      <c r="X47" s="102">
        <f t="shared" si="4"/>
        <v>0</v>
      </c>
      <c r="Y47" s="105"/>
      <c r="Z47" s="101">
        <f t="shared" si="5"/>
        <v>0</v>
      </c>
      <c r="AA47" s="107"/>
      <c r="AB47" s="15"/>
      <c r="AC47" s="15"/>
      <c r="AD47" s="107"/>
    </row>
    <row r="48" spans="1:30">
      <c r="A48" s="105"/>
      <c r="B48" s="267" t="s">
        <v>1940</v>
      </c>
      <c r="C48" s="268">
        <v>44930</v>
      </c>
      <c r="E48" s="105"/>
      <c r="F48" s="170"/>
      <c r="G48" s="105"/>
      <c r="H48" s="105"/>
      <c r="I48" s="105"/>
      <c r="J48" s="105"/>
      <c r="K48" s="189"/>
      <c r="L48" s="189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1">
        <f t="shared" si="3"/>
        <v>0</v>
      </c>
      <c r="X48" s="102">
        <f t="shared" si="4"/>
        <v>0</v>
      </c>
      <c r="Y48" s="105"/>
      <c r="Z48" s="101">
        <f t="shared" si="5"/>
        <v>0</v>
      </c>
      <c r="AA48" s="107"/>
      <c r="AB48" s="15"/>
      <c r="AC48" s="15"/>
      <c r="AD48" s="107"/>
    </row>
    <row r="49" spans="1:30">
      <c r="A49" s="105"/>
      <c r="B49" s="267" t="s">
        <v>1943</v>
      </c>
      <c r="C49" s="268">
        <v>44930</v>
      </c>
      <c r="E49" s="105"/>
      <c r="F49" s="170"/>
      <c r="G49" s="105"/>
      <c r="H49" s="105"/>
      <c r="I49" s="105"/>
      <c r="J49" s="105"/>
      <c r="K49" s="189"/>
      <c r="L49" s="189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1">
        <f t="shared" si="3"/>
        <v>0</v>
      </c>
      <c r="X49" s="102">
        <f t="shared" si="4"/>
        <v>0</v>
      </c>
      <c r="Y49" s="105"/>
      <c r="Z49" s="101">
        <f t="shared" si="5"/>
        <v>0</v>
      </c>
      <c r="AA49" s="107"/>
      <c r="AB49" s="15"/>
      <c r="AC49" s="15"/>
      <c r="AD49" s="107"/>
    </row>
    <row r="50" spans="1:30">
      <c r="A50" s="105"/>
      <c r="B50" s="267" t="s">
        <v>1583</v>
      </c>
      <c r="C50" s="268">
        <v>44900</v>
      </c>
      <c r="E50" s="105"/>
      <c r="F50" s="170"/>
      <c r="G50" s="105"/>
      <c r="H50" s="105"/>
      <c r="I50" s="105"/>
      <c r="J50" s="105"/>
      <c r="K50" s="189"/>
      <c r="L50" s="189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1">
        <f t="shared" si="3"/>
        <v>0</v>
      </c>
      <c r="X50" s="102">
        <f t="shared" ref="X50:X61" si="6">L50</f>
        <v>0</v>
      </c>
      <c r="Y50" s="105"/>
      <c r="Z50" s="101">
        <f t="shared" ref="Z50:Z61" si="7">W50+X50+Y50</f>
        <v>0</v>
      </c>
      <c r="AA50" s="107"/>
      <c r="AB50" s="15"/>
      <c r="AC50" s="15"/>
      <c r="AD50" s="107"/>
    </row>
    <row r="51" spans="1:30" ht="14.25" customHeight="1">
      <c r="A51" s="105"/>
      <c r="B51" s="267" t="s">
        <v>1976</v>
      </c>
      <c r="C51" s="268">
        <v>44914</v>
      </c>
      <c r="E51" s="180"/>
      <c r="F51" s="170"/>
      <c r="G51" s="180"/>
      <c r="H51" s="180"/>
      <c r="I51" s="180"/>
      <c r="J51" s="180"/>
      <c r="K51" s="270"/>
      <c r="L51" s="189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01">
        <f t="shared" si="3"/>
        <v>0</v>
      </c>
      <c r="X51" s="102">
        <f t="shared" si="6"/>
        <v>0</v>
      </c>
      <c r="Y51" s="180"/>
      <c r="Z51" s="101">
        <f t="shared" si="7"/>
        <v>0</v>
      </c>
      <c r="AA51" s="271"/>
      <c r="AB51" s="15"/>
      <c r="AC51" s="15"/>
      <c r="AD51" s="15"/>
    </row>
    <row r="52" spans="1:30" ht="14.25" customHeight="1">
      <c r="A52" s="105"/>
      <c r="B52" s="267" t="s">
        <v>1979</v>
      </c>
      <c r="C52" s="268">
        <v>44928</v>
      </c>
      <c r="E52" s="105"/>
      <c r="F52" s="170"/>
      <c r="G52" s="105"/>
      <c r="H52" s="105"/>
      <c r="I52" s="105"/>
      <c r="J52" s="105"/>
      <c r="K52" s="189"/>
      <c r="L52" s="189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1">
        <f t="shared" si="3"/>
        <v>0</v>
      </c>
      <c r="X52" s="102">
        <f t="shared" si="6"/>
        <v>0</v>
      </c>
      <c r="Y52" s="105"/>
      <c r="Z52" s="101">
        <f t="shared" si="7"/>
        <v>0</v>
      </c>
      <c r="AA52" s="107"/>
      <c r="AB52" s="15"/>
      <c r="AC52" s="15"/>
      <c r="AD52" s="15"/>
    </row>
    <row r="53" spans="1:30" ht="14.25" customHeight="1">
      <c r="A53" s="105"/>
      <c r="B53" s="267" t="s">
        <v>1986</v>
      </c>
      <c r="C53" s="268">
        <v>44928</v>
      </c>
      <c r="E53" s="105"/>
      <c r="F53" s="170"/>
      <c r="G53" s="105"/>
      <c r="H53" s="105"/>
      <c r="I53" s="105"/>
      <c r="J53" s="105"/>
      <c r="K53" s="189"/>
      <c r="L53" s="189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1">
        <f t="shared" si="3"/>
        <v>0</v>
      </c>
      <c r="X53" s="102">
        <f t="shared" si="6"/>
        <v>0</v>
      </c>
      <c r="Y53" s="105"/>
      <c r="Z53" s="101">
        <f t="shared" si="7"/>
        <v>0</v>
      </c>
      <c r="AA53" s="107"/>
      <c r="AB53" s="15"/>
      <c r="AC53" s="15"/>
      <c r="AD53" s="15"/>
    </row>
    <row r="54" spans="1:30" ht="14.25" customHeight="1">
      <c r="A54" s="105"/>
      <c r="B54" s="267" t="s">
        <v>1999</v>
      </c>
      <c r="C54" s="268">
        <v>44984</v>
      </c>
      <c r="D54" s="7" t="s">
        <v>898</v>
      </c>
      <c r="E54" s="105"/>
      <c r="F54" s="170"/>
      <c r="G54" s="105"/>
      <c r="H54" s="105"/>
      <c r="I54" s="105"/>
      <c r="J54" s="105"/>
      <c r="K54" s="189"/>
      <c r="L54" s="189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1">
        <f t="shared" si="3"/>
        <v>0</v>
      </c>
      <c r="X54" s="102">
        <f t="shared" si="6"/>
        <v>0</v>
      </c>
      <c r="Y54" s="105"/>
      <c r="Z54" s="101">
        <f t="shared" si="7"/>
        <v>0</v>
      </c>
      <c r="AA54" s="107"/>
      <c r="AB54" s="15"/>
      <c r="AC54" s="15"/>
      <c r="AD54" s="15"/>
    </row>
    <row r="55" spans="1:30" ht="14.25" customHeight="1">
      <c r="A55" s="105"/>
      <c r="B55" s="267" t="s">
        <v>2001</v>
      </c>
      <c r="C55" s="268">
        <v>44972</v>
      </c>
      <c r="D55" s="7">
        <v>45025</v>
      </c>
      <c r="E55" s="105"/>
      <c r="F55" s="170"/>
      <c r="G55" s="105"/>
      <c r="H55" s="105"/>
      <c r="I55" s="105"/>
      <c r="J55" s="105"/>
      <c r="K55" s="189"/>
      <c r="L55" s="189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1">
        <f t="shared" si="3"/>
        <v>0</v>
      </c>
      <c r="X55" s="102">
        <f t="shared" si="6"/>
        <v>0</v>
      </c>
      <c r="Y55" s="105"/>
      <c r="Z55" s="101">
        <f t="shared" si="7"/>
        <v>0</v>
      </c>
      <c r="AA55" s="107"/>
      <c r="AB55" s="15"/>
      <c r="AC55" s="15"/>
      <c r="AD55" s="15"/>
    </row>
    <row r="56" spans="1:30" ht="14.25" customHeight="1">
      <c r="A56" s="105"/>
      <c r="B56" s="267" t="s">
        <v>2018</v>
      </c>
      <c r="C56" s="268">
        <v>44933</v>
      </c>
      <c r="D56" s="7">
        <v>45026</v>
      </c>
      <c r="E56" s="105"/>
      <c r="F56" s="170"/>
      <c r="G56" s="105"/>
      <c r="H56" s="105"/>
      <c r="I56" s="105"/>
      <c r="J56" s="105"/>
      <c r="K56" s="189"/>
      <c r="L56" s="189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1">
        <f t="shared" si="3"/>
        <v>0</v>
      </c>
      <c r="X56" s="102">
        <f t="shared" si="6"/>
        <v>0</v>
      </c>
      <c r="Y56" s="105"/>
      <c r="Z56" s="101">
        <f t="shared" si="7"/>
        <v>0</v>
      </c>
      <c r="AA56" s="107"/>
      <c r="AB56" s="15"/>
      <c r="AC56" s="15"/>
      <c r="AD56" s="15"/>
    </row>
    <row r="57" spans="1:30" ht="14.25" customHeight="1">
      <c r="A57" s="105"/>
      <c r="B57" s="267" t="s">
        <v>2022</v>
      </c>
      <c r="C57" s="268">
        <v>44949</v>
      </c>
      <c r="E57" s="105"/>
      <c r="F57" s="170"/>
      <c r="G57" s="105"/>
      <c r="H57" s="105"/>
      <c r="I57" s="105"/>
      <c r="J57" s="105"/>
      <c r="K57" s="189"/>
      <c r="L57" s="189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1">
        <f t="shared" si="3"/>
        <v>0</v>
      </c>
      <c r="X57" s="102">
        <f t="shared" si="6"/>
        <v>0</v>
      </c>
      <c r="Y57" s="105"/>
      <c r="Z57" s="101">
        <f t="shared" si="7"/>
        <v>0</v>
      </c>
      <c r="AA57" s="107"/>
      <c r="AB57" s="15"/>
      <c r="AC57" s="15"/>
      <c r="AD57" s="15"/>
    </row>
    <row r="58" spans="1:30">
      <c r="A58" s="105"/>
      <c r="B58" s="267" t="s">
        <v>2029</v>
      </c>
      <c r="C58" s="268">
        <v>44984</v>
      </c>
      <c r="D58" s="7">
        <v>45012</v>
      </c>
      <c r="E58" s="105"/>
      <c r="F58" s="170"/>
      <c r="G58" s="105"/>
      <c r="H58" s="105"/>
      <c r="I58" s="105"/>
      <c r="J58" s="105"/>
      <c r="K58" s="189"/>
      <c r="L58" s="189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1">
        <f t="shared" si="3"/>
        <v>0</v>
      </c>
      <c r="X58" s="102">
        <f t="shared" si="6"/>
        <v>0</v>
      </c>
      <c r="Y58" s="105"/>
      <c r="Z58" s="101">
        <f t="shared" si="7"/>
        <v>0</v>
      </c>
      <c r="AA58" s="107"/>
      <c r="AB58" s="15"/>
      <c r="AC58" s="15"/>
      <c r="AD58" s="15"/>
    </row>
    <row r="59" spans="1:30">
      <c r="A59" s="105"/>
      <c r="B59" s="267" t="s">
        <v>2034</v>
      </c>
      <c r="C59" s="268">
        <v>44984</v>
      </c>
      <c r="E59" s="105"/>
      <c r="F59" s="170"/>
      <c r="G59" s="105"/>
      <c r="H59" s="105"/>
      <c r="I59" s="105"/>
      <c r="J59" s="105"/>
      <c r="K59" s="189"/>
      <c r="L59" s="189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1">
        <f t="shared" si="3"/>
        <v>0</v>
      </c>
      <c r="X59" s="102">
        <f t="shared" si="6"/>
        <v>0</v>
      </c>
      <c r="Y59" s="105"/>
      <c r="Z59" s="101">
        <f t="shared" si="7"/>
        <v>0</v>
      </c>
      <c r="AA59" s="107"/>
      <c r="AB59" s="15"/>
      <c r="AC59" s="15"/>
      <c r="AD59" s="15"/>
    </row>
    <row r="60" spans="1:30">
      <c r="A60" s="105"/>
      <c r="B60" s="267" t="s">
        <v>2037</v>
      </c>
      <c r="C60" s="268">
        <v>44984</v>
      </c>
      <c r="E60" s="105"/>
      <c r="F60" s="170"/>
      <c r="G60" s="105"/>
      <c r="H60" s="105"/>
      <c r="I60" s="105"/>
      <c r="J60" s="105"/>
      <c r="K60" s="189"/>
      <c r="L60" s="189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1">
        <f t="shared" si="3"/>
        <v>0</v>
      </c>
      <c r="X60" s="102">
        <f t="shared" si="6"/>
        <v>0</v>
      </c>
      <c r="Y60" s="105"/>
      <c r="Z60" s="101">
        <f t="shared" si="7"/>
        <v>0</v>
      </c>
      <c r="AA60" s="107"/>
      <c r="AB60" s="15"/>
      <c r="AC60" s="15"/>
      <c r="AD60" s="15"/>
    </row>
    <row r="61" spans="1:30">
      <c r="A61" s="105"/>
      <c r="B61" s="267" t="s">
        <v>2088</v>
      </c>
      <c r="C61" s="268">
        <v>44987</v>
      </c>
      <c r="E61" s="105"/>
      <c r="F61" s="170"/>
      <c r="G61" s="105"/>
      <c r="H61" s="105"/>
      <c r="I61" s="105"/>
      <c r="J61" s="105"/>
      <c r="K61" s="189"/>
      <c r="L61" s="189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1">
        <f t="shared" si="3"/>
        <v>0</v>
      </c>
      <c r="X61" s="102">
        <f t="shared" si="6"/>
        <v>0</v>
      </c>
      <c r="Y61" s="105"/>
      <c r="Z61" s="101">
        <f t="shared" si="7"/>
        <v>0</v>
      </c>
      <c r="AA61" s="107"/>
      <c r="AB61" s="15"/>
      <c r="AC61" s="15"/>
      <c r="AD61" s="15"/>
    </row>
    <row r="62" spans="1:30">
      <c r="A62" s="105"/>
      <c r="B62" s="267" t="s">
        <v>2090</v>
      </c>
      <c r="C62" s="268">
        <v>44991</v>
      </c>
      <c r="E62" s="105"/>
      <c r="F62" s="170"/>
      <c r="G62" s="105"/>
      <c r="H62" s="105"/>
      <c r="I62" s="105"/>
      <c r="J62" s="105"/>
      <c r="K62" s="189"/>
      <c r="L62" s="189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1">
        <f t="shared" ref="W62:W66" si="8">SUM(F62:V62)-L62</f>
        <v>0</v>
      </c>
      <c r="X62" s="102">
        <f t="shared" ref="X62:X66" si="9">L62</f>
        <v>0</v>
      </c>
      <c r="Y62" s="105"/>
      <c r="Z62" s="101">
        <f t="shared" ref="Z62:Z66" si="10">W62+X62+Y62</f>
        <v>0</v>
      </c>
      <c r="AA62" s="107"/>
      <c r="AB62" s="15"/>
      <c r="AC62" s="15"/>
      <c r="AD62" s="15"/>
    </row>
    <row r="63" spans="1:30">
      <c r="A63" s="105"/>
      <c r="B63" s="267" t="s">
        <v>2144</v>
      </c>
      <c r="C63" s="268">
        <v>44992</v>
      </c>
      <c r="E63" s="105"/>
      <c r="F63" s="170"/>
      <c r="G63" s="105"/>
      <c r="H63" s="105"/>
      <c r="I63" s="105"/>
      <c r="J63" s="105"/>
      <c r="K63" s="189"/>
      <c r="L63" s="189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1">
        <f t="shared" si="8"/>
        <v>0</v>
      </c>
      <c r="X63" s="102">
        <f t="shared" si="9"/>
        <v>0</v>
      </c>
      <c r="Y63" s="105"/>
      <c r="Z63" s="101">
        <f t="shared" si="10"/>
        <v>0</v>
      </c>
      <c r="AA63" s="107"/>
      <c r="AB63" s="15"/>
      <c r="AC63" s="15"/>
      <c r="AD63" s="15"/>
    </row>
    <row r="64" spans="1:30">
      <c r="A64" s="105"/>
      <c r="B64" s="267" t="s">
        <v>2140</v>
      </c>
      <c r="C64" s="268">
        <v>45007</v>
      </c>
      <c r="E64" s="105"/>
      <c r="F64" s="170"/>
      <c r="G64" s="105"/>
      <c r="H64" s="105"/>
      <c r="I64" s="105"/>
      <c r="J64" s="105"/>
      <c r="K64" s="189"/>
      <c r="L64" s="189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1">
        <f t="shared" si="8"/>
        <v>0</v>
      </c>
      <c r="X64" s="102">
        <f t="shared" si="9"/>
        <v>0</v>
      </c>
      <c r="Y64" s="105"/>
      <c r="Z64" s="101">
        <f t="shared" si="10"/>
        <v>0</v>
      </c>
      <c r="AA64" s="107"/>
      <c r="AB64" s="15"/>
      <c r="AC64" s="15"/>
      <c r="AD64" s="15"/>
    </row>
    <row r="65" spans="1:30">
      <c r="A65" s="105"/>
      <c r="B65" s="267"/>
      <c r="C65" s="268"/>
      <c r="E65" s="105"/>
      <c r="F65" s="170"/>
      <c r="G65" s="105"/>
      <c r="H65" s="105"/>
      <c r="I65" s="105"/>
      <c r="J65" s="105"/>
      <c r="K65" s="189"/>
      <c r="L65" s="189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1">
        <f t="shared" si="8"/>
        <v>0</v>
      </c>
      <c r="X65" s="102">
        <f t="shared" si="9"/>
        <v>0</v>
      </c>
      <c r="Y65" s="105"/>
      <c r="Z65" s="101">
        <f t="shared" si="10"/>
        <v>0</v>
      </c>
      <c r="AA65" s="107"/>
      <c r="AB65" s="277"/>
      <c r="AC65" s="107"/>
      <c r="AD65" s="15"/>
    </row>
    <row r="66" spans="1:30">
      <c r="A66" s="105"/>
      <c r="B66" s="267"/>
      <c r="C66" s="268"/>
      <c r="E66" s="105"/>
      <c r="F66" s="170"/>
      <c r="G66" s="105"/>
      <c r="H66" s="105"/>
      <c r="I66" s="105"/>
      <c r="J66" s="105"/>
      <c r="K66" s="189"/>
      <c r="L66" s="189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1">
        <f t="shared" si="8"/>
        <v>0</v>
      </c>
      <c r="X66" s="102">
        <f t="shared" si="9"/>
        <v>0</v>
      </c>
      <c r="Y66" s="105"/>
      <c r="Z66" s="101">
        <f t="shared" si="10"/>
        <v>0</v>
      </c>
      <c r="AA66" s="107"/>
      <c r="AB66" s="277"/>
      <c r="AC66" s="107"/>
      <c r="AD66" s="15"/>
    </row>
    <row r="67" spans="1:30" ht="13.5" customHeight="1">
      <c r="A67" s="115"/>
      <c r="B67" s="115"/>
      <c r="C67" s="115"/>
      <c r="D67" s="135" t="s">
        <v>1159</v>
      </c>
      <c r="E67" s="115"/>
      <c r="F67" s="325">
        <f>SUM(F7:F66)</f>
        <v>4576</v>
      </c>
      <c r="G67" s="115"/>
      <c r="H67" s="115"/>
      <c r="I67" s="115"/>
      <c r="J67" s="115"/>
      <c r="K67" s="115">
        <f>SUBTOTAL(109,K7:K66)</f>
        <v>0</v>
      </c>
      <c r="L67" s="115">
        <f>SUBTOTAL(109,L7:L66)</f>
        <v>216</v>
      </c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>
        <f>SUBTOTAL(109,W7:W21)</f>
        <v>2400</v>
      </c>
      <c r="X67" s="115">
        <f>SUBTOTAL(109,X7:X21)</f>
        <v>120</v>
      </c>
      <c r="Y67" s="115">
        <f>SUBTOTAL(109,Y7:Y21)</f>
        <v>0</v>
      </c>
      <c r="Z67" s="115">
        <f>SUBTOTAL(109,Z7:Z21)</f>
        <v>2520</v>
      </c>
      <c r="AA67" s="118">
        <f>SUBTOTAL(109,AA7:AA21)</f>
        <v>0</v>
      </c>
      <c r="AB67" s="118"/>
      <c r="AC67" s="118">
        <f>SUM(AC7:AC66)</f>
        <v>132709.22</v>
      </c>
    </row>
    <row r="68" spans="1:30">
      <c r="AA68" s="16" t="s">
        <v>1160</v>
      </c>
      <c r="AB68" s="16"/>
    </row>
    <row r="71" spans="1:30">
      <c r="Z71" s="16"/>
      <c r="AA71" s="15"/>
      <c r="AB71" s="15"/>
    </row>
  </sheetData>
  <mergeCells count="22">
    <mergeCell ref="AC1:AC3"/>
    <mergeCell ref="P2:S2"/>
    <mergeCell ref="T2:AA2"/>
    <mergeCell ref="B3:AA3"/>
    <mergeCell ref="B4:B5"/>
    <mergeCell ref="AC4:AC5"/>
    <mergeCell ref="A1:A5"/>
    <mergeCell ref="B1:J2"/>
    <mergeCell ref="K1:O2"/>
    <mergeCell ref="P1:S1"/>
    <mergeCell ref="T1:AA1"/>
    <mergeCell ref="E4:E5"/>
    <mergeCell ref="F4:F5"/>
    <mergeCell ref="G4:G5"/>
    <mergeCell ref="H4:H5"/>
    <mergeCell ref="I4:U4"/>
    <mergeCell ref="V4:V5"/>
    <mergeCell ref="W4:W5"/>
    <mergeCell ref="X4:X5"/>
    <mergeCell ref="Y4:Y5"/>
    <mergeCell ref="Z4:Z5"/>
    <mergeCell ref="AA4:AA5"/>
  </mergeCells>
  <pageMargins left="0.7" right="0.7" top="0.75" bottom="0.75" header="0.3" footer="0.3"/>
  <pageSetup paperSize="9" scale="68" fitToHeight="0" orientation="landscape"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3" tint="0.39997558519241921"/>
    <pageSetUpPr fitToPage="1"/>
  </sheetPr>
  <dimension ref="A1:AF16"/>
  <sheetViews>
    <sheetView workbookViewId="0">
      <selection activeCell="D15" sqref="D15"/>
    </sheetView>
  </sheetViews>
  <sheetFormatPr defaultRowHeight="14.5"/>
  <cols>
    <col min="1" max="1" width="5.453125" customWidth="1"/>
    <col min="2" max="2" width="22.26953125" customWidth="1"/>
    <col min="3" max="3" width="12" customWidth="1"/>
    <col min="4" max="4" width="11.81640625" style="7" customWidth="1"/>
    <col min="5" max="5" width="4.7265625" customWidth="1"/>
    <col min="6" max="6" width="6.54296875" customWidth="1"/>
    <col min="7" max="22" width="4.7265625" customWidth="1"/>
    <col min="23" max="23" width="6.26953125" customWidth="1"/>
    <col min="24" max="25" width="4.7265625" customWidth="1"/>
    <col min="26" max="26" width="7.54296875" customWidth="1"/>
    <col min="27" max="27" width="10.1796875" customWidth="1"/>
    <col min="28" max="28" width="8.54296875" hidden="1" customWidth="1"/>
    <col min="29" max="29" width="10.81640625" hidden="1" customWidth="1"/>
    <col min="30" max="30" width="13.1796875" hidden="1" customWidth="1"/>
    <col min="31" max="32" width="9.1796875" hidden="1" customWidth="1"/>
  </cols>
  <sheetData>
    <row r="1" spans="1:31">
      <c r="A1" s="750" t="s">
        <v>1100</v>
      </c>
      <c r="B1" s="752" t="s">
        <v>1161</v>
      </c>
      <c r="C1" s="753"/>
      <c r="D1" s="753"/>
      <c r="E1" s="753"/>
      <c r="F1" s="753"/>
      <c r="G1" s="753"/>
      <c r="H1" s="753"/>
      <c r="I1" s="753"/>
      <c r="J1" s="753"/>
      <c r="K1" s="756" t="s">
        <v>1101</v>
      </c>
      <c r="L1" s="756"/>
      <c r="M1" s="756"/>
      <c r="N1" s="756"/>
      <c r="O1" s="757"/>
      <c r="P1" s="760">
        <v>43831</v>
      </c>
      <c r="Q1" s="760"/>
      <c r="R1" s="760"/>
      <c r="S1" s="760"/>
      <c r="T1" s="761" t="s">
        <v>1102</v>
      </c>
      <c r="U1" s="761"/>
      <c r="V1" s="761"/>
      <c r="W1" s="761"/>
      <c r="X1" s="761"/>
      <c r="Y1" s="761"/>
      <c r="Z1" s="761"/>
      <c r="AA1" s="761"/>
      <c r="AB1" s="220"/>
      <c r="AC1" s="777" t="s">
        <v>1103</v>
      </c>
      <c r="AD1" s="785"/>
    </row>
    <row r="2" spans="1:31" ht="15" customHeight="1">
      <c r="A2" s="750"/>
      <c r="B2" s="754"/>
      <c r="C2" s="755"/>
      <c r="D2" s="755"/>
      <c r="E2" s="755"/>
      <c r="F2" s="755"/>
      <c r="G2" s="755"/>
      <c r="H2" s="755"/>
      <c r="I2" s="755"/>
      <c r="J2" s="755"/>
      <c r="K2" s="758"/>
      <c r="L2" s="758"/>
      <c r="M2" s="758"/>
      <c r="N2" s="758"/>
      <c r="O2" s="759"/>
      <c r="P2" s="760">
        <v>43861</v>
      </c>
      <c r="Q2" s="760"/>
      <c r="R2" s="760"/>
      <c r="S2" s="760"/>
      <c r="T2" s="761">
        <v>184</v>
      </c>
      <c r="U2" s="761"/>
      <c r="V2" s="761"/>
      <c r="W2" s="761"/>
      <c r="X2" s="761"/>
      <c r="Y2" s="761"/>
      <c r="Z2" s="761"/>
      <c r="AA2" s="761"/>
      <c r="AB2" s="220"/>
      <c r="AC2" s="778"/>
      <c r="AD2" s="785"/>
      <c r="AE2">
        <v>152</v>
      </c>
    </row>
    <row r="3" spans="1:31">
      <c r="A3" s="750"/>
      <c r="B3" s="761" t="s">
        <v>1162</v>
      </c>
      <c r="C3" s="753"/>
      <c r="D3" s="753"/>
      <c r="E3" s="753"/>
      <c r="F3" s="753"/>
      <c r="G3" s="753"/>
      <c r="H3" s="753"/>
      <c r="I3" s="753"/>
      <c r="J3" s="753"/>
      <c r="K3" s="780"/>
      <c r="L3" s="780"/>
      <c r="M3" s="780"/>
      <c r="N3" s="780"/>
      <c r="O3" s="780"/>
      <c r="P3" s="780"/>
      <c r="Q3" s="780"/>
      <c r="R3" s="780"/>
      <c r="S3" s="780"/>
      <c r="T3" s="753"/>
      <c r="U3" s="753"/>
      <c r="V3" s="753"/>
      <c r="W3" s="753"/>
      <c r="X3" s="753"/>
      <c r="Y3" s="753"/>
      <c r="Z3" s="753"/>
      <c r="AA3" s="753"/>
      <c r="AB3" s="220"/>
      <c r="AC3" s="779"/>
      <c r="AD3" s="785"/>
    </row>
    <row r="4" spans="1:31" ht="15" customHeight="1">
      <c r="A4" s="750"/>
      <c r="B4" s="781" t="s">
        <v>971</v>
      </c>
      <c r="C4" s="108"/>
      <c r="D4" s="132"/>
      <c r="E4" s="762" t="s">
        <v>1104</v>
      </c>
      <c r="F4" s="764" t="s">
        <v>1105</v>
      </c>
      <c r="G4" s="764" t="s">
        <v>1106</v>
      </c>
      <c r="H4" s="764" t="s">
        <v>1107</v>
      </c>
      <c r="I4" s="765" t="s">
        <v>1108</v>
      </c>
      <c r="J4" s="765"/>
      <c r="K4" s="765"/>
      <c r="L4" s="765"/>
      <c r="M4" s="765"/>
      <c r="N4" s="765"/>
      <c r="O4" s="765"/>
      <c r="P4" s="765"/>
      <c r="Q4" s="765"/>
      <c r="R4" s="765"/>
      <c r="S4" s="765"/>
      <c r="T4" s="765"/>
      <c r="U4" s="765"/>
      <c r="V4" s="766" t="s">
        <v>1109</v>
      </c>
      <c r="W4" s="768" t="s">
        <v>1110</v>
      </c>
      <c r="X4" s="770" t="s">
        <v>1111</v>
      </c>
      <c r="Y4" s="772" t="s">
        <v>1112</v>
      </c>
      <c r="Z4" s="773" t="s">
        <v>1113</v>
      </c>
      <c r="AA4" s="775" t="s">
        <v>1114</v>
      </c>
      <c r="AB4" s="218"/>
      <c r="AC4" s="783" t="s">
        <v>1115</v>
      </c>
      <c r="AD4" s="786" t="s">
        <v>17</v>
      </c>
    </row>
    <row r="5" spans="1:31" ht="155.25" customHeight="1">
      <c r="A5" s="751"/>
      <c r="B5" s="782"/>
      <c r="C5" s="110" t="s">
        <v>37</v>
      </c>
      <c r="D5" s="133" t="s">
        <v>38</v>
      </c>
      <c r="E5" s="763"/>
      <c r="F5" s="762"/>
      <c r="G5" s="762"/>
      <c r="H5" s="762"/>
      <c r="I5" s="217" t="s">
        <v>1116</v>
      </c>
      <c r="J5" s="217" t="s">
        <v>1117</v>
      </c>
      <c r="K5" s="217" t="s">
        <v>1118</v>
      </c>
      <c r="L5" s="111" t="s">
        <v>1119</v>
      </c>
      <c r="M5" s="217" t="s">
        <v>1120</v>
      </c>
      <c r="N5" s="111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67"/>
      <c r="W5" s="769"/>
      <c r="X5" s="771"/>
      <c r="Y5" s="771"/>
      <c r="Z5" s="774"/>
      <c r="AA5" s="776"/>
      <c r="AB5" s="219"/>
      <c r="AC5" s="784"/>
      <c r="AD5" s="787"/>
      <c r="AE5" s="123" t="s">
        <v>1129</v>
      </c>
    </row>
    <row r="6" spans="1:31">
      <c r="A6" s="114" t="s">
        <v>1100</v>
      </c>
      <c r="B6" s="95" t="s">
        <v>1130</v>
      </c>
      <c r="C6" s="95" t="s">
        <v>1131</v>
      </c>
      <c r="D6" s="134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  <c r="AA6" s="95" t="s">
        <v>1155</v>
      </c>
      <c r="AB6" s="95" t="s">
        <v>1156</v>
      </c>
      <c r="AC6" s="95" t="s">
        <v>1157</v>
      </c>
      <c r="AD6" s="99" t="s">
        <v>1163</v>
      </c>
      <c r="AE6" s="122" t="s">
        <v>1158</v>
      </c>
    </row>
    <row r="7" spans="1:31">
      <c r="A7" s="192">
        <v>81</v>
      </c>
      <c r="B7" s="192" t="s">
        <v>251</v>
      </c>
      <c r="C7" s="193">
        <v>43101</v>
      </c>
      <c r="D7" s="187" t="s">
        <v>1098</v>
      </c>
      <c r="E7" s="100"/>
      <c r="F7" s="154">
        <f>$T$2-Table266[[#This Row],[23]]</f>
        <v>168</v>
      </c>
      <c r="G7" s="100"/>
      <c r="H7" s="189"/>
      <c r="I7" s="189"/>
      <c r="J7" s="189"/>
      <c r="K7" s="189"/>
      <c r="L7" s="189">
        <v>16</v>
      </c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01">
        <f>SUM(F7:V7)-L7</f>
        <v>168</v>
      </c>
      <c r="X7" s="102">
        <f>L7</f>
        <v>16</v>
      </c>
      <c r="Y7" s="154"/>
      <c r="Z7" s="101">
        <f>W7+X7+Y7</f>
        <v>184</v>
      </c>
      <c r="AA7" s="117"/>
      <c r="AB7" s="125">
        <v>3439.8</v>
      </c>
      <c r="AC7" s="103">
        <v>10097.59</v>
      </c>
      <c r="AD7" s="109">
        <v>6000</v>
      </c>
      <c r="AE7" s="15"/>
    </row>
    <row r="8" spans="1:31">
      <c r="A8" s="187"/>
      <c r="B8" s="187"/>
      <c r="C8" s="188"/>
      <c r="D8" s="188"/>
      <c r="E8" s="105"/>
      <c r="F8" s="154"/>
      <c r="G8" s="105"/>
      <c r="H8" s="105"/>
      <c r="I8" s="105"/>
      <c r="J8" s="105"/>
      <c r="K8" s="189"/>
      <c r="L8" s="189"/>
      <c r="M8" s="105"/>
      <c r="N8" s="189"/>
      <c r="O8" s="105"/>
      <c r="P8" s="105"/>
      <c r="Q8" s="105"/>
      <c r="R8" s="105"/>
      <c r="S8" s="105"/>
      <c r="T8" s="105"/>
      <c r="U8" s="105"/>
      <c r="V8" s="105"/>
      <c r="W8" s="101"/>
      <c r="X8" s="102"/>
      <c r="Y8" s="105"/>
      <c r="Z8" s="101"/>
      <c r="AA8" s="107"/>
      <c r="AB8" s="125"/>
      <c r="AC8" s="107"/>
      <c r="AD8" s="109"/>
      <c r="AE8" s="15"/>
    </row>
    <row r="9" spans="1:31">
      <c r="A9" s="187"/>
      <c r="B9" s="187"/>
      <c r="C9" s="188"/>
      <c r="D9" s="188"/>
      <c r="E9" s="105"/>
      <c r="F9" s="154"/>
      <c r="G9" s="105"/>
      <c r="H9" s="105"/>
      <c r="I9" s="105"/>
      <c r="J9" s="105"/>
      <c r="K9" s="189"/>
      <c r="L9" s="189"/>
      <c r="M9" s="105"/>
      <c r="N9" s="189"/>
      <c r="O9" s="105"/>
      <c r="P9" s="105"/>
      <c r="Q9" s="105"/>
      <c r="R9" s="105"/>
      <c r="S9" s="105"/>
      <c r="T9" s="105"/>
      <c r="U9" s="105"/>
      <c r="V9" s="105"/>
      <c r="W9" s="101"/>
      <c r="X9" s="102"/>
      <c r="Y9" s="105"/>
      <c r="Z9" s="101"/>
      <c r="AA9" s="107"/>
      <c r="AB9" s="125"/>
      <c r="AC9" s="107"/>
      <c r="AD9" s="109"/>
      <c r="AE9" s="15"/>
    </row>
    <row r="10" spans="1:31">
      <c r="A10" s="187"/>
      <c r="B10" s="187"/>
      <c r="C10" s="188"/>
      <c r="D10" s="188"/>
      <c r="E10" s="105"/>
      <c r="F10" s="154"/>
      <c r="G10" s="105"/>
      <c r="H10" s="105"/>
      <c r="I10" s="105"/>
      <c r="J10" s="105"/>
      <c r="K10" s="189"/>
      <c r="L10" s="189"/>
      <c r="M10" s="105"/>
      <c r="N10" s="189"/>
      <c r="O10" s="105"/>
      <c r="P10" s="105"/>
      <c r="Q10" s="105"/>
      <c r="R10" s="105"/>
      <c r="S10" s="105"/>
      <c r="T10" s="105"/>
      <c r="U10" s="105"/>
      <c r="V10" s="105"/>
      <c r="W10" s="101"/>
      <c r="X10" s="102"/>
      <c r="Y10" s="105"/>
      <c r="Z10" s="101"/>
      <c r="AA10" s="107"/>
      <c r="AB10" s="125"/>
      <c r="AC10" s="107"/>
      <c r="AD10" s="109"/>
      <c r="AE10" s="15"/>
    </row>
    <row r="11" spans="1:31">
      <c r="A11" s="187"/>
      <c r="B11" s="187"/>
      <c r="C11" s="188"/>
      <c r="D11" s="188"/>
      <c r="E11" s="105"/>
      <c r="F11" s="154"/>
      <c r="G11" s="105"/>
      <c r="H11" s="105"/>
      <c r="I11" s="105"/>
      <c r="J11" s="105"/>
      <c r="K11" s="189"/>
      <c r="L11" s="189"/>
      <c r="M11" s="105"/>
      <c r="N11" s="189"/>
      <c r="O11" s="105"/>
      <c r="P11" s="105"/>
      <c r="Q11" s="105"/>
      <c r="R11" s="105"/>
      <c r="S11" s="105"/>
      <c r="T11" s="105"/>
      <c r="U11" s="105"/>
      <c r="V11" s="105"/>
      <c r="W11" s="101"/>
      <c r="X11" s="102"/>
      <c r="Y11" s="105"/>
      <c r="Z11" s="101"/>
      <c r="AA11" s="107"/>
      <c r="AB11" s="125"/>
      <c r="AC11" s="107"/>
      <c r="AD11" s="109"/>
      <c r="AE11" s="15"/>
    </row>
    <row r="12" spans="1:31">
      <c r="A12" s="115"/>
      <c r="B12" s="115"/>
      <c r="C12" s="115"/>
      <c r="D12" s="135" t="s">
        <v>1159</v>
      </c>
      <c r="E12" s="115"/>
      <c r="F12" s="115">
        <f>SUBTOTAL(109,F7:F11)</f>
        <v>168</v>
      </c>
      <c r="G12" s="115"/>
      <c r="H12" s="115"/>
      <c r="I12" s="115"/>
      <c r="J12" s="115"/>
      <c r="K12" s="115">
        <f>SUBTOTAL(109,K7:K11)</f>
        <v>0</v>
      </c>
      <c r="L12" s="115">
        <f>SUBTOTAL(109,L7:L11)</f>
        <v>16</v>
      </c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>
        <f>SUBTOTAL(109,W7:W11)</f>
        <v>168</v>
      </c>
      <c r="X12" s="115">
        <f>SUBTOTAL(109,X7:X11)</f>
        <v>16</v>
      </c>
      <c r="Y12" s="115">
        <f>SUBTOTAL(109,Y7:Y11)</f>
        <v>0</v>
      </c>
      <c r="Z12" s="115">
        <f>SUBTOTAL(109,Z7:Z11)</f>
        <v>184</v>
      </c>
      <c r="AA12" s="118">
        <f>SUBTOTAL(109,AA7:AA11)</f>
        <v>0</v>
      </c>
      <c r="AB12" s="118"/>
      <c r="AC12" s="118">
        <f>SUBTOTAL(109,AC7:AC11)</f>
        <v>10097.59</v>
      </c>
      <c r="AD12" s="118">
        <f>SUBTOTAL(109,AD7:AD11)</f>
        <v>6000</v>
      </c>
    </row>
    <row r="13" spans="1:31">
      <c r="AA13" s="16" t="s">
        <v>1160</v>
      </c>
      <c r="AB13" s="16"/>
    </row>
    <row r="16" spans="1:31">
      <c r="Z16" s="16"/>
      <c r="AA16" s="15"/>
      <c r="AB16" s="15"/>
    </row>
  </sheetData>
  <mergeCells count="24">
    <mergeCell ref="A1:A5"/>
    <mergeCell ref="B1:J2"/>
    <mergeCell ref="K1:O2"/>
    <mergeCell ref="P1:S1"/>
    <mergeCell ref="T1:AA1"/>
    <mergeCell ref="P2:S2"/>
    <mergeCell ref="T2:AA2"/>
    <mergeCell ref="W4:W5"/>
    <mergeCell ref="B4:B5"/>
    <mergeCell ref="E4:E5"/>
    <mergeCell ref="F4:F5"/>
    <mergeCell ref="G4:G5"/>
    <mergeCell ref="H4:H5"/>
    <mergeCell ref="I4:U4"/>
    <mergeCell ref="Y4:Y5"/>
    <mergeCell ref="Z4:Z5"/>
    <mergeCell ref="X4:X5"/>
    <mergeCell ref="V4:V5"/>
    <mergeCell ref="B3:AA3"/>
    <mergeCell ref="AC1:AC3"/>
    <mergeCell ref="AD1:AD3"/>
    <mergeCell ref="AA4:AA5"/>
    <mergeCell ref="AC4:AC5"/>
    <mergeCell ref="AD4:AD5"/>
  </mergeCells>
  <phoneticPr fontId="53" type="noConversion"/>
  <pageMargins left="0.7" right="0.7" top="0.75" bottom="0.75" header="0.3" footer="0.3"/>
  <pageSetup paperSize="9" scale="76" fitToHeight="0" orientation="landscape"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3" tint="0.39997558519241921"/>
    <pageSetUpPr fitToPage="1"/>
  </sheetPr>
  <dimension ref="A1:AD16"/>
  <sheetViews>
    <sheetView workbookViewId="0">
      <selection activeCell="Q18" sqref="Q18"/>
    </sheetView>
  </sheetViews>
  <sheetFormatPr defaultRowHeight="14.5"/>
  <cols>
    <col min="1" max="1" width="5.453125" customWidth="1"/>
    <col min="2" max="2" width="22.26953125" customWidth="1"/>
    <col min="3" max="3" width="12" customWidth="1"/>
    <col min="4" max="4" width="11.81640625" style="7" customWidth="1"/>
    <col min="5" max="5" width="4.7265625" customWidth="1"/>
    <col min="6" max="6" width="6.54296875" customWidth="1"/>
    <col min="7" max="22" width="4.7265625" customWidth="1"/>
    <col min="23" max="23" width="6.26953125" customWidth="1"/>
    <col min="24" max="25" width="4.7265625" customWidth="1"/>
    <col min="26" max="26" width="7.54296875" customWidth="1"/>
    <col min="27" max="27" width="10.1796875" bestFit="1" customWidth="1"/>
    <col min="28" max="28" width="8.54296875" customWidth="1"/>
    <col min="29" max="29" width="10.81640625" hidden="1" customWidth="1"/>
    <col min="30" max="30" width="9.1796875" hidden="1" customWidth="1"/>
  </cols>
  <sheetData>
    <row r="1" spans="1:30">
      <c r="A1" s="750" t="s">
        <v>1100</v>
      </c>
      <c r="B1" s="752" t="s">
        <v>1164</v>
      </c>
      <c r="C1" s="753"/>
      <c r="D1" s="753"/>
      <c r="E1" s="753"/>
      <c r="F1" s="753"/>
      <c r="G1" s="753"/>
      <c r="H1" s="753"/>
      <c r="I1" s="753"/>
      <c r="J1" s="753"/>
      <c r="K1" s="756" t="s">
        <v>1101</v>
      </c>
      <c r="L1" s="756"/>
      <c r="M1" s="756"/>
      <c r="N1" s="756"/>
      <c r="O1" s="757"/>
      <c r="P1" s="760">
        <v>43831</v>
      </c>
      <c r="Q1" s="760"/>
      <c r="R1" s="760"/>
      <c r="S1" s="760"/>
      <c r="T1" s="761" t="s">
        <v>1102</v>
      </c>
      <c r="U1" s="761"/>
      <c r="V1" s="761"/>
      <c r="W1" s="761"/>
      <c r="X1" s="761"/>
      <c r="Y1" s="761"/>
      <c r="Z1" s="761"/>
      <c r="AA1" s="761"/>
      <c r="AB1" s="220"/>
      <c r="AC1" s="777" t="s">
        <v>1103</v>
      </c>
    </row>
    <row r="2" spans="1:30" ht="15" customHeight="1">
      <c r="A2" s="750"/>
      <c r="B2" s="754"/>
      <c r="C2" s="755"/>
      <c r="D2" s="755"/>
      <c r="E2" s="755"/>
      <c r="F2" s="755"/>
      <c r="G2" s="755"/>
      <c r="H2" s="755"/>
      <c r="I2" s="755"/>
      <c r="J2" s="755"/>
      <c r="K2" s="758"/>
      <c r="L2" s="758"/>
      <c r="M2" s="758"/>
      <c r="N2" s="758"/>
      <c r="O2" s="759"/>
      <c r="P2" s="760">
        <v>43861</v>
      </c>
      <c r="Q2" s="760"/>
      <c r="R2" s="760"/>
      <c r="S2" s="760"/>
      <c r="T2" s="761">
        <v>184</v>
      </c>
      <c r="U2" s="761"/>
      <c r="V2" s="761"/>
      <c r="W2" s="761"/>
      <c r="X2" s="761"/>
      <c r="Y2" s="761"/>
      <c r="Z2" s="761"/>
      <c r="AA2" s="761"/>
      <c r="AB2" s="220"/>
      <c r="AC2" s="778"/>
    </row>
    <row r="3" spans="1:30">
      <c r="A3" s="750"/>
      <c r="B3" s="761" t="s">
        <v>1162</v>
      </c>
      <c r="C3" s="753"/>
      <c r="D3" s="753"/>
      <c r="E3" s="753"/>
      <c r="F3" s="753"/>
      <c r="G3" s="753"/>
      <c r="H3" s="753"/>
      <c r="I3" s="753"/>
      <c r="J3" s="753"/>
      <c r="K3" s="780"/>
      <c r="L3" s="780"/>
      <c r="M3" s="780"/>
      <c r="N3" s="780"/>
      <c r="O3" s="780"/>
      <c r="P3" s="780"/>
      <c r="Q3" s="780"/>
      <c r="R3" s="780"/>
      <c r="S3" s="780"/>
      <c r="T3" s="753"/>
      <c r="U3" s="753"/>
      <c r="V3" s="753"/>
      <c r="W3" s="753"/>
      <c r="X3" s="753"/>
      <c r="Y3" s="753"/>
      <c r="Z3" s="753"/>
      <c r="AA3" s="753"/>
      <c r="AB3" s="220"/>
      <c r="AC3" s="779"/>
    </row>
    <row r="4" spans="1:30" ht="15" customHeight="1">
      <c r="A4" s="750"/>
      <c r="B4" s="781" t="s">
        <v>971</v>
      </c>
      <c r="C4" s="108"/>
      <c r="D4" s="132"/>
      <c r="E4" s="762" t="s">
        <v>1104</v>
      </c>
      <c r="F4" s="764" t="s">
        <v>1105</v>
      </c>
      <c r="G4" s="764" t="s">
        <v>1106</v>
      </c>
      <c r="H4" s="764" t="s">
        <v>1107</v>
      </c>
      <c r="I4" s="765" t="s">
        <v>1108</v>
      </c>
      <c r="J4" s="765"/>
      <c r="K4" s="765"/>
      <c r="L4" s="765"/>
      <c r="M4" s="765"/>
      <c r="N4" s="765"/>
      <c r="O4" s="765"/>
      <c r="P4" s="765"/>
      <c r="Q4" s="765"/>
      <c r="R4" s="765"/>
      <c r="S4" s="765"/>
      <c r="T4" s="765"/>
      <c r="U4" s="765"/>
      <c r="V4" s="766" t="s">
        <v>1109</v>
      </c>
      <c r="W4" s="768" t="s">
        <v>1110</v>
      </c>
      <c r="X4" s="770" t="s">
        <v>1111</v>
      </c>
      <c r="Y4" s="772" t="s">
        <v>1112</v>
      </c>
      <c r="Z4" s="773" t="s">
        <v>1113</v>
      </c>
      <c r="AA4" s="775" t="s">
        <v>1114</v>
      </c>
      <c r="AB4" s="218"/>
      <c r="AC4" s="783" t="s">
        <v>1115</v>
      </c>
    </row>
    <row r="5" spans="1:30" ht="155.25" customHeight="1">
      <c r="A5" s="751"/>
      <c r="B5" s="782"/>
      <c r="C5" s="110" t="s">
        <v>37</v>
      </c>
      <c r="D5" s="133" t="s">
        <v>38</v>
      </c>
      <c r="E5" s="763"/>
      <c r="F5" s="762"/>
      <c r="G5" s="762"/>
      <c r="H5" s="762"/>
      <c r="I5" s="217" t="s">
        <v>1116</v>
      </c>
      <c r="J5" s="217" t="s">
        <v>1117</v>
      </c>
      <c r="K5" s="217" t="s">
        <v>1118</v>
      </c>
      <c r="L5" s="111" t="s">
        <v>1119</v>
      </c>
      <c r="M5" s="217" t="s">
        <v>1120</v>
      </c>
      <c r="N5" s="111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67"/>
      <c r="W5" s="769"/>
      <c r="X5" s="771"/>
      <c r="Y5" s="771"/>
      <c r="Z5" s="774"/>
      <c r="AA5" s="776"/>
      <c r="AB5" s="219"/>
      <c r="AC5" s="784"/>
      <c r="AD5" s="123" t="s">
        <v>1129</v>
      </c>
    </row>
    <row r="6" spans="1:30">
      <c r="A6" s="114" t="s">
        <v>1100</v>
      </c>
      <c r="B6" s="95" t="s">
        <v>1130</v>
      </c>
      <c r="C6" s="95" t="s">
        <v>1131</v>
      </c>
      <c r="D6" s="134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  <c r="AA6" s="95" t="s">
        <v>1155</v>
      </c>
      <c r="AB6" s="95" t="s">
        <v>1156</v>
      </c>
      <c r="AC6" s="95" t="s">
        <v>1157</v>
      </c>
      <c r="AD6" s="122" t="s">
        <v>1158</v>
      </c>
    </row>
    <row r="7" spans="1:30">
      <c r="A7" s="187">
        <v>104</v>
      </c>
      <c r="B7" s="187" t="s">
        <v>408</v>
      </c>
      <c r="C7" s="188">
        <v>43346</v>
      </c>
      <c r="D7" s="187" t="s">
        <v>1098</v>
      </c>
      <c r="E7" s="100"/>
      <c r="F7" s="154">
        <v>0</v>
      </c>
      <c r="G7" s="100"/>
      <c r="H7" s="189"/>
      <c r="I7" s="189"/>
      <c r="J7" s="189"/>
      <c r="K7" s="189"/>
      <c r="L7" s="189">
        <v>0</v>
      </c>
      <c r="M7" s="189"/>
      <c r="N7" s="189">
        <f>T2</f>
        <v>184</v>
      </c>
      <c r="O7" s="189"/>
      <c r="P7" s="189"/>
      <c r="Q7" s="189"/>
      <c r="R7" s="189"/>
      <c r="S7" s="189"/>
      <c r="T7" s="189"/>
      <c r="U7" s="189"/>
      <c r="V7" s="189"/>
      <c r="W7" s="101">
        <f>SUM(F7:V7)-L7</f>
        <v>184</v>
      </c>
      <c r="X7" s="102">
        <f>L7</f>
        <v>0</v>
      </c>
      <c r="Y7" s="154"/>
      <c r="Z7" s="101">
        <f>W7+X7+Y7</f>
        <v>184</v>
      </c>
      <c r="AA7" s="117"/>
      <c r="AB7" s="125">
        <v>0</v>
      </c>
      <c r="AC7" s="107">
        <v>3750</v>
      </c>
      <c r="AD7" s="15"/>
    </row>
    <row r="8" spans="1:30">
      <c r="A8" s="187"/>
      <c r="B8" s="187"/>
      <c r="C8" s="188"/>
      <c r="D8" s="106"/>
      <c r="E8" s="105"/>
      <c r="F8" s="154"/>
      <c r="G8" s="105"/>
      <c r="H8" s="105"/>
      <c r="I8" s="105"/>
      <c r="J8" s="105"/>
      <c r="K8" s="189"/>
      <c r="L8" s="189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1"/>
      <c r="X8" s="102"/>
      <c r="Y8" s="105"/>
      <c r="Z8" s="101"/>
      <c r="AA8" s="107"/>
      <c r="AB8" s="125"/>
      <c r="AC8" s="107"/>
      <c r="AD8" s="15"/>
    </row>
    <row r="9" spans="1:30">
      <c r="A9" s="187"/>
      <c r="B9" s="187"/>
      <c r="C9" s="188"/>
      <c r="D9" s="106"/>
      <c r="E9" s="105"/>
      <c r="F9" s="154"/>
      <c r="G9" s="105"/>
      <c r="H9" s="105"/>
      <c r="I9" s="105"/>
      <c r="J9" s="105"/>
      <c r="K9" s="189"/>
      <c r="L9" s="189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1"/>
      <c r="X9" s="102"/>
      <c r="Y9" s="105"/>
      <c r="Z9" s="101"/>
      <c r="AA9" s="107"/>
      <c r="AB9" s="125"/>
      <c r="AC9" s="107"/>
      <c r="AD9" s="15"/>
    </row>
    <row r="10" spans="1:30">
      <c r="A10" s="187"/>
      <c r="B10" s="187"/>
      <c r="C10" s="188"/>
      <c r="D10" s="106"/>
      <c r="E10" s="105"/>
      <c r="F10" s="154"/>
      <c r="G10" s="105"/>
      <c r="H10" s="105"/>
      <c r="I10" s="105"/>
      <c r="J10" s="105"/>
      <c r="K10" s="189"/>
      <c r="L10" s="189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1"/>
      <c r="X10" s="102"/>
      <c r="Y10" s="105"/>
      <c r="Z10" s="101"/>
      <c r="AA10" s="107"/>
      <c r="AB10" s="125"/>
      <c r="AC10" s="107"/>
      <c r="AD10" s="15"/>
    </row>
    <row r="11" spans="1:30">
      <c r="A11" s="187"/>
      <c r="B11" s="187"/>
      <c r="C11" s="188"/>
      <c r="D11" s="106"/>
      <c r="E11" s="105"/>
      <c r="F11" s="154"/>
      <c r="G11" s="105"/>
      <c r="H11" s="105"/>
      <c r="I11" s="105"/>
      <c r="J11" s="105"/>
      <c r="K11" s="189"/>
      <c r="L11" s="189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1"/>
      <c r="X11" s="102"/>
      <c r="Y11" s="105"/>
      <c r="Z11" s="101"/>
      <c r="AA11" s="107"/>
      <c r="AB11" s="125"/>
      <c r="AC11" s="107"/>
      <c r="AD11" s="15"/>
    </row>
    <row r="12" spans="1:30">
      <c r="A12" s="115"/>
      <c r="B12" s="115"/>
      <c r="C12" s="115"/>
      <c r="D12" s="135" t="s">
        <v>1159</v>
      </c>
      <c r="E12" s="115"/>
      <c r="F12" s="115">
        <f>SUBTOTAL(109,F7:F11)</f>
        <v>0</v>
      </c>
      <c r="G12" s="115"/>
      <c r="H12" s="115"/>
      <c r="I12" s="115"/>
      <c r="J12" s="115"/>
      <c r="K12" s="115">
        <f>SUBTOTAL(109,K7:K11)</f>
        <v>0</v>
      </c>
      <c r="L12" s="115">
        <f>SUBTOTAL(109,L7:L11)</f>
        <v>0</v>
      </c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>
        <f>SUBTOTAL(109,W7:W11)</f>
        <v>184</v>
      </c>
      <c r="X12" s="115">
        <f>SUBTOTAL(109,X7:X11)</f>
        <v>0</v>
      </c>
      <c r="Y12" s="115">
        <f>SUBTOTAL(109,Y7:Y11)</f>
        <v>0</v>
      </c>
      <c r="Z12" s="115">
        <f>SUBTOTAL(109,Z7:Z11)</f>
        <v>184</v>
      </c>
      <c r="AA12" s="118">
        <f>SUBTOTAL(109,AA7:AA11)</f>
        <v>0</v>
      </c>
      <c r="AB12" s="118"/>
      <c r="AC12" s="118">
        <f>SUBTOTAL(109,AC7:AC11)</f>
        <v>3750</v>
      </c>
    </row>
    <row r="13" spans="1:30">
      <c r="AA13" s="16" t="s">
        <v>1160</v>
      </c>
      <c r="AB13" s="16"/>
    </row>
    <row r="16" spans="1:30">
      <c r="Z16" s="16"/>
      <c r="AA16" s="15"/>
      <c r="AB16" s="15"/>
    </row>
  </sheetData>
  <mergeCells count="22">
    <mergeCell ref="A1:A5"/>
    <mergeCell ref="B1:J2"/>
    <mergeCell ref="K1:O2"/>
    <mergeCell ref="P1:S1"/>
    <mergeCell ref="B4:B5"/>
    <mergeCell ref="H4:H5"/>
    <mergeCell ref="I4:U4"/>
    <mergeCell ref="P2:S2"/>
    <mergeCell ref="T1:AA1"/>
    <mergeCell ref="Z4:Z5"/>
    <mergeCell ref="AC1:AC3"/>
    <mergeCell ref="F4:F5"/>
    <mergeCell ref="G4:G5"/>
    <mergeCell ref="Y4:Y5"/>
    <mergeCell ref="W4:W5"/>
    <mergeCell ref="AA4:AA5"/>
    <mergeCell ref="V4:V5"/>
    <mergeCell ref="T2:AA2"/>
    <mergeCell ref="B3:AA3"/>
    <mergeCell ref="AC4:AC5"/>
    <mergeCell ref="X4:X5"/>
    <mergeCell ref="E4:E5"/>
  </mergeCells>
  <phoneticPr fontId="54" type="noConversion"/>
  <pageMargins left="0.7" right="0.7" top="0.75" bottom="0.75" header="0.3" footer="0.3"/>
  <pageSetup paperSize="9" scale="72" fitToHeight="0" orientation="landscape"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3" tint="0.39997558519241921"/>
    <pageSetUpPr fitToPage="1"/>
  </sheetPr>
  <dimension ref="A1:AC17"/>
  <sheetViews>
    <sheetView workbookViewId="0">
      <selection activeCell="B3" sqref="B3:AA3"/>
    </sheetView>
  </sheetViews>
  <sheetFormatPr defaultRowHeight="14.5"/>
  <cols>
    <col min="1" max="1" width="5.453125" customWidth="1"/>
    <col min="2" max="2" width="22.26953125" customWidth="1"/>
    <col min="3" max="3" width="12" customWidth="1"/>
    <col min="4" max="4" width="11.81640625" customWidth="1"/>
    <col min="5" max="5" width="4.7265625" customWidth="1"/>
    <col min="6" max="6" width="6.54296875" customWidth="1"/>
    <col min="7" max="22" width="4.7265625" customWidth="1"/>
    <col min="23" max="23" width="6.26953125" customWidth="1"/>
    <col min="24" max="25" width="4.7265625" customWidth="1"/>
    <col min="26" max="26" width="7.54296875" customWidth="1"/>
    <col min="27" max="27" width="9.1796875" customWidth="1"/>
    <col min="28" max="28" width="10.1796875" customWidth="1"/>
    <col min="29" max="29" width="13.1796875" customWidth="1"/>
  </cols>
  <sheetData>
    <row r="1" spans="1:29">
      <c r="A1" s="750" t="s">
        <v>1100</v>
      </c>
      <c r="B1" s="752" t="s">
        <v>1165</v>
      </c>
      <c r="C1" s="753"/>
      <c r="D1" s="753"/>
      <c r="E1" s="753"/>
      <c r="F1" s="753"/>
      <c r="G1" s="753"/>
      <c r="H1" s="753"/>
      <c r="I1" s="753"/>
      <c r="J1" s="753"/>
      <c r="K1" s="756" t="s">
        <v>1101</v>
      </c>
      <c r="L1" s="756"/>
      <c r="M1" s="756"/>
      <c r="N1" s="756"/>
      <c r="O1" s="757"/>
      <c r="P1" s="760" t="s">
        <v>1166</v>
      </c>
      <c r="Q1" s="760"/>
      <c r="R1" s="760"/>
      <c r="S1" s="760"/>
      <c r="T1" s="761" t="s">
        <v>1102</v>
      </c>
      <c r="U1" s="761"/>
      <c r="V1" s="761"/>
      <c r="W1" s="761"/>
      <c r="X1" s="761"/>
      <c r="Y1" s="761"/>
      <c r="Z1" s="761"/>
      <c r="AA1" s="761"/>
      <c r="AB1" s="789" t="s">
        <v>1103</v>
      </c>
      <c r="AC1" s="785"/>
    </row>
    <row r="2" spans="1:29" ht="15" customHeight="1">
      <c r="A2" s="750"/>
      <c r="B2" s="754"/>
      <c r="C2" s="755"/>
      <c r="D2" s="755"/>
      <c r="E2" s="755"/>
      <c r="F2" s="755"/>
      <c r="G2" s="755"/>
      <c r="H2" s="755"/>
      <c r="I2" s="755"/>
      <c r="J2" s="755"/>
      <c r="K2" s="758"/>
      <c r="L2" s="758"/>
      <c r="M2" s="758"/>
      <c r="N2" s="758"/>
      <c r="O2" s="759"/>
      <c r="P2" s="760" t="s">
        <v>1167</v>
      </c>
      <c r="Q2" s="760"/>
      <c r="R2" s="760"/>
      <c r="S2" s="760"/>
      <c r="T2" s="761">
        <v>160</v>
      </c>
      <c r="U2" s="761"/>
      <c r="V2" s="761"/>
      <c r="W2" s="761"/>
      <c r="X2" s="761"/>
      <c r="Y2" s="761"/>
      <c r="Z2" s="761"/>
      <c r="AA2" s="761"/>
      <c r="AB2" s="790"/>
      <c r="AC2" s="785"/>
    </row>
    <row r="3" spans="1:29">
      <c r="A3" s="750"/>
      <c r="B3" s="788" t="s">
        <v>1168</v>
      </c>
      <c r="C3" s="753"/>
      <c r="D3" s="753"/>
      <c r="E3" s="753"/>
      <c r="F3" s="753"/>
      <c r="G3" s="753"/>
      <c r="H3" s="753"/>
      <c r="I3" s="753"/>
      <c r="J3" s="753"/>
      <c r="K3" s="780"/>
      <c r="L3" s="780"/>
      <c r="M3" s="780"/>
      <c r="N3" s="780"/>
      <c r="O3" s="780"/>
      <c r="P3" s="780"/>
      <c r="Q3" s="780"/>
      <c r="R3" s="780"/>
      <c r="S3" s="780"/>
      <c r="T3" s="753"/>
      <c r="U3" s="753"/>
      <c r="V3" s="753"/>
      <c r="W3" s="753"/>
      <c r="X3" s="753"/>
      <c r="Y3" s="753"/>
      <c r="Z3" s="753"/>
      <c r="AA3" s="753"/>
      <c r="AB3" s="791"/>
      <c r="AC3" s="785"/>
    </row>
    <row r="4" spans="1:29" ht="15" customHeight="1">
      <c r="A4" s="750"/>
      <c r="B4" s="781" t="s">
        <v>971</v>
      </c>
      <c r="C4" s="108"/>
      <c r="D4" s="108"/>
      <c r="E4" s="762" t="s">
        <v>1104</v>
      </c>
      <c r="F4" s="764" t="s">
        <v>1105</v>
      </c>
      <c r="G4" s="764" t="s">
        <v>1106</v>
      </c>
      <c r="H4" s="764" t="s">
        <v>1107</v>
      </c>
      <c r="I4" s="765" t="s">
        <v>1108</v>
      </c>
      <c r="J4" s="765"/>
      <c r="K4" s="765"/>
      <c r="L4" s="765"/>
      <c r="M4" s="765"/>
      <c r="N4" s="765"/>
      <c r="O4" s="765"/>
      <c r="P4" s="765"/>
      <c r="Q4" s="765"/>
      <c r="R4" s="765"/>
      <c r="S4" s="765"/>
      <c r="T4" s="765"/>
      <c r="U4" s="765"/>
      <c r="V4" s="766" t="s">
        <v>1109</v>
      </c>
      <c r="W4" s="768" t="s">
        <v>1110</v>
      </c>
      <c r="X4" s="770" t="s">
        <v>1111</v>
      </c>
      <c r="Y4" s="772" t="s">
        <v>1112</v>
      </c>
      <c r="Z4" s="773" t="s">
        <v>1113</v>
      </c>
      <c r="AA4" s="775" t="s">
        <v>1169</v>
      </c>
      <c r="AB4" s="783" t="s">
        <v>1115</v>
      </c>
      <c r="AC4" s="786" t="s">
        <v>17</v>
      </c>
    </row>
    <row r="5" spans="1:29" ht="155.25" customHeight="1">
      <c r="A5" s="751"/>
      <c r="B5" s="782"/>
      <c r="C5" s="110" t="s">
        <v>37</v>
      </c>
      <c r="D5" s="110" t="s">
        <v>38</v>
      </c>
      <c r="E5" s="763"/>
      <c r="F5" s="762"/>
      <c r="G5" s="762"/>
      <c r="H5" s="762"/>
      <c r="I5" s="217" t="s">
        <v>1116</v>
      </c>
      <c r="J5" s="217" t="s">
        <v>1117</v>
      </c>
      <c r="K5" s="217" t="s">
        <v>1118</v>
      </c>
      <c r="L5" s="111" t="s">
        <v>1119</v>
      </c>
      <c r="M5" s="217" t="s">
        <v>1120</v>
      </c>
      <c r="N5" s="111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67"/>
      <c r="W5" s="769"/>
      <c r="X5" s="771"/>
      <c r="Y5" s="771"/>
      <c r="Z5" s="774"/>
      <c r="AA5" s="776"/>
      <c r="AB5" s="784"/>
      <c r="AC5" s="787"/>
    </row>
    <row r="6" spans="1:29">
      <c r="A6" s="114" t="s">
        <v>1100</v>
      </c>
      <c r="B6" s="95" t="s">
        <v>1130</v>
      </c>
      <c r="C6" s="95" t="s">
        <v>1131</v>
      </c>
      <c r="D6" s="95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  <c r="AA6" s="95" t="s">
        <v>1155</v>
      </c>
      <c r="AB6" s="95" t="s">
        <v>1157</v>
      </c>
      <c r="AC6" s="99" t="s">
        <v>1163</v>
      </c>
    </row>
    <row r="7" spans="1:29">
      <c r="A7" s="187">
        <v>3</v>
      </c>
      <c r="B7" s="187" t="s">
        <v>98</v>
      </c>
      <c r="C7" s="188">
        <v>42762</v>
      </c>
      <c r="D7" s="187" t="s">
        <v>1098</v>
      </c>
      <c r="E7" s="100"/>
      <c r="F7" s="154"/>
      <c r="G7" s="100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01">
        <v>160</v>
      </c>
      <c r="X7" s="102"/>
      <c r="Y7" s="154"/>
      <c r="Z7" s="101">
        <f t="shared" ref="Z7:Z12" si="0">W7+X7+Y7</f>
        <v>160</v>
      </c>
      <c r="AA7" s="107"/>
      <c r="AB7" s="103">
        <v>5089.67</v>
      </c>
      <c r="AC7" s="109">
        <f t="shared" ref="AC7:AC12" si="1">AB7/$T$2*Z7</f>
        <v>5089.67</v>
      </c>
    </row>
    <row r="8" spans="1:29">
      <c r="A8" s="187">
        <v>7</v>
      </c>
      <c r="B8" s="187" t="s">
        <v>95</v>
      </c>
      <c r="C8" s="188">
        <v>42948</v>
      </c>
      <c r="D8" s="187" t="s">
        <v>1098</v>
      </c>
      <c r="E8" s="105"/>
      <c r="F8" s="154"/>
      <c r="G8" s="105"/>
      <c r="H8" s="105"/>
      <c r="I8" s="105"/>
      <c r="J8" s="105"/>
      <c r="K8" s="189"/>
      <c r="L8" s="189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1">
        <v>160</v>
      </c>
      <c r="X8" s="102"/>
      <c r="Y8" s="105"/>
      <c r="Z8" s="101">
        <f t="shared" si="0"/>
        <v>160</v>
      </c>
      <c r="AA8" s="107"/>
      <c r="AB8" s="103">
        <v>5098.7700000000004</v>
      </c>
      <c r="AC8" s="109">
        <f t="shared" si="1"/>
        <v>5098.7700000000004</v>
      </c>
    </row>
    <row r="9" spans="1:29">
      <c r="A9" s="187">
        <v>8</v>
      </c>
      <c r="B9" s="187" t="s">
        <v>91</v>
      </c>
      <c r="C9" s="188">
        <v>42900</v>
      </c>
      <c r="D9" s="187" t="s">
        <v>1098</v>
      </c>
      <c r="E9" s="105"/>
      <c r="F9" s="154"/>
      <c r="G9" s="105"/>
      <c r="H9" s="105"/>
      <c r="I9" s="105"/>
      <c r="J9" s="105"/>
      <c r="K9" s="189"/>
      <c r="L9" s="189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1">
        <v>160</v>
      </c>
      <c r="X9" s="102"/>
      <c r="Y9" s="105"/>
      <c r="Z9" s="101">
        <f t="shared" si="0"/>
        <v>160</v>
      </c>
      <c r="AA9" s="107"/>
      <c r="AB9" s="103">
        <v>10161.98</v>
      </c>
      <c r="AC9" s="109">
        <f t="shared" si="1"/>
        <v>10161.98</v>
      </c>
    </row>
    <row r="10" spans="1:29">
      <c r="A10" s="187">
        <v>11</v>
      </c>
      <c r="B10" s="187" t="s">
        <v>342</v>
      </c>
      <c r="C10" s="188">
        <v>43435</v>
      </c>
      <c r="D10" s="187" t="s">
        <v>1098</v>
      </c>
      <c r="E10" s="105"/>
      <c r="F10" s="154"/>
      <c r="G10" s="105"/>
      <c r="H10" s="105"/>
      <c r="I10" s="105"/>
      <c r="J10" s="105"/>
      <c r="K10" s="189"/>
      <c r="L10" s="189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1">
        <v>160</v>
      </c>
      <c r="X10" s="102"/>
      <c r="Y10" s="105"/>
      <c r="Z10" s="101">
        <f t="shared" si="0"/>
        <v>160</v>
      </c>
      <c r="AA10" s="113">
        <v>275</v>
      </c>
      <c r="AB10" s="103">
        <v>7665.75</v>
      </c>
      <c r="AC10" s="109">
        <f t="shared" si="1"/>
        <v>7665.75</v>
      </c>
    </row>
    <row r="11" spans="1:29">
      <c r="A11" s="187">
        <v>13</v>
      </c>
      <c r="B11" s="187" t="s">
        <v>399</v>
      </c>
      <c r="C11" s="188">
        <v>43435</v>
      </c>
      <c r="D11" s="187" t="s">
        <v>1098</v>
      </c>
      <c r="E11" s="119"/>
      <c r="F11" s="154"/>
      <c r="G11" s="119"/>
      <c r="H11" s="119"/>
      <c r="I11" s="119"/>
      <c r="J11" s="119"/>
      <c r="K11" s="190"/>
      <c r="L11" s="18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01">
        <v>160</v>
      </c>
      <c r="X11" s="102"/>
      <c r="Y11" s="119"/>
      <c r="Z11" s="101">
        <f t="shared" si="0"/>
        <v>160</v>
      </c>
      <c r="AA11" s="113"/>
      <c r="AB11" s="103">
        <v>6250</v>
      </c>
      <c r="AC11" s="109">
        <f t="shared" si="1"/>
        <v>6250</v>
      </c>
    </row>
    <row r="12" spans="1:29">
      <c r="A12" s="187">
        <v>15</v>
      </c>
      <c r="B12" s="187" t="s">
        <v>514</v>
      </c>
      <c r="C12" s="188">
        <v>43586</v>
      </c>
      <c r="D12" s="188" t="s">
        <v>1098</v>
      </c>
      <c r="E12" s="105"/>
      <c r="F12" s="154"/>
      <c r="G12" s="105"/>
      <c r="H12" s="105"/>
      <c r="I12" s="105"/>
      <c r="J12" s="105"/>
      <c r="K12" s="189"/>
      <c r="L12" s="189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1">
        <v>160</v>
      </c>
      <c r="X12" s="102"/>
      <c r="Y12" s="105"/>
      <c r="Z12" s="101">
        <f t="shared" si="0"/>
        <v>160</v>
      </c>
      <c r="AA12" s="107"/>
      <c r="AB12" s="103">
        <v>3750</v>
      </c>
      <c r="AC12" s="109">
        <f t="shared" si="1"/>
        <v>3750</v>
      </c>
    </row>
    <row r="13" spans="1:29">
      <c r="A13" s="187">
        <v>24</v>
      </c>
      <c r="B13" s="187" t="s">
        <v>629</v>
      </c>
      <c r="C13" s="188">
        <v>43739</v>
      </c>
      <c r="D13" s="188" t="s">
        <v>1098</v>
      </c>
      <c r="E13" s="119"/>
      <c r="F13" s="174"/>
      <c r="G13" s="119"/>
      <c r="H13" s="119"/>
      <c r="I13" s="119"/>
      <c r="J13" s="119"/>
      <c r="K13" s="190"/>
      <c r="L13" s="18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01">
        <v>160</v>
      </c>
      <c r="X13" s="102"/>
      <c r="Y13" s="119"/>
      <c r="Z13" s="175">
        <f>W13+X13+Y13</f>
        <v>160</v>
      </c>
      <c r="AA13" s="113"/>
      <c r="AB13" s="103">
        <v>3750</v>
      </c>
      <c r="AC13" s="176">
        <f>AB13/$T$2*Z13</f>
        <v>3750</v>
      </c>
    </row>
    <row r="14" spans="1:29">
      <c r="A14" s="187">
        <v>25</v>
      </c>
      <c r="B14" s="187" t="s">
        <v>684</v>
      </c>
      <c r="C14" s="188">
        <v>43747</v>
      </c>
      <c r="D14" s="105" t="s">
        <v>1098</v>
      </c>
      <c r="E14" s="105"/>
      <c r="F14" s="174"/>
      <c r="G14" s="105"/>
      <c r="H14" s="105"/>
      <c r="I14" s="105"/>
      <c r="J14" s="105"/>
      <c r="K14" s="189"/>
      <c r="L14" s="189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1">
        <v>160</v>
      </c>
      <c r="X14" s="102"/>
      <c r="Y14" s="119"/>
      <c r="Z14" s="175">
        <f>W14+X14+Y14</f>
        <v>160</v>
      </c>
      <c r="AA14" s="107">
        <v>300</v>
      </c>
      <c r="AB14" s="107">
        <v>3750</v>
      </c>
      <c r="AC14" s="176">
        <f>AB14/$T$2*Z14</f>
        <v>3750</v>
      </c>
    </row>
    <row r="15" spans="1:29">
      <c r="A15" s="105"/>
      <c r="B15" s="105"/>
      <c r="C15" s="106"/>
      <c r="D15" s="105"/>
      <c r="E15" s="105"/>
      <c r="F15" s="172"/>
      <c r="G15" s="105"/>
      <c r="H15" s="105"/>
      <c r="I15" s="105"/>
      <c r="J15" s="105"/>
      <c r="K15" s="189"/>
      <c r="L15" s="140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73"/>
      <c r="X15" s="142"/>
      <c r="Y15" s="105"/>
      <c r="Z15" s="141"/>
      <c r="AA15" s="107"/>
      <c r="AB15" s="107"/>
      <c r="AC15" s="177"/>
    </row>
    <row r="16" spans="1:29">
      <c r="A16" s="115"/>
      <c r="B16" s="115"/>
      <c r="C16" s="115"/>
      <c r="D16" s="116" t="s">
        <v>1159</v>
      </c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>
        <f>SUBTOTAL(109,W7:W15)</f>
        <v>1280</v>
      </c>
      <c r="X16" s="115"/>
      <c r="Y16" s="115">
        <f>SUBTOTAL(109,Y7:Y15)</f>
        <v>0</v>
      </c>
      <c r="Z16" s="115">
        <f>SUBTOTAL(109,Z7:Z15)</f>
        <v>1280</v>
      </c>
      <c r="AA16" s="118">
        <f>SUBTOTAL(109,AA7:AA15)</f>
        <v>575</v>
      </c>
      <c r="AB16" s="118">
        <f>SUM(AB7:AB15)</f>
        <v>45516.17</v>
      </c>
      <c r="AC16" s="115"/>
    </row>
    <row r="17" spans="28:28">
      <c r="AB17" s="15"/>
    </row>
  </sheetData>
  <mergeCells count="24">
    <mergeCell ref="A1:A5"/>
    <mergeCell ref="B1:J2"/>
    <mergeCell ref="K1:O2"/>
    <mergeCell ref="P1:S1"/>
    <mergeCell ref="F4:F5"/>
    <mergeCell ref="G4:G5"/>
    <mergeCell ref="H4:H5"/>
    <mergeCell ref="I4:U4"/>
    <mergeCell ref="T1:AA1"/>
    <mergeCell ref="Z4:Z5"/>
    <mergeCell ref="AA4:AA5"/>
    <mergeCell ref="AC4:AC5"/>
    <mergeCell ref="AC1:AC3"/>
    <mergeCell ref="P2:S2"/>
    <mergeCell ref="T2:AA2"/>
    <mergeCell ref="B3:AA3"/>
    <mergeCell ref="B4:B5"/>
    <mergeCell ref="E4:E5"/>
    <mergeCell ref="AB1:AB3"/>
    <mergeCell ref="V4:V5"/>
    <mergeCell ref="W4:W5"/>
    <mergeCell ref="AB4:AB5"/>
    <mergeCell ref="X4:X5"/>
    <mergeCell ref="Y4:Y5"/>
  </mergeCells>
  <phoneticPr fontId="53" type="noConversion"/>
  <pageMargins left="0.7" right="0.7" top="0.75" bottom="0.75" header="0.3" footer="0.3"/>
  <pageSetup paperSize="9" scale="67" orientation="landscape"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3" tint="0.39997558519241921"/>
    <pageSetUpPr fitToPage="1"/>
  </sheetPr>
  <dimension ref="A1:AC15"/>
  <sheetViews>
    <sheetView workbookViewId="0">
      <selection activeCell="M16" sqref="M16:M17"/>
    </sheetView>
  </sheetViews>
  <sheetFormatPr defaultRowHeight="14.5"/>
  <cols>
    <col min="1" max="1" width="5.453125" customWidth="1"/>
    <col min="2" max="2" width="22.26953125" customWidth="1"/>
    <col min="3" max="3" width="12" customWidth="1"/>
    <col min="4" max="4" width="11.81640625" customWidth="1"/>
    <col min="5" max="5" width="4.7265625" customWidth="1"/>
    <col min="6" max="6" width="6.54296875" customWidth="1"/>
    <col min="7" max="22" width="4.7265625" customWidth="1"/>
    <col min="23" max="23" width="6.26953125" customWidth="1"/>
    <col min="24" max="25" width="4.7265625" customWidth="1"/>
    <col min="26" max="26" width="7.54296875" customWidth="1"/>
    <col min="27" max="27" width="9.1796875" customWidth="1"/>
    <col min="28" max="28" width="10.1796875" customWidth="1"/>
    <col min="29" max="29" width="13.1796875" customWidth="1"/>
  </cols>
  <sheetData>
    <row r="1" spans="1:29">
      <c r="A1" s="750" t="s">
        <v>1100</v>
      </c>
      <c r="B1" s="752" t="s">
        <v>1170</v>
      </c>
      <c r="C1" s="753"/>
      <c r="D1" s="753"/>
      <c r="E1" s="753"/>
      <c r="F1" s="753"/>
      <c r="G1" s="753"/>
      <c r="H1" s="753"/>
      <c r="I1" s="753"/>
      <c r="J1" s="753"/>
      <c r="K1" s="756" t="s">
        <v>1101</v>
      </c>
      <c r="L1" s="756"/>
      <c r="M1" s="756"/>
      <c r="N1" s="756"/>
      <c r="O1" s="757"/>
      <c r="P1" s="760">
        <v>43497</v>
      </c>
      <c r="Q1" s="760"/>
      <c r="R1" s="760"/>
      <c r="S1" s="760"/>
      <c r="T1" s="761" t="s">
        <v>1102</v>
      </c>
      <c r="U1" s="761"/>
      <c r="V1" s="761"/>
      <c r="W1" s="761"/>
      <c r="X1" s="761"/>
      <c r="Y1" s="761"/>
      <c r="Z1" s="761"/>
      <c r="AA1" s="761"/>
      <c r="AB1" s="789" t="s">
        <v>1103</v>
      </c>
      <c r="AC1" s="785"/>
    </row>
    <row r="2" spans="1:29" ht="15" customHeight="1">
      <c r="A2" s="750"/>
      <c r="B2" s="754"/>
      <c r="C2" s="755"/>
      <c r="D2" s="755"/>
      <c r="E2" s="755"/>
      <c r="F2" s="755"/>
      <c r="G2" s="755"/>
      <c r="H2" s="755"/>
      <c r="I2" s="755"/>
      <c r="J2" s="755"/>
      <c r="K2" s="758"/>
      <c r="L2" s="758"/>
      <c r="M2" s="758"/>
      <c r="N2" s="758"/>
      <c r="O2" s="759"/>
      <c r="P2" s="760">
        <v>43524</v>
      </c>
      <c r="Q2" s="760"/>
      <c r="R2" s="760"/>
      <c r="S2" s="760"/>
      <c r="T2" s="761">
        <v>160</v>
      </c>
      <c r="U2" s="761"/>
      <c r="V2" s="761"/>
      <c r="W2" s="761"/>
      <c r="X2" s="761"/>
      <c r="Y2" s="761"/>
      <c r="Z2" s="761"/>
      <c r="AA2" s="761"/>
      <c r="AB2" s="790"/>
      <c r="AC2" s="785"/>
    </row>
    <row r="3" spans="1:29">
      <c r="A3" s="750"/>
      <c r="B3" s="788" t="s">
        <v>1168</v>
      </c>
      <c r="C3" s="753"/>
      <c r="D3" s="753"/>
      <c r="E3" s="753"/>
      <c r="F3" s="753"/>
      <c r="G3" s="753"/>
      <c r="H3" s="753"/>
      <c r="I3" s="753"/>
      <c r="J3" s="753"/>
      <c r="K3" s="780"/>
      <c r="L3" s="780"/>
      <c r="M3" s="780"/>
      <c r="N3" s="780"/>
      <c r="O3" s="780"/>
      <c r="P3" s="780"/>
      <c r="Q3" s="780"/>
      <c r="R3" s="780"/>
      <c r="S3" s="780"/>
      <c r="T3" s="753"/>
      <c r="U3" s="753"/>
      <c r="V3" s="753"/>
      <c r="W3" s="753"/>
      <c r="X3" s="753"/>
      <c r="Y3" s="753"/>
      <c r="Z3" s="753"/>
      <c r="AA3" s="753"/>
      <c r="AB3" s="791"/>
      <c r="AC3" s="785"/>
    </row>
    <row r="4" spans="1:29" ht="15" customHeight="1">
      <c r="A4" s="750"/>
      <c r="B4" s="781" t="s">
        <v>971</v>
      </c>
      <c r="C4" s="108"/>
      <c r="D4" s="108"/>
      <c r="E4" s="762" t="s">
        <v>1104</v>
      </c>
      <c r="F4" s="764" t="s">
        <v>1105</v>
      </c>
      <c r="G4" s="764" t="s">
        <v>1106</v>
      </c>
      <c r="H4" s="764" t="s">
        <v>1107</v>
      </c>
      <c r="I4" s="765" t="s">
        <v>1108</v>
      </c>
      <c r="J4" s="765"/>
      <c r="K4" s="765"/>
      <c r="L4" s="765"/>
      <c r="M4" s="765"/>
      <c r="N4" s="765"/>
      <c r="O4" s="765"/>
      <c r="P4" s="765"/>
      <c r="Q4" s="765"/>
      <c r="R4" s="765"/>
      <c r="S4" s="765"/>
      <c r="T4" s="765"/>
      <c r="U4" s="765"/>
      <c r="V4" s="766" t="s">
        <v>1109</v>
      </c>
      <c r="W4" s="768" t="s">
        <v>1110</v>
      </c>
      <c r="X4" s="770" t="s">
        <v>1111</v>
      </c>
      <c r="Y4" s="772" t="s">
        <v>1112</v>
      </c>
      <c r="Z4" s="773" t="s">
        <v>1113</v>
      </c>
      <c r="AA4" s="775" t="s">
        <v>1169</v>
      </c>
      <c r="AB4" s="783" t="s">
        <v>1115</v>
      </c>
      <c r="AC4" s="786" t="s">
        <v>17</v>
      </c>
    </row>
    <row r="5" spans="1:29" ht="155.25" customHeight="1">
      <c r="A5" s="751"/>
      <c r="B5" s="782"/>
      <c r="C5" s="110" t="s">
        <v>37</v>
      </c>
      <c r="D5" s="110" t="s">
        <v>38</v>
      </c>
      <c r="E5" s="763"/>
      <c r="F5" s="762"/>
      <c r="G5" s="762"/>
      <c r="H5" s="762"/>
      <c r="I5" s="217" t="s">
        <v>1116</v>
      </c>
      <c r="J5" s="217" t="s">
        <v>1117</v>
      </c>
      <c r="K5" s="217" t="s">
        <v>1118</v>
      </c>
      <c r="L5" s="111" t="s">
        <v>1119</v>
      </c>
      <c r="M5" s="217" t="s">
        <v>1120</v>
      </c>
      <c r="N5" s="111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67"/>
      <c r="W5" s="769"/>
      <c r="X5" s="771"/>
      <c r="Y5" s="771"/>
      <c r="Z5" s="774"/>
      <c r="AA5" s="776"/>
      <c r="AB5" s="784"/>
      <c r="AC5" s="787"/>
    </row>
    <row r="6" spans="1:29">
      <c r="A6" s="114" t="s">
        <v>1100</v>
      </c>
      <c r="B6" s="95" t="s">
        <v>1130</v>
      </c>
      <c r="C6" s="95" t="s">
        <v>1131</v>
      </c>
      <c r="D6" s="95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  <c r="AA6" s="95" t="s">
        <v>1155</v>
      </c>
      <c r="AB6" s="95" t="s">
        <v>1157</v>
      </c>
      <c r="AC6" s="99" t="s">
        <v>1163</v>
      </c>
    </row>
    <row r="7" spans="1:29">
      <c r="A7" s="187">
        <v>1</v>
      </c>
      <c r="B7" s="187" t="s">
        <v>496</v>
      </c>
      <c r="C7" s="188">
        <v>43472</v>
      </c>
      <c r="D7" s="187" t="s">
        <v>1098</v>
      </c>
      <c r="E7" s="100"/>
      <c r="F7" s="154">
        <f>$T$2-L7-K7</f>
        <v>160</v>
      </c>
      <c r="G7" s="100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01">
        <f>SUM(F7:V7)-L7</f>
        <v>160</v>
      </c>
      <c r="X7" s="102">
        <f>L7</f>
        <v>0</v>
      </c>
      <c r="Y7" s="154"/>
      <c r="Z7" s="101">
        <f>W7+X7+Y7</f>
        <v>160</v>
      </c>
      <c r="AA7" s="107"/>
      <c r="AB7" s="103">
        <v>5700</v>
      </c>
      <c r="AC7" s="109">
        <f>AB7/$T$2*Z7</f>
        <v>5700</v>
      </c>
    </row>
    <row r="8" spans="1:29">
      <c r="A8" s="187">
        <v>2</v>
      </c>
      <c r="B8" s="187" t="s">
        <v>497</v>
      </c>
      <c r="C8" s="188">
        <v>43472</v>
      </c>
      <c r="D8" s="187" t="s">
        <v>1098</v>
      </c>
      <c r="E8" s="105"/>
      <c r="F8" s="154">
        <f>$T$2-L8-K8</f>
        <v>160</v>
      </c>
      <c r="G8" s="105"/>
      <c r="H8" s="105"/>
      <c r="I8" s="105"/>
      <c r="J8" s="105"/>
      <c r="K8" s="189"/>
      <c r="L8" s="189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1">
        <f>SUM(F8:V8)-L8</f>
        <v>160</v>
      </c>
      <c r="X8" s="102">
        <f>L8</f>
        <v>0</v>
      </c>
      <c r="Y8" s="105"/>
      <c r="Z8" s="101">
        <f>W8+X8+Y8</f>
        <v>160</v>
      </c>
      <c r="AA8" s="107"/>
      <c r="AB8" s="103">
        <v>4875</v>
      </c>
      <c r="AC8" s="109">
        <f>AB8/$T$2*Z8</f>
        <v>4875</v>
      </c>
    </row>
    <row r="9" spans="1:29">
      <c r="A9" s="187">
        <v>3</v>
      </c>
      <c r="B9" s="187" t="s">
        <v>498</v>
      </c>
      <c r="C9" s="188">
        <v>43472</v>
      </c>
      <c r="D9" s="187" t="s">
        <v>1098</v>
      </c>
      <c r="E9" s="105"/>
      <c r="F9" s="154">
        <f>$T$2-L9-K9</f>
        <v>160</v>
      </c>
      <c r="G9" s="105"/>
      <c r="H9" s="105"/>
      <c r="I9" s="105"/>
      <c r="J9" s="105"/>
      <c r="K9" s="189"/>
      <c r="L9" s="189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1">
        <f>SUM(F9:V9)-L9</f>
        <v>160</v>
      </c>
      <c r="X9" s="102">
        <f>L9</f>
        <v>0</v>
      </c>
      <c r="Y9" s="105"/>
      <c r="Z9" s="101">
        <f>W9+X9+Y9</f>
        <v>160</v>
      </c>
      <c r="AA9" s="107"/>
      <c r="AB9" s="103">
        <v>4875</v>
      </c>
      <c r="AC9" s="109">
        <f>AB9/$T$2*Z9</f>
        <v>4875</v>
      </c>
    </row>
    <row r="10" spans="1:29">
      <c r="A10" s="187"/>
      <c r="B10" s="187"/>
      <c r="C10" s="188"/>
      <c r="D10" s="187"/>
      <c r="E10" s="105"/>
      <c r="F10" s="154"/>
      <c r="G10" s="105"/>
      <c r="H10" s="105"/>
      <c r="I10" s="105"/>
      <c r="J10" s="105"/>
      <c r="K10" s="189"/>
      <c r="L10" s="189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1"/>
      <c r="X10" s="102"/>
      <c r="Y10" s="105"/>
      <c r="Z10" s="101"/>
      <c r="AA10" s="113"/>
      <c r="AB10" s="103"/>
      <c r="AC10" s="109"/>
    </row>
    <row r="11" spans="1:29">
      <c r="A11" s="187"/>
      <c r="B11" s="187"/>
      <c r="C11" s="188"/>
      <c r="D11" s="187"/>
      <c r="E11" s="119"/>
      <c r="F11" s="154"/>
      <c r="G11" s="119"/>
      <c r="H11" s="119"/>
      <c r="I11" s="119"/>
      <c r="J11" s="119"/>
      <c r="K11" s="190"/>
      <c r="L11" s="18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01"/>
      <c r="X11" s="102"/>
      <c r="Y11" s="119"/>
      <c r="Z11" s="101"/>
      <c r="AA11" s="113"/>
      <c r="AB11" s="103"/>
      <c r="AC11" s="109"/>
    </row>
    <row r="12" spans="1:29">
      <c r="A12" s="187"/>
      <c r="B12" s="187"/>
      <c r="C12" s="188"/>
      <c r="D12" s="187"/>
      <c r="E12" s="105"/>
      <c r="F12" s="154"/>
      <c r="G12" s="105"/>
      <c r="H12" s="105"/>
      <c r="I12" s="105"/>
      <c r="J12" s="105"/>
      <c r="K12" s="189"/>
      <c r="L12" s="189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1"/>
      <c r="X12" s="102"/>
      <c r="Y12" s="105"/>
      <c r="Z12" s="101"/>
      <c r="AA12" s="107"/>
      <c r="AB12" s="103"/>
      <c r="AC12" s="109"/>
    </row>
    <row r="13" spans="1:29">
      <c r="A13" s="187"/>
      <c r="B13" s="187"/>
      <c r="C13" s="188"/>
      <c r="D13" s="188"/>
      <c r="E13" s="119"/>
      <c r="F13" s="154"/>
      <c r="G13" s="119"/>
      <c r="H13" s="119"/>
      <c r="I13" s="119"/>
      <c r="J13" s="119"/>
      <c r="K13" s="139"/>
      <c r="L13" s="140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41"/>
      <c r="X13" s="142"/>
      <c r="Y13" s="119"/>
      <c r="Z13" s="141"/>
      <c r="AA13" s="113"/>
      <c r="AB13" s="103"/>
      <c r="AC13" s="109"/>
    </row>
    <row r="14" spans="1:29">
      <c r="A14" s="115"/>
      <c r="B14" s="115"/>
      <c r="C14" s="115"/>
      <c r="D14" s="116" t="s">
        <v>1159</v>
      </c>
      <c r="E14" s="115"/>
      <c r="F14" s="115">
        <f>SUBTOTAL(109,F7:F13)</f>
        <v>480</v>
      </c>
      <c r="G14" s="115"/>
      <c r="H14" s="115"/>
      <c r="I14" s="115"/>
      <c r="J14" s="115"/>
      <c r="K14" s="115">
        <f>SUBTOTAL(109,K7:K13)</f>
        <v>0</v>
      </c>
      <c r="L14" s="115">
        <f>SUBTOTAL(109,L7:L13)</f>
        <v>0</v>
      </c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>
        <f>SUBTOTAL(109,W7:W13)</f>
        <v>480</v>
      </c>
      <c r="X14" s="115">
        <f>SUBTOTAL(109,X7:X13)</f>
        <v>0</v>
      </c>
      <c r="Y14" s="115">
        <f>SUBTOTAL(109,Y7:Y13)</f>
        <v>0</v>
      </c>
      <c r="Z14" s="115">
        <f>SUBTOTAL(109,Z7:Z13)</f>
        <v>480</v>
      </c>
      <c r="AA14" s="118">
        <f>SUBTOTAL(109,AA7:AA13)</f>
        <v>0</v>
      </c>
      <c r="AB14" s="118">
        <f>SUM(AB7:AB13)</f>
        <v>15450</v>
      </c>
      <c r="AC14" s="115"/>
    </row>
    <row r="15" spans="1:29">
      <c r="AB15" s="15"/>
    </row>
  </sheetData>
  <mergeCells count="24">
    <mergeCell ref="A1:A5"/>
    <mergeCell ref="B1:J2"/>
    <mergeCell ref="K1:O2"/>
    <mergeCell ref="P1:S1"/>
    <mergeCell ref="T1:AA1"/>
    <mergeCell ref="V4:V5"/>
    <mergeCell ref="W4:W5"/>
    <mergeCell ref="X4:X5"/>
    <mergeCell ref="Y4:Y5"/>
    <mergeCell ref="P2:S2"/>
    <mergeCell ref="T2:AA2"/>
    <mergeCell ref="B3:AA3"/>
    <mergeCell ref="B4:B5"/>
    <mergeCell ref="E4:E5"/>
    <mergeCell ref="F4:F5"/>
    <mergeCell ref="G4:G5"/>
    <mergeCell ref="AC4:AC5"/>
    <mergeCell ref="AC1:AC3"/>
    <mergeCell ref="AB1:AB3"/>
    <mergeCell ref="H4:H5"/>
    <mergeCell ref="I4:U4"/>
    <mergeCell ref="Z4:Z5"/>
    <mergeCell ref="AA4:AA5"/>
    <mergeCell ref="AB4:AB5"/>
  </mergeCells>
  <pageMargins left="0.7" right="0.7" top="0.75" bottom="0.75" header="0.3" footer="0.3"/>
  <pageSetup paperSize="9" scale="67" orientation="landscape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3" tint="0.39997558519241921"/>
    <pageSetUpPr fitToPage="1"/>
  </sheetPr>
  <dimension ref="A1:AD24"/>
  <sheetViews>
    <sheetView workbookViewId="0">
      <selection activeCell="AD12" sqref="AD12"/>
    </sheetView>
  </sheetViews>
  <sheetFormatPr defaultRowHeight="14.5"/>
  <cols>
    <col min="1" max="1" width="5.453125" customWidth="1"/>
    <col min="2" max="2" width="22.26953125" customWidth="1"/>
    <col min="3" max="3" width="12" customWidth="1"/>
    <col min="4" max="4" width="11.81640625" customWidth="1"/>
    <col min="5" max="5" width="4.7265625" customWidth="1"/>
    <col min="6" max="6" width="8.26953125" customWidth="1"/>
    <col min="7" max="22" width="4.7265625" customWidth="1"/>
    <col min="23" max="23" width="6.26953125" customWidth="1"/>
    <col min="24" max="25" width="4.7265625" customWidth="1"/>
    <col min="26" max="26" width="7.54296875" customWidth="1"/>
    <col min="27" max="27" width="15.1796875" customWidth="1"/>
    <col min="28" max="28" width="10.81640625" customWidth="1"/>
    <col min="29" max="29" width="13.1796875" customWidth="1"/>
    <col min="30" max="30" width="9.1796875" customWidth="1"/>
  </cols>
  <sheetData>
    <row r="1" spans="1:30">
      <c r="A1" s="750" t="s">
        <v>1100</v>
      </c>
      <c r="B1" s="752" t="s">
        <v>1173</v>
      </c>
      <c r="C1" s="753"/>
      <c r="D1" s="753"/>
      <c r="E1" s="753"/>
      <c r="F1" s="753"/>
      <c r="G1" s="753"/>
      <c r="H1" s="753"/>
      <c r="I1" s="753"/>
      <c r="J1" s="753"/>
      <c r="K1" s="756" t="s">
        <v>1101</v>
      </c>
      <c r="L1" s="756"/>
      <c r="M1" s="756"/>
      <c r="N1" s="756"/>
      <c r="O1" s="757"/>
      <c r="P1" s="760">
        <v>43709</v>
      </c>
      <c r="Q1" s="760"/>
      <c r="R1" s="760"/>
      <c r="S1" s="760"/>
      <c r="T1" s="761" t="s">
        <v>1102</v>
      </c>
      <c r="U1" s="761"/>
      <c r="V1" s="761"/>
      <c r="W1" s="761"/>
      <c r="X1" s="761"/>
      <c r="Y1" s="761"/>
      <c r="Z1" s="761"/>
      <c r="AA1" s="761"/>
      <c r="AB1" s="777" t="s">
        <v>1103</v>
      </c>
      <c r="AC1" s="785"/>
    </row>
    <row r="2" spans="1:30" ht="15" customHeight="1">
      <c r="A2" s="750"/>
      <c r="B2" s="754"/>
      <c r="C2" s="755"/>
      <c r="D2" s="755"/>
      <c r="E2" s="755"/>
      <c r="F2" s="755"/>
      <c r="G2" s="755"/>
      <c r="H2" s="755"/>
      <c r="I2" s="755"/>
      <c r="J2" s="755"/>
      <c r="K2" s="758"/>
      <c r="L2" s="758"/>
      <c r="M2" s="758"/>
      <c r="N2" s="758"/>
      <c r="O2" s="759"/>
      <c r="P2" s="760">
        <v>43738</v>
      </c>
      <c r="Q2" s="760"/>
      <c r="R2" s="760"/>
      <c r="S2" s="760"/>
      <c r="T2" s="761">
        <v>168</v>
      </c>
      <c r="U2" s="761"/>
      <c r="V2" s="761"/>
      <c r="W2" s="761"/>
      <c r="X2" s="761"/>
      <c r="Y2" s="761"/>
      <c r="Z2" s="761"/>
      <c r="AA2" s="761"/>
      <c r="AB2" s="778"/>
      <c r="AC2" s="785"/>
    </row>
    <row r="3" spans="1:30">
      <c r="A3" s="750"/>
      <c r="B3" s="761" t="s">
        <v>1162</v>
      </c>
      <c r="C3" s="753"/>
      <c r="D3" s="753"/>
      <c r="E3" s="753"/>
      <c r="F3" s="753"/>
      <c r="G3" s="753"/>
      <c r="H3" s="753"/>
      <c r="I3" s="753"/>
      <c r="J3" s="753"/>
      <c r="K3" s="780"/>
      <c r="L3" s="780"/>
      <c r="M3" s="780"/>
      <c r="N3" s="780"/>
      <c r="O3" s="780"/>
      <c r="P3" s="780"/>
      <c r="Q3" s="780"/>
      <c r="R3" s="780"/>
      <c r="S3" s="780"/>
      <c r="T3" s="753"/>
      <c r="U3" s="753"/>
      <c r="V3" s="753"/>
      <c r="W3" s="753"/>
      <c r="X3" s="753"/>
      <c r="Y3" s="753"/>
      <c r="Z3" s="753"/>
      <c r="AA3" s="753"/>
      <c r="AB3" s="779"/>
      <c r="AC3" s="785"/>
    </row>
    <row r="4" spans="1:30" ht="15" customHeight="1">
      <c r="A4" s="750"/>
      <c r="B4" s="781" t="s">
        <v>971</v>
      </c>
      <c r="C4" s="108"/>
      <c r="D4" s="108"/>
      <c r="E4" s="762" t="s">
        <v>1104</v>
      </c>
      <c r="F4" s="794" t="s">
        <v>1171</v>
      </c>
      <c r="G4" s="764" t="s">
        <v>1174</v>
      </c>
      <c r="H4" s="764" t="s">
        <v>1175</v>
      </c>
      <c r="I4" s="795" t="s">
        <v>1176</v>
      </c>
      <c r="J4" s="797" t="s">
        <v>1177</v>
      </c>
      <c r="K4" s="792" t="s">
        <v>1178</v>
      </c>
      <c r="L4" s="143"/>
      <c r="M4" s="143"/>
      <c r="N4" s="143"/>
      <c r="O4" s="143"/>
      <c r="P4" s="143"/>
      <c r="Q4" s="143"/>
      <c r="R4" s="143"/>
      <c r="S4" s="143"/>
      <c r="T4" s="143"/>
      <c r="U4" s="144"/>
      <c r="V4" s="766" t="s">
        <v>1109</v>
      </c>
      <c r="W4" s="768" t="s">
        <v>1110</v>
      </c>
      <c r="X4" s="770" t="s">
        <v>1111</v>
      </c>
      <c r="Y4" s="772" t="s">
        <v>1112</v>
      </c>
      <c r="Z4" s="773" t="s">
        <v>1113</v>
      </c>
      <c r="AA4" s="775" t="s">
        <v>1179</v>
      </c>
      <c r="AB4" s="783" t="s">
        <v>1115</v>
      </c>
      <c r="AC4" s="786" t="s">
        <v>17</v>
      </c>
    </row>
    <row r="5" spans="1:30" ht="155.25" customHeight="1">
      <c r="A5" s="751"/>
      <c r="B5" s="782"/>
      <c r="C5" s="110" t="s">
        <v>37</v>
      </c>
      <c r="D5" s="110" t="s">
        <v>38</v>
      </c>
      <c r="E5" s="763"/>
      <c r="F5" s="762"/>
      <c r="G5" s="762"/>
      <c r="H5" s="762"/>
      <c r="I5" s="796"/>
      <c r="J5" s="793"/>
      <c r="K5" s="793"/>
      <c r="L5" s="111" t="s">
        <v>1119</v>
      </c>
      <c r="M5" s="217" t="s">
        <v>1120</v>
      </c>
      <c r="N5" s="111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67"/>
      <c r="W5" s="769"/>
      <c r="X5" s="771"/>
      <c r="Y5" s="771"/>
      <c r="Z5" s="774"/>
      <c r="AA5" s="776"/>
      <c r="AB5" s="784"/>
      <c r="AC5" s="787"/>
      <c r="AD5" s="123" t="s">
        <v>1172</v>
      </c>
    </row>
    <row r="6" spans="1:30">
      <c r="A6" s="114" t="s">
        <v>1100</v>
      </c>
      <c r="B6" s="95" t="s">
        <v>1130</v>
      </c>
      <c r="C6" s="95" t="s">
        <v>1131</v>
      </c>
      <c r="D6" s="95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  <c r="AA6" s="95" t="s">
        <v>1155</v>
      </c>
      <c r="AB6" s="95" t="s">
        <v>1157</v>
      </c>
      <c r="AC6" s="99" t="s">
        <v>1163</v>
      </c>
      <c r="AD6" s="122" t="s">
        <v>1158</v>
      </c>
    </row>
    <row r="7" spans="1:30">
      <c r="A7" s="105">
        <v>3</v>
      </c>
      <c r="B7" s="105" t="s">
        <v>377</v>
      </c>
      <c r="C7" s="106">
        <v>41458</v>
      </c>
      <c r="D7" s="105" t="s">
        <v>1098</v>
      </c>
      <c r="E7" s="100"/>
      <c r="F7" s="154">
        <f>$T$2/(40/AD7)-L7</f>
        <v>168</v>
      </c>
      <c r="G7" s="145"/>
      <c r="H7" s="146"/>
      <c r="I7" s="146"/>
      <c r="J7" s="146"/>
      <c r="K7" s="146"/>
      <c r="L7" s="189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01">
        <f>Table2664533[[#This Row],[5]]</f>
        <v>168</v>
      </c>
      <c r="X7" s="102">
        <f>Table2664533[[#This Row],[11]]</f>
        <v>0</v>
      </c>
      <c r="Y7" s="154"/>
      <c r="Z7" s="101">
        <f>W7+X7+Y7</f>
        <v>168</v>
      </c>
      <c r="AA7" s="117"/>
      <c r="AB7" s="103">
        <v>5491.2</v>
      </c>
      <c r="AC7" s="104">
        <f>AB7/$T$2*Z7</f>
        <v>5491.2</v>
      </c>
      <c r="AD7">
        <v>40</v>
      </c>
    </row>
    <row r="8" spans="1:30">
      <c r="A8" s="105">
        <v>11</v>
      </c>
      <c r="B8" s="105" t="s">
        <v>403</v>
      </c>
      <c r="C8" s="106">
        <v>43587</v>
      </c>
      <c r="D8" s="105" t="s">
        <v>1098</v>
      </c>
      <c r="E8" s="105"/>
      <c r="F8" s="154">
        <f>$T$2/(40/AD8)-L8</f>
        <v>168</v>
      </c>
      <c r="G8" s="147"/>
      <c r="H8" s="147"/>
      <c r="I8" s="147"/>
      <c r="J8" s="147"/>
      <c r="K8" s="146"/>
      <c r="L8" s="189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01">
        <f>Table2664533[[#This Row],[5]]</f>
        <v>168</v>
      </c>
      <c r="X8" s="102">
        <f>Table2664533[[#This Row],[11]]</f>
        <v>0</v>
      </c>
      <c r="Y8" s="105"/>
      <c r="Z8" s="101">
        <f>W8+X8+Y8</f>
        <v>168</v>
      </c>
      <c r="AA8" s="107"/>
      <c r="AB8" s="103">
        <v>4100</v>
      </c>
      <c r="AC8" s="104">
        <f>AB8/$T$2*Z8</f>
        <v>4100</v>
      </c>
      <c r="AD8">
        <v>40</v>
      </c>
    </row>
    <row r="9" spans="1:30">
      <c r="A9" s="105">
        <v>15</v>
      </c>
      <c r="B9" s="105" t="s">
        <v>431</v>
      </c>
      <c r="C9" s="106">
        <v>43382</v>
      </c>
      <c r="D9" s="105" t="s">
        <v>1098</v>
      </c>
      <c r="E9" s="105"/>
      <c r="F9" s="154">
        <f>$T$2/(40/AD9)-L9</f>
        <v>168</v>
      </c>
      <c r="G9" s="147"/>
      <c r="H9" s="147"/>
      <c r="I9" s="147"/>
      <c r="J9" s="147"/>
      <c r="K9" s="146"/>
      <c r="L9" s="189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01">
        <f>Table2664533[[#This Row],[5]]</f>
        <v>168</v>
      </c>
      <c r="X9" s="102">
        <f>Table2664533[[#This Row],[11]]</f>
        <v>0</v>
      </c>
      <c r="Y9" s="105"/>
      <c r="Z9" s="101">
        <f>W9+X9+Y9</f>
        <v>168</v>
      </c>
      <c r="AA9" s="107"/>
      <c r="AB9" s="103">
        <v>5000</v>
      </c>
      <c r="AC9" s="104">
        <f>AB9/$T$2*Z9</f>
        <v>5000</v>
      </c>
      <c r="AD9">
        <v>40</v>
      </c>
    </row>
    <row r="10" spans="1:30">
      <c r="A10" s="105">
        <v>16</v>
      </c>
      <c r="B10" s="105" t="s">
        <v>432</v>
      </c>
      <c r="C10" s="106">
        <v>43382</v>
      </c>
      <c r="D10" s="105" t="s">
        <v>1098</v>
      </c>
      <c r="E10" s="105"/>
      <c r="F10" s="154">
        <f>$T$2/(40/AD10)-L10</f>
        <v>168</v>
      </c>
      <c r="G10" s="147"/>
      <c r="H10" s="147"/>
      <c r="I10" s="147"/>
      <c r="J10" s="147"/>
      <c r="K10" s="146"/>
      <c r="L10" s="189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01">
        <f>Table2664533[[#This Row],[5]]</f>
        <v>168</v>
      </c>
      <c r="X10" s="102">
        <f>Table2664533[[#This Row],[11]]</f>
        <v>0</v>
      </c>
      <c r="Y10" s="105"/>
      <c r="Z10" s="101">
        <f>W10+X10+Y10</f>
        <v>168</v>
      </c>
      <c r="AA10" s="107"/>
      <c r="AB10" s="103">
        <v>3750</v>
      </c>
      <c r="AC10" s="104">
        <f>AB10/$T$2*Z10</f>
        <v>3750.0000000000005</v>
      </c>
      <c r="AD10">
        <v>40</v>
      </c>
    </row>
    <row r="11" spans="1:30">
      <c r="A11" s="105">
        <v>19</v>
      </c>
      <c r="B11" s="105" t="s">
        <v>596</v>
      </c>
      <c r="C11" s="106">
        <v>43598</v>
      </c>
      <c r="D11" s="105" t="s">
        <v>1098</v>
      </c>
      <c r="E11" s="105"/>
      <c r="F11" s="154">
        <f>$T$2/(40/AD11)-L11</f>
        <v>168</v>
      </c>
      <c r="G11" s="147"/>
      <c r="H11" s="147"/>
      <c r="I11" s="147"/>
      <c r="J11" s="147"/>
      <c r="K11" s="146"/>
      <c r="L11" s="189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01">
        <f>Table2664533[[#This Row],[5]]</f>
        <v>168</v>
      </c>
      <c r="X11" s="102">
        <f>Table2664533[[#This Row],[11]]</f>
        <v>0</v>
      </c>
      <c r="Y11" s="105"/>
      <c r="Z11" s="101">
        <f>W11+X11+Y11</f>
        <v>168</v>
      </c>
      <c r="AA11" s="107"/>
      <c r="AB11" s="103">
        <v>3750</v>
      </c>
      <c r="AC11" s="104">
        <f>AB11/$T$2*Z11</f>
        <v>3750.0000000000005</v>
      </c>
      <c r="AD11">
        <v>40</v>
      </c>
    </row>
    <row r="12" spans="1:30">
      <c r="A12" s="105"/>
      <c r="B12" s="105"/>
      <c r="C12" s="106"/>
      <c r="D12" s="105"/>
      <c r="E12" s="105"/>
      <c r="F12" s="154"/>
      <c r="G12" s="147"/>
      <c r="H12" s="147"/>
      <c r="I12" s="147"/>
      <c r="J12" s="147"/>
      <c r="K12" s="146"/>
      <c r="L12" s="189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01"/>
      <c r="X12" s="102"/>
      <c r="Y12" s="105"/>
      <c r="Z12" s="101"/>
      <c r="AA12" s="107"/>
      <c r="AB12" s="103"/>
      <c r="AC12" s="104"/>
    </row>
    <row r="13" spans="1:30">
      <c r="A13" s="178"/>
      <c r="B13" s="178"/>
      <c r="C13" s="179"/>
      <c r="D13" s="178"/>
      <c r="E13" s="180"/>
      <c r="F13" s="181"/>
      <c r="G13" s="147"/>
      <c r="H13" s="147"/>
      <c r="I13" s="147"/>
      <c r="J13" s="147"/>
      <c r="K13" s="146"/>
      <c r="L13" s="189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01"/>
      <c r="X13" s="102"/>
      <c r="Y13" s="105"/>
      <c r="Z13" s="101"/>
      <c r="AA13" s="107"/>
      <c r="AB13" s="103"/>
      <c r="AC13" s="104"/>
    </row>
    <row r="14" spans="1:30">
      <c r="A14" s="187"/>
      <c r="B14" s="187"/>
      <c r="C14" s="188"/>
      <c r="D14" s="188"/>
      <c r="E14" s="105"/>
      <c r="F14" s="154"/>
      <c r="G14" s="147"/>
      <c r="H14" s="147"/>
      <c r="I14" s="147"/>
      <c r="J14" s="147"/>
      <c r="K14" s="146"/>
      <c r="L14" s="189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01"/>
      <c r="X14" s="102"/>
      <c r="Y14" s="105"/>
      <c r="Z14" s="101"/>
      <c r="AA14" s="107"/>
      <c r="AB14" s="103"/>
      <c r="AC14" s="104"/>
    </row>
    <row r="15" spans="1:30">
      <c r="A15" s="187"/>
      <c r="B15" s="187"/>
      <c r="C15" s="188"/>
      <c r="D15" s="187"/>
      <c r="E15" s="105"/>
      <c r="F15" s="154"/>
      <c r="G15" s="147"/>
      <c r="H15" s="147"/>
      <c r="I15" s="147"/>
      <c r="J15" s="147"/>
      <c r="K15" s="146"/>
      <c r="L15" s="189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01"/>
      <c r="X15" s="102"/>
      <c r="Y15" s="105"/>
      <c r="Z15" s="101"/>
      <c r="AA15" s="107"/>
      <c r="AB15" s="103"/>
      <c r="AC15" s="104"/>
    </row>
    <row r="16" spans="1:30">
      <c r="A16" s="187"/>
      <c r="B16" s="187"/>
      <c r="C16" s="188"/>
      <c r="D16" s="187"/>
      <c r="E16" s="105"/>
      <c r="F16" s="154"/>
      <c r="G16" s="147"/>
      <c r="H16" s="147"/>
      <c r="I16" s="147"/>
      <c r="J16" s="147"/>
      <c r="K16" s="146"/>
      <c r="L16" s="189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01"/>
      <c r="X16" s="102"/>
      <c r="Y16" s="105"/>
      <c r="Z16" s="101"/>
      <c r="AA16" s="107"/>
      <c r="AB16" s="103"/>
      <c r="AC16" s="104"/>
    </row>
    <row r="17" spans="1:30">
      <c r="A17" s="187"/>
      <c r="B17" s="187"/>
      <c r="C17" s="188"/>
      <c r="D17" s="187"/>
      <c r="E17" s="105"/>
      <c r="F17" s="154"/>
      <c r="G17" s="147"/>
      <c r="H17" s="147"/>
      <c r="I17" s="147"/>
      <c r="J17" s="147"/>
      <c r="K17" s="146"/>
      <c r="L17" s="189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01"/>
      <c r="X17" s="102"/>
      <c r="Y17" s="105"/>
      <c r="Z17" s="101"/>
      <c r="AA17" s="107"/>
      <c r="AB17" s="103"/>
      <c r="AC17" s="104"/>
    </row>
    <row r="18" spans="1:30">
      <c r="A18" s="105"/>
      <c r="B18" s="105"/>
      <c r="C18" s="106"/>
      <c r="D18" s="106"/>
      <c r="E18" s="105"/>
      <c r="F18" s="154"/>
      <c r="G18" s="147"/>
      <c r="H18" s="147"/>
      <c r="I18" s="147"/>
      <c r="J18" s="147"/>
      <c r="K18" s="146"/>
      <c r="L18" s="189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01"/>
      <c r="X18" s="102"/>
      <c r="Y18" s="105"/>
      <c r="Z18" s="101"/>
      <c r="AA18" s="107"/>
      <c r="AB18" s="103"/>
      <c r="AC18" s="104"/>
    </row>
    <row r="19" spans="1:30">
      <c r="A19" s="105"/>
      <c r="B19" s="105"/>
      <c r="C19" s="106"/>
      <c r="D19" s="106"/>
      <c r="E19" s="105"/>
      <c r="F19" s="154"/>
      <c r="G19" s="105"/>
      <c r="H19" s="105"/>
      <c r="I19" s="105"/>
      <c r="J19" s="105"/>
      <c r="K19" s="189"/>
      <c r="L19" s="189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21"/>
      <c r="X19" s="102"/>
      <c r="Y19" s="105"/>
      <c r="Z19" s="101"/>
      <c r="AA19" s="107"/>
      <c r="AB19" s="107"/>
      <c r="AC19" s="109"/>
      <c r="AD19" s="15"/>
    </row>
    <row r="20" spans="1:30">
      <c r="A20" s="115"/>
      <c r="B20" s="115"/>
      <c r="C20" s="115"/>
      <c r="D20" s="116" t="s">
        <v>1159</v>
      </c>
      <c r="E20" s="115"/>
      <c r="F20" s="115">
        <f>SUBTOTAL(109,F7:F19)</f>
        <v>840</v>
      </c>
      <c r="G20" s="115">
        <f>SUBTOTAL(109,Table2664533[6])</f>
        <v>0</v>
      </c>
      <c r="H20" s="115">
        <f>SUBTOTAL(109,Table2664533[7])</f>
        <v>0</v>
      </c>
      <c r="I20" s="115">
        <f>SUBTOTAL(109,Table2664533[8])</f>
        <v>0</v>
      </c>
      <c r="J20" s="115">
        <f>SUBTOTAL(109,Table2664533[9])</f>
        <v>0</v>
      </c>
      <c r="K20" s="115">
        <f>SUBTOTAL(109,K7:K19)</f>
        <v>0</v>
      </c>
      <c r="L20" s="115">
        <f>SUBTOTAL(109,L7:L19)</f>
        <v>0</v>
      </c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>
        <f>SUBTOTAL(109,W7:W18)</f>
        <v>840</v>
      </c>
      <c r="X20" s="115">
        <f>SUBTOTAL(109,X7:X18)</f>
        <v>0</v>
      </c>
      <c r="Y20" s="115">
        <f>SUBTOTAL(109,Y7:Y18)</f>
        <v>0</v>
      </c>
      <c r="Z20" s="115">
        <f>SUBTOTAL(109,Z7:Z18)</f>
        <v>840</v>
      </c>
      <c r="AA20" s="118">
        <f>SUBTOTAL(109,AA7:AA18)</f>
        <v>0</v>
      </c>
      <c r="AB20" s="118">
        <f>SUBTOTAL(109,AB7:AB19)</f>
        <v>22091.200000000001</v>
      </c>
      <c r="AC20" s="118">
        <f>SUBTOTAL(109,AC7:AC19)</f>
        <v>22091.200000000001</v>
      </c>
    </row>
    <row r="21" spans="1:30">
      <c r="AA21" s="16" t="s">
        <v>1160</v>
      </c>
    </row>
    <row r="24" spans="1:30">
      <c r="Z24" s="16" t="s">
        <v>1180</v>
      </c>
      <c r="AA24" s="15">
        <f>AC20*1.172</f>
        <v>25890.886399999999</v>
      </c>
    </row>
  </sheetData>
  <mergeCells count="26">
    <mergeCell ref="AC1:AC3"/>
    <mergeCell ref="P2:S2"/>
    <mergeCell ref="T2:AA2"/>
    <mergeCell ref="B3:AA3"/>
    <mergeCell ref="B4:B5"/>
    <mergeCell ref="E4:E5"/>
    <mergeCell ref="F4:F5"/>
    <mergeCell ref="G4:G5"/>
    <mergeCell ref="H4:H5"/>
    <mergeCell ref="AB1:AB3"/>
    <mergeCell ref="Z4:Z5"/>
    <mergeCell ref="AA4:AA5"/>
    <mergeCell ref="AB4:AB5"/>
    <mergeCell ref="AC4:AC5"/>
    <mergeCell ref="I4:I5"/>
    <mergeCell ref="J4:J5"/>
    <mergeCell ref="A1:A5"/>
    <mergeCell ref="B1:J2"/>
    <mergeCell ref="K1:O2"/>
    <mergeCell ref="P1:S1"/>
    <mergeCell ref="T1:AA1"/>
    <mergeCell ref="V4:V5"/>
    <mergeCell ref="W4:W5"/>
    <mergeCell ref="X4:X5"/>
    <mergeCell ref="Y4:Y5"/>
    <mergeCell ref="K4:K5"/>
  </mergeCells>
  <pageMargins left="0.7" right="0.7" top="0.75" bottom="0.75" header="0.3" footer="0.3"/>
  <pageSetup paperSize="9" scale="61" fitToHeight="0" orientation="landscape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3" tint="0.39997558519241921"/>
    <pageSetUpPr fitToPage="1"/>
  </sheetPr>
  <dimension ref="A1:AD16"/>
  <sheetViews>
    <sheetView workbookViewId="0">
      <selection activeCell="H17" sqref="H17"/>
    </sheetView>
  </sheetViews>
  <sheetFormatPr defaultRowHeight="14.5"/>
  <cols>
    <col min="1" max="1" width="5.453125" customWidth="1"/>
    <col min="2" max="2" width="22.26953125" customWidth="1"/>
    <col min="3" max="3" width="12" customWidth="1"/>
    <col min="4" max="4" width="11.81640625" style="7" customWidth="1"/>
    <col min="5" max="5" width="4.7265625" customWidth="1"/>
    <col min="6" max="6" width="6.54296875" customWidth="1"/>
    <col min="7" max="22" width="4.7265625" customWidth="1"/>
    <col min="23" max="23" width="6.26953125" customWidth="1"/>
    <col min="24" max="25" width="4.7265625" customWidth="1"/>
    <col min="26" max="26" width="7.54296875" customWidth="1"/>
    <col min="27" max="27" width="10.1796875" bestFit="1" customWidth="1"/>
    <col min="28" max="28" width="8.54296875" hidden="1" customWidth="1"/>
    <col min="29" max="29" width="10.81640625" hidden="1" customWidth="1"/>
    <col min="30" max="30" width="9.1796875" hidden="1" customWidth="1"/>
  </cols>
  <sheetData>
    <row r="1" spans="1:30">
      <c r="A1" s="750" t="s">
        <v>1100</v>
      </c>
      <c r="B1" s="752" t="s">
        <v>1181</v>
      </c>
      <c r="C1" s="753"/>
      <c r="D1" s="753"/>
      <c r="E1" s="753"/>
      <c r="F1" s="753"/>
      <c r="G1" s="753"/>
      <c r="H1" s="753"/>
      <c r="I1" s="753"/>
      <c r="J1" s="753"/>
      <c r="K1" s="756" t="s">
        <v>1101</v>
      </c>
      <c r="L1" s="756"/>
      <c r="M1" s="756"/>
      <c r="N1" s="756"/>
      <c r="O1" s="757"/>
      <c r="P1" s="760">
        <v>43678</v>
      </c>
      <c r="Q1" s="760"/>
      <c r="R1" s="760"/>
      <c r="S1" s="760"/>
      <c r="T1" s="761" t="s">
        <v>1102</v>
      </c>
      <c r="U1" s="761"/>
      <c r="V1" s="761"/>
      <c r="W1" s="761"/>
      <c r="X1" s="761"/>
      <c r="Y1" s="761"/>
      <c r="Z1" s="761"/>
      <c r="AA1" s="761"/>
      <c r="AB1" s="220"/>
      <c r="AC1" s="777" t="s">
        <v>1103</v>
      </c>
    </row>
    <row r="2" spans="1:30" ht="15" customHeight="1">
      <c r="A2" s="750"/>
      <c r="B2" s="754"/>
      <c r="C2" s="755"/>
      <c r="D2" s="755"/>
      <c r="E2" s="755"/>
      <c r="F2" s="755"/>
      <c r="G2" s="755"/>
      <c r="H2" s="755"/>
      <c r="I2" s="755"/>
      <c r="J2" s="755"/>
      <c r="K2" s="758"/>
      <c r="L2" s="758"/>
      <c r="M2" s="758"/>
      <c r="N2" s="758"/>
      <c r="O2" s="759"/>
      <c r="P2" s="760">
        <v>43708</v>
      </c>
      <c r="Q2" s="760"/>
      <c r="R2" s="760"/>
      <c r="S2" s="760"/>
      <c r="T2" s="761">
        <v>176</v>
      </c>
      <c r="U2" s="761"/>
      <c r="V2" s="761"/>
      <c r="W2" s="761"/>
      <c r="X2" s="761"/>
      <c r="Y2" s="761"/>
      <c r="Z2" s="761"/>
      <c r="AA2" s="761"/>
      <c r="AB2" s="220"/>
      <c r="AC2" s="778"/>
    </row>
    <row r="3" spans="1:30">
      <c r="A3" s="750"/>
      <c r="B3" s="761" t="s">
        <v>1162</v>
      </c>
      <c r="C3" s="753"/>
      <c r="D3" s="753"/>
      <c r="E3" s="753"/>
      <c r="F3" s="753"/>
      <c r="G3" s="753"/>
      <c r="H3" s="753"/>
      <c r="I3" s="753"/>
      <c r="J3" s="753"/>
      <c r="K3" s="780"/>
      <c r="L3" s="780"/>
      <c r="M3" s="780"/>
      <c r="N3" s="780"/>
      <c r="O3" s="780"/>
      <c r="P3" s="780"/>
      <c r="Q3" s="780"/>
      <c r="R3" s="780"/>
      <c r="S3" s="780"/>
      <c r="T3" s="753"/>
      <c r="U3" s="753"/>
      <c r="V3" s="753"/>
      <c r="W3" s="753"/>
      <c r="X3" s="753"/>
      <c r="Y3" s="753"/>
      <c r="Z3" s="753"/>
      <c r="AA3" s="753"/>
      <c r="AB3" s="220"/>
      <c r="AC3" s="779"/>
    </row>
    <row r="4" spans="1:30" ht="15" customHeight="1">
      <c r="A4" s="750"/>
      <c r="B4" s="781" t="s">
        <v>971</v>
      </c>
      <c r="C4" s="108"/>
      <c r="D4" s="132"/>
      <c r="E4" s="762" t="s">
        <v>1104</v>
      </c>
      <c r="F4" s="764" t="s">
        <v>1105</v>
      </c>
      <c r="G4" s="764" t="s">
        <v>1106</v>
      </c>
      <c r="H4" s="764" t="s">
        <v>1107</v>
      </c>
      <c r="I4" s="765" t="s">
        <v>1108</v>
      </c>
      <c r="J4" s="765"/>
      <c r="K4" s="765"/>
      <c r="L4" s="765"/>
      <c r="M4" s="765"/>
      <c r="N4" s="765"/>
      <c r="O4" s="765"/>
      <c r="P4" s="765"/>
      <c r="Q4" s="765"/>
      <c r="R4" s="765"/>
      <c r="S4" s="765"/>
      <c r="T4" s="765"/>
      <c r="U4" s="765"/>
      <c r="V4" s="766" t="s">
        <v>1109</v>
      </c>
      <c r="W4" s="768" t="s">
        <v>1110</v>
      </c>
      <c r="X4" s="770" t="s">
        <v>1111</v>
      </c>
      <c r="Y4" s="772" t="s">
        <v>1112</v>
      </c>
      <c r="Z4" s="773" t="s">
        <v>1113</v>
      </c>
      <c r="AA4" s="775" t="s">
        <v>1114</v>
      </c>
      <c r="AB4" s="218"/>
      <c r="AC4" s="783" t="s">
        <v>1115</v>
      </c>
    </row>
    <row r="5" spans="1:30" ht="155.25" customHeight="1">
      <c r="A5" s="751"/>
      <c r="B5" s="782"/>
      <c r="C5" s="110" t="s">
        <v>37</v>
      </c>
      <c r="D5" s="133" t="s">
        <v>38</v>
      </c>
      <c r="E5" s="763"/>
      <c r="F5" s="762"/>
      <c r="G5" s="762"/>
      <c r="H5" s="762"/>
      <c r="I5" s="217" t="s">
        <v>1116</v>
      </c>
      <c r="J5" s="217" t="s">
        <v>1117</v>
      </c>
      <c r="K5" s="217" t="s">
        <v>1118</v>
      </c>
      <c r="L5" s="111" t="s">
        <v>1119</v>
      </c>
      <c r="M5" s="217" t="s">
        <v>1120</v>
      </c>
      <c r="N5" s="111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67"/>
      <c r="W5" s="769"/>
      <c r="X5" s="771"/>
      <c r="Y5" s="771"/>
      <c r="Z5" s="774"/>
      <c r="AA5" s="776"/>
      <c r="AB5" s="219"/>
      <c r="AC5" s="784"/>
      <c r="AD5" s="123" t="s">
        <v>1129</v>
      </c>
    </row>
    <row r="6" spans="1:30">
      <c r="A6" s="114" t="s">
        <v>1100</v>
      </c>
      <c r="B6" s="95" t="s">
        <v>1130</v>
      </c>
      <c r="C6" s="95" t="s">
        <v>1131</v>
      </c>
      <c r="D6" s="134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  <c r="AA6" s="95" t="s">
        <v>1155</v>
      </c>
      <c r="AB6" s="95" t="s">
        <v>1156</v>
      </c>
      <c r="AC6" s="95" t="s">
        <v>1157</v>
      </c>
      <c r="AD6" s="122" t="s">
        <v>1158</v>
      </c>
    </row>
    <row r="7" spans="1:30">
      <c r="A7" s="187">
        <v>1</v>
      </c>
      <c r="B7" s="187" t="s">
        <v>341</v>
      </c>
      <c r="C7" s="188">
        <v>43632</v>
      </c>
      <c r="D7" s="188">
        <v>43723</v>
      </c>
      <c r="E7" s="100"/>
      <c r="F7" s="154">
        <v>0</v>
      </c>
      <c r="G7" s="100"/>
      <c r="H7" s="189"/>
      <c r="I7" s="189"/>
      <c r="J7" s="189"/>
      <c r="K7" s="189"/>
      <c r="L7" s="189">
        <v>0</v>
      </c>
      <c r="M7" s="189"/>
      <c r="N7" s="189">
        <f>T2</f>
        <v>176</v>
      </c>
      <c r="O7" s="189"/>
      <c r="P7" s="189"/>
      <c r="Q7" s="189"/>
      <c r="R7" s="189"/>
      <c r="S7" s="189"/>
      <c r="T7" s="189"/>
      <c r="U7" s="189"/>
      <c r="V7" s="189"/>
      <c r="W7" s="101">
        <f>SUM(F7:V7)-L7</f>
        <v>176</v>
      </c>
      <c r="X7" s="102">
        <f>L7</f>
        <v>0</v>
      </c>
      <c r="Y7" s="154"/>
      <c r="Z7" s="101">
        <f>W7+X7+Y7</f>
        <v>176</v>
      </c>
      <c r="AA7" s="117"/>
      <c r="AB7" s="125">
        <v>0</v>
      </c>
      <c r="AC7" s="103">
        <v>1750</v>
      </c>
      <c r="AD7" s="15"/>
    </row>
    <row r="8" spans="1:30">
      <c r="A8" s="187"/>
      <c r="B8" s="187"/>
      <c r="C8" s="188"/>
      <c r="D8" s="106"/>
      <c r="E8" s="105"/>
      <c r="F8" s="154"/>
      <c r="G8" s="105"/>
      <c r="H8" s="105"/>
      <c r="I8" s="105"/>
      <c r="J8" s="105"/>
      <c r="K8" s="189"/>
      <c r="L8" s="189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1"/>
      <c r="X8" s="102"/>
      <c r="Y8" s="105"/>
      <c r="Z8" s="101"/>
      <c r="AA8" s="107"/>
      <c r="AB8" s="125"/>
      <c r="AC8" s="107"/>
      <c r="AD8" s="15"/>
    </row>
    <row r="9" spans="1:30">
      <c r="A9" s="187"/>
      <c r="B9" s="187"/>
      <c r="C9" s="188"/>
      <c r="D9" s="106"/>
      <c r="E9" s="105"/>
      <c r="F9" s="154"/>
      <c r="G9" s="105"/>
      <c r="H9" s="105"/>
      <c r="I9" s="105"/>
      <c r="J9" s="105"/>
      <c r="K9" s="189"/>
      <c r="L9" s="189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1"/>
      <c r="X9" s="102"/>
      <c r="Y9" s="105"/>
      <c r="Z9" s="101"/>
      <c r="AA9" s="107"/>
      <c r="AB9" s="125"/>
      <c r="AC9" s="107"/>
      <c r="AD9" s="15"/>
    </row>
    <row r="10" spans="1:30">
      <c r="A10" s="187"/>
      <c r="B10" s="187"/>
      <c r="C10" s="188"/>
      <c r="D10" s="106"/>
      <c r="E10" s="105"/>
      <c r="F10" s="154"/>
      <c r="G10" s="105"/>
      <c r="H10" s="105"/>
      <c r="I10" s="105"/>
      <c r="J10" s="105"/>
      <c r="K10" s="189"/>
      <c r="L10" s="189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1"/>
      <c r="X10" s="102"/>
      <c r="Y10" s="105"/>
      <c r="Z10" s="101"/>
      <c r="AA10" s="107"/>
      <c r="AB10" s="125"/>
      <c r="AC10" s="107"/>
      <c r="AD10" s="15"/>
    </row>
    <row r="11" spans="1:30">
      <c r="A11" s="187"/>
      <c r="B11" s="187"/>
      <c r="C11" s="188"/>
      <c r="D11" s="106"/>
      <c r="E11" s="105"/>
      <c r="F11" s="154"/>
      <c r="G11" s="105"/>
      <c r="H11" s="105"/>
      <c r="I11" s="105"/>
      <c r="J11" s="105"/>
      <c r="K11" s="189"/>
      <c r="L11" s="189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1"/>
      <c r="X11" s="102"/>
      <c r="Y11" s="105"/>
      <c r="Z11" s="101"/>
      <c r="AA11" s="107"/>
      <c r="AB11" s="125"/>
      <c r="AC11" s="107"/>
      <c r="AD11" s="15"/>
    </row>
    <row r="12" spans="1:30">
      <c r="A12" s="115"/>
      <c r="B12" s="115"/>
      <c r="C12" s="115"/>
      <c r="D12" s="135" t="s">
        <v>1159</v>
      </c>
      <c r="E12" s="115"/>
      <c r="F12" s="115">
        <f>SUBTOTAL(109,F7:F11)</f>
        <v>0</v>
      </c>
      <c r="G12" s="115"/>
      <c r="H12" s="115"/>
      <c r="I12" s="115"/>
      <c r="J12" s="115"/>
      <c r="K12" s="115">
        <f>SUBTOTAL(109,K7:K11)</f>
        <v>0</v>
      </c>
      <c r="L12" s="115">
        <f>SUBTOTAL(109,L7:L11)</f>
        <v>0</v>
      </c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>
        <f>SUBTOTAL(109,W7:W11)</f>
        <v>176</v>
      </c>
      <c r="X12" s="115">
        <f>SUBTOTAL(109,X7:X11)</f>
        <v>0</v>
      </c>
      <c r="Y12" s="115">
        <f>SUBTOTAL(109,Y7:Y11)</f>
        <v>0</v>
      </c>
      <c r="Z12" s="115">
        <f>SUBTOTAL(109,Z7:Z11)</f>
        <v>176</v>
      </c>
      <c r="AA12" s="118">
        <f>SUBTOTAL(109,AA7:AA11)</f>
        <v>0</v>
      </c>
      <c r="AB12" s="118"/>
      <c r="AC12" s="118">
        <f>SUBTOTAL(109,AC7:AC11)</f>
        <v>1750</v>
      </c>
    </row>
    <row r="13" spans="1:30">
      <c r="AA13" s="16" t="s">
        <v>1160</v>
      </c>
      <c r="AB13" s="16"/>
    </row>
    <row r="16" spans="1:30">
      <c r="Z16" s="16"/>
      <c r="AA16" s="15"/>
      <c r="AB16" s="15"/>
    </row>
  </sheetData>
  <mergeCells count="22">
    <mergeCell ref="A1:A5"/>
    <mergeCell ref="B1:J2"/>
    <mergeCell ref="K1:O2"/>
    <mergeCell ref="P1:S1"/>
    <mergeCell ref="T1:AA1"/>
    <mergeCell ref="E4:E5"/>
    <mergeCell ref="F4:F5"/>
    <mergeCell ref="G4:G5"/>
    <mergeCell ref="H4:H5"/>
    <mergeCell ref="I4:U4"/>
    <mergeCell ref="V4:V5"/>
    <mergeCell ref="W4:W5"/>
    <mergeCell ref="X4:X5"/>
    <mergeCell ref="Y4:Y5"/>
    <mergeCell ref="Z4:Z5"/>
    <mergeCell ref="AA4:AA5"/>
    <mergeCell ref="AC1:AC3"/>
    <mergeCell ref="P2:S2"/>
    <mergeCell ref="T2:AA2"/>
    <mergeCell ref="B3:AA3"/>
    <mergeCell ref="B4:B5"/>
    <mergeCell ref="AC4:AC5"/>
  </mergeCells>
  <pageMargins left="0.7" right="0.7" top="0.75" bottom="0.75" header="0.3" footer="0.3"/>
  <pageSetup paperSize="9" scale="76" fitToHeight="0" orientation="landscape"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3" tint="0.39997558519241921"/>
    <pageSetUpPr fitToPage="1"/>
  </sheetPr>
  <dimension ref="A1:AD20"/>
  <sheetViews>
    <sheetView workbookViewId="0">
      <selection activeCell="B8" sqref="B8"/>
    </sheetView>
  </sheetViews>
  <sheetFormatPr defaultRowHeight="14.5"/>
  <cols>
    <col min="1" max="1" width="5.453125" customWidth="1"/>
    <col min="2" max="2" width="22.26953125" customWidth="1"/>
    <col min="3" max="3" width="12" customWidth="1"/>
    <col min="4" max="4" width="11.81640625" customWidth="1"/>
    <col min="5" max="5" width="4.7265625" customWidth="1"/>
    <col min="6" max="6" width="8.81640625" customWidth="1"/>
    <col min="7" max="22" width="4.7265625" customWidth="1"/>
    <col min="23" max="23" width="6.26953125" customWidth="1"/>
    <col min="24" max="25" width="4.7265625" customWidth="1"/>
    <col min="26" max="26" width="7.54296875" customWidth="1"/>
    <col min="27" max="27" width="10.1796875" bestFit="1" customWidth="1"/>
    <col min="28" max="28" width="10.81640625" customWidth="1"/>
    <col min="29" max="29" width="13.1796875" customWidth="1"/>
    <col min="30" max="30" width="9.1796875" customWidth="1"/>
  </cols>
  <sheetData>
    <row r="1" spans="1:30">
      <c r="A1" s="750" t="s">
        <v>1100</v>
      </c>
      <c r="B1" s="752" t="s">
        <v>1182</v>
      </c>
      <c r="C1" s="753"/>
      <c r="D1" s="753"/>
      <c r="E1" s="753"/>
      <c r="F1" s="753"/>
      <c r="G1" s="753"/>
      <c r="H1" s="753"/>
      <c r="I1" s="753"/>
      <c r="J1" s="753"/>
      <c r="K1" s="756" t="s">
        <v>1101</v>
      </c>
      <c r="L1" s="756"/>
      <c r="M1" s="756"/>
      <c r="N1" s="756"/>
      <c r="O1" s="757"/>
      <c r="P1" s="760">
        <v>43678</v>
      </c>
      <c r="Q1" s="760"/>
      <c r="R1" s="760"/>
      <c r="S1" s="760"/>
      <c r="T1" s="761" t="s">
        <v>1102</v>
      </c>
      <c r="U1" s="761"/>
      <c r="V1" s="761"/>
      <c r="W1" s="761"/>
      <c r="X1" s="761"/>
      <c r="Y1" s="761"/>
      <c r="Z1" s="761"/>
      <c r="AA1" s="761"/>
      <c r="AB1" s="777" t="s">
        <v>1103</v>
      </c>
      <c r="AC1" s="785"/>
    </row>
    <row r="2" spans="1:30" ht="15" customHeight="1">
      <c r="A2" s="750"/>
      <c r="B2" s="754"/>
      <c r="C2" s="755"/>
      <c r="D2" s="755"/>
      <c r="E2" s="755"/>
      <c r="F2" s="755"/>
      <c r="G2" s="755"/>
      <c r="H2" s="755"/>
      <c r="I2" s="755"/>
      <c r="J2" s="755"/>
      <c r="K2" s="758"/>
      <c r="L2" s="758"/>
      <c r="M2" s="758"/>
      <c r="N2" s="758"/>
      <c r="O2" s="759"/>
      <c r="P2" s="760">
        <v>43708</v>
      </c>
      <c r="Q2" s="760"/>
      <c r="R2" s="760"/>
      <c r="S2" s="760"/>
      <c r="T2" s="761">
        <v>176</v>
      </c>
      <c r="U2" s="761"/>
      <c r="V2" s="761"/>
      <c r="W2" s="761"/>
      <c r="X2" s="761"/>
      <c r="Y2" s="761"/>
      <c r="Z2" s="761"/>
      <c r="AA2" s="761"/>
      <c r="AB2" s="778"/>
      <c r="AC2" s="785"/>
    </row>
    <row r="3" spans="1:30">
      <c r="A3" s="750"/>
      <c r="B3" s="761" t="s">
        <v>1162</v>
      </c>
      <c r="C3" s="753"/>
      <c r="D3" s="753"/>
      <c r="E3" s="753"/>
      <c r="F3" s="753"/>
      <c r="G3" s="753"/>
      <c r="H3" s="753"/>
      <c r="I3" s="753"/>
      <c r="J3" s="753"/>
      <c r="K3" s="780"/>
      <c r="L3" s="780"/>
      <c r="M3" s="780"/>
      <c r="N3" s="780"/>
      <c r="O3" s="780"/>
      <c r="P3" s="780"/>
      <c r="Q3" s="780"/>
      <c r="R3" s="780"/>
      <c r="S3" s="780"/>
      <c r="T3" s="753"/>
      <c r="U3" s="753"/>
      <c r="V3" s="753"/>
      <c r="W3" s="753"/>
      <c r="X3" s="753"/>
      <c r="Y3" s="753"/>
      <c r="Z3" s="753"/>
      <c r="AA3" s="753"/>
      <c r="AB3" s="779"/>
      <c r="AC3" s="785"/>
    </row>
    <row r="4" spans="1:30" ht="15" customHeight="1">
      <c r="A4" s="750"/>
      <c r="B4" s="781" t="s">
        <v>971</v>
      </c>
      <c r="C4" s="108"/>
      <c r="D4" s="108"/>
      <c r="E4" s="762" t="s">
        <v>1104</v>
      </c>
      <c r="F4" s="794" t="s">
        <v>1183</v>
      </c>
      <c r="G4" s="798" t="s">
        <v>1174</v>
      </c>
      <c r="H4" s="798" t="s">
        <v>1184</v>
      </c>
      <c r="I4" s="800" t="s">
        <v>1185</v>
      </c>
      <c r="J4" s="801" t="s">
        <v>1186</v>
      </c>
      <c r="K4" s="801" t="s">
        <v>1187</v>
      </c>
      <c r="L4" s="149"/>
      <c r="M4" s="150"/>
      <c r="N4" s="143"/>
      <c r="O4" s="143"/>
      <c r="P4" s="143"/>
      <c r="Q4" s="143"/>
      <c r="R4" s="143"/>
      <c r="S4" s="143"/>
      <c r="T4" s="143"/>
      <c r="U4" s="144"/>
      <c r="V4" s="802" t="s">
        <v>1188</v>
      </c>
      <c r="W4" s="768" t="s">
        <v>1110</v>
      </c>
      <c r="X4" s="770" t="s">
        <v>1111</v>
      </c>
      <c r="Y4" s="772" t="s">
        <v>1112</v>
      </c>
      <c r="Z4" s="773" t="s">
        <v>1113</v>
      </c>
      <c r="AA4" s="775" t="s">
        <v>1169</v>
      </c>
      <c r="AB4" s="783" t="s">
        <v>1115</v>
      </c>
      <c r="AC4" s="786" t="s">
        <v>17</v>
      </c>
    </row>
    <row r="5" spans="1:30" ht="155.25" customHeight="1">
      <c r="A5" s="751"/>
      <c r="B5" s="782"/>
      <c r="C5" s="110" t="s">
        <v>37</v>
      </c>
      <c r="D5" s="110" t="s">
        <v>38</v>
      </c>
      <c r="E5" s="763"/>
      <c r="F5" s="762"/>
      <c r="G5" s="799"/>
      <c r="H5" s="799"/>
      <c r="I5" s="800"/>
      <c r="J5" s="801"/>
      <c r="K5" s="801"/>
      <c r="L5" s="149" t="s">
        <v>1119</v>
      </c>
      <c r="M5" s="150" t="s">
        <v>1120</v>
      </c>
      <c r="N5" s="148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803"/>
      <c r="W5" s="769"/>
      <c r="X5" s="771"/>
      <c r="Y5" s="771"/>
      <c r="Z5" s="774"/>
      <c r="AA5" s="776"/>
      <c r="AB5" s="784"/>
      <c r="AC5" s="787"/>
      <c r="AD5" s="123" t="s">
        <v>1172</v>
      </c>
    </row>
    <row r="6" spans="1:30">
      <c r="A6" s="114" t="s">
        <v>1100</v>
      </c>
      <c r="B6" s="95" t="s">
        <v>1130</v>
      </c>
      <c r="C6" s="95" t="s">
        <v>1131</v>
      </c>
      <c r="D6" s="95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  <c r="AA6" s="95" t="s">
        <v>1155</v>
      </c>
      <c r="AB6" s="95" t="s">
        <v>1157</v>
      </c>
      <c r="AC6" s="99" t="s">
        <v>1163</v>
      </c>
      <c r="AD6" s="122" t="s">
        <v>1158</v>
      </c>
    </row>
    <row r="7" spans="1:30">
      <c r="A7" s="187">
        <v>1</v>
      </c>
      <c r="B7" s="187" t="s">
        <v>382</v>
      </c>
      <c r="C7" s="188">
        <v>43647</v>
      </c>
      <c r="D7" s="187" t="s">
        <v>1098</v>
      </c>
      <c r="E7" s="100"/>
      <c r="F7" s="154">
        <f>$T$2/(40/AD7)-L7</f>
        <v>160</v>
      </c>
      <c r="G7" s="151"/>
      <c r="H7" s="152"/>
      <c r="I7" s="152"/>
      <c r="J7" s="152"/>
      <c r="K7" s="152"/>
      <c r="L7" s="189">
        <v>16</v>
      </c>
      <c r="M7" s="189"/>
      <c r="N7" s="189"/>
      <c r="O7" s="189"/>
      <c r="P7" s="189"/>
      <c r="Q7" s="189"/>
      <c r="R7" s="189"/>
      <c r="S7" s="189"/>
      <c r="T7" s="189"/>
      <c r="U7" s="189"/>
      <c r="V7" s="152"/>
      <c r="W7" s="101">
        <f>SUM(F7:V7)-L7</f>
        <v>160</v>
      </c>
      <c r="X7" s="102">
        <f>L7</f>
        <v>16</v>
      </c>
      <c r="Y7" s="154"/>
      <c r="Z7" s="101">
        <f>W7+X7+Y7</f>
        <v>176</v>
      </c>
      <c r="AA7" s="117"/>
      <c r="AB7" s="103">
        <v>6800</v>
      </c>
      <c r="AC7" s="104">
        <f>Table2664536[[#This Row],[27]]/$T$2*Table2664536[[#This Row],[25]]</f>
        <v>6799.9999999999991</v>
      </c>
      <c r="AD7">
        <v>40</v>
      </c>
    </row>
    <row r="8" spans="1:30">
      <c r="A8" s="187">
        <v>2</v>
      </c>
      <c r="B8" s="187" t="s">
        <v>623</v>
      </c>
      <c r="C8" s="188">
        <v>43661</v>
      </c>
      <c r="D8" s="187" t="s">
        <v>1189</v>
      </c>
      <c r="E8" s="105"/>
      <c r="F8" s="170">
        <v>104</v>
      </c>
      <c r="G8" s="153"/>
      <c r="H8" s="153"/>
      <c r="I8" s="153"/>
      <c r="J8" s="153"/>
      <c r="K8" s="152"/>
      <c r="L8" s="189">
        <v>16</v>
      </c>
      <c r="M8" s="105"/>
      <c r="N8" s="105"/>
      <c r="O8" s="105"/>
      <c r="P8" s="105"/>
      <c r="Q8" s="105"/>
      <c r="R8" s="105"/>
      <c r="S8" s="105"/>
      <c r="T8" s="105"/>
      <c r="U8" s="105"/>
      <c r="V8" s="153"/>
      <c r="W8" s="101">
        <f>SUM(F8:V8)-L8</f>
        <v>104</v>
      </c>
      <c r="X8" s="102">
        <f>L8</f>
        <v>16</v>
      </c>
      <c r="Y8" s="105"/>
      <c r="Z8" s="101">
        <f>W8+X8+Y8</f>
        <v>120</v>
      </c>
      <c r="AA8" s="107"/>
      <c r="AB8" s="103">
        <v>3750</v>
      </c>
      <c r="AC8" s="104">
        <f>Table2664536[[#This Row],[27]]/$T$2*Table2664536[[#This Row],[25]]</f>
        <v>2556.818181818182</v>
      </c>
      <c r="AD8">
        <v>40</v>
      </c>
    </row>
    <row r="9" spans="1:30">
      <c r="A9" s="187"/>
      <c r="B9" s="187"/>
      <c r="C9" s="188"/>
      <c r="D9" s="187"/>
      <c r="E9" s="105"/>
      <c r="F9" s="154"/>
      <c r="G9" s="153"/>
      <c r="H9" s="153"/>
      <c r="I9" s="153"/>
      <c r="J9" s="153"/>
      <c r="K9" s="152"/>
      <c r="L9" s="189"/>
      <c r="M9" s="105"/>
      <c r="N9" s="105"/>
      <c r="O9" s="105"/>
      <c r="P9" s="105"/>
      <c r="Q9" s="105"/>
      <c r="R9" s="105"/>
      <c r="S9" s="105"/>
      <c r="T9" s="105"/>
      <c r="U9" s="105"/>
      <c r="V9" s="153"/>
      <c r="W9" s="101"/>
      <c r="X9" s="102"/>
      <c r="Y9" s="105"/>
      <c r="Z9" s="101"/>
      <c r="AA9" s="107"/>
      <c r="AB9" s="103"/>
      <c r="AC9" s="104"/>
    </row>
    <row r="10" spans="1:30">
      <c r="A10" s="187"/>
      <c r="B10" s="187"/>
      <c r="C10" s="188"/>
      <c r="D10" s="187"/>
      <c r="E10" s="105"/>
      <c r="F10" s="154"/>
      <c r="G10" s="153"/>
      <c r="H10" s="153"/>
      <c r="I10" s="153"/>
      <c r="J10" s="153"/>
      <c r="K10" s="152"/>
      <c r="L10" s="189"/>
      <c r="M10" s="105"/>
      <c r="N10" s="105"/>
      <c r="O10" s="105"/>
      <c r="P10" s="105"/>
      <c r="Q10" s="105"/>
      <c r="R10" s="105"/>
      <c r="S10" s="105"/>
      <c r="T10" s="105"/>
      <c r="U10" s="105"/>
      <c r="V10" s="153"/>
      <c r="W10" s="101"/>
      <c r="X10" s="102"/>
      <c r="Y10" s="105"/>
      <c r="Z10" s="101"/>
      <c r="AA10" s="107"/>
      <c r="AB10" s="103"/>
      <c r="AC10" s="104"/>
    </row>
    <row r="11" spans="1:30">
      <c r="A11" s="187"/>
      <c r="B11" s="187"/>
      <c r="C11" s="188"/>
      <c r="D11" s="188"/>
      <c r="E11" s="105"/>
      <c r="F11" s="154"/>
      <c r="G11" s="153"/>
      <c r="H11" s="153"/>
      <c r="I11" s="153"/>
      <c r="J11" s="153"/>
      <c r="K11" s="152"/>
      <c r="L11" s="189"/>
      <c r="M11" s="105"/>
      <c r="N11" s="105"/>
      <c r="O11" s="105"/>
      <c r="P11" s="105"/>
      <c r="Q11" s="105"/>
      <c r="R11" s="105"/>
      <c r="S11" s="105"/>
      <c r="T11" s="105"/>
      <c r="U11" s="105"/>
      <c r="V11" s="153"/>
      <c r="W11" s="101"/>
      <c r="X11" s="102"/>
      <c r="Y11" s="105"/>
      <c r="Z11" s="101"/>
      <c r="AA11" s="107"/>
      <c r="AB11" s="103"/>
      <c r="AC11" s="104"/>
    </row>
    <row r="12" spans="1:30">
      <c r="A12" s="187"/>
      <c r="B12" s="187"/>
      <c r="C12" s="188"/>
      <c r="D12" s="187"/>
      <c r="E12" s="105"/>
      <c r="F12" s="154"/>
      <c r="G12" s="153"/>
      <c r="H12" s="153"/>
      <c r="I12" s="153"/>
      <c r="J12" s="153"/>
      <c r="K12" s="152"/>
      <c r="L12" s="189"/>
      <c r="M12" s="105"/>
      <c r="N12" s="105"/>
      <c r="O12" s="105"/>
      <c r="P12" s="105"/>
      <c r="Q12" s="105"/>
      <c r="R12" s="105"/>
      <c r="S12" s="105"/>
      <c r="T12" s="105"/>
      <c r="U12" s="105"/>
      <c r="V12" s="153"/>
      <c r="W12" s="101"/>
      <c r="X12" s="102"/>
      <c r="Y12" s="105"/>
      <c r="Z12" s="101"/>
      <c r="AA12" s="107"/>
      <c r="AB12" s="103"/>
      <c r="AC12" s="104"/>
    </row>
    <row r="13" spans="1:30">
      <c r="A13" s="187"/>
      <c r="B13" s="187"/>
      <c r="C13" s="188"/>
      <c r="D13" s="188"/>
      <c r="E13" s="105"/>
      <c r="F13" s="154"/>
      <c r="G13" s="153"/>
      <c r="H13" s="153"/>
      <c r="I13" s="153"/>
      <c r="J13" s="153"/>
      <c r="K13" s="152"/>
      <c r="L13" s="189"/>
      <c r="M13" s="105"/>
      <c r="N13" s="105"/>
      <c r="O13" s="105"/>
      <c r="P13" s="105"/>
      <c r="Q13" s="105"/>
      <c r="R13" s="105"/>
      <c r="S13" s="105"/>
      <c r="T13" s="105"/>
      <c r="U13" s="105"/>
      <c r="V13" s="153"/>
      <c r="W13" s="101"/>
      <c r="X13" s="102"/>
      <c r="Y13" s="105"/>
      <c r="Z13" s="101"/>
      <c r="AA13" s="107"/>
      <c r="AB13" s="103"/>
      <c r="AC13" s="104"/>
    </row>
    <row r="14" spans="1:30">
      <c r="A14" s="105"/>
      <c r="B14" s="105"/>
      <c r="C14" s="106"/>
      <c r="D14" s="106"/>
      <c r="E14" s="105"/>
      <c r="F14" s="154"/>
      <c r="G14" s="105"/>
      <c r="H14" s="105"/>
      <c r="I14" s="105"/>
      <c r="J14" s="105"/>
      <c r="K14" s="189"/>
      <c r="L14" s="189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54"/>
      <c r="X14" s="102"/>
      <c r="Y14" s="105"/>
      <c r="Z14" s="154"/>
      <c r="AA14" s="107"/>
      <c r="AB14" s="103"/>
      <c r="AC14" s="104"/>
    </row>
    <row r="15" spans="1:30">
      <c r="A15" s="105"/>
      <c r="B15" s="105"/>
      <c r="C15" s="106"/>
      <c r="D15" s="106"/>
      <c r="E15" s="105"/>
      <c r="F15" s="154"/>
      <c r="G15" s="105"/>
      <c r="H15" s="105"/>
      <c r="I15" s="105"/>
      <c r="J15" s="105"/>
      <c r="K15" s="189"/>
      <c r="L15" s="189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55"/>
      <c r="X15" s="102"/>
      <c r="Y15" s="105"/>
      <c r="Z15" s="154"/>
      <c r="AA15" s="107"/>
      <c r="AB15" s="107"/>
      <c r="AC15" s="109"/>
      <c r="AD15" s="15"/>
    </row>
    <row r="16" spans="1:30">
      <c r="A16" s="115"/>
      <c r="B16" s="115"/>
      <c r="C16" s="115"/>
      <c r="D16" s="116" t="s">
        <v>1159</v>
      </c>
      <c r="E16" s="115"/>
      <c r="F16" s="115">
        <f>SUBTOTAL(109,F7:F15)</f>
        <v>264</v>
      </c>
      <c r="G16" s="115"/>
      <c r="H16" s="115"/>
      <c r="I16" s="115"/>
      <c r="J16" s="115"/>
      <c r="K16" s="115">
        <f>SUBTOTAL(109,K7:K15)</f>
        <v>0</v>
      </c>
      <c r="L16" s="115">
        <f>SUBTOTAL(109,L7:L15)</f>
        <v>32</v>
      </c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>
        <f>SUBTOTAL(109,W7:W14)</f>
        <v>264</v>
      </c>
      <c r="X16" s="115">
        <f>SUBTOTAL(109,X7:X14)</f>
        <v>32</v>
      </c>
      <c r="Y16" s="115">
        <f>SUBTOTAL(109,Y7:Y14)</f>
        <v>0</v>
      </c>
      <c r="Z16" s="115">
        <f>SUBTOTAL(109,Z7:Z14)</f>
        <v>296</v>
      </c>
      <c r="AA16" s="118">
        <f>SUBTOTAL(109,AA7:AA14)</f>
        <v>0</v>
      </c>
      <c r="AB16" s="118">
        <f>SUBTOTAL(109,AB7:AB15)</f>
        <v>10550</v>
      </c>
      <c r="AC16" s="118">
        <f>SUBTOTAL(109,AC7:AC15)</f>
        <v>9356.8181818181802</v>
      </c>
    </row>
    <row r="17" spans="26:27">
      <c r="AA17" s="16" t="s">
        <v>1160</v>
      </c>
    </row>
    <row r="20" spans="26:27">
      <c r="Z20" s="16"/>
      <c r="AA20" s="15"/>
    </row>
  </sheetData>
  <mergeCells count="26">
    <mergeCell ref="AA4:AA5"/>
    <mergeCell ref="A1:A5"/>
    <mergeCell ref="B1:J2"/>
    <mergeCell ref="K1:O2"/>
    <mergeCell ref="P1:S1"/>
    <mergeCell ref="T1:AA1"/>
    <mergeCell ref="J4:J5"/>
    <mergeCell ref="K4:K5"/>
    <mergeCell ref="V4:V5"/>
    <mergeCell ref="W4:W5"/>
    <mergeCell ref="AB4:AB5"/>
    <mergeCell ref="AC4:AC5"/>
    <mergeCell ref="AC1:AC3"/>
    <mergeCell ref="P2:S2"/>
    <mergeCell ref="T2:AA2"/>
    <mergeCell ref="B3:AA3"/>
    <mergeCell ref="B4:B5"/>
    <mergeCell ref="E4:E5"/>
    <mergeCell ref="F4:F5"/>
    <mergeCell ref="G4:G5"/>
    <mergeCell ref="H4:H5"/>
    <mergeCell ref="I4:I5"/>
    <mergeCell ref="AB1:AB3"/>
    <mergeCell ref="X4:X5"/>
    <mergeCell ref="Y4:Y5"/>
    <mergeCell ref="Z4:Z5"/>
  </mergeCells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A1:Z16"/>
  <sheetViews>
    <sheetView workbookViewId="0">
      <selection activeCell="AB5" sqref="AB5"/>
    </sheetView>
  </sheetViews>
  <sheetFormatPr defaultColWidth="9.1796875" defaultRowHeight="14.5"/>
  <cols>
    <col min="1" max="1" width="5.453125" customWidth="1"/>
    <col min="2" max="2" width="22.26953125" customWidth="1"/>
    <col min="3" max="3" width="12" customWidth="1"/>
    <col min="4" max="4" width="11.81640625" customWidth="1"/>
    <col min="5" max="5" width="4.7265625" customWidth="1"/>
    <col min="6" max="6" width="6.54296875" customWidth="1"/>
    <col min="7" max="22" width="4.7265625" customWidth="1"/>
    <col min="23" max="23" width="6.26953125" customWidth="1"/>
    <col min="24" max="25" width="4.7265625" customWidth="1"/>
    <col min="26" max="26" width="9" customWidth="1"/>
  </cols>
  <sheetData>
    <row r="1" spans="1:26">
      <c r="A1" s="750" t="s">
        <v>1100</v>
      </c>
      <c r="B1" s="806" t="s">
        <v>1165</v>
      </c>
      <c r="C1" s="807"/>
      <c r="D1" s="807"/>
      <c r="E1" s="807"/>
      <c r="F1" s="807"/>
      <c r="G1" s="807"/>
      <c r="H1" s="807"/>
      <c r="I1" s="807"/>
      <c r="J1" s="807"/>
      <c r="K1" s="808" t="s">
        <v>1101</v>
      </c>
      <c r="L1" s="808"/>
      <c r="M1" s="808"/>
      <c r="N1" s="808"/>
      <c r="O1" s="808"/>
      <c r="P1" s="760" t="s">
        <v>1166</v>
      </c>
      <c r="Q1" s="760"/>
      <c r="R1" s="760"/>
      <c r="S1" s="760"/>
      <c r="T1" s="807" t="s">
        <v>1102</v>
      </c>
      <c r="U1" s="807"/>
      <c r="V1" s="807"/>
      <c r="W1" s="807"/>
      <c r="X1" s="807"/>
      <c r="Y1" s="807"/>
      <c r="Z1" s="807"/>
    </row>
    <row r="2" spans="1:26" ht="15" customHeight="1">
      <c r="A2" s="750"/>
      <c r="B2" s="807"/>
      <c r="C2" s="807"/>
      <c r="D2" s="807"/>
      <c r="E2" s="807"/>
      <c r="F2" s="807"/>
      <c r="G2" s="807"/>
      <c r="H2" s="807"/>
      <c r="I2" s="807"/>
      <c r="J2" s="807"/>
      <c r="K2" s="808"/>
      <c r="L2" s="808"/>
      <c r="M2" s="808"/>
      <c r="N2" s="808"/>
      <c r="O2" s="808"/>
      <c r="P2" s="760" t="s">
        <v>1167</v>
      </c>
      <c r="Q2" s="760"/>
      <c r="R2" s="760"/>
      <c r="S2" s="760"/>
      <c r="T2" s="807">
        <v>160</v>
      </c>
      <c r="U2" s="807"/>
      <c r="V2" s="807"/>
      <c r="W2" s="807"/>
      <c r="X2" s="807"/>
      <c r="Y2" s="807"/>
      <c r="Z2" s="807"/>
    </row>
    <row r="3" spans="1:26">
      <c r="A3" s="750"/>
      <c r="B3" s="806" t="s">
        <v>1168</v>
      </c>
      <c r="C3" s="807"/>
      <c r="D3" s="807"/>
      <c r="E3" s="807"/>
      <c r="F3" s="807"/>
      <c r="G3" s="807"/>
      <c r="H3" s="807"/>
      <c r="I3" s="807"/>
      <c r="J3" s="807"/>
      <c r="K3" s="807"/>
      <c r="L3" s="807"/>
      <c r="M3" s="807"/>
      <c r="N3" s="807"/>
      <c r="O3" s="807"/>
      <c r="P3" s="807"/>
      <c r="Q3" s="807"/>
      <c r="R3" s="807"/>
      <c r="S3" s="807"/>
      <c r="T3" s="807"/>
      <c r="U3" s="807"/>
      <c r="V3" s="807"/>
      <c r="W3" s="807"/>
      <c r="X3" s="807"/>
      <c r="Y3" s="807"/>
      <c r="Z3" s="807"/>
    </row>
    <row r="4" spans="1:26" ht="15" customHeight="1">
      <c r="A4" s="750"/>
      <c r="B4" s="814" t="s">
        <v>971</v>
      </c>
      <c r="C4" s="197"/>
      <c r="D4" s="197"/>
      <c r="E4" s="763" t="s">
        <v>1104</v>
      </c>
      <c r="F4" s="804" t="s">
        <v>1105</v>
      </c>
      <c r="G4" s="804" t="s">
        <v>1106</v>
      </c>
      <c r="H4" s="804" t="s">
        <v>1107</v>
      </c>
      <c r="I4" s="805" t="s">
        <v>1108</v>
      </c>
      <c r="J4" s="805"/>
      <c r="K4" s="805"/>
      <c r="L4" s="805"/>
      <c r="M4" s="805"/>
      <c r="N4" s="805"/>
      <c r="O4" s="805"/>
      <c r="P4" s="805"/>
      <c r="Q4" s="805"/>
      <c r="R4" s="805"/>
      <c r="S4" s="805"/>
      <c r="T4" s="805"/>
      <c r="U4" s="805"/>
      <c r="V4" s="809" t="s">
        <v>1109</v>
      </c>
      <c r="W4" s="810" t="s">
        <v>1110</v>
      </c>
      <c r="X4" s="811" t="s">
        <v>1111</v>
      </c>
      <c r="Y4" s="812" t="s">
        <v>1112</v>
      </c>
      <c r="Z4" s="813" t="s">
        <v>1113</v>
      </c>
    </row>
    <row r="5" spans="1:26" ht="155.25" customHeight="1">
      <c r="A5" s="751"/>
      <c r="B5" s="782"/>
      <c r="C5" s="110" t="s">
        <v>37</v>
      </c>
      <c r="D5" s="110" t="s">
        <v>38</v>
      </c>
      <c r="E5" s="763"/>
      <c r="F5" s="762"/>
      <c r="G5" s="762"/>
      <c r="H5" s="762"/>
      <c r="I5" s="217" t="s">
        <v>1116</v>
      </c>
      <c r="J5" s="217" t="s">
        <v>1117</v>
      </c>
      <c r="K5" s="217" t="s">
        <v>1118</v>
      </c>
      <c r="L5" s="111" t="s">
        <v>1119</v>
      </c>
      <c r="M5" s="217" t="s">
        <v>1120</v>
      </c>
      <c r="N5" s="111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67"/>
      <c r="W5" s="769"/>
      <c r="X5" s="771"/>
      <c r="Y5" s="771"/>
      <c r="Z5" s="774"/>
    </row>
    <row r="6" spans="1:26">
      <c r="A6" s="114" t="s">
        <v>1100</v>
      </c>
      <c r="B6" s="95" t="s">
        <v>1130</v>
      </c>
      <c r="C6" s="95" t="s">
        <v>1131</v>
      </c>
      <c r="D6" s="95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</row>
    <row r="7" spans="1:26">
      <c r="A7" s="187">
        <v>3</v>
      </c>
      <c r="B7" s="187" t="s">
        <v>98</v>
      </c>
      <c r="C7" s="188">
        <v>42762</v>
      </c>
      <c r="D7" s="187" t="s">
        <v>1098</v>
      </c>
      <c r="E7" s="100"/>
      <c r="F7" s="154"/>
      <c r="G7" s="100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01">
        <v>160</v>
      </c>
      <c r="X7" s="102"/>
      <c r="Y7" s="154"/>
      <c r="Z7" s="101">
        <f t="shared" ref="Z7:Z12" si="0">W7+X7+Y7</f>
        <v>160</v>
      </c>
    </row>
    <row r="8" spans="1:26">
      <c r="A8" s="187">
        <v>7</v>
      </c>
      <c r="B8" s="187" t="s">
        <v>95</v>
      </c>
      <c r="C8" s="188">
        <v>42948</v>
      </c>
      <c r="D8" s="187" t="s">
        <v>1098</v>
      </c>
      <c r="E8" s="105"/>
      <c r="F8" s="154"/>
      <c r="G8" s="105"/>
      <c r="H8" s="105"/>
      <c r="I8" s="105"/>
      <c r="J8" s="105"/>
      <c r="K8" s="189"/>
      <c r="L8" s="189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1">
        <v>160</v>
      </c>
      <c r="X8" s="102"/>
      <c r="Y8" s="105"/>
      <c r="Z8" s="101">
        <f t="shared" si="0"/>
        <v>160</v>
      </c>
    </row>
    <row r="9" spans="1:26">
      <c r="A9" s="187">
        <v>8</v>
      </c>
      <c r="B9" s="187" t="s">
        <v>91</v>
      </c>
      <c r="C9" s="188">
        <v>42900</v>
      </c>
      <c r="D9" s="187" t="s">
        <v>1098</v>
      </c>
      <c r="E9" s="105"/>
      <c r="F9" s="154"/>
      <c r="G9" s="105"/>
      <c r="H9" s="105"/>
      <c r="I9" s="105"/>
      <c r="J9" s="105"/>
      <c r="K9" s="189"/>
      <c r="L9" s="189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1">
        <v>160</v>
      </c>
      <c r="X9" s="102"/>
      <c r="Y9" s="105"/>
      <c r="Z9" s="101">
        <f t="shared" si="0"/>
        <v>160</v>
      </c>
    </row>
    <row r="10" spans="1:26">
      <c r="A10" s="187">
        <v>11</v>
      </c>
      <c r="B10" s="187" t="s">
        <v>342</v>
      </c>
      <c r="C10" s="188">
        <v>43435</v>
      </c>
      <c r="D10" s="187" t="s">
        <v>1098</v>
      </c>
      <c r="E10" s="105"/>
      <c r="F10" s="154"/>
      <c r="G10" s="105"/>
      <c r="H10" s="105"/>
      <c r="I10" s="105"/>
      <c r="J10" s="105"/>
      <c r="K10" s="189"/>
      <c r="L10" s="189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1">
        <v>160</v>
      </c>
      <c r="X10" s="102"/>
      <c r="Y10" s="105"/>
      <c r="Z10" s="101">
        <f t="shared" si="0"/>
        <v>160</v>
      </c>
    </row>
    <row r="11" spans="1:26">
      <c r="A11" s="187">
        <v>13</v>
      </c>
      <c r="B11" s="187" t="s">
        <v>399</v>
      </c>
      <c r="C11" s="188">
        <v>43435</v>
      </c>
      <c r="D11" s="187" t="s">
        <v>1098</v>
      </c>
      <c r="E11" s="119"/>
      <c r="F11" s="154"/>
      <c r="G11" s="119"/>
      <c r="H11" s="119"/>
      <c r="I11" s="119"/>
      <c r="J11" s="119"/>
      <c r="K11" s="190"/>
      <c r="L11" s="18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01">
        <v>160</v>
      </c>
      <c r="X11" s="102"/>
      <c r="Y11" s="119"/>
      <c r="Z11" s="101">
        <f t="shared" si="0"/>
        <v>160</v>
      </c>
    </row>
    <row r="12" spans="1:26">
      <c r="A12" s="187">
        <v>15</v>
      </c>
      <c r="B12" s="187" t="s">
        <v>514</v>
      </c>
      <c r="C12" s="188">
        <v>43586</v>
      </c>
      <c r="D12" s="188" t="s">
        <v>1098</v>
      </c>
      <c r="E12" s="105"/>
      <c r="F12" s="154"/>
      <c r="G12" s="105"/>
      <c r="H12" s="105"/>
      <c r="I12" s="105"/>
      <c r="J12" s="105"/>
      <c r="K12" s="189"/>
      <c r="L12" s="189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1">
        <v>160</v>
      </c>
      <c r="X12" s="102"/>
      <c r="Y12" s="105"/>
      <c r="Z12" s="101">
        <f t="shared" si="0"/>
        <v>160</v>
      </c>
    </row>
    <row r="13" spans="1:26">
      <c r="A13" s="187">
        <v>24</v>
      </c>
      <c r="B13" s="187" t="s">
        <v>629</v>
      </c>
      <c r="C13" s="188">
        <v>43739</v>
      </c>
      <c r="D13" s="188" t="s">
        <v>1098</v>
      </c>
      <c r="E13" s="119"/>
      <c r="F13" s="174"/>
      <c r="G13" s="119"/>
      <c r="H13" s="119"/>
      <c r="I13" s="119"/>
      <c r="J13" s="119"/>
      <c r="K13" s="190"/>
      <c r="L13" s="18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01">
        <v>160</v>
      </c>
      <c r="X13" s="102"/>
      <c r="Y13" s="119"/>
      <c r="Z13" s="175">
        <f>W13+X13+Y13</f>
        <v>160</v>
      </c>
    </row>
    <row r="14" spans="1:26">
      <c r="A14" s="187">
        <v>25</v>
      </c>
      <c r="B14" s="187" t="s">
        <v>684</v>
      </c>
      <c r="C14" s="188">
        <v>43747</v>
      </c>
      <c r="D14" s="105" t="s">
        <v>1098</v>
      </c>
      <c r="E14" s="105"/>
      <c r="F14" s="174"/>
      <c r="G14" s="105"/>
      <c r="H14" s="105"/>
      <c r="I14" s="105"/>
      <c r="J14" s="105"/>
      <c r="K14" s="189"/>
      <c r="L14" s="189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1">
        <v>160</v>
      </c>
      <c r="X14" s="102"/>
      <c r="Y14" s="119"/>
      <c r="Z14" s="175">
        <f>W14+X14+Y14</f>
        <v>160</v>
      </c>
    </row>
    <row r="15" spans="1:26">
      <c r="A15" s="105"/>
      <c r="B15" s="105"/>
      <c r="C15" s="106"/>
      <c r="D15" s="105"/>
      <c r="E15" s="105"/>
      <c r="F15" s="172"/>
      <c r="G15" s="105"/>
      <c r="H15" s="105"/>
      <c r="I15" s="105"/>
      <c r="J15" s="105"/>
      <c r="K15" s="189"/>
      <c r="L15" s="140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73"/>
      <c r="X15" s="142"/>
      <c r="Y15" s="105"/>
      <c r="Z15" s="141"/>
    </row>
    <row r="16" spans="1:26">
      <c r="A16" s="115"/>
      <c r="B16" s="115"/>
      <c r="C16" s="115"/>
      <c r="D16" s="116" t="s">
        <v>1159</v>
      </c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>
        <f>SUBTOTAL(109,W7:W15)</f>
        <v>1280</v>
      </c>
      <c r="X16" s="115"/>
      <c r="Y16" s="115">
        <f>SUBTOTAL(109,Y7:Y15)</f>
        <v>0</v>
      </c>
      <c r="Z16" s="115">
        <f>SUBTOTAL(109,Z7:Z15)</f>
        <v>1280</v>
      </c>
    </row>
  </sheetData>
  <mergeCells count="19">
    <mergeCell ref="B4:B5"/>
    <mergeCell ref="E4:E5"/>
    <mergeCell ref="F4:F5"/>
    <mergeCell ref="G4:G5"/>
    <mergeCell ref="H4:H5"/>
    <mergeCell ref="I4:U4"/>
    <mergeCell ref="A1:A5"/>
    <mergeCell ref="B1:J2"/>
    <mergeCell ref="K1:O2"/>
    <mergeCell ref="P1:S1"/>
    <mergeCell ref="T1:Z1"/>
    <mergeCell ref="V4:V5"/>
    <mergeCell ref="W4:W5"/>
    <mergeCell ref="X4:X5"/>
    <mergeCell ref="Y4:Y5"/>
    <mergeCell ref="Z4:Z5"/>
    <mergeCell ref="P2:S2"/>
    <mergeCell ref="T2:Z2"/>
    <mergeCell ref="B3:Z3"/>
  </mergeCells>
  <pageMargins left="0.7" right="0.7" top="0.75" bottom="0.75" header="0.3" footer="0.3"/>
  <pageSetup paperSize="9" scale="80" orientation="landscape"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K93"/>
  <sheetViews>
    <sheetView view="pageLayout" zoomScaleNormal="100" workbookViewId="0"/>
  </sheetViews>
  <sheetFormatPr defaultRowHeight="14.5"/>
  <cols>
    <col min="2" max="2" width="11.81640625" customWidth="1"/>
    <col min="3" max="3" width="9.1796875" customWidth="1"/>
    <col min="4" max="4" width="10.81640625" customWidth="1"/>
    <col min="5" max="5" width="5.7265625" customWidth="1"/>
    <col min="8" max="8" width="9.7265625" customWidth="1"/>
    <col min="9" max="9" width="6" customWidth="1"/>
    <col min="11" max="11" width="9.453125" customWidth="1"/>
  </cols>
  <sheetData>
    <row r="1" spans="1:11">
      <c r="A1" s="14">
        <v>367</v>
      </c>
    </row>
    <row r="2" spans="1:11" ht="15.5">
      <c r="A2" s="627" t="s">
        <v>895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</row>
    <row r="3" spans="1:11" ht="15.5">
      <c r="A3" s="203" t="s">
        <v>896</v>
      </c>
      <c r="B3" s="37">
        <v>44125</v>
      </c>
      <c r="C3" s="203" t="s">
        <v>897</v>
      </c>
      <c r="D3" s="203"/>
      <c r="E3" s="203"/>
      <c r="F3" s="203"/>
      <c r="G3" s="203"/>
      <c r="H3" s="203"/>
      <c r="I3" s="203"/>
      <c r="J3" s="203"/>
      <c r="K3" s="203"/>
    </row>
    <row r="4" spans="1:11" ht="15.5">
      <c r="A4" s="22"/>
    </row>
    <row r="5" spans="1:11" ht="20">
      <c r="A5" s="628" t="s">
        <v>975</v>
      </c>
      <c r="B5" s="628"/>
      <c r="C5" s="628"/>
      <c r="D5" s="628"/>
      <c r="E5" s="628"/>
      <c r="F5" s="628"/>
      <c r="G5" s="628"/>
      <c r="H5" s="628"/>
      <c r="I5" s="628"/>
      <c r="J5" s="628"/>
      <c r="K5" s="628"/>
    </row>
    <row r="6" spans="1:11">
      <c r="A6" s="221"/>
    </row>
    <row r="7" spans="1:11" s="33" customFormat="1" ht="20">
      <c r="A7" s="31" t="s">
        <v>900</v>
      </c>
      <c r="B7" s="31"/>
      <c r="C7" s="31"/>
      <c r="D7" s="31"/>
      <c r="E7" s="32"/>
      <c r="F7" s="637" t="str">
        <f ca="1">OFFSET(RADNICI!E2,A1,0)</f>
        <v>International Line d.o.o.</v>
      </c>
      <c r="G7" s="637"/>
      <c r="H7" s="637"/>
      <c r="I7" s="33" t="s">
        <v>901</v>
      </c>
      <c r="J7" s="630">
        <f ca="1">OFFSET(RADNICI!F2,A1,0)</f>
        <v>16157428650</v>
      </c>
      <c r="K7" s="630"/>
    </row>
    <row r="8" spans="1:11" s="33" customFormat="1" ht="20.5">
      <c r="A8" s="203" t="s">
        <v>902</v>
      </c>
      <c r="B8" s="31"/>
      <c r="C8" s="31"/>
      <c r="D8" s="31"/>
      <c r="E8" s="75" t="str">
        <f ca="1">OFFSET(RADNICI!G2,A1,0)</f>
        <v>Zoltan Kiri</v>
      </c>
      <c r="F8" s="204"/>
      <c r="G8" s="204"/>
      <c r="H8" s="34" t="s">
        <v>903</v>
      </c>
      <c r="J8" s="204"/>
      <c r="K8" s="204"/>
    </row>
    <row r="9" spans="1:11" s="33" customFormat="1" ht="15.5">
      <c r="A9" s="202" t="s">
        <v>904</v>
      </c>
    </row>
    <row r="10" spans="1:11" s="33" customFormat="1" ht="20">
      <c r="A10" s="24" t="s">
        <v>905</v>
      </c>
      <c r="B10" s="631" t="str">
        <f ca="1">OFFSET(RADNICI!J2,$A$1,0)</f>
        <v>TANJA TOMŠIĆ</v>
      </c>
      <c r="C10" s="631"/>
      <c r="D10" s="631"/>
      <c r="E10" s="33" t="s">
        <v>3</v>
      </c>
      <c r="F10" s="632">
        <f ca="1">OFFSET(RADNICI!M2,$A$1,0)</f>
        <v>72967372303</v>
      </c>
      <c r="G10" s="632"/>
      <c r="H10" s="632"/>
      <c r="I10" s="33" t="s">
        <v>906</v>
      </c>
    </row>
    <row r="11" spans="1:11" s="33" customFormat="1" ht="20">
      <c r="A11" s="633" t="str">
        <f ca="1">OFFSET(RADNICI!R2,$A$1,0)</f>
        <v>MATIJE GUPCA 7, LUČ, PETLOVAC</v>
      </c>
      <c r="B11" s="633"/>
      <c r="C11" s="633"/>
      <c r="D11" s="633"/>
      <c r="E11" s="633"/>
      <c r="F11" s="633"/>
      <c r="G11" s="34" t="s">
        <v>907</v>
      </c>
      <c r="H11" s="204"/>
    </row>
    <row r="12" spans="1:11" s="33" customFormat="1" ht="15.5">
      <c r="A12" s="202"/>
    </row>
    <row r="13" spans="1:11" s="33" customFormat="1" ht="15.5">
      <c r="A13" s="626" t="s">
        <v>908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</row>
    <row r="14" spans="1:11" s="33" customFormat="1" ht="14">
      <c r="A14" s="222" t="s">
        <v>909</v>
      </c>
    </row>
    <row r="15" spans="1:11" ht="15.5">
      <c r="A15" s="22"/>
    </row>
    <row r="16" spans="1:11" ht="15.5">
      <c r="A16" s="25" t="s">
        <v>910</v>
      </c>
    </row>
    <row r="17" spans="1:11" ht="15.5">
      <c r="A17" s="25" t="s">
        <v>976</v>
      </c>
    </row>
    <row r="18" spans="1:11" ht="15.5">
      <c r="A18" s="25"/>
      <c r="B18" s="634" t="str">
        <f ca="1">OFFSET(RADNICI!W2,$A$1,0)</f>
        <v>Telefonist-operater u call c.</v>
      </c>
      <c r="C18" s="634"/>
      <c r="D18" s="634"/>
      <c r="E18" s="634"/>
      <c r="F18" s="634"/>
      <c r="G18" s="634"/>
      <c r="H18" s="634"/>
    </row>
    <row r="19" spans="1:11" ht="15.5">
      <c r="A19" s="25" t="s">
        <v>914</v>
      </c>
      <c r="H19" s="39" t="s">
        <v>1412</v>
      </c>
    </row>
    <row r="20" spans="1:11" ht="15.5">
      <c r="A20" s="25" t="s">
        <v>916</v>
      </c>
      <c r="E20" s="635" t="s">
        <v>1417</v>
      </c>
      <c r="F20" s="635"/>
      <c r="G20" s="635"/>
      <c r="H20" s="635"/>
      <c r="I20" s="635"/>
      <c r="J20" s="635"/>
      <c r="K20" s="40"/>
    </row>
    <row r="21" spans="1:11" ht="15.5">
      <c r="B21" s="25" t="s">
        <v>917</v>
      </c>
    </row>
    <row r="22" spans="1:11" ht="15.5">
      <c r="A22" s="25" t="s">
        <v>918</v>
      </c>
    </row>
    <row r="23" spans="1:11" ht="15.5">
      <c r="A23" s="25"/>
      <c r="B23" s="33" t="s">
        <v>919</v>
      </c>
    </row>
    <row r="24" spans="1:11" ht="15.5">
      <c r="A24" s="25" t="s">
        <v>920</v>
      </c>
      <c r="D24" s="43" t="str">
        <f ca="1">OFFSET(RADNICI!K2,$A$1,0)</f>
        <v>15.10.2020</v>
      </c>
    </row>
    <row r="25" spans="1:11" ht="15.5">
      <c r="A25" s="22"/>
    </row>
    <row r="26" spans="1:11" ht="15.5">
      <c r="A26" s="626" t="s">
        <v>921</v>
      </c>
      <c r="B26" s="626"/>
      <c r="C26" s="626"/>
      <c r="D26" s="626"/>
      <c r="E26" s="626"/>
      <c r="F26" s="626"/>
      <c r="G26" s="626"/>
      <c r="H26" s="626"/>
      <c r="I26" s="626"/>
      <c r="J26" s="626"/>
      <c r="K26" s="626"/>
    </row>
    <row r="27" spans="1:11">
      <c r="A27" s="223" t="s">
        <v>922</v>
      </c>
    </row>
    <row r="28" spans="1:11" ht="15.5">
      <c r="A28" s="26"/>
    </row>
    <row r="29" spans="1:11" ht="15.5">
      <c r="A29" s="27" t="s">
        <v>923</v>
      </c>
    </row>
    <row r="30" spans="1:11" ht="15.5">
      <c r="A30" s="27"/>
      <c r="B30" s="36">
        <f ca="1">OFFSET(RADNICI!AM2,$A$1,0)</f>
        <v>4062.51</v>
      </c>
      <c r="C30" s="33" t="s">
        <v>977</v>
      </c>
    </row>
    <row r="31" spans="1:11" ht="15.5">
      <c r="A31" s="27" t="s">
        <v>1413</v>
      </c>
      <c r="B31" s="274"/>
      <c r="C31" s="33"/>
    </row>
    <row r="32" spans="1:11" ht="15.5">
      <c r="A32" s="27" t="s">
        <v>1414</v>
      </c>
    </row>
    <row r="33" spans="1:11" ht="15.5">
      <c r="A33" s="27"/>
      <c r="B33" s="33" t="s">
        <v>979</v>
      </c>
    </row>
    <row r="34" spans="1:11" ht="15.5">
      <c r="A34" s="27" t="s">
        <v>1415</v>
      </c>
    </row>
    <row r="35" spans="1:11" ht="15.5">
      <c r="A35" s="27" t="s">
        <v>1416</v>
      </c>
    </row>
    <row r="36" spans="1:11" ht="15.5">
      <c r="B36" s="27" t="s">
        <v>929</v>
      </c>
      <c r="H36" s="44">
        <v>0.1</v>
      </c>
    </row>
    <row r="37" spans="1:11" ht="15.5">
      <c r="B37" s="27" t="s">
        <v>930</v>
      </c>
      <c r="C37" s="28"/>
      <c r="H37" s="45">
        <v>0.5</v>
      </c>
    </row>
    <row r="38" spans="1:11" ht="15.5">
      <c r="A38" s="27" t="s">
        <v>898</v>
      </c>
      <c r="B38" s="27" t="s">
        <v>931</v>
      </c>
      <c r="H38" s="44">
        <v>0.3</v>
      </c>
    </row>
    <row r="39" spans="1:11" ht="15.5">
      <c r="B39" s="27" t="s">
        <v>932</v>
      </c>
      <c r="H39" s="45">
        <v>0.3</v>
      </c>
      <c r="I39" s="28"/>
    </row>
    <row r="40" spans="1:11" ht="15.5">
      <c r="B40" s="27" t="s">
        <v>933</v>
      </c>
      <c r="H40" s="44">
        <v>0.5</v>
      </c>
    </row>
    <row r="41" spans="1:11" ht="15.5">
      <c r="B41" s="27" t="s">
        <v>981</v>
      </c>
      <c r="H41" s="200"/>
    </row>
    <row r="42" spans="1:11" ht="15.5">
      <c r="A42" s="27"/>
    </row>
    <row r="43" spans="1:11" ht="15.5">
      <c r="A43" s="626" t="s">
        <v>935</v>
      </c>
      <c r="B43" s="626"/>
      <c r="C43" s="626"/>
      <c r="D43" s="626"/>
      <c r="E43" s="626"/>
      <c r="F43" s="626"/>
      <c r="G43" s="626"/>
      <c r="H43" s="626"/>
      <c r="I43" s="626"/>
      <c r="J43" s="626"/>
      <c r="K43" s="626"/>
    </row>
    <row r="44" spans="1:11">
      <c r="A44" s="224" t="s">
        <v>936</v>
      </c>
    </row>
    <row r="45" spans="1:11" ht="15.5">
      <c r="A45" s="27"/>
    </row>
    <row r="46" spans="1:11" ht="15.5">
      <c r="A46" s="22" t="s">
        <v>937</v>
      </c>
    </row>
    <row r="47" spans="1:11" ht="15.5">
      <c r="A47" s="29" t="s">
        <v>938</v>
      </c>
    </row>
    <row r="48" spans="1:11" ht="15.5">
      <c r="A48" s="626" t="s">
        <v>939</v>
      </c>
      <c r="B48" s="626"/>
      <c r="C48" s="626"/>
      <c r="D48" s="626"/>
      <c r="E48" s="626"/>
      <c r="F48" s="626"/>
      <c r="G48" s="626"/>
      <c r="H48" s="626"/>
      <c r="I48" s="626"/>
      <c r="J48" s="626"/>
      <c r="K48" s="626"/>
    </row>
    <row r="49" spans="1:11">
      <c r="A49" s="224" t="s">
        <v>940</v>
      </c>
    </row>
    <row r="50" spans="1:11" ht="15.5">
      <c r="A50" s="29"/>
    </row>
    <row r="51" spans="1:11" ht="15.5">
      <c r="A51" s="29" t="s">
        <v>941</v>
      </c>
      <c r="D51" s="35" t="str">
        <f ca="1">OFFSET(RADNICI!Z2,$A$1,0)</f>
        <v>puno</v>
      </c>
      <c r="E51" t="s">
        <v>942</v>
      </c>
      <c r="H51" s="38">
        <f ca="1">OFFSET(RADNICI!AA2,$A$1,0)</f>
        <v>40</v>
      </c>
      <c r="I51" t="s">
        <v>943</v>
      </c>
    </row>
    <row r="52" spans="1:11" ht="15.5">
      <c r="A52" s="25" t="s">
        <v>982</v>
      </c>
    </row>
    <row r="53" spans="1:11" ht="15.5">
      <c r="A53" s="25"/>
      <c r="B53" s="33" t="s">
        <v>983</v>
      </c>
    </row>
    <row r="54" spans="1:11" ht="15.5">
      <c r="A54" s="25" t="s">
        <v>944</v>
      </c>
    </row>
    <row r="55" spans="1:11" ht="15.5">
      <c r="A55" s="30" t="s">
        <v>945</v>
      </c>
    </row>
    <row r="56" spans="1:11" ht="15.5">
      <c r="A56" s="25" t="s">
        <v>946</v>
      </c>
    </row>
    <row r="57" spans="1:11" ht="15.5">
      <c r="A57" s="29"/>
    </row>
    <row r="58" spans="1:11" ht="15.5">
      <c r="A58" s="626" t="s">
        <v>947</v>
      </c>
      <c r="B58" s="626"/>
      <c r="C58" s="626"/>
      <c r="D58" s="626"/>
      <c r="E58" s="626"/>
      <c r="F58" s="626"/>
      <c r="G58" s="626"/>
      <c r="H58" s="626"/>
      <c r="I58" s="626"/>
      <c r="J58" s="626"/>
      <c r="K58" s="626"/>
    </row>
    <row r="59" spans="1:11">
      <c r="A59" s="222" t="s">
        <v>948</v>
      </c>
    </row>
    <row r="60" spans="1:11">
      <c r="A60" s="225"/>
    </row>
    <row r="61" spans="1:11" ht="15.5">
      <c r="A61" s="25" t="s">
        <v>949</v>
      </c>
    </row>
    <row r="62" spans="1:11" ht="15.5">
      <c r="A62" s="22" t="s">
        <v>950</v>
      </c>
    </row>
    <row r="63" spans="1:11" ht="15.5">
      <c r="A63" s="22" t="s">
        <v>951</v>
      </c>
    </row>
    <row r="64" spans="1:11" ht="15.5">
      <c r="A64" s="22"/>
    </row>
    <row r="65" spans="1:11" ht="15.5">
      <c r="A65" s="626" t="s">
        <v>952</v>
      </c>
      <c r="B65" s="626"/>
      <c r="C65" s="626"/>
      <c r="D65" s="626"/>
      <c r="E65" s="626"/>
      <c r="F65" s="626"/>
      <c r="G65" s="626"/>
      <c r="H65" s="626"/>
      <c r="I65" s="626"/>
      <c r="J65" s="626"/>
      <c r="K65" s="626"/>
    </row>
    <row r="66" spans="1:11">
      <c r="A66" s="224" t="s">
        <v>953</v>
      </c>
    </row>
    <row r="67" spans="1:11">
      <c r="A67" s="215"/>
    </row>
    <row r="68" spans="1:11" ht="15.5">
      <c r="A68" s="25" t="s">
        <v>954</v>
      </c>
    </row>
    <row r="69" spans="1:11" ht="15.5">
      <c r="A69" s="25"/>
      <c r="B69" s="23" t="s">
        <v>984</v>
      </c>
    </row>
    <row r="70" spans="1:11" ht="15.5">
      <c r="A70" s="25" t="s">
        <v>956</v>
      </c>
    </row>
    <row r="71" spans="1:11" ht="15.5">
      <c r="A71" s="25"/>
      <c r="B71" s="23" t="s">
        <v>957</v>
      </c>
    </row>
    <row r="72" spans="1:11" ht="15.5">
      <c r="A72" s="22" t="s">
        <v>898</v>
      </c>
    </row>
    <row r="73" spans="1:11" ht="15.5">
      <c r="A73" s="626" t="s">
        <v>958</v>
      </c>
      <c r="B73" s="626"/>
      <c r="C73" s="626"/>
      <c r="D73" s="626"/>
      <c r="E73" s="626"/>
      <c r="F73" s="626"/>
      <c r="G73" s="626"/>
      <c r="H73" s="626"/>
      <c r="I73" s="626"/>
      <c r="J73" s="626"/>
      <c r="K73" s="626"/>
    </row>
    <row r="74" spans="1:11">
      <c r="A74" s="224" t="s">
        <v>959</v>
      </c>
    </row>
    <row r="75" spans="1:11">
      <c r="A75" s="225"/>
    </row>
    <row r="76" spans="1:11" ht="15.5">
      <c r="A76" s="627" t="s">
        <v>960</v>
      </c>
      <c r="B76" s="627"/>
      <c r="C76" s="627"/>
      <c r="D76" s="627"/>
      <c r="E76" s="627"/>
      <c r="F76" s="627"/>
      <c r="G76" s="627"/>
      <c r="H76" s="627"/>
      <c r="I76" s="627"/>
    </row>
    <row r="77" spans="1:11" ht="15.5">
      <c r="A77" s="226" t="s">
        <v>961</v>
      </c>
    </row>
    <row r="78" spans="1:11" ht="15.5">
      <c r="A78" s="626" t="s">
        <v>962</v>
      </c>
      <c r="B78" s="626"/>
      <c r="C78" s="626"/>
      <c r="D78" s="626"/>
      <c r="E78" s="626"/>
      <c r="F78" s="626"/>
      <c r="G78" s="626"/>
      <c r="H78" s="626"/>
      <c r="I78" s="626"/>
      <c r="J78" s="626"/>
      <c r="K78" s="626"/>
    </row>
    <row r="79" spans="1:11">
      <c r="A79" s="224" t="s">
        <v>963</v>
      </c>
    </row>
    <row r="80" spans="1:11" ht="15.5">
      <c r="A80" s="202" t="s">
        <v>964</v>
      </c>
    </row>
    <row r="81" spans="1:7" ht="15.5">
      <c r="A81" s="25" t="s">
        <v>965</v>
      </c>
    </row>
    <row r="82" spans="1:7" ht="15.5">
      <c r="A82" s="25" t="s">
        <v>966</v>
      </c>
      <c r="D82" s="624" t="str">
        <f ca="1">D24</f>
        <v>15.10.2020</v>
      </c>
      <c r="E82" s="625"/>
      <c r="F82" s="625"/>
    </row>
    <row r="83" spans="1:7" ht="15.5">
      <c r="A83" s="25" t="s">
        <v>967</v>
      </c>
    </row>
    <row r="84" spans="1:7" ht="15.5">
      <c r="A84" s="22"/>
      <c r="B84" s="33" t="s">
        <v>968</v>
      </c>
    </row>
    <row r="85" spans="1:7" ht="15.5">
      <c r="A85" s="22"/>
    </row>
    <row r="86" spans="1:7" ht="15.5">
      <c r="A86" s="22" t="s">
        <v>969</v>
      </c>
      <c r="C86" s="82">
        <f>B3</f>
        <v>44125</v>
      </c>
    </row>
    <row r="87" spans="1:7" ht="15.5">
      <c r="A87" s="22"/>
    </row>
    <row r="88" spans="1:7" ht="15.5">
      <c r="A88" s="22"/>
    </row>
    <row r="89" spans="1:7" ht="15.5">
      <c r="A89" s="22" t="s">
        <v>970</v>
      </c>
      <c r="G89" s="22" t="s">
        <v>971</v>
      </c>
    </row>
    <row r="90" spans="1:7" ht="15.5">
      <c r="A90" s="22"/>
    </row>
    <row r="91" spans="1:7">
      <c r="A91" s="227" t="s">
        <v>972</v>
      </c>
    </row>
    <row r="92" spans="1:7" ht="15.5">
      <c r="A92" s="22" t="s">
        <v>973</v>
      </c>
      <c r="F92" s="22" t="s">
        <v>974</v>
      </c>
    </row>
    <row r="93" spans="1:7">
      <c r="A93" s="221"/>
    </row>
  </sheetData>
  <mergeCells count="19">
    <mergeCell ref="A43:K43"/>
    <mergeCell ref="A2:K2"/>
    <mergeCell ref="A5:K5"/>
    <mergeCell ref="F7:H7"/>
    <mergeCell ref="J7:K7"/>
    <mergeCell ref="B10:D10"/>
    <mergeCell ref="F10:H10"/>
    <mergeCell ref="A11:F11"/>
    <mergeCell ref="A13:K13"/>
    <mergeCell ref="B18:H18"/>
    <mergeCell ref="E20:J20"/>
    <mergeCell ref="A26:K26"/>
    <mergeCell ref="D82:F82"/>
    <mergeCell ref="A48:K48"/>
    <mergeCell ref="A58:K58"/>
    <mergeCell ref="A65:K65"/>
    <mergeCell ref="A73:K73"/>
    <mergeCell ref="A76:I76"/>
    <mergeCell ref="A78:K78"/>
  </mergeCells>
  <pageMargins left="0.39370078740157483" right="0.23622047244094491" top="0.74803149606299213" bottom="0.74803149606299213" header="0.31496062992125984" footer="0.31496062992125984"/>
  <pageSetup paperSize="9" scale="91" fitToHeight="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D19"/>
  <sheetViews>
    <sheetView workbookViewId="0">
      <selection sqref="A1:D19"/>
    </sheetView>
  </sheetViews>
  <sheetFormatPr defaultRowHeight="14.5"/>
  <cols>
    <col min="1" max="1" width="29.81640625" customWidth="1"/>
    <col min="2" max="2" width="22.453125" bestFit="1" customWidth="1"/>
    <col min="3" max="3" width="26" bestFit="1" customWidth="1"/>
    <col min="4" max="4" width="14" customWidth="1"/>
    <col min="5" max="5" width="8.1796875" customWidth="1"/>
    <col min="6" max="6" width="9.1796875" customWidth="1"/>
    <col min="7" max="7" width="8.1796875" customWidth="1"/>
    <col min="8" max="10" width="10.1796875" customWidth="1"/>
    <col min="11" max="11" width="8.1796875" customWidth="1"/>
    <col min="12" max="12" width="9.1796875" customWidth="1"/>
    <col min="13" max="13" width="11.26953125" customWidth="1"/>
    <col min="14" max="359" width="29.26953125" bestFit="1" customWidth="1"/>
    <col min="360" max="360" width="11.26953125" bestFit="1" customWidth="1"/>
  </cols>
  <sheetData>
    <row r="1" spans="1:4">
      <c r="A1" s="418" t="s">
        <v>30</v>
      </c>
      <c r="B1" t="s">
        <v>374</v>
      </c>
    </row>
    <row r="2" spans="1:4">
      <c r="A2" s="418" t="s">
        <v>32</v>
      </c>
      <c r="B2" t="s">
        <v>1668</v>
      </c>
    </row>
    <row r="4" spans="1:4">
      <c r="A4" s="418" t="s">
        <v>2013</v>
      </c>
      <c r="B4" t="s">
        <v>2014</v>
      </c>
      <c r="C4" t="s">
        <v>2021</v>
      </c>
      <c r="D4" t="s">
        <v>2015</v>
      </c>
    </row>
    <row r="5" spans="1:4">
      <c r="A5" s="48" t="s">
        <v>1722</v>
      </c>
      <c r="B5" t="s">
        <v>2016</v>
      </c>
      <c r="C5">
        <v>5</v>
      </c>
      <c r="D5">
        <v>20</v>
      </c>
    </row>
    <row r="6" spans="1:4">
      <c r="A6" s="48" t="s">
        <v>1788</v>
      </c>
      <c r="B6" t="s">
        <v>2016</v>
      </c>
      <c r="C6">
        <v>5</v>
      </c>
      <c r="D6">
        <v>20</v>
      </c>
    </row>
    <row r="7" spans="1:4">
      <c r="A7" s="48" t="s">
        <v>1854</v>
      </c>
      <c r="B7" t="s">
        <v>2017</v>
      </c>
      <c r="C7">
        <v>5</v>
      </c>
      <c r="D7">
        <v>8.33</v>
      </c>
    </row>
    <row r="8" spans="1:4">
      <c r="A8" s="48" t="s">
        <v>1678</v>
      </c>
      <c r="B8" t="s">
        <v>2016</v>
      </c>
      <c r="C8">
        <v>6</v>
      </c>
      <c r="D8">
        <v>24</v>
      </c>
    </row>
    <row r="9" spans="1:4">
      <c r="A9" s="48" t="s">
        <v>1784</v>
      </c>
      <c r="B9" t="s">
        <v>2016</v>
      </c>
      <c r="C9">
        <v>5</v>
      </c>
      <c r="D9">
        <v>20</v>
      </c>
    </row>
    <row r="10" spans="1:4">
      <c r="A10" s="48" t="s">
        <v>1694</v>
      </c>
      <c r="B10" t="s">
        <v>2016</v>
      </c>
      <c r="C10">
        <v>6</v>
      </c>
      <c r="D10">
        <v>24</v>
      </c>
    </row>
    <row r="11" spans="1:4">
      <c r="A11" s="48" t="s">
        <v>1688</v>
      </c>
      <c r="B11" t="s">
        <v>2016</v>
      </c>
      <c r="C11">
        <v>6</v>
      </c>
      <c r="D11">
        <v>24</v>
      </c>
    </row>
    <row r="12" spans="1:4">
      <c r="A12" s="48" t="s">
        <v>1916</v>
      </c>
      <c r="B12" t="s">
        <v>2016</v>
      </c>
      <c r="C12">
        <v>5</v>
      </c>
      <c r="D12">
        <v>20</v>
      </c>
    </row>
    <row r="13" spans="1:4">
      <c r="A13" s="48" t="s">
        <v>1912</v>
      </c>
      <c r="B13" t="s">
        <v>2017</v>
      </c>
      <c r="C13">
        <v>6</v>
      </c>
      <c r="D13">
        <v>3.33</v>
      </c>
    </row>
    <row r="14" spans="1:4">
      <c r="A14" s="48" t="s">
        <v>1765</v>
      </c>
      <c r="B14" t="s">
        <v>2016</v>
      </c>
      <c r="C14">
        <v>5</v>
      </c>
      <c r="D14">
        <v>20</v>
      </c>
    </row>
    <row r="15" spans="1:4">
      <c r="A15" s="48" t="s">
        <v>1697</v>
      </c>
      <c r="B15" t="s">
        <v>2016</v>
      </c>
      <c r="C15">
        <v>6</v>
      </c>
      <c r="D15">
        <v>24</v>
      </c>
    </row>
    <row r="16" spans="1:4">
      <c r="A16" s="48" t="s">
        <v>1683</v>
      </c>
      <c r="B16" t="s">
        <v>2016</v>
      </c>
      <c r="C16">
        <v>6</v>
      </c>
      <c r="D16">
        <v>24</v>
      </c>
    </row>
    <row r="17" spans="1:4">
      <c r="A17" s="48" t="s">
        <v>1761</v>
      </c>
      <c r="B17" t="s">
        <v>2016</v>
      </c>
      <c r="C17">
        <v>6</v>
      </c>
      <c r="D17">
        <v>24</v>
      </c>
    </row>
    <row r="18" spans="1:4">
      <c r="A18" s="48" t="s">
        <v>1700</v>
      </c>
      <c r="B18" t="s">
        <v>2016</v>
      </c>
      <c r="C18">
        <v>6</v>
      </c>
      <c r="D18">
        <v>24</v>
      </c>
    </row>
    <row r="19" spans="1:4">
      <c r="A19" s="48" t="s">
        <v>1099</v>
      </c>
    </row>
  </sheetData>
  <pageMargins left="0.7" right="0.7" top="0.75" bottom="0.75" header="0.3" footer="0.3"/>
  <pageSetup paperSize="9" scale="94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ugovor_neo (tifany</vt:lpstr>
      <vt:lpstr>ugovor_odr (2)</vt:lpstr>
      <vt:lpstr>aneks (3)</vt:lpstr>
      <vt:lpstr>POSLODAVCI</vt:lpstr>
      <vt:lpstr>RADNICI</vt:lpstr>
      <vt:lpstr>Sheet2</vt:lpstr>
      <vt:lpstr>UGOVOR CINDRIĆ</vt:lpstr>
      <vt:lpstr>EVIDENCIJA NOVA</vt:lpstr>
      <vt:lpstr>pot.oisplpl</vt:lpstr>
      <vt:lpstr>izj-prija</vt:lpstr>
      <vt:lpstr>izj-prija_neneto</vt:lpstr>
      <vt:lpstr>ugovor_odr</vt:lpstr>
      <vt:lpstr>ugovor_neodr</vt:lpstr>
      <vt:lpstr>ugovor_odr kristina</vt:lpstr>
      <vt:lpstr>ugovor_odr TJ</vt:lpstr>
      <vt:lpstr>ugovor_neo</vt:lpstr>
      <vt:lpstr>ugovor_odrMOZ</vt:lpstr>
      <vt:lpstr>ugovor_neoMOZ</vt:lpstr>
      <vt:lpstr>aneks</vt:lpstr>
      <vt:lpstr>aneks (2)</vt:lpstr>
      <vt:lpstr>otkaz</vt:lpstr>
      <vt:lpstr>ccorona</vt:lpstr>
      <vt:lpstr>izj-odjava</vt:lpstr>
      <vt:lpstr>r1-osob</vt:lpstr>
      <vt:lpstr>r1-sporaz</vt:lpstr>
      <vt:lpstr>r1-posl</vt:lpstr>
      <vt:lpstr>potvrda</vt:lpstr>
      <vt:lpstr>r1-posl (2)</vt:lpstr>
      <vt:lpstr>R1-ODLO</vt:lpstr>
      <vt:lpstr>ODL </vt:lpstr>
      <vt:lpstr>Sheet1</vt:lpstr>
      <vt:lpstr>ODR OTPREMNINE</vt:lpstr>
      <vt:lpstr>odl.god</vt:lpstr>
      <vt:lpstr>list evr</vt:lpstr>
      <vt:lpstr>evr_int line</vt:lpstr>
      <vt:lpstr>evr_WAX</vt:lpstr>
      <vt:lpstr>evr_HOME PLUS</vt:lpstr>
      <vt:lpstr>evr_agro pmd</vt:lpstr>
      <vt:lpstr>evr_DURA CONST</vt:lpstr>
      <vt:lpstr>evr_PIROŠ ČIZMA</vt:lpstr>
      <vt:lpstr>evr_MUCI</vt:lpstr>
      <vt:lpstr>evr_HIMX D.O.O</vt:lpstr>
      <vt:lpstr>evr_agro pmd (2)</vt:lpstr>
      <vt:lpstr>UGOVOR MATEJ</vt:lpstr>
      <vt:lpstr>IZRAČUN GO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HT-ICT</cp:lastModifiedBy>
  <cp:revision/>
  <cp:lastPrinted>2026-06-29T19:08:07Z</cp:lastPrinted>
  <dcterms:created xsi:type="dcterms:W3CDTF">2017-05-16T14:36:47Z</dcterms:created>
  <dcterms:modified xsi:type="dcterms:W3CDTF">2026-06-29T19:09:30Z</dcterms:modified>
</cp:coreProperties>
</file>